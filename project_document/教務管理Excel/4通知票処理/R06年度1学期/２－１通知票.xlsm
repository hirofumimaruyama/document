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T:\通知票（保管場所）【禁入力】\R06年度\R06年度1学期\"/>
    </mc:Choice>
  </mc:AlternateContent>
  <bookViews>
    <workbookView xWindow="240" yWindow="60" windowWidth="14940" windowHeight="8550" tabRatio="783"/>
  </bookViews>
  <sheets>
    <sheet name="通知票" sheetId="1" r:id="rId1"/>
    <sheet name="所見集" sheetId="46" r:id="rId2"/>
    <sheet name="国語" sheetId="36" r:id="rId3"/>
    <sheet name="算数" sheetId="37" r:id="rId4"/>
    <sheet name="生活" sheetId="38" r:id="rId5"/>
    <sheet name="英語" sheetId="39" r:id="rId6"/>
    <sheet name="音楽" sheetId="40" r:id="rId7"/>
    <sheet name="図工" sheetId="41" r:id="rId8"/>
    <sheet name="体育" sheetId="42" r:id="rId9"/>
    <sheet name="道徳" sheetId="43" r:id="rId10"/>
    <sheet name="所見" sheetId="44" r:id="rId11"/>
    <sheet name="出欠" sheetId="45" r:id="rId12"/>
  </sheets>
  <definedNames>
    <definedName name="_xlnm.Print_Area" localSheetId="1">所見集!$A$1:$C$14</definedName>
    <definedName name="_xlnm.Print_Area" localSheetId="0">通知票!$A$1:$I$91</definedName>
    <definedName name="至">通知票!$L$9</definedName>
    <definedName name="自">通知票!$K$9</definedName>
    <definedName name="番号">通知票!$B$2</definedName>
    <definedName name="番号2">所見集!$B$2</definedName>
  </definedNames>
  <calcPr calcId="152511" iterate="1" iterateCount="1" iterateDelta="0"/>
</workbook>
</file>

<file path=xl/calcChain.xml><?xml version="1.0" encoding="utf-8"?>
<calcChain xmlns="http://schemas.openxmlformats.org/spreadsheetml/2006/main">
  <c r="R5" i="45" l="1"/>
  <c r="Q5" i="45"/>
  <c r="P5" i="45"/>
  <c r="J5" i="45"/>
  <c r="I5" i="45"/>
  <c r="H5" i="45"/>
  <c r="W4" i="45"/>
  <c r="W5" i="45" s="1"/>
  <c r="V4" i="45"/>
  <c r="V5" i="45" s="1"/>
  <c r="U4" i="45"/>
  <c r="U5" i="45" s="1"/>
  <c r="T4" i="45"/>
  <c r="T5" i="45" s="1"/>
  <c r="S4" i="45"/>
  <c r="S5" i="45" s="1"/>
  <c r="R4" i="45"/>
  <c r="Q4" i="45"/>
  <c r="P4" i="45"/>
  <c r="O4" i="45"/>
  <c r="O5" i="45" s="1"/>
  <c r="N4" i="45"/>
  <c r="N5" i="45" s="1"/>
  <c r="M4" i="45"/>
  <c r="M5" i="45" s="1"/>
  <c r="L4" i="45"/>
  <c r="L5" i="45" s="1"/>
  <c r="K4" i="45"/>
  <c r="K5" i="45" s="1"/>
  <c r="J4" i="45"/>
  <c r="I4" i="45"/>
  <c r="H4" i="45"/>
  <c r="G4" i="45"/>
  <c r="G5" i="45" s="1"/>
  <c r="F4" i="45"/>
  <c r="F5" i="45" s="1"/>
  <c r="E4" i="45"/>
  <c r="E5" i="45" s="1"/>
  <c r="D4" i="45"/>
  <c r="D5" i="45" s="1"/>
  <c r="W1" i="45"/>
  <c r="V1" i="45"/>
  <c r="U1" i="45"/>
  <c r="T1" i="45"/>
  <c r="S1" i="45"/>
  <c r="R1" i="45"/>
  <c r="Q1" i="45"/>
  <c r="P1" i="45"/>
  <c r="O1" i="45"/>
  <c r="N1" i="45"/>
  <c r="M1" i="45"/>
  <c r="L1" i="45"/>
  <c r="K1" i="45"/>
  <c r="J1" i="45"/>
  <c r="I1" i="45"/>
  <c r="H1" i="45"/>
  <c r="G1" i="45"/>
  <c r="F1" i="45"/>
  <c r="E1" i="45"/>
  <c r="D1" i="45"/>
  <c r="A1" i="45"/>
  <c r="X53" i="44" l="1"/>
  <c r="A53" i="44"/>
  <c r="X52" i="44"/>
  <c r="A52" i="44"/>
  <c r="X51" i="44"/>
  <c r="A51" i="44"/>
  <c r="X50" i="44"/>
  <c r="A50" i="44"/>
  <c r="X49" i="44"/>
  <c r="A49" i="44"/>
  <c r="X48" i="44"/>
  <c r="A48" i="44"/>
  <c r="X47" i="44"/>
  <c r="A47" i="44"/>
  <c r="X46" i="44"/>
  <c r="A46" i="44"/>
  <c r="X45" i="44"/>
  <c r="A45" i="44"/>
  <c r="X44" i="44"/>
  <c r="A44" i="44"/>
  <c r="X43" i="44"/>
  <c r="A43" i="44"/>
  <c r="X42" i="44"/>
  <c r="A42" i="44"/>
  <c r="X41" i="44"/>
  <c r="A41" i="44"/>
  <c r="X40" i="44"/>
  <c r="A40" i="44"/>
  <c r="X39" i="44"/>
  <c r="A39" i="44"/>
  <c r="X38" i="44"/>
  <c r="A38" i="44"/>
  <c r="X37" i="44"/>
  <c r="A37" i="44"/>
  <c r="X36" i="44"/>
  <c r="A36" i="44"/>
  <c r="X35" i="44"/>
  <c r="A35" i="44"/>
  <c r="X34" i="44"/>
  <c r="A34" i="44"/>
  <c r="W1" i="44"/>
  <c r="V1" i="44"/>
  <c r="U1" i="44"/>
  <c r="T1" i="44"/>
  <c r="S1" i="44"/>
  <c r="R1" i="44"/>
  <c r="Q1" i="44"/>
  <c r="P1" i="44"/>
  <c r="O1" i="44"/>
  <c r="N1" i="44"/>
  <c r="M1" i="44"/>
  <c r="L1" i="44"/>
  <c r="K1" i="44"/>
  <c r="J1" i="44"/>
  <c r="I1" i="44"/>
  <c r="H1" i="44"/>
  <c r="G1" i="44"/>
  <c r="F1" i="44"/>
  <c r="E1" i="44"/>
  <c r="D1" i="44"/>
  <c r="A1" i="44"/>
  <c r="C22" i="43" l="1"/>
  <c r="C21" i="43"/>
  <c r="C20" i="43"/>
  <c r="C19" i="43"/>
  <c r="C18" i="43"/>
  <c r="C17" i="43"/>
  <c r="C16" i="43"/>
  <c r="C15" i="43"/>
  <c r="C14" i="43"/>
  <c r="C13" i="43"/>
  <c r="C12" i="43"/>
  <c r="C11" i="43"/>
  <c r="C10" i="43"/>
  <c r="C9" i="43"/>
  <c r="C8" i="43"/>
  <c r="C7" i="43"/>
  <c r="C6" i="43"/>
  <c r="C5" i="43"/>
  <c r="C4" i="43"/>
  <c r="C3" i="43"/>
  <c r="B1" i="43"/>
  <c r="A1" i="43"/>
  <c r="W1" i="42" l="1"/>
  <c r="V1" i="42"/>
  <c r="U1" i="42"/>
  <c r="T1" i="42"/>
  <c r="S1" i="42"/>
  <c r="R1" i="42"/>
  <c r="Q1" i="42"/>
  <c r="P1" i="42"/>
  <c r="O1" i="42"/>
  <c r="N1" i="42"/>
  <c r="M1" i="42"/>
  <c r="L1" i="42"/>
  <c r="K1" i="42"/>
  <c r="J1" i="42"/>
  <c r="I1" i="42"/>
  <c r="H1" i="42"/>
  <c r="G1" i="42"/>
  <c r="F1" i="42"/>
  <c r="E1" i="42"/>
  <c r="D1" i="42"/>
  <c r="B1" i="42"/>
  <c r="A1" i="42"/>
  <c r="W1" i="41" l="1"/>
  <c r="V1" i="41"/>
  <c r="U1" i="41"/>
  <c r="T1" i="41"/>
  <c r="S1" i="41"/>
  <c r="R1" i="41"/>
  <c r="Q1" i="41"/>
  <c r="P1" i="41"/>
  <c r="O1" i="41"/>
  <c r="N1" i="41"/>
  <c r="M1" i="41"/>
  <c r="L1" i="41"/>
  <c r="K1" i="41"/>
  <c r="J1" i="41"/>
  <c r="I1" i="41"/>
  <c r="H1" i="41"/>
  <c r="G1" i="41"/>
  <c r="F1" i="41"/>
  <c r="E1" i="41"/>
  <c r="D1" i="41"/>
  <c r="B1" i="41"/>
  <c r="A1" i="41"/>
  <c r="W1" i="40" l="1"/>
  <c r="V1" i="40"/>
  <c r="U1" i="40"/>
  <c r="T1" i="40"/>
  <c r="S1" i="40"/>
  <c r="R1" i="40"/>
  <c r="Q1" i="40"/>
  <c r="P1" i="40"/>
  <c r="O1" i="40"/>
  <c r="N1" i="40"/>
  <c r="M1" i="40"/>
  <c r="L1" i="40"/>
  <c r="K1" i="40"/>
  <c r="J1" i="40"/>
  <c r="I1" i="40"/>
  <c r="H1" i="40"/>
  <c r="G1" i="40"/>
  <c r="F1" i="40"/>
  <c r="E1" i="40"/>
  <c r="D1" i="40"/>
  <c r="B1" i="40"/>
  <c r="A1" i="40"/>
  <c r="W1" i="39" l="1"/>
  <c r="V1" i="39"/>
  <c r="U1" i="39"/>
  <c r="T1" i="39"/>
  <c r="S1" i="39"/>
  <c r="R1" i="39"/>
  <c r="Q1" i="39"/>
  <c r="P1" i="39"/>
  <c r="O1" i="39"/>
  <c r="N1" i="39"/>
  <c r="M1" i="39"/>
  <c r="L1" i="39"/>
  <c r="K1" i="39"/>
  <c r="J1" i="39"/>
  <c r="I1" i="39"/>
  <c r="H1" i="39"/>
  <c r="G1" i="39"/>
  <c r="F1" i="39"/>
  <c r="E1" i="39"/>
  <c r="D1" i="39"/>
  <c r="B1" i="39"/>
  <c r="A1" i="39"/>
  <c r="W1" i="38" l="1"/>
  <c r="V1" i="38"/>
  <c r="U1" i="38"/>
  <c r="T1" i="38"/>
  <c r="S1" i="38"/>
  <c r="R1" i="38"/>
  <c r="Q1" i="38"/>
  <c r="P1" i="38"/>
  <c r="O1" i="38"/>
  <c r="N1" i="38"/>
  <c r="M1" i="38"/>
  <c r="L1" i="38"/>
  <c r="K1" i="38"/>
  <c r="J1" i="38"/>
  <c r="I1" i="38"/>
  <c r="H1" i="38"/>
  <c r="G1" i="38"/>
  <c r="F1" i="38"/>
  <c r="E1" i="38"/>
  <c r="D1" i="38"/>
  <c r="B1" i="38"/>
  <c r="A1" i="38"/>
  <c r="W1" i="37" l="1"/>
  <c r="V1" i="37"/>
  <c r="U1" i="37"/>
  <c r="T1" i="37"/>
  <c r="S1" i="37"/>
  <c r="R1" i="37"/>
  <c r="Q1" i="37"/>
  <c r="P1" i="37"/>
  <c r="O1" i="37"/>
  <c r="N1" i="37"/>
  <c r="M1" i="37"/>
  <c r="L1" i="37"/>
  <c r="K1" i="37"/>
  <c r="J1" i="37"/>
  <c r="I1" i="37"/>
  <c r="H1" i="37"/>
  <c r="G1" i="37"/>
  <c r="F1" i="37"/>
  <c r="E1" i="37"/>
  <c r="D1" i="37"/>
  <c r="B1" i="37"/>
  <c r="A1" i="37"/>
  <c r="W1" i="36" l="1"/>
  <c r="V1" i="36"/>
  <c r="U1" i="36"/>
  <c r="T1" i="36"/>
  <c r="S1" i="36"/>
  <c r="R1" i="36"/>
  <c r="Q1" i="36"/>
  <c r="P1" i="36"/>
  <c r="O1" i="36"/>
  <c r="N1" i="36"/>
  <c r="M1" i="36"/>
  <c r="L1" i="36"/>
  <c r="K1" i="36"/>
  <c r="J1" i="36"/>
  <c r="I1" i="36"/>
  <c r="H1" i="36"/>
  <c r="G1" i="36"/>
  <c r="F1" i="36"/>
  <c r="E1" i="36"/>
  <c r="D1" i="36"/>
  <c r="B1" i="36"/>
  <c r="A1" i="36"/>
  <c r="L85" i="1" l="1"/>
  <c r="L19" i="1"/>
  <c r="A1" i="1" l="1"/>
  <c r="P7" i="1"/>
  <c r="P18" i="1"/>
  <c r="P27" i="1"/>
  <c r="P11" i="1"/>
  <c r="P12" i="1"/>
  <c r="P23" i="1"/>
  <c r="P19" i="1"/>
  <c r="P30" i="1"/>
  <c r="P25" i="1"/>
  <c r="P17" i="1"/>
  <c r="P8" i="1"/>
  <c r="P16" i="1"/>
  <c r="G2" i="1"/>
  <c r="P22" i="1"/>
  <c r="B91" i="1"/>
  <c r="P21" i="1"/>
  <c r="P10" i="1"/>
  <c r="P15" i="1"/>
  <c r="P28" i="1"/>
  <c r="P29" i="1"/>
  <c r="P26" i="1"/>
  <c r="P6" i="1"/>
  <c r="C14" i="46"/>
  <c r="P20" i="1"/>
  <c r="P9" i="1"/>
  <c r="P14" i="1"/>
  <c r="P24" i="1"/>
  <c r="P13" i="1"/>
  <c r="B6" i="46" l="1"/>
  <c r="C6" i="46"/>
  <c r="C1" i="1" l="1"/>
  <c r="B11" i="46" l="1"/>
  <c r="B10" i="46"/>
  <c r="B9" i="46"/>
  <c r="B8" i="46"/>
  <c r="B7" i="46"/>
  <c r="B5" i="46"/>
  <c r="A1" i="46"/>
  <c r="C9" i="46"/>
  <c r="C8" i="46"/>
  <c r="C7" i="46"/>
  <c r="C5" i="46"/>
  <c r="C10" i="46"/>
  <c r="C2" i="46"/>
  <c r="B12" i="46"/>
  <c r="C11" i="46"/>
  <c r="C1" i="46" l="1"/>
  <c r="G74" i="1" l="1"/>
  <c r="G73" i="1"/>
  <c r="G72" i="1"/>
  <c r="G71" i="1"/>
  <c r="G70" i="1"/>
  <c r="G69" i="1"/>
  <c r="G68" i="1"/>
  <c r="G67" i="1"/>
  <c r="G66" i="1"/>
  <c r="H65" i="1"/>
  <c r="G65" i="1"/>
  <c r="G64" i="1"/>
  <c r="G63" i="1"/>
  <c r="G62" i="1"/>
  <c r="G61" i="1"/>
  <c r="G60" i="1"/>
  <c r="G59" i="1"/>
  <c r="G58" i="1"/>
  <c r="G57" i="1"/>
  <c r="G56" i="1"/>
  <c r="H55" i="1"/>
  <c r="G55" i="1"/>
  <c r="G52" i="1"/>
  <c r="G51" i="1"/>
  <c r="G50" i="1"/>
  <c r="G49" i="1"/>
  <c r="G48" i="1"/>
  <c r="G47" i="1"/>
  <c r="G46" i="1"/>
  <c r="G45" i="1"/>
  <c r="G44" i="1"/>
  <c r="H43" i="1"/>
  <c r="G43" i="1"/>
  <c r="G42" i="1"/>
  <c r="G41" i="1"/>
  <c r="G40" i="1"/>
  <c r="G39" i="1"/>
  <c r="G38" i="1"/>
  <c r="G37" i="1"/>
  <c r="G36" i="1"/>
  <c r="G35" i="1"/>
  <c r="H34" i="1"/>
  <c r="G34" i="1"/>
  <c r="G33" i="1"/>
  <c r="G32" i="1"/>
  <c r="G31" i="1"/>
  <c r="G30" i="1"/>
  <c r="G29" i="1"/>
  <c r="G28" i="1"/>
  <c r="G27" i="1"/>
  <c r="H26" i="1"/>
  <c r="G26" i="1"/>
  <c r="G25" i="1"/>
  <c r="G24" i="1"/>
  <c r="G23" i="1"/>
  <c r="G22" i="1"/>
  <c r="G21" i="1"/>
  <c r="G20" i="1"/>
  <c r="G19" i="1"/>
  <c r="G18" i="1"/>
  <c r="G17" i="1"/>
  <c r="H16" i="1"/>
  <c r="G16" i="1"/>
  <c r="I84" i="1"/>
  <c r="I83" i="1"/>
  <c r="I82" i="1"/>
  <c r="I81" i="1"/>
  <c r="I80" i="1"/>
  <c r="I79" i="1"/>
  <c r="I78" i="1"/>
  <c r="D87" i="1"/>
  <c r="D86" i="1"/>
  <c r="D85" i="1"/>
  <c r="D84" i="1"/>
  <c r="D83" i="1"/>
  <c r="D82" i="1"/>
  <c r="D81" i="1"/>
  <c r="D80" i="1"/>
  <c r="D79" i="1"/>
  <c r="D78" i="1"/>
  <c r="H6" i="1"/>
  <c r="G15" i="1"/>
  <c r="G14" i="1"/>
  <c r="G13" i="1"/>
  <c r="G12" i="1"/>
  <c r="G11" i="1"/>
  <c r="G10" i="1"/>
  <c r="G9" i="1"/>
  <c r="G8" i="1"/>
  <c r="G7" i="1"/>
  <c r="G6" i="1"/>
  <c r="B75" i="1"/>
  <c r="F85" i="1"/>
  <c r="C89" i="1"/>
  <c r="A87" i="1" l="1"/>
  <c r="A86" i="1"/>
  <c r="A85" i="1"/>
  <c r="A84" i="1"/>
  <c r="A83" i="1"/>
  <c r="A82" i="1"/>
  <c r="A81" i="1"/>
  <c r="A80" i="1"/>
  <c r="A79" i="1"/>
  <c r="A78" i="1"/>
  <c r="B74" i="1"/>
  <c r="B73" i="1"/>
  <c r="B72" i="1"/>
  <c r="B71" i="1"/>
  <c r="B70" i="1"/>
  <c r="B69" i="1"/>
  <c r="B68" i="1"/>
  <c r="B67" i="1"/>
  <c r="B66" i="1"/>
  <c r="B65" i="1"/>
  <c r="B64" i="1"/>
  <c r="B63" i="1"/>
  <c r="B62" i="1"/>
  <c r="B61" i="1"/>
  <c r="B60" i="1"/>
  <c r="B59" i="1"/>
  <c r="B58" i="1"/>
  <c r="B57" i="1"/>
  <c r="B56" i="1"/>
  <c r="B55"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1" i="1"/>
  <c r="B10" i="1"/>
  <c r="B9" i="1"/>
  <c r="B8" i="1"/>
  <c r="B7" i="1"/>
  <c r="B6" i="1"/>
</calcChain>
</file>

<file path=xl/sharedStrings.xml><?xml version="1.0" encoding="utf-8"?>
<sst xmlns="http://schemas.openxmlformats.org/spreadsheetml/2006/main" count="1087" uniqueCount="212">
  <si>
    <t>生活</t>
    <phoneticPr fontId="1"/>
  </si>
  <si>
    <t>算数</t>
    <rPh sb="0" eb="2">
      <t>サンスウ</t>
    </rPh>
    <phoneticPr fontId="1"/>
  </si>
  <si>
    <t>図工</t>
    <rPh sb="0" eb="2">
      <t>ズコウ</t>
    </rPh>
    <phoneticPr fontId="1"/>
  </si>
  <si>
    <t>体育</t>
    <rPh sb="0" eb="2">
      <t>タイイク</t>
    </rPh>
    <phoneticPr fontId="1"/>
  </si>
  <si>
    <t>音楽</t>
    <rPh sb="0" eb="2">
      <t>オンガク</t>
    </rPh>
    <phoneticPr fontId="1"/>
  </si>
  <si>
    <t>教科</t>
    <rPh sb="0" eb="2">
      <t>キョウカ</t>
    </rPh>
    <phoneticPr fontId="1"/>
  </si>
  <si>
    <t>学習目標</t>
    <rPh sb="0" eb="2">
      <t>ガクシュウ</t>
    </rPh>
    <rPh sb="2" eb="4">
      <t>モクヒョウ</t>
    </rPh>
    <phoneticPr fontId="1"/>
  </si>
  <si>
    <t>評価</t>
    <rPh sb="0" eb="2">
      <t>ヒョウカ</t>
    </rPh>
    <phoneticPr fontId="1"/>
  </si>
  <si>
    <t>評定</t>
    <rPh sb="0" eb="2">
      <t>ヒョウテイ</t>
    </rPh>
    <phoneticPr fontId="1"/>
  </si>
  <si>
    <t>国語</t>
    <rPh sb="0" eb="2">
      <t>コクゴ</t>
    </rPh>
    <phoneticPr fontId="1"/>
  </si>
  <si>
    <t>英語</t>
    <rPh sb="0" eb="2">
      <t>エイゴ</t>
    </rPh>
    <phoneticPr fontId="1"/>
  </si>
  <si>
    <t>出欠の状況</t>
    <rPh sb="0" eb="2">
      <t>シュッケツ</t>
    </rPh>
    <rPh sb="3" eb="5">
      <t>ジョウキョウ</t>
    </rPh>
    <phoneticPr fontId="1"/>
  </si>
  <si>
    <t>総合所見</t>
    <rPh sb="0" eb="2">
      <t>ソウゴウ</t>
    </rPh>
    <rPh sb="2" eb="4">
      <t>ショケン</t>
    </rPh>
    <phoneticPr fontId="1"/>
  </si>
  <si>
    <t xml:space="preserve"> 授業日数</t>
    <rPh sb="1" eb="3">
      <t>ジュギョウ</t>
    </rPh>
    <rPh sb="3" eb="5">
      <t>ニッスウ</t>
    </rPh>
    <phoneticPr fontId="1"/>
  </si>
  <si>
    <t xml:space="preserve"> 忌引・停止</t>
    <rPh sb="1" eb="3">
      <t>キビ</t>
    </rPh>
    <rPh sb="4" eb="6">
      <t>テイシ</t>
    </rPh>
    <phoneticPr fontId="1"/>
  </si>
  <si>
    <t xml:space="preserve"> 出席日数</t>
    <rPh sb="1" eb="3">
      <t>シュッセキ</t>
    </rPh>
    <rPh sb="3" eb="5">
      <t>ニッスウ</t>
    </rPh>
    <phoneticPr fontId="1"/>
  </si>
  <si>
    <t xml:space="preserve"> 遅刻</t>
    <rPh sb="1" eb="3">
      <t>チコク</t>
    </rPh>
    <phoneticPr fontId="1"/>
  </si>
  <si>
    <t xml:space="preserve"> 早退</t>
    <rPh sb="1" eb="3">
      <t>ソウタイ</t>
    </rPh>
    <phoneticPr fontId="1"/>
  </si>
  <si>
    <t>氏名</t>
    <rPh sb="0" eb="1">
      <t>シ</t>
    </rPh>
    <rPh sb="1" eb="2">
      <t>メイ</t>
    </rPh>
    <phoneticPr fontId="1"/>
  </si>
  <si>
    <t>No.</t>
    <phoneticPr fontId="1"/>
  </si>
  <si>
    <t>学習の様子　　　A:目標に到達できた　B:おおよそ目標に到達できた　C:目標に達するよう努力しよう</t>
    <rPh sb="0" eb="2">
      <t>ガクシュウ</t>
    </rPh>
    <rPh sb="3" eb="5">
      <t>ヨウス</t>
    </rPh>
    <rPh sb="10" eb="12">
      <t>モクヒョウ</t>
    </rPh>
    <rPh sb="13" eb="15">
      <t>トウタツ</t>
    </rPh>
    <rPh sb="25" eb="27">
      <t>モクヒョウ</t>
    </rPh>
    <rPh sb="28" eb="30">
      <t>トウタツ</t>
    </rPh>
    <rPh sb="36" eb="38">
      <t>モクヒョウ</t>
    </rPh>
    <rPh sb="39" eb="40">
      <t>タッ</t>
    </rPh>
    <phoneticPr fontId="1"/>
  </si>
  <si>
    <t xml:space="preserve"> 出席しなければならない日数</t>
    <rPh sb="1" eb="3">
      <t>シュッセキ</t>
    </rPh>
    <rPh sb="12" eb="14">
      <t>ニッスウ</t>
    </rPh>
    <phoneticPr fontId="1"/>
  </si>
  <si>
    <t xml:space="preserve"> 欠席日数</t>
    <rPh sb="1" eb="3">
      <t>ケッセキ</t>
    </rPh>
    <rPh sb="3" eb="5">
      <t>ニッスウ</t>
    </rPh>
    <phoneticPr fontId="1"/>
  </si>
  <si>
    <r>
      <t>行動のようす</t>
    </r>
    <r>
      <rPr>
        <sz val="9"/>
        <rFont val="ＭＳ Ｐ明朝"/>
        <family val="1"/>
        <charset val="128"/>
      </rPr>
      <t>　A:十分　B:普通　C:不足</t>
    </r>
    <phoneticPr fontId="1"/>
  </si>
  <si>
    <t>特別活動</t>
    <phoneticPr fontId="1"/>
  </si>
  <si>
    <t>道徳</t>
    <rPh sb="0" eb="2">
      <t>ドウトク</t>
    </rPh>
    <phoneticPr fontId="1"/>
  </si>
  <si>
    <t>※注意※
この欄の名前は変更不可</t>
  </si>
  <si>
    <t>A～C</t>
  </si>
  <si>
    <t>１～５</t>
  </si>
  <si>
    <t>氏名</t>
  </si>
  <si>
    <t>今学期の様子（教科担任から学級担任へ）</t>
  </si>
  <si>
    <t>文字数</t>
    <rPh sb="0" eb="3">
      <t>もじすう</t>
    </rPh>
    <phoneticPr fontId="10" type="Hiragana" alignment="distributed"/>
  </si>
  <si>
    <t>行動の様子</t>
  </si>
  <si>
    <t>この項目は適宜変更して下さい。
※注意※
ただし、項目は１０個まで、少ない場合も行削除厳禁。</t>
  </si>
  <si>
    <t>特別活動 ※注意※改行せず、続けて文章を書いて下さい。</t>
  </si>
  <si>
    <t xml:space="preserve"> 授業日数</t>
  </si>
  <si>
    <t xml:space="preserve"> 忌引・停止</t>
  </si>
  <si>
    <t xml:space="preserve"> 出席しなければならない日数（自動計算）</t>
  </si>
  <si>
    <t xml:space="preserve"> 遅刻</t>
  </si>
  <si>
    <t xml:space="preserve"> 早退</t>
  </si>
  <si>
    <t>備考　欠席・遅刻・早退の理由。「日」はつけない。　　　　　　※注意※改行せず、続けて文章を書いて下さい。</t>
  </si>
  <si>
    <t>印刷範囲</t>
    <rPh sb="0" eb="2">
      <t>インサツ</t>
    </rPh>
    <rPh sb="2" eb="4">
      <t>ハンイ</t>
    </rPh>
    <phoneticPr fontId="1"/>
  </si>
  <si>
    <t>自</t>
    <rPh sb="0" eb="1">
      <t>ジ</t>
    </rPh>
    <phoneticPr fontId="1"/>
  </si>
  <si>
    <t>至</t>
    <rPh sb="0" eb="1">
      <t>イタ</t>
    </rPh>
    <phoneticPr fontId="1"/>
  </si>
  <si>
    <t>No.</t>
    <phoneticPr fontId="1"/>
  </si>
  <si>
    <t>所見</t>
    <rPh sb="0" eb="2">
      <t>ショケン</t>
    </rPh>
    <phoneticPr fontId="1"/>
  </si>
  <si>
    <t>生活</t>
    <phoneticPr fontId="1"/>
  </si>
  <si>
    <t>心身の健康に気をつけ、進んで運動をし、元気に生活することができる</t>
  </si>
  <si>
    <t>良いと思うことは進んで行い、最後まで頑張ることができる</t>
  </si>
  <si>
    <t>自然に親しみ、生きているものに優しく接することができる</t>
  </si>
  <si>
    <t>手伝いや仕事を進んで行うことができる</t>
  </si>
  <si>
    <t>簡単な事柄を整理して、表やグラフに表したり、読んだりすることができる</t>
  </si>
  <si>
    <t>２けたの数のたし算を、筆算を使って計算することができる</t>
  </si>
  <si>
    <t>２けたの数のひき算を、筆算を使って計算することができる</t>
  </si>
  <si>
    <r>
      <t xml:space="preserve">学年
</t>
    </r>
    <r>
      <rPr>
        <sz val="9"/>
        <rFont val="ＭＳ Ｐ明朝"/>
        <family val="1"/>
        <charset val="128"/>
      </rPr>
      <t>(3学期)</t>
    </r>
    <rPh sb="5" eb="7">
      <t>ガッキ</t>
    </rPh>
    <phoneticPr fontId="1"/>
  </si>
  <si>
    <t>国語に関心を持ち、進んで読んだり、書いたりすることができる</t>
  </si>
  <si>
    <t>語のまとまりや言葉の響きなどに気をつけて音読や発表をすることができる</t>
  </si>
  <si>
    <t>大事なことを落とさないように聞いたり話したりすることができる</t>
  </si>
  <si>
    <t>物語文を読んで、場面の様子を想像したり、内容を読み取ったりすることができる</t>
  </si>
  <si>
    <t>説明文の内容を、順を追って整理したり、理解したりすることができる</t>
  </si>
  <si>
    <t>学習した漢字を読んだり書いたりすることができる</t>
  </si>
  <si>
    <t>算数に関心を持ち、進んで学習に取り組むことができる</t>
  </si>
  <si>
    <t>長さの単位ｃｍ、ｍｍについて理解し、ものさしを使って、長さを測ったり直線をかいたりできる</t>
  </si>
  <si>
    <t>１０００までの数の読み方、書き方やしくみ、大小などを理解し、何十や何百のたし算・ひき算ができる</t>
  </si>
  <si>
    <t>進んで学習に取り組むことができる</t>
    <rPh sb="0" eb="1">
      <t>スス</t>
    </rPh>
    <rPh sb="3" eb="5">
      <t>ガクシュウ</t>
    </rPh>
    <rPh sb="6" eb="7">
      <t>ト</t>
    </rPh>
    <rPh sb="8" eb="9">
      <t>ク</t>
    </rPh>
    <phoneticPr fontId="1"/>
  </si>
  <si>
    <t>野菜を育て、観察することを通して、その成長に気づくことができる</t>
    <rPh sb="0" eb="2">
      <t>ヤサイ</t>
    </rPh>
    <rPh sb="3" eb="4">
      <t>ソダ</t>
    </rPh>
    <rPh sb="6" eb="8">
      <t>カンサツ</t>
    </rPh>
    <rPh sb="13" eb="14">
      <t>トオ</t>
    </rPh>
    <rPh sb="19" eb="21">
      <t>セイチョウ</t>
    </rPh>
    <rPh sb="22" eb="23">
      <t>キ</t>
    </rPh>
    <phoneticPr fontId="1"/>
  </si>
  <si>
    <t>身近な材料で作るものについてイメージを広げ、作りたいものを考えることができる</t>
    <rPh sb="0" eb="2">
      <t>ミヂカ</t>
    </rPh>
    <rPh sb="3" eb="5">
      <t>ザイリョウ</t>
    </rPh>
    <rPh sb="6" eb="7">
      <t>ツク</t>
    </rPh>
    <rPh sb="19" eb="20">
      <t>ヒロ</t>
    </rPh>
    <rPh sb="22" eb="23">
      <t>ツク</t>
    </rPh>
    <rPh sb="29" eb="30">
      <t>カンガ</t>
    </rPh>
    <phoneticPr fontId="1"/>
  </si>
  <si>
    <t>身の回りにあるもの（名詞）、日常生活の動作（動詞）、人や物を説明する言葉（形容詞）を習得することができる</t>
  </si>
  <si>
    <t>単語の発音を予想して読むことができる</t>
  </si>
  <si>
    <t>単語の音を聞いて、つづりを予想して書くことができる</t>
  </si>
  <si>
    <t>英語学習に楽しみを感じ、意欲的に学習に励むことができる</t>
  </si>
  <si>
    <t>観察したことを記録する文章を書いたり、組み立てを考えて文章を書いたりすることができる</t>
  </si>
  <si>
    <t>漢字の同じ部分に着目したり、丸、点、かぎの使い方を理解したりすることができる</t>
  </si>
  <si>
    <t>学習した漢字や平仮名を、形に注意しながら丁寧に書くことができる</t>
  </si>
  <si>
    <t>上級生として１年生のことを考えながら、学校案内のための活動をすることができる</t>
    <rPh sb="0" eb="3">
      <t>ジョウキュウセイ</t>
    </rPh>
    <rPh sb="7" eb="9">
      <t>ネンセイ</t>
    </rPh>
    <rPh sb="13" eb="14">
      <t>カンガ</t>
    </rPh>
    <rPh sb="19" eb="21">
      <t>ガッコウ</t>
    </rPh>
    <rPh sb="21" eb="23">
      <t>アンナイ</t>
    </rPh>
    <rPh sb="27" eb="29">
      <t>カツドウ</t>
    </rPh>
    <phoneticPr fontId="1"/>
  </si>
  <si>
    <t>A</t>
    <phoneticPr fontId="1"/>
  </si>
  <si>
    <t>大きな声ではっきりと自分からあいさつや返事をすることができる</t>
  </si>
  <si>
    <t>時間やきまりを守り、規則正しい生活をすることができる</t>
  </si>
  <si>
    <t>必要な持ち物を準備でき、きれいに整理整頓をすることができる</t>
  </si>
  <si>
    <t>この項目は適宜変更して下さい。
※注意※
ただし、項目数は１０個まで。仮に少ない場合も行の削除は絶対に行わないで下さい。</t>
    <phoneticPr fontId="1"/>
  </si>
  <si>
    <t>市田 琴春</t>
  </si>
  <si>
    <t>伊藤 百音</t>
  </si>
  <si>
    <t>岩下 美音</t>
  </si>
  <si>
    <t>大澤 涼真</t>
  </si>
  <si>
    <t>笠原 由楓</t>
  </si>
  <si>
    <t>芝田 人慈</t>
  </si>
  <si>
    <t>菅谷 彩桜</t>
  </si>
  <si>
    <t>中川 杏</t>
  </si>
  <si>
    <t>原田 絢匡</t>
  </si>
  <si>
    <t>藤本 慎士</t>
  </si>
  <si>
    <t>古畑 睦季</t>
  </si>
  <si>
    <t>三澤 昊來</t>
  </si>
  <si>
    <t>吉村 騰堂</t>
  </si>
  <si>
    <t>問題を読み、式や図を書いて解き方を示し、文章題を正しく解くことができる</t>
    <rPh sb="0" eb="2">
      <t>モンダイ</t>
    </rPh>
    <rPh sb="3" eb="4">
      <t>ヨ</t>
    </rPh>
    <rPh sb="6" eb="7">
      <t>シキ</t>
    </rPh>
    <rPh sb="8" eb="9">
      <t>ズ</t>
    </rPh>
    <rPh sb="10" eb="11">
      <t>カ</t>
    </rPh>
    <rPh sb="13" eb="14">
      <t>ト</t>
    </rPh>
    <rPh sb="15" eb="16">
      <t>カタ</t>
    </rPh>
    <rPh sb="17" eb="18">
      <t>シメ</t>
    </rPh>
    <rPh sb="20" eb="23">
      <t>ブンショウダイ</t>
    </rPh>
    <rPh sb="24" eb="25">
      <t>タダ</t>
    </rPh>
    <rPh sb="27" eb="28">
      <t>ト</t>
    </rPh>
    <phoneticPr fontId="1"/>
  </si>
  <si>
    <t>・学校案内の振り返りでは、１年生に教えることによって、自分達も今までよりも学校のことがよく分かるようになったと発言。自分の成長を感じているようであった。・ミニトマトの観察では、成長の様子をいろいろな視点から見て、詳しく記録することができた。</t>
    <rPh sb="1" eb="3">
      <t>ガッコウ</t>
    </rPh>
    <rPh sb="3" eb="5">
      <t>アンナイ</t>
    </rPh>
    <rPh sb="83" eb="85">
      <t>カンサツ</t>
    </rPh>
    <rPh sb="88" eb="90">
      <t>セイチョウ</t>
    </rPh>
    <rPh sb="91" eb="93">
      <t>ヨウス</t>
    </rPh>
    <rPh sb="99" eb="101">
      <t>シテン</t>
    </rPh>
    <rPh sb="103" eb="104">
      <t>ミ</t>
    </rPh>
    <rPh sb="106" eb="107">
      <t>クワ</t>
    </rPh>
    <rPh sb="109" eb="111">
      <t>キロク</t>
    </rPh>
    <phoneticPr fontId="1"/>
  </si>
  <si>
    <t>・さいきょう商店街の準備で、１年生へのアンケートをとりに行った時には、皆の代表としてしっかりと挨拶をすることができた。</t>
    <rPh sb="6" eb="9">
      <t>ショウテンガイ</t>
    </rPh>
    <rPh sb="10" eb="12">
      <t>ジュンビ</t>
    </rPh>
    <rPh sb="15" eb="17">
      <t>ネンセイ</t>
    </rPh>
    <rPh sb="28" eb="29">
      <t>イ</t>
    </rPh>
    <rPh sb="31" eb="32">
      <t>トキ</t>
    </rPh>
    <rPh sb="35" eb="36">
      <t>ミナ</t>
    </rPh>
    <rPh sb="37" eb="39">
      <t>ダイヒョウ</t>
    </rPh>
    <rPh sb="47" eb="49">
      <t>アイサツ</t>
    </rPh>
    <phoneticPr fontId="1"/>
  </si>
  <si>
    <t>学習した表現を用いて、自己紹介のスピーチをすることができる。</t>
  </si>
  <si>
    <t>授業の活動に意欲的に取り組むことができる</t>
    <rPh sb="6" eb="8">
      <t>イヨク</t>
    </rPh>
    <phoneticPr fontId="1"/>
  </si>
  <si>
    <t>メロディーを正しい音程で歌い、のびやかな表現ができる</t>
    <rPh sb="6" eb="7">
      <t>タダ</t>
    </rPh>
    <rPh sb="12" eb="13">
      <t>ウタ</t>
    </rPh>
    <rPh sb="20" eb="22">
      <t>ヒョウゲン</t>
    </rPh>
    <phoneticPr fontId="1"/>
  </si>
  <si>
    <t>鍵盤ハーモニカで楽曲（喜びの歌）を、正しい指使い・リズム・音程で楽曲を奏でることができる</t>
    <rPh sb="8" eb="10">
      <t>ガッキョク</t>
    </rPh>
    <rPh sb="11" eb="12">
      <t>ヨロコ</t>
    </rPh>
    <rPh sb="14" eb="15">
      <t>ウタ</t>
    </rPh>
    <rPh sb="29" eb="31">
      <t>オンテイ</t>
    </rPh>
    <phoneticPr fontId="1"/>
  </si>
  <si>
    <t>提示した音を聴き取り、和音を聴き分けることができる</t>
    <rPh sb="11" eb="13">
      <t>ワオン</t>
    </rPh>
    <rPh sb="14" eb="15">
      <t>キ</t>
    </rPh>
    <rPh sb="16" eb="17">
      <t>ワ</t>
    </rPh>
    <phoneticPr fontId="1"/>
  </si>
  <si>
    <t>積極的に真面目に授業を受けています。のどの奥を開けて、のびやかな歌唱ができるようにこれから練習を重ねていきましょう。</t>
    <rPh sb="0" eb="3">
      <t>セッキョクテキ</t>
    </rPh>
    <rPh sb="4" eb="7">
      <t>マジメ</t>
    </rPh>
    <rPh sb="8" eb="10">
      <t>ジュギョウ</t>
    </rPh>
    <rPh sb="11" eb="12">
      <t>ウ</t>
    </rPh>
    <rPh sb="21" eb="22">
      <t>オク</t>
    </rPh>
    <rPh sb="23" eb="24">
      <t>ア</t>
    </rPh>
    <rPh sb="32" eb="34">
      <t>カショウ</t>
    </rPh>
    <rPh sb="45" eb="47">
      <t>レンシュウ</t>
    </rPh>
    <rPh sb="48" eb="49">
      <t>カサ</t>
    </rPh>
    <phoneticPr fontId="1"/>
  </si>
  <si>
    <t>積極的に真面目に授業を受けています。音の聴きとりはあと少しで正確に聴きとれそうです。頑張っていきましょう。</t>
    <rPh sb="0" eb="3">
      <t>セッキョクテキ</t>
    </rPh>
    <rPh sb="4" eb="7">
      <t>マジメ</t>
    </rPh>
    <rPh sb="8" eb="10">
      <t>ジュギョウ</t>
    </rPh>
    <rPh sb="11" eb="12">
      <t>ウ</t>
    </rPh>
    <rPh sb="18" eb="19">
      <t>オト</t>
    </rPh>
    <rPh sb="20" eb="21">
      <t>キ</t>
    </rPh>
    <rPh sb="27" eb="28">
      <t>スコ</t>
    </rPh>
    <rPh sb="30" eb="32">
      <t>セイカク</t>
    </rPh>
    <rPh sb="33" eb="34">
      <t>キ</t>
    </rPh>
    <rPh sb="42" eb="44">
      <t>ガンバ</t>
    </rPh>
    <phoneticPr fontId="1"/>
  </si>
  <si>
    <t>運動遊びの行い方を工夫するとともに、考えたことを他者に伝えることができる</t>
    <rPh sb="0" eb="3">
      <t>ウンドウアソ</t>
    </rPh>
    <rPh sb="5" eb="6">
      <t>オコナ</t>
    </rPh>
    <rPh sb="7" eb="8">
      <t>カタ</t>
    </rPh>
    <rPh sb="9" eb="11">
      <t>クフウ</t>
    </rPh>
    <rPh sb="18" eb="19">
      <t>カンガ</t>
    </rPh>
    <rPh sb="24" eb="26">
      <t>タシャ</t>
    </rPh>
    <rPh sb="27" eb="28">
      <t>ツタ</t>
    </rPh>
    <phoneticPr fontId="1"/>
  </si>
  <si>
    <t>決まりを守り、誰とでも仲よく意欲的に運動ができる</t>
    <rPh sb="0" eb="1">
      <t>キ</t>
    </rPh>
    <rPh sb="4" eb="5">
      <t>マモ</t>
    </rPh>
    <rPh sb="7" eb="8">
      <t>ダレ</t>
    </rPh>
    <rPh sb="11" eb="12">
      <t>ナカ</t>
    </rPh>
    <rPh sb="14" eb="17">
      <t>イヨクテキ</t>
    </rPh>
    <rPh sb="18" eb="20">
      <t>ウンドウ</t>
    </rPh>
    <phoneticPr fontId="1"/>
  </si>
  <si>
    <t>全身を使って、力強く走ることができる（かけっこ）</t>
    <rPh sb="0" eb="2">
      <t>ゼンシン</t>
    </rPh>
    <rPh sb="3" eb="4">
      <t>ツカ</t>
    </rPh>
    <rPh sb="7" eb="9">
      <t>チカラツヨ</t>
    </rPh>
    <rPh sb="10" eb="11">
      <t>ハシ</t>
    </rPh>
    <phoneticPr fontId="1"/>
  </si>
  <si>
    <t>タイミングを合わせたバトンパスができる（リレー）</t>
    <rPh sb="6" eb="7">
      <t>ア</t>
    </rPh>
    <phoneticPr fontId="1"/>
  </si>
  <si>
    <t>簡単なボール操作と攻めや守りの動きができる（ボールゲーム）</t>
    <rPh sb="0" eb="2">
      <t>カンタン</t>
    </rPh>
    <rPh sb="6" eb="8">
      <t>ソウサ</t>
    </rPh>
    <rPh sb="9" eb="10">
      <t>セ</t>
    </rPh>
    <rPh sb="12" eb="13">
      <t>マモ</t>
    </rPh>
    <rPh sb="15" eb="16">
      <t>ウゴ</t>
    </rPh>
    <phoneticPr fontId="1"/>
  </si>
  <si>
    <t>自分の学校を紹介する「わたし」の姿などを通して、自分たちの学校のいいところはどんなところかを考えさせ、学校や学級に愛着を持ち、みんなで楽しい生活をしようとする心情を育てる「しょうかいします」という単元では、ワークシートの枠いっぱいに自分の学校のいいところを書きました。特にみんなのことを意識して、みんながテキパキ行動しているところやみんなはいつもいいことがいっぱいで楽しいところが気に入っていると書き、愛着を持っている様子を発言していました。</t>
  </si>
  <si>
    <t>大好きな折り紙を研究し続け、折り紙名人となった吉澤章さんの姿などを通して、自分の好きなことや良いところに気づいたらどうするかを考えさせ、長所に気づき、それを伸ばそうとする意欲を育てる「おり紙の名人」という単元では、ワークシートの欄からはみ出るほど自分の良いところ、好きなところを探して書き、積極的に発言していました。特に英語が好きと言っているときにキラキラした表情が印象的でした。</t>
  </si>
  <si>
    <t>年度当初からほかの教科よりも積極的に発言する姿が印象的でした。特に男の子の挨拶についての父との対話から、大切なことに気づく「わたし」の姿などを通して、気持ちのいい挨拶について考えさせ、心を込めた挨拶や言葉遣い、動作などをしようとする心情を育てる「あいさつ月間」という単元では、「気持ちのいい挨拶とは」の問いにみんながあまり発言しない中、自信をもって自分の考える挨拶を発表してくれました。</t>
  </si>
  <si>
    <t>年度当初、ワークシートに記入する量が少なかったのですが、最近では枠いっぱいに記入し、積極的に発言することができています。泥だんごをめぐってけんかをしたが、その後仲直りした「ぼく」と「しんご」のやりとりなどを通して、友達と仲よくするために大切なことは何かについて考えさせ、けんかをしても、友達と仲直りしようとする判断力を育てる「けんかをしたけど」という単元では、本人になりきって思いを書くことができました。</t>
  </si>
  <si>
    <t>大好きな折り紙を研究し続け、折り紙名人となった吉澤章さんの姿などを通して、自分の好きなことや良いところに気づいたらどうするかを考えさせ、長所に気づき、それを伸ばそうとする意欲を育てる「おり紙の名人」という単元では、「自分の良いところなんかない。見つけられない。」とつぶやいていたが、教師や友達の意見を聞いている中で、自分の良さに気が付き、弟と遊ぶことが好きということやなんでも挑戦するところ、友達にやさしくするところなど書くことができ、発言することができました。</t>
  </si>
  <si>
    <t>友達の作品に勝手に手を加えた「たくみ」の姿などを通して、していいことか、してはいけないことかを考えるのはどうして大切なのかを考えさせ、善悪を区別し、正しいことをしようとする判断力を育てる「角がついたかいじゅう」という単元では、その立場に立って考えることができました。その場では、多く語っていませんが、日常生活で、教室にごみが落ちていたら拾うとか、友達を気に掛けるなどみんなのお手本になる行動ができていて素晴らしいです。</t>
  </si>
  <si>
    <t>泥だんごをめぐってけんかをしたが、その後仲直りした「ぼく」と「しんご」のやりとりなどを通して、友達と仲よくするために大切なことは何かについて考えさせ、けんかをしても、友達と仲直りしようとする判断力を育てる「けんかをしたけど」という単元では、ワークシートの枠いっぱいに思いを書き、積極的に発言していました。特に「喧嘩したけど僕やっぱりー。」とつぶやいたときに思ったことを書くところでは、枠からはみ出るほど悔やんでいる思いを書き、その下にある絵に涙を描き加えて表現していました。</t>
  </si>
  <si>
    <t>年度当初から積極的に発言したり、表記することができています。特に1年生の時と2年生の時の「かなこ」の生活の様子を比べる活動などを通して、気持ちの良い生活をするために大切なことを考えさせ、わがままをしないで、健康や安全に気をつけ、規則正しい生活をしようとする意欲を育てる「2年生になって」という単元では、かなこの気持ちになって考え、ワークシートの枠からはみ出るほど、考えを書くことができ、それを発表してくれました。</t>
  </si>
  <si>
    <t>泥だんごをめぐってけんかをしたが、その後仲直りした「ぼく」と「しんご」のやりとりなどを通して、友達と仲よくするために大切なことは何かについて考えさせ、けんかをしても、友達と仲直りしようとする判断力を育てる「けんかをしたけど」という単元では、ほかの単元よりもより自分に結びつけて考えることができ、ワークシートにたくさん記入することができ、積極的に発言することができました。</t>
  </si>
  <si>
    <t>町の様子が描かれている絵などを通して、きまりをどうして守らなければならないかについて考えさせ、きまりをしっかり守ろうとする判断力を育てる「どうしてきまりがあるのかな」という単元では、きまりを守っていない人はどうしてきまりを守らないかという問いに対して、自分のことしか考えていないや自分のやりやすさを優先しているなどいろいろ考えることができ、積極的に発言することができました。</t>
  </si>
  <si>
    <t>毎回積極的に発言することができています。大好きな折り紙を研究し続け、折り紙名人となった吉澤章さんの姿などを通して、自分の好きなことや良いところに気づいたらどうするかを考えさせ、長所に気づき、それを伸ばそうとする意欲を育てる「おり紙の名人」という単元では、友達の意見を聞いて、「僕も同じ意見だ。」と気が付くことができ、付け加えることができていました。自分のいいところをどんどん出すことができました。</t>
  </si>
  <si>
    <t>A</t>
    <phoneticPr fontId="10" type="Hiragana" alignment="distributed"/>
  </si>
  <si>
    <t>B</t>
  </si>
  <si>
    <t>当番や係など、自分でやるべきことを、しっかりと行うことができる</t>
  </si>
  <si>
    <t>自分から進んで考え、工夫しながら取り組むことができる</t>
  </si>
  <si>
    <t>身近にいる人々に親切にし、誰とでも仲良く助け合うことができる</t>
  </si>
  <si>
    <t>お便り係</t>
    <rPh sb="1" eb="2">
      <t>たよ</t>
    </rPh>
    <rPh sb="3" eb="4">
      <t>がかり</t>
    </rPh>
    <phoneticPr fontId="10" type="Hiragana" alignment="distributed"/>
  </si>
  <si>
    <t>音楽係</t>
    <rPh sb="0" eb="3">
      <t>おんがくがかり</t>
    </rPh>
    <phoneticPr fontId="10" type="Hiragana" alignment="distributed"/>
  </si>
  <si>
    <t>黒板係</t>
    <rPh sb="0" eb="3">
      <t>こくばんがかり</t>
    </rPh>
    <phoneticPr fontId="10" type="Hiragana" alignment="distributed"/>
  </si>
  <si>
    <t>体育係</t>
    <rPh sb="0" eb="3">
      <t>たいいくがかり</t>
    </rPh>
    <phoneticPr fontId="10" type="Hiragana" alignment="distributed"/>
  </si>
  <si>
    <t>配り係</t>
    <rPh sb="0" eb="1">
      <t>くば</t>
    </rPh>
    <rPh sb="2" eb="3">
      <t>がかり</t>
    </rPh>
    <phoneticPr fontId="10" type="Hiragana" alignment="distributed"/>
  </si>
  <si>
    <t>生活係</t>
    <rPh sb="0" eb="3">
      <t>せいかつがかり</t>
    </rPh>
    <phoneticPr fontId="10" type="Hiragana" alignment="distributed"/>
  </si>
  <si>
    <t>整頓係</t>
    <rPh sb="0" eb="2">
      <t>せいとん</t>
    </rPh>
    <rPh sb="2" eb="3">
      <t>がかり</t>
    </rPh>
    <phoneticPr fontId="10" type="Hiragana" alignment="distributed"/>
  </si>
  <si>
    <t>図工係</t>
    <rPh sb="0" eb="3">
      <t>ずこうがかり</t>
    </rPh>
    <phoneticPr fontId="10" type="Hiragana" alignment="distributed"/>
  </si>
  <si>
    <t>日常生活において、細かなことによく気が付き、みんなのために行動することができます。それが人慈くんにとって当たり前のことになっていることが素晴らしいです。例えば他の学年が汚してしまった水道周りを進んで掃除していたり、廊下に誰がこぼしたかわからない牛乳を、自分のティッシュで拭いていたり、ゴミが落ちていたら拾ったりするなどみんなのお手本になるような姿がよく見られます。そのためクラスのみんなから慕われて尊敬されています。人慈君がお休みの日はみんな寂しそうにしています。学習面では、日頃から一生懸命学ぶ姿は学童室でも見られ、他の子の学習意欲も高めていて、素晴らしいです。英語ではいつも楽しんで積極的に取り組むことができています。そのせいか英語の力がしっかり身についてきています。図工では自信が出てきたようで、迷いなくに活動する様子が見られます。制作手順等をしっかり理解して進めることができるため、友達が困っていると声をかける姿も見られます。二学期も引き続き頑張りましょう。</t>
    <rPh sb="29" eb="31">
      <t>こうどう</t>
    </rPh>
    <rPh sb="44" eb="45">
      <t>ひと</t>
    </rPh>
    <rPh sb="45" eb="46">
      <t>じ</t>
    </rPh>
    <rPh sb="52" eb="53">
      <t>あ</t>
    </rPh>
    <rPh sb="55" eb="56">
      <t>まえ</t>
    </rPh>
    <rPh sb="68" eb="70">
      <t>すば</t>
    </rPh>
    <rPh sb="110" eb="111">
      <t>だれ</t>
    </rPh>
    <rPh sb="176" eb="177">
      <t>み</t>
    </rPh>
    <rPh sb="208" eb="209">
      <t>ひと</t>
    </rPh>
    <rPh sb="209" eb="210">
      <t>じ</t>
    </rPh>
    <rPh sb="210" eb="211">
      <t>くん</t>
    </rPh>
    <rPh sb="213" eb="214">
      <t>やす</t>
    </rPh>
    <rPh sb="216" eb="217">
      <t>ひ</t>
    </rPh>
    <rPh sb="232" eb="235">
      <t>がくしゅうめん</t>
    </rPh>
    <rPh sb="325" eb="326">
      <t>み</t>
    </rPh>
    <rPh sb="417" eb="420">
      <t>にがっき</t>
    </rPh>
    <rPh sb="421" eb="422">
      <t>ひ</t>
    </rPh>
    <rPh sb="423" eb="424">
      <t>つづ</t>
    </rPh>
    <rPh sb="425" eb="427">
      <t>がんば</t>
    </rPh>
    <phoneticPr fontId="10" type="Hiragana" alignment="distributed"/>
  </si>
  <si>
    <t>早退１（発熱１）</t>
    <rPh sb="0" eb="2">
      <t>ソウタイ</t>
    </rPh>
    <rPh sb="4" eb="6">
      <t>ハツネツ</t>
    </rPh>
    <phoneticPr fontId="1"/>
  </si>
  <si>
    <t>B</t>
    <phoneticPr fontId="1"/>
  </si>
  <si>
    <t>-</t>
    <phoneticPr fontId="1"/>
  </si>
  <si>
    <t>C</t>
    <phoneticPr fontId="1"/>
  </si>
  <si>
    <t>B</t>
    <phoneticPr fontId="10" type="Hiragana" alignment="distributed"/>
  </si>
  <si>
    <t>朝の準備をテキパキとこなし、ミニトマトの水やりに行っています。何事にもいつも真面目に取り組み、クラスの友達が喧嘩になった時、仲裁をするなどみんなで仲良くしようと頑張りました。負けず嫌いな一面もあり、間違えた問題を指摘されると、納得のいかない表情を見せることもありますが、そのおかげで粘り強く取り組むことができ、確実に力をつけていくことができています。算数の筆算でも、自主勉強をしてきて解き方を習得し、間違えず解けるようになりました。算数でも国語でも少し文章を理解することに時間がかかることがあります。わからないときは些細なことでも、聞きにくるようにしていくと、自分の思う実力につながっていくと思います。将来の夢は図工の先生とのことで、図工の授業では、意欲的に制作しています。カッターの練習もたくさん挑戦し慣れてきた様子で、窓を開けたらの単元ではいろいろな形の窓を作っていました。体育祭では、応援の演舞や歌など休み時間も友達と練習するほど頑張っていました。自主勉強も頑張っている琴春さんのことなので、二学期も更に伸びていくと思います。</t>
    <rPh sb="0" eb="1">
      <t>あさ</t>
    </rPh>
    <rPh sb="2" eb="4">
      <t>じゅんび</t>
    </rPh>
    <rPh sb="20" eb="21">
      <t>みず</t>
    </rPh>
    <rPh sb="24" eb="25">
      <t>い</t>
    </rPh>
    <rPh sb="31" eb="33">
      <t>なにごと</t>
    </rPh>
    <rPh sb="93" eb="95">
      <t>いちめん</t>
    </rPh>
    <rPh sb="200" eb="202">
      <t>まちが</t>
    </rPh>
    <rPh sb="236" eb="238">
      <t>じかん</t>
    </rPh>
    <rPh sb="317" eb="319">
      <t>ずこう</t>
    </rPh>
    <rPh sb="320" eb="322">
      <t>じゅぎょう</t>
    </rPh>
    <rPh sb="427" eb="431">
      <t>じしゅべんきょう</t>
    </rPh>
    <rPh sb="432" eb="434">
      <t>がんば</t>
    </rPh>
    <rPh sb="438" eb="439">
      <t>こと</t>
    </rPh>
    <rPh sb="439" eb="440">
      <t>はる</t>
    </rPh>
    <rPh sb="449" eb="452">
      <t>にがっき</t>
    </rPh>
    <rPh sb="453" eb="454">
      <t>さら</t>
    </rPh>
    <rPh sb="455" eb="456">
      <t>の</t>
    </rPh>
    <rPh sb="461" eb="462">
      <t>おも</t>
    </rPh>
    <phoneticPr fontId="10" type="Hiragana" alignment="distributed"/>
  </si>
  <si>
    <t>年度当初より課題に取り組む時間が速くなってきています。また、説明したばかりのことを聞き返してくることが多かったのですが、最近は授業をしっかり聞いているようで、かなり減りました。この調子で頑張りましょう。特に算数では、課題の範囲を時間内に進める努力をしています。とても良い姿です。国語のスイミーの読み取りでは積極的に発言してくれました。作文では、発想が豊かで、文章を順序建てて書くことができていて、とても楽しく読みやすいものでした。また漢字やひらがなもみんなのお手本として紹介したいほど、丁寧に書けていて素晴らしいです。得意な英語では積極的に取り組んでいます。きれいな発音していて、とても素晴らしいです。とてもできる他の人と比べてできないからと言うことがありましたが、十分できているので、自信を持ってください。図工ではゆっくりですが、丁寧に作品を作ることができました。事前に次の題材を予告しておくとよく覚えていて、家で構想を練ってくる様子も見られました。発想が自由でのびのびして素敵です。</t>
    <rPh sb="9" eb="10">
      <t>と</t>
    </rPh>
    <rPh sb="11" eb="12">
      <t>く</t>
    </rPh>
    <rPh sb="16" eb="17">
      <t>はや</t>
    </rPh>
    <rPh sb="30" eb="32">
      <t>せつめい</t>
    </rPh>
    <rPh sb="41" eb="42">
      <t>き</t>
    </rPh>
    <rPh sb="43" eb="44">
      <t>かえ</t>
    </rPh>
    <rPh sb="51" eb="52">
      <t>おお</t>
    </rPh>
    <rPh sb="60" eb="62">
      <t>さいきん</t>
    </rPh>
    <rPh sb="63" eb="65">
      <t>じゅぎょう</t>
    </rPh>
    <rPh sb="70" eb="71">
      <t>き</t>
    </rPh>
    <rPh sb="82" eb="83">
      <t>へ</t>
    </rPh>
    <rPh sb="90" eb="92">
      <t>ちょうし</t>
    </rPh>
    <rPh sb="93" eb="95">
      <t>がんば</t>
    </rPh>
    <rPh sb="246" eb="247">
      <t>か</t>
    </rPh>
    <rPh sb="307" eb="308">
      <t>ほか</t>
    </rPh>
    <rPh sb="321" eb="322">
      <t>い</t>
    </rPh>
    <rPh sb="333" eb="335">
      <t>じゅうぶん</t>
    </rPh>
    <rPh sb="343" eb="345">
      <t>じしん</t>
    </rPh>
    <rPh sb="346" eb="347">
      <t>も</t>
    </rPh>
    <rPh sb="388" eb="390">
      <t>だいざい</t>
    </rPh>
    <rPh sb="438" eb="440">
      <t>すてき</t>
    </rPh>
    <phoneticPr fontId="10" type="Hiragana" alignment="distributed"/>
  </si>
  <si>
    <t>得意な英語を中心に自信を持って発言することが増え、どの教科においても積極的に取り組んでいる姿が見られます。日頃から一生懸命学ぶ姿が学童室でも見られ、他の子の学習意欲も高めていて、素晴らしいです。国語では、以前苦手だと言っていた問題文の読み取りのとき「ここにこう書いてあるから――。」と理由をつけて発言している姿がよく見られます。また算数では、授業中に間に合わなかった問題を「家で解いてきてもいいですか。」と自ら申し出るくらい積極的に取り組み徐々に解くスピードが速くなりました。引き続きがんばりましょう。給食の配膳の際、すぐに終わってしまうときには、率先して他の人の手伝いをしてくれたり、誰もやってくれる人がいなかったときは「ぼくがやろうか？」と積極的に手伝いをしてくれたりします。トイレの個室から出られない子がいたときに、周りが大騒ぎになったところ、周りの人（上級生も含む）に対して、「静かにしてくれない？」と注意してくれました。勇気ある一言に感動してしまいました。黒板係の仕事も自ら行動して責任を果たしました。</t>
    <rPh sb="53" eb="55">
      <t>ひごろ</t>
    </rPh>
    <rPh sb="57" eb="61">
      <t>いっしょうけんめい</t>
    </rPh>
    <rPh sb="61" eb="62">
      <t>まな</t>
    </rPh>
    <rPh sb="63" eb="64">
      <t>すがた</t>
    </rPh>
    <rPh sb="65" eb="68">
      <t>がくどうしつ</t>
    </rPh>
    <rPh sb="70" eb="71">
      <t>み</t>
    </rPh>
    <rPh sb="74" eb="75">
      <t>ほか</t>
    </rPh>
    <rPh sb="76" eb="77">
      <t>こ</t>
    </rPh>
    <rPh sb="78" eb="82">
      <t>がくしゅういよく</t>
    </rPh>
    <rPh sb="83" eb="84">
      <t>たか</t>
    </rPh>
    <rPh sb="89" eb="91">
      <t>すば</t>
    </rPh>
    <rPh sb="115" eb="116">
      <t>ぶん</t>
    </rPh>
    <rPh sb="117" eb="118">
      <t>よ</t>
    </rPh>
    <rPh sb="119" eb="120">
      <t>と</t>
    </rPh>
    <rPh sb="203" eb="204">
      <t>みずか</t>
    </rPh>
    <rPh sb="205" eb="206">
      <t>もう</t>
    </rPh>
    <rPh sb="207" eb="208">
      <t>で</t>
    </rPh>
    <rPh sb="216" eb="217">
      <t>と</t>
    </rPh>
    <rPh sb="218" eb="219">
      <t>く</t>
    </rPh>
    <rPh sb="238" eb="239">
      <t>ひ</t>
    </rPh>
    <rPh sb="240" eb="241">
      <t>つづ</t>
    </rPh>
    <rPh sb="254" eb="256">
      <t>はいぜん</t>
    </rPh>
    <rPh sb="257" eb="258">
      <t>さい</t>
    </rPh>
    <rPh sb="262" eb="263">
      <t>お</t>
    </rPh>
    <rPh sb="274" eb="276">
      <t>そっせん</t>
    </rPh>
    <rPh sb="278" eb="279">
      <t>ほか</t>
    </rPh>
    <rPh sb="280" eb="281">
      <t>ひと</t>
    </rPh>
    <rPh sb="282" eb="284">
      <t>てつだ</t>
    </rPh>
    <rPh sb="293" eb="294">
      <t>だれ</t>
    </rPh>
    <rPh sb="301" eb="302">
      <t>ひと</t>
    </rPh>
    <rPh sb="322" eb="325">
      <t>せっきょくてき</t>
    </rPh>
    <rPh sb="326" eb="328">
      <t>てつだ</t>
    </rPh>
    <rPh sb="415" eb="417">
      <t>ゆうき</t>
    </rPh>
    <rPh sb="419" eb="421">
      <t>ひとこと</t>
    </rPh>
    <rPh sb="422" eb="424">
      <t>かんどう</t>
    </rPh>
    <rPh sb="442" eb="444">
      <t>こうどう</t>
    </rPh>
    <rPh sb="446" eb="448">
      <t>せきにん</t>
    </rPh>
    <rPh sb="449" eb="450">
      <t>は</t>
    </rPh>
    <phoneticPr fontId="10" type="Hiragana" alignment="distributed"/>
  </si>
  <si>
    <t>休み時間、友達と楽しく遊んでいます。学習面では、全ての授業において、集中できているため、課題をサッとこなすことができています。速いにもかかわらず、丁寧な字で書けていてとても良いです。国語の「スイミー」では、自分の意見を教科書の部分を指し示して論理的に、みんなの方を向いて説明することができていて、素晴らしかったです。算数では特に熱心に取り組み、やるべき課題を着実に終わらせることができています。ケアレスミスが、普段の授業でも少しあるので、それを直していくと確実に点数に結びつくと思います。その都度見直しをすることを習慣にしていきましょう。英語の授業でも楽しんで発音して頑張っており、わからないところを積極的に聞く姿がみられます。図工では、どの題材も楽しく取り組むことができました。可愛らしい作品を作っています。「電車でGO」の単元では、友達に声をかけては一緒に取り組む様子が見られました。教室にいるの担任ところまで線路を張り巡らして楽しんでいました。給食でも友達と一緒に頑張りながら食べています。</t>
    <rPh sb="0" eb="1">
      <t>やす</t>
    </rPh>
    <rPh sb="2" eb="4">
      <t>じかん</t>
    </rPh>
    <rPh sb="5" eb="7">
      <t>ともだち</t>
    </rPh>
    <rPh sb="8" eb="9">
      <t>たの</t>
    </rPh>
    <rPh sb="11" eb="12">
      <t>あそ</t>
    </rPh>
    <rPh sb="18" eb="21">
      <t>がくしゅうめん</t>
    </rPh>
    <rPh sb="34" eb="36">
      <t>しゅうちゅう</t>
    </rPh>
    <rPh sb="73" eb="75">
      <t>ていねい</t>
    </rPh>
    <rPh sb="86" eb="87">
      <t>よ</t>
    </rPh>
    <rPh sb="113" eb="115">
      <t>ぶぶん</t>
    </rPh>
    <rPh sb="116" eb="119">
      <t>さししめ</t>
    </rPh>
    <rPh sb="121" eb="124">
      <t>ろんりてき</t>
    </rPh>
    <rPh sb="162" eb="163">
      <t>とく</t>
    </rPh>
    <rPh sb="234" eb="235">
      <t>むす</t>
    </rPh>
    <rPh sb="246" eb="248">
      <t>つど</t>
    </rPh>
    <rPh sb="257" eb="259">
      <t>しゅうかん</t>
    </rPh>
    <rPh sb="363" eb="365">
      <t>たんげん</t>
    </rPh>
    <rPh sb="425" eb="427">
      <t>きゅうしょく</t>
    </rPh>
    <rPh sb="429" eb="431">
      <t>ともだち</t>
    </rPh>
    <rPh sb="432" eb="434">
      <t>いっしょ</t>
    </rPh>
    <rPh sb="435" eb="437">
      <t>がんば</t>
    </rPh>
    <rPh sb="441" eb="442">
      <t>た</t>
    </rPh>
    <phoneticPr fontId="10" type="Hiragana" alignment="distributed"/>
  </si>
  <si>
    <t>国語の「あったらいいなこんなもの」の発表では、声が小さくなりがちでしたが、友達の質問に対してはすぐに考え、はっきりと答えることができていました。しっかりと自分の考えを持つことができていて素晴らしいです。また友達の発表に疑問に感じたことを積極的に質問していました。算数でも、積極的に発言したり、問題に取り組んだりしています。力があるのにミスをして点数を落としているので、日ごろの問題演習の時も落ち着いて見直しをしていくと、もっと早く正確に課題が終わります。計算名人では徐々に正答率、スピードともに上がって来ています。この調子で頑張りましょう。図工では、自分の思いがしっかりとあり、いろいろ思考しながら制作しています。この先、技能面のレベルも上がってくると、よりイメージ通りの作品が完成できるのではないかと考えています。給食では、最近はおかわりをするようになり、みんなにいい影響を与えています。掃除の箒では、仕上げをする必要がないくらいキレイに箒をかけることができ、みんなのお手本になっています。</t>
    <rPh sb="112" eb="113">
      <t>かん</t>
    </rPh>
    <rPh sb="161" eb="162">
      <t>ちから</t>
    </rPh>
    <rPh sb="172" eb="174">
      <t>てんすう</t>
    </rPh>
    <rPh sb="175" eb="176">
      <t>お</t>
    </rPh>
    <rPh sb="195" eb="196">
      <t>お</t>
    </rPh>
    <rPh sb="197" eb="198">
      <t>つ</t>
    </rPh>
    <rPh sb="358" eb="360">
      <t>きゅうしょく</t>
    </rPh>
    <rPh sb="363" eb="365">
      <t>さいきん</t>
    </rPh>
    <rPh sb="385" eb="387">
      <t>えいきょう</t>
    </rPh>
    <rPh sb="388" eb="389">
      <t>あた</t>
    </rPh>
    <phoneticPr fontId="10" type="Hiragana" alignment="distributed"/>
  </si>
  <si>
    <t>年度当初、行動に時間がかかり、課題を終えるができないことがありましたが、道徳の授業で発言をしたり、自分の意見を書いたりすることのハードルが徐々に下がってきて、時間内に課題を終えることができるようになってきました。また、自信がない時でも、まずは手を挙げて発言をする姿も見られるようになりました。漢字では丁寧に書いて時間内に間に合うことができるようになりました。算数では、以前は筆算をせず間違えていた問題も今は筆算をして確実に解けるようになりました。素晴らしいですね。英語では単語を見て読むことができていないので、覚えていない単語をチェックして繰り返し覚えるようにしていきましょう。音楽では積極的かつ真面目に授業を受けています。音の聴きとりはあと少しで正確に聴きとれそうです。頑張っていきましょう。生活面でも速く行動できるようになり、いろいろなことができるようになっています。タイヤじゃんけんを初めチャレンジすることで、自信につながり、世界が広がるので、どんどんいろんなことにチャレンジしてみましょう。</t>
    <rPh sb="5" eb="7">
      <t>こうどう</t>
    </rPh>
    <rPh sb="69" eb="73">
      <t>じょじょにさ</t>
    </rPh>
    <rPh sb="184" eb="186">
      <t>いぜん</t>
    </rPh>
    <rPh sb="192" eb="194">
      <t>まちが</t>
    </rPh>
    <rPh sb="198" eb="200">
      <t>もんだい</t>
    </rPh>
    <rPh sb="201" eb="202">
      <t>いま</t>
    </rPh>
    <rPh sb="203" eb="205">
      <t>ひっさん</t>
    </rPh>
    <rPh sb="208" eb="210">
      <t>かくじつ</t>
    </rPh>
    <rPh sb="211" eb="212">
      <t>と</t>
    </rPh>
    <rPh sb="223" eb="225">
      <t>すば</t>
    </rPh>
    <rPh sb="347" eb="350">
      <t>せいかつめん</t>
    </rPh>
    <rPh sb="352" eb="353">
      <t>はや</t>
    </rPh>
    <rPh sb="354" eb="356">
      <t>こうどう</t>
    </rPh>
    <rPh sb="395" eb="396">
      <t>はじ</t>
    </rPh>
    <rPh sb="408" eb="410">
      <t>じしん</t>
    </rPh>
    <rPh sb="416" eb="418">
      <t>せかい</t>
    </rPh>
    <rPh sb="419" eb="420">
      <t>ひろ</t>
    </rPh>
    <phoneticPr fontId="10" type="Hiragana" alignment="distributed"/>
  </si>
  <si>
    <t>毎日自主勉強に取り組み本当に素晴らしいです。その成果が模試の結果にも現れていました。計算名人では、計算の正確さはもとより、タイムも徐々に早くなり、初めの3分台から30秒も早くなっています。スピードに慣れてきていて、他の教科でも遅れることが少なくなっています。どの授業においても積極的に発言し、意欲的に取り組んでいます。少数派の気持ちを大事にできる昊來さんだからこそ、他の人が授業のとき、「簡単じゃん。」と言ったときに、「簡単じゃない人だっているから、…。」と言ってかばう姿が見られました。優しい言葉にみんなハッとさせられました。以前は授業中に姿勢が崩れがちでしたが、最近では、その姿が見られなくなりました。この調子で頑張りましょう。給食は、ご飯と汁物以外も少しずつ食べる量が増えてきました。また、年度当初は嫌いと受け付けなかったものも、一口ずつ頑張って食べることができるようになってきています。体育祭では応援練習の演舞や歌など教室でも友達とやっている姿も見られ、熱心に取り組んでいました。</t>
    <rPh sb="7" eb="8">
      <t>と</t>
    </rPh>
    <rPh sb="9" eb="10">
      <t>く</t>
    </rPh>
    <rPh sb="34" eb="35">
      <t>あらわ</t>
    </rPh>
    <rPh sb="42" eb="46">
      <t>けいさんめいじん</t>
    </rPh>
    <rPh sb="49" eb="51">
      <t>けいさん</t>
    </rPh>
    <rPh sb="52" eb="54">
      <t>せいかく</t>
    </rPh>
    <rPh sb="65" eb="69">
      <t>じょじょにはや</t>
    </rPh>
    <rPh sb="73" eb="74">
      <t>はじ</t>
    </rPh>
    <rPh sb="77" eb="79">
      <t>ふんだい</t>
    </rPh>
    <rPh sb="83" eb="84">
      <t>びょう</t>
    </rPh>
    <rPh sb="85" eb="86">
      <t>はや</t>
    </rPh>
    <rPh sb="99" eb="100">
      <t>な</t>
    </rPh>
    <rPh sb="107" eb="108">
      <t>ほか</t>
    </rPh>
    <rPh sb="109" eb="111">
      <t>きょうか</t>
    </rPh>
    <rPh sb="113" eb="114">
      <t>おく</t>
    </rPh>
    <rPh sb="119" eb="120">
      <t>すく</t>
    </rPh>
    <rPh sb="244" eb="245">
      <t>やさ</t>
    </rPh>
    <rPh sb="247" eb="249">
      <t>ことば</t>
    </rPh>
    <rPh sb="323" eb="324">
      <t>しる</t>
    </rPh>
    <rPh sb="324" eb="325">
      <t>もの</t>
    </rPh>
    <phoneticPr fontId="10" type="Hiragana" alignment="distributed"/>
  </si>
  <si>
    <t>欠席2（発熱１、家事都合１）</t>
    <rPh sb="0" eb="2">
      <t>ケッセキ</t>
    </rPh>
    <rPh sb="4" eb="6">
      <t>ハツネツ</t>
    </rPh>
    <rPh sb="8" eb="12">
      <t>カジツゴウ</t>
    </rPh>
    <phoneticPr fontId="1"/>
  </si>
  <si>
    <t>欠席５（発熱３、風邪２）遅刻１（通院１）</t>
    <rPh sb="0" eb="2">
      <t>ケッセキ</t>
    </rPh>
    <rPh sb="4" eb="6">
      <t>ハツネツ</t>
    </rPh>
    <rPh sb="8" eb="10">
      <t>カゼ</t>
    </rPh>
    <rPh sb="12" eb="14">
      <t>チコク</t>
    </rPh>
    <rPh sb="16" eb="18">
      <t>ツウイン</t>
    </rPh>
    <phoneticPr fontId="1"/>
  </si>
  <si>
    <t>欠席７（家事都合５、発熱１、体調不良１）遅刻４（喘息２、発熱１、体調不良１）</t>
    <rPh sb="0" eb="2">
      <t>ケッセキ</t>
    </rPh>
    <rPh sb="4" eb="8">
      <t>カジツゴウ</t>
    </rPh>
    <rPh sb="10" eb="12">
      <t>ハツネツ</t>
    </rPh>
    <rPh sb="14" eb="18">
      <t>タイチョウフリョウ</t>
    </rPh>
    <rPh sb="20" eb="22">
      <t>チコク</t>
    </rPh>
    <rPh sb="24" eb="26">
      <t>ゼンソク</t>
    </rPh>
    <rPh sb="28" eb="30">
      <t>ハツネツ</t>
    </rPh>
    <rPh sb="32" eb="36">
      <t>タイチョウフリョウ</t>
    </rPh>
    <phoneticPr fontId="1"/>
  </si>
  <si>
    <t>出席停止３（コロナ療養３）欠席１（発熱１）早退１（風邪１）</t>
    <rPh sb="0" eb="4">
      <t>シュッセキテイシ</t>
    </rPh>
    <rPh sb="9" eb="11">
      <t>リョウヨウ</t>
    </rPh>
    <rPh sb="13" eb="15">
      <t>ケッセキ</t>
    </rPh>
    <rPh sb="17" eb="19">
      <t>ハツネツ</t>
    </rPh>
    <rPh sb="21" eb="23">
      <t>ソウタイ</t>
    </rPh>
    <rPh sb="25" eb="27">
      <t>カゼ</t>
    </rPh>
    <phoneticPr fontId="1"/>
  </si>
  <si>
    <t>欠席２（風邪２）</t>
    <rPh sb="0" eb="2">
      <t>ケッセキ</t>
    </rPh>
    <rPh sb="4" eb="6">
      <t>カゼ</t>
    </rPh>
    <phoneticPr fontId="1"/>
  </si>
  <si>
    <t>欠席１（法事１）</t>
    <rPh sb="0" eb="2">
      <t>ケッセキ</t>
    </rPh>
    <rPh sb="4" eb="6">
      <t>ホウジ</t>
    </rPh>
    <phoneticPr fontId="1"/>
  </si>
  <si>
    <t>B</t>
    <phoneticPr fontId="1"/>
  </si>
  <si>
    <t>A</t>
    <phoneticPr fontId="1"/>
  </si>
  <si>
    <t>C</t>
    <phoneticPr fontId="1"/>
  </si>
  <si>
    <t>-</t>
    <phoneticPr fontId="1"/>
  </si>
  <si>
    <t>B</t>
    <phoneticPr fontId="1"/>
  </si>
  <si>
    <t>つくりたいもののイメージを持ち、それに向かって制作することができる</t>
    <phoneticPr fontId="1"/>
  </si>
  <si>
    <t>自分や友達の作品から良さや面白さ、美しさを感じとることができる</t>
    <phoneticPr fontId="1"/>
  </si>
  <si>
    <t>可愛らしい作品をつくっていました。ハートやカラフルな花など、平和的なものをモチーフに選ぶ傾向があります。友達からもそれを認められ、嬉しそうにしているのが印象的でした。</t>
    <phoneticPr fontId="1"/>
  </si>
  <si>
    <t>B</t>
    <phoneticPr fontId="1"/>
  </si>
  <si>
    <t>A</t>
    <phoneticPr fontId="1"/>
  </si>
  <si>
    <t>A</t>
    <phoneticPr fontId="1"/>
  </si>
  <si>
    <t>B</t>
    <phoneticPr fontId="10" type="Hiragana" alignment="distributed"/>
  </si>
  <si>
    <t>A</t>
    <phoneticPr fontId="10" type="Hiragana" alignment="distributed"/>
  </si>
  <si>
    <t>朝の準備をスタートからあらゆる面でテキパキとこなし、授業に臨んでいます。年度当初、なかなか自信を持って発言をすることができませんでしたが、道徳で自分の考えを発表することを通して、他の教科でも積極的に発言するようになりました。また。みんなの前で発表する声も大きくなってきていてとても感心しています。算数では問題を解くことに意欲的で、模試でケアレスミスをしてしまったことに、涙するほど熱心に取り組んでいます。どんどん新しい問題に挑戦しようとする意欲が感じられます。普段問題を解くときから、ケアレスミスをなくしていくと、いいでしょう。英語でもきれいな発音することができていてすばらしいです。図工の「電車でGo」の単元では、友達とディズニーランドを回るコースを作っていました。思うようにならないところもあったようですが、工夫して納得のいく作品に仕上げることができました。生活では、学校案内の振り返りにおいて、１年生に教えることによって、自分の成長を感じているようでした。ミニトマトの観察では、成長の様子をいろいろな視点から見て、詳しく記録することができました。</t>
    <rPh sb="0" eb="1">
      <t>あさ</t>
    </rPh>
    <rPh sb="2" eb="4">
      <t>じゅんび</t>
    </rPh>
    <rPh sb="15" eb="16">
      <t>めん</t>
    </rPh>
    <rPh sb="26" eb="28">
      <t>じゅぎょう</t>
    </rPh>
    <rPh sb="29" eb="30">
      <t>のぞ</t>
    </rPh>
    <rPh sb="72" eb="74">
      <t>じぶん</t>
    </rPh>
    <rPh sb="75" eb="76">
      <t>かんが</t>
    </rPh>
    <rPh sb="78" eb="80">
      <t>はっぴょう</t>
    </rPh>
    <rPh sb="95" eb="98">
      <t>せっきょくてき</t>
    </rPh>
    <rPh sb="140" eb="142">
      <t>かんしん</t>
    </rPh>
    <rPh sb="230" eb="232">
      <t>ふだん</t>
    </rPh>
    <rPh sb="235" eb="236">
      <t>と</t>
    </rPh>
    <phoneticPr fontId="10" type="Hiragana" alignment="distributed"/>
  </si>
  <si>
    <t>生活面では、生活科の係として担当の先生の連絡をみんなに伝えるだけでなく、自ら必要と考えたことを伝えることができました。また、さいきょう商店街の準備で、１年生へのアンケートをとりに行った時には、皆の代表としてしっかりと挨拶をすることができました。学習面では、普段の授業でも、真面目に取り組み、着実に課題を終わらせています。特に算数では、丁寧に取り組むことができているため、ケアレスミスが少なく、正答できていることがほとんどです。このまま丁寧な学習を続けていきましょう。国語では「あったらいいな、こんなもの」の発表では大きな声ではっきりと発表し、友達の質問に対してすぐに答えることができていて、しっかりとした自分の考えを持つことができています。また友達の発表もよく聞いていて、気になることには質問をすることができていて、周りのこともよく見えています。体育祭では、応援の演舞や歌など休み時間に友達と練習するほど頑張っていました。二学期のさいきょう商店街やさいきょう祭の活躍に期待しています。</t>
    <rPh sb="0" eb="3">
      <t>せいかつめん</t>
    </rPh>
    <rPh sb="6" eb="9">
      <t>せいかつか</t>
    </rPh>
    <rPh sb="10" eb="11">
      <t>かかり</t>
    </rPh>
    <rPh sb="14" eb="16">
      <t>たんとう</t>
    </rPh>
    <rPh sb="17" eb="19">
      <t>せんせい</t>
    </rPh>
    <rPh sb="20" eb="22">
      <t>れんらく</t>
    </rPh>
    <rPh sb="27" eb="28">
      <t>つた</t>
    </rPh>
    <rPh sb="36" eb="37">
      <t>みずか</t>
    </rPh>
    <rPh sb="38" eb="40">
      <t>ひつよう</t>
    </rPh>
    <rPh sb="41" eb="42">
      <t>かんが</t>
    </rPh>
    <rPh sb="47" eb="48">
      <t>つた</t>
    </rPh>
    <rPh sb="122" eb="125">
      <t>がくしゅうめん</t>
    </rPh>
    <rPh sb="192" eb="193">
      <t>すく</t>
    </rPh>
    <rPh sb="196" eb="198">
      <t>せいとう</t>
    </rPh>
    <rPh sb="366" eb="367">
      <t>み</t>
    </rPh>
    <rPh sb="411" eb="414">
      <t>にがっき</t>
    </rPh>
    <rPh sb="429" eb="430">
      <t>さい</t>
    </rPh>
    <rPh sb="431" eb="433">
      <t>かつやく</t>
    </rPh>
    <rPh sb="434" eb="436">
      <t>きたい</t>
    </rPh>
    <phoneticPr fontId="10" type="Hiragana" alignment="distributed"/>
  </si>
  <si>
    <t>友達が忘れている物を届けたり、教室のドアが開けっ放しだったのを閉めたりと、積極的に自分で考えてお手伝いをしようとする姿が見られ、とても素晴らしいです。年度当初、課題を終えられない様子が見られましたが、最近では早く課題を終えようと努力し、その結果が出てきています。算数、国語の漢字や英語では、せっかくできているのに乱雑に書いて文字が判別できず、点数が思うようにとれていません。これはもったいないことです。テストのときは、相手に読める字ということを意識して書きましょう。図工では新しい道具に慣れるまでとても時間がかかります。すぐに自分のやり方に変えてしまうところがあるため、正しい使い方を身に付けるのが難しいと感じています。カッター等は手を添えて指導するなど一緒に取り組むことを多くしていきたいと考えています。英語の学習は自信を持って取り組むことができています。音楽では積極的に真面目に授業を受けています。のどの奥を開けて、のびやかな歌唱ができるようにこれから練習を重ねていきましょう。</t>
    <rPh sb="89" eb="91">
      <t>ようす</t>
    </rPh>
    <rPh sb="120" eb="122">
      <t>けっか</t>
    </rPh>
    <rPh sb="123" eb="124">
      <t>で</t>
    </rPh>
    <rPh sb="156" eb="157">
      <t>らん</t>
    </rPh>
    <rPh sb="209" eb="211">
      <t>あいて</t>
    </rPh>
    <rPh sb="212" eb="213">
      <t>よ</t>
    </rPh>
    <rPh sb="215" eb="216">
      <t>じ</t>
    </rPh>
    <rPh sb="222" eb="224">
      <t>いしき</t>
    </rPh>
    <rPh sb="226" eb="227">
      <t>か</t>
    </rPh>
    <phoneticPr fontId="10" type="Hiragana" alignment="distributed"/>
  </si>
  <si>
    <t>体育祭では、応援練習に一生懸命打ち込みキレの良い演舞、かまえをしていてかっこよかったです。応援の時の構えの姿勢はみんなのお手本になりました。学習面では、当初は、薄い字で時間内に書くことができなかった漢字練習でしたが、今はしっかりとした字で、きれいに時間内に書くことができるようになってきました。英語では、単語を見て発音する事はとても自信があるようでしっかり取り組めていました。英語を書くテストでは漢字と同様、せっかく分かっているのに、正しい位置にかけてなかったりしていました。間違えた字に注意して、丁寧に練習していくと点数につながり、自信につながっていくのではないかと思います。図工では楽しく活動する姿が見られました。どんな作品にしたいのか考えるのに時間がかかりますが、最後までしっかりと完成させることができます。「電車でGO」の単元では、たくさんの友達と関わり合いながら活動することができました。とても良い表情をしていました。</t>
    <rPh sb="45" eb="47">
      <t>おうえん</t>
    </rPh>
    <rPh sb="70" eb="73">
      <t>がくしゅうめん</t>
    </rPh>
    <rPh sb="208" eb="209">
      <t>わ</t>
    </rPh>
    <phoneticPr fontId="10" type="Hiragana" alignment="distributed"/>
  </si>
  <si>
    <t>どの教科においても積極的に発言する姿が見られます。年度当初に比べて、漢字スキルでの学習の際、とても丁寧に書くようになりました。その調子で焦らず書いていくといいです。頑張りましょう。算数では、どんどん新しい問題に挑戦しようと言う意欲が感じられます。英語ではわからない単語でも頭文字から予想して発音しようとする姿が見られます。この調子で単語を覚えていくと、応用力が働き英語を使いこなせるようになるのではないかと期待しています。また、自分に必要な自主学習ができて、素晴らしいです。スピーチテストでは、緊張からか途中で止まってしまい、スピーチの内容が混乱していました。もう少し練習して臨めると自信をもってできたと思います。図工では可愛らしい作品を作っていました。ハートやカラフルな花など、平和的な物のモチーフを選ぶ傾向があります。友達からもそれを認められ、うれしそうにしているのが印象的でした。「電車でGO」の単元では友達と協力して2年1組の教室まで線路を敷いて楽しんでいました。生活面では、お手伝いをしようかと声をかけてくれて感心しています。</t>
    <rPh sb="30" eb="31">
      <t>くら</t>
    </rPh>
    <rPh sb="41" eb="43">
      <t>がくしゅう</t>
    </rPh>
    <rPh sb="44" eb="45">
      <t>さい</t>
    </rPh>
    <rPh sb="49" eb="51">
      <t>ていねい</t>
    </rPh>
    <rPh sb="52" eb="53">
      <t>か</t>
    </rPh>
    <rPh sb="65" eb="67">
      <t>ちょうし</t>
    </rPh>
    <rPh sb="68" eb="69">
      <t>あせ</t>
    </rPh>
    <rPh sb="71" eb="72">
      <t>か</t>
    </rPh>
    <rPh sb="82" eb="84">
      <t>がんば</t>
    </rPh>
    <rPh sb="180" eb="181">
      <t>はたら</t>
    </rPh>
    <rPh sb="214" eb="216">
      <t>じぶん</t>
    </rPh>
    <rPh sb="217" eb="219">
      <t>ひつよう</t>
    </rPh>
    <rPh sb="247" eb="249">
      <t>きんちょう</t>
    </rPh>
    <rPh sb="252" eb="254">
      <t>とちゅう</t>
    </rPh>
    <rPh sb="255" eb="256">
      <t>と</t>
    </rPh>
    <rPh sb="268" eb="270">
      <t>ないよう</t>
    </rPh>
    <rPh sb="271" eb="273">
      <t>こんらん</t>
    </rPh>
    <rPh sb="282" eb="283">
      <t>すこ</t>
    </rPh>
    <rPh sb="284" eb="286">
      <t>れんしゅう</t>
    </rPh>
    <rPh sb="288" eb="289">
      <t>のぞ</t>
    </rPh>
    <rPh sb="292" eb="294">
      <t>じしん</t>
    </rPh>
    <rPh sb="302" eb="303">
      <t>おも</t>
    </rPh>
    <rPh sb="424" eb="425">
      <t>し</t>
    </rPh>
    <rPh sb="436" eb="439">
      <t>せいかつめん</t>
    </rPh>
    <rPh sb="443" eb="445">
      <t>てつだ</t>
    </rPh>
    <rPh sb="452" eb="453">
      <t>こえ</t>
    </rPh>
    <rPh sb="460" eb="462">
      <t>かんしん</t>
    </rPh>
    <phoneticPr fontId="10" type="Hiragana" alignment="distributed"/>
  </si>
  <si>
    <t>B</t>
    <phoneticPr fontId="1"/>
  </si>
  <si>
    <t>この項目は適宜変更して下さい。
※注意※
ただし、項目数は１０個まで。仮に少ない場合も行の削除は絶対に行わないで下さい。</t>
    <phoneticPr fontId="1"/>
  </si>
  <si>
    <t>豊かな発想を持ち自由に表現することができる</t>
    <phoneticPr fontId="1"/>
  </si>
  <si>
    <t>ゆっくりですが、丁寧に作品をつくることができます。事前に次の題材の予告をしておくと、よく覚えていて、家で構想を練ってくる様子も見られました。発想が自由で、のびのびとしています。</t>
    <phoneticPr fontId="1"/>
  </si>
  <si>
    <t>どの題材も楽しく取り組むことができました。可愛らしい作品をつくっています。【でんしゃでGO！】では、友達に声を掛けては一緒に取り組む様子が見られました。</t>
    <phoneticPr fontId="1"/>
  </si>
  <si>
    <t>自信が出てきたようで、迷いなく積極的に活動する様子が見られます。製作手順などをしっかりと理解して進めることができるため、友達が困っていると声を掛ける姿も見られます。【カッター名人になろう！】では、とてもスムーズにカッターを使いこなしていました。</t>
    <phoneticPr fontId="1"/>
  </si>
  <si>
    <t>楽しく活動しています。仲の良い友達が近くにいるため、良くも悪くも似たような作品をつくっていました。席替えなどで、他の子の作品も鑑賞できるよう、考えていきたいと思います。</t>
    <phoneticPr fontId="1"/>
  </si>
  <si>
    <t>楽しく活動する姿が見られました。どんな作品にしたいのか考えるのに時間が掛かりますが、最後までしっかりと完成させることができます。【でんしゃでGO！】では、たくさんの友達と関わり合いながら活動することができました。</t>
    <phoneticPr fontId="1"/>
  </si>
  <si>
    <t>この項目は適宜変更して下さい。
※注意※
ただし、項目数は１０個まで。仮に少ない場合も行の削除は絶対に行わないで下さい。</t>
    <phoneticPr fontId="1"/>
  </si>
  <si>
    <t>A</t>
    <phoneticPr fontId="1"/>
  </si>
  <si>
    <t>A</t>
    <phoneticPr fontId="1"/>
  </si>
  <si>
    <t>B</t>
    <phoneticPr fontId="1"/>
  </si>
  <si>
    <t>この項目は適宜変更して下さい。
※注意※
ただし、項目数は１０個まで。仮に少ない場合も行の削除は絶対に行わないで下さい。</t>
    <phoneticPr fontId="1"/>
  </si>
  <si>
    <t>A</t>
    <phoneticPr fontId="1"/>
  </si>
  <si>
    <t>この項目は適宜変更して下さい。
※注意※
ただし、項目数は１０個まで。仮に少ない場合も行の削除は絶対に行わないで下さい。</t>
    <phoneticPr fontId="1"/>
  </si>
  <si>
    <t>A</t>
    <phoneticPr fontId="1"/>
  </si>
  <si>
    <t>C</t>
    <phoneticPr fontId="1"/>
  </si>
  <si>
    <t>この項目は適宜変更して下さい。
※注意※
ただし、項目数は１０個まで。仮に少ない場合も行の削除は絶対に行わないで下さい。</t>
    <phoneticPr fontId="1"/>
  </si>
  <si>
    <t>図工への関心を持ち、楽しく制作に取り組んでいる</t>
    <phoneticPr fontId="1"/>
  </si>
  <si>
    <t>将来の夢は「図工の先生」とのことで、意欲的に製作しています。カッターの練習もたくさん挑戦し、慣れてきた様子でした。【まどをあけたら？】では、色々な形の窓をつくっていました。</t>
    <phoneticPr fontId="1"/>
  </si>
  <si>
    <t>楽しそうに活動しています。【でんしゃでGO！】では、友達とディズニーランドを周るコースをつくっていました。思うようにならなくても、工夫して納得のいく作品に仕上げることができます。</t>
    <phoneticPr fontId="1"/>
  </si>
  <si>
    <t>【でんしゃでGO！】では、つくった線路に電車を走らせることがとても楽しかったようで、いきいきと活動していました。以前は慎重で、進度がゆっくりだったのですが、つくりたいものがはっきりと決まると、集中して製作できるようになってきました。</t>
    <phoneticPr fontId="1"/>
  </si>
  <si>
    <t>自分の思いがしっかりとあり、いろいろと試行しながら製作しています。この先、技能面のレベルが上がってくると、よりイメージ通りの作品が完成できるのではないかと考えています。</t>
    <phoneticPr fontId="1"/>
  </si>
  <si>
    <t>新しい道具に慣れるまでにとても時間がかかります。自分流のやり方に変えてしまうところがあるため、正しい使い方を身に付けるのが難しいと感じています。カッターなどは、手を添えて指導するなど、一緒に取り組むことを多くしていきたいと考えています。</t>
    <phoneticPr fontId="1"/>
  </si>
  <si>
    <t>ゆっくりですが、最後まで頑張って作品をつくることができました。特に【まどをあけたら？】では、カッターをしっかりと使いこなし、色々な形の窓を開けることができました。</t>
    <phoneticPr fontId="1"/>
  </si>
  <si>
    <t>意欲が高く、イメージもしっかりとあるため、納得のいく作品に仕上げることができます。【でんしゃでGO！】では、車両を２台つくっていました。</t>
    <phoneticPr fontId="1"/>
  </si>
  <si>
    <t>C</t>
    <phoneticPr fontId="1"/>
  </si>
  <si>
    <t>150～200</t>
    <phoneticPr fontId="10" type="Hiragana" alignment="distributed"/>
  </si>
  <si>
    <r>
      <rPr>
        <sz val="11"/>
        <rFont val="ＭＳ ゴシック"/>
        <family val="3"/>
        <charset val="128"/>
      </rPr>
      <t>年度当初からほかの授業では自信がなく、手を挙げることができませんでしたが、道徳では積極的に発言することができていました。特に</t>
    </r>
    <r>
      <rPr>
        <sz val="11"/>
        <rFont val="Arial"/>
        <family val="2"/>
      </rPr>
      <t xml:space="preserve"> </t>
    </r>
    <r>
      <rPr>
        <sz val="11"/>
        <rFont val="ＭＳ ゴシック"/>
        <family val="3"/>
        <charset val="128"/>
      </rPr>
      <t>町の様子が描かれている絵などを通して、きまりをどうして守らなければならないかについて考えさせ、きまりをしっかり守ろうとする判断力を育てる「どうしてきまりがあるのかな」という単元では、自分の意見をしっかり持って積極的に発言することができました。</t>
    </r>
    <phoneticPr fontId="1"/>
  </si>
  <si>
    <t>A</t>
    <phoneticPr fontId="1"/>
  </si>
  <si>
    <t>A</t>
    <phoneticPr fontId="10" type="Hiragana" alignment="distributed"/>
  </si>
  <si>
    <t>B</t>
    <phoneticPr fontId="10" type="Hiragana" alignment="distributed"/>
  </si>
  <si>
    <t>B</t>
    <phoneticPr fontId="10" type="Hiragana" alignment="distributed"/>
  </si>
  <si>
    <t>B</t>
    <phoneticPr fontId="10" type="Hiragana" alignment="distributed"/>
  </si>
  <si>
    <t>C</t>
    <phoneticPr fontId="1"/>
  </si>
  <si>
    <t>A</t>
    <phoneticPr fontId="10" type="Hiragana" alignment="distributed"/>
  </si>
  <si>
    <t>A</t>
    <phoneticPr fontId="10" type="Hiragana" alignment="distributed"/>
  </si>
  <si>
    <t>A</t>
    <phoneticPr fontId="10" type="Hiragana" alignment="distributed"/>
  </si>
  <si>
    <t>A</t>
    <phoneticPr fontId="10" type="Hiragana" alignment="distributed"/>
  </si>
  <si>
    <t>総合所見</t>
    <phoneticPr fontId="1"/>
  </si>
  <si>
    <t>400～450</t>
    <phoneticPr fontId="10" type="Hiragana" alignment="distributed"/>
  </si>
  <si>
    <t xml:space="preserve"> 出席日数（自動計算）</t>
    <phoneticPr fontId="1"/>
  </si>
  <si>
    <t xml:space="preserve"> 欠席日数</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</si>
</sst>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23">
    <font>
      <sz val="11"/>
      <name val="ＭＳ Ｐゴシック"/>
      <family val="3"/>
      <charset val="128"/>
    </font>
    <font>
      <sz val="6"/>
      <name val="ＭＳ Ｐゴシック"/>
      <family val="3"/>
      <charset val="128"/>
    </font>
    <font>
      <sz val="12"/>
      <name val="ＭＳ Ｐ明朝"/>
      <family val="1"/>
      <charset val="128"/>
    </font>
    <font>
      <sz val="11"/>
      <name val="ＭＳ Ｐ明朝"/>
      <family val="1"/>
      <charset val="128"/>
    </font>
    <font>
      <sz val="9"/>
      <name val="ＭＳ Ｐ明朝"/>
      <family val="1"/>
      <charset val="128"/>
    </font>
    <font>
      <sz val="14"/>
      <name val="ＭＳ Ｐ明朝"/>
      <family val="1"/>
      <charset val="128"/>
    </font>
    <font>
      <sz val="13"/>
      <name val="ＭＳ Ｐ明朝"/>
      <family val="1"/>
      <charset val="128"/>
    </font>
    <font>
      <sz val="11"/>
      <color indexed="9"/>
      <name val="ＭＳ Ｐ明朝"/>
      <family val="1"/>
      <charset val="128"/>
    </font>
    <font>
      <sz val="16"/>
      <color indexed="9"/>
      <name val="ＭＳ Ｐ明朝"/>
      <family val="1"/>
      <charset val="128"/>
    </font>
    <font>
      <sz val="11"/>
      <color theme="0"/>
      <name val="ＭＳ Ｐ明朝"/>
      <family val="1"/>
      <charset val="128"/>
    </font>
    <font>
      <b/>
      <sz val="11"/>
      <color indexed="56"/>
      <name val="ＭＳ Ｐゴシック"/>
      <family val="3"/>
      <charset val="128"/>
    </font>
    <font>
      <sz val="16"/>
      <name val="ＭＳ Ｐ明朝"/>
      <family val="1"/>
      <charset val="128"/>
    </font>
    <font>
      <b/>
      <sz val="12"/>
      <name val="ＭＳ Ｐゴシック"/>
      <family val="3"/>
      <charset val="128"/>
    </font>
    <font>
      <sz val="11"/>
      <color theme="0"/>
      <name val="ＭＳ Ｐゴシック"/>
      <family val="3"/>
      <charset val="128"/>
    </font>
    <font>
      <sz val="11"/>
      <color rgb="FF000000"/>
      <name val="ＭＳ Ｐゴシック"/>
      <family val="3"/>
      <charset val="128"/>
    </font>
    <font>
      <b/>
      <sz val="12"/>
      <color theme="0"/>
      <name val="ＭＳ Ｐ明朝"/>
      <family val="1"/>
      <charset val="128"/>
    </font>
    <font>
      <sz val="11"/>
      <color theme="1"/>
      <name val="ＭＳ Ｐ明朝"/>
      <family val="1"/>
      <charset val="128"/>
    </font>
    <font>
      <sz val="11"/>
      <name val="Arimo"/>
      <family val="2"/>
    </font>
    <font>
      <sz val="11"/>
      <name val="Arial"/>
      <family val="2"/>
    </font>
    <font>
      <sz val="11"/>
      <color rgb="FF000000"/>
      <name val="Arial"/>
      <family val="2"/>
    </font>
    <font>
      <sz val="11"/>
      <color rgb="FF222222"/>
      <name val="ＭＳ 明朝"/>
      <family val="1"/>
      <charset val="128"/>
    </font>
    <font>
      <sz val="11"/>
      <name val="Arial"/>
      <family val="3"/>
      <charset val="128"/>
    </font>
    <font>
      <sz val="11"/>
      <name val="ＭＳ ゴシック"/>
      <family val="3"/>
      <charset val="128"/>
    </font>
  </fonts>
  <fills count="14">
    <fill>
      <patternFill patternType="none"/>
    </fill>
    <fill>
      <patternFill patternType="gray125"/>
    </fill>
    <fill>
      <patternFill patternType="solid">
        <fgColor indexed="61"/>
        <bgColor indexed="64"/>
      </patternFill>
    </fill>
    <fill>
      <patternFill patternType="solid">
        <fgColor indexed="43"/>
        <bgColor indexed="64"/>
      </patternFill>
    </fill>
    <fill>
      <patternFill patternType="solid">
        <fgColor indexed="54"/>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indexed="50"/>
        <bgColor indexed="64"/>
      </patternFill>
    </fill>
    <fill>
      <patternFill patternType="solid">
        <fgColor indexed="41"/>
        <bgColor indexed="64"/>
      </patternFill>
    </fill>
    <fill>
      <patternFill patternType="solid">
        <fgColor indexed="47"/>
        <bgColor indexed="64"/>
      </patternFill>
    </fill>
    <fill>
      <patternFill patternType="solid">
        <fgColor indexed="46"/>
        <bgColor indexed="64"/>
      </patternFill>
    </fill>
    <fill>
      <patternFill patternType="solid">
        <fgColor theme="1"/>
        <bgColor indexed="64"/>
      </patternFill>
    </fill>
    <fill>
      <patternFill patternType="solid">
        <fgColor theme="0"/>
        <bgColor indexed="64"/>
      </patternFill>
    </fill>
    <fill>
      <patternFill patternType="solid">
        <fgColor theme="6" tint="0.59999389629810485"/>
        <bgColor indexed="64"/>
      </patternFill>
    </fill>
  </fills>
  <borders count="53">
    <border>
      <left/>
      <right/>
      <top/>
      <bottom/>
      <diagonal/>
    </border>
    <border>
      <left/>
      <right/>
      <top/>
      <bottom style="thin">
        <color indexed="64"/>
      </bottom>
      <diagonal/>
    </border>
    <border>
      <left/>
      <right/>
      <top style="thin">
        <color indexed="64"/>
      </top>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right/>
      <top style="hair">
        <color indexed="64"/>
      </top>
      <bottom/>
      <diagonal/>
    </border>
    <border>
      <left/>
      <right style="thin">
        <color indexed="64"/>
      </right>
      <top style="hair">
        <color indexed="64"/>
      </top>
      <bottom/>
      <diagonal/>
    </border>
    <border>
      <left style="thin">
        <color indexed="64"/>
      </left>
      <right/>
      <top style="hair">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hair">
        <color indexed="64"/>
      </left>
      <right/>
      <top style="thin">
        <color indexed="64"/>
      </top>
      <bottom style="thin">
        <color indexed="64"/>
      </bottom>
      <diagonal/>
    </border>
    <border>
      <left style="hair">
        <color indexed="64"/>
      </left>
      <right style="thin">
        <color indexed="64"/>
      </right>
      <top/>
      <bottom/>
      <diagonal/>
    </border>
    <border>
      <left/>
      <right style="hair">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style="hair">
        <color indexed="64"/>
      </left>
      <right style="hair">
        <color indexed="64"/>
      </right>
      <top/>
      <bottom/>
      <diagonal/>
    </border>
    <border>
      <left style="medium">
        <color rgb="FF000000"/>
      </left>
      <right style="medium">
        <color rgb="FFCCCCCC"/>
      </right>
      <top style="medium">
        <color rgb="FFCCCCCC"/>
      </top>
      <bottom style="medium">
        <color rgb="FFCCCCCC"/>
      </bottom>
      <diagonal/>
    </border>
  </borders>
  <cellStyleXfs count="1">
    <xf numFmtId="0" fontId="0" fillId="0" borderId="0">
      <alignment vertical="center"/>
    </xf>
  </cellStyleXfs>
  <cellXfs count="193">
    <xf numFmtId="0" fontId="0" fillId="0" borderId="0" xfId="0">
      <alignment vertical="center"/>
    </xf>
    <xf numFmtId="0" fontId="3" fillId="0" borderId="1" xfId="0" applyFont="1" applyFill="1" applyBorder="1" applyAlignment="1">
      <alignment horizontal="center" vertical="center"/>
    </xf>
    <xf numFmtId="0" fontId="3" fillId="0" borderId="1" xfId="0" applyFont="1" applyFill="1" applyBorder="1" applyAlignment="1">
      <alignment horizontal="right" vertical="center"/>
    </xf>
    <xf numFmtId="0" fontId="5" fillId="0" borderId="1" xfId="0" applyFont="1" applyFill="1" applyBorder="1" applyAlignment="1">
      <alignment horizontal="center" vertical="center"/>
    </xf>
    <xf numFmtId="0" fontId="3" fillId="0" borderId="1" xfId="0" applyFont="1" applyFill="1" applyBorder="1" applyAlignment="1">
      <alignment vertical="center"/>
    </xf>
    <xf numFmtId="0" fontId="3" fillId="0" borderId="0" xfId="0" applyFont="1" applyFill="1" applyBorder="1" applyAlignment="1">
      <alignment vertical="center"/>
    </xf>
    <xf numFmtId="0" fontId="3" fillId="0" borderId="2" xfId="0" applyFont="1" applyFill="1" applyBorder="1" applyAlignment="1">
      <alignment horizontal="center" vertical="center"/>
    </xf>
    <xf numFmtId="0" fontId="5" fillId="0" borderId="2" xfId="0" applyFont="1" applyFill="1" applyBorder="1" applyAlignment="1">
      <alignment horizontal="center" vertical="center"/>
    </xf>
    <xf numFmtId="0" fontId="3" fillId="0" borderId="0" xfId="0" applyFont="1" applyFill="1">
      <alignment vertical="center"/>
    </xf>
    <xf numFmtId="0" fontId="3" fillId="0" borderId="0" xfId="0" applyFont="1" applyFill="1" applyBorder="1" applyAlignment="1"/>
    <xf numFmtId="0" fontId="3" fillId="0" borderId="2" xfId="0" applyFont="1" applyBorder="1" applyAlignment="1">
      <alignment horizontal="left" vertical="center" shrinkToFit="1"/>
    </xf>
    <xf numFmtId="0" fontId="3" fillId="0" borderId="1" xfId="0" applyFont="1" applyBorder="1" applyAlignment="1">
      <alignment horizontal="left" vertical="center" shrinkToFit="1"/>
    </xf>
    <xf numFmtId="0" fontId="3" fillId="0" borderId="0" xfId="0" applyFont="1" applyFill="1" applyBorder="1" applyAlignment="1">
      <alignment vertical="center" wrapText="1" shrinkToFit="1"/>
    </xf>
    <xf numFmtId="0" fontId="3" fillId="0" borderId="3" xfId="0" applyFont="1" applyFill="1" applyBorder="1" applyAlignment="1">
      <alignment horizontal="center" vertical="center"/>
    </xf>
    <xf numFmtId="0" fontId="3" fillId="0" borderId="0" xfId="0" applyFont="1" applyFill="1" applyBorder="1">
      <alignment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3" fillId="0" borderId="5" xfId="0" applyFont="1" applyFill="1" applyBorder="1" applyAlignment="1">
      <alignment horizontal="center" vertical="center"/>
    </xf>
    <xf numFmtId="0" fontId="3" fillId="0" borderId="6" xfId="0" applyFont="1" applyFill="1" applyBorder="1" applyAlignment="1">
      <alignment horizontal="center" vertical="center"/>
    </xf>
    <xf numFmtId="0" fontId="3" fillId="0" borderId="7" xfId="0" applyFont="1" applyFill="1" applyBorder="1" applyAlignment="1">
      <alignment vertical="center"/>
    </xf>
    <xf numFmtId="0" fontId="3" fillId="0" borderId="8" xfId="0" applyFont="1" applyFill="1" applyBorder="1" applyAlignment="1">
      <alignment horizontal="center" vertical="center"/>
    </xf>
    <xf numFmtId="0" fontId="3" fillId="0" borderId="12" xfId="0" applyFont="1" applyFill="1" applyBorder="1" applyAlignment="1">
      <alignment horizontal="center" vertical="center"/>
    </xf>
    <xf numFmtId="0" fontId="3" fillId="0" borderId="13" xfId="0" applyFont="1" applyFill="1" applyBorder="1" applyAlignment="1">
      <alignment horizontal="center" vertical="center"/>
    </xf>
    <xf numFmtId="0" fontId="3" fillId="0" borderId="7" xfId="0" applyFont="1" applyFill="1" applyBorder="1" applyAlignment="1">
      <alignment horizontal="center" vertical="center" textRotation="255"/>
    </xf>
    <xf numFmtId="0" fontId="3" fillId="0" borderId="0" xfId="0" applyFont="1" applyFill="1" applyBorder="1" applyAlignment="1">
      <alignment horizontal="left" vertical="top" wrapText="1"/>
    </xf>
    <xf numFmtId="0" fontId="3" fillId="0" borderId="0" xfId="0" applyFont="1" applyFill="1" applyBorder="1" applyAlignment="1">
      <alignment horizontal="left" vertical="top" wrapText="1" shrinkToFit="1"/>
    </xf>
    <xf numFmtId="0" fontId="3" fillId="0" borderId="0" xfId="0" applyFont="1" applyBorder="1" applyAlignment="1">
      <alignment horizontal="left" vertical="center" shrinkToFit="1"/>
    </xf>
    <xf numFmtId="0" fontId="3" fillId="0" borderId="43" xfId="0" applyFont="1" applyFill="1" applyBorder="1" applyAlignment="1">
      <alignment horizontal="center" vertical="center"/>
    </xf>
    <xf numFmtId="0" fontId="0" fillId="0" borderId="0" xfId="0" applyBorder="1" applyAlignment="1">
      <alignment horizontal="left" vertical="center" shrinkToFit="1"/>
    </xf>
    <xf numFmtId="0" fontId="3" fillId="0" borderId="0" xfId="0" applyFont="1" applyBorder="1" applyAlignment="1">
      <alignment horizontal="center" vertical="center"/>
    </xf>
    <xf numFmtId="0" fontId="3" fillId="0" borderId="0" xfId="0" applyFont="1" applyFill="1" applyBorder="1" applyAlignment="1">
      <alignment vertical="top" wrapText="1" shrinkToFit="1"/>
    </xf>
    <xf numFmtId="0" fontId="3" fillId="0" borderId="2" xfId="0" applyFont="1" applyFill="1" applyBorder="1" applyAlignment="1">
      <alignment horizontal="center" vertical="center" shrinkToFit="1"/>
    </xf>
    <xf numFmtId="0" fontId="3" fillId="0" borderId="1" xfId="0" applyFont="1" applyFill="1" applyBorder="1" applyAlignment="1">
      <alignment horizontal="center" vertical="center" shrinkToFit="1"/>
    </xf>
    <xf numFmtId="0" fontId="8" fillId="2" borderId="14" xfId="0" applyNumberFormat="1" applyFont="1" applyFill="1" applyBorder="1" applyAlignment="1">
      <alignment horizontal="center" vertical="center" wrapText="1"/>
    </xf>
    <xf numFmtId="0" fontId="8" fillId="2" borderId="14" xfId="0" applyFont="1" applyFill="1" applyBorder="1" applyAlignment="1">
      <alignment horizontal="center" vertical="center"/>
    </xf>
    <xf numFmtId="0" fontId="7" fillId="2" borderId="14" xfId="0" applyFont="1" applyFill="1" applyBorder="1" applyAlignment="1">
      <alignment horizontal="center" vertical="center" wrapText="1"/>
    </xf>
    <xf numFmtId="0" fontId="3" fillId="3" borderId="14" xfId="0" applyFont="1" applyFill="1" applyBorder="1" applyAlignment="1">
      <alignment vertical="top" textRotation="255"/>
    </xf>
    <xf numFmtId="0" fontId="3" fillId="0" borderId="0" xfId="0" applyFont="1" applyFill="1" applyAlignment="1">
      <alignment vertical="center" textRotation="255"/>
    </xf>
    <xf numFmtId="0" fontId="3" fillId="3" borderId="14" xfId="0" applyFont="1" applyFill="1" applyBorder="1" applyAlignment="1">
      <alignment horizontal="center" vertical="center"/>
    </xf>
    <xf numFmtId="0" fontId="2" fillId="0" borderId="14" xfId="0" applyFont="1" applyFill="1" applyBorder="1" applyAlignment="1" applyProtection="1">
      <alignment horizontal="center" vertical="center"/>
      <protection locked="0"/>
    </xf>
    <xf numFmtId="0" fontId="9" fillId="0" borderId="0" xfId="0" applyFont="1" applyFill="1">
      <alignment vertical="center"/>
    </xf>
    <xf numFmtId="0" fontId="3" fillId="0" borderId="30" xfId="0" applyFont="1" applyBorder="1" applyAlignment="1" applyProtection="1">
      <alignment vertical="center" shrinkToFit="1"/>
      <protection locked="0"/>
    </xf>
    <xf numFmtId="0" fontId="3" fillId="3" borderId="14" xfId="0" applyFont="1" applyFill="1" applyBorder="1" applyAlignment="1">
      <alignment horizontal="left" vertical="center" wrapText="1"/>
    </xf>
    <xf numFmtId="0" fontId="3" fillId="5" borderId="14" xfId="0" applyFont="1" applyFill="1" applyBorder="1" applyAlignment="1">
      <alignment horizontal="center" vertical="center"/>
    </xf>
    <xf numFmtId="0" fontId="3" fillId="0" borderId="31" xfId="0" applyFont="1" applyFill="1" applyBorder="1" applyAlignment="1">
      <alignment horizontal="left" vertical="center" wrapText="1"/>
    </xf>
    <xf numFmtId="0" fontId="3" fillId="6" borderId="14" xfId="0" applyFont="1" applyFill="1" applyBorder="1" applyAlignment="1">
      <alignment horizontal="center" vertical="center" wrapText="1"/>
    </xf>
    <xf numFmtId="0" fontId="2" fillId="3" borderId="14" xfId="0" applyFont="1" applyFill="1" applyBorder="1" applyAlignment="1" applyProtection="1">
      <alignment vertical="center"/>
      <protection locked="0"/>
    </xf>
    <xf numFmtId="0" fontId="3" fillId="0" borderId="0" xfId="0" applyFont="1" applyFill="1" applyAlignment="1">
      <alignment horizontal="center" vertical="center"/>
    </xf>
    <xf numFmtId="0" fontId="3" fillId="6" borderId="14" xfId="0" applyNumberFormat="1" applyFont="1" applyFill="1" applyBorder="1" applyAlignment="1">
      <alignment horizontal="center" vertical="center" wrapText="1"/>
    </xf>
    <xf numFmtId="0" fontId="3" fillId="0" borderId="14" xfId="0" applyNumberFormat="1" applyFont="1" applyFill="1" applyBorder="1" applyAlignment="1" applyProtection="1">
      <alignment horizontal="left" vertical="center" wrapText="1"/>
      <protection locked="0"/>
    </xf>
    <xf numFmtId="0" fontId="11" fillId="7" borderId="14" xfId="0" applyFont="1" applyFill="1" applyBorder="1" applyAlignment="1">
      <alignment horizontal="center" vertical="center"/>
    </xf>
    <xf numFmtId="0" fontId="3" fillId="7" borderId="14" xfId="0" applyFont="1" applyFill="1" applyBorder="1" applyAlignment="1">
      <alignment horizontal="center" vertical="center" wrapText="1"/>
    </xf>
    <xf numFmtId="0" fontId="3" fillId="3" borderId="14" xfId="0" applyFont="1" applyFill="1" applyBorder="1" applyAlignment="1" applyProtection="1">
      <alignment vertical="center"/>
      <protection locked="0"/>
    </xf>
    <xf numFmtId="0" fontId="2" fillId="0" borderId="14" xfId="0" applyFont="1" applyFill="1" applyBorder="1" applyProtection="1">
      <alignment vertical="center"/>
      <protection locked="0"/>
    </xf>
    <xf numFmtId="0" fontId="2" fillId="8" borderId="14" xfId="0" applyFont="1" applyFill="1" applyBorder="1">
      <alignment vertical="center"/>
    </xf>
    <xf numFmtId="0" fontId="12" fillId="12" borderId="48" xfId="0" applyFont="1" applyFill="1" applyBorder="1" applyAlignment="1">
      <alignment horizontal="center" vertical="center"/>
    </xf>
    <xf numFmtId="0" fontId="13" fillId="11" borderId="48" xfId="0" applyFont="1" applyFill="1" applyBorder="1" applyAlignment="1">
      <alignment horizontal="center" vertical="center"/>
    </xf>
    <xf numFmtId="0" fontId="3" fillId="0" borderId="0" xfId="0" applyFont="1" applyFill="1" applyAlignment="1">
      <alignment horizontal="left" vertical="center" indent="1"/>
    </xf>
    <xf numFmtId="0" fontId="2" fillId="0" borderId="0" xfId="0" applyFont="1" applyFill="1" applyBorder="1" applyAlignment="1">
      <alignment horizontal="center" vertical="center"/>
    </xf>
    <xf numFmtId="0" fontId="2" fillId="0" borderId="0" xfId="0" applyFont="1" applyFill="1" applyBorder="1" applyAlignment="1">
      <alignment horizontal="right" vertical="center"/>
    </xf>
    <xf numFmtId="0" fontId="3" fillId="0" borderId="18" xfId="0" applyFont="1" applyFill="1" applyBorder="1" applyAlignment="1">
      <alignment vertical="center"/>
    </xf>
    <xf numFmtId="0" fontId="3" fillId="0" borderId="12" xfId="0" applyFont="1" applyFill="1" applyBorder="1" applyAlignment="1">
      <alignment vertical="center"/>
    </xf>
    <xf numFmtId="0" fontId="3" fillId="0" borderId="7" xfId="0" applyFont="1" applyFill="1" applyBorder="1" applyAlignment="1">
      <alignment vertical="center" textRotation="255"/>
    </xf>
    <xf numFmtId="0" fontId="5" fillId="0" borderId="8" xfId="0" applyFont="1" applyFill="1" applyBorder="1" applyAlignment="1">
      <alignment horizontal="center" vertical="center"/>
    </xf>
    <xf numFmtId="0" fontId="3" fillId="0" borderId="39" xfId="0" applyFont="1" applyFill="1" applyBorder="1" applyAlignment="1">
      <alignment horizontal="left" vertical="top" wrapText="1"/>
    </xf>
    <xf numFmtId="0" fontId="3" fillId="0" borderId="19" xfId="0" applyFont="1" applyFill="1" applyBorder="1" applyAlignment="1">
      <alignment vertical="center" textRotation="255"/>
    </xf>
    <xf numFmtId="0" fontId="5" fillId="0" borderId="51" xfId="0" applyFont="1" applyFill="1" applyBorder="1" applyAlignment="1">
      <alignment horizontal="center" vertical="center"/>
    </xf>
    <xf numFmtId="0" fontId="3" fillId="0" borderId="43" xfId="0" applyFont="1" applyFill="1" applyBorder="1" applyAlignment="1">
      <alignment horizontal="left" vertical="top" wrapText="1"/>
    </xf>
    <xf numFmtId="0" fontId="3" fillId="0" borderId="0" xfId="0" applyFont="1" applyFill="1" applyAlignment="1">
      <alignment horizontal="left" vertical="top" wrapText="1"/>
    </xf>
    <xf numFmtId="0" fontId="3" fillId="0" borderId="31" xfId="0" applyFont="1" applyFill="1" applyBorder="1">
      <alignment vertical="center"/>
    </xf>
    <xf numFmtId="0" fontId="2" fillId="0" borderId="0" xfId="0" applyFont="1" applyFill="1" applyBorder="1" applyAlignment="1">
      <alignment horizontal="left" vertical="center" indent="1"/>
    </xf>
    <xf numFmtId="0" fontId="3" fillId="0" borderId="14" xfId="0" applyFont="1" applyFill="1" applyBorder="1" applyAlignment="1">
      <alignment horizontal="right" vertical="center"/>
    </xf>
    <xf numFmtId="0" fontId="15" fillId="0" borderId="0" xfId="0" applyFont="1" applyFill="1" applyBorder="1" applyAlignment="1">
      <alignment vertical="top" wrapText="1" shrinkToFit="1"/>
    </xf>
    <xf numFmtId="0" fontId="3" fillId="13" borderId="14" xfId="0" applyFont="1" applyFill="1" applyBorder="1" applyAlignment="1">
      <alignment horizontal="center" vertical="center" wrapText="1"/>
    </xf>
    <xf numFmtId="0" fontId="3" fillId="0" borderId="14" xfId="0" applyFont="1" applyFill="1" applyBorder="1" applyAlignment="1" applyProtection="1">
      <alignment horizontal="center" vertical="center"/>
      <protection locked="0"/>
    </xf>
    <xf numFmtId="0" fontId="3" fillId="0" borderId="30" xfId="0" applyFont="1" applyBorder="1" applyAlignment="1" applyProtection="1">
      <alignment vertical="center" wrapText="1" shrinkToFit="1"/>
      <protection locked="0"/>
    </xf>
    <xf numFmtId="0" fontId="2" fillId="0" borderId="14" xfId="0" applyFont="1" applyBorder="1" applyAlignment="1" applyProtection="1">
      <alignment horizontal="center" vertical="center"/>
      <protection locked="0"/>
    </xf>
    <xf numFmtId="0" fontId="3" fillId="0" borderId="14" xfId="0" applyFont="1" applyBorder="1" applyAlignment="1" applyProtection="1">
      <alignment horizontal="center" vertical="center"/>
      <protection locked="0"/>
    </xf>
    <xf numFmtId="0" fontId="3" fillId="0" borderId="0" xfId="0" applyFont="1" applyAlignment="1">
      <alignment vertical="center" textRotation="255"/>
    </xf>
    <xf numFmtId="0" fontId="3" fillId="0" borderId="0" xfId="0" applyFont="1">
      <alignment vertical="center"/>
    </xf>
    <xf numFmtId="0" fontId="9" fillId="0" borderId="0" xfId="0" applyFont="1">
      <alignment vertical="center"/>
    </xf>
    <xf numFmtId="0" fontId="16" fillId="0" borderId="14" xfId="0" applyFont="1" applyBorder="1" applyProtection="1">
      <alignment vertical="center"/>
      <protection locked="0"/>
    </xf>
    <xf numFmtId="0" fontId="8" fillId="2" borderId="14" xfId="0" applyFont="1" applyFill="1" applyBorder="1" applyAlignment="1">
      <alignment horizontal="center" vertical="center" wrapText="1"/>
    </xf>
    <xf numFmtId="0" fontId="3" fillId="0" borderId="31" xfId="0" applyFont="1" applyBorder="1" applyAlignment="1">
      <alignment horizontal="left" vertical="center" wrapText="1"/>
    </xf>
    <xf numFmtId="0" fontId="2" fillId="3" borderId="14" xfId="0" applyFont="1" applyFill="1" applyBorder="1" applyProtection="1">
      <alignment vertical="center"/>
      <protection locked="0"/>
    </xf>
    <xf numFmtId="0" fontId="16" fillId="0" borderId="14" xfId="0" applyFont="1" applyBorder="1" applyAlignment="1" applyProtection="1">
      <alignment vertical="center" wrapText="1"/>
      <protection locked="0"/>
    </xf>
    <xf numFmtId="0" fontId="17" fillId="0" borderId="52" xfId="0" applyFont="1" applyBorder="1" applyAlignment="1" applyProtection="1">
      <alignment vertical="center" wrapText="1"/>
      <protection locked="0"/>
    </xf>
    <xf numFmtId="0" fontId="18" fillId="0" borderId="52" xfId="0" applyFont="1" applyBorder="1" applyAlignment="1" applyProtection="1">
      <alignment vertical="center" wrapText="1"/>
      <protection locked="0"/>
    </xf>
    <xf numFmtId="0" fontId="19" fillId="0" borderId="0" xfId="0" applyFont="1" applyProtection="1">
      <alignment vertical="center"/>
      <protection locked="0"/>
    </xf>
    <xf numFmtId="0" fontId="20" fillId="0" borderId="14" xfId="0" applyFont="1" applyBorder="1" applyAlignment="1" applyProtection="1">
      <alignment vertical="center" wrapText="1"/>
      <protection locked="0"/>
    </xf>
    <xf numFmtId="0" fontId="11" fillId="7" borderId="14" xfId="0" applyNumberFormat="1" applyFont="1" applyFill="1" applyBorder="1" applyAlignment="1">
      <alignment horizontal="center" vertical="center"/>
    </xf>
    <xf numFmtId="0" fontId="3" fillId="8" borderId="0" xfId="0" applyFont="1" applyFill="1" applyBorder="1" applyAlignment="1">
      <alignment horizontal="left" vertical="center" wrapText="1"/>
    </xf>
    <xf numFmtId="0" fontId="3" fillId="3" borderId="14" xfId="0" applyFont="1" applyFill="1" applyBorder="1" applyAlignment="1" applyProtection="1">
      <alignment horizontal="left" vertical="center"/>
    </xf>
    <xf numFmtId="0" fontId="13" fillId="11" borderId="49" xfId="0" applyFont="1" applyFill="1" applyBorder="1" applyAlignment="1">
      <alignment horizontal="center" vertical="center"/>
    </xf>
    <xf numFmtId="0" fontId="13" fillId="11" borderId="50" xfId="0" applyFont="1" applyFill="1" applyBorder="1" applyAlignment="1">
      <alignment horizontal="center" vertical="center"/>
    </xf>
    <xf numFmtId="0" fontId="2" fillId="0" borderId="42" xfId="0" applyFont="1" applyFill="1" applyBorder="1" applyAlignment="1">
      <alignment horizontal="left" vertical="top" wrapText="1"/>
    </xf>
    <xf numFmtId="0" fontId="2" fillId="0" borderId="31" xfId="0" applyFont="1" applyFill="1" applyBorder="1" applyAlignment="1">
      <alignment horizontal="left" vertical="top" wrapText="1"/>
    </xf>
    <xf numFmtId="0" fontId="2" fillId="0" borderId="32" xfId="0" applyFont="1" applyFill="1" applyBorder="1" applyAlignment="1">
      <alignment horizontal="left" vertical="top" wrapText="1"/>
    </xf>
    <xf numFmtId="0" fontId="3" fillId="0" borderId="30" xfId="0" applyFont="1" applyFill="1" applyBorder="1" applyAlignment="1">
      <alignment horizontal="center" vertical="center"/>
    </xf>
    <xf numFmtId="0" fontId="3" fillId="0" borderId="31" xfId="0" applyFont="1" applyFill="1" applyBorder="1" applyAlignment="1">
      <alignment horizontal="center" vertical="center"/>
    </xf>
    <xf numFmtId="0" fontId="3" fillId="0" borderId="32" xfId="0" applyFont="1" applyFill="1" applyBorder="1" applyAlignment="1">
      <alignment horizontal="center" vertical="center"/>
    </xf>
    <xf numFmtId="0" fontId="3" fillId="0" borderId="21" xfId="0" applyFont="1" applyFill="1" applyBorder="1" applyAlignment="1">
      <alignment horizontal="left" vertical="center" shrinkToFit="1"/>
    </xf>
    <xf numFmtId="0" fontId="3" fillId="0" borderId="22" xfId="0" applyFont="1" applyFill="1" applyBorder="1" applyAlignment="1">
      <alignment horizontal="left" vertical="center" shrinkToFit="1"/>
    </xf>
    <xf numFmtId="0" fontId="3" fillId="0" borderId="23" xfId="0" applyFont="1" applyFill="1" applyBorder="1" applyAlignment="1">
      <alignment horizontal="left" vertical="center" shrinkToFit="1"/>
    </xf>
    <xf numFmtId="0" fontId="3" fillId="0" borderId="24" xfId="0" applyFont="1" applyFill="1" applyBorder="1" applyAlignment="1">
      <alignment horizontal="left" vertical="center" shrinkToFit="1"/>
    </xf>
    <xf numFmtId="0" fontId="3" fillId="0" borderId="25" xfId="0" applyFont="1" applyFill="1" applyBorder="1" applyAlignment="1">
      <alignment horizontal="left" vertical="center" shrinkToFit="1"/>
    </xf>
    <xf numFmtId="0" fontId="3" fillId="0" borderId="26" xfId="0" applyFont="1" applyFill="1" applyBorder="1" applyAlignment="1">
      <alignment horizontal="left" vertical="center" shrinkToFit="1"/>
    </xf>
    <xf numFmtId="0" fontId="3" fillId="0" borderId="8" xfId="0" applyFont="1" applyFill="1" applyBorder="1" applyAlignment="1">
      <alignment horizontal="center" vertical="center"/>
    </xf>
    <xf numFmtId="0" fontId="3" fillId="0" borderId="39" xfId="0" applyFont="1" applyFill="1" applyBorder="1" applyAlignment="1">
      <alignment horizontal="center" vertical="center"/>
    </xf>
    <xf numFmtId="0" fontId="3" fillId="0" borderId="29" xfId="0" applyFont="1" applyFill="1" applyBorder="1" applyAlignment="1">
      <alignment horizontal="left" vertical="center"/>
    </xf>
    <xf numFmtId="0" fontId="3" fillId="0" borderId="5" xfId="0" applyFont="1" applyFill="1" applyBorder="1" applyAlignment="1">
      <alignment horizontal="left" vertical="center"/>
    </xf>
    <xf numFmtId="0" fontId="5" fillId="0" borderId="2" xfId="0" applyFont="1" applyFill="1" applyBorder="1" applyAlignment="1">
      <alignment horizontal="center" vertical="center"/>
    </xf>
    <xf numFmtId="0" fontId="5" fillId="0" borderId="33" xfId="0" applyFont="1" applyFill="1" applyBorder="1" applyAlignment="1">
      <alignment horizontal="center" vertical="center"/>
    </xf>
    <xf numFmtId="0" fontId="5" fillId="0" borderId="0" xfId="0" applyFont="1" applyFill="1" applyBorder="1" applyAlignment="1">
      <alignment horizontal="center" vertical="center"/>
    </xf>
    <xf numFmtId="0" fontId="5" fillId="0" borderId="34" xfId="0" applyFont="1" applyFill="1" applyBorder="1" applyAlignment="1">
      <alignment horizontal="center" vertical="center"/>
    </xf>
    <xf numFmtId="0" fontId="6" fillId="0" borderId="8" xfId="0" applyFont="1" applyFill="1" applyBorder="1" applyAlignment="1">
      <alignment horizontal="left" vertical="top" wrapText="1" shrinkToFit="1"/>
    </xf>
    <xf numFmtId="0" fontId="6" fillId="0" borderId="39" xfId="0" applyFont="1" applyFill="1" applyBorder="1" applyAlignment="1">
      <alignment horizontal="left" vertical="top" wrapText="1" shrinkToFit="1"/>
    </xf>
    <xf numFmtId="0" fontId="3" fillId="0" borderId="18" xfId="0" applyFont="1" applyFill="1" applyBorder="1" applyAlignment="1">
      <alignment horizontal="center" vertical="center" textRotation="255"/>
    </xf>
    <xf numFmtId="0" fontId="3" fillId="0" borderId="19" xfId="0" applyFont="1" applyFill="1" applyBorder="1" applyAlignment="1">
      <alignment horizontal="center" vertical="center" textRotation="255"/>
    </xf>
    <xf numFmtId="0" fontId="3" fillId="0" borderId="20" xfId="0" applyFont="1" applyFill="1" applyBorder="1" applyAlignment="1">
      <alignment horizontal="center" vertical="center" textRotation="255"/>
    </xf>
    <xf numFmtId="0" fontId="3" fillId="0" borderId="0" xfId="0" applyNumberFormat="1" applyFont="1" applyFill="1" applyBorder="1" applyAlignment="1">
      <alignment horizontal="center" vertical="center"/>
    </xf>
    <xf numFmtId="0" fontId="2" fillId="0" borderId="0" xfId="0" applyFont="1" applyFill="1" applyBorder="1" applyAlignment="1">
      <alignment horizontal="center" vertical="center"/>
    </xf>
    <xf numFmtId="0" fontId="3" fillId="0" borderId="1"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38" xfId="0" applyFont="1" applyFill="1" applyBorder="1" applyAlignment="1">
      <alignment horizontal="center" vertical="center"/>
    </xf>
    <xf numFmtId="0" fontId="3" fillId="0" borderId="15" xfId="0" applyFont="1" applyBorder="1" applyAlignment="1">
      <alignment horizontal="left" vertical="center" shrinkToFit="1"/>
    </xf>
    <xf numFmtId="0" fontId="3" fillId="0" borderId="22" xfId="0" applyFont="1" applyBorder="1" applyAlignment="1">
      <alignment horizontal="left" vertical="center" shrinkToFit="1"/>
    </xf>
    <xf numFmtId="0" fontId="3" fillId="0" borderId="23" xfId="0" applyFont="1" applyBorder="1" applyAlignment="1">
      <alignment horizontal="left" vertical="center" shrinkToFit="1"/>
    </xf>
    <xf numFmtId="0" fontId="3" fillId="0" borderId="16" xfId="0" applyFont="1" applyBorder="1" applyAlignment="1">
      <alignment horizontal="left" vertical="center" shrinkToFit="1"/>
    </xf>
    <xf numFmtId="0" fontId="0" fillId="0" borderId="25" xfId="0" applyBorder="1" applyAlignment="1">
      <alignment horizontal="left" vertical="center" shrinkToFit="1"/>
    </xf>
    <xf numFmtId="0" fontId="0" fillId="0" borderId="26" xfId="0" applyBorder="1" applyAlignment="1">
      <alignment horizontal="left" vertical="center" shrinkToFit="1"/>
    </xf>
    <xf numFmtId="0" fontId="3" fillId="0" borderId="35" xfId="0" applyFont="1" applyFill="1" applyBorder="1" applyAlignment="1">
      <alignment horizontal="left" vertical="center" shrinkToFit="1"/>
    </xf>
    <xf numFmtId="0" fontId="3" fillId="0" borderId="36" xfId="0" applyFont="1" applyFill="1" applyBorder="1" applyAlignment="1">
      <alignment horizontal="left" vertical="center" shrinkToFit="1"/>
    </xf>
    <xf numFmtId="0" fontId="3" fillId="0" borderId="37" xfId="0" applyFont="1" applyFill="1" applyBorder="1" applyAlignment="1">
      <alignment horizontal="left" vertical="center" shrinkToFit="1"/>
    </xf>
    <xf numFmtId="0" fontId="3" fillId="0" borderId="27" xfId="0" applyFont="1" applyFill="1" applyBorder="1" applyAlignment="1">
      <alignment horizontal="left" vertical="center"/>
    </xf>
    <xf numFmtId="0" fontId="3" fillId="0" borderId="28" xfId="0" applyFont="1" applyFill="1" applyBorder="1" applyAlignment="1">
      <alignment horizontal="left" vertical="center"/>
    </xf>
    <xf numFmtId="0" fontId="3" fillId="0" borderId="30" xfId="0" applyFont="1" applyFill="1" applyBorder="1" applyAlignment="1">
      <alignment horizontal="center" vertical="center" shrinkToFit="1"/>
    </xf>
    <xf numFmtId="0" fontId="3" fillId="0" borderId="44" xfId="0" applyFont="1" applyFill="1" applyBorder="1" applyAlignment="1">
      <alignment horizontal="center" vertical="center" shrinkToFit="1"/>
    </xf>
    <xf numFmtId="0" fontId="3" fillId="0" borderId="8" xfId="0" applyFont="1" applyFill="1" applyBorder="1" applyAlignment="1">
      <alignment horizontal="left" vertical="center" wrapText="1" shrinkToFit="1"/>
    </xf>
    <xf numFmtId="0" fontId="3" fillId="0" borderId="39" xfId="0" applyFont="1" applyFill="1" applyBorder="1" applyAlignment="1">
      <alignment horizontal="left" vertical="center" wrapText="1" shrinkToFit="1"/>
    </xf>
    <xf numFmtId="0" fontId="3" fillId="0" borderId="11" xfId="0" applyNumberFormat="1" applyFont="1" applyFill="1" applyBorder="1" applyAlignment="1">
      <alignment horizontal="left" vertical="top" wrapText="1"/>
    </xf>
    <xf numFmtId="0" fontId="3" fillId="0" borderId="9" xfId="0" applyNumberFormat="1" applyFont="1" applyFill="1" applyBorder="1" applyAlignment="1">
      <alignment horizontal="left" vertical="top" wrapText="1"/>
    </xf>
    <xf numFmtId="0" fontId="3" fillId="0" borderId="10" xfId="0" applyNumberFormat="1" applyFont="1" applyFill="1" applyBorder="1" applyAlignment="1">
      <alignment horizontal="left" vertical="top" wrapText="1"/>
    </xf>
    <xf numFmtId="0" fontId="3" fillId="0" borderId="40" xfId="0" applyNumberFormat="1" applyFont="1" applyFill="1" applyBorder="1" applyAlignment="1">
      <alignment horizontal="left" vertical="top" wrapText="1"/>
    </xf>
    <xf numFmtId="0" fontId="3" fillId="0" borderId="0" xfId="0" applyNumberFormat="1" applyFont="1" applyFill="1" applyBorder="1" applyAlignment="1">
      <alignment horizontal="left" vertical="top" wrapText="1"/>
    </xf>
    <xf numFmtId="0" fontId="3" fillId="0" borderId="34" xfId="0" applyNumberFormat="1" applyFont="1" applyFill="1" applyBorder="1" applyAlignment="1">
      <alignment horizontal="left" vertical="top" wrapText="1"/>
    </xf>
    <xf numFmtId="0" fontId="3" fillId="0" borderId="41" xfId="0" applyNumberFormat="1" applyFont="1" applyFill="1" applyBorder="1" applyAlignment="1">
      <alignment horizontal="left" vertical="top" wrapText="1"/>
    </xf>
    <xf numFmtId="0" fontId="3" fillId="0" borderId="1" xfId="0" applyNumberFormat="1" applyFont="1" applyFill="1" applyBorder="1" applyAlignment="1">
      <alignment horizontal="left" vertical="top" wrapText="1"/>
    </xf>
    <xf numFmtId="0" fontId="3" fillId="0" borderId="38" xfId="0" applyNumberFormat="1" applyFont="1" applyFill="1" applyBorder="1" applyAlignment="1">
      <alignment horizontal="left" vertical="top" wrapText="1"/>
    </xf>
    <xf numFmtId="0" fontId="3" fillId="0" borderId="17" xfId="0" applyFont="1" applyBorder="1" applyAlignment="1">
      <alignment horizontal="left" vertical="center" shrinkToFit="1"/>
    </xf>
    <xf numFmtId="0" fontId="0" fillId="0" borderId="36" xfId="0" applyBorder="1" applyAlignment="1">
      <alignment horizontal="left" vertical="center" shrinkToFit="1"/>
    </xf>
    <xf numFmtId="0" fontId="0" fillId="0" borderId="37" xfId="0" applyBorder="1" applyAlignment="1">
      <alignment horizontal="left" vertical="center" shrinkToFit="1"/>
    </xf>
    <xf numFmtId="0" fontId="3" fillId="0" borderId="16" xfId="0" applyFont="1" applyFill="1" applyBorder="1" applyAlignment="1">
      <alignment horizontal="left" vertical="center" shrinkToFit="1"/>
    </xf>
    <xf numFmtId="49" fontId="3" fillId="0" borderId="0" xfId="0" applyNumberFormat="1" applyFont="1" applyFill="1" applyBorder="1" applyAlignment="1">
      <alignment horizontal="center" vertical="center"/>
    </xf>
    <xf numFmtId="0" fontId="2" fillId="0" borderId="8" xfId="0" applyFont="1" applyFill="1" applyBorder="1" applyAlignment="1">
      <alignment horizontal="left" vertical="top" wrapText="1"/>
    </xf>
    <xf numFmtId="0" fontId="2" fillId="0" borderId="39" xfId="0" applyFont="1" applyFill="1" applyBorder="1" applyAlignment="1">
      <alignment horizontal="left" vertical="top" wrapText="1"/>
    </xf>
    <xf numFmtId="0" fontId="3" fillId="0" borderId="30" xfId="0" applyNumberFormat="1" applyFont="1" applyFill="1" applyBorder="1" applyAlignment="1" applyProtection="1">
      <alignment horizontal="left" vertical="center" wrapText="1"/>
      <protection locked="0"/>
    </xf>
    <xf numFmtId="0" fontId="3" fillId="0" borderId="31" xfId="0" applyNumberFormat="1" applyFont="1" applyFill="1" applyBorder="1" applyAlignment="1" applyProtection="1">
      <alignment horizontal="left" vertical="center" wrapText="1"/>
      <protection locked="0"/>
    </xf>
    <xf numFmtId="0" fontId="3" fillId="0" borderId="32" xfId="0" applyNumberFormat="1" applyFont="1" applyFill="1" applyBorder="1" applyAlignment="1" applyProtection="1">
      <alignment horizontal="left" vertical="center" wrapText="1"/>
      <protection locked="0"/>
    </xf>
    <xf numFmtId="0" fontId="7" fillId="4" borderId="45" xfId="0" applyFont="1" applyFill="1" applyBorder="1" applyAlignment="1">
      <alignment horizontal="left" vertical="center" wrapText="1"/>
    </xf>
    <xf numFmtId="0" fontId="7" fillId="4" borderId="46" xfId="0" applyFont="1" applyFill="1" applyBorder="1" applyAlignment="1">
      <alignment horizontal="left" vertical="center" wrapText="1"/>
    </xf>
    <xf numFmtId="0" fontId="7" fillId="4" borderId="41" xfId="0" applyFont="1" applyFill="1" applyBorder="1" applyAlignment="1">
      <alignment horizontal="left" vertical="center" wrapText="1"/>
    </xf>
    <xf numFmtId="0" fontId="3" fillId="6" borderId="30" xfId="0" applyNumberFormat="1" applyFont="1" applyFill="1" applyBorder="1" applyAlignment="1">
      <alignment horizontal="center" vertical="center" wrapText="1"/>
    </xf>
    <xf numFmtId="0" fontId="3" fillId="6" borderId="31" xfId="0" applyNumberFormat="1" applyFont="1" applyFill="1" applyBorder="1" applyAlignment="1">
      <alignment horizontal="center" vertical="center" wrapText="1"/>
    </xf>
    <xf numFmtId="0" fontId="3" fillId="6" borderId="32" xfId="0" applyNumberFormat="1" applyFont="1" applyFill="1" applyBorder="1" applyAlignment="1">
      <alignment horizontal="center" vertical="center" wrapText="1"/>
    </xf>
    <xf numFmtId="0" fontId="3" fillId="0" borderId="30" xfId="0" applyFont="1" applyBorder="1" applyAlignment="1" applyProtection="1">
      <alignment horizontal="left" vertical="center" wrapText="1"/>
      <protection locked="0"/>
    </xf>
    <xf numFmtId="0" fontId="3" fillId="0" borderId="31" xfId="0" applyFont="1" applyBorder="1" applyAlignment="1" applyProtection="1">
      <alignment horizontal="left" vertical="center" wrapText="1"/>
      <protection locked="0"/>
    </xf>
    <xf numFmtId="0" fontId="3" fillId="0" borderId="32" xfId="0" applyFont="1" applyBorder="1" applyAlignment="1" applyProtection="1">
      <alignment horizontal="left" vertical="center" wrapText="1"/>
      <protection locked="0"/>
    </xf>
    <xf numFmtId="0" fontId="3" fillId="6" borderId="30" xfId="0" applyFont="1" applyFill="1" applyBorder="1" applyAlignment="1">
      <alignment horizontal="center" vertical="center" wrapText="1"/>
    </xf>
    <xf numFmtId="0" fontId="3" fillId="6" borderId="31" xfId="0" applyFont="1" applyFill="1" applyBorder="1" applyAlignment="1">
      <alignment horizontal="center" vertical="center" wrapText="1"/>
    </xf>
    <xf numFmtId="0" fontId="3" fillId="6" borderId="32" xfId="0" applyFont="1" applyFill="1" applyBorder="1" applyAlignment="1">
      <alignment horizontal="center" vertical="center" wrapText="1"/>
    </xf>
    <xf numFmtId="0" fontId="3" fillId="8" borderId="33" xfId="0" applyFont="1" applyFill="1" applyBorder="1" applyAlignment="1">
      <alignment horizontal="left" vertical="center" wrapText="1"/>
    </xf>
    <xf numFmtId="0" fontId="3" fillId="8" borderId="34" xfId="0" applyFont="1" applyFill="1" applyBorder="1" applyAlignment="1">
      <alignment horizontal="left" vertical="center" wrapText="1"/>
    </xf>
    <xf numFmtId="0" fontId="3" fillId="9" borderId="30" xfId="0" applyFont="1" applyFill="1" applyBorder="1" applyAlignment="1">
      <alignment horizontal="left" vertical="center" wrapText="1"/>
    </xf>
    <xf numFmtId="0" fontId="3" fillId="9" borderId="31" xfId="0" applyFont="1" applyFill="1" applyBorder="1" applyAlignment="1">
      <alignment horizontal="left" vertical="center" wrapText="1"/>
    </xf>
    <xf numFmtId="0" fontId="3" fillId="9" borderId="32" xfId="0" applyFont="1" applyFill="1" applyBorder="1" applyAlignment="1">
      <alignment horizontal="left" vertical="center" wrapText="1"/>
    </xf>
    <xf numFmtId="0" fontId="3" fillId="0" borderId="30" xfId="0" applyNumberFormat="1" applyFont="1" applyFill="1" applyBorder="1" applyAlignment="1" applyProtection="1">
      <alignment horizontal="left" vertical="top" wrapText="1"/>
      <protection locked="0"/>
    </xf>
    <xf numFmtId="0" fontId="3" fillId="0" borderId="31" xfId="0" applyNumberFormat="1" applyFont="1" applyFill="1" applyBorder="1" applyAlignment="1" applyProtection="1">
      <alignment horizontal="left" vertical="top" wrapText="1"/>
      <protection locked="0"/>
    </xf>
    <xf numFmtId="0" fontId="3" fillId="0" borderId="32" xfId="0" applyNumberFormat="1" applyFont="1" applyFill="1" applyBorder="1" applyAlignment="1" applyProtection="1">
      <alignment horizontal="left" vertical="top" wrapText="1"/>
      <protection locked="0"/>
    </xf>
    <xf numFmtId="0" fontId="3" fillId="10" borderId="30" xfId="0" applyFont="1" applyFill="1" applyBorder="1" applyAlignment="1">
      <alignment horizontal="left" vertical="center"/>
    </xf>
    <xf numFmtId="0" fontId="3" fillId="10" borderId="31" xfId="0" applyFont="1" applyFill="1" applyBorder="1" applyAlignment="1">
      <alignment horizontal="left" vertical="center"/>
    </xf>
    <xf numFmtId="0" fontId="3" fillId="10" borderId="32" xfId="0" applyFont="1" applyFill="1" applyBorder="1" applyAlignment="1">
      <alignment horizontal="left" vertical="center"/>
    </xf>
    <xf numFmtId="0" fontId="11" fillId="7" borderId="30" xfId="0" applyNumberFormat="1" applyFont="1" applyFill="1" applyBorder="1" applyAlignment="1">
      <alignment horizontal="center" vertical="center"/>
    </xf>
    <xf numFmtId="0" fontId="11" fillId="7" borderId="31" xfId="0" applyNumberFormat="1" applyFont="1" applyFill="1" applyBorder="1" applyAlignment="1">
      <alignment horizontal="center" vertical="center"/>
    </xf>
    <xf numFmtId="0" fontId="11" fillId="7" borderId="32" xfId="0" applyNumberFormat="1" applyFont="1" applyFill="1" applyBorder="1" applyAlignment="1">
      <alignment horizontal="center" vertical="center"/>
    </xf>
    <xf numFmtId="0" fontId="3" fillId="8" borderId="14" xfId="0" applyFont="1" applyFill="1" applyBorder="1" applyAlignment="1">
      <alignment horizontal="left" vertical="center"/>
    </xf>
    <xf numFmtId="0" fontId="3" fillId="8" borderId="47" xfId="0" applyFont="1" applyFill="1" applyBorder="1" applyAlignment="1">
      <alignment horizontal="left" vertical="center"/>
    </xf>
    <xf numFmtId="0" fontId="3" fillId="8" borderId="2" xfId="0" applyFont="1" applyFill="1" applyBorder="1" applyAlignment="1">
      <alignment horizontal="left" vertical="center"/>
    </xf>
    <xf numFmtId="0" fontId="3" fillId="8" borderId="33" xfId="0" applyFont="1" applyFill="1" applyBorder="1" applyAlignment="1">
      <alignment horizontal="left" vertical="center"/>
    </xf>
    <xf numFmtId="0" fontId="3" fillId="8" borderId="30" xfId="0" applyFont="1" applyFill="1" applyBorder="1" applyAlignment="1">
      <alignment horizontal="left" vertical="center"/>
    </xf>
    <xf numFmtId="0" fontId="3" fillId="8" borderId="31" xfId="0" applyFont="1" applyFill="1" applyBorder="1" applyAlignment="1">
      <alignment horizontal="left" vertical="center"/>
    </xf>
    <xf numFmtId="0" fontId="3" fillId="8" borderId="32" xfId="0" applyFont="1" applyFill="1" applyBorder="1" applyAlignment="1">
      <alignment horizontal="left" vertical="center"/>
    </xf>
    <xf numFmtId="0" fontId="21" fillId="0" borderId="52" xfId="0" applyFont="1" applyBorder="1" applyAlignment="1" applyProtection="1">
      <alignment vertical="center" wrapText="1"/>
      <protection locked="0"/>
    </xf>
  </cellXfs>
  <cellStyles count="1">
    <cellStyle name="標準" xfId="0" builtinId="0"/>
  </cellStyles>
  <dxfs count="28">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condense val="0"/>
        <extend val="0"/>
        <color indexed="9"/>
      </font>
    </dxf>
    <dxf>
      <font>
        <condense val="0"/>
        <extend val="0"/>
        <color indexed="9"/>
      </font>
    </dxf>
    <dxf>
      <font>
        <condense val="0"/>
        <extend val="0"/>
        <color indexed="9"/>
      </font>
    </dxf>
    <dxf>
      <font>
        <condense val="0"/>
        <extend val="0"/>
        <color indexed="9"/>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571500</xdr:colOff>
          <xdr:row>4</xdr:row>
          <xdr:rowOff>28575</xdr:rowOff>
        </xdr:from>
        <xdr:to>
          <xdr:col>12</xdr:col>
          <xdr:colOff>123825</xdr:colOff>
          <xdr:row>5</xdr:row>
          <xdr:rowOff>95250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データ取込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571500</xdr:colOff>
          <xdr:row>10</xdr:row>
          <xdr:rowOff>76200</xdr:rowOff>
        </xdr:from>
        <xdr:to>
          <xdr:col>12</xdr:col>
          <xdr:colOff>161925</xdr:colOff>
          <xdr:row>11</xdr:row>
          <xdr:rowOff>152400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通知票 印刷</a:t>
              </a:r>
            </a:p>
          </xdr:txBody>
        </xdr:sp>
        <xdr:clientData fPrintsWithSheet="0"/>
      </xdr:twoCellAnchor>
    </mc:Choice>
    <mc:Fallback/>
  </mc:AlternateContent>
  <xdr:twoCellAnchor>
    <xdr:from>
      <xdr:col>9</xdr:col>
      <xdr:colOff>581024</xdr:colOff>
      <xdr:row>0</xdr:row>
      <xdr:rowOff>114300</xdr:rowOff>
    </xdr:from>
    <xdr:to>
      <xdr:col>17</xdr:col>
      <xdr:colOff>600074</xdr:colOff>
      <xdr:row>3</xdr:row>
      <xdr:rowOff>95250</xdr:rowOff>
    </xdr:to>
    <xdr:sp macro="" textlink="">
      <xdr:nvSpPr>
        <xdr:cNvPr id="5" name="テキスト ボックス 4"/>
        <xdr:cNvSpPr txBox="1"/>
      </xdr:nvSpPr>
      <xdr:spPr>
        <a:xfrm>
          <a:off x="8543924" y="114300"/>
          <a:ext cx="45053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t>【</a:t>
          </a:r>
          <a:r>
            <a:rPr kumimoji="1" lang="ja-JP" altLang="en-US" sz="1000"/>
            <a:t>手順</a:t>
          </a:r>
          <a:r>
            <a:rPr kumimoji="1" lang="en-US" altLang="ja-JP" sz="1000"/>
            <a:t>】</a:t>
          </a:r>
          <a:r>
            <a:rPr kumimoji="1" lang="ja-JP" altLang="en-US" sz="1000"/>
            <a:t>　　① データ取込ボタン押下　② </a:t>
          </a:r>
          <a:r>
            <a:rPr kumimoji="1" lang="ja-JP" altLang="ja-JP" sz="1000">
              <a:solidFill>
                <a:schemeClr val="dk1"/>
              </a:solidFill>
              <a:effectLst/>
              <a:latin typeface="+mn-lt"/>
              <a:ea typeface="+mn-ea"/>
              <a:cs typeface="+mn-cs"/>
            </a:rPr>
            <a:t>印刷したい生徒の番号の範囲を入力</a:t>
          </a:r>
          <a:endParaRPr kumimoji="1" lang="en-US" altLang="ja-JP" sz="1000">
            <a:solidFill>
              <a:schemeClr val="dk1"/>
            </a:solidFill>
            <a:effectLst/>
            <a:latin typeface="+mn-lt"/>
            <a:ea typeface="+mn-ea"/>
            <a:cs typeface="+mn-cs"/>
          </a:endParaRPr>
        </a:p>
        <a:p>
          <a:r>
            <a:rPr kumimoji="1" lang="ja-JP" altLang="en-US" sz="1000">
              <a:solidFill>
                <a:schemeClr val="dk1"/>
              </a:solidFill>
              <a:effectLst/>
              <a:latin typeface="+mn-lt"/>
              <a:ea typeface="+mn-ea"/>
              <a:cs typeface="+mn-cs"/>
            </a:rPr>
            <a:t>　</a:t>
          </a:r>
          <a:r>
            <a:rPr kumimoji="1" lang="ja-JP" altLang="en-US" sz="1000"/>
            <a:t>③ 通常の印刷画面でプリンタを選び、必要に応じてプロパティを変更（選ぶだけ　</a:t>
          </a:r>
          <a:endParaRPr kumimoji="1" lang="en-US" altLang="ja-JP" sz="1000"/>
        </a:p>
        <a:p>
          <a:r>
            <a:rPr kumimoji="1" lang="ja-JP" altLang="en-US" sz="1000"/>
            <a:t>　で印刷はしない）　　④ 通知票印刷 </a:t>
          </a:r>
          <a:r>
            <a:rPr kumimoji="1" lang="en-US" altLang="ja-JP" sz="1000"/>
            <a:t>or </a:t>
          </a:r>
          <a:r>
            <a:rPr kumimoji="1" lang="ja-JP" altLang="en-US" sz="1000"/>
            <a:t>所見集印刷ボタンを押下</a:t>
          </a:r>
        </a:p>
      </xdr:txBody>
    </xdr:sp>
    <xdr:clientData/>
  </xdr:twoCellAnchor>
  <xdr:twoCellAnchor>
    <xdr:from>
      <xdr:col>16</xdr:col>
      <xdr:colOff>104776</xdr:colOff>
      <xdr:row>5</xdr:row>
      <xdr:rowOff>66675</xdr:rowOff>
    </xdr:from>
    <xdr:to>
      <xdr:col>17</xdr:col>
      <xdr:colOff>561976</xdr:colOff>
      <xdr:row>7</xdr:row>
      <xdr:rowOff>114300</xdr:rowOff>
    </xdr:to>
    <xdr:sp macro="" textlink="">
      <xdr:nvSpPr>
        <xdr:cNvPr id="6" name="テキスト ボックス 5"/>
        <xdr:cNvSpPr txBox="1"/>
      </xdr:nvSpPr>
      <xdr:spPr>
        <a:xfrm>
          <a:off x="11868151" y="1171575"/>
          <a:ext cx="1143000"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mc:AlternateContent xmlns:mc="http://schemas.openxmlformats.org/markup-compatibility/2006">
    <mc:Choice xmlns:a14="http://schemas.microsoft.com/office/drawing/2010/main" Requires="a14">
      <xdr:twoCellAnchor>
        <xdr:from>
          <xdr:col>9</xdr:col>
          <xdr:colOff>571500</xdr:colOff>
          <xdr:row>12</xdr:row>
          <xdr:rowOff>47625</xdr:rowOff>
        </xdr:from>
        <xdr:to>
          <xdr:col>12</xdr:col>
          <xdr:colOff>161925</xdr:colOff>
          <xdr:row>13</xdr:row>
          <xdr:rowOff>123825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所見集 印刷</a:t>
              </a:r>
            </a:p>
          </xdr:txBody>
        </xdr:sp>
        <xdr:clientData fPrintsWithSheet="0"/>
      </xdr:twoCellAnchor>
    </mc:Choice>
    <mc:Fallback/>
  </mc:AlternateContent>
  <xdr:twoCellAnchor>
    <xdr:from>
      <xdr:col>16</xdr:col>
      <xdr:colOff>104776</xdr:colOff>
      <xdr:row>5</xdr:row>
      <xdr:rowOff>66675</xdr:rowOff>
    </xdr:from>
    <xdr:to>
      <xdr:col>17</xdr:col>
      <xdr:colOff>561976</xdr:colOff>
      <xdr:row>7</xdr:row>
      <xdr:rowOff>114300</xdr:rowOff>
    </xdr:to>
    <xdr:sp macro="" textlink="">
      <xdr:nvSpPr>
        <xdr:cNvPr id="7" name="テキスト ボックス 6"/>
        <xdr:cNvSpPr txBox="1"/>
      </xdr:nvSpPr>
      <xdr:spPr>
        <a:xfrm>
          <a:off x="12172951" y="1171575"/>
          <a:ext cx="80962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xdr:twoCellAnchor>
    <xdr:from>
      <xdr:col>16</xdr:col>
      <xdr:colOff>104776</xdr:colOff>
      <xdr:row>5</xdr:row>
      <xdr:rowOff>66675</xdr:rowOff>
    </xdr:from>
    <xdr:to>
      <xdr:col>17</xdr:col>
      <xdr:colOff>561976</xdr:colOff>
      <xdr:row>7</xdr:row>
      <xdr:rowOff>114300</xdr:rowOff>
    </xdr:to>
    <xdr:sp macro="" textlink="">
      <xdr:nvSpPr>
        <xdr:cNvPr id="8" name="テキスト ボックス 7"/>
        <xdr:cNvSpPr txBox="1"/>
      </xdr:nvSpPr>
      <xdr:spPr>
        <a:xfrm>
          <a:off x="12172951" y="1171575"/>
          <a:ext cx="80962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xdr:twoCellAnchor>
    <xdr:from>
      <xdr:col>16</xdr:col>
      <xdr:colOff>104776</xdr:colOff>
      <xdr:row>5</xdr:row>
      <xdr:rowOff>66675</xdr:rowOff>
    </xdr:from>
    <xdr:to>
      <xdr:col>17</xdr:col>
      <xdr:colOff>561976</xdr:colOff>
      <xdr:row>7</xdr:row>
      <xdr:rowOff>114300</xdr:rowOff>
    </xdr:to>
    <xdr:sp macro="" textlink="">
      <xdr:nvSpPr>
        <xdr:cNvPr id="9" name="テキスト ボックス 8"/>
        <xdr:cNvSpPr txBox="1"/>
      </xdr:nvSpPr>
      <xdr:spPr>
        <a:xfrm>
          <a:off x="12172951" y="1171575"/>
          <a:ext cx="80962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xdr:twoCellAnchor>
    <xdr:from>
      <xdr:col>16</xdr:col>
      <xdr:colOff>104776</xdr:colOff>
      <xdr:row>5</xdr:row>
      <xdr:rowOff>66675</xdr:rowOff>
    </xdr:from>
    <xdr:to>
      <xdr:col>17</xdr:col>
      <xdr:colOff>561976</xdr:colOff>
      <xdr:row>7</xdr:row>
      <xdr:rowOff>114300</xdr:rowOff>
    </xdr:to>
    <xdr:sp macro="" textlink="">
      <xdr:nvSpPr>
        <xdr:cNvPr id="10" name="テキスト ボックス 9"/>
        <xdr:cNvSpPr txBox="1"/>
      </xdr:nvSpPr>
      <xdr:spPr>
        <a:xfrm>
          <a:off x="12172951" y="1171575"/>
          <a:ext cx="80962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xdr:twoCellAnchor>
    <xdr:from>
      <xdr:col>16</xdr:col>
      <xdr:colOff>104776</xdr:colOff>
      <xdr:row>5</xdr:row>
      <xdr:rowOff>66675</xdr:rowOff>
    </xdr:from>
    <xdr:to>
      <xdr:col>17</xdr:col>
      <xdr:colOff>561976</xdr:colOff>
      <xdr:row>7</xdr:row>
      <xdr:rowOff>114300</xdr:rowOff>
    </xdr:to>
    <xdr:sp macro="" textlink="">
      <xdr:nvSpPr>
        <xdr:cNvPr id="11" name="テキスト ボックス 10"/>
        <xdr:cNvSpPr txBox="1"/>
      </xdr:nvSpPr>
      <xdr:spPr>
        <a:xfrm>
          <a:off x="12172951" y="1171575"/>
          <a:ext cx="80962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xdr:twoCellAnchor>
    <xdr:from>
      <xdr:col>15</xdr:col>
      <xdr:colOff>1247776</xdr:colOff>
      <xdr:row>5</xdr:row>
      <xdr:rowOff>76200</xdr:rowOff>
    </xdr:from>
    <xdr:to>
      <xdr:col>17</xdr:col>
      <xdr:colOff>666750</xdr:colOff>
      <xdr:row>10</xdr:row>
      <xdr:rowOff>171451</xdr:rowOff>
    </xdr:to>
    <xdr:sp macro="" textlink="">
      <xdr:nvSpPr>
        <xdr:cNvPr id="12" name="テキスト ボックス 11"/>
        <xdr:cNvSpPr txBox="1"/>
      </xdr:nvSpPr>
      <xdr:spPr>
        <a:xfrm>
          <a:off x="12001501" y="1181100"/>
          <a:ext cx="1085849" cy="12858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「所見」シートの</a:t>
          </a:r>
          <a:endParaRPr kumimoji="1" lang="en-US" altLang="ja-JP" sz="800"/>
        </a:p>
        <a:p>
          <a:r>
            <a:rPr kumimoji="1" lang="ja-JP" altLang="en-US" sz="800"/>
            <a:t>「総合所見」の見出し行（紫色の行）の行番号を入れる。</a:t>
          </a:r>
          <a:endParaRPr kumimoji="1" lang="en-US" altLang="ja-JP" sz="800"/>
        </a:p>
        <a:p>
          <a:endParaRPr kumimoji="1" lang="en-US" altLang="ja-JP" sz="800"/>
        </a:p>
        <a:p>
          <a:r>
            <a:rPr kumimoji="1" lang="ja-JP" altLang="en-US" sz="800"/>
            <a:t>（生徒増により所見シートの行数が増えた場合に対応するため）</a:t>
          </a:r>
        </a:p>
      </xdr:txBody>
    </xdr:sp>
    <xdr:clientData/>
  </xdr:twoCellAnchor>
  <mc:AlternateContent xmlns:mc="http://schemas.openxmlformats.org/markup-compatibility/2006">
    <mc:Choice xmlns:a14="http://schemas.microsoft.com/office/drawing/2010/main" Requires="a14">
      <xdr:twoCellAnchor>
        <xdr:from>
          <xdr:col>10</xdr:col>
          <xdr:colOff>66675</xdr:colOff>
          <xdr:row>83</xdr:row>
          <xdr:rowOff>200025</xdr:rowOff>
        </xdr:from>
        <xdr:to>
          <xdr:col>11</xdr:col>
          <xdr:colOff>9525</xdr:colOff>
          <xdr:row>85</xdr:row>
          <xdr:rowOff>19050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133350</xdr:colOff>
          <xdr:row>83</xdr:row>
          <xdr:rowOff>200025</xdr:rowOff>
        </xdr:from>
        <xdr:to>
          <xdr:col>12</xdr:col>
          <xdr:colOff>438150</xdr:colOff>
          <xdr:row>85</xdr:row>
          <xdr:rowOff>19050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66675</xdr:colOff>
          <xdr:row>17</xdr:row>
          <xdr:rowOff>200025</xdr:rowOff>
        </xdr:from>
        <xdr:to>
          <xdr:col>11</xdr:col>
          <xdr:colOff>9525</xdr:colOff>
          <xdr:row>19</xdr:row>
          <xdr:rowOff>19050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133350</xdr:colOff>
          <xdr:row>17</xdr:row>
          <xdr:rowOff>200025</xdr:rowOff>
        </xdr:from>
        <xdr:to>
          <xdr:col>12</xdr:col>
          <xdr:colOff>438150</xdr:colOff>
          <xdr:row>19</xdr:row>
          <xdr:rowOff>19050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Q91"/>
  <sheetViews>
    <sheetView tabSelected="1" view="pageBreakPreview" zoomScaleNormal="85" zoomScaleSheetLayoutView="100" workbookViewId="0">
      <selection activeCell="M10" sqref="M10"/>
    </sheetView>
  </sheetViews>
  <sheetFormatPr defaultRowHeight="13.5"/>
  <cols>
    <col min="1" max="2" width="4.25" style="8" customWidth="1"/>
    <col min="3" max="3" width="58.75" style="8" customWidth="1"/>
    <col min="4" max="4" width="4.625" style="8" customWidth="1"/>
    <col min="5" max="5" width="1.25" style="8" customWidth="1"/>
    <col min="6" max="6" width="16.25" style="8" customWidth="1"/>
    <col min="7" max="7" width="6.5" style="8" bestFit="1" customWidth="1"/>
    <col min="8" max="8" width="3.75" style="8" customWidth="1"/>
    <col min="9" max="9" width="4.875" style="8" customWidth="1"/>
    <col min="10" max="10" width="9" style="8"/>
    <col min="11" max="12" width="4.75" style="8" customWidth="1"/>
    <col min="13" max="13" width="9" style="8"/>
    <col min="14" max="14" width="4.75" style="8" customWidth="1"/>
    <col min="15" max="15" width="4.375" style="8" customWidth="1"/>
    <col min="16" max="16" width="17.25" style="8" customWidth="1"/>
    <col min="17" max="17" width="4.625" style="8" customWidth="1"/>
    <col min="18" max="18" width="13.25" style="8" customWidth="1"/>
    <col min="19" max="16384" width="9" style="8"/>
  </cols>
  <sheetData>
    <row r="1" spans="1:17" ht="18.75" customHeight="1">
      <c r="A1" s="120" t="str">
        <f ca="1">MID(CELL("filename",A1),FIND("[",CELL("filename",A1))+1,3)</f>
        <v>２－１</v>
      </c>
      <c r="B1" s="120"/>
      <c r="C1" s="121" t="str">
        <f ca="1">RIGHT(LEFT(CELL("filename",A1),FIND("[",CELL("filename",A1))-2),3)</f>
        <v>1学期</v>
      </c>
      <c r="D1" s="121"/>
      <c r="E1" s="121"/>
      <c r="F1" s="121"/>
      <c r="G1" s="121"/>
      <c r="H1" s="5"/>
      <c r="I1" s="5"/>
    </row>
    <row r="2" spans="1:17" ht="18.75" customHeight="1">
      <c r="A2" s="2" t="s">
        <v>19</v>
      </c>
      <c r="B2" s="1">
        <v>14</v>
      </c>
      <c r="F2" s="4" t="s">
        <v>18</v>
      </c>
      <c r="G2" s="122">
        <f ca="1">INDIRECT("'所見'!A"&amp;12+$B$2)</f>
        <v>0</v>
      </c>
      <c r="H2" s="122"/>
      <c r="I2" s="122"/>
    </row>
    <row r="3" spans="1:17" ht="12" customHeight="1">
      <c r="C3" s="9"/>
      <c r="D3" s="9"/>
      <c r="E3" s="9"/>
      <c r="F3" s="9"/>
      <c r="G3" s="9"/>
      <c r="H3" s="9"/>
      <c r="I3" s="9"/>
    </row>
    <row r="4" spans="1:17" ht="18.75" customHeight="1">
      <c r="A4" s="98" t="s">
        <v>20</v>
      </c>
      <c r="B4" s="99"/>
      <c r="C4" s="99"/>
      <c r="D4" s="99"/>
      <c r="E4" s="99"/>
      <c r="F4" s="99"/>
      <c r="G4" s="99"/>
      <c r="H4" s="99"/>
      <c r="I4" s="100"/>
    </row>
    <row r="5" spans="1:17" ht="18.75" customHeight="1">
      <c r="A5" s="19" t="s">
        <v>5</v>
      </c>
      <c r="B5" s="107" t="s">
        <v>6</v>
      </c>
      <c r="C5" s="107"/>
      <c r="D5" s="107"/>
      <c r="E5" s="107"/>
      <c r="F5" s="107"/>
      <c r="G5" s="20" t="s">
        <v>7</v>
      </c>
      <c r="H5" s="107" t="s">
        <v>8</v>
      </c>
      <c r="I5" s="108"/>
      <c r="Q5" s="71">
        <v>33</v>
      </c>
    </row>
    <row r="6" spans="1:17" ht="18.75" customHeight="1" thickBot="1">
      <c r="A6" s="117" t="s">
        <v>9</v>
      </c>
      <c r="B6" s="101" t="str">
        <f>国語!B2</f>
        <v>国語に関心を持ち、進んで読んだり、書いたりすることができる</v>
      </c>
      <c r="C6" s="102"/>
      <c r="D6" s="102"/>
      <c r="E6" s="102"/>
      <c r="F6" s="103"/>
      <c r="G6" s="21">
        <f ca="1">OFFSET(国語!C2,0,$B$2)</f>
        <v>0</v>
      </c>
      <c r="H6" s="111">
        <f ca="1">OFFSET(国語!C12,0,$B$2)</f>
        <v>0</v>
      </c>
      <c r="I6" s="112"/>
      <c r="O6" s="8">
        <v>1</v>
      </c>
      <c r="P6" s="57" t="str">
        <f ca="1">INDIRECT("'出欠'!A"&amp;9+O6)</f>
        <v>市田 琴春</v>
      </c>
    </row>
    <row r="7" spans="1:17" ht="18.75" customHeight="1" thickBot="1">
      <c r="A7" s="118"/>
      <c r="B7" s="104" t="str">
        <f>国語!B3</f>
        <v>語のまとまりや言葉の響きなどに気をつけて音読や発表をすることができる</v>
      </c>
      <c r="C7" s="105"/>
      <c r="D7" s="105"/>
      <c r="E7" s="105"/>
      <c r="F7" s="106"/>
      <c r="G7" s="17">
        <f ca="1">OFFSET(国語!C3,0,$B$2)</f>
        <v>0</v>
      </c>
      <c r="H7" s="113"/>
      <c r="I7" s="114"/>
      <c r="K7" s="93" t="s">
        <v>41</v>
      </c>
      <c r="L7" s="94"/>
      <c r="O7" s="8">
        <v>2</v>
      </c>
      <c r="P7" s="57" t="str">
        <f t="shared" ref="P7:P30" ca="1" si="0">INDIRECT("'出欠'!A"&amp;9+O7)</f>
        <v>伊藤 百音</v>
      </c>
    </row>
    <row r="8" spans="1:17" ht="18.75" customHeight="1" thickBot="1">
      <c r="A8" s="118"/>
      <c r="B8" s="104" t="str">
        <f>国語!B4</f>
        <v>大事なことを落とさないように聞いたり話したりすることができる</v>
      </c>
      <c r="C8" s="105"/>
      <c r="D8" s="105"/>
      <c r="E8" s="105"/>
      <c r="F8" s="106"/>
      <c r="G8" s="17">
        <f ca="1">OFFSET(国語!C4,0,$B$2)</f>
        <v>0</v>
      </c>
      <c r="H8" s="113"/>
      <c r="I8" s="114"/>
      <c r="K8" s="56" t="s">
        <v>42</v>
      </c>
      <c r="L8" s="56" t="s">
        <v>43</v>
      </c>
      <c r="O8" s="8">
        <v>3</v>
      </c>
      <c r="P8" s="57" t="str">
        <f t="shared" ca="1" si="0"/>
        <v>岩下 美音</v>
      </c>
    </row>
    <row r="9" spans="1:17" ht="18.75" customHeight="1" thickBot="1">
      <c r="A9" s="118"/>
      <c r="B9" s="104" t="str">
        <f>国語!B5</f>
        <v>観察したことを記録する文章を書いたり、組み立てを考えて文章を書いたりすることができる</v>
      </c>
      <c r="C9" s="105"/>
      <c r="D9" s="105"/>
      <c r="E9" s="105"/>
      <c r="F9" s="106"/>
      <c r="G9" s="17">
        <f ca="1">OFFSET(国語!C5,0,$B$2)</f>
        <v>0</v>
      </c>
      <c r="H9" s="113"/>
      <c r="I9" s="114"/>
      <c r="K9" s="55">
        <v>13</v>
      </c>
      <c r="L9" s="55">
        <v>13</v>
      </c>
      <c r="O9" s="8">
        <v>4</v>
      </c>
      <c r="P9" s="57" t="str">
        <f t="shared" ca="1" si="0"/>
        <v>大澤 涼真</v>
      </c>
    </row>
    <row r="10" spans="1:17" ht="18.75" customHeight="1">
      <c r="A10" s="118"/>
      <c r="B10" s="104" t="str">
        <f>国語!B6</f>
        <v>物語文を読んで、場面の様子を想像したり、内容を読み取ったりすることができる</v>
      </c>
      <c r="C10" s="105"/>
      <c r="D10" s="105"/>
      <c r="E10" s="105"/>
      <c r="F10" s="106"/>
      <c r="G10" s="17">
        <f ca="1">OFFSET(国語!C6,0,$B$2)</f>
        <v>0</v>
      </c>
      <c r="H10" s="113"/>
      <c r="I10" s="114"/>
      <c r="O10" s="8">
        <v>5</v>
      </c>
      <c r="P10" s="57" t="str">
        <f t="shared" ca="1" si="0"/>
        <v>笠原 由楓</v>
      </c>
    </row>
    <row r="11" spans="1:17" ht="18.75" customHeight="1">
      <c r="A11" s="118"/>
      <c r="B11" s="104" t="str">
        <f>国語!B7</f>
        <v>説明文の内容を、順を追って整理したり、理解したりすることができる</v>
      </c>
      <c r="C11" s="105"/>
      <c r="D11" s="105"/>
      <c r="E11" s="105"/>
      <c r="F11" s="106"/>
      <c r="G11" s="17">
        <f ca="1">OFFSET(国語!C7,0,$B$2)</f>
        <v>0</v>
      </c>
      <c r="H11" s="113"/>
      <c r="I11" s="114"/>
      <c r="O11" s="8">
        <v>6</v>
      </c>
      <c r="P11" s="57" t="str">
        <f t="shared" ca="1" si="0"/>
        <v>芝田 人慈</v>
      </c>
    </row>
    <row r="12" spans="1:17" ht="18.75" customHeight="1">
      <c r="A12" s="118"/>
      <c r="B12" s="104" t="str">
        <f>国語!B8</f>
        <v>学習した漢字を読んだり書いたりすることができる</v>
      </c>
      <c r="C12" s="105"/>
      <c r="D12" s="105"/>
      <c r="E12" s="105"/>
      <c r="F12" s="106"/>
      <c r="G12" s="17">
        <f ca="1">OFFSET(国語!C8,0,$B$2)</f>
        <v>0</v>
      </c>
      <c r="H12" s="113"/>
      <c r="I12" s="114"/>
      <c r="O12" s="8">
        <v>7</v>
      </c>
      <c r="P12" s="57" t="str">
        <f t="shared" ca="1" si="0"/>
        <v>菅谷 彩桜</v>
      </c>
    </row>
    <row r="13" spans="1:17" ht="18.75" customHeight="1">
      <c r="A13" s="118"/>
      <c r="B13" s="104" t="str">
        <f>国語!B9</f>
        <v>漢字の同じ部分に着目したり、丸、点、かぎの使い方を理解したりすることができる</v>
      </c>
      <c r="C13" s="105"/>
      <c r="D13" s="105"/>
      <c r="E13" s="105"/>
      <c r="F13" s="106"/>
      <c r="G13" s="17">
        <f ca="1">OFFSET(国語!C9,0,$B$2)</f>
        <v>0</v>
      </c>
      <c r="H13" s="113"/>
      <c r="I13" s="114"/>
      <c r="O13" s="8">
        <v>8</v>
      </c>
      <c r="P13" s="57" t="str">
        <f t="shared" ca="1" si="0"/>
        <v>中川 杏</v>
      </c>
    </row>
    <row r="14" spans="1:17" ht="18.75" customHeight="1">
      <c r="A14" s="118"/>
      <c r="B14" s="104" t="str">
        <f>国語!B10</f>
        <v>学習した漢字や平仮名を、形に注意しながら丁寧に書くことができる</v>
      </c>
      <c r="C14" s="105"/>
      <c r="D14" s="105"/>
      <c r="E14" s="105"/>
      <c r="F14" s="106"/>
      <c r="G14" s="17">
        <f ca="1">OFFSET(国語!C10,0,$B$2)</f>
        <v>0</v>
      </c>
      <c r="H14" s="113"/>
      <c r="I14" s="114"/>
      <c r="O14" s="8">
        <v>9</v>
      </c>
      <c r="P14" s="57" t="str">
        <f t="shared" ca="1" si="0"/>
        <v>原田 絢匡</v>
      </c>
    </row>
    <row r="15" spans="1:17" ht="18.75" customHeight="1">
      <c r="A15" s="119"/>
      <c r="B15" s="104">
        <f>国語!B11</f>
        <v>0</v>
      </c>
      <c r="C15" s="105"/>
      <c r="D15" s="105"/>
      <c r="E15" s="105"/>
      <c r="F15" s="106"/>
      <c r="G15" s="18">
        <f ca="1">OFFSET(国語!C11,0,$B$2)</f>
        <v>0</v>
      </c>
      <c r="H15" s="113"/>
      <c r="I15" s="114"/>
      <c r="O15" s="8">
        <v>10</v>
      </c>
      <c r="P15" s="57" t="str">
        <f t="shared" ca="1" si="0"/>
        <v>藤本 慎士</v>
      </c>
    </row>
    <row r="16" spans="1:17" ht="18.75" customHeight="1">
      <c r="A16" s="117" t="s">
        <v>1</v>
      </c>
      <c r="B16" s="101" t="str">
        <f>算数!B2</f>
        <v>算数に関心を持ち、進んで学習に取り組むことができる</v>
      </c>
      <c r="C16" s="102"/>
      <c r="D16" s="102"/>
      <c r="E16" s="102"/>
      <c r="F16" s="103"/>
      <c r="G16" s="21">
        <f ca="1">OFFSET(算数!C2,0,$B$2)</f>
        <v>0</v>
      </c>
      <c r="H16" s="111">
        <f ca="1">OFFSET(算数!C12,0,$B$2)</f>
        <v>0</v>
      </c>
      <c r="I16" s="112"/>
      <c r="O16" s="8">
        <v>11</v>
      </c>
      <c r="P16" s="57" t="str">
        <f t="shared" ca="1" si="0"/>
        <v>古畑 睦季</v>
      </c>
    </row>
    <row r="17" spans="1:16" ht="18.75" customHeight="1">
      <c r="A17" s="118"/>
      <c r="B17" s="104" t="str">
        <f>算数!B3</f>
        <v>簡単な事柄を整理して、表やグラフに表したり、読んだりすることができる</v>
      </c>
      <c r="C17" s="105"/>
      <c r="D17" s="105"/>
      <c r="E17" s="105"/>
      <c r="F17" s="106"/>
      <c r="G17" s="17">
        <f ca="1">OFFSET(算数!C3,0,$B$2)</f>
        <v>0</v>
      </c>
      <c r="H17" s="113"/>
      <c r="I17" s="114"/>
      <c r="L17" s="30"/>
      <c r="M17" s="30"/>
      <c r="O17" s="8">
        <v>12</v>
      </c>
      <c r="P17" s="57" t="str">
        <f t="shared" ca="1" si="0"/>
        <v>三澤 昊來</v>
      </c>
    </row>
    <row r="18" spans="1:16" ht="18.75" customHeight="1">
      <c r="A18" s="118"/>
      <c r="B18" s="104" t="str">
        <f>算数!B4</f>
        <v>２けたの数のたし算を、筆算を使って計算することができる</v>
      </c>
      <c r="C18" s="105"/>
      <c r="D18" s="105"/>
      <c r="E18" s="105"/>
      <c r="F18" s="106"/>
      <c r="G18" s="17">
        <f ca="1">OFFSET(算数!C4,0,$B$2)</f>
        <v>0</v>
      </c>
      <c r="H18" s="113"/>
      <c r="I18" s="114"/>
      <c r="L18" s="30"/>
      <c r="M18" s="30"/>
      <c r="O18" s="8">
        <v>13</v>
      </c>
      <c r="P18" s="57" t="str">
        <f t="shared" ca="1" si="0"/>
        <v>吉村 騰堂</v>
      </c>
    </row>
    <row r="19" spans="1:16" ht="18.75" customHeight="1">
      <c r="A19" s="118"/>
      <c r="B19" s="104" t="str">
        <f>算数!B5</f>
        <v>２けたの数のひき算を、筆算を使って計算することができる</v>
      </c>
      <c r="C19" s="105"/>
      <c r="D19" s="105"/>
      <c r="E19" s="105"/>
      <c r="F19" s="106"/>
      <c r="G19" s="17">
        <f ca="1">OFFSET(算数!C5,0,$B$2)</f>
        <v>0</v>
      </c>
      <c r="H19" s="113"/>
      <c r="I19" s="114"/>
      <c r="L19" s="72">
        <f>番号</f>
        <v>14</v>
      </c>
      <c r="M19" s="30"/>
      <c r="O19" s="8">
        <v>14</v>
      </c>
      <c r="P19" s="57">
        <f t="shared" ca="1" si="0"/>
        <v>0</v>
      </c>
    </row>
    <row r="20" spans="1:16" ht="18.75" customHeight="1">
      <c r="A20" s="118"/>
      <c r="B20" s="104" t="str">
        <f>算数!B6</f>
        <v>問題を読み、式や図を書いて解き方を示し、文章題を正しく解くことができる</v>
      </c>
      <c r="C20" s="105"/>
      <c r="D20" s="105"/>
      <c r="E20" s="105"/>
      <c r="F20" s="106"/>
      <c r="G20" s="17">
        <f ca="1">OFFSET(算数!C6,0,$B$2)</f>
        <v>0</v>
      </c>
      <c r="H20" s="113"/>
      <c r="I20" s="114"/>
      <c r="L20" s="30"/>
      <c r="M20" s="30"/>
      <c r="O20" s="8">
        <v>15</v>
      </c>
      <c r="P20" s="57">
        <f t="shared" ca="1" si="0"/>
        <v>0</v>
      </c>
    </row>
    <row r="21" spans="1:16" ht="18.75" customHeight="1">
      <c r="A21" s="118"/>
      <c r="B21" s="104" t="str">
        <f>算数!B7</f>
        <v>長さの単位ｃｍ、ｍｍについて理解し、ものさしを使って、長さを測ったり直線をかいたりできる</v>
      </c>
      <c r="C21" s="105"/>
      <c r="D21" s="105"/>
      <c r="E21" s="105"/>
      <c r="F21" s="106"/>
      <c r="G21" s="17">
        <f ca="1">OFFSET(算数!C7,0,$B$2)</f>
        <v>0</v>
      </c>
      <c r="H21" s="113"/>
      <c r="I21" s="114"/>
      <c r="O21" s="8">
        <v>16</v>
      </c>
      <c r="P21" s="57">
        <f t="shared" ca="1" si="0"/>
        <v>0</v>
      </c>
    </row>
    <row r="22" spans="1:16" ht="18.75" customHeight="1">
      <c r="A22" s="118"/>
      <c r="B22" s="104" t="str">
        <f>算数!B8</f>
        <v>１０００までの数の読み方、書き方やしくみ、大小などを理解し、何十や何百のたし算・ひき算ができる</v>
      </c>
      <c r="C22" s="105"/>
      <c r="D22" s="105"/>
      <c r="E22" s="105"/>
      <c r="F22" s="106"/>
      <c r="G22" s="17">
        <f ca="1">OFFSET(算数!C8,0,$B$2)</f>
        <v>0</v>
      </c>
      <c r="H22" s="113"/>
      <c r="I22" s="114"/>
      <c r="O22" s="8">
        <v>17</v>
      </c>
      <c r="P22" s="57">
        <f t="shared" ca="1" si="0"/>
        <v>0</v>
      </c>
    </row>
    <row r="23" spans="1:16" ht="18.75" customHeight="1">
      <c r="A23" s="118"/>
      <c r="B23" s="104">
        <f>算数!B9</f>
        <v>0</v>
      </c>
      <c r="C23" s="105"/>
      <c r="D23" s="105"/>
      <c r="E23" s="105"/>
      <c r="F23" s="106"/>
      <c r="G23" s="17">
        <f ca="1">OFFSET(算数!C9,0,$B$2)</f>
        <v>0</v>
      </c>
      <c r="H23" s="113"/>
      <c r="I23" s="114"/>
      <c r="O23" s="8">
        <v>18</v>
      </c>
      <c r="P23" s="57">
        <f t="shared" ca="1" si="0"/>
        <v>0</v>
      </c>
    </row>
    <row r="24" spans="1:16" ht="18.75" customHeight="1">
      <c r="A24" s="118"/>
      <c r="B24" s="104">
        <f>算数!B10</f>
        <v>0</v>
      </c>
      <c r="C24" s="105"/>
      <c r="D24" s="105"/>
      <c r="E24" s="105"/>
      <c r="F24" s="106"/>
      <c r="G24" s="17">
        <f ca="1">OFFSET(算数!C10,0,$B$2)</f>
        <v>0</v>
      </c>
      <c r="H24" s="113"/>
      <c r="I24" s="114"/>
      <c r="O24" s="8">
        <v>19</v>
      </c>
      <c r="P24" s="57">
        <f t="shared" ca="1" si="0"/>
        <v>0</v>
      </c>
    </row>
    <row r="25" spans="1:16" ht="18.75" customHeight="1">
      <c r="A25" s="119"/>
      <c r="B25" s="104">
        <f>算数!B11</f>
        <v>0</v>
      </c>
      <c r="C25" s="105"/>
      <c r="D25" s="105"/>
      <c r="E25" s="105"/>
      <c r="F25" s="106"/>
      <c r="G25" s="18">
        <f ca="1">OFFSET(算数!C11,0,$B$2)</f>
        <v>0</v>
      </c>
      <c r="H25" s="113"/>
      <c r="I25" s="114"/>
      <c r="O25" s="8">
        <v>20</v>
      </c>
      <c r="P25" s="57">
        <f t="shared" ca="1" si="0"/>
        <v>0</v>
      </c>
    </row>
    <row r="26" spans="1:16" ht="18.75" customHeight="1">
      <c r="A26" s="117" t="s">
        <v>0</v>
      </c>
      <c r="B26" s="101" t="str">
        <f>生活!B2</f>
        <v>進んで学習に取り組むことができる</v>
      </c>
      <c r="C26" s="102"/>
      <c r="D26" s="102"/>
      <c r="E26" s="102"/>
      <c r="F26" s="103"/>
      <c r="G26" s="21">
        <f ca="1">OFFSET(生活!C2,0,$B$2)</f>
        <v>0</v>
      </c>
      <c r="H26" s="111">
        <f ca="1">OFFSET(生活!C12,0,$B$2)</f>
        <v>0</v>
      </c>
      <c r="I26" s="112"/>
      <c r="O26" s="8">
        <v>21</v>
      </c>
      <c r="P26" s="57">
        <f t="shared" ca="1" si="0"/>
        <v>0</v>
      </c>
    </row>
    <row r="27" spans="1:16" ht="18.75" customHeight="1">
      <c r="A27" s="118"/>
      <c r="B27" s="104" t="str">
        <f>生活!B3</f>
        <v>上級生として１年生のことを考えながら、学校案内のための活動をすることができる</v>
      </c>
      <c r="C27" s="105"/>
      <c r="D27" s="105"/>
      <c r="E27" s="105"/>
      <c r="F27" s="106"/>
      <c r="G27" s="17">
        <f ca="1">OFFSET(生活!C3,0,$B$2)</f>
        <v>0</v>
      </c>
      <c r="H27" s="113"/>
      <c r="I27" s="114"/>
      <c r="O27" s="8">
        <v>22</v>
      </c>
      <c r="P27" s="57">
        <f t="shared" ca="1" si="0"/>
        <v>0</v>
      </c>
    </row>
    <row r="28" spans="1:16" ht="18.75" customHeight="1">
      <c r="A28" s="118"/>
      <c r="B28" s="104" t="str">
        <f>生活!B4</f>
        <v>野菜を育て、観察することを通して、その成長に気づくことができる</v>
      </c>
      <c r="C28" s="105"/>
      <c r="D28" s="105"/>
      <c r="E28" s="105"/>
      <c r="F28" s="106"/>
      <c r="G28" s="17">
        <f ca="1">OFFSET(生活!C4,0,$B$2)</f>
        <v>0</v>
      </c>
      <c r="H28" s="113"/>
      <c r="I28" s="114"/>
      <c r="O28" s="8">
        <v>23</v>
      </c>
      <c r="P28" s="57">
        <f t="shared" ca="1" si="0"/>
        <v>0</v>
      </c>
    </row>
    <row r="29" spans="1:16" ht="18.75" customHeight="1">
      <c r="A29" s="118"/>
      <c r="B29" s="104" t="str">
        <f>生活!B5</f>
        <v>身近な材料で作るものについてイメージを広げ、作りたいものを考えることができる</v>
      </c>
      <c r="C29" s="105"/>
      <c r="D29" s="105"/>
      <c r="E29" s="105"/>
      <c r="F29" s="106"/>
      <c r="G29" s="17">
        <f ca="1">OFFSET(生活!C5,0,$B$2)</f>
        <v>0</v>
      </c>
      <c r="H29" s="113"/>
      <c r="I29" s="114"/>
      <c r="O29" s="8">
        <v>24</v>
      </c>
      <c r="P29" s="57">
        <f t="shared" ca="1" si="0"/>
        <v>0</v>
      </c>
    </row>
    <row r="30" spans="1:16" ht="18.75" customHeight="1">
      <c r="A30" s="118"/>
      <c r="B30" s="104">
        <f>生活!B6</f>
        <v>0</v>
      </c>
      <c r="C30" s="105"/>
      <c r="D30" s="105"/>
      <c r="E30" s="105"/>
      <c r="F30" s="106"/>
      <c r="G30" s="17">
        <f ca="1">OFFSET(生活!C6,0,$B$2)</f>
        <v>0</v>
      </c>
      <c r="H30" s="113"/>
      <c r="I30" s="114"/>
      <c r="O30" s="8">
        <v>25</v>
      </c>
      <c r="P30" s="57">
        <f t="shared" ca="1" si="0"/>
        <v>0</v>
      </c>
    </row>
    <row r="31" spans="1:16" ht="18.75" customHeight="1">
      <c r="A31" s="118"/>
      <c r="B31" s="104">
        <f>生活!B7</f>
        <v>0</v>
      </c>
      <c r="C31" s="105"/>
      <c r="D31" s="105"/>
      <c r="E31" s="105"/>
      <c r="F31" s="106"/>
      <c r="G31" s="17">
        <f ca="1">OFFSET(生活!C7,0,$B$2)</f>
        <v>0</v>
      </c>
      <c r="H31" s="113"/>
      <c r="I31" s="114"/>
    </row>
    <row r="32" spans="1:16" ht="18.75" customHeight="1">
      <c r="A32" s="118"/>
      <c r="B32" s="104">
        <f>生活!B8</f>
        <v>0</v>
      </c>
      <c r="C32" s="105"/>
      <c r="D32" s="105"/>
      <c r="E32" s="105"/>
      <c r="F32" s="106"/>
      <c r="G32" s="17">
        <f ca="1">OFFSET(生活!C8,0,$B$2)</f>
        <v>0</v>
      </c>
      <c r="H32" s="113"/>
      <c r="I32" s="114"/>
    </row>
    <row r="33" spans="1:9" ht="18.75" customHeight="1">
      <c r="A33" s="119"/>
      <c r="B33" s="104">
        <f>生活!B9</f>
        <v>0</v>
      </c>
      <c r="C33" s="105"/>
      <c r="D33" s="105"/>
      <c r="E33" s="105"/>
      <c r="F33" s="106"/>
      <c r="G33" s="18">
        <f ca="1">OFFSET(生活!C9,0,$B$2)</f>
        <v>0</v>
      </c>
      <c r="H33" s="113"/>
      <c r="I33" s="114"/>
    </row>
    <row r="34" spans="1:9" ht="18.75" customHeight="1">
      <c r="A34" s="117" t="s">
        <v>10</v>
      </c>
      <c r="B34" s="101" t="str">
        <f>英語!B2</f>
        <v>英語学習に楽しみを感じ、意欲的に学習に励むことができる</v>
      </c>
      <c r="C34" s="102"/>
      <c r="D34" s="102"/>
      <c r="E34" s="102"/>
      <c r="F34" s="103"/>
      <c r="G34" s="21">
        <f ca="1">OFFSET(英語!C2,0,$B$2)</f>
        <v>0</v>
      </c>
      <c r="H34" s="111">
        <f ca="1">OFFSET(英語!C12,0,$B$2)</f>
        <v>0</v>
      </c>
      <c r="I34" s="112"/>
    </row>
    <row r="35" spans="1:9" ht="18.75" customHeight="1">
      <c r="A35" s="118"/>
      <c r="B35" s="104" t="str">
        <f>英語!B3</f>
        <v>学習した表現を用いて、自己紹介のスピーチをすることができる。</v>
      </c>
      <c r="C35" s="105"/>
      <c r="D35" s="105"/>
      <c r="E35" s="105"/>
      <c r="F35" s="106"/>
      <c r="G35" s="17">
        <f ca="1">OFFSET(英語!C3,0,$B$2)</f>
        <v>0</v>
      </c>
      <c r="H35" s="113"/>
      <c r="I35" s="114"/>
    </row>
    <row r="36" spans="1:9" ht="18.75" customHeight="1">
      <c r="A36" s="118"/>
      <c r="B36" s="104" t="str">
        <f>英語!B4</f>
        <v>身の回りにあるもの（名詞）、日常生活の動作（動詞）、人や物を説明する言葉（形容詞）を習得することができる</v>
      </c>
      <c r="C36" s="105"/>
      <c r="D36" s="105"/>
      <c r="E36" s="105"/>
      <c r="F36" s="106"/>
      <c r="G36" s="17">
        <f ca="1">OFFSET(英語!C4,0,$B$2)</f>
        <v>0</v>
      </c>
      <c r="H36" s="113"/>
      <c r="I36" s="114"/>
    </row>
    <row r="37" spans="1:9" ht="18.75" customHeight="1">
      <c r="A37" s="118"/>
      <c r="B37" s="104" t="str">
        <f>英語!B5</f>
        <v>単語の発音を予想して読むことができる</v>
      </c>
      <c r="C37" s="105"/>
      <c r="D37" s="105"/>
      <c r="E37" s="105"/>
      <c r="F37" s="106"/>
      <c r="G37" s="17">
        <f ca="1">OFFSET(英語!C5,0,$B$2)</f>
        <v>0</v>
      </c>
      <c r="H37" s="113"/>
      <c r="I37" s="114"/>
    </row>
    <row r="38" spans="1:9" ht="18.75" customHeight="1">
      <c r="A38" s="118"/>
      <c r="B38" s="104" t="str">
        <f>英語!B6</f>
        <v>単語の音を聞いて、つづりを予想して書くことができる</v>
      </c>
      <c r="C38" s="105"/>
      <c r="D38" s="105"/>
      <c r="E38" s="105"/>
      <c r="F38" s="106"/>
      <c r="G38" s="17">
        <f ca="1">OFFSET(英語!C6,0,$B$2)</f>
        <v>0</v>
      </c>
      <c r="H38" s="113"/>
      <c r="I38" s="114"/>
    </row>
    <row r="39" spans="1:9" ht="18.75" customHeight="1">
      <c r="A39" s="118"/>
      <c r="B39" s="104">
        <f>英語!B7</f>
        <v>0</v>
      </c>
      <c r="C39" s="105"/>
      <c r="D39" s="105"/>
      <c r="E39" s="105"/>
      <c r="F39" s="106"/>
      <c r="G39" s="17">
        <f ca="1">OFFSET(英語!C7,0,$B$2)</f>
        <v>0</v>
      </c>
      <c r="H39" s="113"/>
      <c r="I39" s="114"/>
    </row>
    <row r="40" spans="1:9" ht="18.75" customHeight="1">
      <c r="A40" s="118"/>
      <c r="B40" s="104">
        <f>英語!B8</f>
        <v>0</v>
      </c>
      <c r="C40" s="105"/>
      <c r="D40" s="105"/>
      <c r="E40" s="105"/>
      <c r="F40" s="106"/>
      <c r="G40" s="17">
        <f ca="1">OFFSET(英語!C8,0,$B$2)</f>
        <v>0</v>
      </c>
      <c r="H40" s="113"/>
      <c r="I40" s="114"/>
    </row>
    <row r="41" spans="1:9" ht="18.75" customHeight="1">
      <c r="A41" s="118"/>
      <c r="B41" s="104">
        <f>英語!B9</f>
        <v>0</v>
      </c>
      <c r="C41" s="105"/>
      <c r="D41" s="105"/>
      <c r="E41" s="105"/>
      <c r="F41" s="106"/>
      <c r="G41" s="17">
        <f ca="1">OFFSET(英語!C9,0,$B$2)</f>
        <v>0</v>
      </c>
      <c r="H41" s="113"/>
      <c r="I41" s="114"/>
    </row>
    <row r="42" spans="1:9" ht="18.75" customHeight="1">
      <c r="A42" s="119"/>
      <c r="B42" s="104">
        <f>英語!B10</f>
        <v>0</v>
      </c>
      <c r="C42" s="105"/>
      <c r="D42" s="105"/>
      <c r="E42" s="105"/>
      <c r="F42" s="106"/>
      <c r="G42" s="18">
        <f ca="1">OFFSET(英語!C10,0,$B$2)</f>
        <v>0</v>
      </c>
      <c r="H42" s="113"/>
      <c r="I42" s="114"/>
    </row>
    <row r="43" spans="1:9" ht="18.75" customHeight="1">
      <c r="A43" s="117" t="s">
        <v>4</v>
      </c>
      <c r="B43" s="101" t="str">
        <f>音楽!B2</f>
        <v>授業の活動に意欲的に取り組むことができる</v>
      </c>
      <c r="C43" s="102"/>
      <c r="D43" s="102"/>
      <c r="E43" s="102"/>
      <c r="F43" s="103"/>
      <c r="G43" s="21">
        <f ca="1">OFFSET(音楽!C2,0,$B$2)</f>
        <v>0</v>
      </c>
      <c r="H43" s="111">
        <f ca="1">OFFSET(音楽!C12,0,$B$2)</f>
        <v>0</v>
      </c>
      <c r="I43" s="112"/>
    </row>
    <row r="44" spans="1:9" ht="18.75" customHeight="1">
      <c r="A44" s="118"/>
      <c r="B44" s="104" t="str">
        <f>音楽!B3</f>
        <v>メロディーを正しい音程で歌い、のびやかな表現ができる</v>
      </c>
      <c r="C44" s="105"/>
      <c r="D44" s="105"/>
      <c r="E44" s="105"/>
      <c r="F44" s="106"/>
      <c r="G44" s="17">
        <f ca="1">OFFSET(音楽!C3,0,$B$2)</f>
        <v>0</v>
      </c>
      <c r="H44" s="113"/>
      <c r="I44" s="114"/>
    </row>
    <row r="45" spans="1:9" ht="18.75" customHeight="1">
      <c r="A45" s="118"/>
      <c r="B45" s="104" t="str">
        <f>音楽!B4</f>
        <v>鍵盤ハーモニカで楽曲（喜びの歌）を、正しい指使い・リズム・音程で楽曲を奏でることができる</v>
      </c>
      <c r="C45" s="105"/>
      <c r="D45" s="105"/>
      <c r="E45" s="105"/>
      <c r="F45" s="106"/>
      <c r="G45" s="17">
        <f ca="1">OFFSET(音楽!C4,0,$B$2)</f>
        <v>0</v>
      </c>
      <c r="H45" s="113"/>
      <c r="I45" s="114"/>
    </row>
    <row r="46" spans="1:9" ht="18.75" customHeight="1">
      <c r="A46" s="118"/>
      <c r="B46" s="104" t="str">
        <f>音楽!B5</f>
        <v>提示した音を聴き取り、和音を聴き分けることができる</v>
      </c>
      <c r="C46" s="105"/>
      <c r="D46" s="105"/>
      <c r="E46" s="105"/>
      <c r="F46" s="106"/>
      <c r="G46" s="17">
        <f ca="1">OFFSET(音楽!C5,0,$B$2)</f>
        <v>0</v>
      </c>
      <c r="H46" s="113"/>
      <c r="I46" s="114"/>
    </row>
    <row r="47" spans="1:9" ht="18.75" customHeight="1">
      <c r="A47" s="118"/>
      <c r="B47" s="104">
        <f>音楽!B6</f>
        <v>0</v>
      </c>
      <c r="C47" s="105"/>
      <c r="D47" s="105"/>
      <c r="E47" s="105"/>
      <c r="F47" s="106"/>
      <c r="G47" s="17">
        <f ca="1">OFFSET(音楽!C6,0,$B$2)</f>
        <v>0</v>
      </c>
      <c r="H47" s="113"/>
      <c r="I47" s="114"/>
    </row>
    <row r="48" spans="1:9" ht="18.75" customHeight="1">
      <c r="A48" s="118"/>
      <c r="B48" s="104">
        <f>音楽!B7</f>
        <v>0</v>
      </c>
      <c r="C48" s="105"/>
      <c r="D48" s="105"/>
      <c r="E48" s="105"/>
      <c r="F48" s="106"/>
      <c r="G48" s="17">
        <f ca="1">OFFSET(音楽!C7,0,$B$2)</f>
        <v>0</v>
      </c>
      <c r="H48" s="113"/>
      <c r="I48" s="114"/>
    </row>
    <row r="49" spans="1:9" ht="18.75" customHeight="1">
      <c r="A49" s="118"/>
      <c r="B49" s="104">
        <f>音楽!B8</f>
        <v>0</v>
      </c>
      <c r="C49" s="105"/>
      <c r="D49" s="105"/>
      <c r="E49" s="105"/>
      <c r="F49" s="106"/>
      <c r="G49" s="17">
        <f ca="1">OFFSET(音楽!C8,0,$B$2)</f>
        <v>0</v>
      </c>
      <c r="H49" s="113"/>
      <c r="I49" s="114"/>
    </row>
    <row r="50" spans="1:9" ht="18.75" customHeight="1">
      <c r="A50" s="118"/>
      <c r="B50" s="104">
        <f>音楽!B9</f>
        <v>0</v>
      </c>
      <c r="C50" s="105"/>
      <c r="D50" s="105"/>
      <c r="E50" s="105"/>
      <c r="F50" s="106"/>
      <c r="G50" s="17">
        <f ca="1">OFFSET(音楽!C9,0,$B$2)</f>
        <v>0</v>
      </c>
      <c r="H50" s="113"/>
      <c r="I50" s="114"/>
    </row>
    <row r="51" spans="1:9" ht="18.75" customHeight="1">
      <c r="A51" s="118"/>
      <c r="B51" s="104">
        <f>音楽!B10</f>
        <v>0</v>
      </c>
      <c r="C51" s="105"/>
      <c r="D51" s="105"/>
      <c r="E51" s="105"/>
      <c r="F51" s="106"/>
      <c r="G51" s="17">
        <f ca="1">OFFSET(音楽!C10,0,$B$2)</f>
        <v>0</v>
      </c>
      <c r="H51" s="113"/>
      <c r="I51" s="114"/>
    </row>
    <row r="52" spans="1:9" ht="18.75" customHeight="1">
      <c r="A52" s="119"/>
      <c r="B52" s="104">
        <f>音楽!B11</f>
        <v>0</v>
      </c>
      <c r="C52" s="105"/>
      <c r="D52" s="105"/>
      <c r="E52" s="105"/>
      <c r="F52" s="106"/>
      <c r="G52" s="18">
        <f ca="1">OFFSET(音楽!C11,0,$B$2)</f>
        <v>0</v>
      </c>
      <c r="H52" s="113"/>
      <c r="I52" s="114"/>
    </row>
    <row r="53" spans="1:9" ht="18.75" customHeight="1">
      <c r="A53" s="6"/>
      <c r="B53" s="31"/>
      <c r="C53" s="10"/>
      <c r="D53" s="10"/>
      <c r="E53" s="10"/>
      <c r="F53" s="10"/>
      <c r="G53" s="6"/>
      <c r="H53" s="7"/>
      <c r="I53" s="7"/>
    </row>
    <row r="54" spans="1:9" ht="18.75" customHeight="1">
      <c r="A54" s="1"/>
      <c r="B54" s="32"/>
      <c r="C54" s="11"/>
      <c r="D54" s="11"/>
      <c r="E54" s="11"/>
      <c r="F54" s="11"/>
      <c r="G54" s="1"/>
      <c r="H54" s="3"/>
      <c r="I54" s="3"/>
    </row>
    <row r="55" spans="1:9" ht="18.75" customHeight="1">
      <c r="A55" s="117" t="s">
        <v>2</v>
      </c>
      <c r="B55" s="101" t="str">
        <f>図工!B2</f>
        <v>図工への関心を持ち、楽しく制作に取り組んでいる</v>
      </c>
      <c r="C55" s="102"/>
      <c r="D55" s="102"/>
      <c r="E55" s="102"/>
      <c r="F55" s="103"/>
      <c r="G55" s="21">
        <f ca="1">OFFSET(図工!C2,0,$B$2)</f>
        <v>0</v>
      </c>
      <c r="H55" s="111">
        <f ca="1">OFFSET(図工!C12,0,$B$2)</f>
        <v>0</v>
      </c>
      <c r="I55" s="112"/>
    </row>
    <row r="56" spans="1:9" ht="18.75" customHeight="1">
      <c r="A56" s="118"/>
      <c r="B56" s="104" t="str">
        <f>図工!B3</f>
        <v>豊かな発想を持ち自由に表現することができる</v>
      </c>
      <c r="C56" s="105"/>
      <c r="D56" s="105"/>
      <c r="E56" s="105"/>
      <c r="F56" s="106"/>
      <c r="G56" s="17">
        <f ca="1">OFFSET(図工!C3,0,$B$2)</f>
        <v>0</v>
      </c>
      <c r="H56" s="113"/>
      <c r="I56" s="114"/>
    </row>
    <row r="57" spans="1:9" ht="18.75" customHeight="1">
      <c r="A57" s="118"/>
      <c r="B57" s="104" t="str">
        <f>図工!B4</f>
        <v>つくりたいもののイメージを持ち、それに向かって制作することができる</v>
      </c>
      <c r="C57" s="105"/>
      <c r="D57" s="105"/>
      <c r="E57" s="105"/>
      <c r="F57" s="106"/>
      <c r="G57" s="17">
        <f ca="1">OFFSET(図工!C4,0,$B$2)</f>
        <v>0</v>
      </c>
      <c r="H57" s="113"/>
      <c r="I57" s="114"/>
    </row>
    <row r="58" spans="1:9" ht="18.75" customHeight="1">
      <c r="A58" s="118"/>
      <c r="B58" s="104" t="str">
        <f>図工!B5</f>
        <v>自分や友達の作品から良さや面白さ、美しさを感じとることができる</v>
      </c>
      <c r="C58" s="105"/>
      <c r="D58" s="105"/>
      <c r="E58" s="105"/>
      <c r="F58" s="106"/>
      <c r="G58" s="17">
        <f ca="1">OFFSET(図工!C5,0,$B$2)</f>
        <v>0</v>
      </c>
      <c r="H58" s="113"/>
      <c r="I58" s="114"/>
    </row>
    <row r="59" spans="1:9" ht="18.75" customHeight="1">
      <c r="A59" s="118"/>
      <c r="B59" s="104">
        <f>図工!B6</f>
        <v>0</v>
      </c>
      <c r="C59" s="105"/>
      <c r="D59" s="105"/>
      <c r="E59" s="105"/>
      <c r="F59" s="106"/>
      <c r="G59" s="17">
        <f ca="1">OFFSET(図工!C6,0,$B$2)</f>
        <v>0</v>
      </c>
      <c r="H59" s="113"/>
      <c r="I59" s="114"/>
    </row>
    <row r="60" spans="1:9" ht="18.75" customHeight="1">
      <c r="A60" s="118"/>
      <c r="B60" s="104">
        <f>図工!B7</f>
        <v>0</v>
      </c>
      <c r="C60" s="105"/>
      <c r="D60" s="105"/>
      <c r="E60" s="105"/>
      <c r="F60" s="106"/>
      <c r="G60" s="17">
        <f ca="1">OFFSET(図工!C7,0,$B$2)</f>
        <v>0</v>
      </c>
      <c r="H60" s="113"/>
      <c r="I60" s="114"/>
    </row>
    <row r="61" spans="1:9" ht="18.75" customHeight="1">
      <c r="A61" s="118"/>
      <c r="B61" s="104">
        <f>図工!B8</f>
        <v>0</v>
      </c>
      <c r="C61" s="105"/>
      <c r="D61" s="105"/>
      <c r="E61" s="105"/>
      <c r="F61" s="106"/>
      <c r="G61" s="17">
        <f ca="1">OFFSET(図工!C8,0,$B$2)</f>
        <v>0</v>
      </c>
      <c r="H61" s="113"/>
      <c r="I61" s="114"/>
    </row>
    <row r="62" spans="1:9" ht="18.75" customHeight="1">
      <c r="A62" s="118"/>
      <c r="B62" s="104">
        <f>図工!B9</f>
        <v>0</v>
      </c>
      <c r="C62" s="105"/>
      <c r="D62" s="105"/>
      <c r="E62" s="105"/>
      <c r="F62" s="106"/>
      <c r="G62" s="17">
        <f ca="1">OFFSET(図工!C9,0,$B$2)</f>
        <v>0</v>
      </c>
      <c r="H62" s="113"/>
      <c r="I62" s="114"/>
    </row>
    <row r="63" spans="1:9" ht="18.75" customHeight="1">
      <c r="A63" s="118"/>
      <c r="B63" s="104">
        <f>図工!B10</f>
        <v>0</v>
      </c>
      <c r="C63" s="105"/>
      <c r="D63" s="105"/>
      <c r="E63" s="105"/>
      <c r="F63" s="106"/>
      <c r="G63" s="17">
        <f ca="1">OFFSET(図工!C10,0,$B$2)</f>
        <v>0</v>
      </c>
      <c r="H63" s="113"/>
      <c r="I63" s="114"/>
    </row>
    <row r="64" spans="1:9" ht="18.75" customHeight="1">
      <c r="A64" s="119"/>
      <c r="B64" s="104">
        <f>図工!B11</f>
        <v>0</v>
      </c>
      <c r="C64" s="105"/>
      <c r="D64" s="105"/>
      <c r="E64" s="105"/>
      <c r="F64" s="106"/>
      <c r="G64" s="18">
        <f ca="1">OFFSET(図工!C11,0,$B$2)</f>
        <v>0</v>
      </c>
      <c r="H64" s="113"/>
      <c r="I64" s="114"/>
    </row>
    <row r="65" spans="1:14" ht="18.75" customHeight="1">
      <c r="A65" s="117" t="s">
        <v>3</v>
      </c>
      <c r="B65" s="101" t="str">
        <f>体育!B2</f>
        <v>運動遊びの行い方を工夫するとともに、考えたことを他者に伝えることができる</v>
      </c>
      <c r="C65" s="102"/>
      <c r="D65" s="102"/>
      <c r="E65" s="102"/>
      <c r="F65" s="103"/>
      <c r="G65" s="21">
        <f ca="1">OFFSET(体育!C2,0,$B$2)</f>
        <v>0</v>
      </c>
      <c r="H65" s="111">
        <f ca="1">OFFSET(体育!C12,0,$B$2)</f>
        <v>0</v>
      </c>
      <c r="I65" s="112"/>
    </row>
    <row r="66" spans="1:14" ht="18.75" customHeight="1">
      <c r="A66" s="118"/>
      <c r="B66" s="104" t="str">
        <f>体育!B3</f>
        <v>決まりを守り、誰とでも仲よく意欲的に運動ができる</v>
      </c>
      <c r="C66" s="105"/>
      <c r="D66" s="105"/>
      <c r="E66" s="105"/>
      <c r="F66" s="106"/>
      <c r="G66" s="17">
        <f ca="1">OFFSET(体育!C3,0,$B$2)</f>
        <v>0</v>
      </c>
      <c r="H66" s="113"/>
      <c r="I66" s="114"/>
    </row>
    <row r="67" spans="1:14" ht="18.75" customHeight="1">
      <c r="A67" s="118"/>
      <c r="B67" s="104" t="str">
        <f>体育!B4</f>
        <v>全身を使って、力強く走ることができる（かけっこ）</v>
      </c>
      <c r="C67" s="105"/>
      <c r="D67" s="105"/>
      <c r="E67" s="105"/>
      <c r="F67" s="106"/>
      <c r="G67" s="17">
        <f ca="1">OFFSET(体育!C4,0,$B$2)</f>
        <v>0</v>
      </c>
      <c r="H67" s="113"/>
      <c r="I67" s="114"/>
    </row>
    <row r="68" spans="1:14" ht="18.75" customHeight="1">
      <c r="A68" s="118"/>
      <c r="B68" s="104" t="str">
        <f>体育!B5</f>
        <v>タイミングを合わせたバトンパスができる（リレー）</v>
      </c>
      <c r="C68" s="105"/>
      <c r="D68" s="105"/>
      <c r="E68" s="105"/>
      <c r="F68" s="106"/>
      <c r="G68" s="17">
        <f ca="1">OFFSET(体育!C5,0,$B$2)</f>
        <v>0</v>
      </c>
      <c r="H68" s="113"/>
      <c r="I68" s="114"/>
    </row>
    <row r="69" spans="1:14" ht="18.75" customHeight="1">
      <c r="A69" s="118"/>
      <c r="B69" s="104" t="str">
        <f>体育!B6</f>
        <v>簡単なボール操作と攻めや守りの動きができる（ボールゲーム）</v>
      </c>
      <c r="C69" s="105"/>
      <c r="D69" s="105"/>
      <c r="E69" s="105"/>
      <c r="F69" s="106"/>
      <c r="G69" s="17">
        <f ca="1">OFFSET(体育!C6,0,$B$2)</f>
        <v>0</v>
      </c>
      <c r="H69" s="113"/>
      <c r="I69" s="114"/>
    </row>
    <row r="70" spans="1:14" ht="18.75" customHeight="1">
      <c r="A70" s="118"/>
      <c r="B70" s="104">
        <f>体育!B7</f>
        <v>0</v>
      </c>
      <c r="C70" s="105"/>
      <c r="D70" s="105"/>
      <c r="E70" s="105"/>
      <c r="F70" s="106"/>
      <c r="G70" s="17">
        <f ca="1">OFFSET(体育!C7,0,$B$2)</f>
        <v>0</v>
      </c>
      <c r="H70" s="113"/>
      <c r="I70" s="114"/>
    </row>
    <row r="71" spans="1:14" ht="18.75" customHeight="1">
      <c r="A71" s="118"/>
      <c r="B71" s="104">
        <f>体育!B8</f>
        <v>0</v>
      </c>
      <c r="C71" s="105"/>
      <c r="D71" s="105"/>
      <c r="E71" s="105"/>
      <c r="F71" s="106"/>
      <c r="G71" s="17">
        <f ca="1">OFFSET(体育!C8,0,$B$2)</f>
        <v>0</v>
      </c>
      <c r="H71" s="113"/>
      <c r="I71" s="114"/>
    </row>
    <row r="72" spans="1:14" ht="18.75" customHeight="1">
      <c r="A72" s="118"/>
      <c r="B72" s="104">
        <f>体育!B9</f>
        <v>0</v>
      </c>
      <c r="C72" s="105"/>
      <c r="D72" s="105"/>
      <c r="E72" s="105"/>
      <c r="F72" s="106"/>
      <c r="G72" s="17">
        <f ca="1">OFFSET(体育!C9,0,$B$2)</f>
        <v>0</v>
      </c>
      <c r="H72" s="113"/>
      <c r="I72" s="114"/>
    </row>
    <row r="73" spans="1:14" ht="18.75" customHeight="1">
      <c r="A73" s="118"/>
      <c r="B73" s="104">
        <f>体育!B10</f>
        <v>0</v>
      </c>
      <c r="C73" s="105"/>
      <c r="D73" s="105"/>
      <c r="E73" s="105"/>
      <c r="F73" s="106"/>
      <c r="G73" s="17">
        <f ca="1">OFFSET(体育!C10,0,$B$2)</f>
        <v>0</v>
      </c>
      <c r="H73" s="113"/>
      <c r="I73" s="114"/>
    </row>
    <row r="74" spans="1:14" ht="18.75" customHeight="1">
      <c r="A74" s="119"/>
      <c r="B74" s="131">
        <f>体育!B11</f>
        <v>0</v>
      </c>
      <c r="C74" s="132"/>
      <c r="D74" s="132"/>
      <c r="E74" s="132"/>
      <c r="F74" s="133"/>
      <c r="G74" s="18">
        <f ca="1">OFFSET(体育!C11,0,$B$2)</f>
        <v>0</v>
      </c>
      <c r="H74" s="123"/>
      <c r="I74" s="124"/>
    </row>
    <row r="75" spans="1:14" ht="92.25" customHeight="1">
      <c r="A75" s="23" t="s">
        <v>25</v>
      </c>
      <c r="B75" s="115">
        <f ca="1">INDIRECT("'道徳'!B"&amp;2+$B$2)</f>
        <v>0</v>
      </c>
      <c r="C75" s="115"/>
      <c r="D75" s="115"/>
      <c r="E75" s="115"/>
      <c r="F75" s="115"/>
      <c r="G75" s="115"/>
      <c r="H75" s="115"/>
      <c r="I75" s="116"/>
    </row>
    <row r="76" spans="1:14" ht="18.75" customHeight="1">
      <c r="D76" s="14"/>
      <c r="E76" s="12"/>
      <c r="N76" s="12"/>
    </row>
    <row r="77" spans="1:14" ht="18.75" customHeight="1">
      <c r="A77" s="98" t="s">
        <v>23</v>
      </c>
      <c r="B77" s="99"/>
      <c r="C77" s="99"/>
      <c r="D77" s="100"/>
      <c r="F77" s="98" t="s">
        <v>11</v>
      </c>
      <c r="G77" s="99"/>
      <c r="H77" s="99"/>
      <c r="I77" s="100"/>
      <c r="L77" s="14"/>
      <c r="M77" s="12"/>
      <c r="N77" s="30"/>
    </row>
    <row r="78" spans="1:14" ht="19.5" customHeight="1">
      <c r="A78" s="125" t="str">
        <f>所見!B2</f>
        <v>大きな声ではっきりと自分からあいさつや返事をすることができる</v>
      </c>
      <c r="B78" s="126"/>
      <c r="C78" s="127"/>
      <c r="D78" s="27">
        <f ca="1">OFFSET(所見!C2,0,$B$2)</f>
        <v>0</v>
      </c>
      <c r="F78" s="134" t="s">
        <v>13</v>
      </c>
      <c r="G78" s="135"/>
      <c r="H78" s="135"/>
      <c r="I78" s="22">
        <f ca="1">OFFSET(出欠!C2,0,$B$2)</f>
        <v>0</v>
      </c>
      <c r="L78" s="14"/>
      <c r="M78" s="30"/>
      <c r="N78" s="30"/>
    </row>
    <row r="79" spans="1:14" ht="19.5" customHeight="1">
      <c r="A79" s="128" t="str">
        <f>所見!B3</f>
        <v>時間やきまりを守り、規則正しい生活をすることができる</v>
      </c>
      <c r="B79" s="129"/>
      <c r="C79" s="130"/>
      <c r="D79" s="13">
        <f ca="1">OFFSET(所見!C3,0,$B$2)</f>
        <v>0</v>
      </c>
      <c r="F79" s="109" t="s">
        <v>14</v>
      </c>
      <c r="G79" s="110"/>
      <c r="H79" s="110"/>
      <c r="I79" s="13">
        <f ca="1">OFFSET(出欠!C3,0,$B$2)</f>
        <v>0</v>
      </c>
      <c r="L79" s="30"/>
      <c r="M79" s="30"/>
      <c r="N79" s="30"/>
    </row>
    <row r="80" spans="1:14" ht="19.5" customHeight="1">
      <c r="A80" s="128" t="str">
        <f>所見!B4</f>
        <v>必要な持ち物を準備でき、きれいに整理整頓をすることができる</v>
      </c>
      <c r="B80" s="129"/>
      <c r="C80" s="130"/>
      <c r="D80" s="13">
        <f ca="1">OFFSET(所見!C4,0,$B$2)</f>
        <v>0</v>
      </c>
      <c r="F80" s="152" t="s">
        <v>21</v>
      </c>
      <c r="G80" s="105"/>
      <c r="H80" s="106"/>
      <c r="I80" s="13">
        <f ca="1">OFFSET(出欠!C4,0,$B$2)</f>
        <v>0</v>
      </c>
      <c r="L80" s="30"/>
      <c r="M80" s="30"/>
      <c r="N80" s="30"/>
    </row>
    <row r="81" spans="1:14" ht="19.5" customHeight="1">
      <c r="A81" s="128" t="str">
        <f>所見!B5</f>
        <v>心身の健康に気をつけ、進んで運動をし、元気に生活することができる</v>
      </c>
      <c r="B81" s="129"/>
      <c r="C81" s="130"/>
      <c r="D81" s="13">
        <f ca="1">OFFSET(所見!C5,0,$B$2)</f>
        <v>0</v>
      </c>
      <c r="F81" s="109" t="s">
        <v>15</v>
      </c>
      <c r="G81" s="110"/>
      <c r="H81" s="110"/>
      <c r="I81" s="13">
        <f ca="1">OFFSET(出欠!C5,0,$B$2)</f>
        <v>0</v>
      </c>
      <c r="L81" s="30"/>
      <c r="M81" s="30"/>
      <c r="N81" s="30"/>
    </row>
    <row r="82" spans="1:14" ht="19.5" customHeight="1">
      <c r="A82" s="128" t="str">
        <f>所見!B6</f>
        <v>良いと思うことは進んで行い、最後まで頑張ることができる</v>
      </c>
      <c r="B82" s="129"/>
      <c r="C82" s="130"/>
      <c r="D82" s="13">
        <f ca="1">OFFSET(所見!C6,0,$B$2)</f>
        <v>0</v>
      </c>
      <c r="F82" s="109" t="s">
        <v>22</v>
      </c>
      <c r="G82" s="110"/>
      <c r="H82" s="110"/>
      <c r="I82" s="13">
        <f ca="1">OFFSET(出欠!C6,0,$B$2)</f>
        <v>0</v>
      </c>
      <c r="L82" s="30"/>
      <c r="M82" s="30"/>
      <c r="N82" s="30"/>
    </row>
    <row r="83" spans="1:14" ht="19.5" customHeight="1">
      <c r="A83" s="128" t="str">
        <f>所見!B7</f>
        <v>当番や係など、自分でやるべきことを、しっかりと行うことができる</v>
      </c>
      <c r="B83" s="129"/>
      <c r="C83" s="130"/>
      <c r="D83" s="13">
        <f ca="1">OFFSET(所見!C7,0,$B$2)</f>
        <v>0</v>
      </c>
      <c r="F83" s="109" t="s">
        <v>16</v>
      </c>
      <c r="G83" s="110"/>
      <c r="H83" s="110"/>
      <c r="I83" s="13">
        <f ca="1">OFFSET(出欠!C7,0,$B$2)</f>
        <v>0</v>
      </c>
      <c r="L83" s="30"/>
      <c r="M83" s="30"/>
      <c r="N83" s="30"/>
    </row>
    <row r="84" spans="1:14" ht="19.5" customHeight="1">
      <c r="A84" s="128" t="str">
        <f>所見!B8</f>
        <v>自分から進んで考え、工夫しながら取り組むことができる</v>
      </c>
      <c r="B84" s="129"/>
      <c r="C84" s="130"/>
      <c r="D84" s="13">
        <f ca="1">OFFSET(所見!C8,0,$B$2)</f>
        <v>0</v>
      </c>
      <c r="F84" s="109" t="s">
        <v>17</v>
      </c>
      <c r="G84" s="110"/>
      <c r="H84" s="110"/>
      <c r="I84" s="13">
        <f ca="1">OFFSET(出欠!C8,0,$B$2)</f>
        <v>0</v>
      </c>
      <c r="L84" s="30"/>
      <c r="M84" s="30"/>
      <c r="N84" s="30"/>
    </row>
    <row r="85" spans="1:14" ht="19.5" customHeight="1">
      <c r="A85" s="128" t="str">
        <f>所見!B9</f>
        <v>身近にいる人々に親切にし、誰とでも仲良く助け合うことができる</v>
      </c>
      <c r="B85" s="129"/>
      <c r="C85" s="130"/>
      <c r="D85" s="15">
        <f ca="1">OFFSET(所見!C9,0,$B$2)</f>
        <v>0</v>
      </c>
      <c r="F85" s="140" t="str">
        <f ca="1">"備考： "&amp;INDIRECT("'出欠'!B"&amp;9+$B$2)</f>
        <v xml:space="preserve">備考： </v>
      </c>
      <c r="G85" s="141"/>
      <c r="H85" s="141"/>
      <c r="I85" s="142"/>
      <c r="L85" s="72">
        <f>番号</f>
        <v>14</v>
      </c>
      <c r="M85" s="30"/>
      <c r="N85" s="30"/>
    </row>
    <row r="86" spans="1:14" ht="19.5" customHeight="1">
      <c r="A86" s="128" t="str">
        <f>所見!B10</f>
        <v>自然に親しみ、生きているものに優しく接することができる</v>
      </c>
      <c r="B86" s="129"/>
      <c r="C86" s="130"/>
      <c r="D86" s="15">
        <f ca="1">OFFSET(所見!C10,0,$B$2)</f>
        <v>0</v>
      </c>
      <c r="F86" s="143"/>
      <c r="G86" s="144"/>
      <c r="H86" s="144"/>
      <c r="I86" s="145"/>
      <c r="L86" s="30"/>
      <c r="M86" s="30"/>
      <c r="N86" s="30"/>
    </row>
    <row r="87" spans="1:14" ht="19.5" customHeight="1">
      <c r="A87" s="149" t="str">
        <f>所見!B11</f>
        <v>手伝いや仕事を進んで行うことができる</v>
      </c>
      <c r="B87" s="150"/>
      <c r="C87" s="151"/>
      <c r="D87" s="16">
        <f ca="1">OFFSET(所見!C11,0,$B$2)</f>
        <v>0</v>
      </c>
      <c r="F87" s="146"/>
      <c r="G87" s="147"/>
      <c r="H87" s="147"/>
      <c r="I87" s="148"/>
      <c r="L87" s="30"/>
      <c r="M87" s="30"/>
      <c r="N87" s="25"/>
    </row>
    <row r="88" spans="1:14" ht="18.75" customHeight="1">
      <c r="A88" s="26"/>
      <c r="B88" s="28"/>
      <c r="C88" s="28"/>
      <c r="D88" s="29"/>
      <c r="F88" s="24"/>
      <c r="G88" s="24"/>
      <c r="H88" s="24"/>
      <c r="I88" s="24"/>
      <c r="L88" s="25"/>
      <c r="M88" s="25"/>
      <c r="N88" s="25"/>
    </row>
    <row r="89" spans="1:14" ht="39" customHeight="1">
      <c r="A89" s="136" t="s">
        <v>24</v>
      </c>
      <c r="B89" s="137"/>
      <c r="C89" s="138">
        <f ca="1">INDIRECT("'所見'!B"&amp;12+$B$2)</f>
        <v>0</v>
      </c>
      <c r="D89" s="138"/>
      <c r="E89" s="138"/>
      <c r="F89" s="138"/>
      <c r="G89" s="138"/>
      <c r="H89" s="138"/>
      <c r="I89" s="139"/>
      <c r="L89" s="25"/>
      <c r="M89" s="25"/>
    </row>
    <row r="90" spans="1:14" ht="18.75" customHeight="1">
      <c r="C90" s="14"/>
    </row>
    <row r="91" spans="1:14" ht="183" customHeight="1">
      <c r="A91" s="23" t="s">
        <v>12</v>
      </c>
      <c r="B91" s="95">
        <f ca="1">INDIRECT("'所見'!B"&amp;$Q$5+$B$2)</f>
        <v>0</v>
      </c>
      <c r="C91" s="96"/>
      <c r="D91" s="96"/>
      <c r="E91" s="96"/>
      <c r="F91" s="96"/>
      <c r="G91" s="96"/>
      <c r="H91" s="96"/>
      <c r="I91" s="97"/>
    </row>
  </sheetData>
  <mergeCells count="112">
    <mergeCell ref="A89:B89"/>
    <mergeCell ref="C89:I89"/>
    <mergeCell ref="F85:I87"/>
    <mergeCell ref="A85:C85"/>
    <mergeCell ref="A86:C86"/>
    <mergeCell ref="A87:C87"/>
    <mergeCell ref="A77:D77"/>
    <mergeCell ref="F80:H80"/>
    <mergeCell ref="F79:H79"/>
    <mergeCell ref="F83:H83"/>
    <mergeCell ref="F84:H84"/>
    <mergeCell ref="F77:I77"/>
    <mergeCell ref="F81:H81"/>
    <mergeCell ref="B62:F62"/>
    <mergeCell ref="B63:F63"/>
    <mergeCell ref="A43:A52"/>
    <mergeCell ref="B43:F43"/>
    <mergeCell ref="B44:F44"/>
    <mergeCell ref="B45:F45"/>
    <mergeCell ref="B46:F46"/>
    <mergeCell ref="B64:F64"/>
    <mergeCell ref="B73:F73"/>
    <mergeCell ref="A55:A64"/>
    <mergeCell ref="B61:F61"/>
    <mergeCell ref="B55:F55"/>
    <mergeCell ref="B56:F56"/>
    <mergeCell ref="B57:F57"/>
    <mergeCell ref="A65:A74"/>
    <mergeCell ref="B68:F68"/>
    <mergeCell ref="B69:F69"/>
    <mergeCell ref="B70:F70"/>
    <mergeCell ref="B71:F71"/>
    <mergeCell ref="B59:F59"/>
    <mergeCell ref="B60:F60"/>
    <mergeCell ref="B9:F9"/>
    <mergeCell ref="B10:F10"/>
    <mergeCell ref="B11:F11"/>
    <mergeCell ref="B12:F12"/>
    <mergeCell ref="B13:F13"/>
    <mergeCell ref="B58:F58"/>
    <mergeCell ref="B23:F23"/>
    <mergeCell ref="B16:F16"/>
    <mergeCell ref="B17:F17"/>
    <mergeCell ref="B18:F18"/>
    <mergeCell ref="B19:F19"/>
    <mergeCell ref="B20:F20"/>
    <mergeCell ref="B21:F21"/>
    <mergeCell ref="B22:F22"/>
    <mergeCell ref="B41:F41"/>
    <mergeCell ref="B24:F24"/>
    <mergeCell ref="H65:I74"/>
    <mergeCell ref="A78:C78"/>
    <mergeCell ref="A79:C79"/>
    <mergeCell ref="A80:C80"/>
    <mergeCell ref="A81:C81"/>
    <mergeCell ref="A82:C82"/>
    <mergeCell ref="A83:C83"/>
    <mergeCell ref="A84:C84"/>
    <mergeCell ref="B72:F72"/>
    <mergeCell ref="B74:F74"/>
    <mergeCell ref="B65:F65"/>
    <mergeCell ref="B66:F66"/>
    <mergeCell ref="B67:F67"/>
    <mergeCell ref="F78:H78"/>
    <mergeCell ref="A16:A25"/>
    <mergeCell ref="A1:B1"/>
    <mergeCell ref="C1:G1"/>
    <mergeCell ref="G2:I2"/>
    <mergeCell ref="H6:I15"/>
    <mergeCell ref="A6:A15"/>
    <mergeCell ref="B38:F38"/>
    <mergeCell ref="B39:F39"/>
    <mergeCell ref="H34:I42"/>
    <mergeCell ref="H16:I25"/>
    <mergeCell ref="H26:I33"/>
    <mergeCell ref="B14:F14"/>
    <mergeCell ref="B15:F15"/>
    <mergeCell ref="B25:F25"/>
    <mergeCell ref="A26:A33"/>
    <mergeCell ref="B26:F26"/>
    <mergeCell ref="B27:F27"/>
    <mergeCell ref="B28:F28"/>
    <mergeCell ref="B29:F29"/>
    <mergeCell ref="A34:A42"/>
    <mergeCell ref="B34:F34"/>
    <mergeCell ref="B35:F35"/>
    <mergeCell ref="B36:F36"/>
    <mergeCell ref="B37:F37"/>
    <mergeCell ref="K7:L7"/>
    <mergeCell ref="B91:I91"/>
    <mergeCell ref="A4:I4"/>
    <mergeCell ref="B6:F6"/>
    <mergeCell ref="B7:F7"/>
    <mergeCell ref="B8:F8"/>
    <mergeCell ref="H5:I5"/>
    <mergeCell ref="F82:H82"/>
    <mergeCell ref="H55:I64"/>
    <mergeCell ref="H43:I52"/>
    <mergeCell ref="B32:F32"/>
    <mergeCell ref="B40:F40"/>
    <mergeCell ref="B49:F49"/>
    <mergeCell ref="B30:F30"/>
    <mergeCell ref="B31:F31"/>
    <mergeCell ref="B33:F33"/>
    <mergeCell ref="B42:F42"/>
    <mergeCell ref="B47:F47"/>
    <mergeCell ref="B48:F48"/>
    <mergeCell ref="B50:F50"/>
    <mergeCell ref="B51:F51"/>
    <mergeCell ref="B52:F52"/>
    <mergeCell ref="B5:F5"/>
    <mergeCell ref="B75:I75"/>
  </mergeCells>
  <phoneticPr fontId="1"/>
  <conditionalFormatting sqref="F85 B91 B55:B75 D78:D88 A78:A88 C89 B6:B52 C53:F54 G6:G74 L87:M89 N77:N88">
    <cfRule type="cellIs" dxfId="27" priority="3" stopIfTrue="1" operator="equal">
      <formula>0</formula>
    </cfRule>
  </conditionalFormatting>
  <conditionalFormatting sqref="L79:M86 M78">
    <cfRule type="cellIs" dxfId="26" priority="2" stopIfTrue="1" operator="equal">
      <formula>0</formula>
    </cfRule>
  </conditionalFormatting>
  <conditionalFormatting sqref="L17:M20">
    <cfRule type="cellIs" dxfId="25" priority="1" stopIfTrue="1" operator="equal">
      <formula>0</formula>
    </cfRule>
  </conditionalFormatting>
  <printOptions horizontalCentered="1"/>
  <pageMargins left="0.59055118110236227" right="0.19685039370078741" top="0.39370078740157483" bottom="0.39370078740157483" header="0.35433070866141736" footer="0.19685039370078741"/>
  <pageSetup paperSize="13" scale="74" fitToHeight="2"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元データ取込">
                <anchor moveWithCells="1" sizeWithCells="1">
                  <from>
                    <xdr:col>9</xdr:col>
                    <xdr:colOff>571500</xdr:colOff>
                    <xdr:row>4</xdr:row>
                    <xdr:rowOff>28575</xdr:rowOff>
                  </from>
                  <to>
                    <xdr:col>12</xdr:col>
                    <xdr:colOff>123825</xdr:colOff>
                    <xdr:row>5</xdr:row>
                    <xdr:rowOff>95250</xdr:rowOff>
                  </to>
                </anchor>
              </controlPr>
            </control>
          </mc:Choice>
        </mc:AlternateContent>
        <mc:AlternateContent xmlns:mc="http://schemas.openxmlformats.org/markup-compatibility/2006">
          <mc:Choice Requires="x14">
            <control shapeId="1026" r:id="rId5" name="Button 2">
              <controlPr defaultSize="0" print="0" autoFill="0" autoPict="0" macro="[0]!通知票印刷">
                <anchor moveWithCells="1" sizeWithCells="1">
                  <from>
                    <xdr:col>9</xdr:col>
                    <xdr:colOff>571500</xdr:colOff>
                    <xdr:row>10</xdr:row>
                    <xdr:rowOff>76200</xdr:rowOff>
                  </from>
                  <to>
                    <xdr:col>12</xdr:col>
                    <xdr:colOff>161925</xdr:colOff>
                    <xdr:row>11</xdr:row>
                    <xdr:rowOff>152400</xdr:rowOff>
                  </to>
                </anchor>
              </controlPr>
            </control>
          </mc:Choice>
        </mc:AlternateContent>
        <mc:AlternateContent xmlns:mc="http://schemas.openxmlformats.org/markup-compatibility/2006">
          <mc:Choice Requires="x14">
            <control shapeId="1027" r:id="rId6" name="Button 3">
              <controlPr defaultSize="0" print="0" autoFill="0" autoPict="0" macro="[0]!所見集印刷">
                <anchor moveWithCells="1" sizeWithCells="1">
                  <from>
                    <xdr:col>9</xdr:col>
                    <xdr:colOff>571500</xdr:colOff>
                    <xdr:row>12</xdr:row>
                    <xdr:rowOff>47625</xdr:rowOff>
                  </from>
                  <to>
                    <xdr:col>12</xdr:col>
                    <xdr:colOff>161925</xdr:colOff>
                    <xdr:row>13</xdr:row>
                    <xdr:rowOff>123825</xdr:rowOff>
                  </to>
                </anchor>
              </controlPr>
            </control>
          </mc:Choice>
        </mc:AlternateContent>
        <mc:AlternateContent xmlns:mc="http://schemas.openxmlformats.org/markup-compatibility/2006">
          <mc:Choice Requires="x14">
            <control shapeId="1028" r:id="rId7" name="Button 4">
              <controlPr defaultSize="0" print="0" autoFill="0" autoPict="0" macro="[0]!前">
                <anchor moveWithCells="1" sizeWithCells="1">
                  <from>
                    <xdr:col>10</xdr:col>
                    <xdr:colOff>66675</xdr:colOff>
                    <xdr:row>83</xdr:row>
                    <xdr:rowOff>200025</xdr:rowOff>
                  </from>
                  <to>
                    <xdr:col>11</xdr:col>
                    <xdr:colOff>9525</xdr:colOff>
                    <xdr:row>85</xdr:row>
                    <xdr:rowOff>19050</xdr:rowOff>
                  </to>
                </anchor>
              </controlPr>
            </control>
          </mc:Choice>
        </mc:AlternateContent>
        <mc:AlternateContent xmlns:mc="http://schemas.openxmlformats.org/markup-compatibility/2006">
          <mc:Choice Requires="x14">
            <control shapeId="1029" r:id="rId8" name="Button 5">
              <controlPr defaultSize="0" print="0" autoFill="0" autoPict="0" macro="[0]!前">
                <anchor moveWithCells="1" sizeWithCells="1">
                  <from>
                    <xdr:col>12</xdr:col>
                    <xdr:colOff>133350</xdr:colOff>
                    <xdr:row>83</xdr:row>
                    <xdr:rowOff>200025</xdr:rowOff>
                  </from>
                  <to>
                    <xdr:col>12</xdr:col>
                    <xdr:colOff>438150</xdr:colOff>
                    <xdr:row>85</xdr:row>
                    <xdr:rowOff>19050</xdr:rowOff>
                  </to>
                </anchor>
              </controlPr>
            </control>
          </mc:Choice>
        </mc:AlternateContent>
        <mc:AlternateContent xmlns:mc="http://schemas.openxmlformats.org/markup-compatibility/2006">
          <mc:Choice Requires="x14">
            <control shapeId="1030" r:id="rId9" name="Button 6">
              <controlPr defaultSize="0" print="0" autoFill="0" autoPict="0" macro="[0]!前">
                <anchor moveWithCells="1" sizeWithCells="1">
                  <from>
                    <xdr:col>10</xdr:col>
                    <xdr:colOff>66675</xdr:colOff>
                    <xdr:row>17</xdr:row>
                    <xdr:rowOff>200025</xdr:rowOff>
                  </from>
                  <to>
                    <xdr:col>11</xdr:col>
                    <xdr:colOff>9525</xdr:colOff>
                    <xdr:row>19</xdr:row>
                    <xdr:rowOff>19050</xdr:rowOff>
                  </to>
                </anchor>
              </controlPr>
            </control>
          </mc:Choice>
        </mc:AlternateContent>
        <mc:AlternateContent xmlns:mc="http://schemas.openxmlformats.org/markup-compatibility/2006">
          <mc:Choice Requires="x14">
            <control shapeId="1031" r:id="rId10" name="Button 7">
              <controlPr defaultSize="0" print="0" autoFill="0" autoPict="0" macro="[0]!先">
                <anchor moveWithCells="1" sizeWithCells="1">
                  <from>
                    <xdr:col>12</xdr:col>
                    <xdr:colOff>133350</xdr:colOff>
                    <xdr:row>17</xdr:row>
                    <xdr:rowOff>200025</xdr:rowOff>
                  </from>
                  <to>
                    <xdr:col>12</xdr:col>
                    <xdr:colOff>438150</xdr:colOff>
                    <xdr:row>19</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1"/>
    <pageSetUpPr fitToPage="1"/>
  </sheetPr>
  <dimension ref="A1:C14"/>
  <sheetViews>
    <sheetView view="pageBreakPreview" zoomScaleNormal="70" zoomScaleSheetLayoutView="100" workbookViewId="0">
      <selection activeCell="B3" sqref="B3"/>
    </sheetView>
  </sheetViews>
  <sheetFormatPr defaultRowHeight="13.5"/>
  <cols>
    <col min="1" max="2" width="4.25" style="8" customWidth="1"/>
    <col min="3" max="3" width="95" style="8" customWidth="1"/>
    <col min="4" max="16384" width="9" style="8"/>
  </cols>
  <sheetData>
    <row r="1" spans="1:3" ht="18.75" customHeight="1">
      <c r="A1" s="153" t="str">
        <f ca="1">通知票!A1</f>
        <v>２－１</v>
      </c>
      <c r="B1" s="120"/>
      <c r="C1" s="58" t="str">
        <f ca="1">通知票!C1</f>
        <v>1学期</v>
      </c>
    </row>
    <row r="2" spans="1:3" ht="18.75" customHeight="1">
      <c r="A2" s="59" t="s">
        <v>44</v>
      </c>
      <c r="B2" s="58">
        <v>15</v>
      </c>
      <c r="C2" s="70">
        <f ca="1">INDIRECT("'所見'!A"&amp;12+$B$2)</f>
        <v>0</v>
      </c>
    </row>
    <row r="3" spans="1:3" ht="12" customHeight="1">
      <c r="C3" s="9"/>
    </row>
    <row r="4" spans="1:3" ht="18.75" customHeight="1">
      <c r="A4" s="60" t="s">
        <v>5</v>
      </c>
      <c r="B4" s="61" t="s">
        <v>7</v>
      </c>
      <c r="C4" s="22" t="s">
        <v>45</v>
      </c>
    </row>
    <row r="5" spans="1:3" ht="75" customHeight="1">
      <c r="A5" s="62" t="s">
        <v>9</v>
      </c>
      <c r="B5" s="63">
        <f ca="1">OFFSET(国語!C12,0,$B$2)</f>
        <v>0</v>
      </c>
      <c r="C5" s="64">
        <f ca="1">INDIRECT("'国語'!B"&amp;14+$B$2)</f>
        <v>0</v>
      </c>
    </row>
    <row r="6" spans="1:3" ht="75" customHeight="1">
      <c r="A6" s="65" t="s">
        <v>1</v>
      </c>
      <c r="B6" s="66">
        <f ca="1">OFFSET(算数!C12,0,$B$2)</f>
        <v>0</v>
      </c>
      <c r="C6" s="67">
        <f ca="1">INDIRECT("'算数'!B"&amp;14+$B$2)</f>
        <v>0</v>
      </c>
    </row>
    <row r="7" spans="1:3" ht="75" customHeight="1">
      <c r="A7" s="62" t="s">
        <v>46</v>
      </c>
      <c r="B7" s="63">
        <f ca="1">OFFSET(生活!C12,0,$B$2)</f>
        <v>0</v>
      </c>
      <c r="C7" s="64">
        <f ca="1">INDIRECT("'生活'!B"&amp;14+$B$2)</f>
        <v>0</v>
      </c>
    </row>
    <row r="8" spans="1:3" ht="75" customHeight="1">
      <c r="A8" s="65" t="s">
        <v>10</v>
      </c>
      <c r="B8" s="66">
        <f ca="1">OFFSET(英語!C12,0,$B$2)</f>
        <v>0</v>
      </c>
      <c r="C8" s="67">
        <f ca="1">INDIRECT("'英語'!B"&amp;14+$B$2)</f>
        <v>0</v>
      </c>
    </row>
    <row r="9" spans="1:3" ht="75" customHeight="1">
      <c r="A9" s="62" t="s">
        <v>4</v>
      </c>
      <c r="B9" s="63">
        <f ca="1">OFFSET(音楽!C12,0,$B$2)</f>
        <v>0</v>
      </c>
      <c r="C9" s="64">
        <f ca="1">INDIRECT("'音楽'!B"&amp;14+$B$2)</f>
        <v>0</v>
      </c>
    </row>
    <row r="10" spans="1:3" ht="75" customHeight="1">
      <c r="A10" s="65" t="s">
        <v>2</v>
      </c>
      <c r="B10" s="66">
        <f ca="1">OFFSET(図工!C12,0,$B$2)</f>
        <v>0</v>
      </c>
      <c r="C10" s="67">
        <f ca="1">INDIRECT("'図工'!B"&amp;14+$B$2)</f>
        <v>0</v>
      </c>
    </row>
    <row r="11" spans="1:3" ht="75" customHeight="1">
      <c r="A11" s="62" t="s">
        <v>3</v>
      </c>
      <c r="B11" s="63">
        <f ca="1">OFFSET(体育!C12,0,$B$2)</f>
        <v>0</v>
      </c>
      <c r="C11" s="64">
        <f ca="1">INDIRECT("'体育'!B"&amp;14+$B$2)</f>
        <v>0</v>
      </c>
    </row>
    <row r="12" spans="1:3" ht="75" customHeight="1">
      <c r="A12" s="62" t="s">
        <v>25</v>
      </c>
      <c r="B12" s="154">
        <f ca="1">INDIRECT("'道徳'!B"&amp;2+$B$2)</f>
        <v>0</v>
      </c>
      <c r="C12" s="155"/>
    </row>
    <row r="13" spans="1:3" ht="18.75" customHeight="1">
      <c r="C13" s="68"/>
    </row>
    <row r="14" spans="1:3" ht="225" customHeight="1">
      <c r="A14" s="23" t="s">
        <v>12</v>
      </c>
      <c r="B14" s="69"/>
      <c r="C14" s="64">
        <f ca="1">INDIRECT("'所見'!B"&amp;通知票!$Q$5+$B$2)</f>
        <v>0</v>
      </c>
    </row>
  </sheetData>
  <mergeCells count="2">
    <mergeCell ref="A1:B1"/>
    <mergeCell ref="B12:C12"/>
  </mergeCells>
  <phoneticPr fontId="1"/>
  <conditionalFormatting sqref="C14 C5:C11">
    <cfRule type="cellIs" dxfId="24" priority="1" stopIfTrue="1" operator="equal">
      <formula>0</formula>
    </cfRule>
  </conditionalFormatting>
  <printOptions horizontalCentered="1"/>
  <pageMargins left="0.59055118110236227" right="0.39370078740157483" top="0.39370078740157483" bottom="0.39370078740157483" header="0.35433070866141736" footer="0.19685039370078741"/>
  <pageSetup paperSize="9" scale="92" orientation="portrait" horizontalDpi="4294967293" vertic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Y188"/>
  <sheetViews>
    <sheetView workbookViewId="0">
      <selection sqref="A1:XFD1048576"/>
    </sheetView>
  </sheetViews>
  <sheetFormatPr defaultRowHeight="13.5"/>
  <cols>
    <col min="1" max="1" width="13.5" style="8" customWidth="1"/>
    <col min="2" max="2" width="79.125" style="8" customWidth="1"/>
    <col min="3" max="3" width="9.375" style="8" customWidth="1"/>
    <col min="4" max="23" width="4.125" style="8" customWidth="1"/>
    <col min="24" max="16384" width="9" style="8"/>
  </cols>
  <sheetData>
    <row r="1" spans="1:25" ht="85.5" customHeight="1">
      <c r="A1" s="33" t="str">
        <f ca="1">MID(CELL("filename",A1),FIND("[",CELL("filename",A1))+1,3)</f>
        <v>２－１</v>
      </c>
      <c r="B1" s="34" t="str">
        <f ca="1">RIGHT(CELL("filename",B1),LEN(CELL("filename",B1))-FIND("]",CELL("filename",B1)))</f>
        <v>国語</v>
      </c>
      <c r="C1" s="35" t="s">
        <v>26</v>
      </c>
      <c r="D1" s="36" t="str">
        <f>A15</f>
        <v>市田 琴春</v>
      </c>
      <c r="E1" s="36" t="str">
        <f>A16</f>
        <v>伊藤 百音</v>
      </c>
      <c r="F1" s="36" t="str">
        <f>A17</f>
        <v>岩下 美音</v>
      </c>
      <c r="G1" s="36" t="str">
        <f>A18</f>
        <v>大澤 涼真</v>
      </c>
      <c r="H1" s="36" t="str">
        <f>A19</f>
        <v>笠原 由楓</v>
      </c>
      <c r="I1" s="36" t="str">
        <f>A20</f>
        <v>芝田 人慈</v>
      </c>
      <c r="J1" s="36" t="str">
        <f>A21</f>
        <v>菅谷 彩桜</v>
      </c>
      <c r="K1" s="36" t="str">
        <f>A22</f>
        <v>中川 杏</v>
      </c>
      <c r="L1" s="36" t="str">
        <f>A23</f>
        <v>原田 絢匡</v>
      </c>
      <c r="M1" s="36" t="str">
        <f>A24</f>
        <v>藤本 慎士</v>
      </c>
      <c r="N1" s="36" t="str">
        <f>A25</f>
        <v>古畑 睦季</v>
      </c>
      <c r="O1" s="36" t="str">
        <f>A26</f>
        <v>三澤 昊來</v>
      </c>
      <c r="P1" s="36" t="str">
        <f>A27</f>
        <v>吉村 騰堂</v>
      </c>
      <c r="Q1" s="36">
        <f>A28</f>
        <v>0</v>
      </c>
      <c r="R1" s="36">
        <f>A29</f>
        <v>0</v>
      </c>
      <c r="S1" s="36">
        <f>A30</f>
        <v>0</v>
      </c>
      <c r="T1" s="36">
        <f>A31</f>
        <v>0</v>
      </c>
      <c r="U1" s="36">
        <f>A32</f>
        <v>0</v>
      </c>
      <c r="V1" s="36">
        <f>A33</f>
        <v>0</v>
      </c>
      <c r="W1" s="36">
        <f>A34</f>
        <v>0</v>
      </c>
      <c r="X1" s="37"/>
    </row>
    <row r="2" spans="1:25" ht="22.5" customHeight="1">
      <c r="A2" s="159" t="s">
        <v>177</v>
      </c>
      <c r="B2" s="81" t="s">
        <v>55</v>
      </c>
      <c r="C2" s="38" t="s">
        <v>27</v>
      </c>
      <c r="D2" s="39" t="s">
        <v>75</v>
      </c>
      <c r="E2" s="39" t="s">
        <v>75</v>
      </c>
      <c r="F2" s="39" t="s">
        <v>75</v>
      </c>
      <c r="G2" s="39" t="s">
        <v>178</v>
      </c>
      <c r="H2" s="39" t="s">
        <v>152</v>
      </c>
      <c r="I2" s="39" t="s">
        <v>152</v>
      </c>
      <c r="J2" s="39" t="s">
        <v>151</v>
      </c>
      <c r="K2" s="39" t="s">
        <v>152</v>
      </c>
      <c r="L2" s="39" t="s">
        <v>151</v>
      </c>
      <c r="M2" s="39" t="s">
        <v>151</v>
      </c>
      <c r="N2" s="39" t="s">
        <v>151</v>
      </c>
      <c r="O2" s="39" t="s">
        <v>152</v>
      </c>
      <c r="P2" s="39" t="s">
        <v>75</v>
      </c>
      <c r="Q2" s="39"/>
      <c r="R2" s="39"/>
      <c r="S2" s="39"/>
      <c r="T2" s="39"/>
      <c r="U2" s="39"/>
      <c r="V2" s="39"/>
      <c r="W2" s="39"/>
      <c r="X2" s="40" t="s">
        <v>152</v>
      </c>
      <c r="Y2" s="40">
        <v>1</v>
      </c>
    </row>
    <row r="3" spans="1:25" ht="22.5" customHeight="1">
      <c r="A3" s="160"/>
      <c r="B3" s="81" t="s">
        <v>56</v>
      </c>
      <c r="C3" s="38" t="s">
        <v>27</v>
      </c>
      <c r="D3" s="39" t="s">
        <v>179</v>
      </c>
      <c r="E3" s="39" t="s">
        <v>152</v>
      </c>
      <c r="F3" s="39" t="s">
        <v>152</v>
      </c>
      <c r="G3" s="39" t="s">
        <v>179</v>
      </c>
      <c r="H3" s="39" t="s">
        <v>152</v>
      </c>
      <c r="I3" s="39" t="s">
        <v>151</v>
      </c>
      <c r="J3" s="39" t="s">
        <v>151</v>
      </c>
      <c r="K3" s="39" t="s">
        <v>75</v>
      </c>
      <c r="L3" s="39" t="s">
        <v>151</v>
      </c>
      <c r="M3" s="39" t="s">
        <v>151</v>
      </c>
      <c r="N3" s="39" t="s">
        <v>134</v>
      </c>
      <c r="O3" s="39" t="s">
        <v>152</v>
      </c>
      <c r="P3" s="39" t="s">
        <v>152</v>
      </c>
      <c r="Q3" s="39"/>
      <c r="R3" s="39"/>
      <c r="S3" s="39"/>
      <c r="T3" s="39"/>
      <c r="U3" s="39"/>
      <c r="V3" s="39"/>
      <c r="W3" s="39"/>
      <c r="X3" s="40" t="s">
        <v>134</v>
      </c>
      <c r="Y3" s="40">
        <v>2</v>
      </c>
    </row>
    <row r="4" spans="1:25" ht="22.5" customHeight="1">
      <c r="A4" s="160"/>
      <c r="B4" s="81" t="s">
        <v>57</v>
      </c>
      <c r="C4" s="38" t="s">
        <v>27</v>
      </c>
      <c r="D4" s="39" t="s">
        <v>152</v>
      </c>
      <c r="E4" s="39" t="s">
        <v>152</v>
      </c>
      <c r="F4" s="39" t="s">
        <v>152</v>
      </c>
      <c r="G4" s="39" t="s">
        <v>152</v>
      </c>
      <c r="H4" s="39" t="s">
        <v>152</v>
      </c>
      <c r="I4" s="39" t="s">
        <v>151</v>
      </c>
      <c r="J4" s="39" t="s">
        <v>151</v>
      </c>
      <c r="K4" s="39" t="s">
        <v>152</v>
      </c>
      <c r="L4" s="39" t="s">
        <v>152</v>
      </c>
      <c r="M4" s="39" t="s">
        <v>152</v>
      </c>
      <c r="N4" s="39" t="s">
        <v>152</v>
      </c>
      <c r="O4" s="39" t="s">
        <v>152</v>
      </c>
      <c r="P4" s="39" t="s">
        <v>152</v>
      </c>
      <c r="Q4" s="39"/>
      <c r="R4" s="39"/>
      <c r="S4" s="39"/>
      <c r="T4" s="39"/>
      <c r="U4" s="39"/>
      <c r="V4" s="39"/>
      <c r="W4" s="39"/>
      <c r="X4" s="40" t="s">
        <v>153</v>
      </c>
      <c r="Y4" s="40">
        <v>3</v>
      </c>
    </row>
    <row r="5" spans="1:25" ht="22.5" customHeight="1">
      <c r="A5" s="160"/>
      <c r="B5" s="81" t="s">
        <v>71</v>
      </c>
      <c r="C5" s="38" t="s">
        <v>27</v>
      </c>
      <c r="D5" s="39" t="s">
        <v>152</v>
      </c>
      <c r="E5" s="39" t="s">
        <v>152</v>
      </c>
      <c r="F5" s="39" t="s">
        <v>152</v>
      </c>
      <c r="G5" s="39" t="s">
        <v>152</v>
      </c>
      <c r="H5" s="39" t="s">
        <v>152</v>
      </c>
      <c r="I5" s="39" t="s">
        <v>151</v>
      </c>
      <c r="J5" s="39" t="s">
        <v>152</v>
      </c>
      <c r="K5" s="39" t="s">
        <v>152</v>
      </c>
      <c r="L5" s="39" t="s">
        <v>152</v>
      </c>
      <c r="M5" s="39" t="s">
        <v>152</v>
      </c>
      <c r="N5" s="39" t="s">
        <v>152</v>
      </c>
      <c r="O5" s="39" t="s">
        <v>152</v>
      </c>
      <c r="P5" s="39" t="s">
        <v>152</v>
      </c>
      <c r="Q5" s="39"/>
      <c r="R5" s="39"/>
      <c r="S5" s="39"/>
      <c r="T5" s="39"/>
      <c r="U5" s="39"/>
      <c r="V5" s="39"/>
      <c r="W5" s="39"/>
      <c r="X5" s="40" t="s">
        <v>154</v>
      </c>
      <c r="Y5" s="40">
        <v>4</v>
      </c>
    </row>
    <row r="6" spans="1:25" ht="22.5" customHeight="1">
      <c r="A6" s="160"/>
      <c r="B6" s="81" t="s">
        <v>58</v>
      </c>
      <c r="C6" s="38" t="s">
        <v>27</v>
      </c>
      <c r="D6" s="39" t="s">
        <v>151</v>
      </c>
      <c r="E6" s="39" t="s">
        <v>152</v>
      </c>
      <c r="F6" s="39" t="s">
        <v>152</v>
      </c>
      <c r="G6" s="39" t="s">
        <v>152</v>
      </c>
      <c r="H6" s="39" t="s">
        <v>152</v>
      </c>
      <c r="I6" s="39" t="s">
        <v>152</v>
      </c>
      <c r="J6" s="39" t="s">
        <v>152</v>
      </c>
      <c r="K6" s="39" t="s">
        <v>152</v>
      </c>
      <c r="L6" s="39" t="s">
        <v>151</v>
      </c>
      <c r="M6" s="39" t="s">
        <v>152</v>
      </c>
      <c r="N6" s="39" t="s">
        <v>151</v>
      </c>
      <c r="O6" s="39" t="s">
        <v>152</v>
      </c>
      <c r="P6" s="39" t="s">
        <v>152</v>
      </c>
      <c r="Q6" s="39"/>
      <c r="R6" s="39"/>
      <c r="S6" s="39"/>
      <c r="T6" s="39"/>
      <c r="U6" s="39"/>
      <c r="V6" s="39"/>
      <c r="W6" s="39"/>
      <c r="X6" s="40"/>
      <c r="Y6" s="40">
        <v>5</v>
      </c>
    </row>
    <row r="7" spans="1:25" ht="22.5" customHeight="1">
      <c r="A7" s="160"/>
      <c r="B7" s="81" t="s">
        <v>59</v>
      </c>
      <c r="C7" s="38" t="s">
        <v>27</v>
      </c>
      <c r="D7" s="39" t="s">
        <v>153</v>
      </c>
      <c r="E7" s="39" t="s">
        <v>152</v>
      </c>
      <c r="F7" s="39" t="s">
        <v>152</v>
      </c>
      <c r="G7" s="39" t="s">
        <v>152</v>
      </c>
      <c r="H7" s="39" t="s">
        <v>75</v>
      </c>
      <c r="I7" s="39" t="s">
        <v>151</v>
      </c>
      <c r="J7" s="39" t="s">
        <v>152</v>
      </c>
      <c r="K7" s="39" t="s">
        <v>152</v>
      </c>
      <c r="L7" s="39" t="s">
        <v>151</v>
      </c>
      <c r="M7" s="39" t="s">
        <v>152</v>
      </c>
      <c r="N7" s="39" t="s">
        <v>151</v>
      </c>
      <c r="O7" s="39" t="s">
        <v>152</v>
      </c>
      <c r="P7" s="39" t="s">
        <v>151</v>
      </c>
      <c r="Q7" s="39"/>
      <c r="R7" s="39"/>
      <c r="S7" s="39"/>
      <c r="T7" s="39"/>
      <c r="U7" s="39"/>
      <c r="V7" s="39"/>
      <c r="W7" s="39"/>
      <c r="X7" s="40"/>
      <c r="Y7" s="40" t="s">
        <v>154</v>
      </c>
    </row>
    <row r="8" spans="1:25" ht="22.5" customHeight="1">
      <c r="A8" s="160"/>
      <c r="B8" s="81" t="s">
        <v>60</v>
      </c>
      <c r="C8" s="38" t="s">
        <v>27</v>
      </c>
      <c r="D8" s="39" t="s">
        <v>151</v>
      </c>
      <c r="E8" s="39" t="s">
        <v>152</v>
      </c>
      <c r="F8" s="39" t="s">
        <v>152</v>
      </c>
      <c r="G8" s="39" t="s">
        <v>179</v>
      </c>
      <c r="H8" s="39" t="s">
        <v>152</v>
      </c>
      <c r="I8" s="39" t="s">
        <v>151</v>
      </c>
      <c r="J8" s="39" t="s">
        <v>180</v>
      </c>
      <c r="K8" s="39" t="s">
        <v>152</v>
      </c>
      <c r="L8" s="39" t="s">
        <v>151</v>
      </c>
      <c r="M8" s="39" t="s">
        <v>151</v>
      </c>
      <c r="N8" s="39" t="s">
        <v>151</v>
      </c>
      <c r="O8" s="39" t="s">
        <v>152</v>
      </c>
      <c r="P8" s="39" t="s">
        <v>151</v>
      </c>
      <c r="Q8" s="39"/>
      <c r="R8" s="39"/>
      <c r="S8" s="39"/>
      <c r="T8" s="39"/>
      <c r="U8" s="39"/>
      <c r="V8" s="39"/>
      <c r="W8" s="39"/>
    </row>
    <row r="9" spans="1:25" ht="22.5" customHeight="1">
      <c r="A9" s="160"/>
      <c r="B9" s="81" t="s">
        <v>72</v>
      </c>
      <c r="C9" s="38" t="s">
        <v>27</v>
      </c>
      <c r="D9" s="39" t="s">
        <v>152</v>
      </c>
      <c r="E9" s="39" t="s">
        <v>152</v>
      </c>
      <c r="F9" s="39" t="s">
        <v>152</v>
      </c>
      <c r="G9" s="39" t="s">
        <v>152</v>
      </c>
      <c r="H9" s="39" t="s">
        <v>152</v>
      </c>
      <c r="I9" s="39" t="s">
        <v>152</v>
      </c>
      <c r="J9" s="39" t="s">
        <v>152</v>
      </c>
      <c r="K9" s="39" t="s">
        <v>152</v>
      </c>
      <c r="L9" s="39" t="s">
        <v>152</v>
      </c>
      <c r="M9" s="39" t="s">
        <v>152</v>
      </c>
      <c r="N9" s="39" t="s">
        <v>152</v>
      </c>
      <c r="O9" s="39" t="s">
        <v>152</v>
      </c>
      <c r="P9" s="39" t="s">
        <v>152</v>
      </c>
      <c r="Q9" s="39"/>
      <c r="R9" s="39"/>
      <c r="S9" s="39"/>
      <c r="T9" s="39"/>
      <c r="U9" s="39"/>
      <c r="V9" s="39"/>
      <c r="W9" s="39"/>
    </row>
    <row r="10" spans="1:25" ht="22.5" customHeight="1">
      <c r="A10" s="160"/>
      <c r="B10" s="41" t="s">
        <v>73</v>
      </c>
      <c r="C10" s="38" t="s">
        <v>27</v>
      </c>
      <c r="D10" s="39" t="s">
        <v>151</v>
      </c>
      <c r="E10" s="39" t="s">
        <v>152</v>
      </c>
      <c r="F10" s="39" t="s">
        <v>152</v>
      </c>
      <c r="G10" s="39" t="s">
        <v>152</v>
      </c>
      <c r="H10" s="39" t="s">
        <v>152</v>
      </c>
      <c r="I10" s="39" t="s">
        <v>151</v>
      </c>
      <c r="J10" s="39" t="s">
        <v>151</v>
      </c>
      <c r="K10" s="39" t="s">
        <v>151</v>
      </c>
      <c r="L10" s="39" t="s">
        <v>153</v>
      </c>
      <c r="M10" s="39" t="s">
        <v>153</v>
      </c>
      <c r="N10" s="39" t="s">
        <v>151</v>
      </c>
      <c r="O10" s="39" t="s">
        <v>152</v>
      </c>
      <c r="P10" s="39" t="s">
        <v>151</v>
      </c>
      <c r="Q10" s="39"/>
      <c r="R10" s="39"/>
      <c r="S10" s="39"/>
      <c r="T10" s="39"/>
      <c r="U10" s="39"/>
      <c r="V10" s="39"/>
      <c r="W10" s="39"/>
    </row>
    <row r="11" spans="1:25" ht="22.5" customHeight="1">
      <c r="A11" s="160"/>
      <c r="B11" s="41"/>
      <c r="C11" s="38" t="s">
        <v>27</v>
      </c>
      <c r="D11" s="39"/>
      <c r="E11" s="39"/>
      <c r="F11" s="39"/>
      <c r="G11" s="39"/>
      <c r="H11" s="39"/>
      <c r="I11" s="39"/>
      <c r="J11" s="39"/>
      <c r="K11" s="39"/>
      <c r="L11" s="39"/>
      <c r="M11" s="39"/>
      <c r="N11" s="39"/>
      <c r="O11" s="39"/>
      <c r="P11" s="39"/>
      <c r="Q11" s="39"/>
      <c r="R11" s="39"/>
      <c r="S11" s="39"/>
      <c r="T11" s="39"/>
      <c r="U11" s="39"/>
      <c r="V11" s="39"/>
      <c r="W11" s="39"/>
    </row>
    <row r="12" spans="1:25" ht="30" customHeight="1">
      <c r="A12" s="161"/>
      <c r="B12" s="42"/>
      <c r="C12" s="43" t="s">
        <v>28</v>
      </c>
      <c r="D12" s="39">
        <v>4</v>
      </c>
      <c r="E12" s="39">
        <v>5</v>
      </c>
      <c r="F12" s="39">
        <v>5</v>
      </c>
      <c r="G12" s="39">
        <v>5</v>
      </c>
      <c r="H12" s="39">
        <v>5</v>
      </c>
      <c r="I12" s="39">
        <v>3</v>
      </c>
      <c r="J12" s="39">
        <v>4</v>
      </c>
      <c r="K12" s="39">
        <v>5</v>
      </c>
      <c r="L12" s="39">
        <v>3</v>
      </c>
      <c r="M12" s="39">
        <v>4</v>
      </c>
      <c r="N12" s="39">
        <v>3</v>
      </c>
      <c r="O12" s="39">
        <v>5</v>
      </c>
      <c r="P12" s="39">
        <v>4</v>
      </c>
      <c r="Q12" s="39"/>
      <c r="R12" s="39"/>
      <c r="S12" s="39"/>
      <c r="T12" s="39"/>
      <c r="U12" s="39"/>
      <c r="V12" s="39"/>
      <c r="W12" s="39"/>
    </row>
    <row r="13" spans="1:25" ht="26.25" customHeight="1">
      <c r="A13" s="44"/>
      <c r="B13" s="44"/>
      <c r="C13" s="73" t="s">
        <v>54</v>
      </c>
      <c r="D13" s="74"/>
      <c r="E13" s="74"/>
      <c r="F13" s="74"/>
      <c r="G13" s="74"/>
      <c r="H13" s="74"/>
      <c r="I13" s="74"/>
      <c r="J13" s="74"/>
      <c r="K13" s="74"/>
      <c r="L13" s="74"/>
      <c r="M13" s="74"/>
      <c r="N13" s="74"/>
      <c r="O13" s="74"/>
      <c r="P13" s="74"/>
      <c r="Q13" s="74"/>
      <c r="R13" s="74"/>
      <c r="S13" s="74"/>
      <c r="T13" s="74"/>
      <c r="U13" s="74"/>
      <c r="V13" s="74"/>
      <c r="W13" s="74"/>
    </row>
    <row r="14" spans="1:25" ht="22.5" customHeight="1">
      <c r="A14" s="45" t="s">
        <v>29</v>
      </c>
      <c r="B14" s="162" t="s">
        <v>30</v>
      </c>
      <c r="C14" s="163"/>
      <c r="D14" s="163"/>
      <c r="E14" s="163"/>
      <c r="F14" s="163"/>
      <c r="G14" s="163"/>
      <c r="H14" s="163"/>
      <c r="I14" s="163"/>
      <c r="J14" s="163"/>
      <c r="K14" s="163"/>
      <c r="L14" s="163"/>
      <c r="M14" s="163"/>
      <c r="N14" s="163"/>
      <c r="O14" s="163"/>
      <c r="P14" s="163"/>
      <c r="Q14" s="163"/>
      <c r="R14" s="163"/>
      <c r="S14" s="163"/>
      <c r="T14" s="163"/>
      <c r="U14" s="163"/>
      <c r="V14" s="163"/>
      <c r="W14" s="164"/>
    </row>
    <row r="15" spans="1:25" ht="59.25" customHeight="1">
      <c r="A15" s="46" t="s">
        <v>80</v>
      </c>
      <c r="B15" s="156"/>
      <c r="C15" s="157"/>
      <c r="D15" s="157"/>
      <c r="E15" s="157"/>
      <c r="F15" s="157"/>
      <c r="G15" s="157"/>
      <c r="H15" s="157"/>
      <c r="I15" s="157"/>
      <c r="J15" s="157"/>
      <c r="K15" s="157"/>
      <c r="L15" s="157"/>
      <c r="M15" s="157"/>
      <c r="N15" s="157"/>
      <c r="O15" s="157"/>
      <c r="P15" s="157"/>
      <c r="Q15" s="157"/>
      <c r="R15" s="157"/>
      <c r="S15" s="157"/>
      <c r="T15" s="157"/>
      <c r="U15" s="157"/>
      <c r="V15" s="157"/>
      <c r="W15" s="158"/>
    </row>
    <row r="16" spans="1:25" ht="59.25" customHeight="1">
      <c r="A16" s="46" t="s">
        <v>81</v>
      </c>
      <c r="B16" s="156"/>
      <c r="C16" s="157"/>
      <c r="D16" s="157"/>
      <c r="E16" s="157"/>
      <c r="F16" s="157"/>
      <c r="G16" s="157"/>
      <c r="H16" s="157"/>
      <c r="I16" s="157"/>
      <c r="J16" s="157"/>
      <c r="K16" s="157"/>
      <c r="L16" s="157"/>
      <c r="M16" s="157"/>
      <c r="N16" s="157"/>
      <c r="O16" s="157"/>
      <c r="P16" s="157"/>
      <c r="Q16" s="157"/>
      <c r="R16" s="157"/>
      <c r="S16" s="157"/>
      <c r="T16" s="157"/>
      <c r="U16" s="157"/>
      <c r="V16" s="157"/>
      <c r="W16" s="158"/>
    </row>
    <row r="17" spans="1:23" ht="59.25" customHeight="1">
      <c r="A17" s="46" t="s">
        <v>82</v>
      </c>
      <c r="B17" s="156"/>
      <c r="C17" s="157"/>
      <c r="D17" s="157"/>
      <c r="E17" s="157"/>
      <c r="F17" s="157"/>
      <c r="G17" s="157"/>
      <c r="H17" s="157"/>
      <c r="I17" s="157"/>
      <c r="J17" s="157"/>
      <c r="K17" s="157"/>
      <c r="L17" s="157"/>
      <c r="M17" s="157"/>
      <c r="N17" s="157"/>
      <c r="O17" s="157"/>
      <c r="P17" s="157"/>
      <c r="Q17" s="157"/>
      <c r="R17" s="157"/>
      <c r="S17" s="157"/>
      <c r="T17" s="157"/>
      <c r="U17" s="157"/>
      <c r="V17" s="157"/>
      <c r="W17" s="158"/>
    </row>
    <row r="18" spans="1:23" ht="59.25" customHeight="1">
      <c r="A18" s="46" t="s">
        <v>83</v>
      </c>
      <c r="B18" s="156"/>
      <c r="C18" s="157"/>
      <c r="D18" s="157"/>
      <c r="E18" s="157"/>
      <c r="F18" s="157"/>
      <c r="G18" s="157"/>
      <c r="H18" s="157"/>
      <c r="I18" s="157"/>
      <c r="J18" s="157"/>
      <c r="K18" s="157"/>
      <c r="L18" s="157"/>
      <c r="M18" s="157"/>
      <c r="N18" s="157"/>
      <c r="O18" s="157"/>
      <c r="P18" s="157"/>
      <c r="Q18" s="157"/>
      <c r="R18" s="157"/>
      <c r="S18" s="157"/>
      <c r="T18" s="157"/>
      <c r="U18" s="157"/>
      <c r="V18" s="157"/>
      <c r="W18" s="158"/>
    </row>
    <row r="19" spans="1:23" ht="59.25" customHeight="1">
      <c r="A19" s="46" t="s">
        <v>84</v>
      </c>
      <c r="B19" s="156"/>
      <c r="C19" s="157"/>
      <c r="D19" s="157"/>
      <c r="E19" s="157"/>
      <c r="F19" s="157"/>
      <c r="G19" s="157"/>
      <c r="H19" s="157"/>
      <c r="I19" s="157"/>
      <c r="J19" s="157"/>
      <c r="K19" s="157"/>
      <c r="L19" s="157"/>
      <c r="M19" s="157"/>
      <c r="N19" s="157"/>
      <c r="O19" s="157"/>
      <c r="P19" s="157"/>
      <c r="Q19" s="157"/>
      <c r="R19" s="157"/>
      <c r="S19" s="157"/>
      <c r="T19" s="157"/>
      <c r="U19" s="157"/>
      <c r="V19" s="157"/>
      <c r="W19" s="158"/>
    </row>
    <row r="20" spans="1:23" ht="59.25" customHeight="1">
      <c r="A20" s="46" t="s">
        <v>85</v>
      </c>
      <c r="B20" s="156"/>
      <c r="C20" s="157"/>
      <c r="D20" s="157"/>
      <c r="E20" s="157"/>
      <c r="F20" s="157"/>
      <c r="G20" s="157"/>
      <c r="H20" s="157"/>
      <c r="I20" s="157"/>
      <c r="J20" s="157"/>
      <c r="K20" s="157"/>
      <c r="L20" s="157"/>
      <c r="M20" s="157"/>
      <c r="N20" s="157"/>
      <c r="O20" s="157"/>
      <c r="P20" s="157"/>
      <c r="Q20" s="157"/>
      <c r="R20" s="157"/>
      <c r="S20" s="157"/>
      <c r="T20" s="157"/>
      <c r="U20" s="157"/>
      <c r="V20" s="157"/>
      <c r="W20" s="158"/>
    </row>
    <row r="21" spans="1:23" ht="59.25" customHeight="1">
      <c r="A21" s="46" t="s">
        <v>86</v>
      </c>
      <c r="B21" s="156"/>
      <c r="C21" s="157"/>
      <c r="D21" s="157"/>
      <c r="E21" s="157"/>
      <c r="F21" s="157"/>
      <c r="G21" s="157"/>
      <c r="H21" s="157"/>
      <c r="I21" s="157"/>
      <c r="J21" s="157"/>
      <c r="K21" s="157"/>
      <c r="L21" s="157"/>
      <c r="M21" s="157"/>
      <c r="N21" s="157"/>
      <c r="O21" s="157"/>
      <c r="P21" s="157"/>
      <c r="Q21" s="157"/>
      <c r="R21" s="157"/>
      <c r="S21" s="157"/>
      <c r="T21" s="157"/>
      <c r="U21" s="157"/>
      <c r="V21" s="157"/>
      <c r="W21" s="158"/>
    </row>
    <row r="22" spans="1:23" ht="59.25" customHeight="1">
      <c r="A22" s="46" t="s">
        <v>87</v>
      </c>
      <c r="B22" s="156"/>
      <c r="C22" s="157"/>
      <c r="D22" s="157"/>
      <c r="E22" s="157"/>
      <c r="F22" s="157"/>
      <c r="G22" s="157"/>
      <c r="H22" s="157"/>
      <c r="I22" s="157"/>
      <c r="J22" s="157"/>
      <c r="K22" s="157"/>
      <c r="L22" s="157"/>
      <c r="M22" s="157"/>
      <c r="N22" s="157"/>
      <c r="O22" s="157"/>
      <c r="P22" s="157"/>
      <c r="Q22" s="157"/>
      <c r="R22" s="157"/>
      <c r="S22" s="157"/>
      <c r="T22" s="157"/>
      <c r="U22" s="157"/>
      <c r="V22" s="157"/>
      <c r="W22" s="158"/>
    </row>
    <row r="23" spans="1:23" ht="59.25" customHeight="1">
      <c r="A23" s="46" t="s">
        <v>88</v>
      </c>
      <c r="B23" s="156"/>
      <c r="C23" s="157"/>
      <c r="D23" s="157"/>
      <c r="E23" s="157"/>
      <c r="F23" s="157"/>
      <c r="G23" s="157"/>
      <c r="H23" s="157"/>
      <c r="I23" s="157"/>
      <c r="J23" s="157"/>
      <c r="K23" s="157"/>
      <c r="L23" s="157"/>
      <c r="M23" s="157"/>
      <c r="N23" s="157"/>
      <c r="O23" s="157"/>
      <c r="P23" s="157"/>
      <c r="Q23" s="157"/>
      <c r="R23" s="157"/>
      <c r="S23" s="157"/>
      <c r="T23" s="157"/>
      <c r="U23" s="157"/>
      <c r="V23" s="157"/>
      <c r="W23" s="158"/>
    </row>
    <row r="24" spans="1:23" ht="59.25" customHeight="1">
      <c r="A24" s="46" t="s">
        <v>89</v>
      </c>
      <c r="B24" s="156"/>
      <c r="C24" s="157"/>
      <c r="D24" s="157"/>
      <c r="E24" s="157"/>
      <c r="F24" s="157"/>
      <c r="G24" s="157"/>
      <c r="H24" s="157"/>
      <c r="I24" s="157"/>
      <c r="J24" s="157"/>
      <c r="K24" s="157"/>
      <c r="L24" s="157"/>
      <c r="M24" s="157"/>
      <c r="N24" s="157"/>
      <c r="O24" s="157"/>
      <c r="P24" s="157"/>
      <c r="Q24" s="157"/>
      <c r="R24" s="157"/>
      <c r="S24" s="157"/>
      <c r="T24" s="157"/>
      <c r="U24" s="157"/>
      <c r="V24" s="157"/>
      <c r="W24" s="158"/>
    </row>
    <row r="25" spans="1:23" ht="59.25" customHeight="1">
      <c r="A25" s="46" t="s">
        <v>90</v>
      </c>
      <c r="B25" s="156"/>
      <c r="C25" s="157"/>
      <c r="D25" s="157"/>
      <c r="E25" s="157"/>
      <c r="F25" s="157"/>
      <c r="G25" s="157"/>
      <c r="H25" s="157"/>
      <c r="I25" s="157"/>
      <c r="J25" s="157"/>
      <c r="K25" s="157"/>
      <c r="L25" s="157"/>
      <c r="M25" s="157"/>
      <c r="N25" s="157"/>
      <c r="O25" s="157"/>
      <c r="P25" s="157"/>
      <c r="Q25" s="157"/>
      <c r="R25" s="157"/>
      <c r="S25" s="157"/>
      <c r="T25" s="157"/>
      <c r="U25" s="157"/>
      <c r="V25" s="157"/>
      <c r="W25" s="158"/>
    </row>
    <row r="26" spans="1:23" ht="59.25" customHeight="1">
      <c r="A26" s="46" t="s">
        <v>91</v>
      </c>
      <c r="B26" s="156"/>
      <c r="C26" s="157"/>
      <c r="D26" s="157"/>
      <c r="E26" s="157"/>
      <c r="F26" s="157"/>
      <c r="G26" s="157"/>
      <c r="H26" s="157"/>
      <c r="I26" s="157"/>
      <c r="J26" s="157"/>
      <c r="K26" s="157"/>
      <c r="L26" s="157"/>
      <c r="M26" s="157"/>
      <c r="N26" s="157"/>
      <c r="O26" s="157"/>
      <c r="P26" s="157"/>
      <c r="Q26" s="157"/>
      <c r="R26" s="157"/>
      <c r="S26" s="157"/>
      <c r="T26" s="157"/>
      <c r="U26" s="157"/>
      <c r="V26" s="157"/>
      <c r="W26" s="158"/>
    </row>
    <row r="27" spans="1:23" ht="59.25" customHeight="1">
      <c r="A27" s="46" t="s">
        <v>92</v>
      </c>
      <c r="B27" s="156"/>
      <c r="C27" s="157"/>
      <c r="D27" s="157"/>
      <c r="E27" s="157"/>
      <c r="F27" s="157"/>
      <c r="G27" s="157"/>
      <c r="H27" s="157"/>
      <c r="I27" s="157"/>
      <c r="J27" s="157"/>
      <c r="K27" s="157"/>
      <c r="L27" s="157"/>
      <c r="M27" s="157"/>
      <c r="N27" s="157"/>
      <c r="O27" s="157"/>
      <c r="P27" s="157"/>
      <c r="Q27" s="157"/>
      <c r="R27" s="157"/>
      <c r="S27" s="157"/>
      <c r="T27" s="157"/>
      <c r="U27" s="157"/>
      <c r="V27" s="157"/>
      <c r="W27" s="158"/>
    </row>
    <row r="28" spans="1:23" ht="59.25" customHeight="1">
      <c r="A28" s="46"/>
      <c r="B28" s="156"/>
      <c r="C28" s="157"/>
      <c r="D28" s="157"/>
      <c r="E28" s="157"/>
      <c r="F28" s="157"/>
      <c r="G28" s="157"/>
      <c r="H28" s="157"/>
      <c r="I28" s="157"/>
      <c r="J28" s="157"/>
      <c r="K28" s="157"/>
      <c r="L28" s="157"/>
      <c r="M28" s="157"/>
      <c r="N28" s="157"/>
      <c r="O28" s="157"/>
      <c r="P28" s="157"/>
      <c r="Q28" s="157"/>
      <c r="R28" s="157"/>
      <c r="S28" s="157"/>
      <c r="T28" s="157"/>
      <c r="U28" s="157"/>
      <c r="V28" s="157"/>
      <c r="W28" s="158"/>
    </row>
    <row r="29" spans="1:23" ht="59.25" customHeight="1">
      <c r="A29" s="46"/>
      <c r="B29" s="156"/>
      <c r="C29" s="157"/>
      <c r="D29" s="157"/>
      <c r="E29" s="157"/>
      <c r="F29" s="157"/>
      <c r="G29" s="157"/>
      <c r="H29" s="157"/>
      <c r="I29" s="157"/>
      <c r="J29" s="157"/>
      <c r="K29" s="157"/>
      <c r="L29" s="157"/>
      <c r="M29" s="157"/>
      <c r="N29" s="157"/>
      <c r="O29" s="157"/>
      <c r="P29" s="157"/>
      <c r="Q29" s="157"/>
      <c r="R29" s="157"/>
      <c r="S29" s="157"/>
      <c r="T29" s="157"/>
      <c r="U29" s="157"/>
      <c r="V29" s="157"/>
      <c r="W29" s="158"/>
    </row>
    <row r="30" spans="1:23" ht="59.25" customHeight="1">
      <c r="A30" s="46"/>
      <c r="B30" s="156"/>
      <c r="C30" s="157"/>
      <c r="D30" s="157"/>
      <c r="E30" s="157"/>
      <c r="F30" s="157"/>
      <c r="G30" s="157"/>
      <c r="H30" s="157"/>
      <c r="I30" s="157"/>
      <c r="J30" s="157"/>
      <c r="K30" s="157"/>
      <c r="L30" s="157"/>
      <c r="M30" s="157"/>
      <c r="N30" s="157"/>
      <c r="O30" s="157"/>
      <c r="P30" s="157"/>
      <c r="Q30" s="157"/>
      <c r="R30" s="157"/>
      <c r="S30" s="157"/>
      <c r="T30" s="157"/>
      <c r="U30" s="157"/>
      <c r="V30" s="157"/>
      <c r="W30" s="158"/>
    </row>
    <row r="31" spans="1:23" ht="59.25" customHeight="1">
      <c r="A31" s="46"/>
      <c r="B31" s="156"/>
      <c r="C31" s="157"/>
      <c r="D31" s="157"/>
      <c r="E31" s="157"/>
      <c r="F31" s="157"/>
      <c r="G31" s="157"/>
      <c r="H31" s="157"/>
      <c r="I31" s="157"/>
      <c r="J31" s="157"/>
      <c r="K31" s="157"/>
      <c r="L31" s="157"/>
      <c r="M31" s="157"/>
      <c r="N31" s="157"/>
      <c r="O31" s="157"/>
      <c r="P31" s="157"/>
      <c r="Q31" s="157"/>
      <c r="R31" s="157"/>
      <c r="S31" s="157"/>
      <c r="T31" s="157"/>
      <c r="U31" s="157"/>
      <c r="V31" s="157"/>
      <c r="W31" s="158"/>
    </row>
    <row r="32" spans="1:23" ht="59.25" customHeight="1">
      <c r="A32" s="46"/>
      <c r="B32" s="156"/>
      <c r="C32" s="157"/>
      <c r="D32" s="157"/>
      <c r="E32" s="157"/>
      <c r="F32" s="157"/>
      <c r="G32" s="157"/>
      <c r="H32" s="157"/>
      <c r="I32" s="157"/>
      <c r="J32" s="157"/>
      <c r="K32" s="157"/>
      <c r="L32" s="157"/>
      <c r="M32" s="157"/>
      <c r="N32" s="157"/>
      <c r="O32" s="157"/>
      <c r="P32" s="157"/>
      <c r="Q32" s="157"/>
      <c r="R32" s="157"/>
      <c r="S32" s="157"/>
      <c r="T32" s="157"/>
      <c r="U32" s="157"/>
      <c r="V32" s="157"/>
      <c r="W32" s="158"/>
    </row>
    <row r="33" spans="1:23" ht="59.25" customHeight="1">
      <c r="A33" s="46"/>
      <c r="B33" s="156"/>
      <c r="C33" s="157"/>
      <c r="D33" s="157"/>
      <c r="E33" s="157"/>
      <c r="F33" s="157"/>
      <c r="G33" s="157"/>
      <c r="H33" s="157"/>
      <c r="I33" s="157"/>
      <c r="J33" s="157"/>
      <c r="K33" s="157"/>
      <c r="L33" s="157"/>
      <c r="M33" s="157"/>
      <c r="N33" s="157"/>
      <c r="O33" s="157"/>
      <c r="P33" s="157"/>
      <c r="Q33" s="157"/>
      <c r="R33" s="157"/>
      <c r="S33" s="157"/>
      <c r="T33" s="157"/>
      <c r="U33" s="157"/>
      <c r="V33" s="157"/>
      <c r="W33" s="158"/>
    </row>
    <row r="34" spans="1:23" ht="59.25" customHeight="1">
      <c r="A34" s="46"/>
      <c r="B34" s="156"/>
      <c r="C34" s="157"/>
      <c r="D34" s="157"/>
      <c r="E34" s="157"/>
      <c r="F34" s="157"/>
      <c r="G34" s="157"/>
      <c r="H34" s="157"/>
      <c r="I34" s="157"/>
      <c r="J34" s="157"/>
      <c r="K34" s="157"/>
      <c r="L34" s="157"/>
      <c r="M34" s="157"/>
      <c r="N34" s="157"/>
      <c r="O34" s="157"/>
      <c r="P34" s="157"/>
      <c r="Q34" s="157"/>
      <c r="R34" s="157"/>
      <c r="S34" s="157"/>
      <c r="T34" s="157"/>
      <c r="U34" s="157"/>
      <c r="V34" s="157"/>
      <c r="W34" s="158"/>
    </row>
    <row r="35" spans="1:23" ht="22.5" customHeight="1"/>
    <row r="36" spans="1:23" ht="22.5" customHeight="1"/>
    <row r="37" spans="1:23" ht="22.5" customHeight="1"/>
    <row r="38" spans="1:23" ht="22.5" customHeight="1"/>
    <row r="39" spans="1:23" ht="17.25" customHeight="1"/>
    <row r="40" spans="1:23" ht="17.25" customHeight="1"/>
    <row r="41" spans="1:23" ht="17.25" customHeight="1"/>
    <row r="42" spans="1:23" ht="17.25" customHeight="1"/>
    <row r="43" spans="1:23" ht="17.25" customHeight="1"/>
    <row r="44" spans="1:23" ht="17.25" customHeight="1"/>
    <row r="45" spans="1:23" ht="17.25" customHeight="1"/>
    <row r="46" spans="1:23" ht="17.25" customHeight="1"/>
    <row r="47" spans="1:23" ht="17.25" customHeight="1"/>
    <row r="48" spans="1:23"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sheetData>
  <mergeCells count="22">
    <mergeCell ref="B24:W24"/>
    <mergeCell ref="A2:A12"/>
    <mergeCell ref="B14:W14"/>
    <mergeCell ref="B15:W15"/>
    <mergeCell ref="B16:W16"/>
    <mergeCell ref="B17:W17"/>
    <mergeCell ref="B18:W18"/>
    <mergeCell ref="B19:W19"/>
    <mergeCell ref="B20:W20"/>
    <mergeCell ref="B21:W21"/>
    <mergeCell ref="B22:W22"/>
    <mergeCell ref="B23:W23"/>
    <mergeCell ref="B31:W31"/>
    <mergeCell ref="B32:W32"/>
    <mergeCell ref="B33:W33"/>
    <mergeCell ref="B34:W34"/>
    <mergeCell ref="B25:W25"/>
    <mergeCell ref="B26:W26"/>
    <mergeCell ref="B27:W27"/>
    <mergeCell ref="B28:W28"/>
    <mergeCell ref="B29:W29"/>
    <mergeCell ref="B30:W30"/>
  </mergeCells>
  <phoneticPr fontId="1"/>
  <dataValidations count="3">
    <dataValidation type="list" allowBlank="1" showDropDown="1" showInputMessage="1" showErrorMessage="1" sqref="D2:W11">
      <formula1>$X$2:$X$5</formula1>
    </dataValidation>
    <dataValidation type="list" allowBlank="1" showDropDown="1" showInputMessage="1" showErrorMessage="1" errorTitle="文字エラー" error="半角数字1～5か、評価不能の場合は-（半角マイナス）を入れて下さい。" sqref="D12:W12">
      <formula1>$Y$2:$Y$7</formula1>
    </dataValidation>
    <dataValidation type="list" allowBlank="1" showDropDown="1" showInputMessage="1" showErrorMessage="1" errorTitle="文字エラー" error="半角数字1～5を入れて下さい。_x000a_文字列ではなく数値で入力して下さい。" sqref="D13:W13">
      <formula1>$Y$2:$Y$7</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sheetPr>
  <dimension ref="A1:Y188"/>
  <sheetViews>
    <sheetView workbookViewId="0">
      <selection sqref="A1:XFD1048576"/>
    </sheetView>
  </sheetViews>
  <sheetFormatPr defaultRowHeight="13.5"/>
  <cols>
    <col min="1" max="1" width="13.5" style="8" customWidth="1"/>
    <col min="2" max="2" width="79.125" style="8" customWidth="1"/>
    <col min="3" max="3" width="9.375" style="8" customWidth="1"/>
    <col min="4" max="23" width="4.125" style="8" customWidth="1"/>
    <col min="24" max="16384" width="9" style="8"/>
  </cols>
  <sheetData>
    <row r="1" spans="1:25" ht="85.5" customHeight="1">
      <c r="A1" s="33" t="str">
        <f ca="1">MID(CELL("filename",A1),FIND("[",CELL("filename",A1))+1,3)</f>
        <v>２－１</v>
      </c>
      <c r="B1" s="34" t="str">
        <f ca="1">RIGHT(CELL("filename",B1),LEN(CELL("filename",B1))-FIND("]",CELL("filename",B1)))</f>
        <v>算数</v>
      </c>
      <c r="C1" s="35" t="s">
        <v>26</v>
      </c>
      <c r="D1" s="36" t="str">
        <f>A15</f>
        <v>市田 琴春</v>
      </c>
      <c r="E1" s="36" t="str">
        <f>A16</f>
        <v>伊藤 百音</v>
      </c>
      <c r="F1" s="36" t="str">
        <f>A17</f>
        <v>岩下 美音</v>
      </c>
      <c r="G1" s="36" t="str">
        <f>A18</f>
        <v>大澤 涼真</v>
      </c>
      <c r="H1" s="36" t="str">
        <f>A19</f>
        <v>笠原 由楓</v>
      </c>
      <c r="I1" s="36" t="str">
        <f>A20</f>
        <v>芝田 人慈</v>
      </c>
      <c r="J1" s="36" t="str">
        <f>A21</f>
        <v>菅谷 彩桜</v>
      </c>
      <c r="K1" s="36" t="str">
        <f>A22</f>
        <v>中川 杏</v>
      </c>
      <c r="L1" s="36" t="str">
        <f>A23</f>
        <v>原田 絢匡</v>
      </c>
      <c r="M1" s="36" t="str">
        <f>A24</f>
        <v>藤本 慎士</v>
      </c>
      <c r="N1" s="36" t="str">
        <f>A25</f>
        <v>古畑 睦季</v>
      </c>
      <c r="O1" s="36" t="str">
        <f>A26</f>
        <v>三澤 昊來</v>
      </c>
      <c r="P1" s="36" t="str">
        <f>A27</f>
        <v>吉村 騰堂</v>
      </c>
      <c r="Q1" s="36">
        <f>A28</f>
        <v>0</v>
      </c>
      <c r="R1" s="36">
        <f>A29</f>
        <v>0</v>
      </c>
      <c r="S1" s="36">
        <f>A30</f>
        <v>0</v>
      </c>
      <c r="T1" s="36">
        <f>A31</f>
        <v>0</v>
      </c>
      <c r="U1" s="36">
        <f>A32</f>
        <v>0</v>
      </c>
      <c r="V1" s="36">
        <f>A33</f>
        <v>0</v>
      </c>
      <c r="W1" s="36">
        <f>A34</f>
        <v>0</v>
      </c>
      <c r="X1" s="37"/>
    </row>
    <row r="2" spans="1:25" ht="22.5" customHeight="1">
      <c r="A2" s="159" t="s">
        <v>181</v>
      </c>
      <c r="B2" s="41" t="s">
        <v>61</v>
      </c>
      <c r="C2" s="38" t="s">
        <v>27</v>
      </c>
      <c r="D2" s="39" t="s">
        <v>75</v>
      </c>
      <c r="E2" s="39" t="s">
        <v>179</v>
      </c>
      <c r="F2" s="39" t="s">
        <v>179</v>
      </c>
      <c r="G2" s="39" t="s">
        <v>179</v>
      </c>
      <c r="H2" s="39" t="s">
        <v>152</v>
      </c>
      <c r="I2" s="39" t="s">
        <v>179</v>
      </c>
      <c r="J2" s="39" t="s">
        <v>179</v>
      </c>
      <c r="K2" s="39" t="s">
        <v>179</v>
      </c>
      <c r="L2" s="39" t="s">
        <v>155</v>
      </c>
      <c r="M2" s="39" t="s">
        <v>180</v>
      </c>
      <c r="N2" s="39" t="s">
        <v>152</v>
      </c>
      <c r="O2" s="39" t="s">
        <v>182</v>
      </c>
      <c r="P2" s="39" t="s">
        <v>182</v>
      </c>
      <c r="Q2" s="39"/>
      <c r="R2" s="39"/>
      <c r="S2" s="39"/>
      <c r="T2" s="39"/>
      <c r="U2" s="39"/>
      <c r="V2" s="39"/>
      <c r="W2" s="39"/>
      <c r="X2" s="40" t="s">
        <v>152</v>
      </c>
      <c r="Y2" s="40">
        <v>1</v>
      </c>
    </row>
    <row r="3" spans="1:25" ht="22.5" customHeight="1">
      <c r="A3" s="160"/>
      <c r="B3" s="41" t="s">
        <v>51</v>
      </c>
      <c r="C3" s="38" t="s">
        <v>27</v>
      </c>
      <c r="D3" s="39" t="s">
        <v>152</v>
      </c>
      <c r="E3" s="39" t="s">
        <v>152</v>
      </c>
      <c r="F3" s="39" t="s">
        <v>152</v>
      </c>
      <c r="G3" s="39" t="s">
        <v>179</v>
      </c>
      <c r="H3" s="39" t="s">
        <v>152</v>
      </c>
      <c r="I3" s="39" t="s">
        <v>152</v>
      </c>
      <c r="J3" s="39" t="s">
        <v>179</v>
      </c>
      <c r="K3" s="39" t="s">
        <v>179</v>
      </c>
      <c r="L3" s="39" t="s">
        <v>152</v>
      </c>
      <c r="M3" s="39" t="s">
        <v>152</v>
      </c>
      <c r="N3" s="39" t="s">
        <v>152</v>
      </c>
      <c r="O3" s="39" t="s">
        <v>152</v>
      </c>
      <c r="P3" s="39" t="s">
        <v>152</v>
      </c>
      <c r="Q3" s="39"/>
      <c r="R3" s="39"/>
      <c r="S3" s="39"/>
      <c r="T3" s="39"/>
      <c r="U3" s="39"/>
      <c r="V3" s="39"/>
      <c r="W3" s="39"/>
      <c r="X3" s="40" t="s">
        <v>151</v>
      </c>
      <c r="Y3" s="40">
        <v>2</v>
      </c>
    </row>
    <row r="4" spans="1:25" ht="22.5" customHeight="1">
      <c r="A4" s="160"/>
      <c r="B4" s="41" t="s">
        <v>52</v>
      </c>
      <c r="C4" s="38" t="s">
        <v>27</v>
      </c>
      <c r="D4" s="39" t="s">
        <v>152</v>
      </c>
      <c r="E4" s="39" t="s">
        <v>152</v>
      </c>
      <c r="F4" s="39" t="s">
        <v>152</v>
      </c>
      <c r="G4" s="39" t="s">
        <v>152</v>
      </c>
      <c r="H4" s="39" t="s">
        <v>152</v>
      </c>
      <c r="I4" s="39" t="s">
        <v>152</v>
      </c>
      <c r="J4" s="39" t="s">
        <v>152</v>
      </c>
      <c r="K4" s="39" t="s">
        <v>152</v>
      </c>
      <c r="L4" s="39" t="s">
        <v>151</v>
      </c>
      <c r="M4" s="39" t="s">
        <v>180</v>
      </c>
      <c r="N4" s="39" t="s">
        <v>153</v>
      </c>
      <c r="O4" s="39" t="s">
        <v>152</v>
      </c>
      <c r="P4" s="39" t="s">
        <v>152</v>
      </c>
      <c r="Q4" s="39"/>
      <c r="R4" s="39"/>
      <c r="S4" s="39"/>
      <c r="T4" s="39"/>
      <c r="U4" s="39"/>
      <c r="V4" s="39"/>
      <c r="W4" s="39"/>
      <c r="X4" s="40" t="s">
        <v>153</v>
      </c>
      <c r="Y4" s="40">
        <v>3</v>
      </c>
    </row>
    <row r="5" spans="1:25" ht="22.5" customHeight="1">
      <c r="A5" s="160"/>
      <c r="B5" s="41" t="s">
        <v>53</v>
      </c>
      <c r="C5" s="38" t="s">
        <v>27</v>
      </c>
      <c r="D5" s="39" t="s">
        <v>152</v>
      </c>
      <c r="E5" s="39" t="s">
        <v>152</v>
      </c>
      <c r="F5" s="39" t="s">
        <v>179</v>
      </c>
      <c r="G5" s="39" t="s">
        <v>152</v>
      </c>
      <c r="H5" s="39" t="s">
        <v>152</v>
      </c>
      <c r="I5" s="39" t="s">
        <v>152</v>
      </c>
      <c r="J5" s="39" t="s">
        <v>152</v>
      </c>
      <c r="K5" s="39" t="s">
        <v>152</v>
      </c>
      <c r="L5" s="39" t="s">
        <v>151</v>
      </c>
      <c r="M5" s="39" t="s">
        <v>180</v>
      </c>
      <c r="N5" s="39" t="s">
        <v>151</v>
      </c>
      <c r="O5" s="39" t="s">
        <v>152</v>
      </c>
      <c r="P5" s="39" t="s">
        <v>151</v>
      </c>
      <c r="Q5" s="39"/>
      <c r="R5" s="39"/>
      <c r="S5" s="39"/>
      <c r="T5" s="39"/>
      <c r="U5" s="39"/>
      <c r="V5" s="39"/>
      <c r="W5" s="39"/>
      <c r="X5" s="40" t="s">
        <v>154</v>
      </c>
      <c r="Y5" s="40">
        <v>4</v>
      </c>
    </row>
    <row r="6" spans="1:25" ht="22.5" customHeight="1">
      <c r="A6" s="160"/>
      <c r="B6" s="41" t="s">
        <v>93</v>
      </c>
      <c r="C6" s="38" t="s">
        <v>27</v>
      </c>
      <c r="D6" s="39" t="s">
        <v>152</v>
      </c>
      <c r="E6" s="39" t="s">
        <v>152</v>
      </c>
      <c r="F6" s="39" t="s">
        <v>152</v>
      </c>
      <c r="G6" s="39" t="s">
        <v>152</v>
      </c>
      <c r="H6" s="39" t="s">
        <v>152</v>
      </c>
      <c r="I6" s="39" t="s">
        <v>152</v>
      </c>
      <c r="J6" s="39" t="s">
        <v>151</v>
      </c>
      <c r="K6" s="39" t="s">
        <v>152</v>
      </c>
      <c r="L6" s="39" t="s">
        <v>151</v>
      </c>
      <c r="M6" s="39" t="s">
        <v>151</v>
      </c>
      <c r="N6" s="39" t="s">
        <v>153</v>
      </c>
      <c r="O6" s="39" t="s">
        <v>152</v>
      </c>
      <c r="P6" s="39" t="s">
        <v>152</v>
      </c>
      <c r="Q6" s="39"/>
      <c r="R6" s="39"/>
      <c r="S6" s="39"/>
      <c r="T6" s="39"/>
      <c r="U6" s="39"/>
      <c r="V6" s="39"/>
      <c r="W6" s="39"/>
      <c r="X6" s="40"/>
      <c r="Y6" s="40">
        <v>5</v>
      </c>
    </row>
    <row r="7" spans="1:25" ht="22.5" customHeight="1">
      <c r="A7" s="160"/>
      <c r="B7" s="41" t="s">
        <v>62</v>
      </c>
      <c r="C7" s="38" t="s">
        <v>27</v>
      </c>
      <c r="D7" s="39" t="s">
        <v>152</v>
      </c>
      <c r="E7" s="39" t="s">
        <v>152</v>
      </c>
      <c r="F7" s="39" t="s">
        <v>152</v>
      </c>
      <c r="G7" s="39" t="s">
        <v>152</v>
      </c>
      <c r="H7" s="39" t="s">
        <v>151</v>
      </c>
      <c r="I7" s="39" t="s">
        <v>151</v>
      </c>
      <c r="J7" s="39" t="s">
        <v>151</v>
      </c>
      <c r="K7" s="39" t="s">
        <v>152</v>
      </c>
      <c r="L7" s="39" t="s">
        <v>153</v>
      </c>
      <c r="M7" s="39" t="s">
        <v>151</v>
      </c>
      <c r="N7" s="39" t="s">
        <v>151</v>
      </c>
      <c r="O7" s="39" t="s">
        <v>152</v>
      </c>
      <c r="P7" s="39" t="s">
        <v>152</v>
      </c>
      <c r="Q7" s="39"/>
      <c r="R7" s="39"/>
      <c r="S7" s="39"/>
      <c r="T7" s="39"/>
      <c r="U7" s="39"/>
      <c r="V7" s="39"/>
      <c r="W7" s="39"/>
      <c r="X7" s="40"/>
      <c r="Y7" s="40" t="s">
        <v>154</v>
      </c>
    </row>
    <row r="8" spans="1:25" ht="22.5" customHeight="1">
      <c r="A8" s="160"/>
      <c r="B8" s="41" t="s">
        <v>63</v>
      </c>
      <c r="C8" s="38" t="s">
        <v>27</v>
      </c>
      <c r="D8" s="39" t="s">
        <v>152</v>
      </c>
      <c r="E8" s="39" t="s">
        <v>152</v>
      </c>
      <c r="F8" s="39" t="s">
        <v>152</v>
      </c>
      <c r="G8" s="39" t="s">
        <v>152</v>
      </c>
      <c r="H8" s="39" t="s">
        <v>152</v>
      </c>
      <c r="I8" s="39" t="s">
        <v>151</v>
      </c>
      <c r="J8" s="39" t="s">
        <v>152</v>
      </c>
      <c r="K8" s="39" t="s">
        <v>152</v>
      </c>
      <c r="L8" s="39" t="s">
        <v>152</v>
      </c>
      <c r="M8" s="39" t="s">
        <v>152</v>
      </c>
      <c r="N8" s="39" t="s">
        <v>152</v>
      </c>
      <c r="O8" s="39" t="s">
        <v>152</v>
      </c>
      <c r="P8" s="39" t="s">
        <v>152</v>
      </c>
      <c r="Q8" s="39"/>
      <c r="R8" s="39"/>
      <c r="S8" s="39"/>
      <c r="T8" s="39"/>
      <c r="U8" s="39"/>
      <c r="V8" s="39"/>
      <c r="W8" s="39"/>
    </row>
    <row r="9" spans="1:25" ht="22.5" customHeight="1">
      <c r="A9" s="160"/>
      <c r="B9" s="41"/>
      <c r="C9" s="38" t="s">
        <v>27</v>
      </c>
      <c r="D9" s="39"/>
      <c r="E9" s="39"/>
      <c r="F9" s="39"/>
      <c r="G9" s="39"/>
      <c r="H9" s="39"/>
      <c r="I9" s="39"/>
      <c r="J9" s="39"/>
      <c r="K9" s="39"/>
      <c r="L9" s="39"/>
      <c r="M9" s="39"/>
      <c r="N9" s="39"/>
      <c r="O9" s="39"/>
      <c r="P9" s="39"/>
      <c r="Q9" s="39"/>
      <c r="R9" s="39"/>
      <c r="S9" s="39"/>
      <c r="T9" s="39"/>
      <c r="U9" s="39"/>
      <c r="V9" s="39"/>
      <c r="W9" s="39"/>
    </row>
    <row r="10" spans="1:25" ht="22.5" customHeight="1">
      <c r="A10" s="160"/>
      <c r="B10" s="41"/>
      <c r="C10" s="38" t="s">
        <v>27</v>
      </c>
      <c r="D10" s="39"/>
      <c r="E10" s="39"/>
      <c r="F10" s="39"/>
      <c r="G10" s="39"/>
      <c r="H10" s="39"/>
      <c r="I10" s="39"/>
      <c r="J10" s="39"/>
      <c r="K10" s="39"/>
      <c r="L10" s="39"/>
      <c r="M10" s="39"/>
      <c r="N10" s="39"/>
      <c r="O10" s="39"/>
      <c r="P10" s="39"/>
      <c r="Q10" s="39"/>
      <c r="R10" s="39"/>
      <c r="S10" s="39"/>
      <c r="T10" s="39"/>
      <c r="U10" s="39"/>
      <c r="V10" s="39"/>
      <c r="W10" s="39"/>
    </row>
    <row r="11" spans="1:25" ht="22.5" customHeight="1">
      <c r="A11" s="160"/>
      <c r="B11" s="41"/>
      <c r="C11" s="38" t="s">
        <v>27</v>
      </c>
      <c r="D11" s="39"/>
      <c r="E11" s="39"/>
      <c r="F11" s="39"/>
      <c r="G11" s="39"/>
      <c r="H11" s="39"/>
      <c r="I11" s="39"/>
      <c r="J11" s="39"/>
      <c r="K11" s="39"/>
      <c r="L11" s="39"/>
      <c r="M11" s="39"/>
      <c r="N11" s="39"/>
      <c r="O11" s="39"/>
      <c r="P11" s="39"/>
      <c r="Q11" s="39"/>
      <c r="R11" s="39"/>
      <c r="S11" s="39"/>
      <c r="T11" s="39"/>
      <c r="U11" s="39"/>
      <c r="V11" s="39"/>
      <c r="W11" s="39"/>
    </row>
    <row r="12" spans="1:25" ht="30" customHeight="1">
      <c r="A12" s="161"/>
      <c r="B12" s="42"/>
      <c r="C12" s="43" t="s">
        <v>28</v>
      </c>
      <c r="D12" s="76">
        <v>5</v>
      </c>
      <c r="E12" s="76">
        <v>5</v>
      </c>
      <c r="F12" s="76">
        <v>5</v>
      </c>
      <c r="G12" s="76">
        <v>5</v>
      </c>
      <c r="H12" s="76">
        <v>5</v>
      </c>
      <c r="I12" s="76">
        <v>4</v>
      </c>
      <c r="J12" s="76">
        <v>4</v>
      </c>
      <c r="K12" s="76">
        <v>5</v>
      </c>
      <c r="L12" s="76">
        <v>3</v>
      </c>
      <c r="M12" s="76">
        <v>3</v>
      </c>
      <c r="N12" s="76">
        <v>3</v>
      </c>
      <c r="O12" s="76">
        <v>5</v>
      </c>
      <c r="P12" s="76">
        <v>5</v>
      </c>
      <c r="Q12" s="39"/>
      <c r="R12" s="39"/>
      <c r="S12" s="39"/>
      <c r="T12" s="39"/>
      <c r="U12" s="39"/>
      <c r="V12" s="39"/>
      <c r="W12" s="39"/>
    </row>
    <row r="13" spans="1:25" ht="26.25" customHeight="1">
      <c r="A13" s="44"/>
      <c r="B13" s="44"/>
      <c r="C13" s="73" t="s">
        <v>54</v>
      </c>
      <c r="D13" s="74"/>
      <c r="E13" s="74"/>
      <c r="F13" s="74"/>
      <c r="G13" s="74"/>
      <c r="H13" s="74"/>
      <c r="I13" s="74"/>
      <c r="J13" s="74"/>
      <c r="K13" s="74"/>
      <c r="L13" s="74"/>
      <c r="M13" s="74"/>
      <c r="N13" s="74"/>
      <c r="O13" s="74"/>
      <c r="P13" s="74"/>
      <c r="Q13" s="74"/>
      <c r="R13" s="74"/>
      <c r="S13" s="74"/>
      <c r="T13" s="74"/>
      <c r="U13" s="74"/>
      <c r="V13" s="74"/>
      <c r="W13" s="74"/>
    </row>
    <row r="14" spans="1:25" ht="22.5" customHeight="1">
      <c r="A14" s="45" t="s">
        <v>29</v>
      </c>
      <c r="B14" s="162" t="s">
        <v>30</v>
      </c>
      <c r="C14" s="163"/>
      <c r="D14" s="163"/>
      <c r="E14" s="163"/>
      <c r="F14" s="163"/>
      <c r="G14" s="163"/>
      <c r="H14" s="163"/>
      <c r="I14" s="163"/>
      <c r="J14" s="163"/>
      <c r="K14" s="163"/>
      <c r="L14" s="163"/>
      <c r="M14" s="163"/>
      <c r="N14" s="163"/>
      <c r="O14" s="163"/>
      <c r="P14" s="163"/>
      <c r="Q14" s="163"/>
      <c r="R14" s="163"/>
      <c r="S14" s="163"/>
      <c r="T14" s="163"/>
      <c r="U14" s="163"/>
      <c r="V14" s="163"/>
      <c r="W14" s="164"/>
    </row>
    <row r="15" spans="1:25" ht="59.25" customHeight="1">
      <c r="A15" s="46" t="s">
        <v>80</v>
      </c>
      <c r="B15" s="156"/>
      <c r="C15" s="157"/>
      <c r="D15" s="157"/>
      <c r="E15" s="157"/>
      <c r="F15" s="157"/>
      <c r="G15" s="157"/>
      <c r="H15" s="157"/>
      <c r="I15" s="157"/>
      <c r="J15" s="157"/>
      <c r="K15" s="157"/>
      <c r="L15" s="157"/>
      <c r="M15" s="157"/>
      <c r="N15" s="157"/>
      <c r="O15" s="157"/>
      <c r="P15" s="157"/>
      <c r="Q15" s="157"/>
      <c r="R15" s="157"/>
      <c r="S15" s="157"/>
      <c r="T15" s="157"/>
      <c r="U15" s="157"/>
      <c r="V15" s="157"/>
      <c r="W15" s="158"/>
    </row>
    <row r="16" spans="1:25" ht="59.25" customHeight="1">
      <c r="A16" s="46" t="s">
        <v>81</v>
      </c>
      <c r="B16" s="156"/>
      <c r="C16" s="157"/>
      <c r="D16" s="157"/>
      <c r="E16" s="157"/>
      <c r="F16" s="157"/>
      <c r="G16" s="157"/>
      <c r="H16" s="157"/>
      <c r="I16" s="157"/>
      <c r="J16" s="157"/>
      <c r="K16" s="157"/>
      <c r="L16" s="157"/>
      <c r="M16" s="157"/>
      <c r="N16" s="157"/>
      <c r="O16" s="157"/>
      <c r="P16" s="157"/>
      <c r="Q16" s="157"/>
      <c r="R16" s="157"/>
      <c r="S16" s="157"/>
      <c r="T16" s="157"/>
      <c r="U16" s="157"/>
      <c r="V16" s="157"/>
      <c r="W16" s="158"/>
    </row>
    <row r="17" spans="1:23" ht="59.25" customHeight="1">
      <c r="A17" s="46" t="s">
        <v>82</v>
      </c>
      <c r="B17" s="156"/>
      <c r="C17" s="157"/>
      <c r="D17" s="157"/>
      <c r="E17" s="157"/>
      <c r="F17" s="157"/>
      <c r="G17" s="157"/>
      <c r="H17" s="157"/>
      <c r="I17" s="157"/>
      <c r="J17" s="157"/>
      <c r="K17" s="157"/>
      <c r="L17" s="157"/>
      <c r="M17" s="157"/>
      <c r="N17" s="157"/>
      <c r="O17" s="157"/>
      <c r="P17" s="157"/>
      <c r="Q17" s="157"/>
      <c r="R17" s="157"/>
      <c r="S17" s="157"/>
      <c r="T17" s="157"/>
      <c r="U17" s="157"/>
      <c r="V17" s="157"/>
      <c r="W17" s="158"/>
    </row>
    <row r="18" spans="1:23" ht="59.25" customHeight="1">
      <c r="A18" s="46" t="s">
        <v>83</v>
      </c>
      <c r="B18" s="156"/>
      <c r="C18" s="157"/>
      <c r="D18" s="157"/>
      <c r="E18" s="157"/>
      <c r="F18" s="157"/>
      <c r="G18" s="157"/>
      <c r="H18" s="157"/>
      <c r="I18" s="157"/>
      <c r="J18" s="157"/>
      <c r="K18" s="157"/>
      <c r="L18" s="157"/>
      <c r="M18" s="157"/>
      <c r="N18" s="157"/>
      <c r="O18" s="157"/>
      <c r="P18" s="157"/>
      <c r="Q18" s="157"/>
      <c r="R18" s="157"/>
      <c r="S18" s="157"/>
      <c r="T18" s="157"/>
      <c r="U18" s="157"/>
      <c r="V18" s="157"/>
      <c r="W18" s="158"/>
    </row>
    <row r="19" spans="1:23" ht="59.25" customHeight="1">
      <c r="A19" s="46" t="s">
        <v>84</v>
      </c>
      <c r="B19" s="156"/>
      <c r="C19" s="157"/>
      <c r="D19" s="157"/>
      <c r="E19" s="157"/>
      <c r="F19" s="157"/>
      <c r="G19" s="157"/>
      <c r="H19" s="157"/>
      <c r="I19" s="157"/>
      <c r="J19" s="157"/>
      <c r="K19" s="157"/>
      <c r="L19" s="157"/>
      <c r="M19" s="157"/>
      <c r="N19" s="157"/>
      <c r="O19" s="157"/>
      <c r="P19" s="157"/>
      <c r="Q19" s="157"/>
      <c r="R19" s="157"/>
      <c r="S19" s="157"/>
      <c r="T19" s="157"/>
      <c r="U19" s="157"/>
      <c r="V19" s="157"/>
      <c r="W19" s="158"/>
    </row>
    <row r="20" spans="1:23" ht="59.25" customHeight="1">
      <c r="A20" s="46" t="s">
        <v>85</v>
      </c>
      <c r="B20" s="156"/>
      <c r="C20" s="157"/>
      <c r="D20" s="157"/>
      <c r="E20" s="157"/>
      <c r="F20" s="157"/>
      <c r="G20" s="157"/>
      <c r="H20" s="157"/>
      <c r="I20" s="157"/>
      <c r="J20" s="157"/>
      <c r="K20" s="157"/>
      <c r="L20" s="157"/>
      <c r="M20" s="157"/>
      <c r="N20" s="157"/>
      <c r="O20" s="157"/>
      <c r="P20" s="157"/>
      <c r="Q20" s="157"/>
      <c r="R20" s="157"/>
      <c r="S20" s="157"/>
      <c r="T20" s="157"/>
      <c r="U20" s="157"/>
      <c r="V20" s="157"/>
      <c r="W20" s="158"/>
    </row>
    <row r="21" spans="1:23" ht="59.25" customHeight="1">
      <c r="A21" s="46" t="s">
        <v>86</v>
      </c>
      <c r="B21" s="156"/>
      <c r="C21" s="157"/>
      <c r="D21" s="157"/>
      <c r="E21" s="157"/>
      <c r="F21" s="157"/>
      <c r="G21" s="157"/>
      <c r="H21" s="157"/>
      <c r="I21" s="157"/>
      <c r="J21" s="157"/>
      <c r="K21" s="157"/>
      <c r="L21" s="157"/>
      <c r="M21" s="157"/>
      <c r="N21" s="157"/>
      <c r="O21" s="157"/>
      <c r="P21" s="157"/>
      <c r="Q21" s="157"/>
      <c r="R21" s="157"/>
      <c r="S21" s="157"/>
      <c r="T21" s="157"/>
      <c r="U21" s="157"/>
      <c r="V21" s="157"/>
      <c r="W21" s="158"/>
    </row>
    <row r="22" spans="1:23" ht="59.25" customHeight="1">
      <c r="A22" s="46" t="s">
        <v>87</v>
      </c>
      <c r="B22" s="156"/>
      <c r="C22" s="157"/>
      <c r="D22" s="157"/>
      <c r="E22" s="157"/>
      <c r="F22" s="157"/>
      <c r="G22" s="157"/>
      <c r="H22" s="157"/>
      <c r="I22" s="157"/>
      <c r="J22" s="157"/>
      <c r="K22" s="157"/>
      <c r="L22" s="157"/>
      <c r="M22" s="157"/>
      <c r="N22" s="157"/>
      <c r="O22" s="157"/>
      <c r="P22" s="157"/>
      <c r="Q22" s="157"/>
      <c r="R22" s="157"/>
      <c r="S22" s="157"/>
      <c r="T22" s="157"/>
      <c r="U22" s="157"/>
      <c r="V22" s="157"/>
      <c r="W22" s="158"/>
    </row>
    <row r="23" spans="1:23" ht="59.25" customHeight="1">
      <c r="A23" s="46" t="s">
        <v>88</v>
      </c>
      <c r="B23" s="156"/>
      <c r="C23" s="157"/>
      <c r="D23" s="157"/>
      <c r="E23" s="157"/>
      <c r="F23" s="157"/>
      <c r="G23" s="157"/>
      <c r="H23" s="157"/>
      <c r="I23" s="157"/>
      <c r="J23" s="157"/>
      <c r="K23" s="157"/>
      <c r="L23" s="157"/>
      <c r="M23" s="157"/>
      <c r="N23" s="157"/>
      <c r="O23" s="157"/>
      <c r="P23" s="157"/>
      <c r="Q23" s="157"/>
      <c r="R23" s="157"/>
      <c r="S23" s="157"/>
      <c r="T23" s="157"/>
      <c r="U23" s="157"/>
      <c r="V23" s="157"/>
      <c r="W23" s="158"/>
    </row>
    <row r="24" spans="1:23" ht="59.25" customHeight="1">
      <c r="A24" s="46" t="s">
        <v>89</v>
      </c>
      <c r="B24" s="156"/>
      <c r="C24" s="157"/>
      <c r="D24" s="157"/>
      <c r="E24" s="157"/>
      <c r="F24" s="157"/>
      <c r="G24" s="157"/>
      <c r="H24" s="157"/>
      <c r="I24" s="157"/>
      <c r="J24" s="157"/>
      <c r="K24" s="157"/>
      <c r="L24" s="157"/>
      <c r="M24" s="157"/>
      <c r="N24" s="157"/>
      <c r="O24" s="157"/>
      <c r="P24" s="157"/>
      <c r="Q24" s="157"/>
      <c r="R24" s="157"/>
      <c r="S24" s="157"/>
      <c r="T24" s="157"/>
      <c r="U24" s="157"/>
      <c r="V24" s="157"/>
      <c r="W24" s="158"/>
    </row>
    <row r="25" spans="1:23" ht="59.25" customHeight="1">
      <c r="A25" s="46" t="s">
        <v>90</v>
      </c>
      <c r="B25" s="156"/>
      <c r="C25" s="157"/>
      <c r="D25" s="157"/>
      <c r="E25" s="157"/>
      <c r="F25" s="157"/>
      <c r="G25" s="157"/>
      <c r="H25" s="157"/>
      <c r="I25" s="157"/>
      <c r="J25" s="157"/>
      <c r="K25" s="157"/>
      <c r="L25" s="157"/>
      <c r="M25" s="157"/>
      <c r="N25" s="157"/>
      <c r="O25" s="157"/>
      <c r="P25" s="157"/>
      <c r="Q25" s="157"/>
      <c r="R25" s="157"/>
      <c r="S25" s="157"/>
      <c r="T25" s="157"/>
      <c r="U25" s="157"/>
      <c r="V25" s="157"/>
      <c r="W25" s="158"/>
    </row>
    <row r="26" spans="1:23" ht="59.25" customHeight="1">
      <c r="A26" s="46" t="s">
        <v>91</v>
      </c>
      <c r="B26" s="156"/>
      <c r="C26" s="157"/>
      <c r="D26" s="157"/>
      <c r="E26" s="157"/>
      <c r="F26" s="157"/>
      <c r="G26" s="157"/>
      <c r="H26" s="157"/>
      <c r="I26" s="157"/>
      <c r="J26" s="157"/>
      <c r="K26" s="157"/>
      <c r="L26" s="157"/>
      <c r="M26" s="157"/>
      <c r="N26" s="157"/>
      <c r="O26" s="157"/>
      <c r="P26" s="157"/>
      <c r="Q26" s="157"/>
      <c r="R26" s="157"/>
      <c r="S26" s="157"/>
      <c r="T26" s="157"/>
      <c r="U26" s="157"/>
      <c r="V26" s="157"/>
      <c r="W26" s="158"/>
    </row>
    <row r="27" spans="1:23" ht="59.25" customHeight="1">
      <c r="A27" s="46" t="s">
        <v>92</v>
      </c>
      <c r="B27" s="156"/>
      <c r="C27" s="157"/>
      <c r="D27" s="157"/>
      <c r="E27" s="157"/>
      <c r="F27" s="157"/>
      <c r="G27" s="157"/>
      <c r="H27" s="157"/>
      <c r="I27" s="157"/>
      <c r="J27" s="157"/>
      <c r="K27" s="157"/>
      <c r="L27" s="157"/>
      <c r="M27" s="157"/>
      <c r="N27" s="157"/>
      <c r="O27" s="157"/>
      <c r="P27" s="157"/>
      <c r="Q27" s="157"/>
      <c r="R27" s="157"/>
      <c r="S27" s="157"/>
      <c r="T27" s="157"/>
      <c r="U27" s="157"/>
      <c r="V27" s="157"/>
      <c r="W27" s="158"/>
    </row>
    <row r="28" spans="1:23" ht="59.25" customHeight="1">
      <c r="A28" s="46"/>
      <c r="B28" s="156"/>
      <c r="C28" s="157"/>
      <c r="D28" s="157"/>
      <c r="E28" s="157"/>
      <c r="F28" s="157"/>
      <c r="G28" s="157"/>
      <c r="H28" s="157"/>
      <c r="I28" s="157"/>
      <c r="J28" s="157"/>
      <c r="K28" s="157"/>
      <c r="L28" s="157"/>
      <c r="M28" s="157"/>
      <c r="N28" s="157"/>
      <c r="O28" s="157"/>
      <c r="P28" s="157"/>
      <c r="Q28" s="157"/>
      <c r="R28" s="157"/>
      <c r="S28" s="157"/>
      <c r="T28" s="157"/>
      <c r="U28" s="157"/>
      <c r="V28" s="157"/>
      <c r="W28" s="158"/>
    </row>
    <row r="29" spans="1:23" ht="59.25" customHeight="1">
      <c r="A29" s="46"/>
      <c r="B29" s="156"/>
      <c r="C29" s="157"/>
      <c r="D29" s="157"/>
      <c r="E29" s="157"/>
      <c r="F29" s="157"/>
      <c r="G29" s="157"/>
      <c r="H29" s="157"/>
      <c r="I29" s="157"/>
      <c r="J29" s="157"/>
      <c r="K29" s="157"/>
      <c r="L29" s="157"/>
      <c r="M29" s="157"/>
      <c r="N29" s="157"/>
      <c r="O29" s="157"/>
      <c r="P29" s="157"/>
      <c r="Q29" s="157"/>
      <c r="R29" s="157"/>
      <c r="S29" s="157"/>
      <c r="T29" s="157"/>
      <c r="U29" s="157"/>
      <c r="V29" s="157"/>
      <c r="W29" s="158"/>
    </row>
    <row r="30" spans="1:23" ht="59.25" customHeight="1">
      <c r="A30" s="46"/>
      <c r="B30" s="156"/>
      <c r="C30" s="157"/>
      <c r="D30" s="157"/>
      <c r="E30" s="157"/>
      <c r="F30" s="157"/>
      <c r="G30" s="157"/>
      <c r="H30" s="157"/>
      <c r="I30" s="157"/>
      <c r="J30" s="157"/>
      <c r="K30" s="157"/>
      <c r="L30" s="157"/>
      <c r="M30" s="157"/>
      <c r="N30" s="157"/>
      <c r="O30" s="157"/>
      <c r="P30" s="157"/>
      <c r="Q30" s="157"/>
      <c r="R30" s="157"/>
      <c r="S30" s="157"/>
      <c r="T30" s="157"/>
      <c r="U30" s="157"/>
      <c r="V30" s="157"/>
      <c r="W30" s="158"/>
    </row>
    <row r="31" spans="1:23" ht="59.25" customHeight="1">
      <c r="A31" s="46"/>
      <c r="B31" s="156"/>
      <c r="C31" s="157"/>
      <c r="D31" s="157"/>
      <c r="E31" s="157"/>
      <c r="F31" s="157"/>
      <c r="G31" s="157"/>
      <c r="H31" s="157"/>
      <c r="I31" s="157"/>
      <c r="J31" s="157"/>
      <c r="K31" s="157"/>
      <c r="L31" s="157"/>
      <c r="M31" s="157"/>
      <c r="N31" s="157"/>
      <c r="O31" s="157"/>
      <c r="P31" s="157"/>
      <c r="Q31" s="157"/>
      <c r="R31" s="157"/>
      <c r="S31" s="157"/>
      <c r="T31" s="157"/>
      <c r="U31" s="157"/>
      <c r="V31" s="157"/>
      <c r="W31" s="158"/>
    </row>
    <row r="32" spans="1:23" ht="59.25" customHeight="1">
      <c r="A32" s="46"/>
      <c r="B32" s="156"/>
      <c r="C32" s="157"/>
      <c r="D32" s="157"/>
      <c r="E32" s="157"/>
      <c r="F32" s="157"/>
      <c r="G32" s="157"/>
      <c r="H32" s="157"/>
      <c r="I32" s="157"/>
      <c r="J32" s="157"/>
      <c r="K32" s="157"/>
      <c r="L32" s="157"/>
      <c r="M32" s="157"/>
      <c r="N32" s="157"/>
      <c r="O32" s="157"/>
      <c r="P32" s="157"/>
      <c r="Q32" s="157"/>
      <c r="R32" s="157"/>
      <c r="S32" s="157"/>
      <c r="T32" s="157"/>
      <c r="U32" s="157"/>
      <c r="V32" s="157"/>
      <c r="W32" s="158"/>
    </row>
    <row r="33" spans="1:23" ht="59.25" customHeight="1">
      <c r="A33" s="46"/>
      <c r="B33" s="156"/>
      <c r="C33" s="157"/>
      <c r="D33" s="157"/>
      <c r="E33" s="157"/>
      <c r="F33" s="157"/>
      <c r="G33" s="157"/>
      <c r="H33" s="157"/>
      <c r="I33" s="157"/>
      <c r="J33" s="157"/>
      <c r="K33" s="157"/>
      <c r="L33" s="157"/>
      <c r="M33" s="157"/>
      <c r="N33" s="157"/>
      <c r="O33" s="157"/>
      <c r="P33" s="157"/>
      <c r="Q33" s="157"/>
      <c r="R33" s="157"/>
      <c r="S33" s="157"/>
      <c r="T33" s="157"/>
      <c r="U33" s="157"/>
      <c r="V33" s="157"/>
      <c r="W33" s="158"/>
    </row>
    <row r="34" spans="1:23" ht="59.25" customHeight="1">
      <c r="A34" s="46"/>
      <c r="B34" s="156"/>
      <c r="C34" s="157"/>
      <c r="D34" s="157"/>
      <c r="E34" s="157"/>
      <c r="F34" s="157"/>
      <c r="G34" s="157"/>
      <c r="H34" s="157"/>
      <c r="I34" s="157"/>
      <c r="J34" s="157"/>
      <c r="K34" s="157"/>
      <c r="L34" s="157"/>
      <c r="M34" s="157"/>
      <c r="N34" s="157"/>
      <c r="O34" s="157"/>
      <c r="P34" s="157"/>
      <c r="Q34" s="157"/>
      <c r="R34" s="157"/>
      <c r="S34" s="157"/>
      <c r="T34" s="157"/>
      <c r="U34" s="157"/>
      <c r="V34" s="157"/>
      <c r="W34" s="158"/>
    </row>
    <row r="35" spans="1:23" ht="22.5" customHeight="1"/>
    <row r="36" spans="1:23" ht="22.5" customHeight="1"/>
    <row r="37" spans="1:23" ht="22.5" customHeight="1"/>
    <row r="38" spans="1:23" ht="22.5" customHeight="1"/>
    <row r="39" spans="1:23" ht="17.25" customHeight="1"/>
    <row r="40" spans="1:23" ht="17.25" customHeight="1"/>
    <row r="41" spans="1:23" ht="17.25" customHeight="1"/>
    <row r="42" spans="1:23" ht="17.25" customHeight="1"/>
    <row r="43" spans="1:23" ht="17.25" customHeight="1"/>
    <row r="44" spans="1:23" ht="17.25" customHeight="1"/>
    <row r="45" spans="1:23" ht="17.25" customHeight="1"/>
    <row r="46" spans="1:23" ht="17.25" customHeight="1"/>
    <row r="47" spans="1:23" ht="17.25" customHeight="1"/>
    <row r="48" spans="1:23"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sheetData>
  <mergeCells count="22">
    <mergeCell ref="B31:W31"/>
    <mergeCell ref="B32:W32"/>
    <mergeCell ref="B33:W33"/>
    <mergeCell ref="B34:W34"/>
    <mergeCell ref="B25:W25"/>
    <mergeCell ref="B26:W26"/>
    <mergeCell ref="B27:W27"/>
    <mergeCell ref="B28:W28"/>
    <mergeCell ref="B29:W29"/>
    <mergeCell ref="B30:W30"/>
    <mergeCell ref="B24:W24"/>
    <mergeCell ref="A2:A12"/>
    <mergeCell ref="B14:W14"/>
    <mergeCell ref="B15:W15"/>
    <mergeCell ref="B16:W16"/>
    <mergeCell ref="B17:W17"/>
    <mergeCell ref="B18:W18"/>
    <mergeCell ref="B19:W19"/>
    <mergeCell ref="B20:W20"/>
    <mergeCell ref="B21:W21"/>
    <mergeCell ref="B22:W22"/>
    <mergeCell ref="B23:W23"/>
  </mergeCells>
  <phoneticPr fontId="1"/>
  <dataValidations count="3">
    <dataValidation type="list" allowBlank="1" showDropDown="1" showInputMessage="1" showErrorMessage="1" sqref="D2:W11">
      <formula1>$X$2:$X$5</formula1>
    </dataValidation>
    <dataValidation type="list" allowBlank="1" showDropDown="1" showInputMessage="1" showErrorMessage="1" errorTitle="文字エラー" error="半角数字1～5を入れて下さい。_x000a_文字列ではなく数値で入力して下さい。" sqref="D13:W13">
      <formula1>$Y$2:$Y$7</formula1>
    </dataValidation>
    <dataValidation type="list" allowBlank="1" showDropDown="1" showInputMessage="1" showErrorMessage="1" sqref="D12:W12">
      <formula1>$Y$2:$Y$7</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1"/>
  </sheetPr>
  <dimension ref="A1:Y188"/>
  <sheetViews>
    <sheetView workbookViewId="0">
      <selection sqref="A1:XFD1048576"/>
    </sheetView>
  </sheetViews>
  <sheetFormatPr defaultRowHeight="13.5"/>
  <cols>
    <col min="1" max="1" width="13.5" style="79" customWidth="1"/>
    <col min="2" max="2" width="79.125" style="79" customWidth="1"/>
    <col min="3" max="3" width="9.375" style="79" customWidth="1"/>
    <col min="4" max="23" width="4.125" style="79" customWidth="1"/>
    <col min="24" max="16384" width="9" style="79"/>
  </cols>
  <sheetData>
    <row r="1" spans="1:25" ht="85.5" customHeight="1">
      <c r="A1" s="82" t="str">
        <f ca="1">MID(CELL("filename",A1),FIND("[",CELL("filename",A1))+1,3)</f>
        <v>２－１</v>
      </c>
      <c r="B1" s="34" t="str">
        <f ca="1">RIGHT(CELL("filename",B1),LEN(CELL("filename",B1))-FIND("]",CELL("filename",B1)))</f>
        <v>生活</v>
      </c>
      <c r="C1" s="35" t="s">
        <v>26</v>
      </c>
      <c r="D1" s="36" t="str">
        <f>A15</f>
        <v>市田 琴春</v>
      </c>
      <c r="E1" s="36" t="str">
        <f>A16</f>
        <v>伊藤 百音</v>
      </c>
      <c r="F1" s="36" t="str">
        <f>A17</f>
        <v>岩下 美音</v>
      </c>
      <c r="G1" s="36" t="str">
        <f>A18</f>
        <v>大澤 涼真</v>
      </c>
      <c r="H1" s="36" t="str">
        <f>A19</f>
        <v>笠原 由楓</v>
      </c>
      <c r="I1" s="36" t="str">
        <f>A20</f>
        <v>芝田 人慈</v>
      </c>
      <c r="J1" s="36" t="str">
        <f>A21</f>
        <v>菅谷 彩桜</v>
      </c>
      <c r="K1" s="36" t="str">
        <f>A22</f>
        <v>中川 杏</v>
      </c>
      <c r="L1" s="36" t="str">
        <f>A23</f>
        <v>原田 絢匡</v>
      </c>
      <c r="M1" s="36" t="str">
        <f>A24</f>
        <v>藤本 慎士</v>
      </c>
      <c r="N1" s="36" t="str">
        <f>A25</f>
        <v>古畑 睦季</v>
      </c>
      <c r="O1" s="36" t="str">
        <f>A26</f>
        <v>三澤 昊來</v>
      </c>
      <c r="P1" s="36" t="str">
        <f>A27</f>
        <v>吉村 騰堂</v>
      </c>
      <c r="Q1" s="36">
        <f>A28</f>
        <v>0</v>
      </c>
      <c r="R1" s="36">
        <f>A29</f>
        <v>0</v>
      </c>
      <c r="S1" s="36">
        <f>A30</f>
        <v>0</v>
      </c>
      <c r="T1" s="36">
        <f>A31</f>
        <v>0</v>
      </c>
      <c r="U1" s="36">
        <f>A32</f>
        <v>0</v>
      </c>
      <c r="V1" s="36">
        <f>A33</f>
        <v>0</v>
      </c>
      <c r="W1" s="36">
        <f>A34</f>
        <v>0</v>
      </c>
      <c r="X1" s="78"/>
    </row>
    <row r="2" spans="1:25" ht="22.5" customHeight="1">
      <c r="A2" s="159" t="s">
        <v>183</v>
      </c>
      <c r="B2" s="41" t="s">
        <v>64</v>
      </c>
      <c r="C2" s="38" t="s">
        <v>27</v>
      </c>
      <c r="D2" s="76" t="s">
        <v>182</v>
      </c>
      <c r="E2" s="76" t="s">
        <v>184</v>
      </c>
      <c r="F2" s="76" t="s">
        <v>184</v>
      </c>
      <c r="G2" s="76" t="s">
        <v>184</v>
      </c>
      <c r="H2" s="76" t="s">
        <v>184</v>
      </c>
      <c r="I2" s="76" t="s">
        <v>182</v>
      </c>
      <c r="J2" s="76" t="s">
        <v>152</v>
      </c>
      <c r="K2" s="76" t="s">
        <v>152</v>
      </c>
      <c r="L2" s="76" t="s">
        <v>75</v>
      </c>
      <c r="M2" s="76" t="s">
        <v>152</v>
      </c>
      <c r="N2" s="76" t="s">
        <v>152</v>
      </c>
      <c r="O2" s="76" t="s">
        <v>152</v>
      </c>
      <c r="P2" s="76" t="s">
        <v>152</v>
      </c>
      <c r="Q2" s="76"/>
      <c r="R2" s="76"/>
      <c r="S2" s="76"/>
      <c r="T2" s="76"/>
      <c r="U2" s="76"/>
      <c r="V2" s="76"/>
      <c r="W2" s="76"/>
      <c r="X2" s="80" t="s">
        <v>152</v>
      </c>
      <c r="Y2" s="80">
        <v>1</v>
      </c>
    </row>
    <row r="3" spans="1:25" ht="22.5" customHeight="1">
      <c r="A3" s="160"/>
      <c r="B3" s="41" t="s">
        <v>74</v>
      </c>
      <c r="C3" s="38" t="s">
        <v>27</v>
      </c>
      <c r="D3" s="76" t="s">
        <v>152</v>
      </c>
      <c r="E3" s="76" t="s">
        <v>152</v>
      </c>
      <c r="F3" s="76" t="s">
        <v>184</v>
      </c>
      <c r="G3" s="76" t="s">
        <v>184</v>
      </c>
      <c r="H3" s="76" t="s">
        <v>184</v>
      </c>
      <c r="I3" s="76" t="s">
        <v>182</v>
      </c>
      <c r="J3" s="76" t="s">
        <v>182</v>
      </c>
      <c r="K3" s="76" t="s">
        <v>152</v>
      </c>
      <c r="L3" s="76" t="s">
        <v>75</v>
      </c>
      <c r="M3" s="76" t="s">
        <v>152</v>
      </c>
      <c r="N3" s="76" t="s">
        <v>184</v>
      </c>
      <c r="O3" s="76" t="s">
        <v>152</v>
      </c>
      <c r="P3" s="76" t="s">
        <v>152</v>
      </c>
      <c r="Q3" s="76"/>
      <c r="R3" s="76"/>
      <c r="S3" s="76"/>
      <c r="T3" s="76"/>
      <c r="U3" s="76"/>
      <c r="V3" s="76"/>
      <c r="W3" s="76"/>
      <c r="X3" s="80" t="s">
        <v>151</v>
      </c>
      <c r="Y3" s="80">
        <v>2</v>
      </c>
    </row>
    <row r="4" spans="1:25" ht="22.5" customHeight="1">
      <c r="A4" s="160"/>
      <c r="B4" s="41" t="s">
        <v>65</v>
      </c>
      <c r="C4" s="38" t="s">
        <v>27</v>
      </c>
      <c r="D4" s="76" t="s">
        <v>152</v>
      </c>
      <c r="E4" s="76" t="s">
        <v>152</v>
      </c>
      <c r="F4" s="76" t="s">
        <v>152</v>
      </c>
      <c r="G4" s="76" t="s">
        <v>152</v>
      </c>
      <c r="H4" s="76" t="s">
        <v>152</v>
      </c>
      <c r="I4" s="76" t="s">
        <v>152</v>
      </c>
      <c r="J4" s="76" t="s">
        <v>75</v>
      </c>
      <c r="K4" s="76" t="s">
        <v>152</v>
      </c>
      <c r="L4" s="76" t="s">
        <v>152</v>
      </c>
      <c r="M4" s="76" t="s">
        <v>152</v>
      </c>
      <c r="N4" s="76" t="s">
        <v>152</v>
      </c>
      <c r="O4" s="76" t="s">
        <v>152</v>
      </c>
      <c r="P4" s="76" t="s">
        <v>152</v>
      </c>
      <c r="Q4" s="76"/>
      <c r="R4" s="76"/>
      <c r="S4" s="76"/>
      <c r="T4" s="76"/>
      <c r="U4" s="76"/>
      <c r="V4" s="76"/>
      <c r="W4" s="76"/>
      <c r="X4" s="80" t="s">
        <v>185</v>
      </c>
      <c r="Y4" s="80">
        <v>3</v>
      </c>
    </row>
    <row r="5" spans="1:25" ht="22.5" customHeight="1">
      <c r="A5" s="160"/>
      <c r="B5" s="41" t="s">
        <v>66</v>
      </c>
      <c r="C5" s="38" t="s">
        <v>27</v>
      </c>
      <c r="D5" s="76" t="s">
        <v>152</v>
      </c>
      <c r="E5" s="76" t="s">
        <v>152</v>
      </c>
      <c r="F5" s="76" t="s">
        <v>152</v>
      </c>
      <c r="G5" s="76" t="s">
        <v>152</v>
      </c>
      <c r="H5" s="76" t="s">
        <v>152</v>
      </c>
      <c r="I5" s="76" t="s">
        <v>152</v>
      </c>
      <c r="J5" s="76" t="s">
        <v>152</v>
      </c>
      <c r="K5" s="76" t="s">
        <v>152</v>
      </c>
      <c r="L5" s="76" t="s">
        <v>152</v>
      </c>
      <c r="M5" s="76" t="s">
        <v>75</v>
      </c>
      <c r="N5" s="76" t="s">
        <v>152</v>
      </c>
      <c r="O5" s="76" t="s">
        <v>152</v>
      </c>
      <c r="P5" s="76" t="s">
        <v>152</v>
      </c>
      <c r="Q5" s="76"/>
      <c r="R5" s="76"/>
      <c r="S5" s="76"/>
      <c r="T5" s="76"/>
      <c r="U5" s="76"/>
      <c r="V5" s="76"/>
      <c r="W5" s="76"/>
      <c r="X5" s="80" t="s">
        <v>154</v>
      </c>
      <c r="Y5" s="80">
        <v>4</v>
      </c>
    </row>
    <row r="6" spans="1:25" ht="22.5" customHeight="1">
      <c r="A6" s="160"/>
      <c r="B6" s="41"/>
      <c r="C6" s="38" t="s">
        <v>27</v>
      </c>
      <c r="D6" s="76"/>
      <c r="E6" s="76"/>
      <c r="F6" s="76"/>
      <c r="G6" s="76"/>
      <c r="H6" s="76"/>
      <c r="I6" s="76"/>
      <c r="J6" s="76"/>
      <c r="K6" s="76"/>
      <c r="L6" s="76"/>
      <c r="M6" s="76"/>
      <c r="N6" s="76"/>
      <c r="O6" s="76"/>
      <c r="P6" s="76"/>
      <c r="Q6" s="76"/>
      <c r="R6" s="76"/>
      <c r="S6" s="76"/>
      <c r="T6" s="76"/>
      <c r="U6" s="76"/>
      <c r="V6" s="76"/>
      <c r="W6" s="76"/>
      <c r="X6" s="80"/>
      <c r="Y6" s="80">
        <v>5</v>
      </c>
    </row>
    <row r="7" spans="1:25" ht="22.5" customHeight="1">
      <c r="A7" s="160"/>
      <c r="B7" s="41"/>
      <c r="C7" s="38" t="s">
        <v>27</v>
      </c>
      <c r="D7" s="76"/>
      <c r="E7" s="76"/>
      <c r="F7" s="76"/>
      <c r="G7" s="76"/>
      <c r="H7" s="76"/>
      <c r="I7" s="76"/>
      <c r="J7" s="76"/>
      <c r="K7" s="76"/>
      <c r="L7" s="76"/>
      <c r="M7" s="76"/>
      <c r="N7" s="76"/>
      <c r="O7" s="76"/>
      <c r="P7" s="76"/>
      <c r="Q7" s="76"/>
      <c r="R7" s="76"/>
      <c r="S7" s="76"/>
      <c r="T7" s="76"/>
      <c r="U7" s="76"/>
      <c r="V7" s="76"/>
      <c r="W7" s="76"/>
      <c r="X7" s="80"/>
      <c r="Y7" s="80" t="s">
        <v>154</v>
      </c>
    </row>
    <row r="8" spans="1:25" ht="22.5" customHeight="1">
      <c r="A8" s="160"/>
      <c r="B8" s="41"/>
      <c r="C8" s="38" t="s">
        <v>27</v>
      </c>
      <c r="D8" s="76"/>
      <c r="E8" s="76"/>
      <c r="F8" s="76"/>
      <c r="G8" s="76"/>
      <c r="H8" s="76"/>
      <c r="I8" s="76"/>
      <c r="J8" s="76"/>
      <c r="K8" s="76"/>
      <c r="L8" s="76"/>
      <c r="M8" s="76"/>
      <c r="N8" s="76"/>
      <c r="O8" s="76"/>
      <c r="P8" s="76"/>
      <c r="Q8" s="76"/>
      <c r="R8" s="76"/>
      <c r="S8" s="76"/>
      <c r="T8" s="76"/>
      <c r="U8" s="76"/>
      <c r="V8" s="76"/>
      <c r="W8" s="76"/>
    </row>
    <row r="9" spans="1:25" ht="22.5" customHeight="1">
      <c r="A9" s="160"/>
      <c r="B9" s="41"/>
      <c r="C9" s="38" t="s">
        <v>27</v>
      </c>
      <c r="D9" s="76"/>
      <c r="E9" s="76"/>
      <c r="F9" s="76"/>
      <c r="G9" s="76"/>
      <c r="H9" s="76"/>
      <c r="I9" s="76"/>
      <c r="J9" s="76"/>
      <c r="K9" s="76"/>
      <c r="L9" s="76"/>
      <c r="M9" s="76"/>
      <c r="N9" s="76"/>
      <c r="O9" s="76"/>
      <c r="P9" s="76"/>
      <c r="Q9" s="76"/>
      <c r="R9" s="76"/>
      <c r="S9" s="76"/>
      <c r="T9" s="76"/>
      <c r="U9" s="76"/>
      <c r="V9" s="76"/>
      <c r="W9" s="76"/>
    </row>
    <row r="10" spans="1:25" ht="22.5" customHeight="1">
      <c r="A10" s="160"/>
      <c r="B10" s="41"/>
      <c r="C10" s="38" t="s">
        <v>27</v>
      </c>
      <c r="D10" s="76"/>
      <c r="E10" s="76"/>
      <c r="F10" s="76"/>
      <c r="G10" s="76"/>
      <c r="H10" s="76"/>
      <c r="I10" s="76"/>
      <c r="J10" s="76"/>
      <c r="K10" s="76"/>
      <c r="L10" s="76"/>
      <c r="M10" s="76"/>
      <c r="N10" s="76"/>
      <c r="O10" s="76"/>
      <c r="P10" s="76"/>
      <c r="Q10" s="76"/>
      <c r="R10" s="76"/>
      <c r="S10" s="76"/>
      <c r="T10" s="76"/>
      <c r="U10" s="76"/>
      <c r="V10" s="76"/>
      <c r="W10" s="76"/>
    </row>
    <row r="11" spans="1:25" ht="22.5" customHeight="1">
      <c r="A11" s="160"/>
      <c r="B11" s="41"/>
      <c r="C11" s="38" t="s">
        <v>27</v>
      </c>
      <c r="D11" s="76"/>
      <c r="E11" s="76"/>
      <c r="F11" s="76"/>
      <c r="G11" s="76"/>
      <c r="H11" s="76"/>
      <c r="I11" s="76"/>
      <c r="J11" s="76"/>
      <c r="K11" s="76"/>
      <c r="L11" s="76"/>
      <c r="M11" s="76"/>
      <c r="N11" s="76"/>
      <c r="O11" s="76"/>
      <c r="P11" s="76"/>
      <c r="Q11" s="76"/>
      <c r="R11" s="76"/>
      <c r="S11" s="76"/>
      <c r="T11" s="76"/>
      <c r="U11" s="76"/>
      <c r="V11" s="76"/>
      <c r="W11" s="76"/>
    </row>
    <row r="12" spans="1:25" ht="30" customHeight="1">
      <c r="A12" s="161"/>
      <c r="B12" s="42"/>
      <c r="C12" s="43" t="s">
        <v>28</v>
      </c>
      <c r="D12" s="76">
        <v>5</v>
      </c>
      <c r="E12" s="76">
        <v>5</v>
      </c>
      <c r="F12" s="76">
        <v>5</v>
      </c>
      <c r="G12" s="76">
        <v>5</v>
      </c>
      <c r="H12" s="76">
        <v>5</v>
      </c>
      <c r="I12" s="76">
        <v>5</v>
      </c>
      <c r="J12" s="76">
        <v>5</v>
      </c>
      <c r="K12" s="76">
        <v>5</v>
      </c>
      <c r="L12" s="76">
        <v>5</v>
      </c>
      <c r="M12" s="76">
        <v>5</v>
      </c>
      <c r="N12" s="76">
        <v>5</v>
      </c>
      <c r="O12" s="76">
        <v>5</v>
      </c>
      <c r="P12" s="76">
        <v>5</v>
      </c>
      <c r="Q12" s="76"/>
      <c r="R12" s="76"/>
      <c r="S12" s="76"/>
      <c r="T12" s="76"/>
      <c r="U12" s="76"/>
      <c r="V12" s="76"/>
      <c r="W12" s="76"/>
    </row>
    <row r="13" spans="1:25" ht="26.25" customHeight="1">
      <c r="A13" s="83"/>
      <c r="B13" s="83"/>
      <c r="C13" s="73" t="s">
        <v>54</v>
      </c>
      <c r="D13" s="77"/>
      <c r="E13" s="77"/>
      <c r="F13" s="77"/>
      <c r="G13" s="77"/>
      <c r="H13" s="77"/>
      <c r="I13" s="77"/>
      <c r="J13" s="77"/>
      <c r="K13" s="77"/>
      <c r="L13" s="77"/>
      <c r="M13" s="77"/>
      <c r="N13" s="77"/>
      <c r="O13" s="77"/>
      <c r="P13" s="77"/>
      <c r="Q13" s="77"/>
      <c r="R13" s="77"/>
      <c r="S13" s="77"/>
      <c r="T13" s="77"/>
      <c r="U13" s="77"/>
      <c r="V13" s="77"/>
      <c r="W13" s="77"/>
    </row>
    <row r="14" spans="1:25" ht="22.5" customHeight="1">
      <c r="A14" s="45" t="s">
        <v>29</v>
      </c>
      <c r="B14" s="168" t="s">
        <v>30</v>
      </c>
      <c r="C14" s="169"/>
      <c r="D14" s="169"/>
      <c r="E14" s="169"/>
      <c r="F14" s="169"/>
      <c r="G14" s="169"/>
      <c r="H14" s="169"/>
      <c r="I14" s="169"/>
      <c r="J14" s="169"/>
      <c r="K14" s="169"/>
      <c r="L14" s="169"/>
      <c r="M14" s="169"/>
      <c r="N14" s="169"/>
      <c r="O14" s="169"/>
      <c r="P14" s="169"/>
      <c r="Q14" s="169"/>
      <c r="R14" s="169"/>
      <c r="S14" s="169"/>
      <c r="T14" s="169"/>
      <c r="U14" s="169"/>
      <c r="V14" s="169"/>
      <c r="W14" s="170"/>
    </row>
    <row r="15" spans="1:25" ht="59.25" customHeight="1">
      <c r="A15" s="84" t="s">
        <v>80</v>
      </c>
      <c r="B15" s="165"/>
      <c r="C15" s="166"/>
      <c r="D15" s="166"/>
      <c r="E15" s="166"/>
      <c r="F15" s="166"/>
      <c r="G15" s="166"/>
      <c r="H15" s="166"/>
      <c r="I15" s="166"/>
      <c r="J15" s="166"/>
      <c r="K15" s="166"/>
      <c r="L15" s="166"/>
      <c r="M15" s="166"/>
      <c r="N15" s="166"/>
      <c r="O15" s="166"/>
      <c r="P15" s="166"/>
      <c r="Q15" s="166"/>
      <c r="R15" s="166"/>
      <c r="S15" s="166"/>
      <c r="T15" s="166"/>
      <c r="U15" s="166"/>
      <c r="V15" s="166"/>
      <c r="W15" s="167"/>
    </row>
    <row r="16" spans="1:25" ht="59.25" customHeight="1">
      <c r="A16" s="84" t="s">
        <v>81</v>
      </c>
      <c r="B16" s="165"/>
      <c r="C16" s="166"/>
      <c r="D16" s="166"/>
      <c r="E16" s="166"/>
      <c r="F16" s="166"/>
      <c r="G16" s="166"/>
      <c r="H16" s="166"/>
      <c r="I16" s="166"/>
      <c r="J16" s="166"/>
      <c r="K16" s="166"/>
      <c r="L16" s="166"/>
      <c r="M16" s="166"/>
      <c r="N16" s="166"/>
      <c r="O16" s="166"/>
      <c r="P16" s="166"/>
      <c r="Q16" s="166"/>
      <c r="R16" s="166"/>
      <c r="S16" s="166"/>
      <c r="T16" s="166"/>
      <c r="U16" s="166"/>
      <c r="V16" s="166"/>
      <c r="W16" s="167"/>
    </row>
    <row r="17" spans="1:23" ht="59.25" customHeight="1">
      <c r="A17" s="84" t="s">
        <v>82</v>
      </c>
      <c r="B17" s="165" t="s">
        <v>94</v>
      </c>
      <c r="C17" s="166"/>
      <c r="D17" s="166"/>
      <c r="E17" s="166"/>
      <c r="F17" s="166"/>
      <c r="G17" s="166"/>
      <c r="H17" s="166"/>
      <c r="I17" s="166"/>
      <c r="J17" s="166"/>
      <c r="K17" s="166"/>
      <c r="L17" s="166"/>
      <c r="M17" s="166"/>
      <c r="N17" s="166"/>
      <c r="O17" s="166"/>
      <c r="P17" s="166"/>
      <c r="Q17" s="166"/>
      <c r="R17" s="166"/>
      <c r="S17" s="166"/>
      <c r="T17" s="166"/>
      <c r="U17" s="166"/>
      <c r="V17" s="166"/>
      <c r="W17" s="167"/>
    </row>
    <row r="18" spans="1:23" ht="59.25" customHeight="1">
      <c r="A18" s="84" t="s">
        <v>83</v>
      </c>
      <c r="B18" s="165"/>
      <c r="C18" s="166"/>
      <c r="D18" s="166"/>
      <c r="E18" s="166"/>
      <c r="F18" s="166"/>
      <c r="G18" s="166"/>
      <c r="H18" s="166"/>
      <c r="I18" s="166"/>
      <c r="J18" s="166"/>
      <c r="K18" s="166"/>
      <c r="L18" s="166"/>
      <c r="M18" s="166"/>
      <c r="N18" s="166"/>
      <c r="O18" s="166"/>
      <c r="P18" s="166"/>
      <c r="Q18" s="166"/>
      <c r="R18" s="166"/>
      <c r="S18" s="166"/>
      <c r="T18" s="166"/>
      <c r="U18" s="166"/>
      <c r="V18" s="166"/>
      <c r="W18" s="167"/>
    </row>
    <row r="19" spans="1:23" ht="59.25" customHeight="1">
      <c r="A19" s="84" t="s">
        <v>84</v>
      </c>
      <c r="B19" s="165"/>
      <c r="C19" s="166"/>
      <c r="D19" s="166"/>
      <c r="E19" s="166"/>
      <c r="F19" s="166"/>
      <c r="G19" s="166"/>
      <c r="H19" s="166"/>
      <c r="I19" s="166"/>
      <c r="J19" s="166"/>
      <c r="K19" s="166"/>
      <c r="L19" s="166"/>
      <c r="M19" s="166"/>
      <c r="N19" s="166"/>
      <c r="O19" s="166"/>
      <c r="P19" s="166"/>
      <c r="Q19" s="166"/>
      <c r="R19" s="166"/>
      <c r="S19" s="166"/>
      <c r="T19" s="166"/>
      <c r="U19" s="166"/>
      <c r="V19" s="166"/>
      <c r="W19" s="167"/>
    </row>
    <row r="20" spans="1:23" ht="59.25" customHeight="1">
      <c r="A20" s="84" t="s">
        <v>85</v>
      </c>
      <c r="B20" s="165"/>
      <c r="C20" s="166"/>
      <c r="D20" s="166"/>
      <c r="E20" s="166"/>
      <c r="F20" s="166"/>
      <c r="G20" s="166"/>
      <c r="H20" s="166"/>
      <c r="I20" s="166"/>
      <c r="J20" s="166"/>
      <c r="K20" s="166"/>
      <c r="L20" s="166"/>
      <c r="M20" s="166"/>
      <c r="N20" s="166"/>
      <c r="O20" s="166"/>
      <c r="P20" s="166"/>
      <c r="Q20" s="166"/>
      <c r="R20" s="166"/>
      <c r="S20" s="166"/>
      <c r="T20" s="166"/>
      <c r="U20" s="166"/>
      <c r="V20" s="166"/>
      <c r="W20" s="167"/>
    </row>
    <row r="21" spans="1:23" ht="59.25" customHeight="1">
      <c r="A21" s="84" t="s">
        <v>86</v>
      </c>
      <c r="B21" s="165"/>
      <c r="C21" s="166"/>
      <c r="D21" s="166"/>
      <c r="E21" s="166"/>
      <c r="F21" s="166"/>
      <c r="G21" s="166"/>
      <c r="H21" s="166"/>
      <c r="I21" s="166"/>
      <c r="J21" s="166"/>
      <c r="K21" s="166"/>
      <c r="L21" s="166"/>
      <c r="M21" s="166"/>
      <c r="N21" s="166"/>
      <c r="O21" s="166"/>
      <c r="P21" s="166"/>
      <c r="Q21" s="166"/>
      <c r="R21" s="166"/>
      <c r="S21" s="166"/>
      <c r="T21" s="166"/>
      <c r="U21" s="166"/>
      <c r="V21" s="166"/>
      <c r="W21" s="167"/>
    </row>
    <row r="22" spans="1:23" ht="59.25" customHeight="1">
      <c r="A22" s="84" t="s">
        <v>87</v>
      </c>
      <c r="B22" s="165" t="s">
        <v>95</v>
      </c>
      <c r="C22" s="166"/>
      <c r="D22" s="166"/>
      <c r="E22" s="166"/>
      <c r="F22" s="166"/>
      <c r="G22" s="166"/>
      <c r="H22" s="166"/>
      <c r="I22" s="166"/>
      <c r="J22" s="166"/>
      <c r="K22" s="166"/>
      <c r="L22" s="166"/>
      <c r="M22" s="166"/>
      <c r="N22" s="166"/>
      <c r="O22" s="166"/>
      <c r="P22" s="166"/>
      <c r="Q22" s="166"/>
      <c r="R22" s="166"/>
      <c r="S22" s="166"/>
      <c r="T22" s="166"/>
      <c r="U22" s="166"/>
      <c r="V22" s="166"/>
      <c r="W22" s="167"/>
    </row>
    <row r="23" spans="1:23" ht="59.25" customHeight="1">
      <c r="A23" s="84" t="s">
        <v>88</v>
      </c>
      <c r="B23" s="165"/>
      <c r="C23" s="166"/>
      <c r="D23" s="166"/>
      <c r="E23" s="166"/>
      <c r="F23" s="166"/>
      <c r="G23" s="166"/>
      <c r="H23" s="166"/>
      <c r="I23" s="166"/>
      <c r="J23" s="166"/>
      <c r="K23" s="166"/>
      <c r="L23" s="166"/>
      <c r="M23" s="166"/>
      <c r="N23" s="166"/>
      <c r="O23" s="166"/>
      <c r="P23" s="166"/>
      <c r="Q23" s="166"/>
      <c r="R23" s="166"/>
      <c r="S23" s="166"/>
      <c r="T23" s="166"/>
      <c r="U23" s="166"/>
      <c r="V23" s="166"/>
      <c r="W23" s="167"/>
    </row>
    <row r="24" spans="1:23" ht="59.25" customHeight="1">
      <c r="A24" s="84" t="s">
        <v>89</v>
      </c>
      <c r="B24" s="165"/>
      <c r="C24" s="166"/>
      <c r="D24" s="166"/>
      <c r="E24" s="166"/>
      <c r="F24" s="166"/>
      <c r="G24" s="166"/>
      <c r="H24" s="166"/>
      <c r="I24" s="166"/>
      <c r="J24" s="166"/>
      <c r="K24" s="166"/>
      <c r="L24" s="166"/>
      <c r="M24" s="166"/>
      <c r="N24" s="166"/>
      <c r="O24" s="166"/>
      <c r="P24" s="166"/>
      <c r="Q24" s="166"/>
      <c r="R24" s="166"/>
      <c r="S24" s="166"/>
      <c r="T24" s="166"/>
      <c r="U24" s="166"/>
      <c r="V24" s="166"/>
      <c r="W24" s="167"/>
    </row>
    <row r="25" spans="1:23" ht="59.25" customHeight="1">
      <c r="A25" s="84" t="s">
        <v>90</v>
      </c>
      <c r="B25" s="165"/>
      <c r="C25" s="166"/>
      <c r="D25" s="166"/>
      <c r="E25" s="166"/>
      <c r="F25" s="166"/>
      <c r="G25" s="166"/>
      <c r="H25" s="166"/>
      <c r="I25" s="166"/>
      <c r="J25" s="166"/>
      <c r="K25" s="166"/>
      <c r="L25" s="166"/>
      <c r="M25" s="166"/>
      <c r="N25" s="166"/>
      <c r="O25" s="166"/>
      <c r="P25" s="166"/>
      <c r="Q25" s="166"/>
      <c r="R25" s="166"/>
      <c r="S25" s="166"/>
      <c r="T25" s="166"/>
      <c r="U25" s="166"/>
      <c r="V25" s="166"/>
      <c r="W25" s="167"/>
    </row>
    <row r="26" spans="1:23" ht="59.25" customHeight="1">
      <c r="A26" s="84" t="s">
        <v>91</v>
      </c>
      <c r="B26" s="165"/>
      <c r="C26" s="166"/>
      <c r="D26" s="166"/>
      <c r="E26" s="166"/>
      <c r="F26" s="166"/>
      <c r="G26" s="166"/>
      <c r="H26" s="166"/>
      <c r="I26" s="166"/>
      <c r="J26" s="166"/>
      <c r="K26" s="166"/>
      <c r="L26" s="166"/>
      <c r="M26" s="166"/>
      <c r="N26" s="166"/>
      <c r="O26" s="166"/>
      <c r="P26" s="166"/>
      <c r="Q26" s="166"/>
      <c r="R26" s="166"/>
      <c r="S26" s="166"/>
      <c r="T26" s="166"/>
      <c r="U26" s="166"/>
      <c r="V26" s="166"/>
      <c r="W26" s="167"/>
    </row>
    <row r="27" spans="1:23" ht="59.25" customHeight="1">
      <c r="A27" s="84" t="s">
        <v>92</v>
      </c>
      <c r="B27" s="165"/>
      <c r="C27" s="166"/>
      <c r="D27" s="166"/>
      <c r="E27" s="166"/>
      <c r="F27" s="166"/>
      <c r="G27" s="166"/>
      <c r="H27" s="166"/>
      <c r="I27" s="166"/>
      <c r="J27" s="166"/>
      <c r="K27" s="166"/>
      <c r="L27" s="166"/>
      <c r="M27" s="166"/>
      <c r="N27" s="166"/>
      <c r="O27" s="166"/>
      <c r="P27" s="166"/>
      <c r="Q27" s="166"/>
      <c r="R27" s="166"/>
      <c r="S27" s="166"/>
      <c r="T27" s="166"/>
      <c r="U27" s="166"/>
      <c r="V27" s="166"/>
      <c r="W27" s="167"/>
    </row>
    <row r="28" spans="1:23" ht="59.25" customHeight="1">
      <c r="A28" s="84"/>
      <c r="B28" s="165"/>
      <c r="C28" s="166"/>
      <c r="D28" s="166"/>
      <c r="E28" s="166"/>
      <c r="F28" s="166"/>
      <c r="G28" s="166"/>
      <c r="H28" s="166"/>
      <c r="I28" s="166"/>
      <c r="J28" s="166"/>
      <c r="K28" s="166"/>
      <c r="L28" s="166"/>
      <c r="M28" s="166"/>
      <c r="N28" s="166"/>
      <c r="O28" s="166"/>
      <c r="P28" s="166"/>
      <c r="Q28" s="166"/>
      <c r="R28" s="166"/>
      <c r="S28" s="166"/>
      <c r="T28" s="166"/>
      <c r="U28" s="166"/>
      <c r="V28" s="166"/>
      <c r="W28" s="167"/>
    </row>
    <row r="29" spans="1:23" ht="59.25" customHeight="1">
      <c r="A29" s="84"/>
      <c r="B29" s="165"/>
      <c r="C29" s="166"/>
      <c r="D29" s="166"/>
      <c r="E29" s="166"/>
      <c r="F29" s="166"/>
      <c r="G29" s="166"/>
      <c r="H29" s="166"/>
      <c r="I29" s="166"/>
      <c r="J29" s="166"/>
      <c r="K29" s="166"/>
      <c r="L29" s="166"/>
      <c r="M29" s="166"/>
      <c r="N29" s="166"/>
      <c r="O29" s="166"/>
      <c r="P29" s="166"/>
      <c r="Q29" s="166"/>
      <c r="R29" s="166"/>
      <c r="S29" s="166"/>
      <c r="T29" s="166"/>
      <c r="U29" s="166"/>
      <c r="V29" s="166"/>
      <c r="W29" s="167"/>
    </row>
    <row r="30" spans="1:23" ht="59.25" customHeight="1">
      <c r="A30" s="84"/>
      <c r="B30" s="165"/>
      <c r="C30" s="166"/>
      <c r="D30" s="166"/>
      <c r="E30" s="166"/>
      <c r="F30" s="166"/>
      <c r="G30" s="166"/>
      <c r="H30" s="166"/>
      <c r="I30" s="166"/>
      <c r="J30" s="166"/>
      <c r="K30" s="166"/>
      <c r="L30" s="166"/>
      <c r="M30" s="166"/>
      <c r="N30" s="166"/>
      <c r="O30" s="166"/>
      <c r="P30" s="166"/>
      <c r="Q30" s="166"/>
      <c r="R30" s="166"/>
      <c r="S30" s="166"/>
      <c r="T30" s="166"/>
      <c r="U30" s="166"/>
      <c r="V30" s="166"/>
      <c r="W30" s="167"/>
    </row>
    <row r="31" spans="1:23" ht="59.25" customHeight="1">
      <c r="A31" s="84"/>
      <c r="B31" s="165"/>
      <c r="C31" s="166"/>
      <c r="D31" s="166"/>
      <c r="E31" s="166"/>
      <c r="F31" s="166"/>
      <c r="G31" s="166"/>
      <c r="H31" s="166"/>
      <c r="I31" s="166"/>
      <c r="J31" s="166"/>
      <c r="K31" s="166"/>
      <c r="L31" s="166"/>
      <c r="M31" s="166"/>
      <c r="N31" s="166"/>
      <c r="O31" s="166"/>
      <c r="P31" s="166"/>
      <c r="Q31" s="166"/>
      <c r="R31" s="166"/>
      <c r="S31" s="166"/>
      <c r="T31" s="166"/>
      <c r="U31" s="166"/>
      <c r="V31" s="166"/>
      <c r="W31" s="167"/>
    </row>
    <row r="32" spans="1:23" ht="59.25" customHeight="1">
      <c r="A32" s="84"/>
      <c r="B32" s="165"/>
      <c r="C32" s="166"/>
      <c r="D32" s="166"/>
      <c r="E32" s="166"/>
      <c r="F32" s="166"/>
      <c r="G32" s="166"/>
      <c r="H32" s="166"/>
      <c r="I32" s="166"/>
      <c r="J32" s="166"/>
      <c r="K32" s="166"/>
      <c r="L32" s="166"/>
      <c r="M32" s="166"/>
      <c r="N32" s="166"/>
      <c r="O32" s="166"/>
      <c r="P32" s="166"/>
      <c r="Q32" s="166"/>
      <c r="R32" s="166"/>
      <c r="S32" s="166"/>
      <c r="T32" s="166"/>
      <c r="U32" s="166"/>
      <c r="V32" s="166"/>
      <c r="W32" s="167"/>
    </row>
    <row r="33" spans="1:23" ht="59.25" customHeight="1">
      <c r="A33" s="84"/>
      <c r="B33" s="165"/>
      <c r="C33" s="166"/>
      <c r="D33" s="166"/>
      <c r="E33" s="166"/>
      <c r="F33" s="166"/>
      <c r="G33" s="166"/>
      <c r="H33" s="166"/>
      <c r="I33" s="166"/>
      <c r="J33" s="166"/>
      <c r="K33" s="166"/>
      <c r="L33" s="166"/>
      <c r="M33" s="166"/>
      <c r="N33" s="166"/>
      <c r="O33" s="166"/>
      <c r="P33" s="166"/>
      <c r="Q33" s="166"/>
      <c r="R33" s="166"/>
      <c r="S33" s="166"/>
      <c r="T33" s="166"/>
      <c r="U33" s="166"/>
      <c r="V33" s="166"/>
      <c r="W33" s="167"/>
    </row>
    <row r="34" spans="1:23" ht="59.25" customHeight="1">
      <c r="A34" s="84"/>
      <c r="B34" s="165"/>
      <c r="C34" s="166"/>
      <c r="D34" s="166"/>
      <c r="E34" s="166"/>
      <c r="F34" s="166"/>
      <c r="G34" s="166"/>
      <c r="H34" s="166"/>
      <c r="I34" s="166"/>
      <c r="J34" s="166"/>
      <c r="K34" s="166"/>
      <c r="L34" s="166"/>
      <c r="M34" s="166"/>
      <c r="N34" s="166"/>
      <c r="O34" s="166"/>
      <c r="P34" s="166"/>
      <c r="Q34" s="166"/>
      <c r="R34" s="166"/>
      <c r="S34" s="166"/>
      <c r="T34" s="166"/>
      <c r="U34" s="166"/>
      <c r="V34" s="166"/>
      <c r="W34" s="167"/>
    </row>
    <row r="35" spans="1:23" ht="22.5" customHeight="1"/>
    <row r="36" spans="1:23" ht="22.5" customHeight="1"/>
    <row r="37" spans="1:23" ht="22.5" customHeight="1"/>
    <row r="38" spans="1:23" ht="22.5" customHeight="1"/>
    <row r="39" spans="1:23" ht="17.25" customHeight="1"/>
    <row r="40" spans="1:23" ht="17.25" customHeight="1"/>
    <row r="41" spans="1:23" ht="17.25" customHeight="1"/>
    <row r="42" spans="1:23" ht="17.25" customHeight="1"/>
    <row r="43" spans="1:23" ht="17.25" customHeight="1"/>
    <row r="44" spans="1:23" ht="17.25" customHeight="1"/>
    <row r="45" spans="1:23" ht="17.25" customHeight="1"/>
    <row r="46" spans="1:23" ht="17.25" customHeight="1"/>
    <row r="47" spans="1:23" ht="17.25" customHeight="1"/>
    <row r="48" spans="1:23"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sheetData>
  <mergeCells count="22">
    <mergeCell ref="B31:W31"/>
    <mergeCell ref="B32:W32"/>
    <mergeCell ref="B33:W33"/>
    <mergeCell ref="B34:W34"/>
    <mergeCell ref="B25:W25"/>
    <mergeCell ref="B26:W26"/>
    <mergeCell ref="B27:W27"/>
    <mergeCell ref="B28:W28"/>
    <mergeCell ref="B29:W29"/>
    <mergeCell ref="B30:W30"/>
    <mergeCell ref="B24:W24"/>
    <mergeCell ref="A2:A12"/>
    <mergeCell ref="B14:W14"/>
    <mergeCell ref="B15:W15"/>
    <mergeCell ref="B16:W16"/>
    <mergeCell ref="B17:W17"/>
    <mergeCell ref="B18:W18"/>
    <mergeCell ref="B19:W19"/>
    <mergeCell ref="B20:W20"/>
    <mergeCell ref="B21:W21"/>
    <mergeCell ref="B22:W22"/>
    <mergeCell ref="B23:W23"/>
  </mergeCells>
  <phoneticPr fontId="1"/>
  <dataValidations count="3">
    <dataValidation type="list" allowBlank="1" showDropDown="1" showInputMessage="1" showErrorMessage="1" sqref="D2:W11">
      <formula1>$X$2:$X$5</formula1>
    </dataValidation>
    <dataValidation type="list" allowBlank="1" showDropDown="1" showInputMessage="1" showErrorMessage="1" errorTitle="文字エラー" error="半角数字1～5か、評価不能の場合は-（半角マイナス）を入れて下さい。" sqref="D12:W12">
      <formula1>$Y$2:$Y$7</formula1>
    </dataValidation>
    <dataValidation type="list" allowBlank="1" showDropDown="1" showInputMessage="1" showErrorMessage="1" errorTitle="文字エラー" error="半角数字1～5を入れて下さい。_x000a_文字列ではなく数値で入力して下さい。" sqref="D13:W13">
      <formula1>$Y$2:$Y$7</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1"/>
  </sheetPr>
  <dimension ref="A1:Y188"/>
  <sheetViews>
    <sheetView workbookViewId="0">
      <selection sqref="A1:XFD1048576"/>
    </sheetView>
  </sheetViews>
  <sheetFormatPr defaultRowHeight="13.5"/>
  <cols>
    <col min="1" max="1" width="13.5" style="8" customWidth="1"/>
    <col min="2" max="2" width="79.125" style="8" customWidth="1"/>
    <col min="3" max="3" width="9.375" style="8" customWidth="1"/>
    <col min="4" max="23" width="4.125" style="8" customWidth="1"/>
    <col min="24" max="16384" width="9" style="8"/>
  </cols>
  <sheetData>
    <row r="1" spans="1:25" ht="85.5" customHeight="1">
      <c r="A1" s="33" t="str">
        <f ca="1">MID(CELL("filename",A1),FIND("[",CELL("filename",A1))+1,3)</f>
        <v>２－１</v>
      </c>
      <c r="B1" s="34" t="str">
        <f ca="1">RIGHT(CELL("filename",B1),LEN(CELL("filename",B1))-FIND("]",CELL("filename",B1)))</f>
        <v>英語</v>
      </c>
      <c r="C1" s="35" t="s">
        <v>26</v>
      </c>
      <c r="D1" s="36" t="str">
        <f>A15</f>
        <v>市田 琴春</v>
      </c>
      <c r="E1" s="36" t="str">
        <f>A16</f>
        <v>伊藤 百音</v>
      </c>
      <c r="F1" s="36" t="str">
        <f>A17</f>
        <v>岩下 美音</v>
      </c>
      <c r="G1" s="36" t="str">
        <f>A18</f>
        <v>大澤 涼真</v>
      </c>
      <c r="H1" s="36" t="str">
        <f>A19</f>
        <v>笠原 由楓</v>
      </c>
      <c r="I1" s="36" t="str">
        <f>A20</f>
        <v>芝田 人慈</v>
      </c>
      <c r="J1" s="36" t="str">
        <f>A21</f>
        <v>菅谷 彩桜</v>
      </c>
      <c r="K1" s="36" t="str">
        <f>A22</f>
        <v>中川 杏</v>
      </c>
      <c r="L1" s="36" t="str">
        <f>A23</f>
        <v>原田 絢匡</v>
      </c>
      <c r="M1" s="36" t="str">
        <f>A24</f>
        <v>藤本 慎士</v>
      </c>
      <c r="N1" s="36" t="str">
        <f>A25</f>
        <v>古畑 睦季</v>
      </c>
      <c r="O1" s="36" t="str">
        <f>A26</f>
        <v>三澤 昊來</v>
      </c>
      <c r="P1" s="36" t="str">
        <f>A27</f>
        <v>吉村 騰堂</v>
      </c>
      <c r="Q1" s="36">
        <f>A28</f>
        <v>0</v>
      </c>
      <c r="R1" s="36">
        <f>A29</f>
        <v>0</v>
      </c>
      <c r="S1" s="36">
        <f>A30</f>
        <v>0</v>
      </c>
      <c r="T1" s="36">
        <f>A31</f>
        <v>0</v>
      </c>
      <c r="U1" s="36">
        <f>A32</f>
        <v>0</v>
      </c>
      <c r="V1" s="36">
        <f>A33</f>
        <v>0</v>
      </c>
      <c r="W1" s="36">
        <f>A34</f>
        <v>0</v>
      </c>
      <c r="X1" s="37"/>
    </row>
    <row r="2" spans="1:25" ht="22.5" customHeight="1">
      <c r="A2" s="159" t="s">
        <v>170</v>
      </c>
      <c r="B2" s="41" t="s">
        <v>70</v>
      </c>
      <c r="C2" s="38" t="s">
        <v>27</v>
      </c>
      <c r="D2" s="39" t="s">
        <v>160</v>
      </c>
      <c r="E2" s="39" t="s">
        <v>152</v>
      </c>
      <c r="F2" s="39" t="s">
        <v>75</v>
      </c>
      <c r="G2" s="39" t="s">
        <v>75</v>
      </c>
      <c r="H2" s="39" t="s">
        <v>160</v>
      </c>
      <c r="I2" s="39" t="s">
        <v>75</v>
      </c>
      <c r="J2" s="39" t="s">
        <v>134</v>
      </c>
      <c r="K2" s="39" t="s">
        <v>152</v>
      </c>
      <c r="L2" s="39" t="s">
        <v>134</v>
      </c>
      <c r="M2" s="39" t="s">
        <v>134</v>
      </c>
      <c r="N2" s="39" t="s">
        <v>151</v>
      </c>
      <c r="O2" s="39" t="s">
        <v>75</v>
      </c>
      <c r="P2" s="39" t="s">
        <v>152</v>
      </c>
      <c r="Q2" s="39"/>
      <c r="R2" s="39"/>
      <c r="S2" s="39"/>
      <c r="T2" s="39"/>
      <c r="U2" s="39"/>
      <c r="V2" s="39"/>
      <c r="W2" s="39"/>
      <c r="X2" s="40" t="s">
        <v>160</v>
      </c>
      <c r="Y2" s="40">
        <v>1</v>
      </c>
    </row>
    <row r="3" spans="1:25" ht="22.5" customHeight="1">
      <c r="A3" s="160"/>
      <c r="B3" s="41" t="s">
        <v>96</v>
      </c>
      <c r="C3" s="38" t="s">
        <v>27</v>
      </c>
      <c r="D3" s="39" t="s">
        <v>75</v>
      </c>
      <c r="E3" s="39" t="s">
        <v>160</v>
      </c>
      <c r="F3" s="39" t="s">
        <v>75</v>
      </c>
      <c r="G3" s="39" t="s">
        <v>152</v>
      </c>
      <c r="H3" s="39" t="s">
        <v>152</v>
      </c>
      <c r="I3" s="39" t="s">
        <v>151</v>
      </c>
      <c r="J3" s="39" t="s">
        <v>75</v>
      </c>
      <c r="K3" s="39" t="s">
        <v>75</v>
      </c>
      <c r="L3" s="39" t="s">
        <v>159</v>
      </c>
      <c r="M3" s="39" t="s">
        <v>151</v>
      </c>
      <c r="N3" s="39" t="s">
        <v>134</v>
      </c>
      <c r="O3" s="39" t="s">
        <v>134</v>
      </c>
      <c r="P3" s="39" t="s">
        <v>134</v>
      </c>
      <c r="Q3" s="39"/>
      <c r="R3" s="39"/>
      <c r="S3" s="39"/>
      <c r="T3" s="39"/>
      <c r="U3" s="39"/>
      <c r="V3" s="39"/>
      <c r="W3" s="39"/>
      <c r="X3" s="40" t="s">
        <v>151</v>
      </c>
      <c r="Y3" s="40">
        <v>2</v>
      </c>
    </row>
    <row r="4" spans="1:25" ht="22.5" customHeight="1">
      <c r="A4" s="160"/>
      <c r="B4" s="41" t="s">
        <v>67</v>
      </c>
      <c r="C4" s="38" t="s">
        <v>27</v>
      </c>
      <c r="D4" s="39" t="s">
        <v>75</v>
      </c>
      <c r="E4" s="39" t="s">
        <v>75</v>
      </c>
      <c r="F4" s="39" t="s">
        <v>160</v>
      </c>
      <c r="G4" s="39" t="s">
        <v>75</v>
      </c>
      <c r="H4" s="39" t="s">
        <v>75</v>
      </c>
      <c r="I4" s="39" t="s">
        <v>75</v>
      </c>
      <c r="J4" s="39" t="s">
        <v>75</v>
      </c>
      <c r="K4" s="39" t="s">
        <v>75</v>
      </c>
      <c r="L4" s="39" t="s">
        <v>75</v>
      </c>
      <c r="M4" s="39" t="s">
        <v>152</v>
      </c>
      <c r="N4" s="39" t="s">
        <v>152</v>
      </c>
      <c r="O4" s="39" t="s">
        <v>152</v>
      </c>
      <c r="P4" s="39" t="s">
        <v>75</v>
      </c>
      <c r="Q4" s="39"/>
      <c r="R4" s="39"/>
      <c r="S4" s="39"/>
      <c r="T4" s="39"/>
      <c r="U4" s="39"/>
      <c r="V4" s="39"/>
      <c r="W4" s="39"/>
      <c r="X4" s="40" t="s">
        <v>153</v>
      </c>
      <c r="Y4" s="40">
        <v>3</v>
      </c>
    </row>
    <row r="5" spans="1:25" ht="22.5" customHeight="1">
      <c r="A5" s="160"/>
      <c r="B5" s="41" t="s">
        <v>68</v>
      </c>
      <c r="C5" s="38" t="s">
        <v>27</v>
      </c>
      <c r="D5" s="39" t="s">
        <v>152</v>
      </c>
      <c r="E5" s="39" t="s">
        <v>75</v>
      </c>
      <c r="F5" s="39" t="s">
        <v>152</v>
      </c>
      <c r="G5" s="39" t="s">
        <v>152</v>
      </c>
      <c r="H5" s="39" t="s">
        <v>75</v>
      </c>
      <c r="I5" s="39" t="s">
        <v>152</v>
      </c>
      <c r="J5" s="39" t="s">
        <v>160</v>
      </c>
      <c r="K5" s="39" t="s">
        <v>152</v>
      </c>
      <c r="L5" s="39" t="s">
        <v>152</v>
      </c>
      <c r="M5" s="39" t="s">
        <v>75</v>
      </c>
      <c r="N5" s="39" t="s">
        <v>153</v>
      </c>
      <c r="O5" s="39" t="s">
        <v>152</v>
      </c>
      <c r="P5" s="39" t="s">
        <v>151</v>
      </c>
      <c r="Q5" s="39"/>
      <c r="R5" s="39"/>
      <c r="S5" s="39"/>
      <c r="T5" s="39"/>
      <c r="U5" s="39"/>
      <c r="V5" s="39"/>
      <c r="W5" s="39"/>
      <c r="X5" s="40" t="s">
        <v>154</v>
      </c>
      <c r="Y5" s="40">
        <v>4</v>
      </c>
    </row>
    <row r="6" spans="1:25" ht="22.5" customHeight="1">
      <c r="A6" s="160"/>
      <c r="B6" s="41" t="s">
        <v>69</v>
      </c>
      <c r="C6" s="38" t="s">
        <v>27</v>
      </c>
      <c r="D6" s="39" t="s">
        <v>152</v>
      </c>
      <c r="E6" s="39" t="s">
        <v>152</v>
      </c>
      <c r="F6" s="39" t="s">
        <v>152</v>
      </c>
      <c r="G6" s="39" t="s">
        <v>152</v>
      </c>
      <c r="H6" s="39" t="s">
        <v>152</v>
      </c>
      <c r="I6" s="39" t="s">
        <v>75</v>
      </c>
      <c r="J6" s="39" t="s">
        <v>152</v>
      </c>
      <c r="K6" s="39" t="s">
        <v>152</v>
      </c>
      <c r="L6" s="39" t="s">
        <v>75</v>
      </c>
      <c r="M6" s="39" t="s">
        <v>169</v>
      </c>
      <c r="N6" s="39" t="s">
        <v>151</v>
      </c>
      <c r="O6" s="39" t="s">
        <v>152</v>
      </c>
      <c r="P6" s="39" t="s">
        <v>152</v>
      </c>
      <c r="Q6" s="39"/>
      <c r="R6" s="39"/>
      <c r="S6" s="39"/>
      <c r="T6" s="39"/>
      <c r="U6" s="39"/>
      <c r="V6" s="39"/>
      <c r="W6" s="39"/>
      <c r="X6" s="40"/>
      <c r="Y6" s="40">
        <v>5</v>
      </c>
    </row>
    <row r="7" spans="1:25" ht="22.5" customHeight="1">
      <c r="A7" s="160"/>
      <c r="B7" s="41"/>
      <c r="C7" s="38" t="s">
        <v>27</v>
      </c>
      <c r="D7" s="39"/>
      <c r="E7" s="39"/>
      <c r="F7" s="39"/>
      <c r="G7" s="39"/>
      <c r="H7" s="39"/>
      <c r="I7" s="39"/>
      <c r="J7" s="39"/>
      <c r="K7" s="39"/>
      <c r="L7" s="39"/>
      <c r="M7" s="39"/>
      <c r="N7" s="39"/>
      <c r="O7" s="39"/>
      <c r="P7" s="39"/>
      <c r="Q7" s="39"/>
      <c r="R7" s="39"/>
      <c r="S7" s="39"/>
      <c r="T7" s="39"/>
      <c r="U7" s="39"/>
      <c r="V7" s="39"/>
      <c r="W7" s="39"/>
      <c r="X7" s="40"/>
      <c r="Y7" s="40" t="s">
        <v>154</v>
      </c>
    </row>
    <row r="8" spans="1:25" ht="22.5" customHeight="1">
      <c r="A8" s="160"/>
      <c r="B8" s="41"/>
      <c r="C8" s="38" t="s">
        <v>27</v>
      </c>
      <c r="D8" s="39"/>
      <c r="E8" s="39"/>
      <c r="F8" s="39"/>
      <c r="G8" s="39"/>
      <c r="H8" s="39"/>
      <c r="I8" s="39"/>
      <c r="J8" s="39"/>
      <c r="K8" s="39"/>
      <c r="L8" s="39"/>
      <c r="M8" s="39"/>
      <c r="N8" s="39"/>
      <c r="O8" s="39"/>
      <c r="P8" s="39"/>
      <c r="Q8" s="39"/>
      <c r="R8" s="39"/>
      <c r="S8" s="39"/>
      <c r="T8" s="39"/>
      <c r="U8" s="39"/>
      <c r="V8" s="39"/>
      <c r="W8" s="39"/>
    </row>
    <row r="9" spans="1:25" ht="22.5" customHeight="1">
      <c r="A9" s="160"/>
      <c r="B9" s="41"/>
      <c r="C9" s="38" t="s">
        <v>27</v>
      </c>
      <c r="D9" s="39"/>
      <c r="E9" s="39"/>
      <c r="F9" s="39"/>
      <c r="G9" s="39"/>
      <c r="H9" s="39"/>
      <c r="I9" s="39"/>
      <c r="J9" s="39"/>
      <c r="K9" s="39"/>
      <c r="L9" s="39"/>
      <c r="M9" s="39"/>
      <c r="N9" s="39"/>
      <c r="O9" s="39"/>
      <c r="P9" s="39"/>
      <c r="Q9" s="39"/>
      <c r="R9" s="39"/>
      <c r="S9" s="39"/>
      <c r="T9" s="39"/>
      <c r="U9" s="39"/>
      <c r="V9" s="39"/>
      <c r="W9" s="39"/>
    </row>
    <row r="10" spans="1:25" ht="22.5" customHeight="1">
      <c r="A10" s="160"/>
      <c r="B10" s="41"/>
      <c r="C10" s="38" t="s">
        <v>27</v>
      </c>
      <c r="D10" s="39"/>
      <c r="E10" s="39"/>
      <c r="F10" s="39"/>
      <c r="G10" s="39"/>
      <c r="H10" s="39"/>
      <c r="I10" s="39"/>
      <c r="J10" s="39"/>
      <c r="K10" s="39"/>
      <c r="L10" s="39"/>
      <c r="M10" s="39"/>
      <c r="N10" s="39"/>
      <c r="O10" s="39"/>
      <c r="P10" s="39"/>
      <c r="Q10" s="39"/>
      <c r="R10" s="39"/>
      <c r="S10" s="39"/>
      <c r="T10" s="39"/>
      <c r="U10" s="39"/>
      <c r="V10" s="39"/>
      <c r="W10" s="39"/>
    </row>
    <row r="11" spans="1:25" ht="22.5" customHeight="1">
      <c r="A11" s="160"/>
      <c r="B11" s="41"/>
      <c r="C11" s="38" t="s">
        <v>27</v>
      </c>
      <c r="D11" s="39"/>
      <c r="E11" s="39"/>
      <c r="F11" s="39"/>
      <c r="G11" s="39"/>
      <c r="H11" s="39"/>
      <c r="I11" s="39"/>
      <c r="J11" s="39"/>
      <c r="K11" s="39"/>
      <c r="L11" s="39"/>
      <c r="M11" s="39"/>
      <c r="N11" s="39"/>
      <c r="O11" s="39"/>
      <c r="P11" s="39"/>
      <c r="Q11" s="39"/>
      <c r="R11" s="39"/>
      <c r="S11" s="39"/>
      <c r="T11" s="39"/>
      <c r="U11" s="39"/>
      <c r="V11" s="39"/>
      <c r="W11" s="39"/>
    </row>
    <row r="12" spans="1:25" ht="30" customHeight="1">
      <c r="A12" s="161"/>
      <c r="B12" s="42"/>
      <c r="C12" s="43" t="s">
        <v>28</v>
      </c>
      <c r="D12" s="39">
        <v>5</v>
      </c>
      <c r="E12" s="39">
        <v>5</v>
      </c>
      <c r="F12" s="39">
        <v>5</v>
      </c>
      <c r="G12" s="39">
        <v>5</v>
      </c>
      <c r="H12" s="39">
        <v>5</v>
      </c>
      <c r="I12" s="39">
        <v>5</v>
      </c>
      <c r="J12" s="39">
        <v>5</v>
      </c>
      <c r="K12" s="39">
        <v>5</v>
      </c>
      <c r="L12" s="39">
        <v>5</v>
      </c>
      <c r="M12" s="39">
        <v>4</v>
      </c>
      <c r="N12" s="39">
        <v>3</v>
      </c>
      <c r="O12" s="39">
        <v>5</v>
      </c>
      <c r="P12" s="39">
        <v>4</v>
      </c>
      <c r="Q12" s="39"/>
      <c r="R12" s="39"/>
      <c r="S12" s="39"/>
      <c r="T12" s="39"/>
      <c r="U12" s="39"/>
      <c r="V12" s="39"/>
      <c r="W12" s="39"/>
    </row>
    <row r="13" spans="1:25" ht="26.25" customHeight="1">
      <c r="A13" s="44"/>
      <c r="B13" s="44"/>
      <c r="C13" s="73" t="s">
        <v>54</v>
      </c>
      <c r="D13" s="74"/>
      <c r="E13" s="74"/>
      <c r="F13" s="74"/>
      <c r="G13" s="74"/>
      <c r="H13" s="74"/>
      <c r="I13" s="74"/>
      <c r="J13" s="74"/>
      <c r="K13" s="74"/>
      <c r="L13" s="74"/>
      <c r="M13" s="74"/>
      <c r="N13" s="74"/>
      <c r="O13" s="74"/>
      <c r="P13" s="74"/>
      <c r="Q13" s="74"/>
      <c r="R13" s="74"/>
      <c r="S13" s="74"/>
      <c r="T13" s="74"/>
      <c r="U13" s="74"/>
      <c r="V13" s="74"/>
      <c r="W13" s="74"/>
    </row>
    <row r="14" spans="1:25" ht="22.5" customHeight="1">
      <c r="A14" s="45" t="s">
        <v>29</v>
      </c>
      <c r="B14" s="162" t="s">
        <v>30</v>
      </c>
      <c r="C14" s="163"/>
      <c r="D14" s="163"/>
      <c r="E14" s="163"/>
      <c r="F14" s="163"/>
      <c r="G14" s="163"/>
      <c r="H14" s="163"/>
      <c r="I14" s="163"/>
      <c r="J14" s="163"/>
      <c r="K14" s="163"/>
      <c r="L14" s="163"/>
      <c r="M14" s="163"/>
      <c r="N14" s="163"/>
      <c r="O14" s="163"/>
      <c r="P14" s="163"/>
      <c r="Q14" s="163"/>
      <c r="R14" s="163"/>
      <c r="S14" s="163"/>
      <c r="T14" s="163"/>
      <c r="U14" s="163"/>
      <c r="V14" s="163"/>
      <c r="W14" s="164"/>
    </row>
    <row r="15" spans="1:25" ht="59.25" customHeight="1">
      <c r="A15" s="46" t="s">
        <v>80</v>
      </c>
      <c r="B15" s="156"/>
      <c r="C15" s="157"/>
      <c r="D15" s="157"/>
      <c r="E15" s="157"/>
      <c r="F15" s="157"/>
      <c r="G15" s="157"/>
      <c r="H15" s="157"/>
      <c r="I15" s="157"/>
      <c r="J15" s="157"/>
      <c r="K15" s="157"/>
      <c r="L15" s="157"/>
      <c r="M15" s="157"/>
      <c r="N15" s="157"/>
      <c r="O15" s="157"/>
      <c r="P15" s="157"/>
      <c r="Q15" s="157"/>
      <c r="R15" s="157"/>
      <c r="S15" s="157"/>
      <c r="T15" s="157"/>
      <c r="U15" s="157"/>
      <c r="V15" s="157"/>
      <c r="W15" s="158"/>
    </row>
    <row r="16" spans="1:25" ht="59.25" customHeight="1">
      <c r="A16" s="46" t="s">
        <v>81</v>
      </c>
      <c r="B16" s="156"/>
      <c r="C16" s="157"/>
      <c r="D16" s="157"/>
      <c r="E16" s="157"/>
      <c r="F16" s="157"/>
      <c r="G16" s="157"/>
      <c r="H16" s="157"/>
      <c r="I16" s="157"/>
      <c r="J16" s="157"/>
      <c r="K16" s="157"/>
      <c r="L16" s="157"/>
      <c r="M16" s="157"/>
      <c r="N16" s="157"/>
      <c r="O16" s="157"/>
      <c r="P16" s="157"/>
      <c r="Q16" s="157"/>
      <c r="R16" s="157"/>
      <c r="S16" s="157"/>
      <c r="T16" s="157"/>
      <c r="U16" s="157"/>
      <c r="V16" s="157"/>
      <c r="W16" s="158"/>
    </row>
    <row r="17" spans="1:23" ht="59.25" customHeight="1">
      <c r="A17" s="46" t="s">
        <v>82</v>
      </c>
      <c r="B17" s="156"/>
      <c r="C17" s="157"/>
      <c r="D17" s="157"/>
      <c r="E17" s="157"/>
      <c r="F17" s="157"/>
      <c r="G17" s="157"/>
      <c r="H17" s="157"/>
      <c r="I17" s="157"/>
      <c r="J17" s="157"/>
      <c r="K17" s="157"/>
      <c r="L17" s="157"/>
      <c r="M17" s="157"/>
      <c r="N17" s="157"/>
      <c r="O17" s="157"/>
      <c r="P17" s="157"/>
      <c r="Q17" s="157"/>
      <c r="R17" s="157"/>
      <c r="S17" s="157"/>
      <c r="T17" s="157"/>
      <c r="U17" s="157"/>
      <c r="V17" s="157"/>
      <c r="W17" s="158"/>
    </row>
    <row r="18" spans="1:23" ht="59.25" customHeight="1">
      <c r="A18" s="46" t="s">
        <v>83</v>
      </c>
      <c r="B18" s="156"/>
      <c r="C18" s="157"/>
      <c r="D18" s="157"/>
      <c r="E18" s="157"/>
      <c r="F18" s="157"/>
      <c r="G18" s="157"/>
      <c r="H18" s="157"/>
      <c r="I18" s="157"/>
      <c r="J18" s="157"/>
      <c r="K18" s="157"/>
      <c r="L18" s="157"/>
      <c r="M18" s="157"/>
      <c r="N18" s="157"/>
      <c r="O18" s="157"/>
      <c r="P18" s="157"/>
      <c r="Q18" s="157"/>
      <c r="R18" s="157"/>
      <c r="S18" s="157"/>
      <c r="T18" s="157"/>
      <c r="U18" s="157"/>
      <c r="V18" s="157"/>
      <c r="W18" s="158"/>
    </row>
    <row r="19" spans="1:23" ht="59.25" customHeight="1">
      <c r="A19" s="46" t="s">
        <v>84</v>
      </c>
      <c r="B19" s="156"/>
      <c r="C19" s="157"/>
      <c r="D19" s="157"/>
      <c r="E19" s="157"/>
      <c r="F19" s="157"/>
      <c r="G19" s="157"/>
      <c r="H19" s="157"/>
      <c r="I19" s="157"/>
      <c r="J19" s="157"/>
      <c r="K19" s="157"/>
      <c r="L19" s="157"/>
      <c r="M19" s="157"/>
      <c r="N19" s="157"/>
      <c r="O19" s="157"/>
      <c r="P19" s="157"/>
      <c r="Q19" s="157"/>
      <c r="R19" s="157"/>
      <c r="S19" s="157"/>
      <c r="T19" s="157"/>
      <c r="U19" s="157"/>
      <c r="V19" s="157"/>
      <c r="W19" s="158"/>
    </row>
    <row r="20" spans="1:23" ht="59.25" customHeight="1">
      <c r="A20" s="46" t="s">
        <v>85</v>
      </c>
      <c r="B20" s="156"/>
      <c r="C20" s="157"/>
      <c r="D20" s="157"/>
      <c r="E20" s="157"/>
      <c r="F20" s="157"/>
      <c r="G20" s="157"/>
      <c r="H20" s="157"/>
      <c r="I20" s="157"/>
      <c r="J20" s="157"/>
      <c r="K20" s="157"/>
      <c r="L20" s="157"/>
      <c r="M20" s="157"/>
      <c r="N20" s="157"/>
      <c r="O20" s="157"/>
      <c r="P20" s="157"/>
      <c r="Q20" s="157"/>
      <c r="R20" s="157"/>
      <c r="S20" s="157"/>
      <c r="T20" s="157"/>
      <c r="U20" s="157"/>
      <c r="V20" s="157"/>
      <c r="W20" s="158"/>
    </row>
    <row r="21" spans="1:23" ht="59.25" customHeight="1">
      <c r="A21" s="46" t="s">
        <v>86</v>
      </c>
      <c r="B21" s="156"/>
      <c r="C21" s="157"/>
      <c r="D21" s="157"/>
      <c r="E21" s="157"/>
      <c r="F21" s="157"/>
      <c r="G21" s="157"/>
      <c r="H21" s="157"/>
      <c r="I21" s="157"/>
      <c r="J21" s="157"/>
      <c r="K21" s="157"/>
      <c r="L21" s="157"/>
      <c r="M21" s="157"/>
      <c r="N21" s="157"/>
      <c r="O21" s="157"/>
      <c r="P21" s="157"/>
      <c r="Q21" s="157"/>
      <c r="R21" s="157"/>
      <c r="S21" s="157"/>
      <c r="T21" s="157"/>
      <c r="U21" s="157"/>
      <c r="V21" s="157"/>
      <c r="W21" s="158"/>
    </row>
    <row r="22" spans="1:23" ht="59.25" customHeight="1">
      <c r="A22" s="46" t="s">
        <v>87</v>
      </c>
      <c r="B22" s="156"/>
      <c r="C22" s="157"/>
      <c r="D22" s="157"/>
      <c r="E22" s="157"/>
      <c r="F22" s="157"/>
      <c r="G22" s="157"/>
      <c r="H22" s="157"/>
      <c r="I22" s="157"/>
      <c r="J22" s="157"/>
      <c r="K22" s="157"/>
      <c r="L22" s="157"/>
      <c r="M22" s="157"/>
      <c r="N22" s="157"/>
      <c r="O22" s="157"/>
      <c r="P22" s="157"/>
      <c r="Q22" s="157"/>
      <c r="R22" s="157"/>
      <c r="S22" s="157"/>
      <c r="T22" s="157"/>
      <c r="U22" s="157"/>
      <c r="V22" s="157"/>
      <c r="W22" s="158"/>
    </row>
    <row r="23" spans="1:23" ht="59.25" customHeight="1">
      <c r="A23" s="46" t="s">
        <v>88</v>
      </c>
      <c r="B23" s="156"/>
      <c r="C23" s="157"/>
      <c r="D23" s="157"/>
      <c r="E23" s="157"/>
      <c r="F23" s="157"/>
      <c r="G23" s="157"/>
      <c r="H23" s="157"/>
      <c r="I23" s="157"/>
      <c r="J23" s="157"/>
      <c r="K23" s="157"/>
      <c r="L23" s="157"/>
      <c r="M23" s="157"/>
      <c r="N23" s="157"/>
      <c r="O23" s="157"/>
      <c r="P23" s="157"/>
      <c r="Q23" s="157"/>
      <c r="R23" s="157"/>
      <c r="S23" s="157"/>
      <c r="T23" s="157"/>
      <c r="U23" s="157"/>
      <c r="V23" s="157"/>
      <c r="W23" s="158"/>
    </row>
    <row r="24" spans="1:23" ht="59.25" customHeight="1">
      <c r="A24" s="46" t="s">
        <v>89</v>
      </c>
      <c r="B24" s="156"/>
      <c r="C24" s="157"/>
      <c r="D24" s="157"/>
      <c r="E24" s="157"/>
      <c r="F24" s="157"/>
      <c r="G24" s="157"/>
      <c r="H24" s="157"/>
      <c r="I24" s="157"/>
      <c r="J24" s="157"/>
      <c r="K24" s="157"/>
      <c r="L24" s="157"/>
      <c r="M24" s="157"/>
      <c r="N24" s="157"/>
      <c r="O24" s="157"/>
      <c r="P24" s="157"/>
      <c r="Q24" s="157"/>
      <c r="R24" s="157"/>
      <c r="S24" s="157"/>
      <c r="T24" s="157"/>
      <c r="U24" s="157"/>
      <c r="V24" s="157"/>
      <c r="W24" s="158"/>
    </row>
    <row r="25" spans="1:23" ht="59.25" customHeight="1">
      <c r="A25" s="46" t="s">
        <v>90</v>
      </c>
      <c r="B25" s="156"/>
      <c r="C25" s="157"/>
      <c r="D25" s="157"/>
      <c r="E25" s="157"/>
      <c r="F25" s="157"/>
      <c r="G25" s="157"/>
      <c r="H25" s="157"/>
      <c r="I25" s="157"/>
      <c r="J25" s="157"/>
      <c r="K25" s="157"/>
      <c r="L25" s="157"/>
      <c r="M25" s="157"/>
      <c r="N25" s="157"/>
      <c r="O25" s="157"/>
      <c r="P25" s="157"/>
      <c r="Q25" s="157"/>
      <c r="R25" s="157"/>
      <c r="S25" s="157"/>
      <c r="T25" s="157"/>
      <c r="U25" s="157"/>
      <c r="V25" s="157"/>
      <c r="W25" s="158"/>
    </row>
    <row r="26" spans="1:23" ht="59.25" customHeight="1">
      <c r="A26" s="46" t="s">
        <v>91</v>
      </c>
      <c r="B26" s="156"/>
      <c r="C26" s="157"/>
      <c r="D26" s="157"/>
      <c r="E26" s="157"/>
      <c r="F26" s="157"/>
      <c r="G26" s="157"/>
      <c r="H26" s="157"/>
      <c r="I26" s="157"/>
      <c r="J26" s="157"/>
      <c r="K26" s="157"/>
      <c r="L26" s="157"/>
      <c r="M26" s="157"/>
      <c r="N26" s="157"/>
      <c r="O26" s="157"/>
      <c r="P26" s="157"/>
      <c r="Q26" s="157"/>
      <c r="R26" s="157"/>
      <c r="S26" s="157"/>
      <c r="T26" s="157"/>
      <c r="U26" s="157"/>
      <c r="V26" s="157"/>
      <c r="W26" s="158"/>
    </row>
    <row r="27" spans="1:23" ht="59.25" customHeight="1">
      <c r="A27" s="46" t="s">
        <v>92</v>
      </c>
      <c r="B27" s="156"/>
      <c r="C27" s="157"/>
      <c r="D27" s="157"/>
      <c r="E27" s="157"/>
      <c r="F27" s="157"/>
      <c r="G27" s="157"/>
      <c r="H27" s="157"/>
      <c r="I27" s="157"/>
      <c r="J27" s="157"/>
      <c r="K27" s="157"/>
      <c r="L27" s="157"/>
      <c r="M27" s="157"/>
      <c r="N27" s="157"/>
      <c r="O27" s="157"/>
      <c r="P27" s="157"/>
      <c r="Q27" s="157"/>
      <c r="R27" s="157"/>
      <c r="S27" s="157"/>
      <c r="T27" s="157"/>
      <c r="U27" s="157"/>
      <c r="V27" s="157"/>
      <c r="W27" s="158"/>
    </row>
    <row r="28" spans="1:23" ht="59.25" customHeight="1">
      <c r="A28" s="46"/>
      <c r="B28" s="156"/>
      <c r="C28" s="157"/>
      <c r="D28" s="157"/>
      <c r="E28" s="157"/>
      <c r="F28" s="157"/>
      <c r="G28" s="157"/>
      <c r="H28" s="157"/>
      <c r="I28" s="157"/>
      <c r="J28" s="157"/>
      <c r="K28" s="157"/>
      <c r="L28" s="157"/>
      <c r="M28" s="157"/>
      <c r="N28" s="157"/>
      <c r="O28" s="157"/>
      <c r="P28" s="157"/>
      <c r="Q28" s="157"/>
      <c r="R28" s="157"/>
      <c r="S28" s="157"/>
      <c r="T28" s="157"/>
      <c r="U28" s="157"/>
      <c r="V28" s="157"/>
      <c r="W28" s="158"/>
    </row>
    <row r="29" spans="1:23" ht="59.25" customHeight="1">
      <c r="A29" s="46"/>
      <c r="B29" s="156"/>
      <c r="C29" s="157"/>
      <c r="D29" s="157"/>
      <c r="E29" s="157"/>
      <c r="F29" s="157"/>
      <c r="G29" s="157"/>
      <c r="H29" s="157"/>
      <c r="I29" s="157"/>
      <c r="J29" s="157"/>
      <c r="K29" s="157"/>
      <c r="L29" s="157"/>
      <c r="M29" s="157"/>
      <c r="N29" s="157"/>
      <c r="O29" s="157"/>
      <c r="P29" s="157"/>
      <c r="Q29" s="157"/>
      <c r="R29" s="157"/>
      <c r="S29" s="157"/>
      <c r="T29" s="157"/>
      <c r="U29" s="157"/>
      <c r="V29" s="157"/>
      <c r="W29" s="158"/>
    </row>
    <row r="30" spans="1:23" ht="59.25" customHeight="1">
      <c r="A30" s="46"/>
      <c r="B30" s="156"/>
      <c r="C30" s="157"/>
      <c r="D30" s="157"/>
      <c r="E30" s="157"/>
      <c r="F30" s="157"/>
      <c r="G30" s="157"/>
      <c r="H30" s="157"/>
      <c r="I30" s="157"/>
      <c r="J30" s="157"/>
      <c r="K30" s="157"/>
      <c r="L30" s="157"/>
      <c r="M30" s="157"/>
      <c r="N30" s="157"/>
      <c r="O30" s="157"/>
      <c r="P30" s="157"/>
      <c r="Q30" s="157"/>
      <c r="R30" s="157"/>
      <c r="S30" s="157"/>
      <c r="T30" s="157"/>
      <c r="U30" s="157"/>
      <c r="V30" s="157"/>
      <c r="W30" s="158"/>
    </row>
    <row r="31" spans="1:23" ht="59.25" customHeight="1">
      <c r="A31" s="46"/>
      <c r="B31" s="156"/>
      <c r="C31" s="157"/>
      <c r="D31" s="157"/>
      <c r="E31" s="157"/>
      <c r="F31" s="157"/>
      <c r="G31" s="157"/>
      <c r="H31" s="157"/>
      <c r="I31" s="157"/>
      <c r="J31" s="157"/>
      <c r="K31" s="157"/>
      <c r="L31" s="157"/>
      <c r="M31" s="157"/>
      <c r="N31" s="157"/>
      <c r="O31" s="157"/>
      <c r="P31" s="157"/>
      <c r="Q31" s="157"/>
      <c r="R31" s="157"/>
      <c r="S31" s="157"/>
      <c r="T31" s="157"/>
      <c r="U31" s="157"/>
      <c r="V31" s="157"/>
      <c r="W31" s="158"/>
    </row>
    <row r="32" spans="1:23" ht="59.25" customHeight="1">
      <c r="A32" s="46"/>
      <c r="B32" s="156"/>
      <c r="C32" s="157"/>
      <c r="D32" s="157"/>
      <c r="E32" s="157"/>
      <c r="F32" s="157"/>
      <c r="G32" s="157"/>
      <c r="H32" s="157"/>
      <c r="I32" s="157"/>
      <c r="J32" s="157"/>
      <c r="K32" s="157"/>
      <c r="L32" s="157"/>
      <c r="M32" s="157"/>
      <c r="N32" s="157"/>
      <c r="O32" s="157"/>
      <c r="P32" s="157"/>
      <c r="Q32" s="157"/>
      <c r="R32" s="157"/>
      <c r="S32" s="157"/>
      <c r="T32" s="157"/>
      <c r="U32" s="157"/>
      <c r="V32" s="157"/>
      <c r="W32" s="158"/>
    </row>
    <row r="33" spans="1:23" ht="59.25" customHeight="1">
      <c r="A33" s="46"/>
      <c r="B33" s="156"/>
      <c r="C33" s="157"/>
      <c r="D33" s="157"/>
      <c r="E33" s="157"/>
      <c r="F33" s="157"/>
      <c r="G33" s="157"/>
      <c r="H33" s="157"/>
      <c r="I33" s="157"/>
      <c r="J33" s="157"/>
      <c r="K33" s="157"/>
      <c r="L33" s="157"/>
      <c r="M33" s="157"/>
      <c r="N33" s="157"/>
      <c r="O33" s="157"/>
      <c r="P33" s="157"/>
      <c r="Q33" s="157"/>
      <c r="R33" s="157"/>
      <c r="S33" s="157"/>
      <c r="T33" s="157"/>
      <c r="U33" s="157"/>
      <c r="V33" s="157"/>
      <c r="W33" s="158"/>
    </row>
    <row r="34" spans="1:23" ht="59.25" customHeight="1">
      <c r="A34" s="46"/>
      <c r="B34" s="156"/>
      <c r="C34" s="157"/>
      <c r="D34" s="157"/>
      <c r="E34" s="157"/>
      <c r="F34" s="157"/>
      <c r="G34" s="157"/>
      <c r="H34" s="157"/>
      <c r="I34" s="157"/>
      <c r="J34" s="157"/>
      <c r="K34" s="157"/>
      <c r="L34" s="157"/>
      <c r="M34" s="157"/>
      <c r="N34" s="157"/>
      <c r="O34" s="157"/>
      <c r="P34" s="157"/>
      <c r="Q34" s="157"/>
      <c r="R34" s="157"/>
      <c r="S34" s="157"/>
      <c r="T34" s="157"/>
      <c r="U34" s="157"/>
      <c r="V34" s="157"/>
      <c r="W34" s="158"/>
    </row>
    <row r="35" spans="1:23" ht="22.5" customHeight="1"/>
    <row r="36" spans="1:23" ht="22.5" customHeight="1"/>
    <row r="37" spans="1:23" ht="22.5" customHeight="1"/>
    <row r="38" spans="1:23" ht="22.5" customHeight="1"/>
    <row r="39" spans="1:23" ht="17.25" customHeight="1"/>
    <row r="40" spans="1:23" ht="17.25" customHeight="1"/>
    <row r="41" spans="1:23" ht="17.25" customHeight="1"/>
    <row r="42" spans="1:23" ht="17.25" customHeight="1"/>
    <row r="43" spans="1:23" ht="17.25" customHeight="1"/>
    <row r="44" spans="1:23" ht="17.25" customHeight="1"/>
    <row r="45" spans="1:23" ht="17.25" customHeight="1"/>
    <row r="46" spans="1:23" ht="17.25" customHeight="1"/>
    <row r="47" spans="1:23" ht="17.25" customHeight="1"/>
    <row r="48" spans="1:23"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sheetData>
  <mergeCells count="22">
    <mergeCell ref="B31:W31"/>
    <mergeCell ref="B32:W32"/>
    <mergeCell ref="B33:W33"/>
    <mergeCell ref="B34:W34"/>
    <mergeCell ref="B25:W25"/>
    <mergeCell ref="B26:W26"/>
    <mergeCell ref="B27:W27"/>
    <mergeCell ref="B28:W28"/>
    <mergeCell ref="B29:W29"/>
    <mergeCell ref="B30:W30"/>
    <mergeCell ref="B24:W24"/>
    <mergeCell ref="A2:A12"/>
    <mergeCell ref="B14:W14"/>
    <mergeCell ref="B15:W15"/>
    <mergeCell ref="B16:W16"/>
    <mergeCell ref="B17:W17"/>
    <mergeCell ref="B18:W18"/>
    <mergeCell ref="B19:W19"/>
    <mergeCell ref="B20:W20"/>
    <mergeCell ref="B21:W21"/>
    <mergeCell ref="B22:W22"/>
    <mergeCell ref="B23:W23"/>
  </mergeCells>
  <phoneticPr fontId="1"/>
  <dataValidations count="3">
    <dataValidation type="list" allowBlank="1" showDropDown="1" showInputMessage="1" showErrorMessage="1" sqref="D2:W3 D5:W11 D4:G4 I4:W4">
      <formula1>$X$2:$X$5</formula1>
    </dataValidation>
    <dataValidation type="list" allowBlank="1" showDropDown="1" showInputMessage="1" showErrorMessage="1" errorTitle="文字エラー" error="半角数字1～5か、評価不能の場合は-（半角マイナス）を入れて下さい。" sqref="D12:W12">
      <formula1>$Y$2:$Y$7</formula1>
    </dataValidation>
    <dataValidation type="list" allowBlank="1" showDropDown="1" showInputMessage="1" showErrorMessage="1" errorTitle="文字エラー" error="半角数字1～5を入れて下さい。_x000a_文字列ではなく数値で入力して下さい。" sqref="D13:W13">
      <formula1>$Y$2:$Y$7</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1"/>
  </sheetPr>
  <dimension ref="A1:Y188"/>
  <sheetViews>
    <sheetView workbookViewId="0">
      <selection sqref="A1:XFD1048576"/>
    </sheetView>
  </sheetViews>
  <sheetFormatPr defaultRowHeight="13.5"/>
  <cols>
    <col min="1" max="1" width="13.5" style="8" customWidth="1"/>
    <col min="2" max="2" width="79.125" style="8" customWidth="1"/>
    <col min="3" max="3" width="9.375" style="8" customWidth="1"/>
    <col min="4" max="23" width="4.125" style="8" customWidth="1"/>
    <col min="24" max="16384" width="9" style="8"/>
  </cols>
  <sheetData>
    <row r="1" spans="1:25" ht="85.5" customHeight="1">
      <c r="A1" s="33" t="str">
        <f ca="1">MID(CELL("filename",A1),FIND("[",CELL("filename",A1))+1,3)</f>
        <v>２－１</v>
      </c>
      <c r="B1" s="34" t="str">
        <f ca="1">RIGHT(CELL("filename",B1),LEN(CELL("filename",B1))-FIND("]",CELL("filename",B1)))</f>
        <v>音楽</v>
      </c>
      <c r="C1" s="35" t="s">
        <v>26</v>
      </c>
      <c r="D1" s="36" t="str">
        <f>A15</f>
        <v>市田 琴春</v>
      </c>
      <c r="E1" s="36" t="str">
        <f>A16</f>
        <v>伊藤 百音</v>
      </c>
      <c r="F1" s="36" t="str">
        <f>A17</f>
        <v>岩下 美音</v>
      </c>
      <c r="G1" s="36" t="str">
        <f>A18</f>
        <v>大澤 涼真</v>
      </c>
      <c r="H1" s="36" t="str">
        <f>A19</f>
        <v>笠原 由楓</v>
      </c>
      <c r="I1" s="36" t="str">
        <f>A20</f>
        <v>芝田 人慈</v>
      </c>
      <c r="J1" s="36" t="str">
        <f>A21</f>
        <v>菅谷 彩桜</v>
      </c>
      <c r="K1" s="36" t="str">
        <f>A22</f>
        <v>中川 杏</v>
      </c>
      <c r="L1" s="36" t="str">
        <f>A23</f>
        <v>原田 絢匡</v>
      </c>
      <c r="M1" s="36" t="str">
        <f>A24</f>
        <v>藤本 慎士</v>
      </c>
      <c r="N1" s="36" t="str">
        <f>A25</f>
        <v>古畑 睦季</v>
      </c>
      <c r="O1" s="36" t="str">
        <f>A26</f>
        <v>三澤 昊來</v>
      </c>
      <c r="P1" s="36" t="str">
        <f>A27</f>
        <v>吉村 騰堂</v>
      </c>
      <c r="Q1" s="36">
        <f>A28</f>
        <v>0</v>
      </c>
      <c r="R1" s="36">
        <f>A29</f>
        <v>0</v>
      </c>
      <c r="S1" s="36">
        <f>A30</f>
        <v>0</v>
      </c>
      <c r="T1" s="36">
        <f>A31</f>
        <v>0</v>
      </c>
      <c r="U1" s="36">
        <f>A32</f>
        <v>0</v>
      </c>
      <c r="V1" s="36">
        <f>A33</f>
        <v>0</v>
      </c>
      <c r="W1" s="36">
        <f>A34</f>
        <v>0</v>
      </c>
      <c r="X1" s="37"/>
    </row>
    <row r="2" spans="1:25" ht="22.5" customHeight="1">
      <c r="A2" s="159" t="s">
        <v>79</v>
      </c>
      <c r="B2" s="41" t="s">
        <v>97</v>
      </c>
      <c r="C2" s="38" t="s">
        <v>27</v>
      </c>
      <c r="D2" s="39" t="s">
        <v>75</v>
      </c>
      <c r="E2" s="39" t="s">
        <v>75</v>
      </c>
      <c r="F2" s="39" t="s">
        <v>75</v>
      </c>
      <c r="G2" s="39" t="s">
        <v>75</v>
      </c>
      <c r="H2" s="39" t="s">
        <v>75</v>
      </c>
      <c r="I2" s="39" t="s">
        <v>75</v>
      </c>
      <c r="J2" s="39" t="s">
        <v>75</v>
      </c>
      <c r="K2" s="39" t="s">
        <v>75</v>
      </c>
      <c r="L2" s="39" t="s">
        <v>75</v>
      </c>
      <c r="M2" s="39" t="s">
        <v>75</v>
      </c>
      <c r="N2" s="39" t="s">
        <v>75</v>
      </c>
      <c r="O2" s="39" t="s">
        <v>75</v>
      </c>
      <c r="P2" s="39" t="s">
        <v>75</v>
      </c>
      <c r="Q2" s="39"/>
      <c r="R2" s="39"/>
      <c r="S2" s="39"/>
      <c r="T2" s="39"/>
      <c r="U2" s="39"/>
      <c r="V2" s="39"/>
      <c r="W2" s="39"/>
      <c r="X2" s="40" t="s">
        <v>75</v>
      </c>
      <c r="Y2" s="40">
        <v>1</v>
      </c>
    </row>
    <row r="3" spans="1:25" ht="22.5" customHeight="1">
      <c r="A3" s="160"/>
      <c r="B3" s="41" t="s">
        <v>98</v>
      </c>
      <c r="C3" s="38" t="s">
        <v>27</v>
      </c>
      <c r="D3" s="39" t="s">
        <v>152</v>
      </c>
      <c r="E3" s="39" t="s">
        <v>152</v>
      </c>
      <c r="F3" s="39" t="s">
        <v>75</v>
      </c>
      <c r="G3" s="39" t="s">
        <v>75</v>
      </c>
      <c r="H3" s="39" t="s">
        <v>75</v>
      </c>
      <c r="I3" s="39" t="s">
        <v>75</v>
      </c>
      <c r="J3" s="39" t="s">
        <v>75</v>
      </c>
      <c r="K3" s="39" t="s">
        <v>75</v>
      </c>
      <c r="L3" s="39" t="s">
        <v>151</v>
      </c>
      <c r="M3" s="39" t="s">
        <v>75</v>
      </c>
      <c r="N3" s="39" t="s">
        <v>152</v>
      </c>
      <c r="O3" s="39" t="s">
        <v>75</v>
      </c>
      <c r="P3" s="39" t="s">
        <v>152</v>
      </c>
      <c r="Q3" s="39"/>
      <c r="R3" s="39"/>
      <c r="S3" s="39"/>
      <c r="T3" s="39"/>
      <c r="U3" s="39"/>
      <c r="V3" s="39"/>
      <c r="W3" s="39"/>
      <c r="X3" s="40" t="s">
        <v>134</v>
      </c>
      <c r="Y3" s="40">
        <v>2</v>
      </c>
    </row>
    <row r="4" spans="1:25" ht="22.5" customHeight="1">
      <c r="A4" s="160"/>
      <c r="B4" s="41" t="s">
        <v>99</v>
      </c>
      <c r="C4" s="38" t="s">
        <v>27</v>
      </c>
      <c r="D4" s="39" t="s">
        <v>75</v>
      </c>
      <c r="E4" s="39" t="s">
        <v>152</v>
      </c>
      <c r="F4" s="39" t="s">
        <v>75</v>
      </c>
      <c r="G4" s="39" t="s">
        <v>75</v>
      </c>
      <c r="H4" s="39" t="s">
        <v>75</v>
      </c>
      <c r="I4" s="39" t="s">
        <v>75</v>
      </c>
      <c r="J4" s="39" t="s">
        <v>152</v>
      </c>
      <c r="K4" s="39" t="s">
        <v>152</v>
      </c>
      <c r="L4" s="39" t="s">
        <v>152</v>
      </c>
      <c r="M4" s="39" t="s">
        <v>152</v>
      </c>
      <c r="N4" s="39" t="s">
        <v>152</v>
      </c>
      <c r="O4" s="39" t="s">
        <v>152</v>
      </c>
      <c r="P4" s="39" t="s">
        <v>152</v>
      </c>
      <c r="Q4" s="39"/>
      <c r="R4" s="39"/>
      <c r="S4" s="39"/>
      <c r="T4" s="39"/>
      <c r="U4" s="39"/>
      <c r="V4" s="39"/>
      <c r="W4" s="39"/>
      <c r="X4" s="40" t="s">
        <v>136</v>
      </c>
      <c r="Y4" s="40">
        <v>3</v>
      </c>
    </row>
    <row r="5" spans="1:25" ht="22.5" customHeight="1">
      <c r="A5" s="160"/>
      <c r="B5" s="41" t="s">
        <v>100</v>
      </c>
      <c r="C5" s="38" t="s">
        <v>27</v>
      </c>
      <c r="D5" s="39" t="s">
        <v>152</v>
      </c>
      <c r="E5" s="39" t="s">
        <v>152</v>
      </c>
      <c r="F5" s="39" t="s">
        <v>152</v>
      </c>
      <c r="G5" s="39" t="s">
        <v>152</v>
      </c>
      <c r="H5" s="39" t="s">
        <v>152</v>
      </c>
      <c r="I5" s="39" t="s">
        <v>152</v>
      </c>
      <c r="J5" s="39" t="s">
        <v>152</v>
      </c>
      <c r="K5" s="39" t="s">
        <v>152</v>
      </c>
      <c r="L5" s="39" t="s">
        <v>152</v>
      </c>
      <c r="M5" s="39" t="s">
        <v>152</v>
      </c>
      <c r="N5" s="39" t="s">
        <v>151</v>
      </c>
      <c r="O5" s="39" t="s">
        <v>152</v>
      </c>
      <c r="P5" s="39" t="s">
        <v>75</v>
      </c>
      <c r="Q5" s="39"/>
      <c r="R5" s="39"/>
      <c r="S5" s="39"/>
      <c r="T5" s="39"/>
      <c r="U5" s="39"/>
      <c r="V5" s="39"/>
      <c r="W5" s="39"/>
      <c r="X5" s="40" t="s">
        <v>135</v>
      </c>
      <c r="Y5" s="40">
        <v>4</v>
      </c>
    </row>
    <row r="6" spans="1:25" ht="22.5" customHeight="1">
      <c r="A6" s="160"/>
      <c r="B6" s="41"/>
      <c r="C6" s="38" t="s">
        <v>27</v>
      </c>
      <c r="D6" s="39"/>
      <c r="E6" s="39"/>
      <c r="F6" s="39"/>
      <c r="G6" s="39"/>
      <c r="H6" s="39"/>
      <c r="I6" s="39"/>
      <c r="J6" s="39"/>
      <c r="K6" s="39"/>
      <c r="L6" s="39"/>
      <c r="M6" s="39"/>
      <c r="N6" s="39"/>
      <c r="O6" s="39"/>
      <c r="P6" s="39"/>
      <c r="Q6" s="39"/>
      <c r="R6" s="39"/>
      <c r="S6" s="39"/>
      <c r="T6" s="39"/>
      <c r="U6" s="39"/>
      <c r="V6" s="39"/>
      <c r="W6" s="39"/>
      <c r="X6" s="40"/>
      <c r="Y6" s="40">
        <v>5</v>
      </c>
    </row>
    <row r="7" spans="1:25" ht="22.5" customHeight="1">
      <c r="A7" s="160"/>
      <c r="B7" s="41"/>
      <c r="C7" s="38" t="s">
        <v>27</v>
      </c>
      <c r="D7" s="39"/>
      <c r="E7" s="39"/>
      <c r="F7" s="39"/>
      <c r="G7" s="39"/>
      <c r="H7" s="39"/>
      <c r="I7" s="39"/>
      <c r="J7" s="39"/>
      <c r="K7" s="39"/>
      <c r="L7" s="39"/>
      <c r="M7" s="39"/>
      <c r="N7" s="39"/>
      <c r="O7" s="39"/>
      <c r="P7" s="39"/>
      <c r="Q7" s="39"/>
      <c r="R7" s="39"/>
      <c r="S7" s="39"/>
      <c r="T7" s="39"/>
      <c r="U7" s="39"/>
      <c r="V7" s="39"/>
      <c r="W7" s="39"/>
      <c r="X7" s="40"/>
      <c r="Y7" s="40" t="s">
        <v>154</v>
      </c>
    </row>
    <row r="8" spans="1:25" ht="22.5" customHeight="1">
      <c r="A8" s="160"/>
      <c r="B8" s="41"/>
      <c r="C8" s="38" t="s">
        <v>27</v>
      </c>
      <c r="D8" s="39"/>
      <c r="E8" s="39"/>
      <c r="F8" s="39"/>
      <c r="G8" s="39"/>
      <c r="H8" s="39"/>
      <c r="I8" s="39"/>
      <c r="J8" s="39"/>
      <c r="K8" s="39"/>
      <c r="L8" s="39"/>
      <c r="M8" s="39"/>
      <c r="N8" s="39"/>
      <c r="O8" s="39"/>
      <c r="P8" s="39"/>
      <c r="Q8" s="39"/>
      <c r="R8" s="39"/>
      <c r="S8" s="39"/>
      <c r="T8" s="39"/>
      <c r="U8" s="39"/>
      <c r="V8" s="39"/>
      <c r="W8" s="39"/>
    </row>
    <row r="9" spans="1:25" ht="22.5" customHeight="1">
      <c r="A9" s="160"/>
      <c r="B9" s="41"/>
      <c r="C9" s="38" t="s">
        <v>27</v>
      </c>
      <c r="D9" s="39"/>
      <c r="E9" s="39"/>
      <c r="F9" s="39"/>
      <c r="G9" s="39"/>
      <c r="H9" s="39"/>
      <c r="I9" s="39"/>
      <c r="J9" s="39"/>
      <c r="K9" s="39"/>
      <c r="L9" s="39"/>
      <c r="M9" s="39"/>
      <c r="N9" s="39"/>
      <c r="O9" s="39"/>
      <c r="P9" s="39"/>
      <c r="Q9" s="39"/>
      <c r="R9" s="39"/>
      <c r="S9" s="39"/>
      <c r="T9" s="39"/>
      <c r="U9" s="39"/>
      <c r="V9" s="39"/>
      <c r="W9" s="39"/>
    </row>
    <row r="10" spans="1:25" ht="22.5" customHeight="1">
      <c r="A10" s="160"/>
      <c r="B10" s="41"/>
      <c r="C10" s="38" t="s">
        <v>27</v>
      </c>
      <c r="D10" s="39"/>
      <c r="E10" s="39"/>
      <c r="F10" s="39"/>
      <c r="G10" s="39"/>
      <c r="H10" s="39"/>
      <c r="I10" s="39"/>
      <c r="J10" s="39"/>
      <c r="K10" s="39"/>
      <c r="L10" s="39"/>
      <c r="M10" s="39"/>
      <c r="N10" s="39"/>
      <c r="O10" s="39"/>
      <c r="P10" s="39"/>
      <c r="Q10" s="39"/>
      <c r="R10" s="39"/>
      <c r="S10" s="39"/>
      <c r="T10" s="39"/>
      <c r="U10" s="39"/>
      <c r="V10" s="39"/>
      <c r="W10" s="39"/>
    </row>
    <row r="11" spans="1:25" ht="22.5" customHeight="1">
      <c r="A11" s="160"/>
      <c r="B11" s="41"/>
      <c r="C11" s="38" t="s">
        <v>27</v>
      </c>
      <c r="D11" s="39"/>
      <c r="E11" s="39"/>
      <c r="F11" s="39"/>
      <c r="G11" s="39"/>
      <c r="H11" s="39"/>
      <c r="I11" s="39"/>
      <c r="J11" s="39"/>
      <c r="K11" s="39"/>
      <c r="L11" s="39"/>
      <c r="M11" s="39"/>
      <c r="N11" s="39"/>
      <c r="O11" s="39"/>
      <c r="P11" s="39"/>
      <c r="Q11" s="39"/>
      <c r="R11" s="39"/>
      <c r="S11" s="39"/>
      <c r="T11" s="39"/>
      <c r="U11" s="39"/>
      <c r="V11" s="39"/>
      <c r="W11" s="39"/>
    </row>
    <row r="12" spans="1:25" ht="30" customHeight="1">
      <c r="A12" s="161"/>
      <c r="B12" s="42"/>
      <c r="C12" s="43" t="s">
        <v>28</v>
      </c>
      <c r="D12" s="39">
        <v>5</v>
      </c>
      <c r="E12" s="39">
        <v>5</v>
      </c>
      <c r="F12" s="39">
        <v>5</v>
      </c>
      <c r="G12" s="39">
        <v>5</v>
      </c>
      <c r="H12" s="39">
        <v>5</v>
      </c>
      <c r="I12" s="39">
        <v>5</v>
      </c>
      <c r="J12" s="39">
        <v>5</v>
      </c>
      <c r="K12" s="39">
        <v>5</v>
      </c>
      <c r="L12" s="39">
        <v>4</v>
      </c>
      <c r="M12" s="39">
        <v>5</v>
      </c>
      <c r="N12" s="39">
        <v>4</v>
      </c>
      <c r="O12" s="39">
        <v>5</v>
      </c>
      <c r="P12" s="39">
        <v>5</v>
      </c>
      <c r="Q12" s="39"/>
      <c r="R12" s="39"/>
      <c r="S12" s="39"/>
      <c r="T12" s="39"/>
      <c r="U12" s="39"/>
      <c r="V12" s="39"/>
      <c r="W12" s="39"/>
    </row>
    <row r="13" spans="1:25" ht="26.25" customHeight="1">
      <c r="A13" s="44"/>
      <c r="B13" s="44"/>
      <c r="C13" s="73" t="s">
        <v>54</v>
      </c>
      <c r="D13" s="74"/>
      <c r="E13" s="74"/>
      <c r="F13" s="74"/>
      <c r="G13" s="74"/>
      <c r="H13" s="74"/>
      <c r="I13" s="74"/>
      <c r="J13" s="74"/>
      <c r="K13" s="74"/>
      <c r="L13" s="74"/>
      <c r="M13" s="74"/>
      <c r="N13" s="74"/>
      <c r="O13" s="74"/>
      <c r="P13" s="74"/>
      <c r="Q13" s="74"/>
      <c r="R13" s="74"/>
      <c r="S13" s="74"/>
      <c r="T13" s="74"/>
      <c r="U13" s="74"/>
      <c r="V13" s="74"/>
      <c r="W13" s="74"/>
    </row>
    <row r="14" spans="1:25" ht="22.5" customHeight="1">
      <c r="A14" s="45" t="s">
        <v>29</v>
      </c>
      <c r="B14" s="162" t="s">
        <v>30</v>
      </c>
      <c r="C14" s="163"/>
      <c r="D14" s="163"/>
      <c r="E14" s="163"/>
      <c r="F14" s="163"/>
      <c r="G14" s="163"/>
      <c r="H14" s="163"/>
      <c r="I14" s="163"/>
      <c r="J14" s="163"/>
      <c r="K14" s="163"/>
      <c r="L14" s="163"/>
      <c r="M14" s="163"/>
      <c r="N14" s="163"/>
      <c r="O14" s="163"/>
      <c r="P14" s="163"/>
      <c r="Q14" s="163"/>
      <c r="R14" s="163"/>
      <c r="S14" s="163"/>
      <c r="T14" s="163"/>
      <c r="U14" s="163"/>
      <c r="V14" s="163"/>
      <c r="W14" s="164"/>
    </row>
    <row r="15" spans="1:25" ht="59.25" customHeight="1">
      <c r="A15" s="46" t="s">
        <v>80</v>
      </c>
      <c r="B15" s="156"/>
      <c r="C15" s="157"/>
      <c r="D15" s="157"/>
      <c r="E15" s="157"/>
      <c r="F15" s="157"/>
      <c r="G15" s="157"/>
      <c r="H15" s="157"/>
      <c r="I15" s="157"/>
      <c r="J15" s="157"/>
      <c r="K15" s="157"/>
      <c r="L15" s="157"/>
      <c r="M15" s="157"/>
      <c r="N15" s="157"/>
      <c r="O15" s="157"/>
      <c r="P15" s="157"/>
      <c r="Q15" s="157"/>
      <c r="R15" s="157"/>
      <c r="S15" s="157"/>
      <c r="T15" s="157"/>
      <c r="U15" s="157"/>
      <c r="V15" s="157"/>
      <c r="W15" s="158"/>
    </row>
    <row r="16" spans="1:25" ht="59.25" customHeight="1">
      <c r="A16" s="46" t="s">
        <v>81</v>
      </c>
      <c r="B16" s="156"/>
      <c r="C16" s="157"/>
      <c r="D16" s="157"/>
      <c r="E16" s="157"/>
      <c r="F16" s="157"/>
      <c r="G16" s="157"/>
      <c r="H16" s="157"/>
      <c r="I16" s="157"/>
      <c r="J16" s="157"/>
      <c r="K16" s="157"/>
      <c r="L16" s="157"/>
      <c r="M16" s="157"/>
      <c r="N16" s="157"/>
      <c r="O16" s="157"/>
      <c r="P16" s="157"/>
      <c r="Q16" s="157"/>
      <c r="R16" s="157"/>
      <c r="S16" s="157"/>
      <c r="T16" s="157"/>
      <c r="U16" s="157"/>
      <c r="V16" s="157"/>
      <c r="W16" s="158"/>
    </row>
    <row r="17" spans="1:23" ht="59.25" customHeight="1">
      <c r="A17" s="46" t="s">
        <v>82</v>
      </c>
      <c r="B17" s="156"/>
      <c r="C17" s="157"/>
      <c r="D17" s="157"/>
      <c r="E17" s="157"/>
      <c r="F17" s="157"/>
      <c r="G17" s="157"/>
      <c r="H17" s="157"/>
      <c r="I17" s="157"/>
      <c r="J17" s="157"/>
      <c r="K17" s="157"/>
      <c r="L17" s="157"/>
      <c r="M17" s="157"/>
      <c r="N17" s="157"/>
      <c r="O17" s="157"/>
      <c r="P17" s="157"/>
      <c r="Q17" s="157"/>
      <c r="R17" s="157"/>
      <c r="S17" s="157"/>
      <c r="T17" s="157"/>
      <c r="U17" s="157"/>
      <c r="V17" s="157"/>
      <c r="W17" s="158"/>
    </row>
    <row r="18" spans="1:23" ht="59.25" customHeight="1">
      <c r="A18" s="46" t="s">
        <v>83</v>
      </c>
      <c r="B18" s="156"/>
      <c r="C18" s="157"/>
      <c r="D18" s="157"/>
      <c r="E18" s="157"/>
      <c r="F18" s="157"/>
      <c r="G18" s="157"/>
      <c r="H18" s="157"/>
      <c r="I18" s="157"/>
      <c r="J18" s="157"/>
      <c r="K18" s="157"/>
      <c r="L18" s="157"/>
      <c r="M18" s="157"/>
      <c r="N18" s="157"/>
      <c r="O18" s="157"/>
      <c r="P18" s="157"/>
      <c r="Q18" s="157"/>
      <c r="R18" s="157"/>
      <c r="S18" s="157"/>
      <c r="T18" s="157"/>
      <c r="U18" s="157"/>
      <c r="V18" s="157"/>
      <c r="W18" s="158"/>
    </row>
    <row r="19" spans="1:23" ht="59.25" customHeight="1">
      <c r="A19" s="46" t="s">
        <v>84</v>
      </c>
      <c r="B19" s="156"/>
      <c r="C19" s="157"/>
      <c r="D19" s="157"/>
      <c r="E19" s="157"/>
      <c r="F19" s="157"/>
      <c r="G19" s="157"/>
      <c r="H19" s="157"/>
      <c r="I19" s="157"/>
      <c r="J19" s="157"/>
      <c r="K19" s="157"/>
      <c r="L19" s="157"/>
      <c r="M19" s="157"/>
      <c r="N19" s="157"/>
      <c r="O19" s="157"/>
      <c r="P19" s="157"/>
      <c r="Q19" s="157"/>
      <c r="R19" s="157"/>
      <c r="S19" s="157"/>
      <c r="T19" s="157"/>
      <c r="U19" s="157"/>
      <c r="V19" s="157"/>
      <c r="W19" s="158"/>
    </row>
    <row r="20" spans="1:23" ht="59.25" customHeight="1">
      <c r="A20" s="46" t="s">
        <v>85</v>
      </c>
      <c r="B20" s="156"/>
      <c r="C20" s="157"/>
      <c r="D20" s="157"/>
      <c r="E20" s="157"/>
      <c r="F20" s="157"/>
      <c r="G20" s="157"/>
      <c r="H20" s="157"/>
      <c r="I20" s="157"/>
      <c r="J20" s="157"/>
      <c r="K20" s="157"/>
      <c r="L20" s="157"/>
      <c r="M20" s="157"/>
      <c r="N20" s="157"/>
      <c r="O20" s="157"/>
      <c r="P20" s="157"/>
      <c r="Q20" s="157"/>
      <c r="R20" s="157"/>
      <c r="S20" s="157"/>
      <c r="T20" s="157"/>
      <c r="U20" s="157"/>
      <c r="V20" s="157"/>
      <c r="W20" s="158"/>
    </row>
    <row r="21" spans="1:23" ht="59.25" customHeight="1">
      <c r="A21" s="46" t="s">
        <v>86</v>
      </c>
      <c r="B21" s="156"/>
      <c r="C21" s="157"/>
      <c r="D21" s="157"/>
      <c r="E21" s="157"/>
      <c r="F21" s="157"/>
      <c r="G21" s="157"/>
      <c r="H21" s="157"/>
      <c r="I21" s="157"/>
      <c r="J21" s="157"/>
      <c r="K21" s="157"/>
      <c r="L21" s="157"/>
      <c r="M21" s="157"/>
      <c r="N21" s="157"/>
      <c r="O21" s="157"/>
      <c r="P21" s="157"/>
      <c r="Q21" s="157"/>
      <c r="R21" s="157"/>
      <c r="S21" s="157"/>
      <c r="T21" s="157"/>
      <c r="U21" s="157"/>
      <c r="V21" s="157"/>
      <c r="W21" s="158"/>
    </row>
    <row r="22" spans="1:23" ht="59.25" customHeight="1">
      <c r="A22" s="46" t="s">
        <v>87</v>
      </c>
      <c r="B22" s="156"/>
      <c r="C22" s="157"/>
      <c r="D22" s="157"/>
      <c r="E22" s="157"/>
      <c r="F22" s="157"/>
      <c r="G22" s="157"/>
      <c r="H22" s="157"/>
      <c r="I22" s="157"/>
      <c r="J22" s="157"/>
      <c r="K22" s="157"/>
      <c r="L22" s="157"/>
      <c r="M22" s="157"/>
      <c r="N22" s="157"/>
      <c r="O22" s="157"/>
      <c r="P22" s="157"/>
      <c r="Q22" s="157"/>
      <c r="R22" s="157"/>
      <c r="S22" s="157"/>
      <c r="T22" s="157"/>
      <c r="U22" s="157"/>
      <c r="V22" s="157"/>
      <c r="W22" s="158"/>
    </row>
    <row r="23" spans="1:23" ht="59.25" customHeight="1">
      <c r="A23" s="46" t="s">
        <v>88</v>
      </c>
      <c r="B23" s="156" t="s">
        <v>101</v>
      </c>
      <c r="C23" s="157"/>
      <c r="D23" s="157"/>
      <c r="E23" s="157"/>
      <c r="F23" s="157"/>
      <c r="G23" s="157"/>
      <c r="H23" s="157"/>
      <c r="I23" s="157"/>
      <c r="J23" s="157"/>
      <c r="K23" s="157"/>
      <c r="L23" s="157"/>
      <c r="M23" s="157"/>
      <c r="N23" s="157"/>
      <c r="O23" s="157"/>
      <c r="P23" s="157"/>
      <c r="Q23" s="157"/>
      <c r="R23" s="157"/>
      <c r="S23" s="157"/>
      <c r="T23" s="157"/>
      <c r="U23" s="157"/>
      <c r="V23" s="157"/>
      <c r="W23" s="158"/>
    </row>
    <row r="24" spans="1:23" ht="59.25" customHeight="1">
      <c r="A24" s="46" t="s">
        <v>89</v>
      </c>
      <c r="B24" s="156"/>
      <c r="C24" s="157"/>
      <c r="D24" s="157"/>
      <c r="E24" s="157"/>
      <c r="F24" s="157"/>
      <c r="G24" s="157"/>
      <c r="H24" s="157"/>
      <c r="I24" s="157"/>
      <c r="J24" s="157"/>
      <c r="K24" s="157"/>
      <c r="L24" s="157"/>
      <c r="M24" s="157"/>
      <c r="N24" s="157"/>
      <c r="O24" s="157"/>
      <c r="P24" s="157"/>
      <c r="Q24" s="157"/>
      <c r="R24" s="157"/>
      <c r="S24" s="157"/>
      <c r="T24" s="157"/>
      <c r="U24" s="157"/>
      <c r="V24" s="157"/>
      <c r="W24" s="158"/>
    </row>
    <row r="25" spans="1:23" ht="59.25" customHeight="1">
      <c r="A25" s="46" t="s">
        <v>90</v>
      </c>
      <c r="B25" s="156" t="s">
        <v>102</v>
      </c>
      <c r="C25" s="157"/>
      <c r="D25" s="157"/>
      <c r="E25" s="157"/>
      <c r="F25" s="157"/>
      <c r="G25" s="157"/>
      <c r="H25" s="157"/>
      <c r="I25" s="157"/>
      <c r="J25" s="157"/>
      <c r="K25" s="157"/>
      <c r="L25" s="157"/>
      <c r="M25" s="157"/>
      <c r="N25" s="157"/>
      <c r="O25" s="157"/>
      <c r="P25" s="157"/>
      <c r="Q25" s="157"/>
      <c r="R25" s="157"/>
      <c r="S25" s="157"/>
      <c r="T25" s="157"/>
      <c r="U25" s="157"/>
      <c r="V25" s="157"/>
      <c r="W25" s="158"/>
    </row>
    <row r="26" spans="1:23" ht="59.25" customHeight="1">
      <c r="A26" s="46" t="s">
        <v>91</v>
      </c>
      <c r="B26" s="156"/>
      <c r="C26" s="157"/>
      <c r="D26" s="157"/>
      <c r="E26" s="157"/>
      <c r="F26" s="157"/>
      <c r="G26" s="157"/>
      <c r="H26" s="157"/>
      <c r="I26" s="157"/>
      <c r="J26" s="157"/>
      <c r="K26" s="157"/>
      <c r="L26" s="157"/>
      <c r="M26" s="157"/>
      <c r="N26" s="157"/>
      <c r="O26" s="157"/>
      <c r="P26" s="157"/>
      <c r="Q26" s="157"/>
      <c r="R26" s="157"/>
      <c r="S26" s="157"/>
      <c r="T26" s="157"/>
      <c r="U26" s="157"/>
      <c r="V26" s="157"/>
      <c r="W26" s="158"/>
    </row>
    <row r="27" spans="1:23" ht="59.25" customHeight="1">
      <c r="A27" s="46" t="s">
        <v>92</v>
      </c>
      <c r="B27" s="156"/>
      <c r="C27" s="157"/>
      <c r="D27" s="157"/>
      <c r="E27" s="157"/>
      <c r="F27" s="157"/>
      <c r="G27" s="157"/>
      <c r="H27" s="157"/>
      <c r="I27" s="157"/>
      <c r="J27" s="157"/>
      <c r="K27" s="157"/>
      <c r="L27" s="157"/>
      <c r="M27" s="157"/>
      <c r="N27" s="157"/>
      <c r="O27" s="157"/>
      <c r="P27" s="157"/>
      <c r="Q27" s="157"/>
      <c r="R27" s="157"/>
      <c r="S27" s="157"/>
      <c r="T27" s="157"/>
      <c r="U27" s="157"/>
      <c r="V27" s="157"/>
      <c r="W27" s="158"/>
    </row>
    <row r="28" spans="1:23" ht="59.25" customHeight="1">
      <c r="A28" s="46"/>
      <c r="B28" s="156"/>
      <c r="C28" s="157"/>
      <c r="D28" s="157"/>
      <c r="E28" s="157"/>
      <c r="F28" s="157"/>
      <c r="G28" s="157"/>
      <c r="H28" s="157"/>
      <c r="I28" s="157"/>
      <c r="J28" s="157"/>
      <c r="K28" s="157"/>
      <c r="L28" s="157"/>
      <c r="M28" s="157"/>
      <c r="N28" s="157"/>
      <c r="O28" s="157"/>
      <c r="P28" s="157"/>
      <c r="Q28" s="157"/>
      <c r="R28" s="157"/>
      <c r="S28" s="157"/>
      <c r="T28" s="157"/>
      <c r="U28" s="157"/>
      <c r="V28" s="157"/>
      <c r="W28" s="158"/>
    </row>
    <row r="29" spans="1:23" ht="59.25" customHeight="1">
      <c r="A29" s="46"/>
      <c r="B29" s="156"/>
      <c r="C29" s="157"/>
      <c r="D29" s="157"/>
      <c r="E29" s="157"/>
      <c r="F29" s="157"/>
      <c r="G29" s="157"/>
      <c r="H29" s="157"/>
      <c r="I29" s="157"/>
      <c r="J29" s="157"/>
      <c r="K29" s="157"/>
      <c r="L29" s="157"/>
      <c r="M29" s="157"/>
      <c r="N29" s="157"/>
      <c r="O29" s="157"/>
      <c r="P29" s="157"/>
      <c r="Q29" s="157"/>
      <c r="R29" s="157"/>
      <c r="S29" s="157"/>
      <c r="T29" s="157"/>
      <c r="U29" s="157"/>
      <c r="V29" s="157"/>
      <c r="W29" s="158"/>
    </row>
    <row r="30" spans="1:23" ht="59.25" customHeight="1">
      <c r="A30" s="46"/>
      <c r="B30" s="156"/>
      <c r="C30" s="157"/>
      <c r="D30" s="157"/>
      <c r="E30" s="157"/>
      <c r="F30" s="157"/>
      <c r="G30" s="157"/>
      <c r="H30" s="157"/>
      <c r="I30" s="157"/>
      <c r="J30" s="157"/>
      <c r="K30" s="157"/>
      <c r="L30" s="157"/>
      <c r="M30" s="157"/>
      <c r="N30" s="157"/>
      <c r="O30" s="157"/>
      <c r="P30" s="157"/>
      <c r="Q30" s="157"/>
      <c r="R30" s="157"/>
      <c r="S30" s="157"/>
      <c r="T30" s="157"/>
      <c r="U30" s="157"/>
      <c r="V30" s="157"/>
      <c r="W30" s="158"/>
    </row>
    <row r="31" spans="1:23" ht="59.25" customHeight="1">
      <c r="A31" s="46"/>
      <c r="B31" s="156"/>
      <c r="C31" s="157"/>
      <c r="D31" s="157"/>
      <c r="E31" s="157"/>
      <c r="F31" s="157"/>
      <c r="G31" s="157"/>
      <c r="H31" s="157"/>
      <c r="I31" s="157"/>
      <c r="J31" s="157"/>
      <c r="K31" s="157"/>
      <c r="L31" s="157"/>
      <c r="M31" s="157"/>
      <c r="N31" s="157"/>
      <c r="O31" s="157"/>
      <c r="P31" s="157"/>
      <c r="Q31" s="157"/>
      <c r="R31" s="157"/>
      <c r="S31" s="157"/>
      <c r="T31" s="157"/>
      <c r="U31" s="157"/>
      <c r="V31" s="157"/>
      <c r="W31" s="158"/>
    </row>
    <row r="32" spans="1:23" ht="59.25" customHeight="1">
      <c r="A32" s="46"/>
      <c r="B32" s="156"/>
      <c r="C32" s="157"/>
      <c r="D32" s="157"/>
      <c r="E32" s="157"/>
      <c r="F32" s="157"/>
      <c r="G32" s="157"/>
      <c r="H32" s="157"/>
      <c r="I32" s="157"/>
      <c r="J32" s="157"/>
      <c r="K32" s="157"/>
      <c r="L32" s="157"/>
      <c r="M32" s="157"/>
      <c r="N32" s="157"/>
      <c r="O32" s="157"/>
      <c r="P32" s="157"/>
      <c r="Q32" s="157"/>
      <c r="R32" s="157"/>
      <c r="S32" s="157"/>
      <c r="T32" s="157"/>
      <c r="U32" s="157"/>
      <c r="V32" s="157"/>
      <c r="W32" s="158"/>
    </row>
    <row r="33" spans="1:23" ht="59.25" customHeight="1">
      <c r="A33" s="46"/>
      <c r="B33" s="156"/>
      <c r="C33" s="157"/>
      <c r="D33" s="157"/>
      <c r="E33" s="157"/>
      <c r="F33" s="157"/>
      <c r="G33" s="157"/>
      <c r="H33" s="157"/>
      <c r="I33" s="157"/>
      <c r="J33" s="157"/>
      <c r="K33" s="157"/>
      <c r="L33" s="157"/>
      <c r="M33" s="157"/>
      <c r="N33" s="157"/>
      <c r="O33" s="157"/>
      <c r="P33" s="157"/>
      <c r="Q33" s="157"/>
      <c r="R33" s="157"/>
      <c r="S33" s="157"/>
      <c r="T33" s="157"/>
      <c r="U33" s="157"/>
      <c r="V33" s="157"/>
      <c r="W33" s="158"/>
    </row>
    <row r="34" spans="1:23" ht="59.25" customHeight="1">
      <c r="A34" s="46"/>
      <c r="B34" s="156"/>
      <c r="C34" s="157"/>
      <c r="D34" s="157"/>
      <c r="E34" s="157"/>
      <c r="F34" s="157"/>
      <c r="G34" s="157"/>
      <c r="H34" s="157"/>
      <c r="I34" s="157"/>
      <c r="J34" s="157"/>
      <c r="K34" s="157"/>
      <c r="L34" s="157"/>
      <c r="M34" s="157"/>
      <c r="N34" s="157"/>
      <c r="O34" s="157"/>
      <c r="P34" s="157"/>
      <c r="Q34" s="157"/>
      <c r="R34" s="157"/>
      <c r="S34" s="157"/>
      <c r="T34" s="157"/>
      <c r="U34" s="157"/>
      <c r="V34" s="157"/>
      <c r="W34" s="158"/>
    </row>
    <row r="35" spans="1:23" ht="22.5" customHeight="1"/>
    <row r="36" spans="1:23" ht="22.5" customHeight="1"/>
    <row r="37" spans="1:23" ht="22.5" customHeight="1"/>
    <row r="38" spans="1:23" ht="22.5" customHeight="1"/>
    <row r="39" spans="1:23" ht="17.25" customHeight="1"/>
    <row r="40" spans="1:23" ht="17.25" customHeight="1"/>
    <row r="41" spans="1:23" ht="17.25" customHeight="1"/>
    <row r="42" spans="1:23" ht="17.25" customHeight="1"/>
    <row r="43" spans="1:23" ht="17.25" customHeight="1"/>
    <row r="44" spans="1:23" ht="17.25" customHeight="1"/>
    <row r="45" spans="1:23" ht="17.25" customHeight="1"/>
    <row r="46" spans="1:23" ht="17.25" customHeight="1"/>
    <row r="47" spans="1:23" ht="17.25" customHeight="1"/>
    <row r="48" spans="1:23"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sheetData>
  <mergeCells count="22">
    <mergeCell ref="B31:W31"/>
    <mergeCell ref="B32:W32"/>
    <mergeCell ref="B33:W33"/>
    <mergeCell ref="B34:W34"/>
    <mergeCell ref="B25:W25"/>
    <mergeCell ref="B26:W26"/>
    <mergeCell ref="B27:W27"/>
    <mergeCell ref="B28:W28"/>
    <mergeCell ref="B29:W29"/>
    <mergeCell ref="B30:W30"/>
    <mergeCell ref="B24:W24"/>
    <mergeCell ref="A2:A12"/>
    <mergeCell ref="B14:W14"/>
    <mergeCell ref="B15:W15"/>
    <mergeCell ref="B16:W16"/>
    <mergeCell ref="B17:W17"/>
    <mergeCell ref="B18:W18"/>
    <mergeCell ref="B19:W19"/>
    <mergeCell ref="B20:W20"/>
    <mergeCell ref="B21:W21"/>
    <mergeCell ref="B22:W22"/>
    <mergeCell ref="B23:W23"/>
  </mergeCells>
  <phoneticPr fontId="1"/>
  <dataValidations count="3">
    <dataValidation type="list" allowBlank="1" showDropDown="1" showInputMessage="1" showErrorMessage="1" sqref="D2:W11">
      <formula1>$X$2:$X$5</formula1>
    </dataValidation>
    <dataValidation type="list" allowBlank="1" showDropDown="1" showInputMessage="1" showErrorMessage="1" errorTitle="文字エラー" error="半角数字1～5か、評価不能の場合は-（半角マイナス）を入れて下さい。" sqref="D12:W12">
      <formula1>$Y$2:$Y$7</formula1>
    </dataValidation>
    <dataValidation type="list" allowBlank="1" showDropDown="1" showInputMessage="1" showErrorMessage="1" errorTitle="文字エラー" error="半角数字1～5を入れて下さい。_x000a_文字列ではなく数値で入力して下さい。" sqref="D13:W13">
      <formula1>$Y$2:$Y$7</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sheetPr>
  <dimension ref="A1:Y188"/>
  <sheetViews>
    <sheetView workbookViewId="0">
      <selection sqref="A1:XFD1048576"/>
    </sheetView>
  </sheetViews>
  <sheetFormatPr defaultRowHeight="13.5"/>
  <cols>
    <col min="1" max="1" width="13.5" style="8" customWidth="1"/>
    <col min="2" max="2" width="79.125" style="8" customWidth="1"/>
    <col min="3" max="3" width="9.375" style="8" customWidth="1"/>
    <col min="4" max="23" width="4.125" style="8" customWidth="1"/>
    <col min="24" max="16384" width="9" style="8"/>
  </cols>
  <sheetData>
    <row r="1" spans="1:25" ht="85.5" customHeight="1">
      <c r="A1" s="33" t="str">
        <f ca="1">MID(CELL("filename",A1),FIND("[",CELL("filename",A1))+1,3)</f>
        <v>２－１</v>
      </c>
      <c r="B1" s="34" t="str">
        <f ca="1">RIGHT(CELL("filename",B1),LEN(CELL("filename",B1))-FIND("]",CELL("filename",B1)))</f>
        <v>図工</v>
      </c>
      <c r="C1" s="35" t="s">
        <v>26</v>
      </c>
      <c r="D1" s="36" t="str">
        <f>A15</f>
        <v>市田 琴春</v>
      </c>
      <c r="E1" s="36" t="str">
        <f>A16</f>
        <v>伊藤 百音</v>
      </c>
      <c r="F1" s="36" t="str">
        <f>A17</f>
        <v>岩下 美音</v>
      </c>
      <c r="G1" s="36" t="str">
        <f>A18</f>
        <v>大澤 涼真</v>
      </c>
      <c r="H1" s="36" t="str">
        <f>A19</f>
        <v>笠原 由楓</v>
      </c>
      <c r="I1" s="36" t="str">
        <f>A20</f>
        <v>芝田 人慈</v>
      </c>
      <c r="J1" s="36" t="str">
        <f>A21</f>
        <v>菅谷 彩桜</v>
      </c>
      <c r="K1" s="36" t="str">
        <f>A22</f>
        <v>中川 杏</v>
      </c>
      <c r="L1" s="36" t="str">
        <f>A23</f>
        <v>原田 絢匡</v>
      </c>
      <c r="M1" s="36" t="str">
        <f>A24</f>
        <v>藤本 慎士</v>
      </c>
      <c r="N1" s="36" t="str">
        <f>A25</f>
        <v>古畑 睦季</v>
      </c>
      <c r="O1" s="36" t="str">
        <f>A26</f>
        <v>三澤 昊來</v>
      </c>
      <c r="P1" s="36" t="str">
        <f>A27</f>
        <v>吉村 騰堂</v>
      </c>
      <c r="Q1" s="36">
        <f>A28</f>
        <v>0</v>
      </c>
      <c r="R1" s="36">
        <f>A29</f>
        <v>0</v>
      </c>
      <c r="S1" s="36">
        <f>A30</f>
        <v>0</v>
      </c>
      <c r="T1" s="36">
        <f>A31</f>
        <v>0</v>
      </c>
      <c r="U1" s="36">
        <f>A32</f>
        <v>0</v>
      </c>
      <c r="V1" s="36">
        <f>A33</f>
        <v>0</v>
      </c>
      <c r="W1" s="36">
        <f>A34</f>
        <v>0</v>
      </c>
      <c r="X1" s="37"/>
    </row>
    <row r="2" spans="1:25" ht="22.5" customHeight="1">
      <c r="A2" s="159" t="s">
        <v>186</v>
      </c>
      <c r="B2" s="85" t="s">
        <v>187</v>
      </c>
      <c r="C2" s="38" t="s">
        <v>27</v>
      </c>
      <c r="D2" s="39" t="s">
        <v>75</v>
      </c>
      <c r="E2" s="39" t="s">
        <v>75</v>
      </c>
      <c r="F2" s="39" t="s">
        <v>75</v>
      </c>
      <c r="G2" s="39" t="s">
        <v>75</v>
      </c>
      <c r="H2" s="39" t="s">
        <v>75</v>
      </c>
      <c r="I2" s="39" t="s">
        <v>75</v>
      </c>
      <c r="J2" s="39" t="s">
        <v>75</v>
      </c>
      <c r="K2" s="39" t="s">
        <v>75</v>
      </c>
      <c r="L2" s="39" t="s">
        <v>75</v>
      </c>
      <c r="M2" s="39" t="s">
        <v>75</v>
      </c>
      <c r="N2" s="39" t="s">
        <v>75</v>
      </c>
      <c r="O2" s="39" t="s">
        <v>75</v>
      </c>
      <c r="P2" s="39" t="s">
        <v>75</v>
      </c>
      <c r="Q2" s="39"/>
      <c r="R2" s="39"/>
      <c r="S2" s="39"/>
      <c r="T2" s="39"/>
      <c r="U2" s="39"/>
      <c r="V2" s="39"/>
      <c r="W2" s="39"/>
      <c r="X2" s="40" t="s">
        <v>75</v>
      </c>
      <c r="Y2" s="40">
        <v>1</v>
      </c>
    </row>
    <row r="3" spans="1:25" ht="22.5" customHeight="1">
      <c r="A3" s="160"/>
      <c r="B3" s="85" t="s">
        <v>171</v>
      </c>
      <c r="C3" s="38" t="s">
        <v>27</v>
      </c>
      <c r="D3" s="39" t="s">
        <v>75</v>
      </c>
      <c r="E3" s="39" t="s">
        <v>75</v>
      </c>
      <c r="F3" s="39" t="s">
        <v>75</v>
      </c>
      <c r="G3" s="39" t="s">
        <v>134</v>
      </c>
      <c r="H3" s="39" t="s">
        <v>75</v>
      </c>
      <c r="I3" s="39" t="s">
        <v>134</v>
      </c>
      <c r="J3" s="39" t="s">
        <v>75</v>
      </c>
      <c r="K3" s="39" t="s">
        <v>75</v>
      </c>
      <c r="L3" s="39" t="s">
        <v>75</v>
      </c>
      <c r="M3" s="39" t="s">
        <v>75</v>
      </c>
      <c r="N3" s="39" t="s">
        <v>134</v>
      </c>
      <c r="O3" s="39" t="s">
        <v>75</v>
      </c>
      <c r="P3" s="39" t="s">
        <v>75</v>
      </c>
      <c r="Q3" s="39"/>
      <c r="R3" s="39"/>
      <c r="S3" s="39"/>
      <c r="T3" s="39"/>
      <c r="U3" s="39"/>
      <c r="V3" s="39"/>
      <c r="W3" s="39"/>
      <c r="X3" s="40" t="s">
        <v>134</v>
      </c>
      <c r="Y3" s="40">
        <v>2</v>
      </c>
    </row>
    <row r="4" spans="1:25" ht="22.5" customHeight="1">
      <c r="A4" s="160"/>
      <c r="B4" s="85" t="s">
        <v>156</v>
      </c>
      <c r="C4" s="38" t="s">
        <v>27</v>
      </c>
      <c r="D4" s="39" t="s">
        <v>134</v>
      </c>
      <c r="E4" s="39" t="s">
        <v>75</v>
      </c>
      <c r="F4" s="39" t="s">
        <v>75</v>
      </c>
      <c r="G4" s="39" t="s">
        <v>75</v>
      </c>
      <c r="H4" s="39" t="s">
        <v>75</v>
      </c>
      <c r="I4" s="39" t="s">
        <v>75</v>
      </c>
      <c r="J4" s="39" t="s">
        <v>134</v>
      </c>
      <c r="K4" s="39" t="s">
        <v>75</v>
      </c>
      <c r="L4" s="39" t="s">
        <v>134</v>
      </c>
      <c r="M4" s="39" t="s">
        <v>134</v>
      </c>
      <c r="N4" s="39" t="s">
        <v>75</v>
      </c>
      <c r="O4" s="39" t="s">
        <v>75</v>
      </c>
      <c r="P4" s="39" t="s">
        <v>75</v>
      </c>
      <c r="Q4" s="39"/>
      <c r="R4" s="39"/>
      <c r="S4" s="39"/>
      <c r="T4" s="39"/>
      <c r="U4" s="39"/>
      <c r="V4" s="39"/>
      <c r="W4" s="39"/>
      <c r="X4" s="40" t="s">
        <v>136</v>
      </c>
      <c r="Y4" s="40">
        <v>3</v>
      </c>
    </row>
    <row r="5" spans="1:25" ht="22.5" customHeight="1">
      <c r="A5" s="160"/>
      <c r="B5" s="81" t="s">
        <v>157</v>
      </c>
      <c r="C5" s="38" t="s">
        <v>27</v>
      </c>
      <c r="D5" s="39" t="s">
        <v>75</v>
      </c>
      <c r="E5" s="39" t="s">
        <v>75</v>
      </c>
      <c r="F5" s="39" t="s">
        <v>152</v>
      </c>
      <c r="G5" s="39" t="s">
        <v>152</v>
      </c>
      <c r="H5" s="39" t="s">
        <v>152</v>
      </c>
      <c r="I5" s="39" t="s">
        <v>152</v>
      </c>
      <c r="J5" s="39" t="s">
        <v>152</v>
      </c>
      <c r="K5" s="39" t="s">
        <v>152</v>
      </c>
      <c r="L5" s="39" t="s">
        <v>152</v>
      </c>
      <c r="M5" s="39" t="s">
        <v>152</v>
      </c>
      <c r="N5" s="39" t="s">
        <v>152</v>
      </c>
      <c r="O5" s="39" t="s">
        <v>152</v>
      </c>
      <c r="P5" s="39" t="s">
        <v>152</v>
      </c>
      <c r="Q5" s="39"/>
      <c r="R5" s="39"/>
      <c r="S5" s="39"/>
      <c r="T5" s="39"/>
      <c r="U5" s="39"/>
      <c r="V5" s="39"/>
      <c r="W5" s="39"/>
      <c r="X5" s="40" t="s">
        <v>154</v>
      </c>
      <c r="Y5" s="40">
        <v>4</v>
      </c>
    </row>
    <row r="6" spans="1:25" ht="22.5" customHeight="1">
      <c r="A6" s="160"/>
      <c r="B6" s="41"/>
      <c r="C6" s="38" t="s">
        <v>27</v>
      </c>
      <c r="D6" s="39"/>
      <c r="E6" s="39"/>
      <c r="F6" s="39"/>
      <c r="G6" s="39"/>
      <c r="H6" s="39"/>
      <c r="I6" s="39"/>
      <c r="J6" s="39"/>
      <c r="K6" s="39"/>
      <c r="L6" s="39"/>
      <c r="M6" s="39"/>
      <c r="N6" s="39"/>
      <c r="O6" s="39"/>
      <c r="P6" s="39"/>
      <c r="Q6" s="39"/>
      <c r="R6" s="39"/>
      <c r="S6" s="39"/>
      <c r="T6" s="39"/>
      <c r="U6" s="39"/>
      <c r="V6" s="39"/>
      <c r="W6" s="39"/>
      <c r="X6" s="40"/>
      <c r="Y6" s="40">
        <v>5</v>
      </c>
    </row>
    <row r="7" spans="1:25" ht="22.5" customHeight="1">
      <c r="A7" s="160"/>
      <c r="B7" s="41"/>
      <c r="C7" s="38" t="s">
        <v>27</v>
      </c>
      <c r="D7" s="39"/>
      <c r="E7" s="39"/>
      <c r="F7" s="39"/>
      <c r="G7" s="39"/>
      <c r="H7" s="39"/>
      <c r="I7" s="39"/>
      <c r="J7" s="39"/>
      <c r="K7" s="39"/>
      <c r="L7" s="39"/>
      <c r="M7" s="39"/>
      <c r="N7" s="39"/>
      <c r="O7" s="39"/>
      <c r="P7" s="39"/>
      <c r="Q7" s="39"/>
      <c r="R7" s="39"/>
      <c r="S7" s="39"/>
      <c r="T7" s="39"/>
      <c r="U7" s="39"/>
      <c r="V7" s="39"/>
      <c r="W7" s="39"/>
      <c r="X7" s="40"/>
      <c r="Y7" s="40" t="s">
        <v>154</v>
      </c>
    </row>
    <row r="8" spans="1:25" ht="22.5" customHeight="1">
      <c r="A8" s="160"/>
      <c r="B8" s="41"/>
      <c r="C8" s="38" t="s">
        <v>27</v>
      </c>
      <c r="D8" s="39"/>
      <c r="E8" s="39"/>
      <c r="F8" s="39"/>
      <c r="G8" s="39"/>
      <c r="H8" s="39"/>
      <c r="I8" s="39"/>
      <c r="J8" s="39"/>
      <c r="K8" s="39"/>
      <c r="L8" s="39"/>
      <c r="M8" s="39"/>
      <c r="N8" s="39"/>
      <c r="O8" s="39"/>
      <c r="P8" s="39"/>
      <c r="Q8" s="39"/>
      <c r="R8" s="39"/>
      <c r="S8" s="39"/>
      <c r="T8" s="39"/>
      <c r="U8" s="39"/>
      <c r="V8" s="39"/>
      <c r="W8" s="39"/>
    </row>
    <row r="9" spans="1:25" ht="22.5" customHeight="1">
      <c r="A9" s="160"/>
      <c r="B9" s="41"/>
      <c r="C9" s="38" t="s">
        <v>27</v>
      </c>
      <c r="D9" s="39"/>
      <c r="E9" s="39"/>
      <c r="F9" s="39"/>
      <c r="G9" s="39"/>
      <c r="H9" s="39"/>
      <c r="I9" s="39"/>
      <c r="J9" s="39"/>
      <c r="K9" s="39"/>
      <c r="L9" s="39"/>
      <c r="M9" s="39"/>
      <c r="N9" s="39"/>
      <c r="O9" s="39"/>
      <c r="P9" s="39"/>
      <c r="Q9" s="39"/>
      <c r="R9" s="39"/>
      <c r="S9" s="39"/>
      <c r="T9" s="39"/>
      <c r="U9" s="39"/>
      <c r="V9" s="39"/>
      <c r="W9" s="39"/>
    </row>
    <row r="10" spans="1:25" ht="22.5" customHeight="1">
      <c r="A10" s="160"/>
      <c r="B10" s="41"/>
      <c r="C10" s="38" t="s">
        <v>27</v>
      </c>
      <c r="D10" s="39"/>
      <c r="E10" s="39"/>
      <c r="F10" s="39"/>
      <c r="G10" s="39"/>
      <c r="H10" s="39"/>
      <c r="I10" s="39"/>
      <c r="J10" s="39"/>
      <c r="K10" s="39"/>
      <c r="L10" s="39"/>
      <c r="M10" s="39"/>
      <c r="N10" s="39"/>
      <c r="O10" s="39"/>
      <c r="P10" s="39"/>
      <c r="Q10" s="39"/>
      <c r="R10" s="39"/>
      <c r="S10" s="39"/>
      <c r="T10" s="39"/>
      <c r="U10" s="39"/>
      <c r="V10" s="39"/>
      <c r="W10" s="39"/>
    </row>
    <row r="11" spans="1:25" ht="22.5" customHeight="1">
      <c r="A11" s="160"/>
      <c r="B11" s="41"/>
      <c r="C11" s="38" t="s">
        <v>27</v>
      </c>
      <c r="D11" s="39"/>
      <c r="E11" s="39"/>
      <c r="F11" s="39"/>
      <c r="G11" s="39"/>
      <c r="H11" s="39"/>
      <c r="I11" s="39"/>
      <c r="J11" s="39"/>
      <c r="K11" s="39"/>
      <c r="L11" s="39"/>
      <c r="M11" s="39"/>
      <c r="N11" s="39"/>
      <c r="O11" s="39"/>
      <c r="P11" s="39"/>
      <c r="Q11" s="39"/>
      <c r="R11" s="39"/>
      <c r="S11" s="39"/>
      <c r="T11" s="39"/>
      <c r="U11" s="39"/>
      <c r="V11" s="39"/>
      <c r="W11" s="39"/>
    </row>
    <row r="12" spans="1:25" ht="30" customHeight="1">
      <c r="A12" s="161"/>
      <c r="B12" s="42"/>
      <c r="C12" s="43" t="s">
        <v>28</v>
      </c>
      <c r="D12" s="39">
        <v>4</v>
      </c>
      <c r="E12" s="39">
        <v>5</v>
      </c>
      <c r="F12" s="39">
        <v>5</v>
      </c>
      <c r="G12" s="39">
        <v>4</v>
      </c>
      <c r="H12" s="39">
        <v>5</v>
      </c>
      <c r="I12" s="39">
        <v>4</v>
      </c>
      <c r="J12" s="39">
        <v>4</v>
      </c>
      <c r="K12" s="39">
        <v>5</v>
      </c>
      <c r="L12" s="39">
        <v>4</v>
      </c>
      <c r="M12" s="39">
        <v>4</v>
      </c>
      <c r="N12" s="39">
        <v>4</v>
      </c>
      <c r="O12" s="39">
        <v>5</v>
      </c>
      <c r="P12" s="39">
        <v>5</v>
      </c>
      <c r="Q12" s="39"/>
      <c r="R12" s="39"/>
      <c r="S12" s="39"/>
      <c r="T12" s="39"/>
      <c r="U12" s="39"/>
      <c r="V12" s="39"/>
      <c r="W12" s="39"/>
    </row>
    <row r="13" spans="1:25" ht="26.25" customHeight="1">
      <c r="A13" s="44"/>
      <c r="B13" s="44"/>
      <c r="C13" s="73" t="s">
        <v>54</v>
      </c>
      <c r="D13" s="39"/>
      <c r="E13" s="39"/>
      <c r="F13" s="39"/>
      <c r="G13" s="39"/>
      <c r="H13" s="39"/>
      <c r="I13" s="39"/>
      <c r="J13" s="39"/>
      <c r="K13" s="39"/>
      <c r="L13" s="39"/>
      <c r="M13" s="39"/>
      <c r="N13" s="39"/>
      <c r="O13" s="39"/>
      <c r="P13" s="39"/>
      <c r="Q13" s="39"/>
      <c r="R13" s="74"/>
      <c r="S13" s="74"/>
      <c r="T13" s="74"/>
      <c r="U13" s="74"/>
      <c r="V13" s="74"/>
      <c r="W13" s="74"/>
    </row>
    <row r="14" spans="1:25" ht="22.5" customHeight="1">
      <c r="A14" s="45" t="s">
        <v>29</v>
      </c>
      <c r="B14" s="162" t="s">
        <v>30</v>
      </c>
      <c r="C14" s="163"/>
      <c r="D14" s="163"/>
      <c r="E14" s="163"/>
      <c r="F14" s="163"/>
      <c r="G14" s="163"/>
      <c r="H14" s="163"/>
      <c r="I14" s="163"/>
      <c r="J14" s="163"/>
      <c r="K14" s="163"/>
      <c r="L14" s="163"/>
      <c r="M14" s="163"/>
      <c r="N14" s="163"/>
      <c r="O14" s="163"/>
      <c r="P14" s="163"/>
      <c r="Q14" s="163"/>
      <c r="R14" s="163"/>
      <c r="S14" s="163"/>
      <c r="T14" s="163"/>
      <c r="U14" s="163"/>
      <c r="V14" s="163"/>
      <c r="W14" s="164"/>
    </row>
    <row r="15" spans="1:25" ht="59.25" customHeight="1">
      <c r="A15" s="46" t="s">
        <v>80</v>
      </c>
      <c r="B15" s="156" t="s">
        <v>188</v>
      </c>
      <c r="C15" s="157"/>
      <c r="D15" s="157"/>
      <c r="E15" s="157"/>
      <c r="F15" s="157"/>
      <c r="G15" s="157"/>
      <c r="H15" s="157"/>
      <c r="I15" s="157"/>
      <c r="J15" s="157"/>
      <c r="K15" s="157"/>
      <c r="L15" s="157"/>
      <c r="M15" s="157"/>
      <c r="N15" s="157"/>
      <c r="O15" s="157"/>
      <c r="P15" s="157"/>
      <c r="Q15" s="157"/>
      <c r="R15" s="157"/>
      <c r="S15" s="157"/>
      <c r="T15" s="157"/>
      <c r="U15" s="157"/>
      <c r="V15" s="157"/>
      <c r="W15" s="158"/>
    </row>
    <row r="16" spans="1:25" ht="59.25" customHeight="1">
      <c r="A16" s="46" t="s">
        <v>81</v>
      </c>
      <c r="B16" s="156" t="s">
        <v>172</v>
      </c>
      <c r="C16" s="157"/>
      <c r="D16" s="157"/>
      <c r="E16" s="157"/>
      <c r="F16" s="157"/>
      <c r="G16" s="157"/>
      <c r="H16" s="157"/>
      <c r="I16" s="157"/>
      <c r="J16" s="157"/>
      <c r="K16" s="157"/>
      <c r="L16" s="157"/>
      <c r="M16" s="157"/>
      <c r="N16" s="157"/>
      <c r="O16" s="157"/>
      <c r="P16" s="157"/>
      <c r="Q16" s="157"/>
      <c r="R16" s="157"/>
      <c r="S16" s="157"/>
      <c r="T16" s="157"/>
      <c r="U16" s="157"/>
      <c r="V16" s="157"/>
      <c r="W16" s="158"/>
    </row>
    <row r="17" spans="1:23" ht="59.25" customHeight="1">
      <c r="A17" s="46" t="s">
        <v>82</v>
      </c>
      <c r="B17" s="156" t="s">
        <v>189</v>
      </c>
      <c r="C17" s="157"/>
      <c r="D17" s="157"/>
      <c r="E17" s="157"/>
      <c r="F17" s="157"/>
      <c r="G17" s="157"/>
      <c r="H17" s="157"/>
      <c r="I17" s="157"/>
      <c r="J17" s="157"/>
      <c r="K17" s="157"/>
      <c r="L17" s="157"/>
      <c r="M17" s="157"/>
      <c r="N17" s="157"/>
      <c r="O17" s="157"/>
      <c r="P17" s="157"/>
      <c r="Q17" s="157"/>
      <c r="R17" s="157"/>
      <c r="S17" s="157"/>
      <c r="T17" s="157"/>
      <c r="U17" s="157"/>
      <c r="V17" s="157"/>
      <c r="W17" s="158"/>
    </row>
    <row r="18" spans="1:23" ht="59.25" customHeight="1">
      <c r="A18" s="46" t="s">
        <v>83</v>
      </c>
      <c r="B18" s="156" t="s">
        <v>190</v>
      </c>
      <c r="C18" s="157"/>
      <c r="D18" s="157"/>
      <c r="E18" s="157"/>
      <c r="F18" s="157"/>
      <c r="G18" s="157"/>
      <c r="H18" s="157"/>
      <c r="I18" s="157"/>
      <c r="J18" s="157"/>
      <c r="K18" s="157"/>
      <c r="L18" s="157"/>
      <c r="M18" s="157"/>
      <c r="N18" s="157"/>
      <c r="O18" s="157"/>
      <c r="P18" s="157"/>
      <c r="Q18" s="157"/>
      <c r="R18" s="157"/>
      <c r="S18" s="157"/>
      <c r="T18" s="157"/>
      <c r="U18" s="157"/>
      <c r="V18" s="157"/>
      <c r="W18" s="158"/>
    </row>
    <row r="19" spans="1:23" ht="59.25" customHeight="1">
      <c r="A19" s="46" t="s">
        <v>84</v>
      </c>
      <c r="B19" s="156" t="s">
        <v>173</v>
      </c>
      <c r="C19" s="157"/>
      <c r="D19" s="157"/>
      <c r="E19" s="157"/>
      <c r="F19" s="157"/>
      <c r="G19" s="157"/>
      <c r="H19" s="157"/>
      <c r="I19" s="157"/>
      <c r="J19" s="157"/>
      <c r="K19" s="157"/>
      <c r="L19" s="157"/>
      <c r="M19" s="157"/>
      <c r="N19" s="157"/>
      <c r="O19" s="157"/>
      <c r="P19" s="157"/>
      <c r="Q19" s="157"/>
      <c r="R19" s="157"/>
      <c r="S19" s="157"/>
      <c r="T19" s="157"/>
      <c r="U19" s="157"/>
      <c r="V19" s="157"/>
      <c r="W19" s="158"/>
    </row>
    <row r="20" spans="1:23" ht="59.25" customHeight="1">
      <c r="A20" s="46" t="s">
        <v>85</v>
      </c>
      <c r="B20" s="156" t="s">
        <v>174</v>
      </c>
      <c r="C20" s="157"/>
      <c r="D20" s="157"/>
      <c r="E20" s="157"/>
      <c r="F20" s="157"/>
      <c r="G20" s="157"/>
      <c r="H20" s="157"/>
      <c r="I20" s="157"/>
      <c r="J20" s="157"/>
      <c r="K20" s="157"/>
      <c r="L20" s="157"/>
      <c r="M20" s="157"/>
      <c r="N20" s="157"/>
      <c r="O20" s="157"/>
      <c r="P20" s="157"/>
      <c r="Q20" s="157"/>
      <c r="R20" s="157"/>
      <c r="S20" s="157"/>
      <c r="T20" s="157"/>
      <c r="U20" s="157"/>
      <c r="V20" s="157"/>
      <c r="W20" s="158"/>
    </row>
    <row r="21" spans="1:23" ht="59.25" customHeight="1">
      <c r="A21" s="46" t="s">
        <v>86</v>
      </c>
      <c r="B21" s="156" t="s">
        <v>191</v>
      </c>
      <c r="C21" s="157"/>
      <c r="D21" s="157"/>
      <c r="E21" s="157"/>
      <c r="F21" s="157"/>
      <c r="G21" s="157"/>
      <c r="H21" s="157"/>
      <c r="I21" s="157"/>
      <c r="J21" s="157"/>
      <c r="K21" s="157"/>
      <c r="L21" s="157"/>
      <c r="M21" s="157"/>
      <c r="N21" s="157"/>
      <c r="O21" s="157"/>
      <c r="P21" s="157"/>
      <c r="Q21" s="157"/>
      <c r="R21" s="157"/>
      <c r="S21" s="157"/>
      <c r="T21" s="157"/>
      <c r="U21" s="157"/>
      <c r="V21" s="157"/>
      <c r="W21" s="158"/>
    </row>
    <row r="22" spans="1:23" ht="59.25" customHeight="1">
      <c r="A22" s="46" t="s">
        <v>87</v>
      </c>
      <c r="B22" s="156" t="s">
        <v>175</v>
      </c>
      <c r="C22" s="157"/>
      <c r="D22" s="157"/>
      <c r="E22" s="157"/>
      <c r="F22" s="157"/>
      <c r="G22" s="157"/>
      <c r="H22" s="157"/>
      <c r="I22" s="157"/>
      <c r="J22" s="157"/>
      <c r="K22" s="157"/>
      <c r="L22" s="157"/>
      <c r="M22" s="157"/>
      <c r="N22" s="157"/>
      <c r="O22" s="157"/>
      <c r="P22" s="157"/>
      <c r="Q22" s="157"/>
      <c r="R22" s="157"/>
      <c r="S22" s="157"/>
      <c r="T22" s="157"/>
      <c r="U22" s="157"/>
      <c r="V22" s="157"/>
      <c r="W22" s="158"/>
    </row>
    <row r="23" spans="1:23" ht="59.25" customHeight="1">
      <c r="A23" s="46" t="s">
        <v>88</v>
      </c>
      <c r="B23" s="156" t="s">
        <v>192</v>
      </c>
      <c r="C23" s="157"/>
      <c r="D23" s="157"/>
      <c r="E23" s="157"/>
      <c r="F23" s="157"/>
      <c r="G23" s="157"/>
      <c r="H23" s="157"/>
      <c r="I23" s="157"/>
      <c r="J23" s="157"/>
      <c r="K23" s="157"/>
      <c r="L23" s="157"/>
      <c r="M23" s="157"/>
      <c r="N23" s="157"/>
      <c r="O23" s="157"/>
      <c r="P23" s="157"/>
      <c r="Q23" s="157"/>
      <c r="R23" s="157"/>
      <c r="S23" s="157"/>
      <c r="T23" s="157"/>
      <c r="U23" s="157"/>
      <c r="V23" s="157"/>
      <c r="W23" s="158"/>
    </row>
    <row r="24" spans="1:23" ht="59.25" customHeight="1">
      <c r="A24" s="46" t="s">
        <v>89</v>
      </c>
      <c r="B24" s="156" t="s">
        <v>176</v>
      </c>
      <c r="C24" s="157"/>
      <c r="D24" s="157"/>
      <c r="E24" s="157"/>
      <c r="F24" s="157"/>
      <c r="G24" s="157"/>
      <c r="H24" s="157"/>
      <c r="I24" s="157"/>
      <c r="J24" s="157"/>
      <c r="K24" s="157"/>
      <c r="L24" s="157"/>
      <c r="M24" s="157"/>
      <c r="N24" s="157"/>
      <c r="O24" s="157"/>
      <c r="P24" s="157"/>
      <c r="Q24" s="157"/>
      <c r="R24" s="157"/>
      <c r="S24" s="157"/>
      <c r="T24" s="157"/>
      <c r="U24" s="157"/>
      <c r="V24" s="157"/>
      <c r="W24" s="158"/>
    </row>
    <row r="25" spans="1:23" ht="59.25" customHeight="1">
      <c r="A25" s="46" t="s">
        <v>90</v>
      </c>
      <c r="B25" s="156" t="s">
        <v>193</v>
      </c>
      <c r="C25" s="157"/>
      <c r="D25" s="157"/>
      <c r="E25" s="157"/>
      <c r="F25" s="157"/>
      <c r="G25" s="157"/>
      <c r="H25" s="157"/>
      <c r="I25" s="157"/>
      <c r="J25" s="157"/>
      <c r="K25" s="157"/>
      <c r="L25" s="157"/>
      <c r="M25" s="157"/>
      <c r="N25" s="157"/>
      <c r="O25" s="157"/>
      <c r="P25" s="157"/>
      <c r="Q25" s="157"/>
      <c r="R25" s="157"/>
      <c r="S25" s="157"/>
      <c r="T25" s="157"/>
      <c r="U25" s="157"/>
      <c r="V25" s="157"/>
      <c r="W25" s="158"/>
    </row>
    <row r="26" spans="1:23" ht="59.25" customHeight="1">
      <c r="A26" s="46" t="s">
        <v>91</v>
      </c>
      <c r="B26" s="156" t="s">
        <v>194</v>
      </c>
      <c r="C26" s="157"/>
      <c r="D26" s="157"/>
      <c r="E26" s="157"/>
      <c r="F26" s="157"/>
      <c r="G26" s="157"/>
      <c r="H26" s="157"/>
      <c r="I26" s="157"/>
      <c r="J26" s="157"/>
      <c r="K26" s="157"/>
      <c r="L26" s="157"/>
      <c r="M26" s="157"/>
      <c r="N26" s="157"/>
      <c r="O26" s="157"/>
      <c r="P26" s="157"/>
      <c r="Q26" s="157"/>
      <c r="R26" s="157"/>
      <c r="S26" s="157"/>
      <c r="T26" s="157"/>
      <c r="U26" s="157"/>
      <c r="V26" s="157"/>
      <c r="W26" s="158"/>
    </row>
    <row r="27" spans="1:23" ht="59.25" customHeight="1">
      <c r="A27" s="46" t="s">
        <v>92</v>
      </c>
      <c r="B27" s="156" t="s">
        <v>158</v>
      </c>
      <c r="C27" s="157"/>
      <c r="D27" s="157"/>
      <c r="E27" s="157"/>
      <c r="F27" s="157"/>
      <c r="G27" s="157"/>
      <c r="H27" s="157"/>
      <c r="I27" s="157"/>
      <c r="J27" s="157"/>
      <c r="K27" s="157"/>
      <c r="L27" s="157"/>
      <c r="M27" s="157"/>
      <c r="N27" s="157"/>
      <c r="O27" s="157"/>
      <c r="P27" s="157"/>
      <c r="Q27" s="157"/>
      <c r="R27" s="157"/>
      <c r="S27" s="157"/>
      <c r="T27" s="157"/>
      <c r="U27" s="157"/>
      <c r="V27" s="157"/>
      <c r="W27" s="158"/>
    </row>
    <row r="28" spans="1:23" ht="59.25" customHeight="1">
      <c r="A28" s="46"/>
      <c r="B28" s="156"/>
      <c r="C28" s="157"/>
      <c r="D28" s="157"/>
      <c r="E28" s="157"/>
      <c r="F28" s="157"/>
      <c r="G28" s="157"/>
      <c r="H28" s="157"/>
      <c r="I28" s="157"/>
      <c r="J28" s="157"/>
      <c r="K28" s="157"/>
      <c r="L28" s="157"/>
      <c r="M28" s="157"/>
      <c r="N28" s="157"/>
      <c r="O28" s="157"/>
      <c r="P28" s="157"/>
      <c r="Q28" s="157"/>
      <c r="R28" s="157"/>
      <c r="S28" s="157"/>
      <c r="T28" s="157"/>
      <c r="U28" s="157"/>
      <c r="V28" s="157"/>
      <c r="W28" s="158"/>
    </row>
    <row r="29" spans="1:23" ht="59.25" customHeight="1">
      <c r="A29" s="46"/>
      <c r="B29" s="156"/>
      <c r="C29" s="157"/>
      <c r="D29" s="157"/>
      <c r="E29" s="157"/>
      <c r="F29" s="157"/>
      <c r="G29" s="157"/>
      <c r="H29" s="157"/>
      <c r="I29" s="157"/>
      <c r="J29" s="157"/>
      <c r="K29" s="157"/>
      <c r="L29" s="157"/>
      <c r="M29" s="157"/>
      <c r="N29" s="157"/>
      <c r="O29" s="157"/>
      <c r="P29" s="157"/>
      <c r="Q29" s="157"/>
      <c r="R29" s="157"/>
      <c r="S29" s="157"/>
      <c r="T29" s="157"/>
      <c r="U29" s="157"/>
      <c r="V29" s="157"/>
      <c r="W29" s="158"/>
    </row>
    <row r="30" spans="1:23" ht="59.25" customHeight="1">
      <c r="A30" s="46"/>
      <c r="B30" s="156"/>
      <c r="C30" s="157"/>
      <c r="D30" s="157"/>
      <c r="E30" s="157"/>
      <c r="F30" s="157"/>
      <c r="G30" s="157"/>
      <c r="H30" s="157"/>
      <c r="I30" s="157"/>
      <c r="J30" s="157"/>
      <c r="K30" s="157"/>
      <c r="L30" s="157"/>
      <c r="M30" s="157"/>
      <c r="N30" s="157"/>
      <c r="O30" s="157"/>
      <c r="P30" s="157"/>
      <c r="Q30" s="157"/>
      <c r="R30" s="157"/>
      <c r="S30" s="157"/>
      <c r="T30" s="157"/>
      <c r="U30" s="157"/>
      <c r="V30" s="157"/>
      <c r="W30" s="158"/>
    </row>
    <row r="31" spans="1:23" ht="59.25" customHeight="1">
      <c r="A31" s="46"/>
      <c r="B31" s="156"/>
      <c r="C31" s="157"/>
      <c r="D31" s="157"/>
      <c r="E31" s="157"/>
      <c r="F31" s="157"/>
      <c r="G31" s="157"/>
      <c r="H31" s="157"/>
      <c r="I31" s="157"/>
      <c r="J31" s="157"/>
      <c r="K31" s="157"/>
      <c r="L31" s="157"/>
      <c r="M31" s="157"/>
      <c r="N31" s="157"/>
      <c r="O31" s="157"/>
      <c r="P31" s="157"/>
      <c r="Q31" s="157"/>
      <c r="R31" s="157"/>
      <c r="S31" s="157"/>
      <c r="T31" s="157"/>
      <c r="U31" s="157"/>
      <c r="V31" s="157"/>
      <c r="W31" s="158"/>
    </row>
    <row r="32" spans="1:23" ht="59.25" customHeight="1">
      <c r="A32" s="46"/>
      <c r="B32" s="156"/>
      <c r="C32" s="157"/>
      <c r="D32" s="157"/>
      <c r="E32" s="157"/>
      <c r="F32" s="157"/>
      <c r="G32" s="157"/>
      <c r="H32" s="157"/>
      <c r="I32" s="157"/>
      <c r="J32" s="157"/>
      <c r="K32" s="157"/>
      <c r="L32" s="157"/>
      <c r="M32" s="157"/>
      <c r="N32" s="157"/>
      <c r="O32" s="157"/>
      <c r="P32" s="157"/>
      <c r="Q32" s="157"/>
      <c r="R32" s="157"/>
      <c r="S32" s="157"/>
      <c r="T32" s="157"/>
      <c r="U32" s="157"/>
      <c r="V32" s="157"/>
      <c r="W32" s="158"/>
    </row>
    <row r="33" spans="1:23" ht="59.25" customHeight="1">
      <c r="A33" s="46"/>
      <c r="B33" s="156"/>
      <c r="C33" s="157"/>
      <c r="D33" s="157"/>
      <c r="E33" s="157"/>
      <c r="F33" s="157"/>
      <c r="G33" s="157"/>
      <c r="H33" s="157"/>
      <c r="I33" s="157"/>
      <c r="J33" s="157"/>
      <c r="K33" s="157"/>
      <c r="L33" s="157"/>
      <c r="M33" s="157"/>
      <c r="N33" s="157"/>
      <c r="O33" s="157"/>
      <c r="P33" s="157"/>
      <c r="Q33" s="157"/>
      <c r="R33" s="157"/>
      <c r="S33" s="157"/>
      <c r="T33" s="157"/>
      <c r="U33" s="157"/>
      <c r="V33" s="157"/>
      <c r="W33" s="158"/>
    </row>
    <row r="34" spans="1:23" ht="59.25" customHeight="1">
      <c r="A34" s="46"/>
      <c r="B34" s="156"/>
      <c r="C34" s="157"/>
      <c r="D34" s="157"/>
      <c r="E34" s="157"/>
      <c r="F34" s="157"/>
      <c r="G34" s="157"/>
      <c r="H34" s="157"/>
      <c r="I34" s="157"/>
      <c r="J34" s="157"/>
      <c r="K34" s="157"/>
      <c r="L34" s="157"/>
      <c r="M34" s="157"/>
      <c r="N34" s="157"/>
      <c r="O34" s="157"/>
      <c r="P34" s="157"/>
      <c r="Q34" s="157"/>
      <c r="R34" s="157"/>
      <c r="S34" s="157"/>
      <c r="T34" s="157"/>
      <c r="U34" s="157"/>
      <c r="V34" s="157"/>
      <c r="W34" s="158"/>
    </row>
    <row r="35" spans="1:23" ht="22.5" customHeight="1"/>
    <row r="36" spans="1:23" ht="22.5" customHeight="1"/>
    <row r="37" spans="1:23" ht="22.5" customHeight="1"/>
    <row r="38" spans="1:23" ht="22.5" customHeight="1"/>
    <row r="39" spans="1:23" ht="17.25" customHeight="1"/>
    <row r="40" spans="1:23" ht="17.25" customHeight="1"/>
    <row r="41" spans="1:23" ht="17.25" customHeight="1"/>
    <row r="42" spans="1:23" ht="17.25" customHeight="1"/>
    <row r="43" spans="1:23" ht="17.25" customHeight="1"/>
    <row r="44" spans="1:23" ht="17.25" customHeight="1"/>
    <row r="45" spans="1:23" ht="17.25" customHeight="1"/>
    <row r="46" spans="1:23" ht="17.25" customHeight="1"/>
    <row r="47" spans="1:23" ht="17.25" customHeight="1"/>
    <row r="48" spans="1:23"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sheetData>
  <mergeCells count="22">
    <mergeCell ref="B31:W31"/>
    <mergeCell ref="B32:W32"/>
    <mergeCell ref="B33:W33"/>
    <mergeCell ref="B34:W34"/>
    <mergeCell ref="B25:W25"/>
    <mergeCell ref="B26:W26"/>
    <mergeCell ref="B27:W27"/>
    <mergeCell ref="B28:W28"/>
    <mergeCell ref="B29:W29"/>
    <mergeCell ref="B30:W30"/>
    <mergeCell ref="B24:W24"/>
    <mergeCell ref="A2:A12"/>
    <mergeCell ref="B14:W14"/>
    <mergeCell ref="B15:W15"/>
    <mergeCell ref="B16:W16"/>
    <mergeCell ref="B17:W17"/>
    <mergeCell ref="B18:W18"/>
    <mergeCell ref="B19:W19"/>
    <mergeCell ref="B20:W20"/>
    <mergeCell ref="B21:W21"/>
    <mergeCell ref="B22:W22"/>
    <mergeCell ref="B23:W23"/>
  </mergeCells>
  <phoneticPr fontId="1"/>
  <dataValidations count="4">
    <dataValidation type="list" allowBlank="1" showDropDown="1" showInputMessage="1" showErrorMessage="1" errorTitle="文字エラー" error="半角数字1～5か、評価不能の場合は-（半角マイナス）を入れて下さい。" sqref="D12:W12">
      <formula1>$Y$2:$Y$7</formula1>
    </dataValidation>
    <dataValidation type="list" allowBlank="1" showDropDown="1" showInputMessage="1" showErrorMessage="1" errorTitle="文字エラー" error="半角数字1～5を入れて下さい。_x000a_文字列ではなく数値で入力して下さい。" sqref="D13:W13">
      <formula1>$Y$2:$Y$7</formula1>
    </dataValidation>
    <dataValidation type="list" allowBlank="1" showDropDown="1" showInputMessage="1" showErrorMessage="1" errorTitle="全角文字エラー" error="半角ABCを入れて下さい" sqref="V2:W11">
      <formula1>$X$2:$X$5</formula1>
    </dataValidation>
    <dataValidation type="list" allowBlank="1" showDropDown="1" showInputMessage="1" showErrorMessage="1" errorTitle="全角文字エラー" error="半角ABCを入れて下さい" sqref="D2:U11">
      <formula1>$X$2:$X$4</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1"/>
  </sheetPr>
  <dimension ref="A1:Y188"/>
  <sheetViews>
    <sheetView workbookViewId="0">
      <selection sqref="A1:XFD1048576"/>
    </sheetView>
  </sheetViews>
  <sheetFormatPr defaultRowHeight="13.5"/>
  <cols>
    <col min="1" max="1" width="13.5" style="8" customWidth="1"/>
    <col min="2" max="2" width="79.125" style="8" customWidth="1"/>
    <col min="3" max="3" width="9.375" style="8" customWidth="1"/>
    <col min="4" max="23" width="4.125" style="8" customWidth="1"/>
    <col min="24" max="16384" width="9" style="8"/>
  </cols>
  <sheetData>
    <row r="1" spans="1:25" ht="85.5" customHeight="1">
      <c r="A1" s="33" t="str">
        <f ca="1">MID(CELL("filename",A1),FIND("[",CELL("filename",A1))+1,3)</f>
        <v>２－１</v>
      </c>
      <c r="B1" s="34" t="str">
        <f ca="1">RIGHT(CELL("filename",B1),LEN(CELL("filename",B1))-FIND("]",CELL("filename",B1)))</f>
        <v>体育</v>
      </c>
      <c r="C1" s="35" t="s">
        <v>26</v>
      </c>
      <c r="D1" s="36" t="str">
        <f>A15</f>
        <v>市田 琴春</v>
      </c>
      <c r="E1" s="36" t="str">
        <f>A16</f>
        <v>伊藤 百音</v>
      </c>
      <c r="F1" s="36" t="str">
        <f>A17</f>
        <v>岩下 美音</v>
      </c>
      <c r="G1" s="36" t="str">
        <f>A18</f>
        <v>大澤 涼真</v>
      </c>
      <c r="H1" s="36" t="str">
        <f>A19</f>
        <v>笠原 由楓</v>
      </c>
      <c r="I1" s="36" t="str">
        <f>A20</f>
        <v>芝田 人慈</v>
      </c>
      <c r="J1" s="36" t="str">
        <f>A21</f>
        <v>菅谷 彩桜</v>
      </c>
      <c r="K1" s="36" t="str">
        <f>A22</f>
        <v>中川 杏</v>
      </c>
      <c r="L1" s="36" t="str">
        <f>A23</f>
        <v>原田 絢匡</v>
      </c>
      <c r="M1" s="36" t="str">
        <f>A24</f>
        <v>藤本 慎士</v>
      </c>
      <c r="N1" s="36" t="str">
        <f>A25</f>
        <v>古畑 睦季</v>
      </c>
      <c r="O1" s="36" t="str">
        <f>A26</f>
        <v>三澤 昊來</v>
      </c>
      <c r="P1" s="36" t="str">
        <f>A27</f>
        <v>吉村 騰堂</v>
      </c>
      <c r="Q1" s="36">
        <f>A28</f>
        <v>0</v>
      </c>
      <c r="R1" s="36">
        <f>A29</f>
        <v>0</v>
      </c>
      <c r="S1" s="36">
        <f>A30</f>
        <v>0</v>
      </c>
      <c r="T1" s="36">
        <f>A31</f>
        <v>0</v>
      </c>
      <c r="U1" s="36">
        <f>A32</f>
        <v>0</v>
      </c>
      <c r="V1" s="36">
        <f>A33</f>
        <v>0</v>
      </c>
      <c r="W1" s="36">
        <f>A34</f>
        <v>0</v>
      </c>
      <c r="X1" s="37"/>
    </row>
    <row r="2" spans="1:25" ht="22.5" customHeight="1">
      <c r="A2" s="159" t="s">
        <v>170</v>
      </c>
      <c r="B2" s="75" t="s">
        <v>103</v>
      </c>
      <c r="C2" s="38" t="s">
        <v>27</v>
      </c>
      <c r="D2" s="39" t="s">
        <v>160</v>
      </c>
      <c r="E2" s="39" t="s">
        <v>160</v>
      </c>
      <c r="F2" s="39" t="s">
        <v>160</v>
      </c>
      <c r="G2" s="39" t="s">
        <v>159</v>
      </c>
      <c r="H2" s="39" t="s">
        <v>160</v>
      </c>
      <c r="I2" s="39" t="s">
        <v>160</v>
      </c>
      <c r="J2" s="39" t="s">
        <v>159</v>
      </c>
      <c r="K2" s="39" t="s">
        <v>152</v>
      </c>
      <c r="L2" s="39" t="s">
        <v>159</v>
      </c>
      <c r="M2" s="39" t="s">
        <v>159</v>
      </c>
      <c r="N2" s="39" t="s">
        <v>159</v>
      </c>
      <c r="O2" s="39" t="s">
        <v>75</v>
      </c>
      <c r="P2" s="39" t="s">
        <v>160</v>
      </c>
      <c r="Q2" s="39"/>
      <c r="R2" s="39"/>
      <c r="S2" s="39"/>
      <c r="T2" s="39"/>
      <c r="U2" s="39"/>
      <c r="V2" s="39"/>
      <c r="W2" s="39"/>
      <c r="X2" s="40" t="s">
        <v>152</v>
      </c>
      <c r="Y2" s="40">
        <v>1</v>
      </c>
    </row>
    <row r="3" spans="1:25" ht="22.5" customHeight="1">
      <c r="A3" s="160"/>
      <c r="B3" s="41" t="s">
        <v>104</v>
      </c>
      <c r="C3" s="38" t="s">
        <v>27</v>
      </c>
      <c r="D3" s="39" t="s">
        <v>160</v>
      </c>
      <c r="E3" s="39" t="s">
        <v>152</v>
      </c>
      <c r="F3" s="39" t="s">
        <v>152</v>
      </c>
      <c r="G3" s="39" t="s">
        <v>152</v>
      </c>
      <c r="H3" s="39" t="s">
        <v>159</v>
      </c>
      <c r="I3" s="39" t="s">
        <v>152</v>
      </c>
      <c r="J3" s="39" t="s">
        <v>160</v>
      </c>
      <c r="K3" s="39" t="s">
        <v>160</v>
      </c>
      <c r="L3" s="39" t="s">
        <v>160</v>
      </c>
      <c r="M3" s="39" t="s">
        <v>75</v>
      </c>
      <c r="N3" s="39" t="s">
        <v>159</v>
      </c>
      <c r="O3" s="39" t="s">
        <v>152</v>
      </c>
      <c r="P3" s="39" t="s">
        <v>159</v>
      </c>
      <c r="Q3" s="39"/>
      <c r="R3" s="39"/>
      <c r="S3" s="39"/>
      <c r="T3" s="39"/>
      <c r="U3" s="39"/>
      <c r="V3" s="39"/>
      <c r="W3" s="39"/>
      <c r="X3" s="40" t="s">
        <v>159</v>
      </c>
      <c r="Y3" s="40">
        <v>2</v>
      </c>
    </row>
    <row r="4" spans="1:25" ht="22.5" customHeight="1">
      <c r="A4" s="160"/>
      <c r="B4" s="41" t="s">
        <v>105</v>
      </c>
      <c r="C4" s="38" t="s">
        <v>27</v>
      </c>
      <c r="D4" s="39" t="s">
        <v>160</v>
      </c>
      <c r="E4" s="39" t="s">
        <v>152</v>
      </c>
      <c r="F4" s="39" t="s">
        <v>160</v>
      </c>
      <c r="G4" s="39" t="s">
        <v>152</v>
      </c>
      <c r="H4" s="39" t="s">
        <v>152</v>
      </c>
      <c r="I4" s="39" t="s">
        <v>152</v>
      </c>
      <c r="J4" s="39" t="s">
        <v>160</v>
      </c>
      <c r="K4" s="39" t="s">
        <v>160</v>
      </c>
      <c r="L4" s="39" t="s">
        <v>152</v>
      </c>
      <c r="M4" s="39" t="s">
        <v>160</v>
      </c>
      <c r="N4" s="39" t="s">
        <v>151</v>
      </c>
      <c r="O4" s="39" t="s">
        <v>151</v>
      </c>
      <c r="P4" s="39" t="s">
        <v>151</v>
      </c>
      <c r="Q4" s="39"/>
      <c r="R4" s="39"/>
      <c r="S4" s="39"/>
      <c r="T4" s="39"/>
      <c r="U4" s="39"/>
      <c r="V4" s="39"/>
      <c r="W4" s="39"/>
      <c r="X4" s="40" t="s">
        <v>195</v>
      </c>
      <c r="Y4" s="40">
        <v>3</v>
      </c>
    </row>
    <row r="5" spans="1:25" ht="22.5" customHeight="1">
      <c r="A5" s="160"/>
      <c r="B5" s="75" t="s">
        <v>106</v>
      </c>
      <c r="C5" s="38" t="s">
        <v>27</v>
      </c>
      <c r="D5" s="39" t="s">
        <v>152</v>
      </c>
      <c r="E5" s="39" t="s">
        <v>152</v>
      </c>
      <c r="F5" s="39" t="s">
        <v>161</v>
      </c>
      <c r="G5" s="39" t="s">
        <v>159</v>
      </c>
      <c r="H5" s="39" t="s">
        <v>152</v>
      </c>
      <c r="I5" s="39" t="s">
        <v>152</v>
      </c>
      <c r="J5" s="39" t="s">
        <v>152</v>
      </c>
      <c r="K5" s="39" t="s">
        <v>134</v>
      </c>
      <c r="L5" s="39" t="s">
        <v>152</v>
      </c>
      <c r="M5" s="39" t="s">
        <v>151</v>
      </c>
      <c r="N5" s="39" t="s">
        <v>151</v>
      </c>
      <c r="O5" s="39" t="s">
        <v>151</v>
      </c>
      <c r="P5" s="39" t="s">
        <v>152</v>
      </c>
      <c r="Q5" s="39"/>
      <c r="R5" s="39"/>
      <c r="S5" s="39"/>
      <c r="T5" s="39"/>
      <c r="U5" s="39"/>
      <c r="V5" s="39"/>
      <c r="W5" s="39"/>
      <c r="X5" s="40" t="s">
        <v>135</v>
      </c>
      <c r="Y5" s="40">
        <v>4</v>
      </c>
    </row>
    <row r="6" spans="1:25" ht="22.5" customHeight="1">
      <c r="A6" s="160"/>
      <c r="B6" s="41" t="s">
        <v>107</v>
      </c>
      <c r="C6" s="38" t="s">
        <v>27</v>
      </c>
      <c r="D6" s="39" t="s">
        <v>152</v>
      </c>
      <c r="E6" s="39" t="s">
        <v>151</v>
      </c>
      <c r="F6" s="39" t="s">
        <v>151</v>
      </c>
      <c r="G6" s="39" t="s">
        <v>152</v>
      </c>
      <c r="H6" s="39" t="s">
        <v>161</v>
      </c>
      <c r="I6" s="39" t="s">
        <v>152</v>
      </c>
      <c r="J6" s="39" t="s">
        <v>159</v>
      </c>
      <c r="K6" s="39" t="s">
        <v>152</v>
      </c>
      <c r="L6" s="39" t="s">
        <v>151</v>
      </c>
      <c r="M6" s="39" t="s">
        <v>159</v>
      </c>
      <c r="N6" s="39" t="s">
        <v>151</v>
      </c>
      <c r="O6" s="39" t="s">
        <v>152</v>
      </c>
      <c r="P6" s="39" t="s">
        <v>159</v>
      </c>
      <c r="Q6" s="39"/>
      <c r="R6" s="39"/>
      <c r="S6" s="39"/>
      <c r="T6" s="39"/>
      <c r="U6" s="39"/>
      <c r="V6" s="39"/>
      <c r="W6" s="39"/>
      <c r="X6" s="40"/>
      <c r="Y6" s="40">
        <v>5</v>
      </c>
    </row>
    <row r="7" spans="1:25" ht="22.5" customHeight="1">
      <c r="A7" s="160"/>
      <c r="B7" s="41"/>
      <c r="C7" s="38" t="s">
        <v>27</v>
      </c>
      <c r="D7" s="39"/>
      <c r="E7" s="39"/>
      <c r="F7" s="39"/>
      <c r="G7" s="39"/>
      <c r="H7" s="39"/>
      <c r="I7" s="39"/>
      <c r="J7" s="39"/>
      <c r="K7" s="39"/>
      <c r="L7" s="39"/>
      <c r="M7" s="39"/>
      <c r="N7" s="39"/>
      <c r="O7" s="39"/>
      <c r="P7" s="39"/>
      <c r="Q7" s="39"/>
      <c r="R7" s="39"/>
      <c r="S7" s="39"/>
      <c r="T7" s="39"/>
      <c r="U7" s="39"/>
      <c r="V7" s="39"/>
      <c r="W7" s="39"/>
      <c r="X7" s="40"/>
      <c r="Y7" s="40" t="s">
        <v>154</v>
      </c>
    </row>
    <row r="8" spans="1:25" ht="22.5" customHeight="1">
      <c r="A8" s="160"/>
      <c r="B8" s="41"/>
      <c r="C8" s="38" t="s">
        <v>27</v>
      </c>
      <c r="D8" s="39"/>
      <c r="E8" s="39"/>
      <c r="F8" s="39"/>
      <c r="G8" s="39"/>
      <c r="H8" s="39"/>
      <c r="I8" s="39"/>
      <c r="J8" s="39"/>
      <c r="K8" s="39"/>
      <c r="L8" s="39"/>
      <c r="M8" s="39"/>
      <c r="N8" s="39"/>
      <c r="O8" s="39"/>
      <c r="P8" s="39"/>
      <c r="Q8" s="39"/>
      <c r="R8" s="39"/>
      <c r="S8" s="39"/>
      <c r="T8" s="39"/>
      <c r="U8" s="39"/>
      <c r="V8" s="39"/>
      <c r="W8" s="39"/>
    </row>
    <row r="9" spans="1:25" ht="22.5" customHeight="1">
      <c r="A9" s="160"/>
      <c r="B9" s="41"/>
      <c r="C9" s="38" t="s">
        <v>27</v>
      </c>
      <c r="D9" s="39"/>
      <c r="E9" s="39"/>
      <c r="F9" s="39"/>
      <c r="G9" s="39"/>
      <c r="H9" s="39"/>
      <c r="I9" s="39"/>
      <c r="J9" s="39"/>
      <c r="K9" s="39"/>
      <c r="L9" s="39"/>
      <c r="M9" s="39"/>
      <c r="N9" s="39"/>
      <c r="O9" s="39"/>
      <c r="P9" s="39"/>
      <c r="Q9" s="39"/>
      <c r="R9" s="39"/>
      <c r="S9" s="39"/>
      <c r="T9" s="39"/>
      <c r="U9" s="39"/>
      <c r="V9" s="39"/>
      <c r="W9" s="39"/>
    </row>
    <row r="10" spans="1:25" ht="22.5" customHeight="1">
      <c r="A10" s="160"/>
      <c r="B10" s="41"/>
      <c r="C10" s="38" t="s">
        <v>27</v>
      </c>
      <c r="D10" s="39"/>
      <c r="E10" s="39"/>
      <c r="F10" s="39"/>
      <c r="G10" s="39"/>
      <c r="H10" s="39"/>
      <c r="I10" s="39"/>
      <c r="J10" s="39"/>
      <c r="K10" s="39"/>
      <c r="L10" s="39"/>
      <c r="M10" s="39"/>
      <c r="N10" s="39"/>
      <c r="O10" s="39"/>
      <c r="P10" s="39"/>
      <c r="Q10" s="39"/>
      <c r="R10" s="39"/>
      <c r="S10" s="39"/>
      <c r="T10" s="39"/>
      <c r="U10" s="39"/>
      <c r="V10" s="39"/>
      <c r="W10" s="39"/>
    </row>
    <row r="11" spans="1:25" ht="22.5" customHeight="1">
      <c r="A11" s="160"/>
      <c r="B11" s="41"/>
      <c r="C11" s="38" t="s">
        <v>27</v>
      </c>
      <c r="D11" s="39"/>
      <c r="E11" s="39"/>
      <c r="F11" s="39"/>
      <c r="G11" s="39"/>
      <c r="H11" s="39"/>
      <c r="I11" s="39"/>
      <c r="J11" s="39"/>
      <c r="K11" s="39"/>
      <c r="L11" s="39"/>
      <c r="M11" s="39"/>
      <c r="N11" s="39"/>
      <c r="O11" s="39"/>
      <c r="P11" s="39"/>
      <c r="Q11" s="39"/>
      <c r="R11" s="39"/>
      <c r="S11" s="39"/>
      <c r="T11" s="39"/>
      <c r="U11" s="39"/>
      <c r="V11" s="39"/>
      <c r="W11" s="39"/>
    </row>
    <row r="12" spans="1:25" ht="30" customHeight="1">
      <c r="A12" s="161"/>
      <c r="B12" s="42"/>
      <c r="C12" s="43" t="s">
        <v>28</v>
      </c>
      <c r="D12" s="39">
        <v>5</v>
      </c>
      <c r="E12" s="39">
        <v>5</v>
      </c>
      <c r="F12" s="39">
        <v>5</v>
      </c>
      <c r="G12" s="39">
        <v>4</v>
      </c>
      <c r="H12" s="39">
        <v>5</v>
      </c>
      <c r="I12" s="39">
        <v>5</v>
      </c>
      <c r="J12" s="39">
        <v>4</v>
      </c>
      <c r="K12" s="39">
        <v>5</v>
      </c>
      <c r="L12" s="39">
        <v>4</v>
      </c>
      <c r="M12" s="39">
        <v>4</v>
      </c>
      <c r="N12" s="39">
        <v>3</v>
      </c>
      <c r="O12" s="39">
        <v>4</v>
      </c>
      <c r="P12" s="39">
        <v>4</v>
      </c>
      <c r="Q12" s="39"/>
      <c r="R12" s="39"/>
      <c r="S12" s="39"/>
      <c r="T12" s="39"/>
      <c r="U12" s="39"/>
      <c r="V12" s="39"/>
      <c r="W12" s="39"/>
    </row>
    <row r="13" spans="1:25" ht="26.25" customHeight="1">
      <c r="A13" s="44"/>
      <c r="B13" s="44"/>
      <c r="C13" s="73" t="s">
        <v>54</v>
      </c>
      <c r="D13" s="74"/>
      <c r="E13" s="74"/>
      <c r="F13" s="74"/>
      <c r="G13" s="74"/>
      <c r="H13" s="74"/>
      <c r="I13" s="74"/>
      <c r="J13" s="74"/>
      <c r="K13" s="74"/>
      <c r="L13" s="74"/>
      <c r="M13" s="74"/>
      <c r="N13" s="74"/>
      <c r="O13" s="74"/>
      <c r="P13" s="74"/>
      <c r="Q13" s="74"/>
      <c r="R13" s="74"/>
      <c r="S13" s="74"/>
      <c r="T13" s="74"/>
      <c r="U13" s="74"/>
      <c r="V13" s="74"/>
      <c r="W13" s="74"/>
    </row>
    <row r="14" spans="1:25" ht="22.5" customHeight="1">
      <c r="A14" s="45" t="s">
        <v>29</v>
      </c>
      <c r="B14" s="162" t="s">
        <v>30</v>
      </c>
      <c r="C14" s="163"/>
      <c r="D14" s="163"/>
      <c r="E14" s="163"/>
      <c r="F14" s="163"/>
      <c r="G14" s="163"/>
      <c r="H14" s="163"/>
      <c r="I14" s="163"/>
      <c r="J14" s="163"/>
      <c r="K14" s="163"/>
      <c r="L14" s="163"/>
      <c r="M14" s="163"/>
      <c r="N14" s="163"/>
      <c r="O14" s="163"/>
      <c r="P14" s="163"/>
      <c r="Q14" s="163"/>
      <c r="R14" s="163"/>
      <c r="S14" s="163"/>
      <c r="T14" s="163"/>
      <c r="U14" s="163"/>
      <c r="V14" s="163"/>
      <c r="W14" s="164"/>
    </row>
    <row r="15" spans="1:25" ht="59.25" customHeight="1">
      <c r="A15" s="46" t="s">
        <v>80</v>
      </c>
      <c r="B15" s="156"/>
      <c r="C15" s="157"/>
      <c r="D15" s="157"/>
      <c r="E15" s="157"/>
      <c r="F15" s="157"/>
      <c r="G15" s="157"/>
      <c r="H15" s="157"/>
      <c r="I15" s="157"/>
      <c r="J15" s="157"/>
      <c r="K15" s="157"/>
      <c r="L15" s="157"/>
      <c r="M15" s="157"/>
      <c r="N15" s="157"/>
      <c r="O15" s="157"/>
      <c r="P15" s="157"/>
      <c r="Q15" s="157"/>
      <c r="R15" s="157"/>
      <c r="S15" s="157"/>
      <c r="T15" s="157"/>
      <c r="U15" s="157"/>
      <c r="V15" s="157"/>
      <c r="W15" s="158"/>
    </row>
    <row r="16" spans="1:25" ht="59.25" customHeight="1">
      <c r="A16" s="46" t="s">
        <v>81</v>
      </c>
      <c r="B16" s="156"/>
      <c r="C16" s="157"/>
      <c r="D16" s="157"/>
      <c r="E16" s="157"/>
      <c r="F16" s="157"/>
      <c r="G16" s="157"/>
      <c r="H16" s="157"/>
      <c r="I16" s="157"/>
      <c r="J16" s="157"/>
      <c r="K16" s="157"/>
      <c r="L16" s="157"/>
      <c r="M16" s="157"/>
      <c r="N16" s="157"/>
      <c r="O16" s="157"/>
      <c r="P16" s="157"/>
      <c r="Q16" s="157"/>
      <c r="R16" s="157"/>
      <c r="S16" s="157"/>
      <c r="T16" s="157"/>
      <c r="U16" s="157"/>
      <c r="V16" s="157"/>
      <c r="W16" s="158"/>
    </row>
    <row r="17" spans="1:23" ht="59.25" customHeight="1">
      <c r="A17" s="46" t="s">
        <v>82</v>
      </c>
      <c r="B17" s="156"/>
      <c r="C17" s="157"/>
      <c r="D17" s="157"/>
      <c r="E17" s="157"/>
      <c r="F17" s="157"/>
      <c r="G17" s="157"/>
      <c r="H17" s="157"/>
      <c r="I17" s="157"/>
      <c r="J17" s="157"/>
      <c r="K17" s="157"/>
      <c r="L17" s="157"/>
      <c r="M17" s="157"/>
      <c r="N17" s="157"/>
      <c r="O17" s="157"/>
      <c r="P17" s="157"/>
      <c r="Q17" s="157"/>
      <c r="R17" s="157"/>
      <c r="S17" s="157"/>
      <c r="T17" s="157"/>
      <c r="U17" s="157"/>
      <c r="V17" s="157"/>
      <c r="W17" s="158"/>
    </row>
    <row r="18" spans="1:23" ht="59.25" customHeight="1">
      <c r="A18" s="46" t="s">
        <v>83</v>
      </c>
      <c r="B18" s="156"/>
      <c r="C18" s="157"/>
      <c r="D18" s="157"/>
      <c r="E18" s="157"/>
      <c r="F18" s="157"/>
      <c r="G18" s="157"/>
      <c r="H18" s="157"/>
      <c r="I18" s="157"/>
      <c r="J18" s="157"/>
      <c r="K18" s="157"/>
      <c r="L18" s="157"/>
      <c r="M18" s="157"/>
      <c r="N18" s="157"/>
      <c r="O18" s="157"/>
      <c r="P18" s="157"/>
      <c r="Q18" s="157"/>
      <c r="R18" s="157"/>
      <c r="S18" s="157"/>
      <c r="T18" s="157"/>
      <c r="U18" s="157"/>
      <c r="V18" s="157"/>
      <c r="W18" s="158"/>
    </row>
    <row r="19" spans="1:23" ht="59.25" customHeight="1">
      <c r="A19" s="46" t="s">
        <v>84</v>
      </c>
      <c r="B19" s="156"/>
      <c r="C19" s="157"/>
      <c r="D19" s="157"/>
      <c r="E19" s="157"/>
      <c r="F19" s="157"/>
      <c r="G19" s="157"/>
      <c r="H19" s="157"/>
      <c r="I19" s="157"/>
      <c r="J19" s="157"/>
      <c r="K19" s="157"/>
      <c r="L19" s="157"/>
      <c r="M19" s="157"/>
      <c r="N19" s="157"/>
      <c r="O19" s="157"/>
      <c r="P19" s="157"/>
      <c r="Q19" s="157"/>
      <c r="R19" s="157"/>
      <c r="S19" s="157"/>
      <c r="T19" s="157"/>
      <c r="U19" s="157"/>
      <c r="V19" s="157"/>
      <c r="W19" s="158"/>
    </row>
    <row r="20" spans="1:23" ht="59.25" customHeight="1">
      <c r="A20" s="46" t="s">
        <v>85</v>
      </c>
      <c r="B20" s="156"/>
      <c r="C20" s="157"/>
      <c r="D20" s="157"/>
      <c r="E20" s="157"/>
      <c r="F20" s="157"/>
      <c r="G20" s="157"/>
      <c r="H20" s="157"/>
      <c r="I20" s="157"/>
      <c r="J20" s="157"/>
      <c r="K20" s="157"/>
      <c r="L20" s="157"/>
      <c r="M20" s="157"/>
      <c r="N20" s="157"/>
      <c r="O20" s="157"/>
      <c r="P20" s="157"/>
      <c r="Q20" s="157"/>
      <c r="R20" s="157"/>
      <c r="S20" s="157"/>
      <c r="T20" s="157"/>
      <c r="U20" s="157"/>
      <c r="V20" s="157"/>
      <c r="W20" s="158"/>
    </row>
    <row r="21" spans="1:23" ht="59.25" customHeight="1">
      <c r="A21" s="46" t="s">
        <v>86</v>
      </c>
      <c r="B21" s="156"/>
      <c r="C21" s="157"/>
      <c r="D21" s="157"/>
      <c r="E21" s="157"/>
      <c r="F21" s="157"/>
      <c r="G21" s="157"/>
      <c r="H21" s="157"/>
      <c r="I21" s="157"/>
      <c r="J21" s="157"/>
      <c r="K21" s="157"/>
      <c r="L21" s="157"/>
      <c r="M21" s="157"/>
      <c r="N21" s="157"/>
      <c r="O21" s="157"/>
      <c r="P21" s="157"/>
      <c r="Q21" s="157"/>
      <c r="R21" s="157"/>
      <c r="S21" s="157"/>
      <c r="T21" s="157"/>
      <c r="U21" s="157"/>
      <c r="V21" s="157"/>
      <c r="W21" s="158"/>
    </row>
    <row r="22" spans="1:23" ht="59.25" customHeight="1">
      <c r="A22" s="46" t="s">
        <v>87</v>
      </c>
      <c r="B22" s="156"/>
      <c r="C22" s="157"/>
      <c r="D22" s="157"/>
      <c r="E22" s="157"/>
      <c r="F22" s="157"/>
      <c r="G22" s="157"/>
      <c r="H22" s="157"/>
      <c r="I22" s="157"/>
      <c r="J22" s="157"/>
      <c r="K22" s="157"/>
      <c r="L22" s="157"/>
      <c r="M22" s="157"/>
      <c r="N22" s="157"/>
      <c r="O22" s="157"/>
      <c r="P22" s="157"/>
      <c r="Q22" s="157"/>
      <c r="R22" s="157"/>
      <c r="S22" s="157"/>
      <c r="T22" s="157"/>
      <c r="U22" s="157"/>
      <c r="V22" s="157"/>
      <c r="W22" s="158"/>
    </row>
    <row r="23" spans="1:23" ht="59.25" customHeight="1">
      <c r="A23" s="46" t="s">
        <v>88</v>
      </c>
      <c r="B23" s="156"/>
      <c r="C23" s="157"/>
      <c r="D23" s="157"/>
      <c r="E23" s="157"/>
      <c r="F23" s="157"/>
      <c r="G23" s="157"/>
      <c r="H23" s="157"/>
      <c r="I23" s="157"/>
      <c r="J23" s="157"/>
      <c r="K23" s="157"/>
      <c r="L23" s="157"/>
      <c r="M23" s="157"/>
      <c r="N23" s="157"/>
      <c r="O23" s="157"/>
      <c r="P23" s="157"/>
      <c r="Q23" s="157"/>
      <c r="R23" s="157"/>
      <c r="S23" s="157"/>
      <c r="T23" s="157"/>
      <c r="U23" s="157"/>
      <c r="V23" s="157"/>
      <c r="W23" s="158"/>
    </row>
    <row r="24" spans="1:23" ht="59.25" customHeight="1">
      <c r="A24" s="46" t="s">
        <v>89</v>
      </c>
      <c r="B24" s="156"/>
      <c r="C24" s="157"/>
      <c r="D24" s="157"/>
      <c r="E24" s="157"/>
      <c r="F24" s="157"/>
      <c r="G24" s="157"/>
      <c r="H24" s="157"/>
      <c r="I24" s="157"/>
      <c r="J24" s="157"/>
      <c r="K24" s="157"/>
      <c r="L24" s="157"/>
      <c r="M24" s="157"/>
      <c r="N24" s="157"/>
      <c r="O24" s="157"/>
      <c r="P24" s="157"/>
      <c r="Q24" s="157"/>
      <c r="R24" s="157"/>
      <c r="S24" s="157"/>
      <c r="T24" s="157"/>
      <c r="U24" s="157"/>
      <c r="V24" s="157"/>
      <c r="W24" s="158"/>
    </row>
    <row r="25" spans="1:23" ht="59.25" customHeight="1">
      <c r="A25" s="46" t="s">
        <v>90</v>
      </c>
      <c r="B25" s="156"/>
      <c r="C25" s="157"/>
      <c r="D25" s="157"/>
      <c r="E25" s="157"/>
      <c r="F25" s="157"/>
      <c r="G25" s="157"/>
      <c r="H25" s="157"/>
      <c r="I25" s="157"/>
      <c r="J25" s="157"/>
      <c r="K25" s="157"/>
      <c r="L25" s="157"/>
      <c r="M25" s="157"/>
      <c r="N25" s="157"/>
      <c r="O25" s="157"/>
      <c r="P25" s="157"/>
      <c r="Q25" s="157"/>
      <c r="R25" s="157"/>
      <c r="S25" s="157"/>
      <c r="T25" s="157"/>
      <c r="U25" s="157"/>
      <c r="V25" s="157"/>
      <c r="W25" s="158"/>
    </row>
    <row r="26" spans="1:23" ht="59.25" customHeight="1">
      <c r="A26" s="46" t="s">
        <v>91</v>
      </c>
      <c r="B26" s="156"/>
      <c r="C26" s="157"/>
      <c r="D26" s="157"/>
      <c r="E26" s="157"/>
      <c r="F26" s="157"/>
      <c r="G26" s="157"/>
      <c r="H26" s="157"/>
      <c r="I26" s="157"/>
      <c r="J26" s="157"/>
      <c r="K26" s="157"/>
      <c r="L26" s="157"/>
      <c r="M26" s="157"/>
      <c r="N26" s="157"/>
      <c r="O26" s="157"/>
      <c r="P26" s="157"/>
      <c r="Q26" s="157"/>
      <c r="R26" s="157"/>
      <c r="S26" s="157"/>
      <c r="T26" s="157"/>
      <c r="U26" s="157"/>
      <c r="V26" s="157"/>
      <c r="W26" s="158"/>
    </row>
    <row r="27" spans="1:23" ht="59.25" customHeight="1">
      <c r="A27" s="46" t="s">
        <v>92</v>
      </c>
      <c r="B27" s="156"/>
      <c r="C27" s="157"/>
      <c r="D27" s="157"/>
      <c r="E27" s="157"/>
      <c r="F27" s="157"/>
      <c r="G27" s="157"/>
      <c r="H27" s="157"/>
      <c r="I27" s="157"/>
      <c r="J27" s="157"/>
      <c r="K27" s="157"/>
      <c r="L27" s="157"/>
      <c r="M27" s="157"/>
      <c r="N27" s="157"/>
      <c r="O27" s="157"/>
      <c r="P27" s="157"/>
      <c r="Q27" s="157"/>
      <c r="R27" s="157"/>
      <c r="S27" s="157"/>
      <c r="T27" s="157"/>
      <c r="U27" s="157"/>
      <c r="V27" s="157"/>
      <c r="W27" s="158"/>
    </row>
    <row r="28" spans="1:23" ht="59.25" customHeight="1">
      <c r="A28" s="46"/>
      <c r="B28" s="156"/>
      <c r="C28" s="157"/>
      <c r="D28" s="157"/>
      <c r="E28" s="157"/>
      <c r="F28" s="157"/>
      <c r="G28" s="157"/>
      <c r="H28" s="157"/>
      <c r="I28" s="157"/>
      <c r="J28" s="157"/>
      <c r="K28" s="157"/>
      <c r="L28" s="157"/>
      <c r="M28" s="157"/>
      <c r="N28" s="157"/>
      <c r="O28" s="157"/>
      <c r="P28" s="157"/>
      <c r="Q28" s="157"/>
      <c r="R28" s="157"/>
      <c r="S28" s="157"/>
      <c r="T28" s="157"/>
      <c r="U28" s="157"/>
      <c r="V28" s="157"/>
      <c r="W28" s="158"/>
    </row>
    <row r="29" spans="1:23" ht="59.25" customHeight="1">
      <c r="A29" s="46"/>
      <c r="B29" s="156"/>
      <c r="C29" s="157"/>
      <c r="D29" s="157"/>
      <c r="E29" s="157"/>
      <c r="F29" s="157"/>
      <c r="G29" s="157"/>
      <c r="H29" s="157"/>
      <c r="I29" s="157"/>
      <c r="J29" s="157"/>
      <c r="K29" s="157"/>
      <c r="L29" s="157"/>
      <c r="M29" s="157"/>
      <c r="N29" s="157"/>
      <c r="O29" s="157"/>
      <c r="P29" s="157"/>
      <c r="Q29" s="157"/>
      <c r="R29" s="157"/>
      <c r="S29" s="157"/>
      <c r="T29" s="157"/>
      <c r="U29" s="157"/>
      <c r="V29" s="157"/>
      <c r="W29" s="158"/>
    </row>
    <row r="30" spans="1:23" ht="59.25" customHeight="1">
      <c r="A30" s="46"/>
      <c r="B30" s="156"/>
      <c r="C30" s="157"/>
      <c r="D30" s="157"/>
      <c r="E30" s="157"/>
      <c r="F30" s="157"/>
      <c r="G30" s="157"/>
      <c r="H30" s="157"/>
      <c r="I30" s="157"/>
      <c r="J30" s="157"/>
      <c r="K30" s="157"/>
      <c r="L30" s="157"/>
      <c r="M30" s="157"/>
      <c r="N30" s="157"/>
      <c r="O30" s="157"/>
      <c r="P30" s="157"/>
      <c r="Q30" s="157"/>
      <c r="R30" s="157"/>
      <c r="S30" s="157"/>
      <c r="T30" s="157"/>
      <c r="U30" s="157"/>
      <c r="V30" s="157"/>
      <c r="W30" s="158"/>
    </row>
    <row r="31" spans="1:23" ht="59.25" customHeight="1">
      <c r="A31" s="46"/>
      <c r="B31" s="156"/>
      <c r="C31" s="157"/>
      <c r="D31" s="157"/>
      <c r="E31" s="157"/>
      <c r="F31" s="157"/>
      <c r="G31" s="157"/>
      <c r="H31" s="157"/>
      <c r="I31" s="157"/>
      <c r="J31" s="157"/>
      <c r="K31" s="157"/>
      <c r="L31" s="157"/>
      <c r="M31" s="157"/>
      <c r="N31" s="157"/>
      <c r="O31" s="157"/>
      <c r="P31" s="157"/>
      <c r="Q31" s="157"/>
      <c r="R31" s="157"/>
      <c r="S31" s="157"/>
      <c r="T31" s="157"/>
      <c r="U31" s="157"/>
      <c r="V31" s="157"/>
      <c r="W31" s="158"/>
    </row>
    <row r="32" spans="1:23" ht="59.25" customHeight="1">
      <c r="A32" s="46"/>
      <c r="B32" s="156"/>
      <c r="C32" s="157"/>
      <c r="D32" s="157"/>
      <c r="E32" s="157"/>
      <c r="F32" s="157"/>
      <c r="G32" s="157"/>
      <c r="H32" s="157"/>
      <c r="I32" s="157"/>
      <c r="J32" s="157"/>
      <c r="K32" s="157"/>
      <c r="L32" s="157"/>
      <c r="M32" s="157"/>
      <c r="N32" s="157"/>
      <c r="O32" s="157"/>
      <c r="P32" s="157"/>
      <c r="Q32" s="157"/>
      <c r="R32" s="157"/>
      <c r="S32" s="157"/>
      <c r="T32" s="157"/>
      <c r="U32" s="157"/>
      <c r="V32" s="157"/>
      <c r="W32" s="158"/>
    </row>
    <row r="33" spans="1:23" ht="59.25" customHeight="1">
      <c r="A33" s="46"/>
      <c r="B33" s="156"/>
      <c r="C33" s="157"/>
      <c r="D33" s="157"/>
      <c r="E33" s="157"/>
      <c r="F33" s="157"/>
      <c r="G33" s="157"/>
      <c r="H33" s="157"/>
      <c r="I33" s="157"/>
      <c r="J33" s="157"/>
      <c r="K33" s="157"/>
      <c r="L33" s="157"/>
      <c r="M33" s="157"/>
      <c r="N33" s="157"/>
      <c r="O33" s="157"/>
      <c r="P33" s="157"/>
      <c r="Q33" s="157"/>
      <c r="R33" s="157"/>
      <c r="S33" s="157"/>
      <c r="T33" s="157"/>
      <c r="U33" s="157"/>
      <c r="V33" s="157"/>
      <c r="W33" s="158"/>
    </row>
    <row r="34" spans="1:23" ht="59.25" customHeight="1">
      <c r="A34" s="46"/>
      <c r="B34" s="156"/>
      <c r="C34" s="157"/>
      <c r="D34" s="157"/>
      <c r="E34" s="157"/>
      <c r="F34" s="157"/>
      <c r="G34" s="157"/>
      <c r="H34" s="157"/>
      <c r="I34" s="157"/>
      <c r="J34" s="157"/>
      <c r="K34" s="157"/>
      <c r="L34" s="157"/>
      <c r="M34" s="157"/>
      <c r="N34" s="157"/>
      <c r="O34" s="157"/>
      <c r="P34" s="157"/>
      <c r="Q34" s="157"/>
      <c r="R34" s="157"/>
      <c r="S34" s="157"/>
      <c r="T34" s="157"/>
      <c r="U34" s="157"/>
      <c r="V34" s="157"/>
      <c r="W34" s="158"/>
    </row>
    <row r="35" spans="1:23" ht="22.5" customHeight="1"/>
    <row r="36" spans="1:23" ht="22.5" customHeight="1"/>
    <row r="37" spans="1:23" ht="22.5" customHeight="1"/>
    <row r="38" spans="1:23" ht="22.5" customHeight="1"/>
    <row r="39" spans="1:23" ht="17.25" customHeight="1"/>
    <row r="40" spans="1:23" ht="17.25" customHeight="1"/>
    <row r="41" spans="1:23" ht="17.25" customHeight="1"/>
    <row r="42" spans="1:23" ht="17.25" customHeight="1"/>
    <row r="43" spans="1:23" ht="17.25" customHeight="1"/>
    <row r="44" spans="1:23" ht="17.25" customHeight="1"/>
    <row r="45" spans="1:23" ht="17.25" customHeight="1"/>
    <row r="46" spans="1:23" ht="17.25" customHeight="1"/>
    <row r="47" spans="1:23" ht="17.25" customHeight="1"/>
    <row r="48" spans="1:23"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sheetData>
  <mergeCells count="22">
    <mergeCell ref="B31:W31"/>
    <mergeCell ref="B32:W32"/>
    <mergeCell ref="B33:W33"/>
    <mergeCell ref="B34:W34"/>
    <mergeCell ref="B25:W25"/>
    <mergeCell ref="B26:W26"/>
    <mergeCell ref="B27:W27"/>
    <mergeCell ref="B28:W28"/>
    <mergeCell ref="B29:W29"/>
    <mergeCell ref="B30:W30"/>
    <mergeCell ref="B24:W24"/>
    <mergeCell ref="A2:A12"/>
    <mergeCell ref="B14:W14"/>
    <mergeCell ref="B15:W15"/>
    <mergeCell ref="B16:W16"/>
    <mergeCell ref="B17:W17"/>
    <mergeCell ref="B18:W18"/>
    <mergeCell ref="B19:W19"/>
    <mergeCell ref="B20:W20"/>
    <mergeCell ref="B21:W21"/>
    <mergeCell ref="B22:W22"/>
    <mergeCell ref="B23:W23"/>
  </mergeCells>
  <phoneticPr fontId="1"/>
  <dataValidations count="3">
    <dataValidation type="list" allowBlank="1" showDropDown="1" showInputMessage="1" showErrorMessage="1" sqref="D2:W11">
      <formula1>$X$2:$X$5</formula1>
    </dataValidation>
    <dataValidation type="list" allowBlank="1" showDropDown="1" showInputMessage="1" showErrorMessage="1" errorTitle="文字エラー" error="半角数字1～5か、評価不能の場合は-（半角マイナス）を入れて下さい。" sqref="D12:W12">
      <formula1>$Y$2:$Y$7</formula1>
    </dataValidation>
    <dataValidation type="list" allowBlank="1" showDropDown="1" showInputMessage="1" showErrorMessage="1" errorTitle="文字エラー" error="半角数字1～5を入れて下さい。_x000a_文字列ではなく数値で入力して下さい。" sqref="D13:W13">
      <formula1>$Y$2:$Y$7</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1"/>
  </sheetPr>
  <dimension ref="A1:C176"/>
  <sheetViews>
    <sheetView workbookViewId="0">
      <selection sqref="A1:XFD1048576"/>
    </sheetView>
  </sheetViews>
  <sheetFormatPr defaultRowHeight="13.5"/>
  <cols>
    <col min="1" max="1" width="13.5" style="8" customWidth="1"/>
    <col min="2" max="2" width="147.75" style="8" customWidth="1"/>
    <col min="3" max="16384" width="9" style="8"/>
  </cols>
  <sheetData>
    <row r="1" spans="1:3" ht="27.75" customHeight="1">
      <c r="A1" s="33" t="str">
        <f ca="1">MID(CELL("filename",A1),FIND("[",CELL("filename",A1))+1,3)</f>
        <v>２－１</v>
      </c>
      <c r="B1" s="34" t="str">
        <f ca="1">RIGHT(CELL("filename",B1),LEN(CELL("filename",B1))-FIND("]",CELL("filename",B1)))</f>
        <v>道徳</v>
      </c>
      <c r="C1" s="47" t="s">
        <v>31</v>
      </c>
    </row>
    <row r="2" spans="1:3" ht="22.5" customHeight="1" thickBot="1">
      <c r="A2" s="45" t="s">
        <v>29</v>
      </c>
      <c r="B2" s="48" t="s">
        <v>7</v>
      </c>
      <c r="C2" s="8" t="s">
        <v>196</v>
      </c>
    </row>
    <row r="3" spans="1:3" ht="59.25" customHeight="1" thickBot="1">
      <c r="A3" s="46" t="s">
        <v>80</v>
      </c>
      <c r="B3" s="86" t="s">
        <v>108</v>
      </c>
      <c r="C3" s="8">
        <f>LEN(B3)</f>
        <v>221</v>
      </c>
    </row>
    <row r="4" spans="1:3" ht="59.25" customHeight="1" thickBot="1">
      <c r="A4" s="46" t="s">
        <v>81</v>
      </c>
      <c r="B4" s="86" t="s">
        <v>109</v>
      </c>
      <c r="C4" s="8">
        <f t="shared" ref="C4:C22" si="0">LEN(B4)</f>
        <v>190</v>
      </c>
    </row>
    <row r="5" spans="1:3" ht="59.25" customHeight="1" thickBot="1">
      <c r="A5" s="46" t="s">
        <v>82</v>
      </c>
      <c r="B5" s="87" t="s">
        <v>110</v>
      </c>
      <c r="C5" s="8">
        <f t="shared" si="0"/>
        <v>193</v>
      </c>
    </row>
    <row r="6" spans="1:3" ht="59.25" customHeight="1" thickBot="1">
      <c r="A6" s="46" t="s">
        <v>83</v>
      </c>
      <c r="B6" s="87" t="s">
        <v>111</v>
      </c>
      <c r="C6" s="8">
        <f t="shared" si="0"/>
        <v>202</v>
      </c>
    </row>
    <row r="7" spans="1:3" ht="59.25" customHeight="1" thickBot="1">
      <c r="A7" s="46" t="s">
        <v>84</v>
      </c>
      <c r="B7" s="87" t="s">
        <v>112</v>
      </c>
      <c r="C7" s="8">
        <f t="shared" si="0"/>
        <v>231</v>
      </c>
    </row>
    <row r="8" spans="1:3" ht="59.25" customHeight="1" thickBot="1">
      <c r="A8" s="46" t="s">
        <v>85</v>
      </c>
      <c r="B8" s="87" t="s">
        <v>113</v>
      </c>
      <c r="C8" s="8">
        <f t="shared" si="0"/>
        <v>209</v>
      </c>
    </row>
    <row r="9" spans="1:3" ht="59.25" customHeight="1" thickBot="1">
      <c r="A9" s="46" t="s">
        <v>86</v>
      </c>
      <c r="B9" s="86" t="s">
        <v>114</v>
      </c>
      <c r="C9" s="8">
        <f t="shared" si="0"/>
        <v>237</v>
      </c>
    </row>
    <row r="10" spans="1:3" ht="59.25" customHeight="1" thickBot="1">
      <c r="A10" s="46" t="s">
        <v>87</v>
      </c>
      <c r="B10" s="86" t="s">
        <v>115</v>
      </c>
      <c r="C10" s="8">
        <f t="shared" si="0"/>
        <v>206</v>
      </c>
    </row>
    <row r="11" spans="1:3" ht="59.25" customHeight="1" thickBot="1">
      <c r="A11" s="46" t="s">
        <v>88</v>
      </c>
      <c r="B11" s="87" t="s">
        <v>116</v>
      </c>
      <c r="C11" s="8">
        <f t="shared" si="0"/>
        <v>185</v>
      </c>
    </row>
    <row r="12" spans="1:3" ht="59.25" customHeight="1" thickBot="1">
      <c r="A12" s="46" t="s">
        <v>89</v>
      </c>
      <c r="B12" s="192" t="s">
        <v>197</v>
      </c>
      <c r="C12" s="8">
        <f t="shared" si="0"/>
        <v>184</v>
      </c>
    </row>
    <row r="13" spans="1:3" ht="59.25" customHeight="1" thickBot="1">
      <c r="A13" s="46" t="s">
        <v>90</v>
      </c>
      <c r="B13" s="88" t="s">
        <v>117</v>
      </c>
      <c r="C13" s="8">
        <f t="shared" si="0"/>
        <v>187</v>
      </c>
    </row>
    <row r="14" spans="1:3" ht="59.25" customHeight="1" thickBot="1">
      <c r="A14" s="46" t="s">
        <v>91</v>
      </c>
      <c r="B14" s="87" t="s">
        <v>117</v>
      </c>
      <c r="C14" s="8">
        <f t="shared" si="0"/>
        <v>187</v>
      </c>
    </row>
    <row r="15" spans="1:3" ht="59.25" customHeight="1" thickBot="1">
      <c r="A15" s="46" t="s">
        <v>92</v>
      </c>
      <c r="B15" s="87" t="s">
        <v>118</v>
      </c>
      <c r="C15" s="8">
        <f t="shared" si="0"/>
        <v>198</v>
      </c>
    </row>
    <row r="16" spans="1:3" ht="59.25" customHeight="1">
      <c r="A16" s="46"/>
      <c r="B16" s="89"/>
      <c r="C16" s="8">
        <f t="shared" si="0"/>
        <v>0</v>
      </c>
    </row>
    <row r="17" spans="1:3" ht="59.25" customHeight="1">
      <c r="A17" s="46"/>
      <c r="B17" s="49"/>
      <c r="C17" s="8">
        <f t="shared" si="0"/>
        <v>0</v>
      </c>
    </row>
    <row r="18" spans="1:3" ht="59.25" customHeight="1">
      <c r="A18" s="46"/>
      <c r="B18" s="49"/>
      <c r="C18" s="8">
        <f t="shared" si="0"/>
        <v>0</v>
      </c>
    </row>
    <row r="19" spans="1:3" ht="59.25" customHeight="1">
      <c r="A19" s="46"/>
      <c r="B19" s="49"/>
      <c r="C19" s="8">
        <f t="shared" si="0"/>
        <v>0</v>
      </c>
    </row>
    <row r="20" spans="1:3" ht="59.25" customHeight="1">
      <c r="A20" s="46"/>
      <c r="B20" s="49"/>
      <c r="C20" s="8">
        <f t="shared" si="0"/>
        <v>0</v>
      </c>
    </row>
    <row r="21" spans="1:3" ht="59.25" customHeight="1">
      <c r="A21" s="46"/>
      <c r="B21" s="49"/>
      <c r="C21" s="8">
        <f t="shared" si="0"/>
        <v>0</v>
      </c>
    </row>
    <row r="22" spans="1:3" ht="59.25" customHeight="1">
      <c r="A22" s="46"/>
      <c r="B22" s="49"/>
      <c r="C22" s="8">
        <f t="shared" si="0"/>
        <v>0</v>
      </c>
    </row>
    <row r="23" spans="1:3" ht="22.5" customHeight="1"/>
    <row r="24" spans="1:3" ht="22.5" customHeight="1"/>
    <row r="25" spans="1:3" ht="22.5" customHeight="1"/>
    <row r="26" spans="1:3" ht="22.5" customHeight="1"/>
    <row r="27" spans="1:3" ht="17.25" customHeight="1"/>
    <row r="28" spans="1:3" ht="17.25" customHeight="1"/>
    <row r="29" spans="1:3" ht="17.25" customHeight="1"/>
    <row r="30" spans="1:3" ht="17.25" customHeight="1"/>
    <row r="31" spans="1:3" ht="17.25" customHeight="1"/>
    <row r="32" spans="1:3" ht="17.25" customHeight="1"/>
    <row r="33" ht="17.25" customHeight="1"/>
    <row r="34" ht="17.25" customHeight="1"/>
    <row r="35" ht="17.25" customHeight="1"/>
    <row r="36" ht="17.25" customHeight="1"/>
    <row r="37" ht="17.25" customHeight="1"/>
    <row r="38" ht="17.25" customHeight="1"/>
    <row r="39" ht="17.25" customHeight="1"/>
    <row r="40" ht="17.25" customHeight="1"/>
    <row r="41" ht="17.25" customHeight="1"/>
    <row r="42" ht="17.25" customHeight="1"/>
    <row r="43" ht="17.25" customHeight="1"/>
    <row r="44" ht="17.25" customHeight="1"/>
    <row r="45" ht="17.25" customHeight="1"/>
    <row r="46" ht="17.25" customHeight="1"/>
    <row r="47" ht="17.25" customHeight="1"/>
    <row r="4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sheetData>
  <phoneticPr fontId="1"/>
  <conditionalFormatting sqref="C3:C22">
    <cfRule type="cellIs" dxfId="5" priority="1" operator="greaterThan">
      <formula>200</formula>
    </cfRule>
    <cfRule type="cellIs" dxfId="4" priority="2" operator="lessThan">
      <formula>150</formula>
    </cfRule>
    <cfRule type="cellIs" dxfId="3" priority="3" operator="between">
      <formula>150</formula>
      <formula>200</formula>
    </cfRule>
  </conditionalFormatting>
  <pageMargins left="0.7" right="0.7" top="0.75" bottom="0.75" header="0.3" footer="0.3"/>
  <pageSetup paperSize="9"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1"/>
  </sheetPr>
  <dimension ref="A1:X192"/>
  <sheetViews>
    <sheetView workbookViewId="0">
      <selection sqref="A1:XFD1048576"/>
    </sheetView>
  </sheetViews>
  <sheetFormatPr defaultRowHeight="13.5"/>
  <cols>
    <col min="1" max="1" width="13.5" style="8" customWidth="1"/>
    <col min="2" max="2" width="79.125" style="8" customWidth="1"/>
    <col min="3" max="3" width="9.375" style="8" customWidth="1"/>
    <col min="4" max="23" width="4.125" style="8" customWidth="1"/>
    <col min="24" max="24" width="6" style="8" customWidth="1"/>
    <col min="25" max="16384" width="9" style="8"/>
  </cols>
  <sheetData>
    <row r="1" spans="1:24" ht="85.5" customHeight="1">
      <c r="A1" s="90" t="str">
        <f ca="1">MID(CELL("filename",A1),FIND("[",CELL("filename",A1))+1,3)</f>
        <v>２－１</v>
      </c>
      <c r="B1" s="50" t="s">
        <v>32</v>
      </c>
      <c r="C1" s="51" t="s">
        <v>26</v>
      </c>
      <c r="D1" s="36" t="str">
        <f>A13</f>
        <v>市田 琴春</v>
      </c>
      <c r="E1" s="36" t="str">
        <f>A14</f>
        <v>伊藤 百音</v>
      </c>
      <c r="F1" s="36" t="str">
        <f>A15</f>
        <v>岩下 美音</v>
      </c>
      <c r="G1" s="36" t="str">
        <f>A16</f>
        <v>大澤 涼真</v>
      </c>
      <c r="H1" s="36" t="str">
        <f>A17</f>
        <v>笠原 由楓</v>
      </c>
      <c r="I1" s="36" t="str">
        <f>A18</f>
        <v>芝田 人慈</v>
      </c>
      <c r="J1" s="36" t="str">
        <f>A19</f>
        <v>菅谷 彩桜</v>
      </c>
      <c r="K1" s="36" t="str">
        <f>A20</f>
        <v>中川 杏</v>
      </c>
      <c r="L1" s="36" t="str">
        <f>A21</f>
        <v>原田 絢匡</v>
      </c>
      <c r="M1" s="36" t="str">
        <f>A22</f>
        <v>藤本 慎士</v>
      </c>
      <c r="N1" s="36" t="str">
        <f>A23</f>
        <v>古畑 睦季</v>
      </c>
      <c r="O1" s="36" t="str">
        <f>A24</f>
        <v>三澤 昊來</v>
      </c>
      <c r="P1" s="36" t="str">
        <f>A25</f>
        <v>吉村 騰堂</v>
      </c>
      <c r="Q1" s="36">
        <f>A26</f>
        <v>0</v>
      </c>
      <c r="R1" s="36">
        <f>A27</f>
        <v>0</v>
      </c>
      <c r="S1" s="36">
        <f>A28</f>
        <v>0</v>
      </c>
      <c r="T1" s="36">
        <f>A29</f>
        <v>0</v>
      </c>
      <c r="U1" s="36">
        <f>A30</f>
        <v>0</v>
      </c>
      <c r="V1" s="36">
        <f>A31</f>
        <v>0</v>
      </c>
      <c r="W1" s="36">
        <f>A32</f>
        <v>0</v>
      </c>
      <c r="X1" s="37"/>
    </row>
    <row r="2" spans="1:24" ht="22.5" customHeight="1">
      <c r="A2" s="171" t="s">
        <v>33</v>
      </c>
      <c r="B2" s="81" t="s">
        <v>76</v>
      </c>
      <c r="C2" s="38" t="s">
        <v>27</v>
      </c>
      <c r="D2" s="39" t="s">
        <v>119</v>
      </c>
      <c r="E2" s="39" t="s">
        <v>119</v>
      </c>
      <c r="F2" s="39" t="s">
        <v>137</v>
      </c>
      <c r="G2" s="39" t="s">
        <v>119</v>
      </c>
      <c r="H2" s="39" t="s">
        <v>119</v>
      </c>
      <c r="I2" s="39" t="s">
        <v>119</v>
      </c>
      <c r="J2" s="39" t="s">
        <v>162</v>
      </c>
      <c r="K2" s="39" t="s">
        <v>119</v>
      </c>
      <c r="L2" s="39" t="s">
        <v>163</v>
      </c>
      <c r="M2" s="39" t="s">
        <v>137</v>
      </c>
      <c r="N2" s="39" t="s">
        <v>137</v>
      </c>
      <c r="O2" s="39" t="s">
        <v>119</v>
      </c>
      <c r="P2" s="39" t="s">
        <v>119</v>
      </c>
      <c r="Q2" s="39"/>
      <c r="R2" s="39"/>
      <c r="S2" s="39"/>
      <c r="T2" s="39"/>
      <c r="U2" s="39"/>
      <c r="V2" s="39"/>
      <c r="W2" s="39"/>
      <c r="X2" s="40" t="s">
        <v>198</v>
      </c>
    </row>
    <row r="3" spans="1:24" ht="22.5" customHeight="1">
      <c r="A3" s="172"/>
      <c r="B3" s="81" t="s">
        <v>77</v>
      </c>
      <c r="C3" s="38" t="s">
        <v>27</v>
      </c>
      <c r="D3" s="39" t="s">
        <v>199</v>
      </c>
      <c r="E3" s="39" t="s">
        <v>137</v>
      </c>
      <c r="F3" s="39" t="s">
        <v>199</v>
      </c>
      <c r="G3" s="39" t="s">
        <v>162</v>
      </c>
      <c r="H3" s="39" t="s">
        <v>120</v>
      </c>
      <c r="I3" s="39" t="s">
        <v>199</v>
      </c>
      <c r="J3" s="39" t="s">
        <v>200</v>
      </c>
      <c r="K3" s="39" t="s">
        <v>119</v>
      </c>
      <c r="L3" s="39" t="s">
        <v>137</v>
      </c>
      <c r="M3" s="39" t="s">
        <v>137</v>
      </c>
      <c r="N3" s="39" t="s">
        <v>201</v>
      </c>
      <c r="O3" s="39" t="s">
        <v>162</v>
      </c>
      <c r="P3" s="39" t="s">
        <v>162</v>
      </c>
      <c r="Q3" s="39"/>
      <c r="R3" s="39"/>
      <c r="S3" s="39"/>
      <c r="T3" s="39"/>
      <c r="U3" s="39"/>
      <c r="V3" s="39"/>
      <c r="W3" s="39"/>
      <c r="X3" s="40" t="s">
        <v>134</v>
      </c>
    </row>
    <row r="4" spans="1:24" ht="22.5" customHeight="1">
      <c r="A4" s="172"/>
      <c r="B4" s="81" t="s">
        <v>78</v>
      </c>
      <c r="C4" s="38" t="s">
        <v>27</v>
      </c>
      <c r="D4" s="39" t="s">
        <v>163</v>
      </c>
      <c r="E4" s="39" t="s">
        <v>119</v>
      </c>
      <c r="F4" s="39" t="s">
        <v>137</v>
      </c>
      <c r="G4" s="39" t="s">
        <v>163</v>
      </c>
      <c r="H4" s="39" t="s">
        <v>137</v>
      </c>
      <c r="I4" s="39" t="s">
        <v>163</v>
      </c>
      <c r="J4" s="39" t="s">
        <v>137</v>
      </c>
      <c r="K4" s="39" t="s">
        <v>163</v>
      </c>
      <c r="L4" s="39" t="s">
        <v>202</v>
      </c>
      <c r="M4" s="39" t="s">
        <v>202</v>
      </c>
      <c r="N4" s="39" t="s">
        <v>120</v>
      </c>
      <c r="O4" s="39" t="s">
        <v>162</v>
      </c>
      <c r="P4" s="39" t="s">
        <v>200</v>
      </c>
      <c r="Q4" s="39"/>
      <c r="R4" s="39"/>
      <c r="S4" s="39"/>
      <c r="T4" s="39"/>
      <c r="U4" s="39"/>
      <c r="V4" s="39"/>
      <c r="W4" s="39"/>
      <c r="X4" s="40" t="s">
        <v>203</v>
      </c>
    </row>
    <row r="5" spans="1:24" ht="22.5" customHeight="1">
      <c r="A5" s="172"/>
      <c r="B5" s="81" t="s">
        <v>47</v>
      </c>
      <c r="C5" s="38" t="s">
        <v>27</v>
      </c>
      <c r="D5" s="39" t="s">
        <v>204</v>
      </c>
      <c r="E5" s="39" t="s">
        <v>163</v>
      </c>
      <c r="F5" s="39" t="s">
        <v>162</v>
      </c>
      <c r="G5" s="39" t="s">
        <v>163</v>
      </c>
      <c r="H5" s="39" t="s">
        <v>205</v>
      </c>
      <c r="I5" s="39" t="s">
        <v>163</v>
      </c>
      <c r="J5" s="39" t="s">
        <v>163</v>
      </c>
      <c r="K5" s="39" t="s">
        <v>119</v>
      </c>
      <c r="L5" s="39" t="s">
        <v>163</v>
      </c>
      <c r="M5" s="39" t="s">
        <v>163</v>
      </c>
      <c r="N5" s="39" t="s">
        <v>162</v>
      </c>
      <c r="O5" s="39" t="s">
        <v>163</v>
      </c>
      <c r="P5" s="39" t="s">
        <v>163</v>
      </c>
      <c r="Q5" s="39"/>
      <c r="R5" s="39"/>
      <c r="S5" s="39"/>
      <c r="T5" s="39"/>
      <c r="U5" s="39"/>
      <c r="V5" s="39"/>
      <c r="W5" s="39"/>
      <c r="X5" s="40" t="s">
        <v>154</v>
      </c>
    </row>
    <row r="6" spans="1:24" ht="22.5" customHeight="1">
      <c r="A6" s="172"/>
      <c r="B6" s="81" t="s">
        <v>48</v>
      </c>
      <c r="C6" s="38" t="s">
        <v>27</v>
      </c>
      <c r="D6" s="39" t="s">
        <v>163</v>
      </c>
      <c r="E6" s="39" t="s">
        <v>163</v>
      </c>
      <c r="F6" s="39" t="s">
        <v>119</v>
      </c>
      <c r="G6" s="39" t="s">
        <v>206</v>
      </c>
      <c r="H6" s="39" t="s">
        <v>119</v>
      </c>
      <c r="I6" s="39" t="s">
        <v>163</v>
      </c>
      <c r="J6" s="39" t="s">
        <v>163</v>
      </c>
      <c r="K6" s="39" t="s">
        <v>163</v>
      </c>
      <c r="L6" s="39" t="s">
        <v>163</v>
      </c>
      <c r="M6" s="39" t="s">
        <v>163</v>
      </c>
      <c r="N6" s="39" t="s">
        <v>163</v>
      </c>
      <c r="O6" s="39" t="s">
        <v>163</v>
      </c>
      <c r="P6" s="39" t="s">
        <v>163</v>
      </c>
      <c r="Q6" s="39"/>
      <c r="R6" s="39"/>
      <c r="S6" s="39"/>
      <c r="T6" s="39"/>
      <c r="U6" s="39"/>
      <c r="V6" s="39"/>
      <c r="W6" s="39"/>
    </row>
    <row r="7" spans="1:24" ht="22.5" customHeight="1">
      <c r="A7" s="172"/>
      <c r="B7" s="81" t="s">
        <v>121</v>
      </c>
      <c r="C7" s="38" t="s">
        <v>27</v>
      </c>
      <c r="D7" s="39" t="s">
        <v>163</v>
      </c>
      <c r="E7" s="39" t="s">
        <v>162</v>
      </c>
      <c r="F7" s="39" t="s">
        <v>163</v>
      </c>
      <c r="G7" s="39" t="s">
        <v>163</v>
      </c>
      <c r="H7" s="39" t="s">
        <v>162</v>
      </c>
      <c r="I7" s="39" t="s">
        <v>119</v>
      </c>
      <c r="J7" s="39" t="s">
        <v>163</v>
      </c>
      <c r="K7" s="39" t="s">
        <v>163</v>
      </c>
      <c r="L7" s="39" t="s">
        <v>163</v>
      </c>
      <c r="M7" s="39" t="s">
        <v>163</v>
      </c>
      <c r="N7" s="39" t="s">
        <v>162</v>
      </c>
      <c r="O7" s="39" t="s">
        <v>162</v>
      </c>
      <c r="P7" s="39" t="s">
        <v>163</v>
      </c>
      <c r="Q7" s="39"/>
      <c r="R7" s="39"/>
      <c r="S7" s="39"/>
      <c r="T7" s="39"/>
      <c r="U7" s="39"/>
      <c r="V7" s="39"/>
      <c r="W7" s="39"/>
    </row>
    <row r="8" spans="1:24" ht="22.5" customHeight="1">
      <c r="A8" s="172"/>
      <c r="B8" s="81" t="s">
        <v>122</v>
      </c>
      <c r="C8" s="38" t="s">
        <v>27</v>
      </c>
      <c r="D8" s="39" t="s">
        <v>163</v>
      </c>
      <c r="E8" s="39" t="s">
        <v>162</v>
      </c>
      <c r="F8" s="39" t="s">
        <v>163</v>
      </c>
      <c r="G8" s="39" t="s">
        <v>162</v>
      </c>
      <c r="H8" s="39" t="s">
        <v>162</v>
      </c>
      <c r="I8" s="39" t="s">
        <v>162</v>
      </c>
      <c r="J8" s="39" t="s">
        <v>163</v>
      </c>
      <c r="K8" s="39" t="s">
        <v>119</v>
      </c>
      <c r="L8" s="39" t="s">
        <v>163</v>
      </c>
      <c r="M8" s="39" t="s">
        <v>162</v>
      </c>
      <c r="N8" s="39" t="s">
        <v>162</v>
      </c>
      <c r="O8" s="39" t="s">
        <v>163</v>
      </c>
      <c r="P8" s="39" t="s">
        <v>119</v>
      </c>
      <c r="Q8" s="39"/>
      <c r="R8" s="39"/>
      <c r="S8" s="39"/>
      <c r="T8" s="39"/>
      <c r="U8" s="39"/>
      <c r="V8" s="39"/>
      <c r="W8" s="39"/>
    </row>
    <row r="9" spans="1:24" ht="22.5" customHeight="1">
      <c r="A9" s="172"/>
      <c r="B9" s="81" t="s">
        <v>123</v>
      </c>
      <c r="C9" s="38" t="s">
        <v>27</v>
      </c>
      <c r="D9" s="39" t="s">
        <v>137</v>
      </c>
      <c r="E9" s="39" t="s">
        <v>162</v>
      </c>
      <c r="F9" s="39" t="s">
        <v>163</v>
      </c>
      <c r="G9" s="39" t="s">
        <v>119</v>
      </c>
      <c r="H9" s="39" t="s">
        <v>163</v>
      </c>
      <c r="I9" s="39" t="s">
        <v>207</v>
      </c>
      <c r="J9" s="39" t="s">
        <v>119</v>
      </c>
      <c r="K9" s="39" t="s">
        <v>163</v>
      </c>
      <c r="L9" s="39" t="s">
        <v>162</v>
      </c>
      <c r="M9" s="39" t="s">
        <v>162</v>
      </c>
      <c r="N9" s="39" t="s">
        <v>162</v>
      </c>
      <c r="O9" s="39" t="s">
        <v>163</v>
      </c>
      <c r="P9" s="39" t="s">
        <v>162</v>
      </c>
      <c r="Q9" s="39"/>
      <c r="R9" s="39"/>
      <c r="S9" s="39"/>
      <c r="T9" s="39"/>
      <c r="U9" s="39"/>
      <c r="V9" s="39"/>
      <c r="W9" s="39"/>
    </row>
    <row r="10" spans="1:24" ht="22.5" customHeight="1">
      <c r="A10" s="91"/>
      <c r="B10" s="81" t="s">
        <v>49</v>
      </c>
      <c r="C10" s="38" t="s">
        <v>27</v>
      </c>
      <c r="D10" s="39" t="s">
        <v>163</v>
      </c>
      <c r="E10" s="39" t="s">
        <v>163</v>
      </c>
      <c r="F10" s="39" t="s">
        <v>163</v>
      </c>
      <c r="G10" s="39" t="s">
        <v>163</v>
      </c>
      <c r="H10" s="39" t="s">
        <v>207</v>
      </c>
      <c r="I10" s="39" t="s">
        <v>163</v>
      </c>
      <c r="J10" s="39" t="s">
        <v>163</v>
      </c>
      <c r="K10" s="39" t="s">
        <v>163</v>
      </c>
      <c r="L10" s="39" t="s">
        <v>163</v>
      </c>
      <c r="M10" s="39" t="s">
        <v>163</v>
      </c>
      <c r="N10" s="39" t="s">
        <v>163</v>
      </c>
      <c r="O10" s="39" t="s">
        <v>163</v>
      </c>
      <c r="P10" s="39" t="s">
        <v>163</v>
      </c>
      <c r="Q10" s="39"/>
      <c r="R10" s="39"/>
      <c r="S10" s="39"/>
      <c r="T10" s="39"/>
      <c r="U10" s="39"/>
      <c r="V10" s="39"/>
      <c r="W10" s="39"/>
    </row>
    <row r="11" spans="1:24" ht="22.5" customHeight="1">
      <c r="A11" s="91"/>
      <c r="B11" s="81" t="s">
        <v>50</v>
      </c>
      <c r="C11" s="38" t="s">
        <v>27</v>
      </c>
      <c r="D11" s="39" t="s">
        <v>162</v>
      </c>
      <c r="E11" s="39" t="s">
        <v>162</v>
      </c>
      <c r="F11" s="39" t="s">
        <v>162</v>
      </c>
      <c r="G11" s="39" t="s">
        <v>163</v>
      </c>
      <c r="H11" s="39" t="s">
        <v>162</v>
      </c>
      <c r="I11" s="39" t="s">
        <v>163</v>
      </c>
      <c r="J11" s="39" t="s">
        <v>163</v>
      </c>
      <c r="K11" s="39" t="s">
        <v>163</v>
      </c>
      <c r="L11" s="39" t="s">
        <v>163</v>
      </c>
      <c r="M11" s="39" t="s">
        <v>162</v>
      </c>
      <c r="N11" s="39" t="s">
        <v>162</v>
      </c>
      <c r="O11" s="39" t="s">
        <v>163</v>
      </c>
      <c r="P11" s="39" t="s">
        <v>163</v>
      </c>
      <c r="Q11" s="39"/>
      <c r="R11" s="39"/>
      <c r="S11" s="39"/>
      <c r="T11" s="39"/>
      <c r="U11" s="39"/>
      <c r="V11" s="39"/>
      <c r="W11" s="39"/>
    </row>
    <row r="12" spans="1:24" ht="22.5" customHeight="1">
      <c r="A12" s="173" t="s">
        <v>34</v>
      </c>
      <c r="B12" s="174"/>
      <c r="C12" s="174"/>
      <c r="D12" s="174"/>
      <c r="E12" s="174"/>
      <c r="F12" s="174"/>
      <c r="G12" s="174"/>
      <c r="H12" s="174"/>
      <c r="I12" s="174"/>
      <c r="J12" s="174"/>
      <c r="K12" s="174"/>
      <c r="L12" s="174"/>
      <c r="M12" s="174"/>
      <c r="N12" s="174"/>
      <c r="O12" s="174"/>
      <c r="P12" s="174"/>
      <c r="Q12" s="174"/>
      <c r="R12" s="174"/>
      <c r="S12" s="174"/>
      <c r="T12" s="174"/>
      <c r="U12" s="174"/>
      <c r="V12" s="174"/>
      <c r="W12" s="175"/>
    </row>
    <row r="13" spans="1:24" ht="22.5" customHeight="1">
      <c r="A13" s="52" t="s">
        <v>80</v>
      </c>
      <c r="B13" s="156" t="s">
        <v>124</v>
      </c>
      <c r="C13" s="157"/>
      <c r="D13" s="157"/>
      <c r="E13" s="157"/>
      <c r="F13" s="157"/>
      <c r="G13" s="157"/>
      <c r="H13" s="157"/>
      <c r="I13" s="157"/>
      <c r="J13" s="157"/>
      <c r="K13" s="157"/>
      <c r="L13" s="157"/>
      <c r="M13" s="157"/>
      <c r="N13" s="157"/>
      <c r="O13" s="157"/>
      <c r="P13" s="157"/>
      <c r="Q13" s="157"/>
      <c r="R13" s="157"/>
      <c r="S13" s="157"/>
      <c r="T13" s="157"/>
      <c r="U13" s="157"/>
      <c r="V13" s="157"/>
      <c r="W13" s="158"/>
    </row>
    <row r="14" spans="1:24" ht="22.5" customHeight="1">
      <c r="A14" s="52" t="s">
        <v>81</v>
      </c>
      <c r="B14" s="156" t="s">
        <v>124</v>
      </c>
      <c r="C14" s="157"/>
      <c r="D14" s="157"/>
      <c r="E14" s="157"/>
      <c r="F14" s="157"/>
      <c r="G14" s="157"/>
      <c r="H14" s="157"/>
      <c r="I14" s="157"/>
      <c r="J14" s="157"/>
      <c r="K14" s="157"/>
      <c r="L14" s="157"/>
      <c r="M14" s="157"/>
      <c r="N14" s="157"/>
      <c r="O14" s="157"/>
      <c r="P14" s="157"/>
      <c r="Q14" s="157"/>
      <c r="R14" s="157"/>
      <c r="S14" s="157"/>
      <c r="T14" s="157"/>
      <c r="U14" s="157"/>
      <c r="V14" s="157"/>
      <c r="W14" s="158"/>
    </row>
    <row r="15" spans="1:24" ht="22.5" customHeight="1">
      <c r="A15" s="52" t="s">
        <v>82</v>
      </c>
      <c r="B15" s="156" t="s">
        <v>125</v>
      </c>
      <c r="C15" s="157"/>
      <c r="D15" s="157"/>
      <c r="E15" s="157"/>
      <c r="F15" s="157"/>
      <c r="G15" s="157"/>
      <c r="H15" s="157"/>
      <c r="I15" s="157"/>
      <c r="J15" s="157"/>
      <c r="K15" s="157"/>
      <c r="L15" s="157"/>
      <c r="M15" s="157"/>
      <c r="N15" s="157"/>
      <c r="O15" s="157"/>
      <c r="P15" s="157"/>
      <c r="Q15" s="157"/>
      <c r="R15" s="157"/>
      <c r="S15" s="157"/>
      <c r="T15" s="157"/>
      <c r="U15" s="157"/>
      <c r="V15" s="157"/>
      <c r="W15" s="158"/>
    </row>
    <row r="16" spans="1:24" ht="22.5" customHeight="1">
      <c r="A16" s="52" t="s">
        <v>83</v>
      </c>
      <c r="B16" s="156" t="s">
        <v>126</v>
      </c>
      <c r="C16" s="157"/>
      <c r="D16" s="157"/>
      <c r="E16" s="157"/>
      <c r="F16" s="157"/>
      <c r="G16" s="157"/>
      <c r="H16" s="157"/>
      <c r="I16" s="157"/>
      <c r="J16" s="157"/>
      <c r="K16" s="157"/>
      <c r="L16" s="157"/>
      <c r="M16" s="157"/>
      <c r="N16" s="157"/>
      <c r="O16" s="157"/>
      <c r="P16" s="157"/>
      <c r="Q16" s="157"/>
      <c r="R16" s="157"/>
      <c r="S16" s="157"/>
      <c r="T16" s="157"/>
      <c r="U16" s="157"/>
      <c r="V16" s="157"/>
      <c r="W16" s="158"/>
    </row>
    <row r="17" spans="1:24" ht="22.5" customHeight="1">
      <c r="A17" s="52" t="s">
        <v>84</v>
      </c>
      <c r="B17" s="156" t="s">
        <v>127</v>
      </c>
      <c r="C17" s="157"/>
      <c r="D17" s="157"/>
      <c r="E17" s="157"/>
      <c r="F17" s="157"/>
      <c r="G17" s="157"/>
      <c r="H17" s="157"/>
      <c r="I17" s="157"/>
      <c r="J17" s="157"/>
      <c r="K17" s="157"/>
      <c r="L17" s="157"/>
      <c r="M17" s="157"/>
      <c r="N17" s="157"/>
      <c r="O17" s="157"/>
      <c r="P17" s="157"/>
      <c r="Q17" s="157"/>
      <c r="R17" s="157"/>
      <c r="S17" s="157"/>
      <c r="T17" s="157"/>
      <c r="U17" s="157"/>
      <c r="V17" s="157"/>
      <c r="W17" s="158"/>
    </row>
    <row r="18" spans="1:24" ht="22.5" customHeight="1">
      <c r="A18" s="52" t="s">
        <v>85</v>
      </c>
      <c r="B18" s="156" t="s">
        <v>128</v>
      </c>
      <c r="C18" s="157"/>
      <c r="D18" s="157"/>
      <c r="E18" s="157"/>
      <c r="F18" s="157"/>
      <c r="G18" s="157"/>
      <c r="H18" s="157"/>
      <c r="I18" s="157"/>
      <c r="J18" s="157"/>
      <c r="K18" s="157"/>
      <c r="L18" s="157"/>
      <c r="M18" s="157"/>
      <c r="N18" s="157"/>
      <c r="O18" s="157"/>
      <c r="P18" s="157"/>
      <c r="Q18" s="157"/>
      <c r="R18" s="157"/>
      <c r="S18" s="157"/>
      <c r="T18" s="157"/>
      <c r="U18" s="157"/>
      <c r="V18" s="157"/>
      <c r="W18" s="158"/>
    </row>
    <row r="19" spans="1:24" ht="22.5" customHeight="1">
      <c r="A19" s="52" t="s">
        <v>86</v>
      </c>
      <c r="B19" s="156" t="s">
        <v>127</v>
      </c>
      <c r="C19" s="157"/>
      <c r="D19" s="157"/>
      <c r="E19" s="157"/>
      <c r="F19" s="157"/>
      <c r="G19" s="157"/>
      <c r="H19" s="157"/>
      <c r="I19" s="157"/>
      <c r="J19" s="157"/>
      <c r="K19" s="157"/>
      <c r="L19" s="157"/>
      <c r="M19" s="157"/>
      <c r="N19" s="157"/>
      <c r="O19" s="157"/>
      <c r="P19" s="157"/>
      <c r="Q19" s="157"/>
      <c r="R19" s="157"/>
      <c r="S19" s="157"/>
      <c r="T19" s="157"/>
      <c r="U19" s="157"/>
      <c r="V19" s="157"/>
      <c r="W19" s="158"/>
    </row>
    <row r="20" spans="1:24" ht="22.5" customHeight="1">
      <c r="A20" s="52" t="s">
        <v>87</v>
      </c>
      <c r="B20" s="156" t="s">
        <v>129</v>
      </c>
      <c r="C20" s="157"/>
      <c r="D20" s="157"/>
      <c r="E20" s="157"/>
      <c r="F20" s="157"/>
      <c r="G20" s="157"/>
      <c r="H20" s="157"/>
      <c r="I20" s="157"/>
      <c r="J20" s="157"/>
      <c r="K20" s="157"/>
      <c r="L20" s="157"/>
      <c r="M20" s="157"/>
      <c r="N20" s="157"/>
      <c r="O20" s="157"/>
      <c r="P20" s="157"/>
      <c r="Q20" s="157"/>
      <c r="R20" s="157"/>
      <c r="S20" s="157"/>
      <c r="T20" s="157"/>
      <c r="U20" s="157"/>
      <c r="V20" s="157"/>
      <c r="W20" s="158"/>
    </row>
    <row r="21" spans="1:24" ht="22.5" customHeight="1">
      <c r="A21" s="52" t="s">
        <v>88</v>
      </c>
      <c r="B21" s="156" t="s">
        <v>128</v>
      </c>
      <c r="C21" s="157"/>
      <c r="D21" s="157"/>
      <c r="E21" s="157"/>
      <c r="F21" s="157"/>
      <c r="G21" s="157"/>
      <c r="H21" s="157"/>
      <c r="I21" s="157"/>
      <c r="J21" s="157"/>
      <c r="K21" s="157"/>
      <c r="L21" s="157"/>
      <c r="M21" s="157"/>
      <c r="N21" s="157"/>
      <c r="O21" s="157"/>
      <c r="P21" s="157"/>
      <c r="Q21" s="157"/>
      <c r="R21" s="157"/>
      <c r="S21" s="157"/>
      <c r="T21" s="157"/>
      <c r="U21" s="157"/>
      <c r="V21" s="157"/>
      <c r="W21" s="158"/>
    </row>
    <row r="22" spans="1:24" ht="22.5" customHeight="1">
      <c r="A22" s="52" t="s">
        <v>89</v>
      </c>
      <c r="B22" s="156" t="s">
        <v>130</v>
      </c>
      <c r="C22" s="157"/>
      <c r="D22" s="157"/>
      <c r="E22" s="157"/>
      <c r="F22" s="157"/>
      <c r="G22" s="157"/>
      <c r="H22" s="157"/>
      <c r="I22" s="157"/>
      <c r="J22" s="157"/>
      <c r="K22" s="157"/>
      <c r="L22" s="157"/>
      <c r="M22" s="157"/>
      <c r="N22" s="157"/>
      <c r="O22" s="157"/>
      <c r="P22" s="157"/>
      <c r="Q22" s="157"/>
      <c r="R22" s="157"/>
      <c r="S22" s="157"/>
      <c r="T22" s="157"/>
      <c r="U22" s="157"/>
      <c r="V22" s="157"/>
      <c r="W22" s="158"/>
    </row>
    <row r="23" spans="1:24" ht="22.5" customHeight="1">
      <c r="A23" s="52" t="s">
        <v>90</v>
      </c>
      <c r="B23" s="156" t="s">
        <v>126</v>
      </c>
      <c r="C23" s="157"/>
      <c r="D23" s="157"/>
      <c r="E23" s="157"/>
      <c r="F23" s="157"/>
      <c r="G23" s="157"/>
      <c r="H23" s="157"/>
      <c r="I23" s="157"/>
      <c r="J23" s="157"/>
      <c r="K23" s="157"/>
      <c r="L23" s="157"/>
      <c r="M23" s="157"/>
      <c r="N23" s="157"/>
      <c r="O23" s="157"/>
      <c r="P23" s="157"/>
      <c r="Q23" s="157"/>
      <c r="R23" s="157"/>
      <c r="S23" s="157"/>
      <c r="T23" s="157"/>
      <c r="U23" s="157"/>
      <c r="V23" s="157"/>
      <c r="W23" s="158"/>
    </row>
    <row r="24" spans="1:24" ht="22.5" customHeight="1">
      <c r="A24" s="52" t="s">
        <v>91</v>
      </c>
      <c r="B24" s="156" t="s">
        <v>131</v>
      </c>
      <c r="C24" s="157"/>
      <c r="D24" s="157"/>
      <c r="E24" s="157"/>
      <c r="F24" s="157"/>
      <c r="G24" s="157"/>
      <c r="H24" s="157"/>
      <c r="I24" s="157"/>
      <c r="J24" s="157"/>
      <c r="K24" s="157"/>
      <c r="L24" s="157"/>
      <c r="M24" s="157"/>
      <c r="N24" s="157"/>
      <c r="O24" s="157"/>
      <c r="P24" s="157"/>
      <c r="Q24" s="157"/>
      <c r="R24" s="157"/>
      <c r="S24" s="157"/>
      <c r="T24" s="157"/>
      <c r="U24" s="157"/>
      <c r="V24" s="157"/>
      <c r="W24" s="158"/>
    </row>
    <row r="25" spans="1:24" ht="22.5" customHeight="1">
      <c r="A25" s="52" t="s">
        <v>92</v>
      </c>
      <c r="B25" s="156" t="s">
        <v>128</v>
      </c>
      <c r="C25" s="157"/>
      <c r="D25" s="157"/>
      <c r="E25" s="157"/>
      <c r="F25" s="157"/>
      <c r="G25" s="157"/>
      <c r="H25" s="157"/>
      <c r="I25" s="157"/>
      <c r="J25" s="157"/>
      <c r="K25" s="157"/>
      <c r="L25" s="157"/>
      <c r="M25" s="157"/>
      <c r="N25" s="157"/>
      <c r="O25" s="157"/>
      <c r="P25" s="157"/>
      <c r="Q25" s="157"/>
      <c r="R25" s="157"/>
      <c r="S25" s="157"/>
      <c r="T25" s="157"/>
      <c r="U25" s="157"/>
      <c r="V25" s="157"/>
      <c r="W25" s="158"/>
    </row>
    <row r="26" spans="1:24" ht="22.5" customHeight="1">
      <c r="A26" s="52"/>
      <c r="B26" s="156"/>
      <c r="C26" s="157"/>
      <c r="D26" s="157"/>
      <c r="E26" s="157"/>
      <c r="F26" s="157"/>
      <c r="G26" s="157"/>
      <c r="H26" s="157"/>
      <c r="I26" s="157"/>
      <c r="J26" s="157"/>
      <c r="K26" s="157"/>
      <c r="L26" s="157"/>
      <c r="M26" s="157"/>
      <c r="N26" s="157"/>
      <c r="O26" s="157"/>
      <c r="P26" s="157"/>
      <c r="Q26" s="157"/>
      <c r="R26" s="157"/>
      <c r="S26" s="157"/>
      <c r="T26" s="157"/>
      <c r="U26" s="157"/>
      <c r="V26" s="157"/>
      <c r="W26" s="158"/>
    </row>
    <row r="27" spans="1:24" ht="22.5" customHeight="1">
      <c r="A27" s="52"/>
      <c r="B27" s="156"/>
      <c r="C27" s="157"/>
      <c r="D27" s="157"/>
      <c r="E27" s="157"/>
      <c r="F27" s="157"/>
      <c r="G27" s="157"/>
      <c r="H27" s="157"/>
      <c r="I27" s="157"/>
      <c r="J27" s="157"/>
      <c r="K27" s="157"/>
      <c r="L27" s="157"/>
      <c r="M27" s="157"/>
      <c r="N27" s="157"/>
      <c r="O27" s="157"/>
      <c r="P27" s="157"/>
      <c r="Q27" s="157"/>
      <c r="R27" s="157"/>
      <c r="S27" s="157"/>
      <c r="T27" s="157"/>
      <c r="U27" s="157"/>
      <c r="V27" s="157"/>
      <c r="W27" s="158"/>
    </row>
    <row r="28" spans="1:24" ht="22.5" customHeight="1">
      <c r="A28" s="52"/>
      <c r="B28" s="156"/>
      <c r="C28" s="157"/>
      <c r="D28" s="157"/>
      <c r="E28" s="157"/>
      <c r="F28" s="157"/>
      <c r="G28" s="157"/>
      <c r="H28" s="157"/>
      <c r="I28" s="157"/>
      <c r="J28" s="157"/>
      <c r="K28" s="157"/>
      <c r="L28" s="157"/>
      <c r="M28" s="157"/>
      <c r="N28" s="157"/>
      <c r="O28" s="157"/>
      <c r="P28" s="157"/>
      <c r="Q28" s="157"/>
      <c r="R28" s="157"/>
      <c r="S28" s="157"/>
      <c r="T28" s="157"/>
      <c r="U28" s="157"/>
      <c r="V28" s="157"/>
      <c r="W28" s="158"/>
    </row>
    <row r="29" spans="1:24" ht="22.5" customHeight="1">
      <c r="A29" s="52"/>
      <c r="B29" s="156"/>
      <c r="C29" s="157"/>
      <c r="D29" s="157"/>
      <c r="E29" s="157"/>
      <c r="F29" s="157"/>
      <c r="G29" s="157"/>
      <c r="H29" s="157"/>
      <c r="I29" s="157"/>
      <c r="J29" s="157"/>
      <c r="K29" s="157"/>
      <c r="L29" s="157"/>
      <c r="M29" s="157"/>
      <c r="N29" s="157"/>
      <c r="O29" s="157"/>
      <c r="P29" s="157"/>
      <c r="Q29" s="157"/>
      <c r="R29" s="157"/>
      <c r="S29" s="157"/>
      <c r="T29" s="157"/>
      <c r="U29" s="157"/>
      <c r="V29" s="157"/>
      <c r="W29" s="158"/>
    </row>
    <row r="30" spans="1:24" ht="22.5" customHeight="1">
      <c r="A30" s="52"/>
      <c r="B30" s="156"/>
      <c r="C30" s="157"/>
      <c r="D30" s="157"/>
      <c r="E30" s="157"/>
      <c r="F30" s="157"/>
      <c r="G30" s="157"/>
      <c r="H30" s="157"/>
      <c r="I30" s="157"/>
      <c r="J30" s="157"/>
      <c r="K30" s="157"/>
      <c r="L30" s="157"/>
      <c r="M30" s="157"/>
      <c r="N30" s="157"/>
      <c r="O30" s="157"/>
      <c r="P30" s="157"/>
      <c r="Q30" s="157"/>
      <c r="R30" s="157"/>
      <c r="S30" s="157"/>
      <c r="T30" s="157"/>
      <c r="U30" s="157"/>
      <c r="V30" s="157"/>
      <c r="W30" s="158"/>
    </row>
    <row r="31" spans="1:24" ht="22.5" customHeight="1">
      <c r="A31" s="52"/>
      <c r="B31" s="156"/>
      <c r="C31" s="157"/>
      <c r="D31" s="157"/>
      <c r="E31" s="157"/>
      <c r="F31" s="157"/>
      <c r="G31" s="157"/>
      <c r="H31" s="157"/>
      <c r="I31" s="157"/>
      <c r="J31" s="157"/>
      <c r="K31" s="157"/>
      <c r="L31" s="157"/>
      <c r="M31" s="157"/>
      <c r="N31" s="157"/>
      <c r="O31" s="157"/>
      <c r="P31" s="157"/>
      <c r="Q31" s="157"/>
      <c r="R31" s="157"/>
      <c r="S31" s="157"/>
      <c r="T31" s="157"/>
      <c r="U31" s="157"/>
      <c r="V31" s="157"/>
      <c r="W31" s="158"/>
    </row>
    <row r="32" spans="1:24" ht="22.5" customHeight="1">
      <c r="A32" s="52"/>
      <c r="B32" s="156"/>
      <c r="C32" s="157"/>
      <c r="D32" s="157"/>
      <c r="E32" s="157"/>
      <c r="F32" s="157"/>
      <c r="G32" s="157"/>
      <c r="H32" s="157"/>
      <c r="I32" s="157"/>
      <c r="J32" s="157"/>
      <c r="K32" s="157"/>
      <c r="L32" s="157"/>
      <c r="M32" s="157"/>
      <c r="N32" s="157"/>
      <c r="O32" s="157"/>
      <c r="P32" s="157"/>
      <c r="Q32" s="157"/>
      <c r="R32" s="157"/>
      <c r="S32" s="157"/>
      <c r="T32" s="157"/>
      <c r="U32" s="157"/>
      <c r="V32" s="157"/>
      <c r="W32" s="158"/>
      <c r="X32" s="47" t="s">
        <v>31</v>
      </c>
    </row>
    <row r="33" spans="1:24" ht="22.5" customHeight="1">
      <c r="A33" s="179" t="s">
        <v>208</v>
      </c>
      <c r="B33" s="180"/>
      <c r="C33" s="180"/>
      <c r="D33" s="180"/>
      <c r="E33" s="180"/>
      <c r="F33" s="180"/>
      <c r="G33" s="180"/>
      <c r="H33" s="180"/>
      <c r="I33" s="180"/>
      <c r="J33" s="180"/>
      <c r="K33" s="180"/>
      <c r="L33" s="180"/>
      <c r="M33" s="180"/>
      <c r="N33" s="180"/>
      <c r="O33" s="180"/>
      <c r="P33" s="180"/>
      <c r="Q33" s="180"/>
      <c r="R33" s="180"/>
      <c r="S33" s="180"/>
      <c r="T33" s="180"/>
      <c r="U33" s="180"/>
      <c r="V33" s="180"/>
      <c r="W33" s="181"/>
      <c r="X33" s="8" t="s">
        <v>209</v>
      </c>
    </row>
    <row r="34" spans="1:24" ht="76.5" customHeight="1">
      <c r="A34" s="92" t="str">
        <f>A13</f>
        <v>市田 琴春</v>
      </c>
      <c r="B34" s="176" t="s">
        <v>138</v>
      </c>
      <c r="C34" s="177"/>
      <c r="D34" s="177"/>
      <c r="E34" s="177"/>
      <c r="F34" s="177"/>
      <c r="G34" s="177"/>
      <c r="H34" s="177"/>
      <c r="I34" s="177"/>
      <c r="J34" s="177"/>
      <c r="K34" s="177"/>
      <c r="L34" s="177"/>
      <c r="M34" s="177"/>
      <c r="N34" s="177"/>
      <c r="O34" s="177"/>
      <c r="P34" s="177"/>
      <c r="Q34" s="177"/>
      <c r="R34" s="177"/>
      <c r="S34" s="177"/>
      <c r="T34" s="177"/>
      <c r="U34" s="177"/>
      <c r="V34" s="177"/>
      <c r="W34" s="178"/>
      <c r="X34" s="8">
        <f>LEN(B34)</f>
        <v>466</v>
      </c>
    </row>
    <row r="35" spans="1:24" ht="76.5" customHeight="1">
      <c r="A35" s="92" t="str">
        <f t="shared" ref="A35:A53" si="0">A14</f>
        <v>伊藤 百音</v>
      </c>
      <c r="B35" s="176" t="s">
        <v>139</v>
      </c>
      <c r="C35" s="177"/>
      <c r="D35" s="177"/>
      <c r="E35" s="177"/>
      <c r="F35" s="177"/>
      <c r="G35" s="177"/>
      <c r="H35" s="177"/>
      <c r="I35" s="177"/>
      <c r="J35" s="177"/>
      <c r="K35" s="177"/>
      <c r="L35" s="177"/>
      <c r="M35" s="177"/>
      <c r="N35" s="177"/>
      <c r="O35" s="177"/>
      <c r="P35" s="177"/>
      <c r="Q35" s="177"/>
      <c r="R35" s="177"/>
      <c r="S35" s="177"/>
      <c r="T35" s="177"/>
      <c r="U35" s="177"/>
      <c r="V35" s="177"/>
      <c r="W35" s="178"/>
      <c r="X35" s="8">
        <f t="shared" ref="X35:X53" si="1">LEN(B35)</f>
        <v>443</v>
      </c>
    </row>
    <row r="36" spans="1:24" ht="76.5" customHeight="1">
      <c r="A36" s="92" t="str">
        <f t="shared" si="0"/>
        <v>岩下 美音</v>
      </c>
      <c r="B36" s="176" t="s">
        <v>164</v>
      </c>
      <c r="C36" s="177"/>
      <c r="D36" s="177"/>
      <c r="E36" s="177"/>
      <c r="F36" s="177"/>
      <c r="G36" s="177"/>
      <c r="H36" s="177"/>
      <c r="I36" s="177"/>
      <c r="J36" s="177"/>
      <c r="K36" s="177"/>
      <c r="L36" s="177"/>
      <c r="M36" s="177"/>
      <c r="N36" s="177"/>
      <c r="O36" s="177"/>
      <c r="P36" s="177"/>
      <c r="Q36" s="177"/>
      <c r="R36" s="177"/>
      <c r="S36" s="177"/>
      <c r="T36" s="177"/>
      <c r="U36" s="177"/>
      <c r="V36" s="177"/>
      <c r="W36" s="178"/>
      <c r="X36" s="8">
        <f t="shared" si="1"/>
        <v>476</v>
      </c>
    </row>
    <row r="37" spans="1:24" ht="76.5" customHeight="1">
      <c r="A37" s="92" t="str">
        <f t="shared" si="0"/>
        <v>大澤 涼真</v>
      </c>
      <c r="B37" s="176" t="s">
        <v>140</v>
      </c>
      <c r="C37" s="177"/>
      <c r="D37" s="177"/>
      <c r="E37" s="177"/>
      <c r="F37" s="177"/>
      <c r="G37" s="177"/>
      <c r="H37" s="177"/>
      <c r="I37" s="177"/>
      <c r="J37" s="177"/>
      <c r="K37" s="177"/>
      <c r="L37" s="177"/>
      <c r="M37" s="177"/>
      <c r="N37" s="177"/>
      <c r="O37" s="177"/>
      <c r="P37" s="177"/>
      <c r="Q37" s="177"/>
      <c r="R37" s="177"/>
      <c r="S37" s="177"/>
      <c r="T37" s="177"/>
      <c r="U37" s="177"/>
      <c r="V37" s="177"/>
      <c r="W37" s="178"/>
      <c r="X37" s="8">
        <f t="shared" si="1"/>
        <v>456</v>
      </c>
    </row>
    <row r="38" spans="1:24" ht="76.5" customHeight="1">
      <c r="A38" s="92" t="str">
        <f t="shared" si="0"/>
        <v>笠原 由楓</v>
      </c>
      <c r="B38" s="176" t="s">
        <v>141</v>
      </c>
      <c r="C38" s="177"/>
      <c r="D38" s="177"/>
      <c r="E38" s="177"/>
      <c r="F38" s="177"/>
      <c r="G38" s="177"/>
      <c r="H38" s="177"/>
      <c r="I38" s="177"/>
      <c r="J38" s="177"/>
      <c r="K38" s="177"/>
      <c r="L38" s="177"/>
      <c r="M38" s="177"/>
      <c r="N38" s="177"/>
      <c r="O38" s="177"/>
      <c r="P38" s="177"/>
      <c r="Q38" s="177"/>
      <c r="R38" s="177"/>
      <c r="S38" s="177"/>
      <c r="T38" s="177"/>
      <c r="U38" s="177"/>
      <c r="V38" s="177"/>
      <c r="W38" s="178"/>
      <c r="X38" s="8">
        <f t="shared" si="1"/>
        <v>448</v>
      </c>
    </row>
    <row r="39" spans="1:24" ht="76.5" customHeight="1">
      <c r="A39" s="92" t="str">
        <f t="shared" si="0"/>
        <v>芝田 人慈</v>
      </c>
      <c r="B39" s="176" t="s">
        <v>132</v>
      </c>
      <c r="C39" s="177"/>
      <c r="D39" s="177"/>
      <c r="E39" s="177"/>
      <c r="F39" s="177"/>
      <c r="G39" s="177"/>
      <c r="H39" s="177"/>
      <c r="I39" s="177"/>
      <c r="J39" s="177"/>
      <c r="K39" s="177"/>
      <c r="L39" s="177"/>
      <c r="M39" s="177"/>
      <c r="N39" s="177"/>
      <c r="O39" s="177"/>
      <c r="P39" s="177"/>
      <c r="Q39" s="177"/>
      <c r="R39" s="177"/>
      <c r="S39" s="177"/>
      <c r="T39" s="177"/>
      <c r="U39" s="177"/>
      <c r="V39" s="177"/>
      <c r="W39" s="178"/>
      <c r="X39" s="8">
        <f t="shared" si="1"/>
        <v>433</v>
      </c>
    </row>
    <row r="40" spans="1:24" ht="76.5" customHeight="1">
      <c r="A40" s="92" t="str">
        <f t="shared" si="0"/>
        <v>菅谷 彩桜</v>
      </c>
      <c r="B40" s="176" t="s">
        <v>142</v>
      </c>
      <c r="C40" s="177"/>
      <c r="D40" s="177"/>
      <c r="E40" s="177"/>
      <c r="F40" s="177"/>
      <c r="G40" s="177"/>
      <c r="H40" s="177"/>
      <c r="I40" s="177"/>
      <c r="J40" s="177"/>
      <c r="K40" s="177"/>
      <c r="L40" s="177"/>
      <c r="M40" s="177"/>
      <c r="N40" s="177"/>
      <c r="O40" s="177"/>
      <c r="P40" s="177"/>
      <c r="Q40" s="177"/>
      <c r="R40" s="177"/>
      <c r="S40" s="177"/>
      <c r="T40" s="177"/>
      <c r="U40" s="177"/>
      <c r="V40" s="177"/>
      <c r="W40" s="178"/>
      <c r="X40" s="8">
        <f t="shared" si="1"/>
        <v>446</v>
      </c>
    </row>
    <row r="41" spans="1:24" ht="76.5" customHeight="1">
      <c r="A41" s="92" t="str">
        <f t="shared" si="0"/>
        <v>中川 杏</v>
      </c>
      <c r="B41" s="176" t="s">
        <v>165</v>
      </c>
      <c r="C41" s="177"/>
      <c r="D41" s="177"/>
      <c r="E41" s="177"/>
      <c r="F41" s="177"/>
      <c r="G41" s="177"/>
      <c r="H41" s="177"/>
      <c r="I41" s="177"/>
      <c r="J41" s="177"/>
      <c r="K41" s="177"/>
      <c r="L41" s="177"/>
      <c r="M41" s="177"/>
      <c r="N41" s="177"/>
      <c r="O41" s="177"/>
      <c r="P41" s="177"/>
      <c r="Q41" s="177"/>
      <c r="R41" s="177"/>
      <c r="S41" s="177"/>
      <c r="T41" s="177"/>
      <c r="U41" s="177"/>
      <c r="V41" s="177"/>
      <c r="W41" s="178"/>
      <c r="X41" s="8">
        <f t="shared" si="1"/>
        <v>442</v>
      </c>
    </row>
    <row r="42" spans="1:24" ht="76.5" customHeight="1">
      <c r="A42" s="92" t="str">
        <f t="shared" si="0"/>
        <v>原田 絢匡</v>
      </c>
      <c r="B42" s="176" t="s">
        <v>166</v>
      </c>
      <c r="C42" s="177"/>
      <c r="D42" s="177"/>
      <c r="E42" s="177"/>
      <c r="F42" s="177"/>
      <c r="G42" s="177"/>
      <c r="H42" s="177"/>
      <c r="I42" s="177"/>
      <c r="J42" s="177"/>
      <c r="K42" s="177"/>
      <c r="L42" s="177"/>
      <c r="M42" s="177"/>
      <c r="N42" s="177"/>
      <c r="O42" s="177"/>
      <c r="P42" s="177"/>
      <c r="Q42" s="177"/>
      <c r="R42" s="177"/>
      <c r="S42" s="177"/>
      <c r="T42" s="177"/>
      <c r="U42" s="177"/>
      <c r="V42" s="177"/>
      <c r="W42" s="178"/>
      <c r="X42" s="8">
        <f t="shared" si="1"/>
        <v>441</v>
      </c>
    </row>
    <row r="43" spans="1:24" ht="76.5" customHeight="1">
      <c r="A43" s="92" t="str">
        <f t="shared" si="0"/>
        <v>藤本 慎士</v>
      </c>
      <c r="B43" s="176" t="s">
        <v>167</v>
      </c>
      <c r="C43" s="177"/>
      <c r="D43" s="177"/>
      <c r="E43" s="177"/>
      <c r="F43" s="177"/>
      <c r="G43" s="177"/>
      <c r="H43" s="177"/>
      <c r="I43" s="177"/>
      <c r="J43" s="177"/>
      <c r="K43" s="177"/>
      <c r="L43" s="177"/>
      <c r="M43" s="177"/>
      <c r="N43" s="177"/>
      <c r="O43" s="177"/>
      <c r="P43" s="177"/>
      <c r="Q43" s="177"/>
      <c r="R43" s="177"/>
      <c r="S43" s="177"/>
      <c r="T43" s="177"/>
      <c r="U43" s="177"/>
      <c r="V43" s="177"/>
      <c r="W43" s="178"/>
      <c r="X43" s="8">
        <f t="shared" si="1"/>
        <v>414</v>
      </c>
    </row>
    <row r="44" spans="1:24" ht="76.5" customHeight="1">
      <c r="A44" s="92" t="str">
        <f t="shared" si="0"/>
        <v>古畑 睦季</v>
      </c>
      <c r="B44" s="176" t="s">
        <v>143</v>
      </c>
      <c r="C44" s="177"/>
      <c r="D44" s="177"/>
      <c r="E44" s="177"/>
      <c r="F44" s="177"/>
      <c r="G44" s="177"/>
      <c r="H44" s="177"/>
      <c r="I44" s="177"/>
      <c r="J44" s="177"/>
      <c r="K44" s="177"/>
      <c r="L44" s="177"/>
      <c r="M44" s="177"/>
      <c r="N44" s="177"/>
      <c r="O44" s="177"/>
      <c r="P44" s="177"/>
      <c r="Q44" s="177"/>
      <c r="R44" s="177"/>
      <c r="S44" s="177"/>
      <c r="T44" s="177"/>
      <c r="U44" s="177"/>
      <c r="V44" s="177"/>
      <c r="W44" s="178"/>
      <c r="X44" s="8">
        <f t="shared" si="1"/>
        <v>449</v>
      </c>
    </row>
    <row r="45" spans="1:24" ht="76.5" customHeight="1">
      <c r="A45" s="92" t="str">
        <f t="shared" si="0"/>
        <v>三澤 昊來</v>
      </c>
      <c r="B45" s="176" t="s">
        <v>144</v>
      </c>
      <c r="C45" s="177"/>
      <c r="D45" s="177"/>
      <c r="E45" s="177"/>
      <c r="F45" s="177"/>
      <c r="G45" s="177"/>
      <c r="H45" s="177"/>
      <c r="I45" s="177"/>
      <c r="J45" s="177"/>
      <c r="K45" s="177"/>
      <c r="L45" s="177"/>
      <c r="M45" s="177"/>
      <c r="N45" s="177"/>
      <c r="O45" s="177"/>
      <c r="P45" s="177"/>
      <c r="Q45" s="177"/>
      <c r="R45" s="177"/>
      <c r="S45" s="177"/>
      <c r="T45" s="177"/>
      <c r="U45" s="177"/>
      <c r="V45" s="177"/>
      <c r="W45" s="178"/>
      <c r="X45" s="8">
        <f t="shared" si="1"/>
        <v>444</v>
      </c>
    </row>
    <row r="46" spans="1:24" ht="76.5" customHeight="1">
      <c r="A46" s="92" t="str">
        <f t="shared" si="0"/>
        <v>吉村 騰堂</v>
      </c>
      <c r="B46" s="176" t="s">
        <v>168</v>
      </c>
      <c r="C46" s="177"/>
      <c r="D46" s="177"/>
      <c r="E46" s="177"/>
      <c r="F46" s="177"/>
      <c r="G46" s="177"/>
      <c r="H46" s="177"/>
      <c r="I46" s="177"/>
      <c r="J46" s="177"/>
      <c r="K46" s="177"/>
      <c r="L46" s="177"/>
      <c r="M46" s="177"/>
      <c r="N46" s="177"/>
      <c r="O46" s="177"/>
      <c r="P46" s="177"/>
      <c r="Q46" s="177"/>
      <c r="R46" s="177"/>
      <c r="S46" s="177"/>
      <c r="T46" s="177"/>
      <c r="U46" s="177"/>
      <c r="V46" s="177"/>
      <c r="W46" s="178"/>
      <c r="X46" s="8">
        <f t="shared" si="1"/>
        <v>468</v>
      </c>
    </row>
    <row r="47" spans="1:24" ht="76.5" customHeight="1">
      <c r="A47" s="92">
        <f t="shared" si="0"/>
        <v>0</v>
      </c>
      <c r="B47" s="176"/>
      <c r="C47" s="177"/>
      <c r="D47" s="177"/>
      <c r="E47" s="177"/>
      <c r="F47" s="177"/>
      <c r="G47" s="177"/>
      <c r="H47" s="177"/>
      <c r="I47" s="177"/>
      <c r="J47" s="177"/>
      <c r="K47" s="177"/>
      <c r="L47" s="177"/>
      <c r="M47" s="177"/>
      <c r="N47" s="177"/>
      <c r="O47" s="177"/>
      <c r="P47" s="177"/>
      <c r="Q47" s="177"/>
      <c r="R47" s="177"/>
      <c r="S47" s="177"/>
      <c r="T47" s="177"/>
      <c r="U47" s="177"/>
      <c r="V47" s="177"/>
      <c r="W47" s="178"/>
      <c r="X47" s="8">
        <f t="shared" si="1"/>
        <v>0</v>
      </c>
    </row>
    <row r="48" spans="1:24" ht="76.5" customHeight="1">
      <c r="A48" s="92">
        <f t="shared" si="0"/>
        <v>0</v>
      </c>
      <c r="B48" s="176"/>
      <c r="C48" s="177"/>
      <c r="D48" s="177"/>
      <c r="E48" s="177"/>
      <c r="F48" s="177"/>
      <c r="G48" s="177"/>
      <c r="H48" s="177"/>
      <c r="I48" s="177"/>
      <c r="J48" s="177"/>
      <c r="K48" s="177"/>
      <c r="L48" s="177"/>
      <c r="M48" s="177"/>
      <c r="N48" s="177"/>
      <c r="O48" s="177"/>
      <c r="P48" s="177"/>
      <c r="Q48" s="177"/>
      <c r="R48" s="177"/>
      <c r="S48" s="177"/>
      <c r="T48" s="177"/>
      <c r="U48" s="177"/>
      <c r="V48" s="177"/>
      <c r="W48" s="178"/>
      <c r="X48" s="8">
        <f t="shared" si="1"/>
        <v>0</v>
      </c>
    </row>
    <row r="49" spans="1:24" ht="76.5" customHeight="1">
      <c r="A49" s="92">
        <f t="shared" si="0"/>
        <v>0</v>
      </c>
      <c r="B49" s="176"/>
      <c r="C49" s="177"/>
      <c r="D49" s="177"/>
      <c r="E49" s="177"/>
      <c r="F49" s="177"/>
      <c r="G49" s="177"/>
      <c r="H49" s="177"/>
      <c r="I49" s="177"/>
      <c r="J49" s="177"/>
      <c r="K49" s="177"/>
      <c r="L49" s="177"/>
      <c r="M49" s="177"/>
      <c r="N49" s="177"/>
      <c r="O49" s="177"/>
      <c r="P49" s="177"/>
      <c r="Q49" s="177"/>
      <c r="R49" s="177"/>
      <c r="S49" s="177"/>
      <c r="T49" s="177"/>
      <c r="U49" s="177"/>
      <c r="V49" s="177"/>
      <c r="W49" s="178"/>
      <c r="X49" s="8">
        <f t="shared" si="1"/>
        <v>0</v>
      </c>
    </row>
    <row r="50" spans="1:24" ht="76.5" customHeight="1">
      <c r="A50" s="92">
        <f t="shared" si="0"/>
        <v>0</v>
      </c>
      <c r="B50" s="176"/>
      <c r="C50" s="177"/>
      <c r="D50" s="177"/>
      <c r="E50" s="177"/>
      <c r="F50" s="177"/>
      <c r="G50" s="177"/>
      <c r="H50" s="177"/>
      <c r="I50" s="177"/>
      <c r="J50" s="177"/>
      <c r="K50" s="177"/>
      <c r="L50" s="177"/>
      <c r="M50" s="177"/>
      <c r="N50" s="177"/>
      <c r="O50" s="177"/>
      <c r="P50" s="177"/>
      <c r="Q50" s="177"/>
      <c r="R50" s="177"/>
      <c r="S50" s="177"/>
      <c r="T50" s="177"/>
      <c r="U50" s="177"/>
      <c r="V50" s="177"/>
      <c r="W50" s="178"/>
      <c r="X50" s="8">
        <f t="shared" si="1"/>
        <v>0</v>
      </c>
    </row>
    <row r="51" spans="1:24" ht="76.5" customHeight="1">
      <c r="A51" s="92">
        <f t="shared" si="0"/>
        <v>0</v>
      </c>
      <c r="B51" s="176"/>
      <c r="C51" s="177"/>
      <c r="D51" s="177"/>
      <c r="E51" s="177"/>
      <c r="F51" s="177"/>
      <c r="G51" s="177"/>
      <c r="H51" s="177"/>
      <c r="I51" s="177"/>
      <c r="J51" s="177"/>
      <c r="K51" s="177"/>
      <c r="L51" s="177"/>
      <c r="M51" s="177"/>
      <c r="N51" s="177"/>
      <c r="O51" s="177"/>
      <c r="P51" s="177"/>
      <c r="Q51" s="177"/>
      <c r="R51" s="177"/>
      <c r="S51" s="177"/>
      <c r="T51" s="177"/>
      <c r="U51" s="177"/>
      <c r="V51" s="177"/>
      <c r="W51" s="178"/>
      <c r="X51" s="8">
        <f t="shared" si="1"/>
        <v>0</v>
      </c>
    </row>
    <row r="52" spans="1:24" ht="76.5" customHeight="1">
      <c r="A52" s="92">
        <f t="shared" si="0"/>
        <v>0</v>
      </c>
      <c r="B52" s="176"/>
      <c r="C52" s="177"/>
      <c r="D52" s="177"/>
      <c r="E52" s="177"/>
      <c r="F52" s="177"/>
      <c r="G52" s="177"/>
      <c r="H52" s="177"/>
      <c r="I52" s="177"/>
      <c r="J52" s="177"/>
      <c r="K52" s="177"/>
      <c r="L52" s="177"/>
      <c r="M52" s="177"/>
      <c r="N52" s="177"/>
      <c r="O52" s="177"/>
      <c r="P52" s="177"/>
      <c r="Q52" s="177"/>
      <c r="R52" s="177"/>
      <c r="S52" s="177"/>
      <c r="T52" s="177"/>
      <c r="U52" s="177"/>
      <c r="V52" s="177"/>
      <c r="W52" s="178"/>
      <c r="X52" s="8">
        <f t="shared" si="1"/>
        <v>0</v>
      </c>
    </row>
    <row r="53" spans="1:24" ht="76.5" customHeight="1">
      <c r="A53" s="92">
        <f t="shared" si="0"/>
        <v>0</v>
      </c>
      <c r="B53" s="176"/>
      <c r="C53" s="177"/>
      <c r="D53" s="177"/>
      <c r="E53" s="177"/>
      <c r="F53" s="177"/>
      <c r="G53" s="177"/>
      <c r="H53" s="177"/>
      <c r="I53" s="177"/>
      <c r="J53" s="177"/>
      <c r="K53" s="177"/>
      <c r="L53" s="177"/>
      <c r="M53" s="177"/>
      <c r="N53" s="177"/>
      <c r="O53" s="177"/>
      <c r="P53" s="177"/>
      <c r="Q53" s="177"/>
      <c r="R53" s="177"/>
      <c r="S53" s="177"/>
      <c r="T53" s="177"/>
      <c r="U53" s="177"/>
      <c r="V53" s="177"/>
      <c r="W53" s="178"/>
      <c r="X53" s="8">
        <f t="shared" si="1"/>
        <v>0</v>
      </c>
    </row>
    <row r="54" spans="1:24" ht="17.25" customHeight="1"/>
    <row r="55" spans="1:24" ht="17.25" customHeight="1"/>
    <row r="56" spans="1:24" ht="17.25" customHeight="1"/>
    <row r="57" spans="1:24" ht="17.25" customHeight="1"/>
    <row r="58" spans="1:24" ht="17.25" customHeight="1"/>
    <row r="59" spans="1:24" ht="17.25" customHeight="1"/>
    <row r="60" spans="1:24" ht="17.25" customHeight="1"/>
    <row r="61" spans="1:24" ht="17.25" customHeight="1"/>
    <row r="62" spans="1:24" ht="17.25" customHeight="1"/>
    <row r="63" spans="1:24" ht="17.25" customHeight="1"/>
    <row r="64" spans="1:2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sheetData>
  <mergeCells count="43">
    <mergeCell ref="B53:W53"/>
    <mergeCell ref="B47:W47"/>
    <mergeCell ref="B48:W48"/>
    <mergeCell ref="B49:W49"/>
    <mergeCell ref="B50:W50"/>
    <mergeCell ref="B51:W51"/>
    <mergeCell ref="B52:W52"/>
    <mergeCell ref="B46:W46"/>
    <mergeCell ref="B35:W35"/>
    <mergeCell ref="B36:W36"/>
    <mergeCell ref="B37:W37"/>
    <mergeCell ref="B38:W38"/>
    <mergeCell ref="B39:W39"/>
    <mergeCell ref="B40:W40"/>
    <mergeCell ref="B41:W41"/>
    <mergeCell ref="B42:W42"/>
    <mergeCell ref="B43:W43"/>
    <mergeCell ref="B44:W44"/>
    <mergeCell ref="B45:W45"/>
    <mergeCell ref="B34:W34"/>
    <mergeCell ref="B23:W23"/>
    <mergeCell ref="B24:W24"/>
    <mergeCell ref="B25:W25"/>
    <mergeCell ref="B27:W27"/>
    <mergeCell ref="B28:W28"/>
    <mergeCell ref="B29:W29"/>
    <mergeCell ref="B30:W30"/>
    <mergeCell ref="B31:W31"/>
    <mergeCell ref="B32:W32"/>
    <mergeCell ref="A33:W33"/>
    <mergeCell ref="B26:W26"/>
    <mergeCell ref="B22:W22"/>
    <mergeCell ref="A2:A9"/>
    <mergeCell ref="A12:W12"/>
    <mergeCell ref="B13:W13"/>
    <mergeCell ref="B14:W14"/>
    <mergeCell ref="B15:W15"/>
    <mergeCell ref="B16:W16"/>
    <mergeCell ref="B17:W17"/>
    <mergeCell ref="B18:W18"/>
    <mergeCell ref="B19:W19"/>
    <mergeCell ref="B20:W20"/>
    <mergeCell ref="B21:W21"/>
  </mergeCells>
  <phoneticPr fontId="1"/>
  <conditionalFormatting sqref="X34:X53">
    <cfRule type="cellIs" dxfId="2" priority="1" operator="greaterThan">
      <formula>450</formula>
    </cfRule>
    <cfRule type="cellIs" dxfId="1" priority="2" operator="lessThan">
      <formula>400</formula>
    </cfRule>
    <cfRule type="cellIs" dxfId="0" priority="3" operator="between">
      <formula>400</formula>
      <formula>450</formula>
    </cfRule>
  </conditionalFormatting>
  <dataValidations count="1">
    <dataValidation type="list" allowBlank="1" showDropDown="1" showInputMessage="1" showErrorMessage="1" errorTitle="全角文字エラー" error="半角ABC-を入れて下さい" sqref="D2:W11">
      <formula1>$X$2:$X$5</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sheetPr>
  <dimension ref="A1:X154"/>
  <sheetViews>
    <sheetView workbookViewId="0">
      <selection sqref="A1:XFD1048576"/>
    </sheetView>
  </sheetViews>
  <sheetFormatPr defaultRowHeight="13.5"/>
  <cols>
    <col min="1" max="1" width="13.5" style="8" customWidth="1"/>
    <col min="2" max="2" width="7.5" style="8" customWidth="1"/>
    <col min="3" max="3" width="9.375" style="8" customWidth="1"/>
    <col min="4" max="23" width="6.875" style="8" customWidth="1"/>
    <col min="24" max="16384" width="9" style="8"/>
  </cols>
  <sheetData>
    <row r="1" spans="1:24" ht="85.5" customHeight="1">
      <c r="A1" s="182" t="str">
        <f ca="1">MID(CELL("filename",A1),FIND("[",CELL("filename",A1))+1,3)</f>
        <v>２－１</v>
      </c>
      <c r="B1" s="183"/>
      <c r="C1" s="184"/>
      <c r="D1" s="36" t="str">
        <f>A10</f>
        <v>市田 琴春</v>
      </c>
      <c r="E1" s="36" t="str">
        <f>A11</f>
        <v>伊藤 百音</v>
      </c>
      <c r="F1" s="36" t="str">
        <f>A12</f>
        <v>岩下 美音</v>
      </c>
      <c r="G1" s="36" t="str">
        <f>A13</f>
        <v>大澤 涼真</v>
      </c>
      <c r="H1" s="36" t="str">
        <f>A14</f>
        <v>笠原 由楓</v>
      </c>
      <c r="I1" s="36" t="str">
        <f>A15</f>
        <v>芝田 人慈</v>
      </c>
      <c r="J1" s="36" t="str">
        <f>A16</f>
        <v>菅谷 彩桜</v>
      </c>
      <c r="K1" s="36" t="str">
        <f>A17</f>
        <v>中川 杏</v>
      </c>
      <c r="L1" s="36" t="str">
        <f>A18</f>
        <v>原田 絢匡</v>
      </c>
      <c r="M1" s="36" t="str">
        <f>A19</f>
        <v>藤本 慎士</v>
      </c>
      <c r="N1" s="36" t="str">
        <f>A20</f>
        <v>古畑 睦季</v>
      </c>
      <c r="O1" s="36" t="str">
        <f>A21</f>
        <v>三澤 昊來</v>
      </c>
      <c r="P1" s="36" t="str">
        <f>A22</f>
        <v>吉村 騰堂</v>
      </c>
      <c r="Q1" s="36">
        <f>A23</f>
        <v>0</v>
      </c>
      <c r="R1" s="36">
        <f>A24</f>
        <v>0</v>
      </c>
      <c r="S1" s="36">
        <f>A25</f>
        <v>0</v>
      </c>
      <c r="T1" s="36">
        <f>A26</f>
        <v>0</v>
      </c>
      <c r="U1" s="36">
        <f>A27</f>
        <v>0</v>
      </c>
      <c r="V1" s="36">
        <f>A28</f>
        <v>0</v>
      </c>
      <c r="W1" s="36">
        <f>A29</f>
        <v>0</v>
      </c>
      <c r="X1" s="37"/>
    </row>
    <row r="2" spans="1:24" ht="22.5" customHeight="1">
      <c r="A2" s="185" t="s">
        <v>35</v>
      </c>
      <c r="B2" s="185"/>
      <c r="C2" s="185"/>
      <c r="D2" s="53">
        <v>70</v>
      </c>
      <c r="E2" s="53">
        <v>70</v>
      </c>
      <c r="F2" s="53">
        <v>70</v>
      </c>
      <c r="G2" s="53">
        <v>70</v>
      </c>
      <c r="H2" s="53">
        <v>70</v>
      </c>
      <c r="I2" s="53">
        <v>70</v>
      </c>
      <c r="J2" s="53">
        <v>70</v>
      </c>
      <c r="K2" s="53">
        <v>70</v>
      </c>
      <c r="L2" s="53">
        <v>70</v>
      </c>
      <c r="M2" s="53">
        <v>70</v>
      </c>
      <c r="N2" s="53">
        <v>70</v>
      </c>
      <c r="O2" s="53">
        <v>70</v>
      </c>
      <c r="P2" s="53">
        <v>70</v>
      </c>
      <c r="Q2" s="53"/>
      <c r="R2" s="53"/>
      <c r="S2" s="53"/>
      <c r="T2" s="53"/>
      <c r="U2" s="53"/>
      <c r="V2" s="53"/>
      <c r="W2" s="53"/>
    </row>
    <row r="3" spans="1:24" ht="22.5" customHeight="1">
      <c r="A3" s="185" t="s">
        <v>36</v>
      </c>
      <c r="B3" s="185"/>
      <c r="C3" s="185"/>
      <c r="D3" s="53">
        <v>0</v>
      </c>
      <c r="E3" s="53">
        <v>0</v>
      </c>
      <c r="F3" s="53">
        <v>0</v>
      </c>
      <c r="G3" s="53">
        <v>0</v>
      </c>
      <c r="H3" s="53">
        <v>0</v>
      </c>
      <c r="I3" s="53">
        <v>0</v>
      </c>
      <c r="J3" s="53">
        <v>3</v>
      </c>
      <c r="K3" s="53">
        <v>0</v>
      </c>
      <c r="L3" s="53">
        <v>0</v>
      </c>
      <c r="M3" s="53">
        <v>0</v>
      </c>
      <c r="N3" s="53">
        <v>0</v>
      </c>
      <c r="O3" s="53">
        <v>0</v>
      </c>
      <c r="P3" s="53">
        <v>0</v>
      </c>
      <c r="Q3" s="53"/>
      <c r="R3" s="53"/>
      <c r="S3" s="53"/>
      <c r="T3" s="53"/>
      <c r="U3" s="53"/>
      <c r="V3" s="53"/>
      <c r="W3" s="53"/>
    </row>
    <row r="4" spans="1:24" ht="22.5" customHeight="1">
      <c r="A4" s="185" t="s">
        <v>37</v>
      </c>
      <c r="B4" s="185"/>
      <c r="C4" s="185"/>
      <c r="D4" s="54">
        <f t="shared" ref="D4:W4" si="0">D2-D3</f>
        <v>70</v>
      </c>
      <c r="E4" s="54">
        <f t="shared" si="0"/>
        <v>70</v>
      </c>
      <c r="F4" s="54">
        <f t="shared" si="0"/>
        <v>70</v>
      </c>
      <c r="G4" s="54">
        <f t="shared" si="0"/>
        <v>70</v>
      </c>
      <c r="H4" s="54">
        <f t="shared" si="0"/>
        <v>70</v>
      </c>
      <c r="I4" s="54">
        <f t="shared" si="0"/>
        <v>70</v>
      </c>
      <c r="J4" s="54">
        <f t="shared" si="0"/>
        <v>67</v>
      </c>
      <c r="K4" s="54">
        <f t="shared" si="0"/>
        <v>70</v>
      </c>
      <c r="L4" s="54">
        <f t="shared" si="0"/>
        <v>70</v>
      </c>
      <c r="M4" s="54">
        <f t="shared" si="0"/>
        <v>70</v>
      </c>
      <c r="N4" s="54">
        <f t="shared" si="0"/>
        <v>70</v>
      </c>
      <c r="O4" s="54">
        <f t="shared" si="0"/>
        <v>70</v>
      </c>
      <c r="P4" s="54">
        <f t="shared" si="0"/>
        <v>70</v>
      </c>
      <c r="Q4" s="54">
        <f t="shared" si="0"/>
        <v>0</v>
      </c>
      <c r="R4" s="54">
        <f t="shared" si="0"/>
        <v>0</v>
      </c>
      <c r="S4" s="54">
        <f t="shared" si="0"/>
        <v>0</v>
      </c>
      <c r="T4" s="54">
        <f t="shared" si="0"/>
        <v>0</v>
      </c>
      <c r="U4" s="54">
        <f t="shared" si="0"/>
        <v>0</v>
      </c>
      <c r="V4" s="54">
        <f t="shared" si="0"/>
        <v>0</v>
      </c>
      <c r="W4" s="54">
        <f t="shared" si="0"/>
        <v>0</v>
      </c>
    </row>
    <row r="5" spans="1:24" ht="22.5" customHeight="1">
      <c r="A5" s="186" t="s">
        <v>210</v>
      </c>
      <c r="B5" s="187"/>
      <c r="C5" s="188"/>
      <c r="D5" s="54">
        <f t="shared" ref="D5:W5" si="1">D4-D6</f>
        <v>68</v>
      </c>
      <c r="E5" s="54">
        <f t="shared" si="1"/>
        <v>70</v>
      </c>
      <c r="F5" s="54">
        <f t="shared" si="1"/>
        <v>65</v>
      </c>
      <c r="G5" s="54">
        <f t="shared" si="1"/>
        <v>70</v>
      </c>
      <c r="H5" s="54">
        <f t="shared" si="1"/>
        <v>70</v>
      </c>
      <c r="I5" s="54">
        <f t="shared" si="1"/>
        <v>63</v>
      </c>
      <c r="J5" s="54">
        <f t="shared" si="1"/>
        <v>66</v>
      </c>
      <c r="K5" s="54">
        <f t="shared" si="1"/>
        <v>70</v>
      </c>
      <c r="L5" s="54">
        <f t="shared" si="1"/>
        <v>70</v>
      </c>
      <c r="M5" s="54">
        <f t="shared" si="1"/>
        <v>70</v>
      </c>
      <c r="N5" s="54">
        <f t="shared" si="1"/>
        <v>68</v>
      </c>
      <c r="O5" s="54">
        <f t="shared" si="1"/>
        <v>70</v>
      </c>
      <c r="P5" s="54">
        <f t="shared" si="1"/>
        <v>69</v>
      </c>
      <c r="Q5" s="54">
        <f t="shared" si="1"/>
        <v>0</v>
      </c>
      <c r="R5" s="54">
        <f t="shared" si="1"/>
        <v>0</v>
      </c>
      <c r="S5" s="54">
        <f t="shared" si="1"/>
        <v>0</v>
      </c>
      <c r="T5" s="54">
        <f t="shared" si="1"/>
        <v>0</v>
      </c>
      <c r="U5" s="54">
        <f t="shared" si="1"/>
        <v>0</v>
      </c>
      <c r="V5" s="54">
        <f t="shared" si="1"/>
        <v>0</v>
      </c>
      <c r="W5" s="54">
        <f t="shared" si="1"/>
        <v>0</v>
      </c>
    </row>
    <row r="6" spans="1:24" ht="22.5" customHeight="1">
      <c r="A6" s="189" t="s">
        <v>211</v>
      </c>
      <c r="B6" s="190"/>
      <c r="C6" s="191"/>
      <c r="D6" s="53">
        <v>2</v>
      </c>
      <c r="E6" s="53">
        <v>0</v>
      </c>
      <c r="F6" s="53">
        <v>5</v>
      </c>
      <c r="G6" s="53">
        <v>0</v>
      </c>
      <c r="H6" s="53">
        <v>0</v>
      </c>
      <c r="I6" s="53">
        <v>7</v>
      </c>
      <c r="J6" s="53">
        <v>1</v>
      </c>
      <c r="K6" s="53">
        <v>0</v>
      </c>
      <c r="L6" s="53">
        <v>0</v>
      </c>
      <c r="M6" s="53">
        <v>0</v>
      </c>
      <c r="N6" s="53">
        <v>2</v>
      </c>
      <c r="O6" s="53">
        <v>0</v>
      </c>
      <c r="P6" s="53">
        <v>1</v>
      </c>
      <c r="Q6" s="53"/>
      <c r="R6" s="53"/>
      <c r="S6" s="53"/>
      <c r="T6" s="53"/>
      <c r="U6" s="53"/>
      <c r="V6" s="53"/>
      <c r="W6" s="53"/>
    </row>
    <row r="7" spans="1:24" ht="22.5" customHeight="1">
      <c r="A7" s="185" t="s">
        <v>38</v>
      </c>
      <c r="B7" s="185"/>
      <c r="C7" s="185"/>
      <c r="D7" s="53">
        <v>0</v>
      </c>
      <c r="E7" s="53">
        <v>0</v>
      </c>
      <c r="F7" s="53">
        <v>1</v>
      </c>
      <c r="G7" s="53">
        <v>0</v>
      </c>
      <c r="H7" s="53">
        <v>0</v>
      </c>
      <c r="I7" s="53">
        <v>4</v>
      </c>
      <c r="J7" s="53">
        <v>0</v>
      </c>
      <c r="K7" s="53">
        <v>0</v>
      </c>
      <c r="L7" s="53">
        <v>0</v>
      </c>
      <c r="M7" s="53">
        <v>0</v>
      </c>
      <c r="N7" s="53">
        <v>0</v>
      </c>
      <c r="O7" s="53">
        <v>0</v>
      </c>
      <c r="P7" s="53">
        <v>0</v>
      </c>
      <c r="Q7" s="53"/>
      <c r="R7" s="53"/>
      <c r="S7" s="53"/>
      <c r="T7" s="53"/>
      <c r="U7" s="53"/>
      <c r="V7" s="53"/>
      <c r="W7" s="53"/>
    </row>
    <row r="8" spans="1:24" ht="22.5" customHeight="1">
      <c r="A8" s="185" t="s">
        <v>39</v>
      </c>
      <c r="B8" s="185"/>
      <c r="C8" s="185"/>
      <c r="D8" s="53">
        <v>0</v>
      </c>
      <c r="E8" s="53">
        <v>1</v>
      </c>
      <c r="F8" s="53">
        <v>0</v>
      </c>
      <c r="G8" s="53">
        <v>0</v>
      </c>
      <c r="H8" s="53">
        <v>0</v>
      </c>
      <c r="I8" s="53">
        <v>0</v>
      </c>
      <c r="J8" s="53">
        <v>1</v>
      </c>
      <c r="K8" s="53">
        <v>0</v>
      </c>
      <c r="L8" s="53">
        <v>0</v>
      </c>
      <c r="M8" s="53">
        <v>0</v>
      </c>
      <c r="N8" s="53">
        <v>0</v>
      </c>
      <c r="O8" s="53">
        <v>0</v>
      </c>
      <c r="P8" s="53">
        <v>0</v>
      </c>
      <c r="Q8" s="53"/>
      <c r="R8" s="53"/>
      <c r="S8" s="53"/>
      <c r="T8" s="53"/>
      <c r="U8" s="53"/>
      <c r="V8" s="53"/>
      <c r="W8" s="53"/>
    </row>
    <row r="9" spans="1:24" ht="22.5" customHeight="1">
      <c r="A9" s="173" t="s">
        <v>40</v>
      </c>
      <c r="B9" s="174"/>
      <c r="C9" s="174"/>
      <c r="D9" s="174"/>
      <c r="E9" s="174"/>
      <c r="F9" s="174"/>
      <c r="G9" s="174"/>
      <c r="H9" s="174"/>
      <c r="I9" s="174"/>
      <c r="J9" s="174"/>
      <c r="K9" s="174"/>
      <c r="L9" s="174"/>
      <c r="M9" s="174"/>
      <c r="N9" s="174"/>
      <c r="O9" s="174"/>
      <c r="P9" s="174"/>
      <c r="Q9" s="174"/>
      <c r="R9" s="174"/>
      <c r="S9" s="174"/>
      <c r="T9" s="174"/>
      <c r="U9" s="174"/>
      <c r="V9" s="174"/>
      <c r="W9" s="175"/>
    </row>
    <row r="10" spans="1:24" ht="22.5" customHeight="1">
      <c r="A10" s="52" t="s">
        <v>80</v>
      </c>
      <c r="B10" s="156" t="s">
        <v>145</v>
      </c>
      <c r="C10" s="157"/>
      <c r="D10" s="157"/>
      <c r="E10" s="157"/>
      <c r="F10" s="157"/>
      <c r="G10" s="157"/>
      <c r="H10" s="157"/>
      <c r="I10" s="157"/>
      <c r="J10" s="157"/>
      <c r="K10" s="157"/>
      <c r="L10" s="157"/>
      <c r="M10" s="157"/>
      <c r="N10" s="157"/>
      <c r="O10" s="157"/>
      <c r="P10" s="157"/>
      <c r="Q10" s="157"/>
      <c r="R10" s="157"/>
      <c r="S10" s="157"/>
      <c r="T10" s="157"/>
      <c r="U10" s="157"/>
      <c r="V10" s="157"/>
      <c r="W10" s="158"/>
    </row>
    <row r="11" spans="1:24" ht="22.5" customHeight="1">
      <c r="A11" s="52" t="s">
        <v>81</v>
      </c>
      <c r="B11" s="156" t="s">
        <v>133</v>
      </c>
      <c r="C11" s="157"/>
      <c r="D11" s="157"/>
      <c r="E11" s="157"/>
      <c r="F11" s="157"/>
      <c r="G11" s="157"/>
      <c r="H11" s="157"/>
      <c r="I11" s="157"/>
      <c r="J11" s="157"/>
      <c r="K11" s="157"/>
      <c r="L11" s="157"/>
      <c r="M11" s="157"/>
      <c r="N11" s="157"/>
      <c r="O11" s="157"/>
      <c r="P11" s="157"/>
      <c r="Q11" s="157"/>
      <c r="R11" s="157"/>
      <c r="S11" s="157"/>
      <c r="T11" s="157"/>
      <c r="U11" s="157"/>
      <c r="V11" s="157"/>
      <c r="W11" s="158"/>
    </row>
    <row r="12" spans="1:24" ht="22.5" customHeight="1">
      <c r="A12" s="52" t="s">
        <v>82</v>
      </c>
      <c r="B12" s="156" t="s">
        <v>146</v>
      </c>
      <c r="C12" s="157"/>
      <c r="D12" s="157"/>
      <c r="E12" s="157"/>
      <c r="F12" s="157"/>
      <c r="G12" s="157"/>
      <c r="H12" s="157"/>
      <c r="I12" s="157"/>
      <c r="J12" s="157"/>
      <c r="K12" s="157"/>
      <c r="L12" s="157"/>
      <c r="M12" s="157"/>
      <c r="N12" s="157"/>
      <c r="O12" s="157"/>
      <c r="P12" s="157"/>
      <c r="Q12" s="157"/>
      <c r="R12" s="157"/>
      <c r="S12" s="157"/>
      <c r="T12" s="157"/>
      <c r="U12" s="157"/>
      <c r="V12" s="157"/>
      <c r="W12" s="158"/>
    </row>
    <row r="13" spans="1:24" ht="22.5" customHeight="1">
      <c r="A13" s="52" t="s">
        <v>83</v>
      </c>
      <c r="B13" s="156"/>
      <c r="C13" s="157"/>
      <c r="D13" s="157"/>
      <c r="E13" s="157"/>
      <c r="F13" s="157"/>
      <c r="G13" s="157"/>
      <c r="H13" s="157"/>
      <c r="I13" s="157"/>
      <c r="J13" s="157"/>
      <c r="K13" s="157"/>
      <c r="L13" s="157"/>
      <c r="M13" s="157"/>
      <c r="N13" s="157"/>
      <c r="O13" s="157"/>
      <c r="P13" s="157"/>
      <c r="Q13" s="157"/>
      <c r="R13" s="157"/>
      <c r="S13" s="157"/>
      <c r="T13" s="157"/>
      <c r="U13" s="157"/>
      <c r="V13" s="157"/>
      <c r="W13" s="158"/>
    </row>
    <row r="14" spans="1:24" ht="22.5" customHeight="1">
      <c r="A14" s="52" t="s">
        <v>84</v>
      </c>
      <c r="B14" s="156"/>
      <c r="C14" s="157"/>
      <c r="D14" s="157"/>
      <c r="E14" s="157"/>
      <c r="F14" s="157"/>
      <c r="G14" s="157"/>
      <c r="H14" s="157"/>
      <c r="I14" s="157"/>
      <c r="J14" s="157"/>
      <c r="K14" s="157"/>
      <c r="L14" s="157"/>
      <c r="M14" s="157"/>
      <c r="N14" s="157"/>
      <c r="O14" s="157"/>
      <c r="P14" s="157"/>
      <c r="Q14" s="157"/>
      <c r="R14" s="157"/>
      <c r="S14" s="157"/>
      <c r="T14" s="157"/>
      <c r="U14" s="157"/>
      <c r="V14" s="157"/>
      <c r="W14" s="158"/>
    </row>
    <row r="15" spans="1:24" ht="22.5" customHeight="1">
      <c r="A15" s="52" t="s">
        <v>85</v>
      </c>
      <c r="B15" s="156" t="s">
        <v>147</v>
      </c>
      <c r="C15" s="157"/>
      <c r="D15" s="157"/>
      <c r="E15" s="157"/>
      <c r="F15" s="157"/>
      <c r="G15" s="157"/>
      <c r="H15" s="157"/>
      <c r="I15" s="157"/>
      <c r="J15" s="157"/>
      <c r="K15" s="157"/>
      <c r="L15" s="157"/>
      <c r="M15" s="157"/>
      <c r="N15" s="157"/>
      <c r="O15" s="157"/>
      <c r="P15" s="157"/>
      <c r="Q15" s="157"/>
      <c r="R15" s="157"/>
      <c r="S15" s="157"/>
      <c r="T15" s="157"/>
      <c r="U15" s="157"/>
      <c r="V15" s="157"/>
      <c r="W15" s="158"/>
    </row>
    <row r="16" spans="1:24" ht="22.5" customHeight="1">
      <c r="A16" s="52" t="s">
        <v>86</v>
      </c>
      <c r="B16" s="156" t="s">
        <v>148</v>
      </c>
      <c r="C16" s="157"/>
      <c r="D16" s="157"/>
      <c r="E16" s="157"/>
      <c r="F16" s="157"/>
      <c r="G16" s="157"/>
      <c r="H16" s="157"/>
      <c r="I16" s="157"/>
      <c r="J16" s="157"/>
      <c r="K16" s="157"/>
      <c r="L16" s="157"/>
      <c r="M16" s="157"/>
      <c r="N16" s="157"/>
      <c r="O16" s="157"/>
      <c r="P16" s="157"/>
      <c r="Q16" s="157"/>
      <c r="R16" s="157"/>
      <c r="S16" s="157"/>
      <c r="T16" s="157"/>
      <c r="U16" s="157"/>
      <c r="V16" s="157"/>
      <c r="W16" s="158"/>
    </row>
    <row r="17" spans="1:23" ht="22.5" customHeight="1">
      <c r="A17" s="52" t="s">
        <v>87</v>
      </c>
      <c r="B17" s="156"/>
      <c r="C17" s="157"/>
      <c r="D17" s="157"/>
      <c r="E17" s="157"/>
      <c r="F17" s="157"/>
      <c r="G17" s="157"/>
      <c r="H17" s="157"/>
      <c r="I17" s="157"/>
      <c r="J17" s="157"/>
      <c r="K17" s="157"/>
      <c r="L17" s="157"/>
      <c r="M17" s="157"/>
      <c r="N17" s="157"/>
      <c r="O17" s="157"/>
      <c r="P17" s="157"/>
      <c r="Q17" s="157"/>
      <c r="R17" s="157"/>
      <c r="S17" s="157"/>
      <c r="T17" s="157"/>
      <c r="U17" s="157"/>
      <c r="V17" s="157"/>
      <c r="W17" s="158"/>
    </row>
    <row r="18" spans="1:23" ht="22.5" customHeight="1">
      <c r="A18" s="52" t="s">
        <v>88</v>
      </c>
      <c r="B18" s="156"/>
      <c r="C18" s="157"/>
      <c r="D18" s="157"/>
      <c r="E18" s="157"/>
      <c r="F18" s="157"/>
      <c r="G18" s="157"/>
      <c r="H18" s="157"/>
      <c r="I18" s="157"/>
      <c r="J18" s="157"/>
      <c r="K18" s="157"/>
      <c r="L18" s="157"/>
      <c r="M18" s="157"/>
      <c r="N18" s="157"/>
      <c r="O18" s="157"/>
      <c r="P18" s="157"/>
      <c r="Q18" s="157"/>
      <c r="R18" s="157"/>
      <c r="S18" s="157"/>
      <c r="T18" s="157"/>
      <c r="U18" s="157"/>
      <c r="V18" s="157"/>
      <c r="W18" s="158"/>
    </row>
    <row r="19" spans="1:23" ht="22.5" customHeight="1">
      <c r="A19" s="52" t="s">
        <v>89</v>
      </c>
      <c r="B19" s="156"/>
      <c r="C19" s="157"/>
      <c r="D19" s="157"/>
      <c r="E19" s="157"/>
      <c r="F19" s="157"/>
      <c r="G19" s="157"/>
      <c r="H19" s="157"/>
      <c r="I19" s="157"/>
      <c r="J19" s="157"/>
      <c r="K19" s="157"/>
      <c r="L19" s="157"/>
      <c r="M19" s="157"/>
      <c r="N19" s="157"/>
      <c r="O19" s="157"/>
      <c r="P19" s="157"/>
      <c r="Q19" s="157"/>
      <c r="R19" s="157"/>
      <c r="S19" s="157"/>
      <c r="T19" s="157"/>
      <c r="U19" s="157"/>
      <c r="V19" s="157"/>
      <c r="W19" s="158"/>
    </row>
    <row r="20" spans="1:23" ht="22.5" customHeight="1">
      <c r="A20" s="52" t="s">
        <v>90</v>
      </c>
      <c r="B20" s="156" t="s">
        <v>149</v>
      </c>
      <c r="C20" s="157"/>
      <c r="D20" s="157"/>
      <c r="E20" s="157"/>
      <c r="F20" s="157"/>
      <c r="G20" s="157"/>
      <c r="H20" s="157"/>
      <c r="I20" s="157"/>
      <c r="J20" s="157"/>
      <c r="K20" s="157"/>
      <c r="L20" s="157"/>
      <c r="M20" s="157"/>
      <c r="N20" s="157"/>
      <c r="O20" s="157"/>
      <c r="P20" s="157"/>
      <c r="Q20" s="157"/>
      <c r="R20" s="157"/>
      <c r="S20" s="157"/>
      <c r="T20" s="157"/>
      <c r="U20" s="157"/>
      <c r="V20" s="157"/>
      <c r="W20" s="158"/>
    </row>
    <row r="21" spans="1:23" ht="22.5" customHeight="1">
      <c r="A21" s="52" t="s">
        <v>91</v>
      </c>
      <c r="B21" s="156"/>
      <c r="C21" s="157"/>
      <c r="D21" s="157"/>
      <c r="E21" s="157"/>
      <c r="F21" s="157"/>
      <c r="G21" s="157"/>
      <c r="H21" s="157"/>
      <c r="I21" s="157"/>
      <c r="J21" s="157"/>
      <c r="K21" s="157"/>
      <c r="L21" s="157"/>
      <c r="M21" s="157"/>
      <c r="N21" s="157"/>
      <c r="O21" s="157"/>
      <c r="P21" s="157"/>
      <c r="Q21" s="157"/>
      <c r="R21" s="157"/>
      <c r="S21" s="157"/>
      <c r="T21" s="157"/>
      <c r="U21" s="157"/>
      <c r="V21" s="157"/>
      <c r="W21" s="158"/>
    </row>
    <row r="22" spans="1:23" ht="22.5" customHeight="1">
      <c r="A22" s="52" t="s">
        <v>92</v>
      </c>
      <c r="B22" s="156" t="s">
        <v>150</v>
      </c>
      <c r="C22" s="157"/>
      <c r="D22" s="157"/>
      <c r="E22" s="157"/>
      <c r="F22" s="157"/>
      <c r="G22" s="157"/>
      <c r="H22" s="157"/>
      <c r="I22" s="157"/>
      <c r="J22" s="157"/>
      <c r="K22" s="157"/>
      <c r="L22" s="157"/>
      <c r="M22" s="157"/>
      <c r="N22" s="157"/>
      <c r="O22" s="157"/>
      <c r="P22" s="157"/>
      <c r="Q22" s="157"/>
      <c r="R22" s="157"/>
      <c r="S22" s="157"/>
      <c r="T22" s="157"/>
      <c r="U22" s="157"/>
      <c r="V22" s="157"/>
      <c r="W22" s="158"/>
    </row>
    <row r="23" spans="1:23" ht="22.5" customHeight="1">
      <c r="A23" s="52"/>
      <c r="B23" s="156"/>
      <c r="C23" s="157"/>
      <c r="D23" s="157"/>
      <c r="E23" s="157"/>
      <c r="F23" s="157"/>
      <c r="G23" s="157"/>
      <c r="H23" s="157"/>
      <c r="I23" s="157"/>
      <c r="J23" s="157"/>
      <c r="K23" s="157"/>
      <c r="L23" s="157"/>
      <c r="M23" s="157"/>
      <c r="N23" s="157"/>
      <c r="O23" s="157"/>
      <c r="P23" s="157"/>
      <c r="Q23" s="157"/>
      <c r="R23" s="157"/>
      <c r="S23" s="157"/>
      <c r="T23" s="157"/>
      <c r="U23" s="157"/>
      <c r="V23" s="157"/>
      <c r="W23" s="158"/>
    </row>
    <row r="24" spans="1:23" ht="22.5" customHeight="1">
      <c r="A24" s="52"/>
      <c r="B24" s="156"/>
      <c r="C24" s="157"/>
      <c r="D24" s="157"/>
      <c r="E24" s="157"/>
      <c r="F24" s="157"/>
      <c r="G24" s="157"/>
      <c r="H24" s="157"/>
      <c r="I24" s="157"/>
      <c r="J24" s="157"/>
      <c r="K24" s="157"/>
      <c r="L24" s="157"/>
      <c r="M24" s="157"/>
      <c r="N24" s="157"/>
      <c r="O24" s="157"/>
      <c r="P24" s="157"/>
      <c r="Q24" s="157"/>
      <c r="R24" s="157"/>
      <c r="S24" s="157"/>
      <c r="T24" s="157"/>
      <c r="U24" s="157"/>
      <c r="V24" s="157"/>
      <c r="W24" s="158"/>
    </row>
    <row r="25" spans="1:23" ht="22.5" customHeight="1">
      <c r="A25" s="52"/>
      <c r="B25" s="156"/>
      <c r="C25" s="157"/>
      <c r="D25" s="157"/>
      <c r="E25" s="157"/>
      <c r="F25" s="157"/>
      <c r="G25" s="157"/>
      <c r="H25" s="157"/>
      <c r="I25" s="157"/>
      <c r="J25" s="157"/>
      <c r="K25" s="157"/>
      <c r="L25" s="157"/>
      <c r="M25" s="157"/>
      <c r="N25" s="157"/>
      <c r="O25" s="157"/>
      <c r="P25" s="157"/>
      <c r="Q25" s="157"/>
      <c r="R25" s="157"/>
      <c r="S25" s="157"/>
      <c r="T25" s="157"/>
      <c r="U25" s="157"/>
      <c r="V25" s="157"/>
      <c r="W25" s="158"/>
    </row>
    <row r="26" spans="1:23" ht="22.5" customHeight="1">
      <c r="A26" s="52"/>
      <c r="B26" s="156"/>
      <c r="C26" s="157"/>
      <c r="D26" s="157"/>
      <c r="E26" s="157"/>
      <c r="F26" s="157"/>
      <c r="G26" s="157"/>
      <c r="H26" s="157"/>
      <c r="I26" s="157"/>
      <c r="J26" s="157"/>
      <c r="K26" s="157"/>
      <c r="L26" s="157"/>
      <c r="M26" s="157"/>
      <c r="N26" s="157"/>
      <c r="O26" s="157"/>
      <c r="P26" s="157"/>
      <c r="Q26" s="157"/>
      <c r="R26" s="157"/>
      <c r="S26" s="157"/>
      <c r="T26" s="157"/>
      <c r="U26" s="157"/>
      <c r="V26" s="157"/>
      <c r="W26" s="158"/>
    </row>
    <row r="27" spans="1:23" ht="22.5" customHeight="1">
      <c r="A27" s="52"/>
      <c r="B27" s="156"/>
      <c r="C27" s="157"/>
      <c r="D27" s="157"/>
      <c r="E27" s="157"/>
      <c r="F27" s="157"/>
      <c r="G27" s="157"/>
      <c r="H27" s="157"/>
      <c r="I27" s="157"/>
      <c r="J27" s="157"/>
      <c r="K27" s="157"/>
      <c r="L27" s="157"/>
      <c r="M27" s="157"/>
      <c r="N27" s="157"/>
      <c r="O27" s="157"/>
      <c r="P27" s="157"/>
      <c r="Q27" s="157"/>
      <c r="R27" s="157"/>
      <c r="S27" s="157"/>
      <c r="T27" s="157"/>
      <c r="U27" s="157"/>
      <c r="V27" s="157"/>
      <c r="W27" s="158"/>
    </row>
    <row r="28" spans="1:23" ht="22.5" customHeight="1">
      <c r="A28" s="52"/>
      <c r="B28" s="156"/>
      <c r="C28" s="157"/>
      <c r="D28" s="157"/>
      <c r="E28" s="157"/>
      <c r="F28" s="157"/>
      <c r="G28" s="157"/>
      <c r="H28" s="157"/>
      <c r="I28" s="157"/>
      <c r="J28" s="157"/>
      <c r="K28" s="157"/>
      <c r="L28" s="157"/>
      <c r="M28" s="157"/>
      <c r="N28" s="157"/>
      <c r="O28" s="157"/>
      <c r="P28" s="157"/>
      <c r="Q28" s="157"/>
      <c r="R28" s="157"/>
      <c r="S28" s="157"/>
      <c r="T28" s="157"/>
      <c r="U28" s="157"/>
      <c r="V28" s="157"/>
      <c r="W28" s="158"/>
    </row>
    <row r="29" spans="1:23" ht="22.5" customHeight="1">
      <c r="A29" s="52"/>
      <c r="B29" s="156"/>
      <c r="C29" s="157"/>
      <c r="D29" s="157"/>
      <c r="E29" s="157"/>
      <c r="F29" s="157"/>
      <c r="G29" s="157"/>
      <c r="H29" s="157"/>
      <c r="I29" s="157"/>
      <c r="J29" s="157"/>
      <c r="K29" s="157"/>
      <c r="L29" s="157"/>
      <c r="M29" s="157"/>
      <c r="N29" s="157"/>
      <c r="O29" s="157"/>
      <c r="P29" s="157"/>
      <c r="Q29" s="157"/>
      <c r="R29" s="157"/>
      <c r="S29" s="157"/>
      <c r="T29" s="157"/>
      <c r="U29" s="157"/>
      <c r="V29" s="157"/>
      <c r="W29" s="158"/>
    </row>
    <row r="30" spans="1:23" ht="17.25" customHeight="1"/>
    <row r="31" spans="1:23" ht="17.25" customHeight="1"/>
    <row r="32" spans="1:23" ht="17.25" customHeight="1"/>
    <row r="33" ht="17.25" customHeight="1"/>
    <row r="34" ht="17.25" customHeight="1"/>
    <row r="35" ht="17.25" customHeight="1"/>
    <row r="36" ht="17.25" customHeight="1"/>
    <row r="37" ht="17.25" customHeight="1"/>
    <row r="38" ht="17.25" customHeight="1"/>
    <row r="39" ht="17.25" customHeight="1"/>
    <row r="40" ht="17.25" customHeight="1"/>
    <row r="41" ht="17.25" customHeight="1"/>
    <row r="42" ht="17.25" customHeight="1"/>
    <row r="43" ht="17.25" customHeight="1"/>
    <row r="44" ht="17.25" customHeight="1"/>
    <row r="45" ht="17.25" customHeight="1"/>
    <row r="46" ht="17.25" customHeight="1"/>
    <row r="47" ht="17.25" customHeight="1"/>
    <row r="4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sheetData>
  <mergeCells count="29">
    <mergeCell ref="B25:W25"/>
    <mergeCell ref="B26:W26"/>
    <mergeCell ref="B27:W27"/>
    <mergeCell ref="B28:W28"/>
    <mergeCell ref="B29:W29"/>
    <mergeCell ref="B24:W24"/>
    <mergeCell ref="B13:W13"/>
    <mergeCell ref="B14:W14"/>
    <mergeCell ref="B15:W15"/>
    <mergeCell ref="B16:W16"/>
    <mergeCell ref="B17:W17"/>
    <mergeCell ref="B18:W18"/>
    <mergeCell ref="B19:W19"/>
    <mergeCell ref="B20:W20"/>
    <mergeCell ref="B21:W21"/>
    <mergeCell ref="B22:W22"/>
    <mergeCell ref="B23:W23"/>
    <mergeCell ref="B12:W12"/>
    <mergeCell ref="A1:C1"/>
    <mergeCell ref="A2:C2"/>
    <mergeCell ref="A3:C3"/>
    <mergeCell ref="A4:C4"/>
    <mergeCell ref="A5:C5"/>
    <mergeCell ref="A6:C6"/>
    <mergeCell ref="A7:C7"/>
    <mergeCell ref="A8:C8"/>
    <mergeCell ref="A9:W9"/>
    <mergeCell ref="B10:W10"/>
    <mergeCell ref="B11:W11"/>
  </mergeCells>
  <phoneticPr fontId="1"/>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12</vt:i4>
      </vt:variant>
      <vt:variant>
        <vt:lpstr>名前付き一覧</vt:lpstr>
      </vt:variant>
      <vt:variant>
        <vt:i4>6</vt:i4>
      </vt:variant>
    </vt:vector>
  </HeadingPairs>
  <TitlesOfParts>
    <vt:vector size="18" baseType="lpstr">
      <vt:lpstr>通知票</vt:lpstr>
      <vt:lpstr>所見集</vt:lpstr>
      <vt:lpstr>国語</vt:lpstr>
      <vt:lpstr>算数</vt:lpstr>
      <vt:lpstr>生活</vt:lpstr>
      <vt:lpstr>英語</vt:lpstr>
      <vt:lpstr>音楽</vt:lpstr>
      <vt:lpstr>図工</vt:lpstr>
      <vt:lpstr>体育</vt:lpstr>
      <vt:lpstr>道徳</vt:lpstr>
      <vt:lpstr>所見</vt:lpstr>
      <vt:lpstr>出欠</vt:lpstr>
      <vt:lpstr>所見集!Print_Area</vt:lpstr>
      <vt:lpstr>通知票!Print_Area</vt:lpstr>
      <vt:lpstr>至</vt:lpstr>
      <vt:lpstr>自</vt:lpstr>
      <vt:lpstr>番号</vt:lpstr>
      <vt:lpstr>番号2</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saikyo-gakuen</dc:creator>
  <cp:lastModifiedBy>巣山 孝弘</cp:lastModifiedBy>
  <cp:lastPrinted>2024-07-17T11:00:21Z</cp:lastPrinted>
  <dcterms:created xsi:type="dcterms:W3CDTF">2005-07-21T09:07:06Z</dcterms:created>
  <dcterms:modified xsi:type="dcterms:W3CDTF">2024-07-17T11:03:03Z</dcterms:modified>
</cp:coreProperties>
</file>