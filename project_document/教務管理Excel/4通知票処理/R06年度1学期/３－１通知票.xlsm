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215" yWindow="0" windowWidth="11715" windowHeight="12675"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道徳" sheetId="43" r:id="rId11"/>
    <sheet name="所見" sheetId="44" r:id="rId12"/>
    <sheet name="出欠" sheetId="45" r:id="rId13"/>
  </sheets>
  <definedNames>
    <definedName name="_xlnm.Print_Area" localSheetId="1">所見集!$A$1:$C$15</definedName>
    <definedName name="_xlnm.Print_Area" localSheetId="0">通知票!$A$1:$I$93</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T5" i="45" l="1"/>
  <c r="S5" i="45"/>
  <c r="L5" i="45"/>
  <c r="K5" i="45"/>
  <c r="D5" i="45"/>
  <c r="Y4" i="45"/>
  <c r="Y5" i="45" s="1"/>
  <c r="X4" i="45"/>
  <c r="X5" i="45" s="1"/>
  <c r="W4" i="45"/>
  <c r="W5" i="45" s="1"/>
  <c r="V4" i="45"/>
  <c r="V5" i="45" s="1"/>
  <c r="U4" i="45"/>
  <c r="U5" i="45" s="1"/>
  <c r="T4" i="45"/>
  <c r="S4" i="45"/>
  <c r="R4" i="45"/>
  <c r="R5" i="45" s="1"/>
  <c r="Q4" i="45"/>
  <c r="Q5" i="45" s="1"/>
  <c r="P4" i="45"/>
  <c r="P5" i="45" s="1"/>
  <c r="O4" i="45"/>
  <c r="O5" i="45" s="1"/>
  <c r="N4" i="45"/>
  <c r="N5" i="45" s="1"/>
  <c r="M4" i="45"/>
  <c r="M5" i="45" s="1"/>
  <c r="L4" i="45"/>
  <c r="K4" i="45"/>
  <c r="J4" i="45"/>
  <c r="J5" i="45" s="1"/>
  <c r="I4" i="45"/>
  <c r="I5" i="45" s="1"/>
  <c r="H4" i="45"/>
  <c r="H5" i="45" s="1"/>
  <c r="G4" i="45"/>
  <c r="G5" i="45" s="1"/>
  <c r="F4" i="45"/>
  <c r="F5" i="45" s="1"/>
  <c r="E4" i="45"/>
  <c r="E5" i="45" s="1"/>
  <c r="D4" i="45"/>
  <c r="Y1" i="45"/>
  <c r="X1" i="45"/>
  <c r="W1" i="45"/>
  <c r="V1" i="45"/>
  <c r="U1" i="45"/>
  <c r="T1" i="45"/>
  <c r="S1" i="45"/>
  <c r="R1" i="45"/>
  <c r="Q1" i="45"/>
  <c r="P1" i="45"/>
  <c r="O1" i="45"/>
  <c r="N1" i="45"/>
  <c r="M1" i="45"/>
  <c r="L1" i="45"/>
  <c r="K1" i="45"/>
  <c r="J1" i="45"/>
  <c r="I1" i="45"/>
  <c r="H1" i="45"/>
  <c r="G1" i="45"/>
  <c r="F1" i="45"/>
  <c r="E1" i="45"/>
  <c r="D1" i="45"/>
  <c r="A1" i="45"/>
  <c r="Z57" i="44" l="1"/>
  <c r="A57" i="44"/>
  <c r="Z56" i="44"/>
  <c r="A56" i="44"/>
  <c r="Z55" i="44"/>
  <c r="A55" i="44"/>
  <c r="Z54" i="44"/>
  <c r="A54" i="44"/>
  <c r="Z53" i="44"/>
  <c r="A53" i="44"/>
  <c r="Z52" i="44"/>
  <c r="A52" i="44"/>
  <c r="Z51" i="44"/>
  <c r="A51" i="44"/>
  <c r="Z50" i="44"/>
  <c r="A50" i="44"/>
  <c r="Z49" i="44"/>
  <c r="A49" i="44"/>
  <c r="Z48" i="44"/>
  <c r="A48" i="44"/>
  <c r="Z47" i="44"/>
  <c r="A47" i="44"/>
  <c r="Z46" i="44"/>
  <c r="A46" i="44"/>
  <c r="Z45" i="44"/>
  <c r="A45" i="44"/>
  <c r="Z44" i="44"/>
  <c r="A44" i="44"/>
  <c r="Z43" i="44"/>
  <c r="A43" i="44"/>
  <c r="Z42" i="44"/>
  <c r="A42" i="44"/>
  <c r="Z41" i="44"/>
  <c r="A41" i="44"/>
  <c r="Z40" i="44"/>
  <c r="A40" i="44"/>
  <c r="Z39" i="44"/>
  <c r="A39" i="44"/>
  <c r="Z38" i="44"/>
  <c r="A38" i="44"/>
  <c r="Z37" i="44"/>
  <c r="A37" i="44"/>
  <c r="Z36" i="44"/>
  <c r="A36" i="44"/>
  <c r="Y1" i="44"/>
  <c r="X1" i="44"/>
  <c r="W1" i="44"/>
  <c r="V1" i="44"/>
  <c r="U1" i="44"/>
  <c r="T1" i="44"/>
  <c r="S1" i="44"/>
  <c r="R1" i="44"/>
  <c r="Q1" i="44"/>
  <c r="P1" i="44"/>
  <c r="O1" i="44"/>
  <c r="N1" i="44"/>
  <c r="M1" i="44"/>
  <c r="L1" i="44"/>
  <c r="K1" i="44"/>
  <c r="J1" i="44"/>
  <c r="I1" i="44"/>
  <c r="H1" i="44"/>
  <c r="G1" i="44"/>
  <c r="F1" i="44"/>
  <c r="E1" i="44"/>
  <c r="D1" i="44"/>
  <c r="A1" i="44"/>
  <c r="C24" i="43" l="1"/>
  <c r="C23" i="43"/>
  <c r="C22" i="43"/>
  <c r="C21" i="43"/>
  <c r="C20" i="43"/>
  <c r="C19" i="43"/>
  <c r="C18" i="43"/>
  <c r="C17" i="43"/>
  <c r="C16" i="43"/>
  <c r="C15" i="43"/>
  <c r="C14" i="43"/>
  <c r="C13" i="43"/>
  <c r="C12" i="43"/>
  <c r="C11" i="43"/>
  <c r="C10" i="43"/>
  <c r="C9" i="43"/>
  <c r="C8" i="43"/>
  <c r="C7" i="43"/>
  <c r="C6" i="43"/>
  <c r="C5" i="43"/>
  <c r="C4" i="43"/>
  <c r="C3" i="43"/>
  <c r="B1" i="43"/>
  <c r="A1" i="43"/>
  <c r="Y1" i="42" l="1"/>
  <c r="X1" i="42"/>
  <c r="W1" i="42"/>
  <c r="V1" i="42"/>
  <c r="U1" i="42"/>
  <c r="T1" i="42"/>
  <c r="S1" i="42"/>
  <c r="R1" i="42"/>
  <c r="Q1" i="42"/>
  <c r="P1" i="42"/>
  <c r="O1" i="42"/>
  <c r="N1" i="42"/>
  <c r="M1" i="42"/>
  <c r="L1" i="42"/>
  <c r="K1" i="42"/>
  <c r="J1" i="42"/>
  <c r="I1" i="42"/>
  <c r="H1" i="42"/>
  <c r="G1" i="42"/>
  <c r="F1" i="42"/>
  <c r="E1" i="42"/>
  <c r="D1" i="42"/>
  <c r="B1" i="42"/>
  <c r="A1" i="42"/>
  <c r="Y1" i="41" l="1"/>
  <c r="X1" i="41"/>
  <c r="W1" i="41"/>
  <c r="V1" i="41"/>
  <c r="U1" i="41"/>
  <c r="T1" i="41"/>
  <c r="S1" i="41"/>
  <c r="R1" i="41"/>
  <c r="Q1" i="41"/>
  <c r="P1" i="41"/>
  <c r="O1" i="41"/>
  <c r="N1" i="41"/>
  <c r="M1" i="41"/>
  <c r="L1" i="41"/>
  <c r="K1" i="41"/>
  <c r="J1" i="41"/>
  <c r="I1" i="41"/>
  <c r="H1" i="41"/>
  <c r="G1" i="41"/>
  <c r="F1" i="41"/>
  <c r="E1" i="41"/>
  <c r="D1" i="41"/>
  <c r="B1" i="41"/>
  <c r="A1" i="41"/>
  <c r="Y1" i="40" l="1"/>
  <c r="X1" i="40"/>
  <c r="W1" i="40"/>
  <c r="V1" i="40"/>
  <c r="U1" i="40"/>
  <c r="T1" i="40"/>
  <c r="S1" i="40"/>
  <c r="R1" i="40"/>
  <c r="Q1" i="40"/>
  <c r="P1" i="40"/>
  <c r="O1" i="40"/>
  <c r="N1" i="40"/>
  <c r="M1" i="40"/>
  <c r="L1" i="40"/>
  <c r="K1" i="40"/>
  <c r="J1" i="40"/>
  <c r="I1" i="40"/>
  <c r="H1" i="40"/>
  <c r="G1" i="40"/>
  <c r="F1" i="40"/>
  <c r="E1" i="40"/>
  <c r="D1" i="40"/>
  <c r="B1" i="40"/>
  <c r="A1" i="40"/>
  <c r="Y1" i="39" l="1"/>
  <c r="X1" i="39"/>
  <c r="W1" i="39"/>
  <c r="V1" i="39"/>
  <c r="U1" i="39"/>
  <c r="T1" i="39"/>
  <c r="S1" i="39"/>
  <c r="R1" i="39"/>
  <c r="Q1" i="39"/>
  <c r="P1" i="39"/>
  <c r="O1" i="39"/>
  <c r="N1" i="39"/>
  <c r="M1" i="39"/>
  <c r="L1" i="39"/>
  <c r="K1" i="39"/>
  <c r="J1" i="39"/>
  <c r="I1" i="39"/>
  <c r="H1" i="39"/>
  <c r="G1" i="39"/>
  <c r="F1" i="39"/>
  <c r="E1" i="39"/>
  <c r="D1" i="39"/>
  <c r="B1" i="39"/>
  <c r="A1" i="39"/>
  <c r="Y1" i="47" l="1"/>
  <c r="X1" i="47"/>
  <c r="W1" i="47"/>
  <c r="V1" i="47"/>
  <c r="U1" i="47"/>
  <c r="T1" i="47"/>
  <c r="S1" i="47"/>
  <c r="R1" i="47"/>
  <c r="Q1" i="47"/>
  <c r="P1" i="47"/>
  <c r="O1" i="47"/>
  <c r="N1" i="47"/>
  <c r="M1" i="47"/>
  <c r="L1" i="47"/>
  <c r="K1" i="47"/>
  <c r="J1" i="47"/>
  <c r="I1" i="47"/>
  <c r="H1" i="47"/>
  <c r="G1" i="47"/>
  <c r="F1" i="47"/>
  <c r="E1" i="47"/>
  <c r="D1" i="47"/>
  <c r="B1" i="47"/>
  <c r="A1" i="47"/>
  <c r="Y1" i="38" l="1"/>
  <c r="X1" i="38"/>
  <c r="W1" i="38"/>
  <c r="V1" i="38"/>
  <c r="U1" i="38"/>
  <c r="T1" i="38"/>
  <c r="S1" i="38"/>
  <c r="R1" i="38"/>
  <c r="Q1" i="38"/>
  <c r="P1" i="38"/>
  <c r="O1" i="38"/>
  <c r="N1" i="38"/>
  <c r="M1" i="38"/>
  <c r="L1" i="38"/>
  <c r="K1" i="38"/>
  <c r="J1" i="38"/>
  <c r="I1" i="38"/>
  <c r="H1" i="38"/>
  <c r="G1" i="38"/>
  <c r="F1" i="38"/>
  <c r="E1" i="38"/>
  <c r="D1" i="38"/>
  <c r="B1" i="38"/>
  <c r="A1" i="38"/>
  <c r="Y1" i="37" l="1"/>
  <c r="X1" i="37"/>
  <c r="W1" i="37"/>
  <c r="V1" i="37"/>
  <c r="U1" i="37"/>
  <c r="T1" i="37"/>
  <c r="S1" i="37"/>
  <c r="R1" i="37"/>
  <c r="Q1" i="37"/>
  <c r="P1" i="37"/>
  <c r="O1" i="37"/>
  <c r="N1" i="37"/>
  <c r="M1" i="37"/>
  <c r="L1" i="37"/>
  <c r="K1" i="37"/>
  <c r="J1" i="37"/>
  <c r="I1" i="37"/>
  <c r="H1" i="37"/>
  <c r="G1" i="37"/>
  <c r="F1" i="37"/>
  <c r="E1" i="37"/>
  <c r="D1" i="37"/>
  <c r="B1" i="37"/>
  <c r="A1" i="37"/>
  <c r="Y1" i="36" l="1"/>
  <c r="X1" i="36"/>
  <c r="W1" i="36"/>
  <c r="V1" i="36"/>
  <c r="U1" i="36"/>
  <c r="T1" i="36"/>
  <c r="S1" i="36"/>
  <c r="R1" i="36"/>
  <c r="Q1" i="36"/>
  <c r="P1" i="36"/>
  <c r="O1" i="36"/>
  <c r="N1" i="36"/>
  <c r="M1" i="36"/>
  <c r="L1" i="36"/>
  <c r="K1" i="36"/>
  <c r="J1" i="36"/>
  <c r="I1" i="36"/>
  <c r="H1" i="36"/>
  <c r="G1" i="36"/>
  <c r="F1" i="36"/>
  <c r="E1" i="36"/>
  <c r="D1" i="36"/>
  <c r="B1" i="36"/>
  <c r="A1" i="36"/>
  <c r="L85" i="1" l="1"/>
  <c r="L19" i="1"/>
  <c r="A1" i="1" l="1"/>
  <c r="P7" i="1"/>
  <c r="P9" i="1"/>
  <c r="B93" i="1"/>
  <c r="P18" i="1"/>
  <c r="G2" i="1"/>
  <c r="P22" i="1"/>
  <c r="P15" i="1"/>
  <c r="P16" i="1"/>
  <c r="P8" i="1"/>
  <c r="P19" i="1"/>
  <c r="P24" i="1"/>
  <c r="P12" i="1"/>
  <c r="P30" i="1"/>
  <c r="C15" i="46"/>
  <c r="P29" i="1"/>
  <c r="P11" i="1"/>
  <c r="P26" i="1"/>
  <c r="P10" i="1"/>
  <c r="P25" i="1"/>
  <c r="P28" i="1"/>
  <c r="P21" i="1"/>
  <c r="P23" i="1"/>
  <c r="P13" i="1"/>
  <c r="P20" i="1"/>
  <c r="P27" i="1"/>
  <c r="P14" i="1"/>
  <c r="P6" i="1"/>
  <c r="P17" i="1"/>
  <c r="B6" i="46" l="1"/>
  <c r="C6" i="46"/>
  <c r="B8" i="46" l="1"/>
  <c r="C7" i="46"/>
  <c r="C8" i="46"/>
  <c r="G76" i="1" l="1"/>
  <c r="B76" i="1"/>
  <c r="G75" i="1"/>
  <c r="B75" i="1"/>
  <c r="G74" i="1"/>
  <c r="B74" i="1"/>
  <c r="G73" i="1"/>
  <c r="B73" i="1"/>
  <c r="G72" i="1"/>
  <c r="B72" i="1"/>
  <c r="G71" i="1"/>
  <c r="B71" i="1"/>
  <c r="G69" i="1"/>
  <c r="B69" i="1"/>
  <c r="G68" i="1"/>
  <c r="B68" i="1"/>
  <c r="G67" i="1"/>
  <c r="B67" i="1"/>
  <c r="G66" i="1"/>
  <c r="B66" i="1"/>
  <c r="G65" i="1"/>
  <c r="B65" i="1"/>
  <c r="G63" i="1"/>
  <c r="B63" i="1"/>
  <c r="G62" i="1"/>
  <c r="B62" i="1"/>
  <c r="G61" i="1"/>
  <c r="B61" i="1"/>
  <c r="G60" i="1"/>
  <c r="B60" i="1"/>
  <c r="G59" i="1"/>
  <c r="B59" i="1"/>
  <c r="G58" i="1"/>
  <c r="B58" i="1"/>
  <c r="G57" i="1"/>
  <c r="B57" i="1"/>
  <c r="H36" i="1"/>
  <c r="G44" i="1"/>
  <c r="B44" i="1"/>
  <c r="G43" i="1"/>
  <c r="B43" i="1"/>
  <c r="G42" i="1"/>
  <c r="B42" i="1"/>
  <c r="G41" i="1"/>
  <c r="B41" i="1"/>
  <c r="G40" i="1"/>
  <c r="B40" i="1"/>
  <c r="G39" i="1"/>
  <c r="B39" i="1"/>
  <c r="G38" i="1"/>
  <c r="B38" i="1"/>
  <c r="G37" i="1"/>
  <c r="B37" i="1"/>
  <c r="G36" i="1"/>
  <c r="B36" i="1"/>
  <c r="B26" i="1"/>
  <c r="G35" i="1"/>
  <c r="B35" i="1"/>
  <c r="G34" i="1"/>
  <c r="B34" i="1"/>
  <c r="G33" i="1"/>
  <c r="B33" i="1"/>
  <c r="G32" i="1"/>
  <c r="B32" i="1"/>
  <c r="G31" i="1"/>
  <c r="B31" i="1"/>
  <c r="G30" i="1"/>
  <c r="B30" i="1"/>
  <c r="G29" i="1"/>
  <c r="B29" i="1"/>
  <c r="G28" i="1"/>
  <c r="B28" i="1"/>
  <c r="G27" i="1"/>
  <c r="B27" i="1"/>
  <c r="C1" i="1" l="1"/>
  <c r="B12" i="46" l="1"/>
  <c r="B11" i="46"/>
  <c r="B10" i="46"/>
  <c r="B9" i="46"/>
  <c r="B7" i="46"/>
  <c r="B5" i="46"/>
  <c r="A1" i="46"/>
  <c r="C5" i="46"/>
  <c r="B13" i="46"/>
  <c r="C2" i="46"/>
  <c r="C10" i="46"/>
  <c r="C9" i="46"/>
  <c r="C11" i="46"/>
  <c r="C12" i="46"/>
  <c r="C1" i="46" l="1"/>
  <c r="H70" i="1" l="1"/>
  <c r="G70" i="1"/>
  <c r="H64" i="1"/>
  <c r="G64" i="1"/>
  <c r="H56" i="1"/>
  <c r="G56" i="1"/>
  <c r="G53" i="1"/>
  <c r="G52" i="1"/>
  <c r="G51" i="1"/>
  <c r="G50" i="1"/>
  <c r="G49" i="1"/>
  <c r="G48" i="1"/>
  <c r="G47" i="1"/>
  <c r="G46" i="1"/>
  <c r="H45" i="1"/>
  <c r="G45" i="1"/>
  <c r="H26" i="1"/>
  <c r="G26" i="1"/>
  <c r="G25" i="1"/>
  <c r="G24" i="1"/>
  <c r="G23" i="1"/>
  <c r="G22" i="1"/>
  <c r="G21" i="1"/>
  <c r="G20" i="1"/>
  <c r="G19" i="1"/>
  <c r="G18" i="1"/>
  <c r="G17" i="1"/>
  <c r="H16" i="1"/>
  <c r="G16" i="1"/>
  <c r="I86" i="1"/>
  <c r="I85" i="1"/>
  <c r="I84" i="1"/>
  <c r="I83" i="1"/>
  <c r="I82" i="1"/>
  <c r="I81" i="1"/>
  <c r="I80" i="1"/>
  <c r="D89" i="1"/>
  <c r="D88" i="1"/>
  <c r="D87" i="1"/>
  <c r="D86" i="1"/>
  <c r="D85" i="1"/>
  <c r="D84" i="1"/>
  <c r="D83" i="1"/>
  <c r="D82" i="1"/>
  <c r="D81" i="1"/>
  <c r="D80" i="1"/>
  <c r="H6" i="1"/>
  <c r="G15" i="1"/>
  <c r="G14" i="1"/>
  <c r="G13" i="1"/>
  <c r="G12" i="1"/>
  <c r="G11" i="1"/>
  <c r="G10" i="1"/>
  <c r="G9" i="1"/>
  <c r="G8" i="1"/>
  <c r="G7" i="1"/>
  <c r="G6" i="1"/>
  <c r="F87" i="1"/>
  <c r="C91" i="1"/>
  <c r="B77" i="1"/>
  <c r="A89" i="1" l="1"/>
  <c r="A88" i="1"/>
  <c r="A87" i="1"/>
  <c r="A86" i="1"/>
  <c r="A85" i="1"/>
  <c r="A84" i="1"/>
  <c r="A83" i="1"/>
  <c r="A82" i="1"/>
  <c r="A81" i="1"/>
  <c r="A80" i="1"/>
  <c r="B70" i="1"/>
  <c r="B64" i="1"/>
  <c r="B56" i="1"/>
  <c r="B53" i="1"/>
  <c r="B52" i="1"/>
  <c r="B51" i="1"/>
  <c r="B50" i="1"/>
  <c r="B49" i="1"/>
  <c r="B48" i="1"/>
  <c r="B47" i="1"/>
  <c r="B46" i="1"/>
  <c r="B45"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<sst xmlns="http://schemas.openxmlformats.org/spreadsheetml/2006/main" count="1728" uniqueCount="317">
  <si>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</si>
  <si>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</si>
  <si>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</si>
  <si>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</si>
  <si>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</si>
  <si>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</si>
  <si>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</si>
  <si>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</si>
  <si>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</si>
  <si>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</si>
  <si>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</si>
  <si>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</si>
  <si>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</si>
  <si>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</si>
  <si>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</si>
  <si>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</si>
  <si>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</si>
  <si>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</si>
  <si>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</si>
  <si>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</si>
  <si>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</si>
  <si>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</si>
  <si>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</si>
  <si>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</si>
  <si>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</si>
  <si>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</si>
  <si>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</si>
  <si>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</si>
  <si>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</si>
  <si>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</si>
  <si>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</si>
  <si>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</si>
  <si>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</si>
  <si>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</si>
  <si>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</si>
  <si>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</si>
  <si>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</si>
  <si>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</si>
  <si>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</si>
  <si>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</si>
  <si>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</si>
  <si>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</si>
  <si>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</si>
  <si>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</si>
  <si>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</si>
  <si>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英語学習に楽しみを感じ、意欲的に学習に励むことができる</t>
  </si>
  <si>
    <t>単語の発音を予想して読むことができる</t>
  </si>
  <si>
    <t>単語の音を聞いて、つづりを予想して書くことができる</t>
  </si>
  <si>
    <t>B</t>
  </si>
  <si>
    <t>A</t>
  </si>
  <si>
    <t>理科</t>
    <rPh sb="0" eb="2">
      <t>リカ</t>
    </rPh>
    <phoneticPr fontId="1"/>
  </si>
  <si>
    <t>社会</t>
    <rPh sb="0" eb="2">
      <t>シャカイ</t>
    </rPh>
    <phoneticPr fontId="1"/>
  </si>
  <si>
    <t>身の回りにあるもの（名詞）、日常生活の動作（動詞）、人や物を説明する言葉（形容詞）を習得することができる</t>
  </si>
  <si>
    <r>
      <t xml:space="preserve">学年
</t>
    </r>
    <r>
      <rPr>
        <sz val="9"/>
        <rFont val="ＭＳ Ｐ明朝"/>
        <family val="1"/>
        <charset val="128"/>
      </rPr>
      <t>(3学期)</t>
    </r>
    <rPh sb="5" eb="7">
      <t>ガッキ</t>
    </rPh>
    <phoneticPr fontId="1"/>
  </si>
  <si>
    <t>算数に関心を持ち、進んで新しい単元の習得をしたり、問題を解いたりすることができる</t>
  </si>
  <si>
    <t>かけ算の決まりを使って１０や０のかけ算の仕組みを理解し、計算することができる</t>
  </si>
  <si>
    <t>時刻や時間を計算によって求めたり、秒の単位を理解したりすることができる</t>
  </si>
  <si>
    <t>わり算の意味を理解し、式に表したり計算したりすることができる</t>
  </si>
  <si>
    <t>実験や観察などを工夫して行い、丁寧に観察したり発表したりすることができる</t>
  </si>
  <si>
    <t>英語で会話をしたり、友だちとスキットをしたりすることができる</t>
  </si>
  <si>
    <t>元気でさわやかなあいさつ返事を、自分から進んですることができる</t>
  </si>
  <si>
    <t>時間やきまりを守り、けじめをつけて、規則正しい生活をすることができる</t>
  </si>
  <si>
    <t>自分の物を大切にし、身の回りやロッカーの整理整頓をすることができる</t>
  </si>
  <si>
    <t>心身の健康に気をつけ、運動する習慣を身につけ、元気に生活することができる</t>
  </si>
  <si>
    <t>自らの目標に向かって最後までやり通すことができる</t>
  </si>
  <si>
    <t>当番の仕事や係活動など、やるべきことを責任持って行うことができる</t>
  </si>
  <si>
    <t>よりよい生活を送るために、考えたり工夫したりして生活することができる</t>
  </si>
  <si>
    <t>相手の気持ちや立場を理解して、だれに対しても仲良く支え合うことができる</t>
  </si>
  <si>
    <t>自然を愛し、生命について考え、大切にすることができる</t>
  </si>
  <si>
    <t>働くことを進んで行い、最後まで一生懸命やることができる</t>
  </si>
  <si>
    <t>国語に関心を持ち、進んで読んだり、書いたり、理解したりしている</t>
  </si>
  <si>
    <t>登場人物や場面の様子を考えて内容がわかるように音読ができる</t>
  </si>
  <si>
    <t>話の中心に気を付けて聞き、質問をすることができる</t>
  </si>
  <si>
    <t>自分の考えとその理由や登場人物の行動や気持ちをまとめて書くことができる</t>
  </si>
  <si>
    <t>登場人物の気持ちや場面の変化、情景を想像して読むことができる</t>
  </si>
  <si>
    <t>中心となる語や文をとらえ、段落の関係や事実、意見との関係を考えて読むことができる</t>
  </si>
  <si>
    <t>国語辞典の使い方や漢字の音訓、こそあど言葉を正しく理解することができる</t>
  </si>
  <si>
    <t>学習した漢字を読み書きし、理解することができる</t>
  </si>
  <si>
    <t>正しい姿勢と鉛筆の持ち方で、丁寧な字を書くことができる</t>
  </si>
  <si>
    <t>身近な生き物に興味を持ち、観察の仕方や記録の仕方について理解することができる</t>
  </si>
  <si>
    <t>様々な植物の種子の発芽や育ち方を理解することができる</t>
  </si>
  <si>
    <t>体育係</t>
    <rPh sb="0" eb="3">
      <t>タイイクカカリ</t>
    </rPh>
    <phoneticPr fontId="1"/>
  </si>
  <si>
    <t>図工係</t>
    <rPh sb="0" eb="3">
      <t>ズコウカカリ</t>
    </rPh>
    <phoneticPr fontId="1"/>
  </si>
  <si>
    <t>音楽係</t>
    <rPh sb="0" eb="3">
      <t>オンガクカカリ</t>
    </rPh>
    <phoneticPr fontId="1"/>
  </si>
  <si>
    <t>プリント係</t>
    <rPh sb="4" eb="5">
      <t>カカリ</t>
    </rPh>
    <phoneticPr fontId="1"/>
  </si>
  <si>
    <t>国語係</t>
    <rPh sb="0" eb="3">
      <t>コクゴカカリ</t>
    </rPh>
    <phoneticPr fontId="1"/>
  </si>
  <si>
    <t>B</t>
    <phoneticPr fontId="1"/>
  </si>
  <si>
    <t>天野 皓仁</t>
  </si>
  <si>
    <t>伊藤 滉都</t>
  </si>
  <si>
    <t>大月 碧唯</t>
  </si>
  <si>
    <t>小栗 望愛</t>
  </si>
  <si>
    <t>金子 愛弥</t>
  </si>
  <si>
    <t>久保田 進之介</t>
  </si>
  <si>
    <t>後藤 碧志</t>
  </si>
  <si>
    <t>小松 由伎乃</t>
  </si>
  <si>
    <t>上甲 稜大</t>
  </si>
  <si>
    <t>辛 夏姫</t>
  </si>
  <si>
    <t>新原 海</t>
  </si>
  <si>
    <t>田中 咲</t>
  </si>
  <si>
    <t>永原 愛瑠</t>
  </si>
  <si>
    <t>中村 隼人</t>
  </si>
  <si>
    <t>濱 丈士</t>
  </si>
  <si>
    <t>林 奏多</t>
  </si>
  <si>
    <t>三浦 遥希</t>
  </si>
  <si>
    <t>三代澤 侑</t>
  </si>
  <si>
    <t>安永 理人</t>
  </si>
  <si>
    <t>山崎 結介</t>
  </si>
  <si>
    <t>湯淺 創太</t>
  </si>
  <si>
    <t>３けたや４けたの数のたし算・ひき算を、筆算を使って計算することができる</t>
    <rPh sb="16" eb="17">
      <t>サン</t>
    </rPh>
    <phoneticPr fontId="17"/>
  </si>
  <si>
    <t>問題解決能力が高く、挙手も多い。早く正確にできて時間を持て余してしまうことがよくあり、個別に課題を与えている。</t>
    <rPh sb="0" eb="6">
      <t>モンダイカイケツノウリョク</t>
    </rPh>
    <rPh sb="7" eb="8">
      <t>タカ</t>
    </rPh>
    <rPh sb="10" eb="12">
      <t>キョシュ</t>
    </rPh>
    <rPh sb="13" eb="14">
      <t>オオ</t>
    </rPh>
    <rPh sb="16" eb="17">
      <t>ハヤ</t>
    </rPh>
    <rPh sb="18" eb="20">
      <t>セイカク</t>
    </rPh>
    <rPh sb="24" eb="26">
      <t>ジカン</t>
    </rPh>
    <rPh sb="27" eb="28">
      <t>モ</t>
    </rPh>
    <rPh sb="29" eb="30">
      <t>アマ</t>
    </rPh>
    <rPh sb="43" eb="45">
      <t>コベツ</t>
    </rPh>
    <rPh sb="46" eb="48">
      <t>カダイ</t>
    </rPh>
    <rPh sb="49" eb="50">
      <t>アタ</t>
    </rPh>
    <phoneticPr fontId="1"/>
  </si>
  <si>
    <t>授業に集中できないときもあったが、やればできる力があるので宿題はきちんとやって提出したい。分かったことは、積極的に発言しようとしている。</t>
    <rPh sb="0" eb="2">
      <t>ジュギョウ</t>
    </rPh>
    <rPh sb="3" eb="5">
      <t>シュウチュウ</t>
    </rPh>
    <rPh sb="23" eb="24">
      <t>チカラ</t>
    </rPh>
    <rPh sb="29" eb="31">
      <t>シュクダイ</t>
    </rPh>
    <rPh sb="39" eb="41">
      <t>テイシュツ</t>
    </rPh>
    <rPh sb="45" eb="46">
      <t>ワ</t>
    </rPh>
    <rPh sb="53" eb="56">
      <t>セッキョクテキ</t>
    </rPh>
    <rPh sb="57" eb="59">
      <t>ハツゲン</t>
    </rPh>
    <phoneticPr fontId="1"/>
  </si>
  <si>
    <t>声が小さく、発言が聞きとれないことがあるが大変まじめな学習態度である。友達を支えて教え合っているところをよく見かける。</t>
    <rPh sb="0" eb="1">
      <t>コエ</t>
    </rPh>
    <rPh sb="2" eb="3">
      <t>チイ</t>
    </rPh>
    <rPh sb="6" eb="8">
      <t>ハツゲン</t>
    </rPh>
    <rPh sb="9" eb="10">
      <t>キ</t>
    </rPh>
    <rPh sb="21" eb="23">
      <t>タイヘン</t>
    </rPh>
    <rPh sb="27" eb="31">
      <t>ガクシュウタイド</t>
    </rPh>
    <rPh sb="35" eb="37">
      <t>トモダチ</t>
    </rPh>
    <rPh sb="38" eb="39">
      <t>ササ</t>
    </rPh>
    <rPh sb="41" eb="42">
      <t>オシ</t>
    </rPh>
    <rPh sb="43" eb="44">
      <t>ア</t>
    </rPh>
    <rPh sb="54" eb="55">
      <t>ミ</t>
    </rPh>
    <phoneticPr fontId="1"/>
  </si>
  <si>
    <t>時刻や時間の単元を復習しておきたい。分かったことは積極的に発言しようとしている。</t>
    <rPh sb="6" eb="8">
      <t>タンゲン</t>
    </rPh>
    <rPh sb="9" eb="11">
      <t>フクシュウ</t>
    </rPh>
    <rPh sb="18" eb="19">
      <t>ワ</t>
    </rPh>
    <rPh sb="25" eb="28">
      <t>セッキョクテキ</t>
    </rPh>
    <rPh sb="29" eb="31">
      <t>ハツゲン</t>
    </rPh>
    <phoneticPr fontId="1"/>
  </si>
  <si>
    <t>足し算、引き算の筆算を正確にできるようにしたい。</t>
    <rPh sb="0" eb="1">
      <t>タ</t>
    </rPh>
    <rPh sb="2" eb="3">
      <t>ザン</t>
    </rPh>
    <rPh sb="4" eb="5">
      <t>ヒ</t>
    </rPh>
    <rPh sb="6" eb="7">
      <t>ザン</t>
    </rPh>
    <rPh sb="8" eb="10">
      <t>ヒッサン</t>
    </rPh>
    <rPh sb="11" eb="13">
      <t>セイカク</t>
    </rPh>
    <phoneticPr fontId="1"/>
  </si>
  <si>
    <t>足し算、引き算の計算を正確にできるようにしておきたい。数字は丁寧に書きたい。</t>
    <rPh sb="0" eb="1">
      <t>タ</t>
    </rPh>
    <rPh sb="2" eb="3">
      <t>ザン</t>
    </rPh>
    <rPh sb="4" eb="5">
      <t>ヒ</t>
    </rPh>
    <rPh sb="6" eb="7">
      <t>ザン</t>
    </rPh>
    <rPh sb="8" eb="10">
      <t>ケイサン</t>
    </rPh>
    <rPh sb="11" eb="13">
      <t>セイカク</t>
    </rPh>
    <rPh sb="27" eb="29">
      <t>スウジ</t>
    </rPh>
    <rPh sb="30" eb="32">
      <t>テイネイ</t>
    </rPh>
    <rPh sb="33" eb="34">
      <t>カ</t>
    </rPh>
    <phoneticPr fontId="1"/>
  </si>
  <si>
    <t>進んで発言することが多く、テスト点も安定して高い。分かったことは積極的に発言しようとしている。</t>
    <rPh sb="0" eb="1">
      <t>スス</t>
    </rPh>
    <rPh sb="3" eb="5">
      <t>ハツゲン</t>
    </rPh>
    <rPh sb="10" eb="11">
      <t>オオ</t>
    </rPh>
    <rPh sb="16" eb="17">
      <t>テン</t>
    </rPh>
    <rPh sb="18" eb="20">
      <t>アンテイ</t>
    </rPh>
    <rPh sb="22" eb="23">
      <t>タカ</t>
    </rPh>
    <rPh sb="25" eb="26">
      <t>ワ</t>
    </rPh>
    <rPh sb="32" eb="35">
      <t>セッキョクテキ</t>
    </rPh>
    <rPh sb="36" eb="38">
      <t>ハツゲン</t>
    </rPh>
    <phoneticPr fontId="1"/>
  </si>
  <si>
    <t>積極的な発言は少ないが、テスト点も安定して高い。</t>
    <rPh sb="0" eb="3">
      <t>セッキョクテキ</t>
    </rPh>
    <rPh sb="4" eb="6">
      <t>ハツゲン</t>
    </rPh>
    <rPh sb="7" eb="8">
      <t>スク</t>
    </rPh>
    <rPh sb="15" eb="16">
      <t>テン</t>
    </rPh>
    <rPh sb="17" eb="19">
      <t>アンテイ</t>
    </rPh>
    <rPh sb="21" eb="22">
      <t>タカ</t>
    </rPh>
    <phoneticPr fontId="1"/>
  </si>
  <si>
    <t>意欲的に学習に取り組み、テスト点も安定して高い。分かったことは積極的に発言しようとしている。</t>
    <rPh sb="0" eb="3">
      <t>イヨクテキ</t>
    </rPh>
    <rPh sb="4" eb="6">
      <t>ガクシュウ</t>
    </rPh>
    <rPh sb="7" eb="8">
      <t>ト</t>
    </rPh>
    <rPh sb="9" eb="10">
      <t>ク</t>
    </rPh>
    <rPh sb="15" eb="16">
      <t>テン</t>
    </rPh>
    <rPh sb="17" eb="19">
      <t>アンテイ</t>
    </rPh>
    <rPh sb="21" eb="22">
      <t>タカ</t>
    </rPh>
    <phoneticPr fontId="1"/>
  </si>
  <si>
    <t>進んで発言し、テスト点も安定して高い。</t>
    <rPh sb="0" eb="1">
      <t>スス</t>
    </rPh>
    <rPh sb="3" eb="5">
      <t>ハツゲン</t>
    </rPh>
    <rPh sb="10" eb="11">
      <t>テン</t>
    </rPh>
    <rPh sb="12" eb="14">
      <t>アンテイ</t>
    </rPh>
    <rPh sb="16" eb="17">
      <t>タカ</t>
    </rPh>
    <phoneticPr fontId="1"/>
  </si>
  <si>
    <t>時刻や時間の単元を復習しておきたい。</t>
    <rPh sb="6" eb="8">
      <t>タンゲン</t>
    </rPh>
    <rPh sb="9" eb="11">
      <t>フクシュウ</t>
    </rPh>
    <phoneticPr fontId="1"/>
  </si>
  <si>
    <t>時刻を求めたり、分や秒などの時間の計算を復習しておきたい。足し算、引き算の筆算はよくできているが、文章問題で問題の意味をきちんとつかむようにしたい。分かったことは積極的に発言しようとしている。</t>
    <rPh sb="8" eb="9">
      <t>フン</t>
    </rPh>
    <rPh sb="14" eb="16">
      <t>ジカン</t>
    </rPh>
    <rPh sb="17" eb="19">
      <t>ケイサン</t>
    </rPh>
    <rPh sb="20" eb="22">
      <t>フクシュウ</t>
    </rPh>
    <rPh sb="29" eb="30">
      <t>タ</t>
    </rPh>
    <rPh sb="31" eb="32">
      <t>ザン</t>
    </rPh>
    <rPh sb="33" eb="34">
      <t>ヒ</t>
    </rPh>
    <rPh sb="35" eb="36">
      <t>ザン</t>
    </rPh>
    <rPh sb="37" eb="39">
      <t>ヒッサン</t>
    </rPh>
    <rPh sb="49" eb="51">
      <t>ブンショウ</t>
    </rPh>
    <rPh sb="51" eb="53">
      <t>モンダイ</t>
    </rPh>
    <rPh sb="54" eb="56">
      <t>モンダイ</t>
    </rPh>
    <rPh sb="57" eb="59">
      <t>イミ</t>
    </rPh>
    <phoneticPr fontId="1"/>
  </si>
  <si>
    <t>授業中は学習に集中して、私語はやめよう。宿題はきちんと提出したい（提出率６０％）。数字は丁寧に書くようにしたい。</t>
    <rPh sb="0" eb="3">
      <t>ジュギョウチュウ</t>
    </rPh>
    <rPh sb="4" eb="6">
      <t>ガクシュウ</t>
    </rPh>
    <rPh sb="7" eb="9">
      <t>シュウチュウ</t>
    </rPh>
    <rPh sb="12" eb="14">
      <t>シゴ</t>
    </rPh>
    <rPh sb="20" eb="22">
      <t>シュクダイ</t>
    </rPh>
    <rPh sb="27" eb="29">
      <t>テイシュツ</t>
    </rPh>
    <rPh sb="33" eb="36">
      <t>テイシュツリツ</t>
    </rPh>
    <rPh sb="41" eb="43">
      <t>スウジ</t>
    </rPh>
    <rPh sb="44" eb="46">
      <t>テイネイ</t>
    </rPh>
    <rPh sb="47" eb="48">
      <t>カ</t>
    </rPh>
    <phoneticPr fontId="1"/>
  </si>
  <si>
    <t>授業中、声をかけないと何もしないことがよくあり、ぼんやりしていたりうつむいていたりしていることが多い。算数は好きな教科のようで、個別指導すればできる。テストでは白紙で提出することがあり、分からないのか時間がなくてできなかったのかがわからない。宿題の提出率は５０％で、やってなくて出さないことが多い。</t>
    <rPh sb="0" eb="2">
      <t>ジュギョウ</t>
    </rPh>
    <rPh sb="2" eb="3">
      <t>ナカ</t>
    </rPh>
    <rPh sb="4" eb="5">
      <t>コエ</t>
    </rPh>
    <rPh sb="11" eb="12">
      <t>ナニ</t>
    </rPh>
    <rPh sb="48" eb="49">
      <t>オオ</t>
    </rPh>
    <rPh sb="51" eb="53">
      <t>サンスウ</t>
    </rPh>
    <rPh sb="54" eb="55">
      <t>ス</t>
    </rPh>
    <rPh sb="57" eb="59">
      <t>キョウカ</t>
    </rPh>
    <rPh sb="64" eb="66">
      <t>コベツ</t>
    </rPh>
    <rPh sb="66" eb="68">
      <t>シドウ</t>
    </rPh>
    <rPh sb="80" eb="82">
      <t>ハクシ</t>
    </rPh>
    <rPh sb="83" eb="85">
      <t>テイシュツ</t>
    </rPh>
    <rPh sb="93" eb="94">
      <t>ワ</t>
    </rPh>
    <rPh sb="100" eb="102">
      <t>ジカン</t>
    </rPh>
    <rPh sb="121" eb="123">
      <t>シュクダイ</t>
    </rPh>
    <rPh sb="124" eb="127">
      <t>テイシュツリツ</t>
    </rPh>
    <rPh sb="139" eb="140">
      <t>ダ</t>
    </rPh>
    <rPh sb="146" eb="147">
      <t>オオ</t>
    </rPh>
    <phoneticPr fontId="1"/>
  </si>
  <si>
    <t>授業では意欲的に取り組み、テストも安定して高い。分かったことは積極的に発言しようとしている。</t>
    <rPh sb="0" eb="2">
      <t>ジュギョウ</t>
    </rPh>
    <rPh sb="4" eb="7">
      <t>イヨクテキ</t>
    </rPh>
    <rPh sb="8" eb="9">
      <t>ト</t>
    </rPh>
    <rPh sb="10" eb="11">
      <t>ク</t>
    </rPh>
    <rPh sb="17" eb="19">
      <t>アンテイ</t>
    </rPh>
    <rPh sb="21" eb="22">
      <t>タカ</t>
    </rPh>
    <phoneticPr fontId="1"/>
  </si>
  <si>
    <t>問題解決能力が高く、早く正確にできて時間を持て余してしまうときは個別に課題を与えるようにしている。</t>
    <rPh sb="0" eb="6">
      <t>モンダイカイケツノウリョク</t>
    </rPh>
    <rPh sb="7" eb="8">
      <t>タカ</t>
    </rPh>
    <rPh sb="10" eb="11">
      <t>ハヤ</t>
    </rPh>
    <rPh sb="12" eb="14">
      <t>セイカク</t>
    </rPh>
    <rPh sb="18" eb="20">
      <t>ジカン</t>
    </rPh>
    <rPh sb="21" eb="22">
      <t>モ</t>
    </rPh>
    <rPh sb="23" eb="24">
      <t>アマ</t>
    </rPh>
    <rPh sb="32" eb="34">
      <t>コベツ</t>
    </rPh>
    <rPh sb="35" eb="37">
      <t>カダイ</t>
    </rPh>
    <rPh sb="38" eb="39">
      <t>アタ</t>
    </rPh>
    <phoneticPr fontId="1"/>
  </si>
  <si>
    <t>意欲的に学習に取り組み、挙手も多くテスト点も安定して高い。分かったことは積極的に発言しようとしている。</t>
    <rPh sb="0" eb="3">
      <t>イヨクテキ</t>
    </rPh>
    <rPh sb="4" eb="6">
      <t>ガクシュウ</t>
    </rPh>
    <rPh sb="7" eb="8">
      <t>ト</t>
    </rPh>
    <rPh sb="9" eb="10">
      <t>ク</t>
    </rPh>
    <rPh sb="12" eb="14">
      <t>キョシュ</t>
    </rPh>
    <rPh sb="15" eb="16">
      <t>オオ</t>
    </rPh>
    <rPh sb="20" eb="21">
      <t>テン</t>
    </rPh>
    <rPh sb="22" eb="24">
      <t>アンテイ</t>
    </rPh>
    <rPh sb="26" eb="27">
      <t>タカ</t>
    </rPh>
    <phoneticPr fontId="1"/>
  </si>
  <si>
    <t>明るく元気で、いろいろなことに興味を持っています。理解力もあるのでノートをしっかり書くようにしましょう。</t>
    <rPh sb="0" eb="1">
      <t>アカ</t>
    </rPh>
    <rPh sb="3" eb="5">
      <t>ゲンキ</t>
    </rPh>
    <rPh sb="15" eb="17">
      <t>キョウミ</t>
    </rPh>
    <rPh sb="18" eb="19">
      <t>モ</t>
    </rPh>
    <rPh sb="25" eb="28">
      <t>リカイリョク</t>
    </rPh>
    <rPh sb="41" eb="42">
      <t>カ</t>
    </rPh>
    <phoneticPr fontId="1"/>
  </si>
  <si>
    <t>いろいろなことを知っているのか、授業を聞いていなくても答えられ、優秀です。ただ、観察記録やノートをとることに慣れていかないと、上級学年になったとき心配です。</t>
    <rPh sb="8" eb="9">
      <t>シ</t>
    </rPh>
    <rPh sb="16" eb="18">
      <t>ジュギョウ</t>
    </rPh>
    <rPh sb="19" eb="20">
      <t>キ</t>
    </rPh>
    <rPh sb="27" eb="28">
      <t>コタ</t>
    </rPh>
    <rPh sb="32" eb="34">
      <t>ユウシュウ</t>
    </rPh>
    <rPh sb="40" eb="44">
      <t>カンサツキロク</t>
    </rPh>
    <rPh sb="54" eb="55">
      <t>ナ</t>
    </rPh>
    <rPh sb="63" eb="67">
      <t>ジョウキュウガクネン</t>
    </rPh>
    <rPh sb="73" eb="75">
      <t>シンパイ</t>
    </rPh>
    <phoneticPr fontId="1"/>
  </si>
  <si>
    <t>身近な地域に興味を持ち、意欲的に見たり聞いたり調べたりすることができる</t>
  </si>
  <si>
    <t>地図記号や方角について理解し、地図を読み取ることができる</t>
  </si>
  <si>
    <t>身近な地域の様子を調べ、場所による様子の違いを考えることができる</t>
  </si>
  <si>
    <t>地図を読み取ったり、写真を見たりしながら、松本市の特徴や様子を考えることができる</t>
  </si>
  <si>
    <t>松本市のまとめを丁寧に書けた。</t>
    <rPh sb="0" eb="3">
      <t>マツモトシ</t>
    </rPh>
    <rPh sb="8" eb="10">
      <t>テイネイ</t>
    </rPh>
    <rPh sb="11" eb="12">
      <t>カ</t>
    </rPh>
    <phoneticPr fontId="1"/>
  </si>
  <si>
    <t>自分の感想や考えを入れながらまとめを書く姿「白骨温泉に行ってみたい→なぜならきれいな色でとても広い温泉だから」</t>
    <rPh sb="0" eb="2">
      <t>ジブン</t>
    </rPh>
    <rPh sb="3" eb="5">
      <t>カンソウ</t>
    </rPh>
    <rPh sb="6" eb="7">
      <t>カンガ</t>
    </rPh>
    <rPh sb="9" eb="10">
      <t>イ</t>
    </rPh>
    <rPh sb="18" eb="19">
      <t>カ</t>
    </rPh>
    <rPh sb="20" eb="21">
      <t>スガタ</t>
    </rPh>
    <rPh sb="22" eb="26">
      <t>シラホネオンセン</t>
    </rPh>
    <rPh sb="27" eb="28">
      <t>イ</t>
    </rPh>
    <rPh sb="42" eb="43">
      <t>イロ</t>
    </rPh>
    <rPh sb="47" eb="48">
      <t>ヒロ</t>
    </rPh>
    <rPh sb="49" eb="51">
      <t>オンセン</t>
    </rPh>
    <phoneticPr fontId="1"/>
  </si>
  <si>
    <t>ノートに絵をかいて分かりやすく記述</t>
    <rPh sb="4" eb="5">
      <t>エ</t>
    </rPh>
    <rPh sb="9" eb="10">
      <t>ワ</t>
    </rPh>
    <rPh sb="15" eb="17">
      <t>キジュツ</t>
    </rPh>
    <phoneticPr fontId="1"/>
  </si>
  <si>
    <t>音や音楽に関心を持ち、進んで音楽表現や鑑賞の活動に取り組むことができる</t>
    <rPh sb="0" eb="1">
      <t>オト</t>
    </rPh>
    <rPh sb="2" eb="4">
      <t>オンガク</t>
    </rPh>
    <rPh sb="5" eb="7">
      <t>カンシン</t>
    </rPh>
    <rPh sb="8" eb="9">
      <t>モ</t>
    </rPh>
    <rPh sb="11" eb="12">
      <t>スス</t>
    </rPh>
    <rPh sb="14" eb="18">
      <t>オンガクヒョウゲン</t>
    </rPh>
    <rPh sb="19" eb="21">
      <t>カンショウ</t>
    </rPh>
    <rPh sb="22" eb="24">
      <t>カツドウ</t>
    </rPh>
    <rPh sb="25" eb="26">
      <t>ト</t>
    </rPh>
    <rPh sb="27" eb="28">
      <t>ク</t>
    </rPh>
    <phoneticPr fontId="1"/>
  </si>
  <si>
    <t>曲想や歌詞の内容にふさわしい表現を工夫して歌うことができる</t>
    <rPh sb="0" eb="2">
      <t>キョクソウ</t>
    </rPh>
    <rPh sb="3" eb="5">
      <t>カシ</t>
    </rPh>
    <rPh sb="6" eb="8">
      <t>ナイヨウ</t>
    </rPh>
    <rPh sb="14" eb="16">
      <t>ヒョウゲン</t>
    </rPh>
    <rPh sb="17" eb="19">
      <t>クフウ</t>
    </rPh>
    <rPh sb="21" eb="22">
      <t>ウタ</t>
    </rPh>
    <phoneticPr fontId="1"/>
  </si>
  <si>
    <t>姿勢や構え方、息の強さ、タンギングに気をつけて、鍵盤ハーモニカやリコーダーを演奏することができる</t>
    <rPh sb="0" eb="2">
      <t>シセイ</t>
    </rPh>
    <rPh sb="3" eb="4">
      <t>カマ</t>
    </rPh>
    <rPh sb="5" eb="6">
      <t>カタ</t>
    </rPh>
    <rPh sb="7" eb="8">
      <t>イキ</t>
    </rPh>
    <rPh sb="9" eb="10">
      <t>ツヨ</t>
    </rPh>
    <rPh sb="18" eb="19">
      <t>キ</t>
    </rPh>
    <rPh sb="24" eb="26">
      <t>ケンバン</t>
    </rPh>
    <rPh sb="38" eb="40">
      <t>エンソウ</t>
    </rPh>
    <phoneticPr fontId="1"/>
  </si>
  <si>
    <t>様子を思い浮かべたり、楽器の持つ特徴を感じ取りながら楽曲を聴くことができる</t>
    <rPh sb="0" eb="2">
      <t>ヨウス</t>
    </rPh>
    <rPh sb="3" eb="4">
      <t>オモ</t>
    </rPh>
    <rPh sb="5" eb="6">
      <t>ウ</t>
    </rPh>
    <rPh sb="11" eb="13">
      <t>ガッキ</t>
    </rPh>
    <rPh sb="14" eb="15">
      <t>モ</t>
    </rPh>
    <rPh sb="16" eb="18">
      <t>トクチョウ</t>
    </rPh>
    <rPh sb="19" eb="20">
      <t>カン</t>
    </rPh>
    <rPh sb="21" eb="22">
      <t>ト</t>
    </rPh>
    <rPh sb="26" eb="28">
      <t>ガッキョク</t>
    </rPh>
    <rPh sb="29" eb="30">
      <t>キ</t>
    </rPh>
    <phoneticPr fontId="1"/>
  </si>
  <si>
    <t>運動の行い方を工夫するとともに、考えたことを他者に伝えることができる</t>
    <rPh sb="0" eb="2">
      <t>ウンドウ</t>
    </rPh>
    <rPh sb="3" eb="4">
      <t>オコナ</t>
    </rPh>
    <rPh sb="5" eb="6">
      <t>カタ</t>
    </rPh>
    <rPh sb="7" eb="9">
      <t>クフウ</t>
    </rPh>
    <rPh sb="16" eb="17">
      <t>カンガ</t>
    </rPh>
    <rPh sb="22" eb="24">
      <t>タシャ</t>
    </rPh>
    <rPh sb="25" eb="26">
      <t>ツタ</t>
    </rPh>
    <phoneticPr fontId="1"/>
  </si>
  <si>
    <t>決まりを守り、誰とでも仲良く意欲的に運動ができる</t>
    <rPh sb="0" eb="1">
      <t>キ</t>
    </rPh>
    <rPh sb="4" eb="5">
      <t>マモ</t>
    </rPh>
    <rPh sb="7" eb="8">
      <t>ダレ</t>
    </rPh>
    <rPh sb="11" eb="13">
      <t>ナカヨ</t>
    </rPh>
    <rPh sb="14" eb="17">
      <t>イヨクテキ</t>
    </rPh>
    <rPh sb="18" eb="20">
      <t>ウンドウ</t>
    </rPh>
    <phoneticPr fontId="1"/>
  </si>
  <si>
    <t>全身を使って、力強く走ることができる（短距離走）</t>
    <rPh sb="0" eb="2">
      <t>ゼンシン</t>
    </rPh>
    <rPh sb="3" eb="4">
      <t>ツカ</t>
    </rPh>
    <rPh sb="7" eb="9">
      <t>チカラツヨ</t>
    </rPh>
    <rPh sb="10" eb="11">
      <t>ハシ</t>
    </rPh>
    <rPh sb="19" eb="23">
      <t>タンキョリソウ</t>
    </rPh>
    <phoneticPr fontId="1"/>
  </si>
  <si>
    <t>バトンの受け渡しがスムーズにできる（リレー）</t>
    <rPh sb="4" eb="5">
      <t>ウ</t>
    </rPh>
    <rPh sb="6" eb="7">
      <t>ワタ</t>
    </rPh>
    <phoneticPr fontId="1"/>
  </si>
  <si>
    <t>短い助走から力強く踏み切って跳ぶことができる（走り幅跳び）</t>
    <rPh sb="0" eb="1">
      <t>ミジカ</t>
    </rPh>
    <rPh sb="2" eb="4">
      <t>ジョソウ</t>
    </rPh>
    <rPh sb="6" eb="8">
      <t>チカラツヨ</t>
    </rPh>
    <rPh sb="9" eb="10">
      <t>フ</t>
    </rPh>
    <rPh sb="11" eb="12">
      <t>キ</t>
    </rPh>
    <rPh sb="14" eb="15">
      <t>ト</t>
    </rPh>
    <rPh sb="23" eb="24">
      <t>ハシ</t>
    </rPh>
    <rPh sb="25" eb="27">
      <t>ハバト</t>
    </rPh>
    <phoneticPr fontId="1"/>
  </si>
  <si>
    <t>毎時間、授業の集合や整列時に列からはみ出ていたり、話を聞く時も集中していないことが多く、気になります。また、話が聞けていないため活動に取り掛かるのが遅くなったり、指示された動きと違うことをしていたりすることもあります。注意をされると、すぐに直せますがなかなか持続しません。２学期は、とにかく集中して授業を受けられるようにしましょう。</t>
    <rPh sb="0" eb="3">
      <t>マイジカン</t>
    </rPh>
    <rPh sb="4" eb="6">
      <t>ジュギョウ</t>
    </rPh>
    <rPh sb="12" eb="13">
      <t>ジ</t>
    </rPh>
    <rPh sb="25" eb="26">
      <t>ハナシ</t>
    </rPh>
    <rPh sb="27" eb="28">
      <t>キ</t>
    </rPh>
    <rPh sb="29" eb="30">
      <t>トキ</t>
    </rPh>
    <rPh sb="31" eb="33">
      <t>シュウチュウ</t>
    </rPh>
    <rPh sb="54" eb="55">
      <t>ハナシ</t>
    </rPh>
    <rPh sb="56" eb="57">
      <t>キ</t>
    </rPh>
    <rPh sb="64" eb="66">
      <t>カツドウ</t>
    </rPh>
    <rPh sb="67" eb="68">
      <t>ト</t>
    </rPh>
    <rPh sb="69" eb="70">
      <t>カ</t>
    </rPh>
    <rPh sb="74" eb="75">
      <t>オソ</t>
    </rPh>
    <rPh sb="81" eb="83">
      <t>シジ</t>
    </rPh>
    <rPh sb="86" eb="87">
      <t>ウゴ</t>
    </rPh>
    <rPh sb="89" eb="90">
      <t>チガ</t>
    </rPh>
    <rPh sb="109" eb="111">
      <t>チュウイ</t>
    </rPh>
    <rPh sb="120" eb="121">
      <t>ナオ</t>
    </rPh>
    <rPh sb="129" eb="131">
      <t>ジゾク</t>
    </rPh>
    <rPh sb="137" eb="139">
      <t>ガッキ</t>
    </rPh>
    <rPh sb="145" eb="147">
      <t>シュウチュウ</t>
    </rPh>
    <rPh sb="149" eb="151">
      <t>ジュギョウ</t>
    </rPh>
    <rPh sb="152" eb="153">
      <t>ウ</t>
    </rPh>
    <phoneticPr fontId="1"/>
  </si>
  <si>
    <t>ほぼ毎時間、授業の集合や整列時の静かにする場面で周囲の友達にわざわざ話し掛けていて集中していないことが多く、気になります。とにかく、落ち着きがありません。注意をされると、すぐに直せますがなかなか持続しません。２学期は、まず落ち着いて授業を受けられるように自分でも意識してみましょう。</t>
    <rPh sb="2" eb="5">
      <t>マイジカン</t>
    </rPh>
    <rPh sb="6" eb="8">
      <t>ジュギョウ</t>
    </rPh>
    <rPh sb="14" eb="15">
      <t>ジ</t>
    </rPh>
    <rPh sb="16" eb="17">
      <t>シズ</t>
    </rPh>
    <rPh sb="21" eb="23">
      <t>バメン</t>
    </rPh>
    <rPh sb="24" eb="26">
      <t>シュウイ</t>
    </rPh>
    <rPh sb="27" eb="29">
      <t>トモダチ</t>
    </rPh>
    <rPh sb="34" eb="35">
      <t>ハナ</t>
    </rPh>
    <rPh sb="36" eb="37">
      <t>カ</t>
    </rPh>
    <rPh sb="41" eb="43">
      <t>シュウチュウ</t>
    </rPh>
    <rPh sb="66" eb="67">
      <t>オ</t>
    </rPh>
    <rPh sb="68" eb="69">
      <t>ツ</t>
    </rPh>
    <rPh sb="77" eb="79">
      <t>チュウイ</t>
    </rPh>
    <rPh sb="88" eb="89">
      <t>ナオ</t>
    </rPh>
    <rPh sb="97" eb="99">
      <t>ジゾク</t>
    </rPh>
    <rPh sb="105" eb="107">
      <t>ガッキ</t>
    </rPh>
    <rPh sb="111" eb="112">
      <t>オ</t>
    </rPh>
    <rPh sb="113" eb="114">
      <t>ツ</t>
    </rPh>
    <rPh sb="116" eb="118">
      <t>ジュギョウ</t>
    </rPh>
    <rPh sb="119" eb="120">
      <t>ウ</t>
    </rPh>
    <rPh sb="127" eb="129">
      <t>ジブン</t>
    </rPh>
    <rPh sb="131" eb="133">
      <t>イシキ</t>
    </rPh>
    <phoneticPr fontId="1"/>
  </si>
  <si>
    <t>毎時間、落ち着きのなさが目立ちます。授業の集合や整列時に列からはみ出ていたり、話を聞く時も集中していないことが多く、気になります。話を聞く場面では、わざわざ周囲の友達に話し掛けていることも多いです。話を聞いていないために、指示とは違う行動をとっていることもあります。２学期は落ち着いて、集中して授業に臨みましょう。</t>
    <rPh sb="0" eb="3">
      <t>マイジカン</t>
    </rPh>
    <rPh sb="4" eb="5">
      <t>オ</t>
    </rPh>
    <rPh sb="6" eb="7">
      <t>ツ</t>
    </rPh>
    <rPh sb="12" eb="14">
      <t>メダ</t>
    </rPh>
    <rPh sb="18" eb="20">
      <t>ジュギョウ</t>
    </rPh>
    <rPh sb="26" eb="27">
      <t>ジ</t>
    </rPh>
    <rPh sb="65" eb="66">
      <t>ハナシ</t>
    </rPh>
    <rPh sb="67" eb="68">
      <t>キ</t>
    </rPh>
    <rPh sb="69" eb="71">
      <t>バメン</t>
    </rPh>
    <rPh sb="94" eb="95">
      <t>オオ</t>
    </rPh>
    <rPh sb="99" eb="100">
      <t>ハナシ</t>
    </rPh>
    <rPh sb="101" eb="102">
      <t>キ</t>
    </rPh>
    <rPh sb="111" eb="113">
      <t>シジ</t>
    </rPh>
    <rPh sb="115" eb="116">
      <t>チガ</t>
    </rPh>
    <rPh sb="117" eb="119">
      <t>コウドウ</t>
    </rPh>
    <rPh sb="134" eb="136">
      <t>ガッキ</t>
    </rPh>
    <rPh sb="137" eb="138">
      <t>オ</t>
    </rPh>
    <rPh sb="139" eb="140">
      <t>ツ</t>
    </rPh>
    <rPh sb="143" eb="145">
      <t>シュウチュウ</t>
    </rPh>
    <rPh sb="147" eb="149">
      <t>ジュギョウ</t>
    </rPh>
    <rPh sb="150" eb="151">
      <t>ノゾ</t>
    </rPh>
    <phoneticPr fontId="1"/>
  </si>
  <si>
    <t>授業よりも、外の景色、昆虫、木、グラウンドに落ちている物に対しての興味があるようで、まったく集中していません。むしろ、意欲が感じられない時の方が多いです。また、実際に取り組んでみて自分の思い通りにならないと、更にやる気がなくなり、余計に取り組みが悪くなることがあります。そうした様子が見られるので、ペアやグループを作る時には、周りから声を掛けてもらえず、また自分から友達に声を掛けることができない状況になり、最後まで取り残されてしまうことがあります。このままでは遥希くんにとっても周囲の仲間にとってもよくありません。２学期は気持ちを切り替え、まずは授業に対する態度を改め直してみましょう。</t>
    <rPh sb="0" eb="2">
      <t>ジュギョウ</t>
    </rPh>
    <rPh sb="6" eb="7">
      <t>ソト</t>
    </rPh>
    <rPh sb="8" eb="10">
      <t>ケシキ</t>
    </rPh>
    <rPh sb="11" eb="13">
      <t>コンチュウ</t>
    </rPh>
    <rPh sb="14" eb="15">
      <t>キ</t>
    </rPh>
    <rPh sb="22" eb="23">
      <t>オ</t>
    </rPh>
    <rPh sb="27" eb="28">
      <t>モノ</t>
    </rPh>
    <rPh sb="29" eb="30">
      <t>タイ</t>
    </rPh>
    <rPh sb="33" eb="35">
      <t>キョウミ</t>
    </rPh>
    <rPh sb="46" eb="48">
      <t>シュウチュウ</t>
    </rPh>
    <rPh sb="59" eb="61">
      <t>イヨク</t>
    </rPh>
    <rPh sb="62" eb="63">
      <t>カン</t>
    </rPh>
    <rPh sb="68" eb="69">
      <t>トキ</t>
    </rPh>
    <rPh sb="70" eb="71">
      <t>ホウ</t>
    </rPh>
    <rPh sb="72" eb="73">
      <t>オオ</t>
    </rPh>
    <rPh sb="80" eb="82">
      <t>ジッサイ</t>
    </rPh>
    <rPh sb="83" eb="84">
      <t>ト</t>
    </rPh>
    <rPh sb="85" eb="86">
      <t>ク</t>
    </rPh>
    <rPh sb="90" eb="92">
      <t>ジブン</t>
    </rPh>
    <rPh sb="93" eb="94">
      <t>オモ</t>
    </rPh>
    <rPh sb="95" eb="96">
      <t>ドオ</t>
    </rPh>
    <rPh sb="104" eb="105">
      <t>サラ</t>
    </rPh>
    <rPh sb="108" eb="109">
      <t>キ</t>
    </rPh>
    <rPh sb="115" eb="117">
      <t>ヨケイ</t>
    </rPh>
    <rPh sb="118" eb="119">
      <t>ト</t>
    </rPh>
    <rPh sb="120" eb="121">
      <t>ク</t>
    </rPh>
    <rPh sb="123" eb="124">
      <t>ワル</t>
    </rPh>
    <rPh sb="139" eb="141">
      <t>ヨウス</t>
    </rPh>
    <rPh sb="142" eb="143">
      <t>ミ</t>
    </rPh>
    <rPh sb="157" eb="158">
      <t>ツク</t>
    </rPh>
    <rPh sb="159" eb="160">
      <t>トキ</t>
    </rPh>
    <rPh sb="163" eb="164">
      <t>マワ</t>
    </rPh>
    <rPh sb="167" eb="168">
      <t>コエ</t>
    </rPh>
    <rPh sb="169" eb="170">
      <t>カ</t>
    </rPh>
    <rPh sb="198" eb="200">
      <t>ジョウキョウ</t>
    </rPh>
    <rPh sb="204" eb="206">
      <t>サイゴ</t>
    </rPh>
    <rPh sb="208" eb="209">
      <t>ト</t>
    </rPh>
    <rPh sb="210" eb="211">
      <t>ノコ</t>
    </rPh>
    <rPh sb="231" eb="232">
      <t>ハル</t>
    </rPh>
    <rPh sb="240" eb="242">
      <t>シュウイ</t>
    </rPh>
    <rPh sb="243" eb="245">
      <t>ナカマ</t>
    </rPh>
    <rPh sb="259" eb="261">
      <t>ガッキ</t>
    </rPh>
    <rPh sb="262" eb="264">
      <t>キモ</t>
    </rPh>
    <rPh sb="266" eb="267">
      <t>キ</t>
    </rPh>
    <rPh sb="268" eb="269">
      <t>カ</t>
    </rPh>
    <rPh sb="274" eb="276">
      <t>ジュギョウ</t>
    </rPh>
    <rPh sb="277" eb="278">
      <t>タイ</t>
    </rPh>
    <rPh sb="280" eb="282">
      <t>タイド</t>
    </rPh>
    <rPh sb="283" eb="284">
      <t>アラタ</t>
    </rPh>
    <rPh sb="285" eb="286">
      <t>ナオ</t>
    </rPh>
    <phoneticPr fontId="1"/>
  </si>
  <si>
    <t>毎時間、落ち着きのなさが目立ちます。話を聞く時や順番を待つ時には、ほぼ砂いじりをしていたり、わざわざ周囲の友達に話し掛けていたりすることがあります。話を聞いていないために、指示とは違う行動をとっていることもあります。運動の技能は優れているので、授業にふさわしい態度で授業に臨みましょう。</t>
    <rPh sb="22" eb="23">
      <t>トキ</t>
    </rPh>
    <rPh sb="24" eb="26">
      <t>ジュンバン</t>
    </rPh>
    <rPh sb="27" eb="28">
      <t>マ</t>
    </rPh>
    <rPh sb="29" eb="30">
      <t>トキ</t>
    </rPh>
    <rPh sb="35" eb="36">
      <t>スナ</t>
    </rPh>
    <rPh sb="108" eb="110">
      <t>ウンドウ</t>
    </rPh>
    <rPh sb="111" eb="113">
      <t>ギノウ</t>
    </rPh>
    <rPh sb="114" eb="115">
      <t>スグ</t>
    </rPh>
    <rPh sb="122" eb="124">
      <t>ジュギョウ</t>
    </rPh>
    <rPh sb="130" eb="132">
      <t>タイド</t>
    </rPh>
    <rPh sb="133" eb="135">
      <t>ジュギョウ</t>
    </rPh>
    <rPh sb="136" eb="137">
      <t>ノゾ</t>
    </rPh>
    <phoneticPr fontId="1"/>
  </si>
  <si>
    <t>どの題材でも発言する姿が見られました。けんかになってしまった登場人物同士のやりとりを通して、自分と違う意見が出たときに心がけることを考え、自分と異なる意見も大切にしようとする心情を育てる「日曜日の公園で」という題材では、「平等な時間になるようにして、交互に行っていけばよい」と相手意識を大事にした考えを書くことができました。今後も皓仁くんの前向きな行動力が様々な場面で発揮されることを期待しています。</t>
    <rPh sb="2" eb="4">
      <t>ダイザイ</t>
    </rPh>
    <rPh sb="111" eb="113">
      <t>ビョウドウ</t>
    </rPh>
    <rPh sb="125" eb="127">
      <t>コウゴ</t>
    </rPh>
    <rPh sb="128" eb="129">
      <t>オコナ</t>
    </rPh>
    <rPh sb="138" eb="142">
      <t>アイテイシキ</t>
    </rPh>
    <rPh sb="143" eb="145">
      <t>ダイジ</t>
    </rPh>
    <rPh sb="148" eb="149">
      <t>カンガ</t>
    </rPh>
    <rPh sb="151" eb="152">
      <t>カ</t>
    </rPh>
    <rPh sb="165" eb="166">
      <t>アキラ</t>
    </rPh>
    <rPh sb="170" eb="172">
      <t>マエム</t>
    </rPh>
    <rPh sb="178" eb="180">
      <t>サマザマ</t>
    </rPh>
    <phoneticPr fontId="18"/>
  </si>
  <si>
    <t>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登場人物の姿に共感しながら、自分の意見をまとめることができました。滉都くんの良さが日常生活の様々な場面で発揮されることを期待しています。</t>
    <rPh sb="108" eb="112">
      <t>トウジョウジンブツ</t>
    </rPh>
    <rPh sb="113" eb="114">
      <t>スガタ</t>
    </rPh>
    <rPh sb="115" eb="117">
      <t>キョウカン</t>
    </rPh>
    <rPh sb="122" eb="124">
      <t>ジブン</t>
    </rPh>
    <rPh sb="125" eb="127">
      <t>イケン</t>
    </rPh>
    <rPh sb="141" eb="142">
      <t>コウ</t>
    </rPh>
    <rPh sb="142" eb="143">
      <t>ト</t>
    </rPh>
    <rPh sb="146" eb="147">
      <t>ヨ</t>
    </rPh>
    <rPh sb="149" eb="150">
      <t>ニチ</t>
    </rPh>
    <rPh sb="154" eb="156">
      <t>サマザマ</t>
    </rPh>
    <rPh sb="157" eb="159">
      <t>バメン</t>
    </rPh>
    <rPh sb="160" eb="162">
      <t>ハッキ</t>
    </rPh>
    <phoneticPr fontId="18"/>
  </si>
  <si>
    <t>自分の考えをワークシートに丁寧に記述できました。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自分の意見と違っても、その意見を優しくまとめたい」と書きました。今後も学んだことが碧唯さんの日々の成長につながっていく姿を期待しています。</t>
    <rPh sb="13" eb="15">
      <t>テイネイ</t>
    </rPh>
    <rPh sb="127" eb="129">
      <t>ジブン</t>
    </rPh>
    <rPh sb="140" eb="142">
      <t>イケン</t>
    </rPh>
    <rPh sb="143" eb="144">
      <t>ヤサ</t>
    </rPh>
    <rPh sb="153" eb="154">
      <t>カ</t>
    </rPh>
    <rPh sb="168" eb="170">
      <t>アオイ</t>
    </rPh>
    <phoneticPr fontId="18"/>
  </si>
  <si>
    <t>自分の考えをもち、積極的に発言ができました。「友だち屋」を始めたキツネが「本当の友だち」と言われて喜び、商売をやめる姿を通して、友だちとはどんな人かを考え、友だちと互いに理解し合い、信頼し合い、助け合おうとする心情を育てる「友だち屋」という題材では、友だちとはどんな人かについて、様々な視点で自分の考えをまとめることができました。今後も望愛さんの良さが多くの場面で発揮されることを期待しています。</t>
    <rPh sb="9" eb="12">
      <t>セッキョクテキ</t>
    </rPh>
    <rPh sb="125" eb="126">
      <t>トモ</t>
    </rPh>
    <rPh sb="133" eb="134">
      <t>ヒト</t>
    </rPh>
    <rPh sb="140" eb="142">
      <t>サマザマ</t>
    </rPh>
    <rPh sb="143" eb="145">
      <t>シテン</t>
    </rPh>
    <rPh sb="146" eb="148">
      <t>ジブン</t>
    </rPh>
    <rPh sb="149" eb="150">
      <t>カンガ</t>
    </rPh>
    <rPh sb="168" eb="169">
      <t>ノゾム</t>
    </rPh>
    <rPh sb="169" eb="170">
      <t>アイ</t>
    </rPh>
    <rPh sb="173" eb="174">
      <t>ヨ</t>
    </rPh>
    <rPh sb="176" eb="177">
      <t>オオ</t>
    </rPh>
    <rPh sb="179" eb="180">
      <t>バ</t>
    </rPh>
    <rPh sb="180" eb="181">
      <t>メン</t>
    </rPh>
    <phoneticPr fontId="18"/>
  </si>
  <si>
    <t>サッカーが得意でない道夫にいらいらし、声をかけなくなってしまった登場人物の姿を通して、誰に対しても分け隔てなく接するにはどんな気持ちが必要か考え、公正、公平な態度で接しようとする心情を育てる「道夫とぼく」という題材では、「絶対に相手に対して嫌なことは言わない。一人の人がいたら誘ってあげる。」と考えました。今後も学んだことを日常生活に生かし、愛弥さんの日々の成長につながる姿を期待しています。</t>
    <rPh sb="111" eb="113">
      <t>ゼッタイ</t>
    </rPh>
    <rPh sb="114" eb="116">
      <t>アイテ</t>
    </rPh>
    <rPh sb="117" eb="118">
      <t>タイ</t>
    </rPh>
    <rPh sb="120" eb="121">
      <t>イヤ</t>
    </rPh>
    <rPh sb="125" eb="126">
      <t>イ</t>
    </rPh>
    <rPh sb="130" eb="132">
      <t>ヒトリ</t>
    </rPh>
    <rPh sb="133" eb="134">
      <t>ヒト</t>
    </rPh>
    <rPh sb="138" eb="139">
      <t>サソ</t>
    </rPh>
    <rPh sb="147" eb="148">
      <t>カンガ</t>
    </rPh>
    <rPh sb="171" eb="172">
      <t>アイ</t>
    </rPh>
    <rPh sb="172" eb="173">
      <t>ヤ</t>
    </rPh>
    <phoneticPr fontId="18"/>
  </si>
  <si>
    <t>自分の考えを積極的に発言する姿が見られました。サッカーが得意でない道夫にいらいらし、声をかけなくなってしまった登場人物の姿を通して、誰に対しても分け隔てなく接するにはどんな気持ちが必要か考え、公正、公平な態度で接しようとする心情を育てる「道夫とぼく」という題材では、「人によって態度を変えない」と振り返りを書きました。今後も周りに気づかいができる進之介くんの良さが発揮されることを期待しています。</t>
    <rPh sb="134" eb="135">
      <t>ヒト</t>
    </rPh>
    <rPh sb="139" eb="141">
      <t>タイド</t>
    </rPh>
    <rPh sb="142" eb="143">
      <t>カ</t>
    </rPh>
    <rPh sb="148" eb="149">
      <t>フ</t>
    </rPh>
    <rPh sb="150" eb="151">
      <t>カエ</t>
    </rPh>
    <rPh sb="153" eb="154">
      <t>カ</t>
    </rPh>
    <rPh sb="173" eb="176">
      <t>シンノスケ</t>
    </rPh>
    <phoneticPr fontId="18"/>
  </si>
  <si>
    <t>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僕は自分からなかなか謝れないから、謝れるようになりたい」と自分の姿を振り返ることができました。今後も、学んだことが碧志くんの日常生活に活きていく姿を期待しています。</t>
    <rPh sb="109" eb="110">
      <t>ボク</t>
    </rPh>
    <rPh sb="111" eb="113">
      <t>ジブン</t>
    </rPh>
    <rPh sb="119" eb="120">
      <t>アヤマ</t>
    </rPh>
    <rPh sb="126" eb="127">
      <t>アヤマ</t>
    </rPh>
    <rPh sb="138" eb="140">
      <t>ジブン</t>
    </rPh>
    <rPh sb="141" eb="142">
      <t>スガタ</t>
    </rPh>
    <rPh sb="143" eb="144">
      <t>フ</t>
    </rPh>
    <rPh sb="145" eb="146">
      <t>カエ</t>
    </rPh>
    <rPh sb="166" eb="168">
      <t>アオシ</t>
    </rPh>
    <rPh sb="176" eb="177">
      <t>イ</t>
    </rPh>
    <phoneticPr fontId="18"/>
  </si>
  <si>
    <t>自分の考えをワークシートに記述することができました。友だちの挨拶を見て、「本当のあいさつ名人」だと思う登場人物の姿を通して、挨拶にはどんな心が大切なのかを考え、相手の立場に立って接しようとする意欲を育てる「あいさつ名人」という題材では、「相手意識を大切にしたい」と今後の目標を決めることができました。今後も学んだことを日常生活に生かし、由伎乃さんの日々の成長につながる姿を期待しています。</t>
    <rPh sb="119" eb="123">
      <t>アイテイシキ</t>
    </rPh>
    <rPh sb="124" eb="126">
      <t>タイセツ</t>
    </rPh>
    <rPh sb="132" eb="134">
      <t>コンゴ</t>
    </rPh>
    <rPh sb="135" eb="137">
      <t>モクヒョウ</t>
    </rPh>
    <rPh sb="138" eb="139">
      <t>キ</t>
    </rPh>
    <rPh sb="168" eb="169">
      <t>ユ</t>
    </rPh>
    <rPh sb="169" eb="170">
      <t>キ</t>
    </rPh>
    <rPh sb="170" eb="171">
      <t>ノ</t>
    </rPh>
    <phoneticPr fontId="18"/>
  </si>
  <si>
    <t>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僕は自分で謝れないから、謝れるようになりたい」と自分の姿を振り返ることができました。今後も、学んだことが稜大くんの日常生活に活きていく姿を期待しています。</t>
  </si>
  <si>
    <t>自分の考えをもち、ワークシートに記述することができました。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話し合ってみんなが良いと思った考えにする」とまとめました。今後も夏姫さんの良い行動力が様々な場面で発揮されることを期待しています。</t>
    <rPh sb="132" eb="133">
      <t>ハナ</t>
    </rPh>
    <rPh sb="134" eb="135">
      <t>ア</t>
    </rPh>
    <rPh sb="141" eb="142">
      <t>ヨ</t>
    </rPh>
    <rPh sb="144" eb="145">
      <t>オモ</t>
    </rPh>
    <rPh sb="147" eb="148">
      <t>カンガ</t>
    </rPh>
    <rPh sb="164" eb="166">
      <t>ナツキ</t>
    </rPh>
    <rPh sb="169" eb="170">
      <t>ヨ</t>
    </rPh>
    <rPh sb="175" eb="177">
      <t>サマザマ</t>
    </rPh>
    <phoneticPr fontId="18"/>
  </si>
  <si>
    <t>自分の考えをもって、積極的に発言する姿が見られました。友だちの挨拶を見て、「本当のあいさつ名人」だと思う登場人物の姿を通して、挨拶にはどんな心が大切なのかを考え、相手の立場に立って接しようとする意欲を育てる「あいさつ名人」という題材では、「自分が笑顔で挨拶をしたい」と大切にしたいことを考えました。今後も周りに気づかいのできる海さんの良さが様々な場面で発揮されることを期待しています。</t>
    <rPh sb="120" eb="122">
      <t>ジブン</t>
    </rPh>
    <rPh sb="123" eb="125">
      <t>エガオ</t>
    </rPh>
    <rPh sb="126" eb="128">
      <t>アイサツ</t>
    </rPh>
    <rPh sb="134" eb="136">
      <t>タイセツ</t>
    </rPh>
    <rPh sb="143" eb="144">
      <t>カンガ</t>
    </rPh>
    <rPh sb="163" eb="164">
      <t>ウミ</t>
    </rPh>
    <rPh sb="170" eb="175">
      <t>サマザマナバメン</t>
    </rPh>
    <phoneticPr fontId="18"/>
  </si>
  <si>
    <t>自分の考えをワークシートに記述することができました。「友だち屋」を始めたキツネが「本当の友だち」と言われて喜び、商売をやめる姿を通して、友だちとはどんな人かを考え、友だちと互いに理解し合い、信頼し合い、助け合おうとする心情を育てる「友だち屋」という題材では、友だちとはどんな人かについて、様々な視点で考えをまとめることができました。今後も咲さんの良さが多くの場面で発揮されることを期待しています。</t>
    <rPh sb="169" eb="170">
      <t>サキ</t>
    </rPh>
    <rPh sb="176" eb="177">
      <t>オオ</t>
    </rPh>
    <phoneticPr fontId="18"/>
  </si>
  <si>
    <t>自分の考えをもち、発言したり、ワークシートに記述したりできました。友だちの挨拶を見て、「本当のあいさつ名人」だと思う登場人物の姿を通して、挨拶にはどんな心が大切なのかを考え、相手の立場に立って接しようとする意欲を育てる「あいさつ名人」という題材では、「相手の目を見て、自分から相手に聞こえるちょうどよい声であいさつしたい」と考えました。今後も学んだことが愛瑠さんの成長につながる姿を期待しています。</t>
    <rPh sb="126" eb="128">
      <t>アイテ</t>
    </rPh>
    <rPh sb="129" eb="130">
      <t>メ</t>
    </rPh>
    <rPh sb="131" eb="132">
      <t>ミ</t>
    </rPh>
    <rPh sb="134" eb="136">
      <t>ジブン</t>
    </rPh>
    <rPh sb="138" eb="140">
      <t>アイテ</t>
    </rPh>
    <rPh sb="141" eb="142">
      <t>キ</t>
    </rPh>
    <rPh sb="151" eb="152">
      <t>コエ</t>
    </rPh>
    <rPh sb="162" eb="163">
      <t>カンガ</t>
    </rPh>
    <rPh sb="177" eb="179">
      <t>アイル</t>
    </rPh>
    <phoneticPr fontId="18"/>
  </si>
  <si>
    <t>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僕は悪いことをした時なかなか謝れないから、謝れるようになりたい」と自分の姿を振り返ることができました。今後も学んだことが隼人くんの成長につながっていく姿を期待しています。</t>
    <rPh sb="111" eb="112">
      <t>ワル</t>
    </rPh>
    <rPh sb="118" eb="119">
      <t>トキ</t>
    </rPh>
    <phoneticPr fontId="18"/>
  </si>
  <si>
    <t>友だちの絵を誤って汚したことを正直に謝る登場人物の姿を通して、心から謝ることの良さについて考え、過ちを犯したときにはごまかさずに素直に反省し、正直に明るい心で過ごそうとする判断力を育てる「よごれた絵」という題材では、「悪いことをしてしまったら最後の登場人物のように謝りたい」と振り返っていました。今後も学んだことが日常生活に生き、丈士くんの日々の成長につながっていく姿を期待しています。</t>
    <rPh sb="109" eb="110">
      <t>ワル</t>
    </rPh>
    <rPh sb="121" eb="123">
      <t>サイゴ</t>
    </rPh>
    <rPh sb="124" eb="128">
      <t>トウジョウジンブツ</t>
    </rPh>
    <rPh sb="132" eb="133">
      <t>アヤマ</t>
    </rPh>
    <rPh sb="138" eb="139">
      <t>フ</t>
    </rPh>
    <rPh sb="140" eb="141">
      <t>カエ</t>
    </rPh>
    <phoneticPr fontId="18"/>
  </si>
  <si>
    <t>サッカーが得意でない道夫にいらいらし、声をかけなくなってしまった登場人物の姿を通して、誰に対しても分け隔てなく接するにはどんな気持ちが必要か考え、公正、公平な態度で接しようとする心情を育てる「道夫とぼく」という題材では、「上手下手に関わらず、誰に対しても平等に接したい」と考えをまとめました。周りの人と上手に関わることのできる奏多くんの良さを生かして今後も活躍することを期待しています。</t>
    <rPh sb="111" eb="115">
      <t>ジョウズヘタ</t>
    </rPh>
    <rPh sb="116" eb="117">
      <t>カカ</t>
    </rPh>
    <rPh sb="121" eb="122">
      <t>ダレ</t>
    </rPh>
    <rPh sb="123" eb="124">
      <t>タイ</t>
    </rPh>
    <rPh sb="127" eb="129">
      <t>ビョウドウ</t>
    </rPh>
    <rPh sb="130" eb="131">
      <t>セッ</t>
    </rPh>
    <rPh sb="136" eb="137">
      <t>カンガ</t>
    </rPh>
    <rPh sb="163" eb="164">
      <t>ソウ</t>
    </rPh>
    <rPh sb="164" eb="165">
      <t>タ</t>
    </rPh>
    <phoneticPr fontId="18"/>
  </si>
  <si>
    <t>自分の考えをワークシートに記述することができました。友だちの挨拶を見て、「本当のあいさつ名人」だと思う登場人物の姿を通して、挨拶にはどんな心が大切なのかを考え、相手の立場に立って接しようとする意欲を育てる「あいさつ名人」という題材では、「相手意識を大切にしたい」と今後の目標を決めることができました。今後も学んだことを日常生活に生かし、遥希くんの日々の成長につながる姿を期待しています。</t>
    <rPh sb="168" eb="170">
      <t>ハルキ</t>
    </rPh>
    <phoneticPr fontId="18"/>
  </si>
  <si>
    <t>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違う意見が出たらけんかする時間がもったいないから譲る」と考えました。今後も学んだことを日常生活に生かし、侑くんの周りに対して優しくできる良さが発揮されることを期待しています。</t>
    <rPh sb="103" eb="104">
      <t>チガ</t>
    </rPh>
    <rPh sb="105" eb="107">
      <t>イケン</t>
    </rPh>
    <rPh sb="108" eb="109">
      <t>デ</t>
    </rPh>
    <rPh sb="116" eb="118">
      <t>ジカン</t>
    </rPh>
    <rPh sb="127" eb="128">
      <t>ユズル</t>
    </rPh>
    <rPh sb="131" eb="132">
      <t>カンガ</t>
    </rPh>
    <rPh sb="155" eb="156">
      <t>ユウ</t>
    </rPh>
    <rPh sb="159" eb="160">
      <t>マワ</t>
    </rPh>
    <rPh sb="162" eb="163">
      <t>タイ</t>
    </rPh>
    <rPh sb="165" eb="166">
      <t>ヤサ</t>
    </rPh>
    <rPh sb="171" eb="172">
      <t>ヨ</t>
    </rPh>
    <rPh sb="174" eb="176">
      <t>ハッキ</t>
    </rPh>
    <phoneticPr fontId="18"/>
  </si>
  <si>
    <t>自分の考えをもって、積極的に発言する姿が見られました。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納得しやすいから理由と一緒に意見を言う」とまとめました。今後も学んだことが理人くんの日々の成長につながっていく姿を期待しています。</t>
    <rPh sb="130" eb="132">
      <t>ナットク</t>
    </rPh>
    <rPh sb="138" eb="140">
      <t>リユウ</t>
    </rPh>
    <rPh sb="141" eb="143">
      <t>イッショ</t>
    </rPh>
    <rPh sb="144" eb="146">
      <t>イケン</t>
    </rPh>
    <rPh sb="147" eb="148">
      <t>イ</t>
    </rPh>
    <rPh sb="167" eb="169">
      <t>リヒト</t>
    </rPh>
    <phoneticPr fontId="18"/>
  </si>
  <si>
    <t>自分の考えをもち、発言したり、ワークシートに記述したりできました。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自分と違う意見を合体させて良くする」とまとめました。今後も学んだことが結介くんの日々の成長につながる姿を期待しています。</t>
    <rPh sb="136" eb="138">
      <t>ジブン</t>
    </rPh>
    <rPh sb="139" eb="140">
      <t>チガ</t>
    </rPh>
    <rPh sb="141" eb="143">
      <t>イケン</t>
    </rPh>
    <rPh sb="144" eb="146">
      <t>ガッタイ</t>
    </rPh>
    <rPh sb="149" eb="150">
      <t>ヨ</t>
    </rPh>
    <rPh sb="171" eb="172">
      <t>ユ</t>
    </rPh>
    <rPh sb="172" eb="173">
      <t>スケ</t>
    </rPh>
    <phoneticPr fontId="18"/>
  </si>
  <si>
    <t>自分の考えをワークシートに記述することができました。友だちの挨拶を見て、「本当のあいさつ名人」だと思う登場人物の姿を通して、挨拶にはどんな心が大切なのかを考え、相手の立場に立って接しようとする意欲を育てる「あいさつ名人」という題材では、題材の登場人物の考えに共感して自分の考えをまとめることができました。今後も、学んだことを創太くんの日常生活に生かしていける姿を期待しています。</t>
    <rPh sb="162" eb="164">
      <t>ソウタ</t>
    </rPh>
    <phoneticPr fontId="18"/>
  </si>
  <si>
    <t>漢字係</t>
    <rPh sb="0" eb="3">
      <t>カンジカカリ</t>
    </rPh>
    <phoneticPr fontId="1"/>
  </si>
  <si>
    <t>掲示係</t>
    <rPh sb="0" eb="3">
      <t>ケイジカカリ</t>
    </rPh>
    <phoneticPr fontId="1"/>
  </si>
  <si>
    <t>時刻係</t>
    <rPh sb="0" eb="3">
      <t>ジコクカカリ</t>
    </rPh>
    <phoneticPr fontId="1"/>
  </si>
  <si>
    <t>並ばせ係</t>
    <rPh sb="0" eb="1">
      <t>ナラ</t>
    </rPh>
    <rPh sb="3" eb="4">
      <t>カカリ</t>
    </rPh>
    <phoneticPr fontId="1"/>
  </si>
  <si>
    <t>音読・EE係</t>
    <rPh sb="0" eb="2">
      <t>オンドク</t>
    </rPh>
    <rPh sb="5" eb="6">
      <t>カカリ</t>
    </rPh>
    <phoneticPr fontId="1"/>
  </si>
  <si>
    <t>理科係</t>
    <rPh sb="0" eb="3">
      <t>リカカカリ</t>
    </rPh>
    <phoneticPr fontId="1"/>
  </si>
  <si>
    <t>黒板係</t>
    <rPh sb="0" eb="3">
      <t>コクバンカカリ</t>
    </rPh>
    <phoneticPr fontId="1"/>
  </si>
  <si>
    <t>名札係</t>
    <rPh sb="0" eb="3">
      <t>ナフダカカリ</t>
    </rPh>
    <phoneticPr fontId="1"/>
  </si>
  <si>
    <t>お助け係</t>
    <rPh sb="1" eb="2">
      <t>タス</t>
    </rPh>
    <rPh sb="3" eb="4">
      <t>カカリ</t>
    </rPh>
    <phoneticPr fontId="1"/>
  </si>
  <si>
    <t>配り係</t>
    <rPh sb="0" eb="3">
      <t>クバリカカリ</t>
    </rPh>
    <phoneticPr fontId="1"/>
  </si>
  <si>
    <t>毎日元気に明るく学校生活を過ごすことができました。一年間の目標を「メリハリをしっかりつけて授業に集中して黙々とやる。」と定めました。望愛さんの最大の魅力は前向きさです。何事もあきらめることなく、最後まで真剣に取り組み、体育祭などの行事や日々の学習を手を抜かずに取り組む姿勢に感心します。教科問わず発言をし、自分の考えをもって、何事にもチャレンジができています。算数はおおむねよくできていますが、時こくと時間の学習について、夏休みの復習が必要です。何気ない日々の生活の中で「○分前」「○時間後」という時間の意識をもつことが大事だと思います。体育祭では、赤組の学年リーダーとして、整列の指示などリーダーとしての役割を十分に発揮できました。４年生に向けての期待がもてました。自分のことに集中しすぎて、話を聞いていないこともたまにありますが、努力の姿勢を引き続きもって、2学期以降も前向きに学校生活を過ごしてほしいと期待しています。</t>
    <rPh sb="5" eb="6">
      <t>アカ</t>
    </rPh>
    <rPh sb="25" eb="26">
      <t>イチ</t>
    </rPh>
    <rPh sb="26" eb="28">
      <t>ネンカン</t>
    </rPh>
    <rPh sb="29" eb="31">
      <t>モクヒョウ</t>
    </rPh>
    <rPh sb="45" eb="47">
      <t>ジュギョウ</t>
    </rPh>
    <rPh sb="48" eb="50">
      <t>シュウチュウ</t>
    </rPh>
    <rPh sb="52" eb="54">
      <t>モクモク</t>
    </rPh>
    <rPh sb="60" eb="61">
      <t>サダ</t>
    </rPh>
    <rPh sb="66" eb="67">
      <t>ノゾム</t>
    </rPh>
    <rPh sb="67" eb="68">
      <t>アイ</t>
    </rPh>
    <rPh sb="71" eb="73">
      <t>サイダイ</t>
    </rPh>
    <rPh sb="74" eb="76">
      <t>ミリョク</t>
    </rPh>
    <rPh sb="77" eb="79">
      <t>マエム</t>
    </rPh>
    <rPh sb="84" eb="86">
      <t>ナニゴト</t>
    </rPh>
    <rPh sb="97" eb="99">
      <t>サイゴ</t>
    </rPh>
    <rPh sb="101" eb="103">
      <t>シンケン</t>
    </rPh>
    <rPh sb="104" eb="105">
      <t>ト</t>
    </rPh>
    <rPh sb="106" eb="107">
      <t>ク</t>
    </rPh>
    <rPh sb="109" eb="112">
      <t>タイイクサイ</t>
    </rPh>
    <rPh sb="115" eb="117">
      <t>ギョウジ</t>
    </rPh>
    <rPh sb="118" eb="123">
      <t>ヒビノガクシュウ</t>
    </rPh>
    <rPh sb="124" eb="125">
      <t>テ</t>
    </rPh>
    <rPh sb="126" eb="127">
      <t>ヌ</t>
    </rPh>
    <rPh sb="130" eb="131">
      <t>ト</t>
    </rPh>
    <rPh sb="132" eb="133">
      <t>ク</t>
    </rPh>
    <rPh sb="134" eb="136">
      <t>シセイ</t>
    </rPh>
    <rPh sb="137" eb="139">
      <t>カンシン</t>
    </rPh>
    <rPh sb="143" eb="146">
      <t>キョウカト</t>
    </rPh>
    <rPh sb="148" eb="150">
      <t>ハツゲン</t>
    </rPh>
    <rPh sb="153" eb="155">
      <t>ジブン</t>
    </rPh>
    <rPh sb="156" eb="157">
      <t>カンガ</t>
    </rPh>
    <rPh sb="163" eb="165">
      <t>ナニゴト</t>
    </rPh>
    <rPh sb="180" eb="182">
      <t>サンスウ</t>
    </rPh>
    <rPh sb="201" eb="203">
      <t>ジカン</t>
    </rPh>
    <rPh sb="204" eb="206">
      <t>ガクシュウ</t>
    </rPh>
    <rPh sb="211" eb="213">
      <t>ナツヤス</t>
    </rPh>
    <rPh sb="215" eb="217">
      <t>フクシュウ</t>
    </rPh>
    <rPh sb="218" eb="220">
      <t>ヒツヨウ</t>
    </rPh>
    <rPh sb="223" eb="225">
      <t>ナニゲ</t>
    </rPh>
    <rPh sb="227" eb="234">
      <t>ヒビノセイカツノナカ</t>
    </rPh>
    <rPh sb="237" eb="239">
      <t>フンマエ</t>
    </rPh>
    <rPh sb="242" eb="245">
      <t>ジカンゴ</t>
    </rPh>
    <rPh sb="249" eb="251">
      <t>ジカン</t>
    </rPh>
    <rPh sb="252" eb="254">
      <t>イシキ</t>
    </rPh>
    <rPh sb="260" eb="262">
      <t>ダイジ</t>
    </rPh>
    <rPh sb="264" eb="265">
      <t>オモ</t>
    </rPh>
    <rPh sb="269" eb="272">
      <t>タイイクサイ</t>
    </rPh>
    <rPh sb="275" eb="277">
      <t>アカグミ</t>
    </rPh>
    <rPh sb="278" eb="280">
      <t>ガクネン</t>
    </rPh>
    <rPh sb="288" eb="290">
      <t>セイレツ</t>
    </rPh>
    <rPh sb="291" eb="293">
      <t>シジ</t>
    </rPh>
    <rPh sb="303" eb="305">
      <t>ヤクワリ</t>
    </rPh>
    <rPh sb="306" eb="308">
      <t>ジュウブン</t>
    </rPh>
    <rPh sb="309" eb="311">
      <t>ハッキ</t>
    </rPh>
    <rPh sb="334" eb="336">
      <t>ジブン</t>
    </rPh>
    <rPh sb="340" eb="342">
      <t>シュウチュウ</t>
    </rPh>
    <rPh sb="347" eb="348">
      <t>ハナシ</t>
    </rPh>
    <rPh sb="349" eb="350">
      <t>キ</t>
    </rPh>
    <rPh sb="367" eb="369">
      <t>ドリョク</t>
    </rPh>
    <rPh sb="370" eb="372">
      <t>シセイ</t>
    </rPh>
    <rPh sb="373" eb="374">
      <t>ヒ</t>
    </rPh>
    <rPh sb="375" eb="376">
      <t>ツヅ</t>
    </rPh>
    <rPh sb="382" eb="386">
      <t>ガッキイコウ</t>
    </rPh>
    <rPh sb="387" eb="389">
      <t>マエム</t>
    </rPh>
    <rPh sb="391" eb="395">
      <t>ガッコウセイカツ</t>
    </rPh>
    <rPh sb="396" eb="397">
      <t>ス</t>
    </rPh>
    <rPh sb="404" eb="406">
      <t>キタイ</t>
    </rPh>
    <phoneticPr fontId="18"/>
  </si>
  <si>
    <t>毎日落ち着いて学校生活を過ごすことができました。1学期の目標を「授業に集中して話を聞く」と定めました。集中して話を聞くことはできており、ノートやテストでも頑張りを見せることができています。良い意見をもっているので、自分の中にとどめておくだけでなく、発言という形で表現できればなお良いです。算数では、おおむねよくできていますが、たし算・ひき算の筆算を確実に解けるよう、夏休み中に復習をしてほしいと思います。図工では、材料の特徴をしっかりととらえ、そこに自分のイメージしたことをのせて表現することができました。材料からいろいろな発想をすることが得意です。「掲示係」として、週1回の給食・清掃ルーレットを担任に言われなくても忘れずに回すことができました。やるべきことをきちんとやる姿が学校で見られ、友だちに対して優しい心で接することができています。転入生も愛弥さんがいることで安心して生活ができています。今後もその良さが様々な場面で発揮されることを期待しています。</t>
    <rPh sb="2" eb="3">
      <t>オ</t>
    </rPh>
    <rPh sb="4" eb="5">
      <t>ツ</t>
    </rPh>
    <rPh sb="25" eb="27">
      <t>ガッキ</t>
    </rPh>
    <rPh sb="28" eb="30">
      <t>モクヒョウ</t>
    </rPh>
    <rPh sb="32" eb="34">
      <t>ジュギョウ</t>
    </rPh>
    <rPh sb="35" eb="37">
      <t>シュウチュウ</t>
    </rPh>
    <rPh sb="39" eb="40">
      <t>ハナシ</t>
    </rPh>
    <rPh sb="41" eb="42">
      <t>キ</t>
    </rPh>
    <rPh sb="45" eb="46">
      <t>サダ</t>
    </rPh>
    <rPh sb="51" eb="53">
      <t>シュウチュウ</t>
    </rPh>
    <rPh sb="55" eb="56">
      <t>ハナシ</t>
    </rPh>
    <rPh sb="57" eb="58">
      <t>キ</t>
    </rPh>
    <rPh sb="77" eb="79">
      <t>ガンバ</t>
    </rPh>
    <rPh sb="81" eb="82">
      <t>ミ</t>
    </rPh>
    <rPh sb="94" eb="95">
      <t>ヨ</t>
    </rPh>
    <rPh sb="96" eb="98">
      <t>イケン</t>
    </rPh>
    <rPh sb="107" eb="109">
      <t>ジブン</t>
    </rPh>
    <rPh sb="110" eb="111">
      <t>ナカ</t>
    </rPh>
    <rPh sb="124" eb="126">
      <t>ハツゲン</t>
    </rPh>
    <rPh sb="129" eb="130">
      <t>カタチ</t>
    </rPh>
    <rPh sb="131" eb="133">
      <t>ヒョウゲン</t>
    </rPh>
    <rPh sb="139" eb="140">
      <t>ヨ</t>
    </rPh>
    <rPh sb="144" eb="146">
      <t>サンスウ</t>
    </rPh>
    <rPh sb="165" eb="166">
      <t>ザン</t>
    </rPh>
    <rPh sb="169" eb="170">
      <t>ザン</t>
    </rPh>
    <rPh sb="171" eb="173">
      <t>ヒッサン</t>
    </rPh>
    <rPh sb="174" eb="176">
      <t>カクジツ</t>
    </rPh>
    <rPh sb="177" eb="178">
      <t>ト</t>
    </rPh>
    <rPh sb="183" eb="185">
      <t>ナツヤス</t>
    </rPh>
    <rPh sb="186" eb="187">
      <t>チュウ</t>
    </rPh>
    <rPh sb="188" eb="190">
      <t>フクシュウ</t>
    </rPh>
    <rPh sb="197" eb="198">
      <t>オモ</t>
    </rPh>
    <rPh sb="202" eb="204">
      <t>ズコウ</t>
    </rPh>
    <rPh sb="207" eb="209">
      <t>ザイリョウ</t>
    </rPh>
    <rPh sb="210" eb="212">
      <t>トクチョウ</t>
    </rPh>
    <rPh sb="225" eb="227">
      <t>ジブン</t>
    </rPh>
    <rPh sb="240" eb="242">
      <t>ヒョウゲン</t>
    </rPh>
    <rPh sb="253" eb="255">
      <t>ザイリョウ</t>
    </rPh>
    <rPh sb="270" eb="272">
      <t>トクイ</t>
    </rPh>
    <rPh sb="276" eb="279">
      <t>ケイジカカリ</t>
    </rPh>
    <rPh sb="284" eb="285">
      <t>シュウ</t>
    </rPh>
    <rPh sb="286" eb="287">
      <t>カイ</t>
    </rPh>
    <rPh sb="288" eb="290">
      <t>キュウショク</t>
    </rPh>
    <rPh sb="291" eb="293">
      <t>セイソウ</t>
    </rPh>
    <rPh sb="299" eb="301">
      <t>タンニン</t>
    </rPh>
    <rPh sb="302" eb="303">
      <t>イ</t>
    </rPh>
    <rPh sb="309" eb="310">
      <t>ワス</t>
    </rPh>
    <rPh sb="313" eb="314">
      <t>マワ</t>
    </rPh>
    <rPh sb="337" eb="338">
      <t>スガタ</t>
    </rPh>
    <rPh sb="339" eb="341">
      <t>ガッコウ</t>
    </rPh>
    <rPh sb="342" eb="343">
      <t>ミ</t>
    </rPh>
    <rPh sb="346" eb="347">
      <t>トモ</t>
    </rPh>
    <rPh sb="358" eb="359">
      <t>セッ</t>
    </rPh>
    <rPh sb="371" eb="374">
      <t>テンニュウセイ</t>
    </rPh>
    <rPh sb="375" eb="376">
      <t>アイ</t>
    </rPh>
    <rPh sb="376" eb="377">
      <t>ヤ</t>
    </rPh>
    <rPh sb="385" eb="387">
      <t>アンシン</t>
    </rPh>
    <rPh sb="389" eb="391">
      <t>セイカツ</t>
    </rPh>
    <rPh sb="399" eb="401">
      <t>コンゴ</t>
    </rPh>
    <rPh sb="421" eb="423">
      <t>キタイ</t>
    </rPh>
    <phoneticPr fontId="18"/>
  </si>
  <si>
    <t>毎日元気に前向きに学校生活を過ごすことができました。海さんの良さは、友だち思いな所と積極的な行動力です。困っている友だちを見ると、男女関係なく手助けをし、担任に伝える姿があります。国語「こまを楽しむ」では、文章の中に出てきたこまの中から好きなこまを一つ選んで、理由を書く学習で、「『ずぐり』だけやったことがないので、やってみたい」と過去の経験をもとに理由を考えてまとめることができました。「黒板係」としても、授業後に忘れることなく、必ず黒板をきれいにしました。特に、清掃で率先して片づける姿があり、素晴らしいです。その行動力は皆の見本となっています。海さんの声がけにたくさんの仲間が助けられたと思います。１年間の目標を「学年目標の１つである『笑顔と声を広げよう』を意識したい」と定めました。その目標を達成しようという気持ちが挨拶・返事だけでなく、学校生活全般に感じられます。４年生に向けて、リーダーとしての素質が十分に備わってきており、期待がもてます。</t>
    <rPh sb="5" eb="7">
      <t>マエム</t>
    </rPh>
    <rPh sb="26" eb="27">
      <t>ウミ</t>
    </rPh>
    <rPh sb="30" eb="31">
      <t>ヨ</t>
    </rPh>
    <rPh sb="34" eb="35">
      <t>トモ</t>
    </rPh>
    <rPh sb="37" eb="38">
      <t>オモ</t>
    </rPh>
    <rPh sb="40" eb="41">
      <t>トコロ</t>
    </rPh>
    <rPh sb="42" eb="45">
      <t>セッキョクテキ</t>
    </rPh>
    <rPh sb="46" eb="49">
      <t>コウドウリョク</t>
    </rPh>
    <rPh sb="52" eb="53">
      <t>コマ</t>
    </rPh>
    <rPh sb="57" eb="58">
      <t>トモ</t>
    </rPh>
    <rPh sb="61" eb="62">
      <t>ミ</t>
    </rPh>
    <rPh sb="65" eb="69">
      <t>ダンジョカンケイ</t>
    </rPh>
    <rPh sb="71" eb="73">
      <t>テダス</t>
    </rPh>
    <rPh sb="77" eb="79">
      <t>タンニン</t>
    </rPh>
    <rPh sb="80" eb="81">
      <t>ツタ</t>
    </rPh>
    <rPh sb="83" eb="84">
      <t>スガタ</t>
    </rPh>
    <rPh sb="90" eb="92">
      <t>コクゴ</t>
    </rPh>
    <rPh sb="96" eb="97">
      <t>タノ</t>
    </rPh>
    <rPh sb="166" eb="168">
      <t>カコ</t>
    </rPh>
    <rPh sb="169" eb="171">
      <t>ケイケン</t>
    </rPh>
    <rPh sb="175" eb="177">
      <t>リユウ</t>
    </rPh>
    <rPh sb="178" eb="179">
      <t>カンガ</t>
    </rPh>
    <rPh sb="195" eb="198">
      <t>コクバンカカリ</t>
    </rPh>
    <rPh sb="204" eb="207">
      <t>ジュギョウゴ</t>
    </rPh>
    <rPh sb="208" eb="209">
      <t>ワス</t>
    </rPh>
    <rPh sb="216" eb="217">
      <t>カナラ</t>
    </rPh>
    <rPh sb="218" eb="220">
      <t>コクバン</t>
    </rPh>
    <rPh sb="230" eb="231">
      <t>トク</t>
    </rPh>
    <rPh sb="233" eb="235">
      <t>セイソウ</t>
    </rPh>
    <rPh sb="236" eb="238">
      <t>ソッセン</t>
    </rPh>
    <rPh sb="240" eb="241">
      <t>カタ</t>
    </rPh>
    <rPh sb="244" eb="245">
      <t>スガタ</t>
    </rPh>
    <rPh sb="249" eb="251">
      <t>スバ</t>
    </rPh>
    <rPh sb="275" eb="276">
      <t>ウミ</t>
    </rPh>
    <rPh sb="279" eb="280">
      <t>コエ</t>
    </rPh>
    <rPh sb="288" eb="290">
      <t>ナカマ</t>
    </rPh>
    <rPh sb="291" eb="292">
      <t>タス</t>
    </rPh>
    <rPh sb="297" eb="298">
      <t>オモ</t>
    </rPh>
    <rPh sb="303" eb="305">
      <t>ネンカン</t>
    </rPh>
    <rPh sb="306" eb="308">
      <t>モクヒョウ</t>
    </rPh>
    <rPh sb="310" eb="314">
      <t>ガクネンモクヒョウ</t>
    </rPh>
    <rPh sb="321" eb="323">
      <t>エガオ</t>
    </rPh>
    <rPh sb="324" eb="325">
      <t>コエ</t>
    </rPh>
    <rPh sb="326" eb="327">
      <t>ヒロ</t>
    </rPh>
    <rPh sb="332" eb="334">
      <t>イシキ</t>
    </rPh>
    <rPh sb="339" eb="340">
      <t>サダ</t>
    </rPh>
    <rPh sb="347" eb="349">
      <t>モクヒョウ</t>
    </rPh>
    <rPh sb="350" eb="352">
      <t>タッセイ</t>
    </rPh>
    <rPh sb="358" eb="360">
      <t>キモ</t>
    </rPh>
    <rPh sb="362" eb="364">
      <t>アイサツ</t>
    </rPh>
    <rPh sb="365" eb="367">
      <t>ヘンジ</t>
    </rPh>
    <rPh sb="373" eb="379">
      <t>ガッコウセイカツゼンパン</t>
    </rPh>
    <rPh sb="380" eb="381">
      <t>カン</t>
    </rPh>
    <rPh sb="388" eb="390">
      <t>ネンセイ</t>
    </rPh>
    <rPh sb="391" eb="392">
      <t>ム</t>
    </rPh>
    <rPh sb="403" eb="405">
      <t>ソシツ</t>
    </rPh>
    <rPh sb="406" eb="408">
      <t>ジュウブン</t>
    </rPh>
    <rPh sb="409" eb="410">
      <t>ソナ</t>
    </rPh>
    <rPh sb="418" eb="420">
      <t>キタイ</t>
    </rPh>
    <phoneticPr fontId="18"/>
  </si>
  <si>
    <t>毎日明るく元気に学校生活を過ごすことができました。奏多くんの魅力は周りへの気づかいの心です。１学期の目標を「宿題を忘れないように毎日ロッカーを確認する」と定めました。その言葉の通り、３年生になり、宿題を自分で確認して持ち帰ることを行い始めましたが、最初のうちは忘れてしまっている友だちの教材を席まで届けるぐらい、周りの様子をよく確認して行動する姿が見られました。その姿が周りから信頼を得て、奏多くんの周りにはたくさんの仲間がいるのだと感じます。学習面では、的確なタイミングで的確な発言ができ、学習を先に進める上で、重要な役割を担っていました。「黒板係」としても、消すことを楽しみにしている前向きな様子が見られ、役割を担う責任感が増しています。体育祭で赤組のリーダーを務めたこともあり、学年全体としての奏多くんへの信頼感を含め、今後がますます楽しみになります。２学期以降も様々な場面で活躍することを期待しています。</t>
    <rPh sb="2" eb="3">
      <t>アカ</t>
    </rPh>
    <rPh sb="5" eb="7">
      <t>ゲンキ</t>
    </rPh>
    <rPh sb="25" eb="26">
      <t>ソウ</t>
    </rPh>
    <rPh sb="26" eb="27">
      <t>タ</t>
    </rPh>
    <rPh sb="30" eb="32">
      <t>ミリョク</t>
    </rPh>
    <rPh sb="33" eb="34">
      <t>マワ</t>
    </rPh>
    <rPh sb="37" eb="38">
      <t>キ</t>
    </rPh>
    <rPh sb="42" eb="43">
      <t>ココロ</t>
    </rPh>
    <rPh sb="47" eb="49">
      <t>ガッキ</t>
    </rPh>
    <rPh sb="50" eb="52">
      <t>モクヒョウ</t>
    </rPh>
    <rPh sb="54" eb="56">
      <t>シュクダイ</t>
    </rPh>
    <rPh sb="57" eb="58">
      <t>ワス</t>
    </rPh>
    <rPh sb="64" eb="66">
      <t>マイニチ</t>
    </rPh>
    <rPh sb="71" eb="73">
      <t>カクニン</t>
    </rPh>
    <rPh sb="77" eb="78">
      <t>サダ</t>
    </rPh>
    <rPh sb="85" eb="87">
      <t>コトバ</t>
    </rPh>
    <rPh sb="88" eb="89">
      <t>トオ</t>
    </rPh>
    <rPh sb="92" eb="94">
      <t>ネンセイ</t>
    </rPh>
    <rPh sb="98" eb="100">
      <t>シュクダイ</t>
    </rPh>
    <rPh sb="101" eb="103">
      <t>ジブン</t>
    </rPh>
    <rPh sb="104" eb="106">
      <t>カクニン</t>
    </rPh>
    <rPh sb="108" eb="109">
      <t>モ</t>
    </rPh>
    <rPh sb="110" eb="111">
      <t>カエ</t>
    </rPh>
    <rPh sb="115" eb="116">
      <t>オコナ</t>
    </rPh>
    <rPh sb="117" eb="118">
      <t>ハジ</t>
    </rPh>
    <rPh sb="124" eb="126">
      <t>サイショ</t>
    </rPh>
    <rPh sb="130" eb="131">
      <t>ワス</t>
    </rPh>
    <rPh sb="139" eb="140">
      <t>トモ</t>
    </rPh>
    <rPh sb="143" eb="145">
      <t>キョウザイ</t>
    </rPh>
    <rPh sb="146" eb="147">
      <t>セキ</t>
    </rPh>
    <rPh sb="149" eb="150">
      <t>トド</t>
    </rPh>
    <rPh sb="156" eb="157">
      <t>マワ</t>
    </rPh>
    <rPh sb="159" eb="161">
      <t>ヨウス</t>
    </rPh>
    <rPh sb="164" eb="166">
      <t>カクニン</t>
    </rPh>
    <rPh sb="183" eb="184">
      <t>スガタ</t>
    </rPh>
    <rPh sb="185" eb="186">
      <t>マワ</t>
    </rPh>
    <rPh sb="189" eb="191">
      <t>シンライ</t>
    </rPh>
    <rPh sb="192" eb="193">
      <t>エ</t>
    </rPh>
    <rPh sb="195" eb="196">
      <t>ソウ</t>
    </rPh>
    <rPh sb="196" eb="197">
      <t>タ</t>
    </rPh>
    <rPh sb="200" eb="201">
      <t>マワ</t>
    </rPh>
    <rPh sb="209" eb="211">
      <t>ナカマ</t>
    </rPh>
    <rPh sb="217" eb="218">
      <t>カン</t>
    </rPh>
    <rPh sb="222" eb="225">
      <t>ガクシュウメン</t>
    </rPh>
    <rPh sb="228" eb="230">
      <t>テキカク</t>
    </rPh>
    <rPh sb="237" eb="239">
      <t>テキカク</t>
    </rPh>
    <rPh sb="240" eb="242">
      <t>ハツゲン</t>
    </rPh>
    <rPh sb="246" eb="248">
      <t>ガクシュウ</t>
    </rPh>
    <rPh sb="249" eb="250">
      <t>サキ</t>
    </rPh>
    <rPh sb="251" eb="252">
      <t>スス</t>
    </rPh>
    <rPh sb="254" eb="255">
      <t>ウエ</t>
    </rPh>
    <rPh sb="257" eb="259">
      <t>ジュウヨウ</t>
    </rPh>
    <rPh sb="260" eb="262">
      <t>ヤクワリ</t>
    </rPh>
    <rPh sb="263" eb="264">
      <t>ニナ</t>
    </rPh>
    <rPh sb="272" eb="275">
      <t>コクバンカカリ</t>
    </rPh>
    <rPh sb="281" eb="282">
      <t>ケ</t>
    </rPh>
    <rPh sb="286" eb="287">
      <t>タノ</t>
    </rPh>
    <rPh sb="294" eb="296">
      <t>マエム</t>
    </rPh>
    <rPh sb="298" eb="300">
      <t>ヨウス</t>
    </rPh>
    <rPh sb="301" eb="302">
      <t>ミ</t>
    </rPh>
    <rPh sb="305" eb="307">
      <t>ヤクワリ</t>
    </rPh>
    <rPh sb="308" eb="309">
      <t>ニナ</t>
    </rPh>
    <rPh sb="310" eb="313">
      <t>セキニンカン</t>
    </rPh>
    <rPh sb="314" eb="315">
      <t>マ</t>
    </rPh>
    <rPh sb="321" eb="324">
      <t>タイイクサイ</t>
    </rPh>
    <rPh sb="325" eb="327">
      <t>アカグミ</t>
    </rPh>
    <rPh sb="333" eb="334">
      <t>ツト</t>
    </rPh>
    <rPh sb="342" eb="346">
      <t>ガクネンゼンタイ</t>
    </rPh>
    <rPh sb="350" eb="351">
      <t>ソウ</t>
    </rPh>
    <rPh sb="351" eb="352">
      <t>タ</t>
    </rPh>
    <rPh sb="356" eb="359">
      <t>シンライカン</t>
    </rPh>
    <rPh sb="360" eb="361">
      <t>フク</t>
    </rPh>
    <rPh sb="363" eb="365">
      <t>コンゴ</t>
    </rPh>
    <rPh sb="370" eb="371">
      <t>タノ</t>
    </rPh>
    <rPh sb="380" eb="384">
      <t>ガッキイコウ</t>
    </rPh>
    <rPh sb="385" eb="400">
      <t>サマザマナバメンデカツヤクスルコトヲキタイ</t>
    </rPh>
    <phoneticPr fontId="18"/>
  </si>
  <si>
    <t>遅刻してしまうこともありましたが、スイッチが入った時の挨拶・返事の声の大きさなど元気よく学校生活を過ごすことができました。１学期後半になり、授業中に寝てしまうことがあり、心配しています。そのこともあり、宿題、学習全般においてやるべき課題を行えない姿もあり、改善が必要です。算数を中心に頑張っている様子が見られるので、生活を見直すことで力はついていくように思います。図工では、製作意欲が高い時に、集中して試行錯誤しながら完成へもっていくことができました。１年間や１学期の目標としてたてた「メリハリをつける、宿題を毎日出す」を実践すべき状況にあると思います。体育祭では、入場行進の学年の先頭として、目標の「足と手を大きく動かすこと」を意識して頑張りました。一生懸命さが見られるのが遥希くんの魅力です。その魅力がプラス面で大きく伸びていくことが求められていきます。夏休み中に一学期にできなかったことを進め、２学期以降、レベルアップした遥希くんの成長を期待しています。</t>
    <rPh sb="0" eb="2">
      <t>チコク</t>
    </rPh>
    <rPh sb="22" eb="23">
      <t>ハイ</t>
    </rPh>
    <rPh sb="25" eb="26">
      <t>トキ</t>
    </rPh>
    <rPh sb="27" eb="29">
      <t>アイサツ</t>
    </rPh>
    <rPh sb="30" eb="32">
      <t>ヘンジ</t>
    </rPh>
    <rPh sb="33" eb="34">
      <t>コエ</t>
    </rPh>
    <rPh sb="35" eb="36">
      <t>オオ</t>
    </rPh>
    <rPh sb="40" eb="42">
      <t>ゲンキ</t>
    </rPh>
    <rPh sb="62" eb="66">
      <t>ガッキコウハン</t>
    </rPh>
    <rPh sb="70" eb="73">
      <t>ジュギョウチュウ</t>
    </rPh>
    <rPh sb="74" eb="75">
      <t>ネ</t>
    </rPh>
    <rPh sb="85" eb="87">
      <t>シンパイ</t>
    </rPh>
    <rPh sb="101" eb="103">
      <t>シュクダイ</t>
    </rPh>
    <rPh sb="104" eb="108">
      <t>ガクシュウゼンパン</t>
    </rPh>
    <rPh sb="116" eb="118">
      <t>カダイ</t>
    </rPh>
    <rPh sb="119" eb="120">
      <t>オコナ</t>
    </rPh>
    <rPh sb="123" eb="124">
      <t>スガタ</t>
    </rPh>
    <rPh sb="128" eb="130">
      <t>カイゼン</t>
    </rPh>
    <rPh sb="131" eb="133">
      <t>ヒツヨウ</t>
    </rPh>
    <rPh sb="136" eb="138">
      <t>サンスウ</t>
    </rPh>
    <rPh sb="139" eb="141">
      <t>チュウシン</t>
    </rPh>
    <rPh sb="142" eb="144">
      <t>ガンバ</t>
    </rPh>
    <rPh sb="148" eb="150">
      <t>ヨウス</t>
    </rPh>
    <rPh sb="151" eb="152">
      <t>ミ</t>
    </rPh>
    <rPh sb="158" eb="160">
      <t>セイカツ</t>
    </rPh>
    <rPh sb="161" eb="163">
      <t>ミナオ</t>
    </rPh>
    <rPh sb="167" eb="168">
      <t>チカラ</t>
    </rPh>
    <rPh sb="177" eb="178">
      <t>オモ</t>
    </rPh>
    <rPh sb="182" eb="184">
      <t>ズコウ</t>
    </rPh>
    <rPh sb="187" eb="191">
      <t>セイサクイヨク</t>
    </rPh>
    <rPh sb="192" eb="193">
      <t>タカ</t>
    </rPh>
    <rPh sb="194" eb="195">
      <t>トキ</t>
    </rPh>
    <rPh sb="197" eb="199">
      <t>シュウチュウ</t>
    </rPh>
    <rPh sb="201" eb="205">
      <t>シコウサクゴ</t>
    </rPh>
    <rPh sb="209" eb="211">
      <t>カンセイ</t>
    </rPh>
    <rPh sb="227" eb="229">
      <t>ネンカン</t>
    </rPh>
    <rPh sb="231" eb="233">
      <t>ガッキ</t>
    </rPh>
    <rPh sb="234" eb="236">
      <t>モクヒョウ</t>
    </rPh>
    <rPh sb="252" eb="254">
      <t>シュクダイ</t>
    </rPh>
    <rPh sb="255" eb="258">
      <t>マイニチダ</t>
    </rPh>
    <rPh sb="261" eb="263">
      <t>ジッセン</t>
    </rPh>
    <rPh sb="266" eb="268">
      <t>ジョウキョウ</t>
    </rPh>
    <rPh sb="272" eb="273">
      <t>オモ</t>
    </rPh>
    <rPh sb="277" eb="280">
      <t>タイイクサイ</t>
    </rPh>
    <rPh sb="288" eb="290">
      <t>ガクネン</t>
    </rPh>
    <rPh sb="291" eb="293">
      <t>セントウ</t>
    </rPh>
    <rPh sb="297" eb="299">
      <t>モクヒョウ</t>
    </rPh>
    <rPh sb="301" eb="302">
      <t>アシ</t>
    </rPh>
    <rPh sb="303" eb="304">
      <t>テ</t>
    </rPh>
    <rPh sb="305" eb="306">
      <t>オオ</t>
    </rPh>
    <rPh sb="308" eb="309">
      <t>ウゴ</t>
    </rPh>
    <rPh sb="315" eb="317">
      <t>イシキ</t>
    </rPh>
    <rPh sb="319" eb="321">
      <t>ガンバ</t>
    </rPh>
    <rPh sb="326" eb="330">
      <t>イッショウケンメイ</t>
    </rPh>
    <rPh sb="332" eb="333">
      <t>ミ</t>
    </rPh>
    <rPh sb="338" eb="340">
      <t>ハルキ</t>
    </rPh>
    <rPh sb="343" eb="345">
      <t>ミリョク</t>
    </rPh>
    <rPh sb="350" eb="352">
      <t>ミリョク</t>
    </rPh>
    <rPh sb="356" eb="357">
      <t>メン</t>
    </rPh>
    <rPh sb="358" eb="359">
      <t>オオ</t>
    </rPh>
    <rPh sb="361" eb="362">
      <t>ノ</t>
    </rPh>
    <rPh sb="369" eb="370">
      <t>モト</t>
    </rPh>
    <rPh sb="379" eb="381">
      <t>ナツヤス</t>
    </rPh>
    <rPh sb="382" eb="383">
      <t>チュウ</t>
    </rPh>
    <rPh sb="384" eb="387">
      <t>1ガッキ</t>
    </rPh>
    <rPh sb="397" eb="398">
      <t>スス</t>
    </rPh>
    <rPh sb="414" eb="416">
      <t>ハルキ</t>
    </rPh>
    <rPh sb="419" eb="421">
      <t>セイチョウ</t>
    </rPh>
    <rPh sb="422" eb="424">
      <t>キタイ</t>
    </rPh>
    <phoneticPr fontId="18"/>
  </si>
  <si>
    <t>毎日元気に学校生活を過ごすことができました。1年間の目標を「自分で宿題を確認したい」と定めました。基本的には毎日提出することができましたが、2、3日提出できない時もありました。声がけすると、確実に取り組むことができるので、継続してできる力が求められます。字の丁寧さが課題でありますが、書くことについては意欲的に取り組んでいます。国語「まいごのかぎ」では、物語の好きな場面について、自分なりの考えをしっかりもって、理由を詳しく書き、登場人物と自分を比べている様子が見られました。記述内容が素晴らしいので、より伸ばしていけるとよいでしょう。体育祭では、短距離走で見事学年1位になることができました。体育の授業を見た際も、ポテンシャルが高く、様々な競技で活躍することが期待できます。侑くんが伸ばしていきたい力の1つです。図工では、楽しく活動に取り組み、豪快に作品を製作できました。より丁寧さを求めて、2学期以降は取り組んでほしいと思います。２学期以降も様々な場面で活躍することを期待しています。</t>
    <rPh sb="23" eb="25">
      <t>ネンカン</t>
    </rPh>
    <rPh sb="26" eb="28">
      <t>モクヒョウ</t>
    </rPh>
    <rPh sb="30" eb="32">
      <t>ジブン</t>
    </rPh>
    <rPh sb="33" eb="35">
      <t>シュクダイ</t>
    </rPh>
    <rPh sb="36" eb="38">
      <t>カクニン</t>
    </rPh>
    <rPh sb="43" eb="44">
      <t>サダ</t>
    </rPh>
    <rPh sb="49" eb="51">
      <t>キホン</t>
    </rPh>
    <rPh sb="51" eb="52">
      <t>テキ</t>
    </rPh>
    <rPh sb="54" eb="58">
      <t>マイニチテイシュツ</t>
    </rPh>
    <rPh sb="73" eb="74">
      <t>ニチ</t>
    </rPh>
    <rPh sb="74" eb="76">
      <t>テイシュツ</t>
    </rPh>
    <rPh sb="80" eb="81">
      <t>トキ</t>
    </rPh>
    <rPh sb="88" eb="89">
      <t>コエ</t>
    </rPh>
    <rPh sb="95" eb="97">
      <t>カクジツ</t>
    </rPh>
    <rPh sb="98" eb="99">
      <t>ト</t>
    </rPh>
    <rPh sb="100" eb="101">
      <t>ク</t>
    </rPh>
    <rPh sb="111" eb="113">
      <t>ケイゾク</t>
    </rPh>
    <rPh sb="118" eb="119">
      <t>チカラ</t>
    </rPh>
    <rPh sb="120" eb="121">
      <t>モト</t>
    </rPh>
    <rPh sb="127" eb="128">
      <t>ジ</t>
    </rPh>
    <rPh sb="129" eb="131">
      <t>テイネイ</t>
    </rPh>
    <rPh sb="133" eb="135">
      <t>カダイ</t>
    </rPh>
    <rPh sb="142" eb="143">
      <t>カ</t>
    </rPh>
    <rPh sb="151" eb="154">
      <t>イヨクテキ</t>
    </rPh>
    <rPh sb="155" eb="156">
      <t>ト</t>
    </rPh>
    <rPh sb="157" eb="158">
      <t>ク</t>
    </rPh>
    <rPh sb="164" eb="166">
      <t>コクゴ</t>
    </rPh>
    <rPh sb="220" eb="222">
      <t>ジブン</t>
    </rPh>
    <rPh sb="223" eb="224">
      <t>クラ</t>
    </rPh>
    <rPh sb="228" eb="230">
      <t>ヨウス</t>
    </rPh>
    <rPh sb="231" eb="232">
      <t>ミ</t>
    </rPh>
    <rPh sb="238" eb="242">
      <t>キジュツナイヨウ</t>
    </rPh>
    <rPh sb="243" eb="245">
      <t>スバ</t>
    </rPh>
    <rPh sb="253" eb="254">
      <t>ノ</t>
    </rPh>
    <rPh sb="268" eb="271">
      <t>タイイクサイ</t>
    </rPh>
    <rPh sb="274" eb="278">
      <t>タンキョリソウ</t>
    </rPh>
    <rPh sb="279" eb="283">
      <t>ミゴトガクネン</t>
    </rPh>
    <rPh sb="284" eb="285">
      <t>イ</t>
    </rPh>
    <rPh sb="297" eb="299">
      <t>タイイク</t>
    </rPh>
    <rPh sb="300" eb="302">
      <t>ジュギョウ</t>
    </rPh>
    <rPh sb="303" eb="304">
      <t>ミ</t>
    </rPh>
    <rPh sb="305" eb="306">
      <t>サイ</t>
    </rPh>
    <rPh sb="315" eb="316">
      <t>タカ</t>
    </rPh>
    <rPh sb="357" eb="359">
      <t>ズコウ</t>
    </rPh>
    <rPh sb="362" eb="363">
      <t>タノ</t>
    </rPh>
    <rPh sb="365" eb="367">
      <t>カツドウ</t>
    </rPh>
    <rPh sb="368" eb="369">
      <t>ト</t>
    </rPh>
    <rPh sb="370" eb="371">
      <t>ク</t>
    </rPh>
    <rPh sb="373" eb="375">
      <t>ゴウカイ</t>
    </rPh>
    <rPh sb="376" eb="378">
      <t>サクヒン</t>
    </rPh>
    <rPh sb="379" eb="381">
      <t>セイサク</t>
    </rPh>
    <rPh sb="389" eb="391">
      <t>テイネイ</t>
    </rPh>
    <rPh sb="393" eb="394">
      <t>モト</t>
    </rPh>
    <rPh sb="398" eb="402">
      <t>ガッキイコウ</t>
    </rPh>
    <rPh sb="403" eb="404">
      <t>ト</t>
    </rPh>
    <rPh sb="405" eb="406">
      <t>ク</t>
    </rPh>
    <rPh sb="412" eb="413">
      <t>オモ</t>
    </rPh>
    <rPh sb="418" eb="422">
      <t>ガッキイコウ</t>
    </rPh>
    <rPh sb="423" eb="438">
      <t>サマザマナバメンデカツヤクスルコトヲキタイ</t>
    </rPh>
    <phoneticPr fontId="18"/>
  </si>
  <si>
    <t>毎日元気に学校生活を過ごすことができました。元気な挨拶と返事が結介くんの魅力です。朝の健康観察で、その日の調子が分かります。学習面では、自分の考えをもち、積極的に発言する姿が見られました。その面は伸ばしてほしい力の一つです。国語「春風をたどって」では物語の続きを発想力豊かに書き上げました。文章を書くことを楽しんでいる姿があり、課題を伝えるとどんどん取り組む前向きさが授業の際に多く見られました。一方で、友だち関係やスクールバスでの過ごし方に課題も見られました。結介くんが意識することで、周りの目も穏やかになっていくと感じるので、自分の言動が周りからみて適切かどうかを判断できるようになると、良い方向に向かうのではないかと感じます。話を聞いていないことで指示と違う行動をとってしまうこともあるため、まずは相手の様子をしっかり見て、何を考えているかを理解しながら、自分の能力を高めていってほしいと思います。２学期以降も周りとの関わり方に気を配りながら、結介くんの良さが発揮されることを期待しています。</t>
    <rPh sb="22" eb="24">
      <t>ゲンキ</t>
    </rPh>
    <rPh sb="25" eb="27">
      <t>アイサツ</t>
    </rPh>
    <rPh sb="28" eb="30">
      <t>ヘンジ</t>
    </rPh>
    <rPh sb="31" eb="32">
      <t>ユ</t>
    </rPh>
    <rPh sb="32" eb="33">
      <t>スケ</t>
    </rPh>
    <rPh sb="36" eb="38">
      <t>ミリョク</t>
    </rPh>
    <rPh sb="41" eb="42">
      <t>アサ</t>
    </rPh>
    <rPh sb="43" eb="47">
      <t>ケンコウカンサツ</t>
    </rPh>
    <rPh sb="51" eb="52">
      <t>ヒ</t>
    </rPh>
    <rPh sb="53" eb="55">
      <t>チョウシ</t>
    </rPh>
    <rPh sb="56" eb="57">
      <t>ワ</t>
    </rPh>
    <rPh sb="62" eb="65">
      <t>ガクシュウメン</t>
    </rPh>
    <rPh sb="68" eb="70">
      <t>ジブン</t>
    </rPh>
    <rPh sb="71" eb="72">
      <t>カンガ</t>
    </rPh>
    <rPh sb="77" eb="80">
      <t>セッキョクテキ</t>
    </rPh>
    <rPh sb="81" eb="83">
      <t>ハツゲン</t>
    </rPh>
    <rPh sb="96" eb="97">
      <t>メン</t>
    </rPh>
    <rPh sb="98" eb="99">
      <t>ノ</t>
    </rPh>
    <rPh sb="105" eb="106">
      <t>チカラ</t>
    </rPh>
    <rPh sb="107" eb="108">
      <t>ヒト</t>
    </rPh>
    <rPh sb="112" eb="114">
      <t>コクゴ</t>
    </rPh>
    <rPh sb="115" eb="117">
      <t>ハルカゼ</t>
    </rPh>
    <rPh sb="125" eb="127">
      <t>モノガタリ</t>
    </rPh>
    <rPh sb="128" eb="129">
      <t>ツヅ</t>
    </rPh>
    <rPh sb="137" eb="138">
      <t>カ</t>
    </rPh>
    <rPh sb="139" eb="140">
      <t>ア</t>
    </rPh>
    <rPh sb="145" eb="147">
      <t>ブンショウ</t>
    </rPh>
    <rPh sb="148" eb="149">
      <t>カ</t>
    </rPh>
    <rPh sb="153" eb="154">
      <t>タノ</t>
    </rPh>
    <rPh sb="159" eb="160">
      <t>スガタ</t>
    </rPh>
    <rPh sb="164" eb="166">
      <t>カダイ</t>
    </rPh>
    <rPh sb="167" eb="168">
      <t>ツタ</t>
    </rPh>
    <rPh sb="175" eb="176">
      <t>ト</t>
    </rPh>
    <rPh sb="184" eb="186">
      <t>ジュギョウ</t>
    </rPh>
    <rPh sb="187" eb="188">
      <t>サイ</t>
    </rPh>
    <rPh sb="189" eb="190">
      <t>オオ</t>
    </rPh>
    <rPh sb="191" eb="192">
      <t>ミ</t>
    </rPh>
    <rPh sb="198" eb="200">
      <t>イッポウ</t>
    </rPh>
    <rPh sb="202" eb="203">
      <t>トモ</t>
    </rPh>
    <rPh sb="205" eb="207">
      <t>カンケイ</t>
    </rPh>
    <rPh sb="216" eb="217">
      <t>ス</t>
    </rPh>
    <rPh sb="219" eb="220">
      <t>カタ</t>
    </rPh>
    <rPh sb="221" eb="223">
      <t>カダイ</t>
    </rPh>
    <rPh sb="224" eb="225">
      <t>ミ</t>
    </rPh>
    <rPh sb="231" eb="232">
      <t>ユ</t>
    </rPh>
    <rPh sb="232" eb="233">
      <t>スケ</t>
    </rPh>
    <rPh sb="236" eb="238">
      <t>イシキ</t>
    </rPh>
    <rPh sb="244" eb="245">
      <t>マワ</t>
    </rPh>
    <rPh sb="247" eb="248">
      <t>メ</t>
    </rPh>
    <rPh sb="249" eb="250">
      <t>オダ</t>
    </rPh>
    <rPh sb="259" eb="260">
      <t>カン</t>
    </rPh>
    <rPh sb="265" eb="267">
      <t>ジブン</t>
    </rPh>
    <rPh sb="268" eb="270">
      <t>ゲンドウ</t>
    </rPh>
    <rPh sb="271" eb="272">
      <t>マワ</t>
    </rPh>
    <rPh sb="277" eb="279">
      <t>テキセツ</t>
    </rPh>
    <rPh sb="284" eb="286">
      <t>ハンダン</t>
    </rPh>
    <rPh sb="296" eb="297">
      <t>ヨ</t>
    </rPh>
    <rPh sb="298" eb="300">
      <t>ホウコウ</t>
    </rPh>
    <rPh sb="316" eb="317">
      <t>ハナシ</t>
    </rPh>
    <rPh sb="318" eb="319">
      <t>キ</t>
    </rPh>
    <rPh sb="327" eb="329">
      <t>シジ</t>
    </rPh>
    <rPh sb="352" eb="354">
      <t>アイテ</t>
    </rPh>
    <rPh sb="355" eb="357">
      <t>ヨウス</t>
    </rPh>
    <rPh sb="362" eb="363">
      <t>ミ</t>
    </rPh>
    <rPh sb="365" eb="366">
      <t>ナニ</t>
    </rPh>
    <rPh sb="367" eb="368">
      <t>カンガ</t>
    </rPh>
    <rPh sb="374" eb="376">
      <t>リカイ</t>
    </rPh>
    <rPh sb="381" eb="383">
      <t>ジブン</t>
    </rPh>
    <rPh sb="384" eb="386">
      <t>ノウリョク</t>
    </rPh>
    <rPh sb="387" eb="388">
      <t>タカ</t>
    </rPh>
    <rPh sb="397" eb="398">
      <t>オモ</t>
    </rPh>
    <rPh sb="403" eb="407">
      <t>ガッキイコウ</t>
    </rPh>
    <rPh sb="408" eb="409">
      <t>マワ</t>
    </rPh>
    <rPh sb="412" eb="413">
      <t>カカ</t>
    </rPh>
    <rPh sb="415" eb="416">
      <t>カタ</t>
    </rPh>
    <rPh sb="417" eb="418">
      <t>キ</t>
    </rPh>
    <rPh sb="419" eb="420">
      <t>クバ</t>
    </rPh>
    <rPh sb="425" eb="426">
      <t>ユウ</t>
    </rPh>
    <rPh sb="426" eb="427">
      <t>スケ</t>
    </rPh>
    <rPh sb="430" eb="431">
      <t>ヨ</t>
    </rPh>
    <rPh sb="433" eb="435">
      <t>ハッキ</t>
    </rPh>
    <rPh sb="441" eb="443">
      <t>キタイ</t>
    </rPh>
    <phoneticPr fontId="18"/>
  </si>
  <si>
    <t>毎日元気に学校生活を過ごすことができました。朝一番に来て、まず宿題を出し、自分の好きなことである読書や早く来た２組の友だちと仲良く過ごすことができています。学習面では、模試の成績が安定し、常に上位の成績をキープしています。発言も意欲的にでき、自分の考えを何回も発表したいという気持ちをもって取り組んでいます。国語「まいごのかぎ」では、物語の好きな場面について、自分なりの考えをしっかりもって、理由を詳しく書き、登場人物と自分を比べている様子が見られました。成績は良いものの、集中力の面ではやや課題が見られ、机上や引き出しの中、ロッカーの整理整頓は課題の１つです。今必要なものは何かを考えて、場と心を整えて授業に臨むことが今後の課題と言えます。友人関係においても、昼休みなどは汗をかくほど一生懸命遊び、仲良く過ごす姿が良く見られました。２学期以降も、創太くんの良さが発揮され、様々な場面で活躍することを期待しています。</t>
    <rPh sb="22" eb="25">
      <t>アサイチバン</t>
    </rPh>
    <rPh sb="26" eb="27">
      <t>キ</t>
    </rPh>
    <rPh sb="31" eb="33">
      <t>シュクダイ</t>
    </rPh>
    <rPh sb="34" eb="35">
      <t>ダ</t>
    </rPh>
    <rPh sb="37" eb="39">
      <t>ジブン</t>
    </rPh>
    <rPh sb="40" eb="41">
      <t>ス</t>
    </rPh>
    <rPh sb="48" eb="50">
      <t>ドクショ</t>
    </rPh>
    <rPh sb="51" eb="52">
      <t>ハヤ</t>
    </rPh>
    <rPh sb="53" eb="54">
      <t>キ</t>
    </rPh>
    <rPh sb="56" eb="57">
      <t>クミ</t>
    </rPh>
    <rPh sb="58" eb="59">
      <t>トモ</t>
    </rPh>
    <rPh sb="62" eb="64">
      <t>ナカヨ</t>
    </rPh>
    <rPh sb="65" eb="66">
      <t>ス</t>
    </rPh>
    <rPh sb="78" eb="81">
      <t>ガクシュウメン</t>
    </rPh>
    <rPh sb="84" eb="86">
      <t>モシ</t>
    </rPh>
    <rPh sb="87" eb="89">
      <t>セイセキ</t>
    </rPh>
    <rPh sb="90" eb="92">
      <t>アンテイ</t>
    </rPh>
    <rPh sb="94" eb="95">
      <t>ツネ</t>
    </rPh>
    <rPh sb="96" eb="98">
      <t>ジョウイ</t>
    </rPh>
    <rPh sb="99" eb="101">
      <t>セイセキ</t>
    </rPh>
    <rPh sb="111" eb="113">
      <t>ハツゲン</t>
    </rPh>
    <rPh sb="114" eb="117">
      <t>イヨクテキ</t>
    </rPh>
    <rPh sb="121" eb="123">
      <t>ジブン</t>
    </rPh>
    <rPh sb="124" eb="125">
      <t>カンガ</t>
    </rPh>
    <rPh sb="127" eb="129">
      <t>ナンカイ</t>
    </rPh>
    <rPh sb="130" eb="132">
      <t>ハッピョウ</t>
    </rPh>
    <rPh sb="138" eb="140">
      <t>キモ</t>
    </rPh>
    <rPh sb="145" eb="146">
      <t>ト</t>
    </rPh>
    <rPh sb="147" eb="148">
      <t>ク</t>
    </rPh>
    <rPh sb="228" eb="230">
      <t>セイセキ</t>
    </rPh>
    <rPh sb="231" eb="232">
      <t>ヨ</t>
    </rPh>
    <rPh sb="237" eb="240">
      <t>シュウチュウリョク</t>
    </rPh>
    <rPh sb="241" eb="242">
      <t>メン</t>
    </rPh>
    <rPh sb="246" eb="248">
      <t>カダイ</t>
    </rPh>
    <rPh sb="249" eb="250">
      <t>ミ</t>
    </rPh>
    <rPh sb="253" eb="255">
      <t>キジョウ</t>
    </rPh>
    <rPh sb="256" eb="257">
      <t>ヒ</t>
    </rPh>
    <rPh sb="258" eb="259">
      <t>ダ</t>
    </rPh>
    <rPh sb="261" eb="262">
      <t>ナカ</t>
    </rPh>
    <rPh sb="268" eb="272">
      <t>セイリセイトン</t>
    </rPh>
    <rPh sb="273" eb="275">
      <t>カダイ</t>
    </rPh>
    <rPh sb="281" eb="282">
      <t>イマ</t>
    </rPh>
    <rPh sb="282" eb="284">
      <t>ヒツヨウ</t>
    </rPh>
    <rPh sb="295" eb="296">
      <t>バ</t>
    </rPh>
    <rPh sb="297" eb="298">
      <t>ココロ</t>
    </rPh>
    <rPh sb="299" eb="300">
      <t>トトノ</t>
    </rPh>
    <rPh sb="302" eb="304">
      <t>ジュギョウ</t>
    </rPh>
    <rPh sb="305" eb="306">
      <t>ノゾ</t>
    </rPh>
    <rPh sb="310" eb="312">
      <t>コンゴ</t>
    </rPh>
    <rPh sb="313" eb="315">
      <t>カダイ</t>
    </rPh>
    <rPh sb="316" eb="317">
      <t>イ</t>
    </rPh>
    <rPh sb="321" eb="325">
      <t>ユウジンカンケイ</t>
    </rPh>
    <rPh sb="331" eb="333">
      <t>ヒルヤス</t>
    </rPh>
    <rPh sb="337" eb="338">
      <t>アセ</t>
    </rPh>
    <rPh sb="343" eb="348">
      <t>イッショウケンメイアソ</t>
    </rPh>
    <rPh sb="350" eb="352">
      <t>ナカヨ</t>
    </rPh>
    <rPh sb="353" eb="354">
      <t>ス</t>
    </rPh>
    <rPh sb="368" eb="372">
      <t>ガッキイコウ</t>
    </rPh>
    <rPh sb="374" eb="376">
      <t>ソウタ</t>
    </rPh>
    <rPh sb="379" eb="380">
      <t>ヨ</t>
    </rPh>
    <rPh sb="382" eb="384">
      <t>ハッキ</t>
    </rPh>
    <rPh sb="387" eb="392">
      <t>サマザマナバメン</t>
    </rPh>
    <rPh sb="393" eb="395">
      <t>カツヤク</t>
    </rPh>
    <rPh sb="400" eb="402">
      <t>キタイ</t>
    </rPh>
    <phoneticPr fontId="18"/>
  </si>
  <si>
    <t>早退1（頭痛1）</t>
    <rPh sb="0" eb="2">
      <t>ソウタイ</t>
    </rPh>
    <rPh sb="4" eb="6">
      <t>ズツウ</t>
    </rPh>
    <phoneticPr fontId="1"/>
  </si>
  <si>
    <t>欠席1（家事都合1）</t>
    <rPh sb="0" eb="2">
      <t>ケッセキ</t>
    </rPh>
    <rPh sb="4" eb="8">
      <t>カジツゴウ</t>
    </rPh>
    <phoneticPr fontId="1"/>
  </si>
  <si>
    <t>出席停止4（水ぼうそう4）欠席3（発熱3）</t>
    <rPh sb="0" eb="4">
      <t>シュッセキテイシ</t>
    </rPh>
    <rPh sb="6" eb="7">
      <t>ミズ</t>
    </rPh>
    <rPh sb="13" eb="15">
      <t>ケッセキ</t>
    </rPh>
    <rPh sb="17" eb="19">
      <t>ハツネツ</t>
    </rPh>
    <phoneticPr fontId="1"/>
  </si>
  <si>
    <t>欠席8（かぜ4、ぜんそく3、腹痛1）早退5（体調不良5）</t>
    <rPh sb="0" eb="2">
      <t>ケッセキ</t>
    </rPh>
    <rPh sb="14" eb="16">
      <t>フクツウ</t>
    </rPh>
    <rPh sb="18" eb="20">
      <t>ソウタイ</t>
    </rPh>
    <rPh sb="22" eb="26">
      <t>タイチョウフリョウ</t>
    </rPh>
    <phoneticPr fontId="1"/>
  </si>
  <si>
    <t>欠席4（発熱4）遅刻1（内科通院1）</t>
    <rPh sb="0" eb="2">
      <t>ケッセキ</t>
    </rPh>
    <rPh sb="4" eb="6">
      <t>ハツネツ</t>
    </rPh>
    <rPh sb="8" eb="10">
      <t>チコク</t>
    </rPh>
    <rPh sb="12" eb="16">
      <t>ナイカツウイン</t>
    </rPh>
    <phoneticPr fontId="1"/>
  </si>
  <si>
    <t>欠席3（歯科通院1、かぜ2）</t>
    <rPh sb="0" eb="2">
      <t>ケッセキ</t>
    </rPh>
    <rPh sb="4" eb="8">
      <t>シカツウイン</t>
    </rPh>
    <phoneticPr fontId="1"/>
  </si>
  <si>
    <t>欠席2（発熱2）</t>
    <rPh sb="0" eb="2">
      <t>ケッセキ</t>
    </rPh>
    <rPh sb="4" eb="6">
      <t>ハツネツ</t>
    </rPh>
    <phoneticPr fontId="1"/>
  </si>
  <si>
    <t>体育祭白組リーダー、社会係</t>
    <rPh sb="0" eb="3">
      <t>タイイクサイ</t>
    </rPh>
    <rPh sb="3" eb="5">
      <t>シログミ</t>
    </rPh>
    <rPh sb="10" eb="13">
      <t>シャカイカカリ</t>
    </rPh>
    <phoneticPr fontId="1"/>
  </si>
  <si>
    <t>体育祭赤組リーダー、プリント係</t>
    <rPh sb="3" eb="4">
      <t>アカ</t>
    </rPh>
    <rPh sb="14" eb="15">
      <t>カカリ</t>
    </rPh>
    <phoneticPr fontId="1"/>
  </si>
  <si>
    <t>体育祭白組リーダー、算数係</t>
    <rPh sb="10" eb="13">
      <t>サンスウカカリ</t>
    </rPh>
    <phoneticPr fontId="1"/>
  </si>
  <si>
    <t>体育祭赤組リーダー、黒板係</t>
    <rPh sb="3" eb="4">
      <t>アカ</t>
    </rPh>
    <rPh sb="10" eb="13">
      <t>コクバンカカリ</t>
    </rPh>
    <phoneticPr fontId="1"/>
  </si>
  <si>
    <t>４月に転入してきて、慣れるまで時間がかかると思いましたが、持ち前の明るさであっという間に周りと打ち解け、元気に毎日を過ごすことができました。一年間の目標を、「勉強を黙々とやりたい」と設定し、どの授業でも欠かさずに発言をし、意欲的に取り組みました。特に、国語の音読では、大活躍しました。「まいごのかぎ」では皓仁くんが、登場人物のセリフを気持ちを込めて読むことがきっかけで、クラスメイトが良い点を取り入れて、セリフを読むようになり、授業がとても盛り上がりました。抑揚をつけて読む姿はさすがの一言でした。体育祭では、初めてにもかかわらず、３年生の白組のリーダーを務めました。整列の指示を出し、皆の先頭に立って引っ張る姿は素晴らしかったです。３年生対決は、一人で棒を引き、全力で最後まであきらめずに、力を出しきる姿を見せることができました。来年以降の体育祭でも活躍することが今から楽しみです。２学期以降も皓仁くんの持ち前の明るさと前向きさで、学習や学校生活の様々な場面で活躍する姿を期待しています。</t>
    <rPh sb="1" eb="2">
      <t>ガツ</t>
    </rPh>
    <rPh sb="3" eb="5">
      <t>テンニュウ</t>
    </rPh>
    <rPh sb="10" eb="11">
      <t>ナ</t>
    </rPh>
    <rPh sb="15" eb="17">
      <t>ジカン</t>
    </rPh>
    <rPh sb="22" eb="23">
      <t>オモ</t>
    </rPh>
    <rPh sb="29" eb="30">
      <t>モ</t>
    </rPh>
    <rPh sb="31" eb="32">
      <t>マエ</t>
    </rPh>
    <rPh sb="33" eb="34">
      <t>アカ</t>
    </rPh>
    <rPh sb="42" eb="43">
      <t>マ</t>
    </rPh>
    <rPh sb="44" eb="45">
      <t>マワ</t>
    </rPh>
    <rPh sb="47" eb="48">
      <t>ウ</t>
    </rPh>
    <rPh sb="49" eb="50">
      <t>ト</t>
    </rPh>
    <rPh sb="52" eb="54">
      <t>ゲンキ</t>
    </rPh>
    <rPh sb="55" eb="57">
      <t>マイニチ</t>
    </rPh>
    <rPh sb="58" eb="59">
      <t>ス</t>
    </rPh>
    <rPh sb="70" eb="71">
      <t>イチ</t>
    </rPh>
    <rPh sb="71" eb="73">
      <t>ネンカン</t>
    </rPh>
    <rPh sb="74" eb="76">
      <t>モクヒョウ</t>
    </rPh>
    <rPh sb="79" eb="81">
      <t>ベンキョウ</t>
    </rPh>
    <rPh sb="82" eb="84">
      <t>モクモク</t>
    </rPh>
    <rPh sb="91" eb="93">
      <t>セッテイ</t>
    </rPh>
    <rPh sb="97" eb="99">
      <t>ジュギョウ</t>
    </rPh>
    <rPh sb="101" eb="102">
      <t>カ</t>
    </rPh>
    <rPh sb="106" eb="108">
      <t>ハツゲン</t>
    </rPh>
    <rPh sb="111" eb="114">
      <t>イヨクテキ</t>
    </rPh>
    <rPh sb="115" eb="116">
      <t>ト</t>
    </rPh>
    <rPh sb="117" eb="118">
      <t>ク</t>
    </rPh>
    <rPh sb="123" eb="124">
      <t>トク</t>
    </rPh>
    <rPh sb="126" eb="128">
      <t>コクゴ</t>
    </rPh>
    <rPh sb="129" eb="131">
      <t>オンドク</t>
    </rPh>
    <rPh sb="134" eb="137">
      <t>ダイカツヤク</t>
    </rPh>
    <rPh sb="158" eb="162">
      <t>トウジョウジンブツ</t>
    </rPh>
    <rPh sb="167" eb="169">
      <t>キモ</t>
    </rPh>
    <rPh sb="171" eb="172">
      <t>コ</t>
    </rPh>
    <rPh sb="174" eb="175">
      <t>ヨ</t>
    </rPh>
    <rPh sb="192" eb="193">
      <t>ヨ</t>
    </rPh>
    <rPh sb="194" eb="195">
      <t>テン</t>
    </rPh>
    <rPh sb="196" eb="197">
      <t>ト</t>
    </rPh>
    <rPh sb="198" eb="199">
      <t>イ</t>
    </rPh>
    <rPh sb="206" eb="207">
      <t>ヨ</t>
    </rPh>
    <rPh sb="214" eb="216">
      <t>ジュギョウ</t>
    </rPh>
    <rPh sb="220" eb="221">
      <t>モ</t>
    </rPh>
    <rPh sb="222" eb="223">
      <t>ア</t>
    </rPh>
    <rPh sb="229" eb="231">
      <t>ヨクヨウ</t>
    </rPh>
    <rPh sb="235" eb="236">
      <t>ヨ</t>
    </rPh>
    <rPh sb="237" eb="238">
      <t>スガタ</t>
    </rPh>
    <rPh sb="243" eb="245">
      <t>ヒトコト</t>
    </rPh>
    <rPh sb="249" eb="252">
      <t>タイイクサイ</t>
    </rPh>
    <rPh sb="255" eb="256">
      <t>ハジ</t>
    </rPh>
    <rPh sb="284" eb="286">
      <t>セイレツ</t>
    </rPh>
    <rPh sb="287" eb="289">
      <t>シジ</t>
    </rPh>
    <rPh sb="290" eb="291">
      <t>ダ</t>
    </rPh>
    <rPh sb="293" eb="294">
      <t>ミナ</t>
    </rPh>
    <rPh sb="295" eb="297">
      <t>セントウ</t>
    </rPh>
    <rPh sb="298" eb="299">
      <t>タ</t>
    </rPh>
    <rPh sb="301" eb="302">
      <t>ヒ</t>
    </rPh>
    <rPh sb="303" eb="304">
      <t>パ</t>
    </rPh>
    <rPh sb="305" eb="306">
      <t>スガタ</t>
    </rPh>
    <rPh sb="307" eb="309">
      <t>スバ</t>
    </rPh>
    <rPh sb="318" eb="322">
      <t>ネンセイタイケツ</t>
    </rPh>
    <rPh sb="324" eb="326">
      <t>ヒトリ</t>
    </rPh>
    <rPh sb="327" eb="328">
      <t>ボウ</t>
    </rPh>
    <rPh sb="329" eb="330">
      <t>ヒ</t>
    </rPh>
    <rPh sb="332" eb="334">
      <t>ゼンリョク</t>
    </rPh>
    <rPh sb="335" eb="337">
      <t>サイゴ</t>
    </rPh>
    <rPh sb="346" eb="347">
      <t>チカラ</t>
    </rPh>
    <rPh sb="348" eb="349">
      <t>ダ</t>
    </rPh>
    <rPh sb="352" eb="353">
      <t>スガタ</t>
    </rPh>
    <rPh sb="354" eb="355">
      <t>ミ</t>
    </rPh>
    <rPh sb="366" eb="370">
      <t>ライネンイコウ</t>
    </rPh>
    <rPh sb="371" eb="374">
      <t>タイイクサイ</t>
    </rPh>
    <rPh sb="376" eb="378">
      <t>カツヤク</t>
    </rPh>
    <rPh sb="383" eb="384">
      <t>イマ</t>
    </rPh>
    <rPh sb="386" eb="387">
      <t>タノ</t>
    </rPh>
    <rPh sb="393" eb="397">
      <t>ガッキイコウ</t>
    </rPh>
    <rPh sb="398" eb="399">
      <t>アキラ</t>
    </rPh>
    <rPh sb="399" eb="400">
      <t>ジン</t>
    </rPh>
    <rPh sb="403" eb="404">
      <t>モ</t>
    </rPh>
    <rPh sb="405" eb="406">
      <t>マエ</t>
    </rPh>
    <rPh sb="407" eb="408">
      <t>アカ</t>
    </rPh>
    <rPh sb="411" eb="413">
      <t>マエム</t>
    </rPh>
    <rPh sb="417" eb="419">
      <t>ガクシュウ</t>
    </rPh>
    <rPh sb="420" eb="424">
      <t>ガッコウセイカツ</t>
    </rPh>
    <rPh sb="425" eb="430">
      <t>サマザマナバメン</t>
    </rPh>
    <phoneticPr fontId="18"/>
  </si>
  <si>
    <t>毎日元気に学校生活を過ごすことができました。友だちのことを思いやり、仲良く過ごそうとする姿が素晴らしいです。学習に対して、前向きに頑張る姿が見られ、発言をする場面も多いです。一方で、模試の成績等を見ると、国語の文章読解や最後まで集中して解く力に課題があります。そのためにも、日々の学習で丁寧に考えること、宿題で無答にならないように、苦手なりにも最後まで頑張って解くことを繰り返していくことが大事です。国語係の役割は、毎日欠かさずに行いました。宿題を確認することはやや苦手でしたが、宿題チェックは忘れずに行い、役割を確実に行おうとする意識は高かったです。１学期の目標を「集中する」と定めました。頑張ろうとする気持ちを大切にしながら、集中する姿勢など細かいことに意識を向けていけるとさらに力がついていきます。体育祭の棒引きの３年生対決は、一人で棒を引き、全力で最後まであきらめずに、力を出しきる姿を見せることができました。２学期も滉都くんの良さを生かして、学校生活を充実させてほしいと期待しています。</t>
    <rPh sb="22" eb="23">
      <t>トモ</t>
    </rPh>
    <rPh sb="29" eb="30">
      <t>オモ</t>
    </rPh>
    <rPh sb="34" eb="36">
      <t>ナカヨ</t>
    </rPh>
    <rPh sb="37" eb="38">
      <t>ス</t>
    </rPh>
    <rPh sb="44" eb="45">
      <t>スガタ</t>
    </rPh>
    <rPh sb="46" eb="48">
      <t>スバ</t>
    </rPh>
    <rPh sb="54" eb="56">
      <t>ガクシュウ</t>
    </rPh>
    <rPh sb="57" eb="58">
      <t>タイ</t>
    </rPh>
    <rPh sb="61" eb="63">
      <t>マエム</t>
    </rPh>
    <rPh sb="65" eb="67">
      <t>ガンバ</t>
    </rPh>
    <rPh sb="74" eb="76">
      <t>ハツゲン</t>
    </rPh>
    <rPh sb="79" eb="81">
      <t>バメン</t>
    </rPh>
    <rPh sb="82" eb="83">
      <t>オオ</t>
    </rPh>
    <rPh sb="87" eb="89">
      <t>イッポウ</t>
    </rPh>
    <rPh sb="91" eb="93">
      <t>モシ</t>
    </rPh>
    <rPh sb="94" eb="97">
      <t>セイセキトウ</t>
    </rPh>
    <rPh sb="98" eb="99">
      <t>ミ</t>
    </rPh>
    <rPh sb="102" eb="104">
      <t>コクゴ</t>
    </rPh>
    <rPh sb="105" eb="109">
      <t>ブンショウドッカイ</t>
    </rPh>
    <rPh sb="110" eb="112">
      <t>サイゴ</t>
    </rPh>
    <rPh sb="114" eb="116">
      <t>シュウチュウ</t>
    </rPh>
    <rPh sb="118" eb="119">
      <t>ト</t>
    </rPh>
    <rPh sb="120" eb="121">
      <t>チカラ</t>
    </rPh>
    <rPh sb="122" eb="124">
      <t>カダイ</t>
    </rPh>
    <rPh sb="137" eb="142">
      <t>ヒビノガクシュウ</t>
    </rPh>
    <rPh sb="143" eb="145">
      <t>テイネイ</t>
    </rPh>
    <rPh sb="146" eb="147">
      <t>カンガ</t>
    </rPh>
    <rPh sb="152" eb="154">
      <t>シュクダイ</t>
    </rPh>
    <rPh sb="155" eb="157">
      <t>ムトウ</t>
    </rPh>
    <rPh sb="166" eb="168">
      <t>ニガテ</t>
    </rPh>
    <rPh sb="172" eb="174">
      <t>サイゴ</t>
    </rPh>
    <rPh sb="176" eb="178">
      <t>ガンバ</t>
    </rPh>
    <rPh sb="180" eb="181">
      <t>ト</t>
    </rPh>
    <rPh sb="185" eb="186">
      <t>ク</t>
    </rPh>
    <rPh sb="187" eb="188">
      <t>カエ</t>
    </rPh>
    <rPh sb="195" eb="197">
      <t>ダイジ</t>
    </rPh>
    <rPh sb="204" eb="206">
      <t>ヤクワリ</t>
    </rPh>
    <rPh sb="208" eb="210">
      <t>マイニチ</t>
    </rPh>
    <rPh sb="210" eb="211">
      <t>カ</t>
    </rPh>
    <rPh sb="215" eb="216">
      <t>オコナ</t>
    </rPh>
    <rPh sb="221" eb="223">
      <t>シュクダイ</t>
    </rPh>
    <rPh sb="224" eb="226">
      <t>カクニン</t>
    </rPh>
    <rPh sb="233" eb="235">
      <t>ニガテ</t>
    </rPh>
    <rPh sb="240" eb="242">
      <t>シュクダイ</t>
    </rPh>
    <rPh sb="247" eb="248">
      <t>ワス</t>
    </rPh>
    <rPh sb="251" eb="252">
      <t>オコナ</t>
    </rPh>
    <rPh sb="254" eb="256">
      <t>ヤクワリ</t>
    </rPh>
    <rPh sb="257" eb="259">
      <t>カクジツ</t>
    </rPh>
    <rPh sb="260" eb="261">
      <t>オコナ</t>
    </rPh>
    <rPh sb="266" eb="268">
      <t>イシキ</t>
    </rPh>
    <rPh sb="269" eb="270">
      <t>タカ</t>
    </rPh>
    <rPh sb="277" eb="279">
      <t>ガッキ</t>
    </rPh>
    <rPh sb="280" eb="282">
      <t>モクヒョウ</t>
    </rPh>
    <rPh sb="284" eb="286">
      <t>シュウチュウ</t>
    </rPh>
    <rPh sb="290" eb="291">
      <t>サダ</t>
    </rPh>
    <rPh sb="296" eb="298">
      <t>ガンバ</t>
    </rPh>
    <rPh sb="303" eb="305">
      <t>キモ</t>
    </rPh>
    <rPh sb="307" eb="309">
      <t>タイセツ</t>
    </rPh>
    <rPh sb="315" eb="317">
      <t>シュウチュウ</t>
    </rPh>
    <rPh sb="319" eb="321">
      <t>シセイ</t>
    </rPh>
    <rPh sb="323" eb="324">
      <t>コマ</t>
    </rPh>
    <rPh sb="329" eb="331">
      <t>イシキ</t>
    </rPh>
    <rPh sb="332" eb="333">
      <t>ム</t>
    </rPh>
    <rPh sb="342" eb="343">
      <t>チカラ</t>
    </rPh>
    <rPh sb="352" eb="355">
      <t>タイイクサイ</t>
    </rPh>
    <rPh sb="356" eb="358">
      <t>ボウヒ</t>
    </rPh>
    <rPh sb="410" eb="412">
      <t>ガッキ</t>
    </rPh>
    <rPh sb="413" eb="414">
      <t>コウ</t>
    </rPh>
    <rPh sb="414" eb="415">
      <t>ト</t>
    </rPh>
    <rPh sb="418" eb="419">
      <t>ヨ</t>
    </rPh>
    <rPh sb="421" eb="422">
      <t>イ</t>
    </rPh>
    <rPh sb="426" eb="430">
      <t>ガッコウセイカツ</t>
    </rPh>
    <rPh sb="431" eb="433">
      <t>ジュウジツ</t>
    </rPh>
    <rPh sb="440" eb="442">
      <t>キタイ</t>
    </rPh>
    <phoneticPr fontId="18"/>
  </si>
  <si>
    <t>毎日元気に学校生活を過ごすことができました。授業はもちろん、頑張り勉強会の際も大事なことはメモをとって、自分の力にしようと取り組んでいる姿勢も素晴らしいです。国語「こまを楽しむ」では、文章の中に出てきたこまの中から好きなこまを一つ選んで、理由を書く学習で、叙述をもとに丁寧に自分の考えをまとめました。自分の考えを書く学習では、碧唯さんの良さが発揮されます。1学期の目標を「宿題をちゃんと提出したい」と定めました。宿題については、忘れてしまうこともあり、そのままたまってしまうこともありました。毎日連絡帳を見てチェックすることを続けましょう。漢字などを丁寧に書くことができるので、その頑張りが成績と結びついていくように指導を続けていきます。「漢字係」として毎日の宿題チェック、ホワイトボード書きを忘れずに行いました。次にやるべきことを考えて取り組んでいる碧唯さんの良さが、学習や学校生活をよりレベルアップしたものにしていけるよう、一つ一つをより丁寧に確実に行えるよう、今後の取り組みに期待しています。</t>
    <rPh sb="179" eb="181">
      <t>ガッキ</t>
    </rPh>
    <rPh sb="182" eb="184">
      <t>モクヒョウ</t>
    </rPh>
    <rPh sb="186" eb="188">
      <t>シュクダイ</t>
    </rPh>
    <rPh sb="193" eb="195">
      <t>テイシュツ</t>
    </rPh>
    <rPh sb="200" eb="201">
      <t>サダ</t>
    </rPh>
    <rPh sb="206" eb="208">
      <t>シュクダイ</t>
    </rPh>
    <rPh sb="214" eb="215">
      <t>ワス</t>
    </rPh>
    <rPh sb="246" eb="251">
      <t>マイニチレンラクチョウ</t>
    </rPh>
    <rPh sb="252" eb="253">
      <t>ミ</t>
    </rPh>
    <rPh sb="263" eb="264">
      <t>ツヅ</t>
    </rPh>
    <rPh sb="270" eb="272">
      <t>カンジ</t>
    </rPh>
    <rPh sb="275" eb="277">
      <t>テイネイ</t>
    </rPh>
    <rPh sb="278" eb="279">
      <t>カ</t>
    </rPh>
    <rPh sb="291" eb="293">
      <t>ガンバ</t>
    </rPh>
    <rPh sb="295" eb="297">
      <t>セイセキ</t>
    </rPh>
    <rPh sb="298" eb="299">
      <t>ムス</t>
    </rPh>
    <rPh sb="308" eb="310">
      <t>シドウ</t>
    </rPh>
    <rPh sb="311" eb="312">
      <t>ツヅ</t>
    </rPh>
    <rPh sb="320" eb="323">
      <t>カンジカカリ</t>
    </rPh>
    <rPh sb="327" eb="329">
      <t>マイニチ</t>
    </rPh>
    <phoneticPr fontId="18"/>
  </si>
  <si>
    <t>ぜんそくなどにより、欠席することもありましたが、登校すると、元気に学校生活を過ごすことができました。進之介くんの良さは発言にあります。どの授業でも発言ができ、自分の考えをもっているのは素晴らしいです。一年間の目標として「字を丁寧に書く」と書きましたが、その点はやや苦手さを感じています。落ち着いて慌てずに書くことが、自分自身の学力を高めることにもつながります。体育祭の振り返りでは、「あきらめないで全力で応援、競技をすることが成長した」と書き、理由として「大玉送りで練習は赤組が勝っていたけれど、白組が逆転したから」と書きました。このあきらめない戦いで得られたことが、成長につながっていけばうれしいです。「時こく係」として、毎時間「３分前です。１分前です。席につきましょう。」としっかり通る声で伝えることができました。その声がけで、クラス全体をスムーズに授業への気持ちに向かわせてくれました。２学期以降も良さを生かして、様々な場面で活躍することを期待しています。</t>
    <rPh sb="10" eb="12">
      <t>ケッセキ</t>
    </rPh>
    <rPh sb="24" eb="26">
      <t>トウコウ</t>
    </rPh>
    <rPh sb="180" eb="183">
      <t>タイイクサイ</t>
    </rPh>
    <rPh sb="184" eb="185">
      <t>フ</t>
    </rPh>
    <rPh sb="186" eb="187">
      <t>カエ</t>
    </rPh>
    <rPh sb="199" eb="201">
      <t>ゼンリョク</t>
    </rPh>
    <rPh sb="202" eb="204">
      <t>オウエン</t>
    </rPh>
    <rPh sb="205" eb="207">
      <t>キョウギ</t>
    </rPh>
    <rPh sb="213" eb="215">
      <t>セイチョウ</t>
    </rPh>
    <rPh sb="219" eb="220">
      <t>カ</t>
    </rPh>
    <rPh sb="222" eb="224">
      <t>リユウ</t>
    </rPh>
    <rPh sb="228" eb="231">
      <t>オオダマオク</t>
    </rPh>
    <rPh sb="233" eb="235">
      <t>レンシュウ</t>
    </rPh>
    <rPh sb="236" eb="238">
      <t>アカグミ</t>
    </rPh>
    <rPh sb="239" eb="240">
      <t>カ</t>
    </rPh>
    <rPh sb="248" eb="250">
      <t>シログミ</t>
    </rPh>
    <rPh sb="251" eb="253">
      <t>ギャクテン</t>
    </rPh>
    <rPh sb="259" eb="260">
      <t>カ</t>
    </rPh>
    <rPh sb="273" eb="274">
      <t>タタカ</t>
    </rPh>
    <rPh sb="276" eb="277">
      <t>エ</t>
    </rPh>
    <rPh sb="284" eb="286">
      <t>セイチョウ</t>
    </rPh>
    <rPh sb="361" eb="362">
      <t>コエ</t>
    </rPh>
    <rPh sb="369" eb="371">
      <t>ゼンタイ</t>
    </rPh>
    <rPh sb="377" eb="379">
      <t>ジュギョウ</t>
    </rPh>
    <rPh sb="381" eb="383">
      <t>キモ</t>
    </rPh>
    <rPh sb="385" eb="386">
      <t>ム</t>
    </rPh>
    <rPh sb="397" eb="401">
      <t>ガッキイコウ</t>
    </rPh>
    <rPh sb="402" eb="403">
      <t>ヨ</t>
    </rPh>
    <rPh sb="405" eb="406">
      <t>イ</t>
    </rPh>
    <rPh sb="410" eb="425">
      <t>サマザマナバメンデカツヤクスルコトヲキタイ</t>
    </rPh>
    <phoneticPr fontId="18"/>
  </si>
  <si>
    <t>毎日元気に学校生活を過ごすことができました。一年間の目標を「整理整頓がきれいにできるように絶対なる」と目標を立てました。３年生になり、教科書や副教材が増えたこともあり、物の置き場所に戸惑う様子が見られ、毎日声がけを続けています。必要なものは何か、そうでないものは何かを自分で判断できるようになっていくことが今後の課題です。学習面では、積極的に発言する姿は素晴らしく、内容に的を得た発言が増えてきました。質問と異なる発言がたまに見られるので、しっかり話を聞いて、自分で確認した上で発言できると、なお良いです。友だち関係についても、自分の悩みを伝えつつも、相手がここまですると良くないと心配までする様子が見られ、仲間のことを考えた優しい言動が碧志くんの魅力です。周りのことを良く見ることができているので、自分自身が授業に取り組む際に、指示を聞くことを意識して取り組むことで、良さが発揮されると思います。２学期以降も良さが最大限発揮されることを期待しています。</t>
    <rPh sb="22" eb="25">
      <t>イチネンカン</t>
    </rPh>
    <rPh sb="26" eb="28">
      <t>モクヒョウ</t>
    </rPh>
    <rPh sb="30" eb="34">
      <t>セイリセイトン</t>
    </rPh>
    <rPh sb="45" eb="47">
      <t>ゼッタイ</t>
    </rPh>
    <rPh sb="51" eb="53">
      <t>モクヒョウ</t>
    </rPh>
    <rPh sb="54" eb="55">
      <t>タ</t>
    </rPh>
    <rPh sb="61" eb="63">
      <t>ネンセイ</t>
    </rPh>
    <rPh sb="67" eb="70">
      <t>キョウカショ</t>
    </rPh>
    <rPh sb="71" eb="74">
      <t>フクキョウザイ</t>
    </rPh>
    <rPh sb="75" eb="76">
      <t>フ</t>
    </rPh>
    <rPh sb="84" eb="90">
      <t>モノノオキバショ</t>
    </rPh>
    <rPh sb="91" eb="93">
      <t>トマド</t>
    </rPh>
    <rPh sb="94" eb="96">
      <t>ヨウス</t>
    </rPh>
    <rPh sb="97" eb="98">
      <t>ミ</t>
    </rPh>
    <rPh sb="101" eb="104">
      <t>マイニチコエ</t>
    </rPh>
    <rPh sb="107" eb="108">
      <t>ツヅ</t>
    </rPh>
    <rPh sb="114" eb="116">
      <t>ヒツヨウ</t>
    </rPh>
    <rPh sb="120" eb="121">
      <t>ナニ</t>
    </rPh>
    <rPh sb="131" eb="132">
      <t>ナニ</t>
    </rPh>
    <rPh sb="134" eb="136">
      <t>ジブン</t>
    </rPh>
    <rPh sb="161" eb="164">
      <t>ガクシュウメン</t>
    </rPh>
    <rPh sb="167" eb="170">
      <t>セッキョクテキ</t>
    </rPh>
    <rPh sb="177" eb="179">
      <t>スバ</t>
    </rPh>
    <rPh sb="183" eb="185">
      <t>ナイヨウ</t>
    </rPh>
    <rPh sb="186" eb="187">
      <t>マト</t>
    </rPh>
    <rPh sb="188" eb="189">
      <t>エ</t>
    </rPh>
    <rPh sb="190" eb="192">
      <t>ハツゲン</t>
    </rPh>
    <rPh sb="193" eb="194">
      <t>フ</t>
    </rPh>
    <rPh sb="201" eb="203">
      <t>シツモン</t>
    </rPh>
    <rPh sb="204" eb="205">
      <t>コト</t>
    </rPh>
    <rPh sb="207" eb="209">
      <t>ハツゲン</t>
    </rPh>
    <rPh sb="213" eb="214">
      <t>ミ</t>
    </rPh>
    <rPh sb="224" eb="225">
      <t>ハナシ</t>
    </rPh>
    <rPh sb="226" eb="227">
      <t>キ</t>
    </rPh>
    <rPh sb="230" eb="232">
      <t>ジブン</t>
    </rPh>
    <rPh sb="233" eb="235">
      <t>カクニン</t>
    </rPh>
    <rPh sb="237" eb="238">
      <t>ウエ</t>
    </rPh>
    <rPh sb="239" eb="241">
      <t>ハツゲン</t>
    </rPh>
    <rPh sb="248" eb="249">
      <t>ヨ</t>
    </rPh>
    <rPh sb="253" eb="254">
      <t>トモ</t>
    </rPh>
    <rPh sb="256" eb="258">
      <t>カンケイ</t>
    </rPh>
    <rPh sb="264" eb="266">
      <t>ジブン</t>
    </rPh>
    <rPh sb="267" eb="268">
      <t>ナヤ</t>
    </rPh>
    <rPh sb="270" eb="271">
      <t>ツタ</t>
    </rPh>
    <rPh sb="276" eb="278">
      <t>アイテ</t>
    </rPh>
    <rPh sb="286" eb="287">
      <t>ヨ</t>
    </rPh>
    <rPh sb="291" eb="293">
      <t>シンパイ</t>
    </rPh>
    <rPh sb="297" eb="299">
      <t>ヨウス</t>
    </rPh>
    <rPh sb="300" eb="301">
      <t>ミ</t>
    </rPh>
    <rPh sb="304" eb="306">
      <t>ナカマ</t>
    </rPh>
    <rPh sb="310" eb="311">
      <t>カンガ</t>
    </rPh>
    <rPh sb="313" eb="314">
      <t>ヤサ</t>
    </rPh>
    <rPh sb="316" eb="318">
      <t>ゲンドウ</t>
    </rPh>
    <rPh sb="319" eb="320">
      <t>アオ</t>
    </rPh>
    <rPh sb="320" eb="321">
      <t>シ</t>
    </rPh>
    <rPh sb="324" eb="326">
      <t>ミリョク</t>
    </rPh>
    <rPh sb="329" eb="330">
      <t>マワ</t>
    </rPh>
    <rPh sb="335" eb="336">
      <t>ヨ</t>
    </rPh>
    <rPh sb="337" eb="338">
      <t>ミ</t>
    </rPh>
    <rPh sb="350" eb="354">
      <t>ジブンジシン</t>
    </rPh>
    <rPh sb="355" eb="357">
      <t>ジュギョウ</t>
    </rPh>
    <rPh sb="358" eb="359">
      <t>ト</t>
    </rPh>
    <rPh sb="360" eb="361">
      <t>ク</t>
    </rPh>
    <rPh sb="362" eb="363">
      <t>サイ</t>
    </rPh>
    <rPh sb="365" eb="367">
      <t>シジ</t>
    </rPh>
    <rPh sb="368" eb="369">
      <t>キ</t>
    </rPh>
    <rPh sb="373" eb="375">
      <t>イシキ</t>
    </rPh>
    <rPh sb="377" eb="378">
      <t>ト</t>
    </rPh>
    <rPh sb="379" eb="380">
      <t>ク</t>
    </rPh>
    <rPh sb="385" eb="386">
      <t>ヨ</t>
    </rPh>
    <rPh sb="388" eb="390">
      <t>ハッキ</t>
    </rPh>
    <rPh sb="394" eb="395">
      <t>オモ</t>
    </rPh>
    <rPh sb="400" eb="404">
      <t>ガッキイコウ</t>
    </rPh>
    <rPh sb="405" eb="406">
      <t>ヨ</t>
    </rPh>
    <rPh sb="419" eb="421">
      <t>キタイ</t>
    </rPh>
    <phoneticPr fontId="18"/>
  </si>
  <si>
    <t>４月に転入してきて、当初は不安そうに過ごしている様子も見られましたが、１学期後半になると、仲間が増えてきて毎日笑顔で学校生活を過ごすことができました。友だち関係は自分から関わろうとする姿が見られるようになり、その積極性が、仲間の輪が広がることにつながっていると感じています。学習面では、発言は積極的にできるわけではありませんが、ノートを丁寧にとり、確実に知識や技能を習得しようと一生懸命取り組んでいます。英語検定３級の一次試験に合格したことも、その取り組みの１つです。１学期の目標として掲げた「宿題を毎日きちんとやる。苦手なこともあきらめないでチャレンジする」は、確実にできており、その成果が宿題や日々の学習につながり、模試の成績も安定しています。「音読・EE係」として、毎日の宿題チェック、ホワイトボード書きを忘れずに行い、特にホワイトボードは分かりやすく、見やすく書くことができました。２学期以降は、少しずつ前に出ていくことに挑戦し、由伎乃さんの良さが様々な場面で発揮されることを期待しています。</t>
    <rPh sb="10" eb="12">
      <t>トウショ</t>
    </rPh>
    <rPh sb="13" eb="15">
      <t>フアン</t>
    </rPh>
    <rPh sb="18" eb="19">
      <t>ス</t>
    </rPh>
    <rPh sb="24" eb="26">
      <t>ヨウス</t>
    </rPh>
    <rPh sb="27" eb="28">
      <t>ミ</t>
    </rPh>
    <rPh sb="36" eb="40">
      <t>ガッキコウハン</t>
    </rPh>
    <rPh sb="45" eb="47">
      <t>ナカマ</t>
    </rPh>
    <rPh sb="48" eb="49">
      <t>フ</t>
    </rPh>
    <rPh sb="55" eb="57">
      <t>エガオ</t>
    </rPh>
    <rPh sb="75" eb="76">
      <t>トモ</t>
    </rPh>
    <rPh sb="78" eb="80">
      <t>カンケイ</t>
    </rPh>
    <rPh sb="81" eb="83">
      <t>ジブン</t>
    </rPh>
    <rPh sb="85" eb="86">
      <t>カカ</t>
    </rPh>
    <rPh sb="106" eb="109">
      <t>セッキョクセイ</t>
    </rPh>
    <rPh sb="111" eb="113">
      <t>ナカマ</t>
    </rPh>
    <rPh sb="114" eb="115">
      <t>ワ</t>
    </rPh>
    <rPh sb="116" eb="117">
      <t>ヒロ</t>
    </rPh>
    <rPh sb="130" eb="131">
      <t>カン</t>
    </rPh>
    <rPh sb="137" eb="140">
      <t>ガクシュウメン</t>
    </rPh>
    <rPh sb="143" eb="145">
      <t>ハツゲン</t>
    </rPh>
    <rPh sb="146" eb="149">
      <t>セッキョクテキ</t>
    </rPh>
    <rPh sb="168" eb="170">
      <t>テイネイ</t>
    </rPh>
    <rPh sb="174" eb="176">
      <t>カクジツ</t>
    </rPh>
    <rPh sb="177" eb="179">
      <t>チシキ</t>
    </rPh>
    <rPh sb="180" eb="182">
      <t>ギノウ</t>
    </rPh>
    <rPh sb="183" eb="185">
      <t>シュウトク</t>
    </rPh>
    <rPh sb="189" eb="193">
      <t>イッショウケンメイ</t>
    </rPh>
    <rPh sb="193" eb="194">
      <t>ト</t>
    </rPh>
    <rPh sb="195" eb="196">
      <t>ク</t>
    </rPh>
    <rPh sb="202" eb="206">
      <t>エイゴケンテイ</t>
    </rPh>
    <rPh sb="207" eb="208">
      <t>キュウ</t>
    </rPh>
    <rPh sb="209" eb="213">
      <t>イチジシケン</t>
    </rPh>
    <rPh sb="214" eb="216">
      <t>ゴウカク</t>
    </rPh>
    <rPh sb="224" eb="225">
      <t>ト</t>
    </rPh>
    <rPh sb="226" eb="227">
      <t>ク</t>
    </rPh>
    <rPh sb="235" eb="237">
      <t>ガッキ</t>
    </rPh>
    <rPh sb="238" eb="240">
      <t>モクヒョウ</t>
    </rPh>
    <rPh sb="243" eb="244">
      <t>カカ</t>
    </rPh>
    <rPh sb="247" eb="249">
      <t>シュクダイ</t>
    </rPh>
    <rPh sb="250" eb="252">
      <t>マイニチ</t>
    </rPh>
    <rPh sb="259" eb="261">
      <t>ニガテ</t>
    </rPh>
    <rPh sb="282" eb="284">
      <t>カクジツ</t>
    </rPh>
    <rPh sb="293" eb="295">
      <t>セイカ</t>
    </rPh>
    <rPh sb="296" eb="298">
      <t>シュクダイ</t>
    </rPh>
    <rPh sb="299" eb="304">
      <t>ヒビノガクシュウ</t>
    </rPh>
    <rPh sb="310" eb="312">
      <t>モシ</t>
    </rPh>
    <rPh sb="313" eb="315">
      <t>セイセキ</t>
    </rPh>
    <rPh sb="316" eb="318">
      <t>アンテイ</t>
    </rPh>
    <rPh sb="325" eb="327">
      <t>オンドク</t>
    </rPh>
    <rPh sb="330" eb="331">
      <t>カカリ</t>
    </rPh>
    <rPh sb="336" eb="338">
      <t>マイニチ</t>
    </rPh>
    <rPh sb="339" eb="341">
      <t>シュクダイ</t>
    </rPh>
    <rPh sb="353" eb="354">
      <t>カ</t>
    </rPh>
    <rPh sb="356" eb="357">
      <t>ワス</t>
    </rPh>
    <rPh sb="360" eb="361">
      <t>オコナ</t>
    </rPh>
    <rPh sb="363" eb="364">
      <t>トク</t>
    </rPh>
    <rPh sb="373" eb="374">
      <t>ワ</t>
    </rPh>
    <rPh sb="380" eb="381">
      <t>ミ</t>
    </rPh>
    <rPh sb="384" eb="385">
      <t>カ</t>
    </rPh>
    <rPh sb="396" eb="400">
      <t>ガッキイコウ</t>
    </rPh>
    <rPh sb="402" eb="403">
      <t>スコ</t>
    </rPh>
    <rPh sb="406" eb="407">
      <t>マエ</t>
    </rPh>
    <rPh sb="408" eb="409">
      <t>デ</t>
    </rPh>
    <rPh sb="415" eb="417">
      <t>チョウセン</t>
    </rPh>
    <rPh sb="419" eb="420">
      <t>ユ</t>
    </rPh>
    <rPh sb="420" eb="421">
      <t>キ</t>
    </rPh>
    <rPh sb="421" eb="422">
      <t>ノ</t>
    </rPh>
    <rPh sb="425" eb="426">
      <t>ヨ</t>
    </rPh>
    <rPh sb="428" eb="433">
      <t>サマザマナバメン</t>
    </rPh>
    <rPh sb="434" eb="436">
      <t>ハッキ</t>
    </rPh>
    <rPh sb="442" eb="444">
      <t>キタイ</t>
    </rPh>
    <phoneticPr fontId="18"/>
  </si>
  <si>
    <t>毎日前向きに学校生活を過ごすことができました。どの学習でも積極的に発言し、意欲的に何事も取り組む姿勢が稜大くんの魅力です。やるべきことを理解し、率先して前向きに取り組むことがクラスの雰囲気を良くし、周りを上手に巻き込んで、良さを発揮しています。特に当番の際の声の大きさ、注意の仕方は的確で素晴らしいです。国語「もっと知りたい、友だちのこと」では、友だちとの質問のやりとりを振り返り、「５W１Hを上手に使えた」「友だちの丁寧な言葉での質問が良かった」と学習した内容をおさえた振り返りができました。図工では、精密に作品をつくることができました。「きゅうこんちゃん　お花が咲いたよ！」という題材では、青い画用紙で細かく花びらをつくることができました。宿題への取り組みで稜大くんの力になってあげられず、力不足を感じています。２学期からは新たな場に活躍の場を移すことになりますが、稜大くんであれば大丈夫だと思います。少し離れた所からになりますが、活躍を願っています。</t>
    <rPh sb="2" eb="4">
      <t>マエム</t>
    </rPh>
    <rPh sb="25" eb="27">
      <t>ガクシュウ</t>
    </rPh>
    <rPh sb="29" eb="32">
      <t>セッキョクテキ</t>
    </rPh>
    <rPh sb="33" eb="35">
      <t>ハツゲン</t>
    </rPh>
    <rPh sb="37" eb="39">
      <t>イヨク</t>
    </rPh>
    <rPh sb="39" eb="40">
      <t>テキ</t>
    </rPh>
    <rPh sb="41" eb="43">
      <t>ナニゴト</t>
    </rPh>
    <rPh sb="44" eb="45">
      <t>ト</t>
    </rPh>
    <rPh sb="46" eb="47">
      <t>ク</t>
    </rPh>
    <rPh sb="48" eb="50">
      <t>シセイ</t>
    </rPh>
    <rPh sb="51" eb="52">
      <t>リョウ</t>
    </rPh>
    <rPh sb="52" eb="53">
      <t>ダイ</t>
    </rPh>
    <rPh sb="56" eb="58">
      <t>ミリョク</t>
    </rPh>
    <rPh sb="68" eb="70">
      <t>リカイ</t>
    </rPh>
    <rPh sb="72" eb="74">
      <t>ソッセン</t>
    </rPh>
    <rPh sb="76" eb="78">
      <t>マエム</t>
    </rPh>
    <rPh sb="80" eb="81">
      <t>ト</t>
    </rPh>
    <rPh sb="82" eb="83">
      <t>ク</t>
    </rPh>
    <rPh sb="91" eb="94">
      <t>フンイキ</t>
    </rPh>
    <rPh sb="95" eb="96">
      <t>ヨ</t>
    </rPh>
    <rPh sb="99" eb="100">
      <t>マワ</t>
    </rPh>
    <rPh sb="102" eb="104">
      <t>ジョウズ</t>
    </rPh>
    <rPh sb="105" eb="106">
      <t>マ</t>
    </rPh>
    <rPh sb="107" eb="108">
      <t>コ</t>
    </rPh>
    <rPh sb="111" eb="112">
      <t>ヨ</t>
    </rPh>
    <rPh sb="114" eb="116">
      <t>ハッキ</t>
    </rPh>
    <rPh sb="122" eb="123">
      <t>トク</t>
    </rPh>
    <rPh sb="124" eb="126">
      <t>トウバン</t>
    </rPh>
    <rPh sb="127" eb="128">
      <t>サイ</t>
    </rPh>
    <rPh sb="129" eb="130">
      <t>コエ</t>
    </rPh>
    <rPh sb="131" eb="132">
      <t>オオ</t>
    </rPh>
    <rPh sb="135" eb="137">
      <t>チュウイ</t>
    </rPh>
    <rPh sb="138" eb="140">
      <t>シカタ</t>
    </rPh>
    <rPh sb="141" eb="143">
      <t>テキカク</t>
    </rPh>
    <rPh sb="144" eb="146">
      <t>スバ</t>
    </rPh>
    <rPh sb="152" eb="154">
      <t>コクゴ</t>
    </rPh>
    <rPh sb="158" eb="159">
      <t>シ</t>
    </rPh>
    <rPh sb="163" eb="164">
      <t>トモ</t>
    </rPh>
    <rPh sb="173" eb="174">
      <t>トモ</t>
    </rPh>
    <rPh sb="178" eb="180">
      <t>シツモン</t>
    </rPh>
    <rPh sb="186" eb="187">
      <t>フ</t>
    </rPh>
    <rPh sb="188" eb="189">
      <t>カエ</t>
    </rPh>
    <rPh sb="197" eb="199">
      <t>ジョウズ</t>
    </rPh>
    <rPh sb="200" eb="201">
      <t>ツカ</t>
    </rPh>
    <rPh sb="205" eb="206">
      <t>トモ</t>
    </rPh>
    <rPh sb="209" eb="211">
      <t>テイネイ</t>
    </rPh>
    <rPh sb="212" eb="214">
      <t>コトバ</t>
    </rPh>
    <rPh sb="216" eb="218">
      <t>シツモン</t>
    </rPh>
    <rPh sb="219" eb="220">
      <t>ヨ</t>
    </rPh>
    <rPh sb="225" eb="227">
      <t>ガクシュウ</t>
    </rPh>
    <rPh sb="229" eb="231">
      <t>ナイヨウ</t>
    </rPh>
    <rPh sb="236" eb="237">
      <t>フ</t>
    </rPh>
    <rPh sb="238" eb="239">
      <t>カエ</t>
    </rPh>
    <rPh sb="247" eb="249">
      <t>ズコウ</t>
    </rPh>
    <rPh sb="252" eb="254">
      <t>セイミツ</t>
    </rPh>
    <rPh sb="255" eb="257">
      <t>サクヒン</t>
    </rPh>
    <rPh sb="281" eb="282">
      <t>ハナ</t>
    </rPh>
    <rPh sb="283" eb="284">
      <t>サ</t>
    </rPh>
    <rPh sb="292" eb="294">
      <t>ダイザイ</t>
    </rPh>
    <rPh sb="297" eb="298">
      <t>アオ</t>
    </rPh>
    <rPh sb="299" eb="302">
      <t>ガヨウシ</t>
    </rPh>
    <rPh sb="303" eb="304">
      <t>コマ</t>
    </rPh>
    <rPh sb="306" eb="307">
      <t>ハナ</t>
    </rPh>
    <rPh sb="322" eb="324">
      <t>シュクダイ</t>
    </rPh>
    <rPh sb="326" eb="327">
      <t>ト</t>
    </rPh>
    <rPh sb="328" eb="329">
      <t>ク</t>
    </rPh>
    <rPh sb="331" eb="332">
      <t>リョウ</t>
    </rPh>
    <rPh sb="332" eb="333">
      <t>ダイ</t>
    </rPh>
    <rPh sb="336" eb="337">
      <t>チカラ</t>
    </rPh>
    <rPh sb="347" eb="350">
      <t>チカラブソク</t>
    </rPh>
    <rPh sb="351" eb="352">
      <t>カン</t>
    </rPh>
    <rPh sb="359" eb="361">
      <t>ガッキ</t>
    </rPh>
    <rPh sb="364" eb="365">
      <t>アラ</t>
    </rPh>
    <rPh sb="367" eb="368">
      <t>バ</t>
    </rPh>
    <rPh sb="369" eb="371">
      <t>カツヤク</t>
    </rPh>
    <rPh sb="372" eb="373">
      <t>バ</t>
    </rPh>
    <rPh sb="374" eb="375">
      <t>ウツ</t>
    </rPh>
    <rPh sb="385" eb="387">
      <t>リョウダイ</t>
    </rPh>
    <rPh sb="393" eb="396">
      <t>ダイジョウブ</t>
    </rPh>
    <rPh sb="398" eb="399">
      <t>オモ</t>
    </rPh>
    <rPh sb="403" eb="404">
      <t>スコ</t>
    </rPh>
    <rPh sb="405" eb="406">
      <t>ハナ</t>
    </rPh>
    <rPh sb="408" eb="409">
      <t>トコロ</t>
    </rPh>
    <rPh sb="418" eb="420">
      <t>カツヤク</t>
    </rPh>
    <rPh sb="421" eb="422">
      <t>ネガ</t>
    </rPh>
    <phoneticPr fontId="18"/>
  </si>
  <si>
    <t>毎日明るく学校生活を過ごすことができました。授業への前向きさ、発言の様子、自分の考えをもつ姿など、多くの面で素晴らしさを感じることがありました。特に、体育祭では白組のリーダーとして、整列から棒引きの作戦、４年生対決への参加と全力でリーダーとしての役割を行いました。夏姫さんなしでは、棒引きの白組の勝利はなかったのではないのか、と感じさせる活躍ぶりでした。交通安全教室では、１～３年生の代表として、立派な挨拶ができました。普段から人前で意見を言うことに対して、堂々と前向きにできることが良さをさらに伸ばしていくことにつながっています。国語「まいごのかぎ」では、物語の好きな場面について、自分なりの考えをしっかりもって、理由を詳しく書き、登場人物の気持ちに寄り添う姿が見られました。図工では、ダイナミックに表現したり、ひらめいたことを試したりする姿も見られました。友だちと相談しながら、楽しく活動することができました。２学期以降もクラスのまとめ役として活躍する姿を期待しています。</t>
    <rPh sb="1" eb="2">
      <t>ニチ</t>
    </rPh>
    <rPh sb="2" eb="3">
      <t>アカ</t>
    </rPh>
    <rPh sb="22" eb="24">
      <t>ジュギョウ</t>
    </rPh>
    <rPh sb="26" eb="28">
      <t>マエム</t>
    </rPh>
    <rPh sb="31" eb="33">
      <t>ハツゲン</t>
    </rPh>
    <rPh sb="34" eb="36">
      <t>ヨウス</t>
    </rPh>
    <rPh sb="37" eb="39">
      <t>ジブン</t>
    </rPh>
    <rPh sb="40" eb="41">
      <t>カンガ</t>
    </rPh>
    <rPh sb="45" eb="46">
      <t>スガタ</t>
    </rPh>
    <rPh sb="49" eb="50">
      <t>オオ</t>
    </rPh>
    <rPh sb="52" eb="53">
      <t>メン</t>
    </rPh>
    <rPh sb="54" eb="56">
      <t>スバ</t>
    </rPh>
    <rPh sb="60" eb="61">
      <t>カン</t>
    </rPh>
    <rPh sb="72" eb="73">
      <t>トク</t>
    </rPh>
    <rPh sb="75" eb="78">
      <t>タイイクサイ</t>
    </rPh>
    <rPh sb="80" eb="82">
      <t>シログミ</t>
    </rPh>
    <rPh sb="91" eb="93">
      <t>セイレツ</t>
    </rPh>
    <rPh sb="95" eb="97">
      <t>ボウヒ</t>
    </rPh>
    <rPh sb="99" eb="101">
      <t>サクセン</t>
    </rPh>
    <rPh sb="103" eb="107">
      <t>ネンセイタイケツ</t>
    </rPh>
    <rPh sb="109" eb="111">
      <t>サンカ</t>
    </rPh>
    <rPh sb="113" eb="114">
      <t>リョク</t>
    </rPh>
    <rPh sb="123" eb="125">
      <t>ヤクワリ</t>
    </rPh>
    <rPh sb="126" eb="127">
      <t>オコナ</t>
    </rPh>
    <rPh sb="132" eb="134">
      <t>ナツキ</t>
    </rPh>
    <rPh sb="141" eb="143">
      <t>ボウヒ</t>
    </rPh>
    <rPh sb="145" eb="147">
      <t>シログミ</t>
    </rPh>
    <rPh sb="148" eb="150">
      <t>ショウリ</t>
    </rPh>
    <rPh sb="164" eb="165">
      <t>カン</t>
    </rPh>
    <rPh sb="169" eb="171">
      <t>カツヤク</t>
    </rPh>
    <rPh sb="177" eb="183">
      <t>コウツウアンゼンキョウシツ</t>
    </rPh>
    <rPh sb="189" eb="191">
      <t>ネンセイ</t>
    </rPh>
    <rPh sb="192" eb="194">
      <t>ダイヒョウ</t>
    </rPh>
    <rPh sb="198" eb="200">
      <t>リッパ</t>
    </rPh>
    <rPh sb="201" eb="203">
      <t>アイサツ</t>
    </rPh>
    <rPh sb="210" eb="212">
      <t>フダン</t>
    </rPh>
    <rPh sb="214" eb="216">
      <t>ヒトマエ</t>
    </rPh>
    <rPh sb="217" eb="219">
      <t>イケン</t>
    </rPh>
    <rPh sb="220" eb="221">
      <t>イ</t>
    </rPh>
    <rPh sb="225" eb="226">
      <t>タイ</t>
    </rPh>
    <rPh sb="229" eb="234">
      <t>ドウドウトマエム</t>
    </rPh>
    <rPh sb="242" eb="243">
      <t>ヨ</t>
    </rPh>
    <rPh sb="248" eb="249">
      <t>ノ</t>
    </rPh>
    <rPh sb="266" eb="268">
      <t>コクゴ</t>
    </rPh>
    <rPh sb="279" eb="281">
      <t>モノガタリ</t>
    </rPh>
    <rPh sb="282" eb="283">
      <t>ス</t>
    </rPh>
    <rPh sb="285" eb="287">
      <t>バメン</t>
    </rPh>
    <rPh sb="292" eb="294">
      <t>ジブン</t>
    </rPh>
    <rPh sb="297" eb="298">
      <t>カンガ</t>
    </rPh>
    <rPh sb="308" eb="310">
      <t>リユウ</t>
    </rPh>
    <rPh sb="311" eb="312">
      <t>クワ</t>
    </rPh>
    <rPh sb="314" eb="315">
      <t>カ</t>
    </rPh>
    <rPh sb="317" eb="321">
      <t>トウジョウジンブツ</t>
    </rPh>
    <rPh sb="322" eb="324">
      <t>キモ</t>
    </rPh>
    <rPh sb="326" eb="327">
      <t>ヨ</t>
    </rPh>
    <rPh sb="328" eb="329">
      <t>ソ</t>
    </rPh>
    <rPh sb="339" eb="341">
      <t>ズコウ</t>
    </rPh>
    <rPh sb="351" eb="353">
      <t>ヒョウゲン</t>
    </rPh>
    <rPh sb="365" eb="366">
      <t>タメ</t>
    </rPh>
    <rPh sb="371" eb="372">
      <t>スガタ</t>
    </rPh>
    <rPh sb="373" eb="374">
      <t>ミ</t>
    </rPh>
    <rPh sb="408" eb="412">
      <t>ガッキイコウ</t>
    </rPh>
    <rPh sb="420" eb="421">
      <t>ヤク</t>
    </rPh>
    <phoneticPr fontId="18"/>
  </si>
  <si>
    <t>毎日明るく学校生活を過ごすことができました。放課後に自習室や学童室で過ごすことが多いのですが、３年生から宿題の答え合わせが始まり、最初のうちは忘れてしまうことが多かったです。しかし、最近はそのようなことも減り、確実に宿題を行うことができるようになってきました。国語「漢字の広場」で２年生の漢字を使った短文を書いた際、どんどんと自分で考えて全部で１６個の短文を完成させました。算数は基本的によくできていますが、時こくと時間の学習について、夏休みの復習が必要です。何気ない日々の生活の中で「○分前」「○時間後」という時間の意識をもつことが大事だと思います。１年間や１学期の目標を「姿勢を良くすること」と定めました。おおむね頑張っている姿が見られ、これを１年間継続できれば目標は達成できるのではないかと思います。字の形の取り方が独特な一方、丁寧に書く力はあるので、良い面を伸ばしていってほしいと思います。２学期以降も明るさと友だちへの上手な関わり方を継続し、咲さんらしく活躍することを期待しています。</t>
    <rPh sb="2" eb="3">
      <t>アカ</t>
    </rPh>
    <rPh sb="22" eb="25">
      <t>ホウカゴ</t>
    </rPh>
    <rPh sb="26" eb="29">
      <t>ジシュウシツ</t>
    </rPh>
    <rPh sb="30" eb="33">
      <t>ガクドウシツ</t>
    </rPh>
    <rPh sb="34" eb="35">
      <t>ス</t>
    </rPh>
    <rPh sb="40" eb="41">
      <t>オオ</t>
    </rPh>
    <rPh sb="65" eb="67">
      <t>サイショ</t>
    </rPh>
    <rPh sb="71" eb="72">
      <t>ワス</t>
    </rPh>
    <rPh sb="80" eb="81">
      <t>オオ</t>
    </rPh>
    <rPh sb="91" eb="93">
      <t>サイキン</t>
    </rPh>
    <rPh sb="102" eb="103">
      <t>ヘ</t>
    </rPh>
    <rPh sb="105" eb="107">
      <t>カクジツ</t>
    </rPh>
    <rPh sb="108" eb="110">
      <t>シュクダイ</t>
    </rPh>
    <rPh sb="111" eb="112">
      <t>オコナ</t>
    </rPh>
    <rPh sb="130" eb="132">
      <t>コクゴ</t>
    </rPh>
    <rPh sb="133" eb="135">
      <t>カンジ</t>
    </rPh>
    <rPh sb="136" eb="138">
      <t>ヒロバ</t>
    </rPh>
    <rPh sb="141" eb="143">
      <t>ネンセイ</t>
    </rPh>
    <rPh sb="163" eb="165">
      <t>ジブン</t>
    </rPh>
    <rPh sb="166" eb="167">
      <t>カンガ</t>
    </rPh>
    <rPh sb="169" eb="171">
      <t>ゼンブ</t>
    </rPh>
    <rPh sb="174" eb="175">
      <t>コ</t>
    </rPh>
    <rPh sb="176" eb="178">
      <t>タンブン</t>
    </rPh>
    <rPh sb="179" eb="181">
      <t>カンセイ</t>
    </rPh>
    <rPh sb="277" eb="279">
      <t>ネンカン</t>
    </rPh>
    <rPh sb="281" eb="283">
      <t>ガッキ</t>
    </rPh>
    <rPh sb="284" eb="286">
      <t>モクヒョウ</t>
    </rPh>
    <rPh sb="288" eb="290">
      <t>シセイ</t>
    </rPh>
    <rPh sb="291" eb="292">
      <t>ヨ</t>
    </rPh>
    <rPh sb="299" eb="300">
      <t>サダ</t>
    </rPh>
    <rPh sb="309" eb="311">
      <t>ガンバ</t>
    </rPh>
    <rPh sb="315" eb="316">
      <t>スガタ</t>
    </rPh>
    <rPh sb="317" eb="318">
      <t>ミ</t>
    </rPh>
    <rPh sb="325" eb="329">
      <t>ネンカンケイゾク</t>
    </rPh>
    <rPh sb="333" eb="335">
      <t>モクヒョウ</t>
    </rPh>
    <rPh sb="336" eb="338">
      <t>タッセイ</t>
    </rPh>
    <rPh sb="348" eb="349">
      <t>オモ</t>
    </rPh>
    <rPh sb="353" eb="354">
      <t>ジ</t>
    </rPh>
    <rPh sb="355" eb="356">
      <t>カタチ</t>
    </rPh>
    <rPh sb="357" eb="358">
      <t>ト</t>
    </rPh>
    <rPh sb="359" eb="360">
      <t>カタ</t>
    </rPh>
    <rPh sb="361" eb="363">
      <t>ドクトク</t>
    </rPh>
    <rPh sb="364" eb="366">
      <t>イッポウ</t>
    </rPh>
    <rPh sb="367" eb="369">
      <t>テイネイ</t>
    </rPh>
    <rPh sb="370" eb="371">
      <t>カ</t>
    </rPh>
    <rPh sb="372" eb="373">
      <t>チカラ</t>
    </rPh>
    <rPh sb="379" eb="380">
      <t>ヨ</t>
    </rPh>
    <rPh sb="381" eb="382">
      <t>メン</t>
    </rPh>
    <rPh sb="383" eb="384">
      <t>ノ</t>
    </rPh>
    <rPh sb="394" eb="395">
      <t>オモ</t>
    </rPh>
    <rPh sb="400" eb="404">
      <t>ガッキイコウ</t>
    </rPh>
    <rPh sb="405" eb="406">
      <t>アカ</t>
    </rPh>
    <rPh sb="409" eb="410">
      <t>トモ</t>
    </rPh>
    <rPh sb="414" eb="416">
      <t>ジョウズ</t>
    </rPh>
    <rPh sb="417" eb="418">
      <t>カカ</t>
    </rPh>
    <rPh sb="420" eb="421">
      <t>カタ</t>
    </rPh>
    <rPh sb="422" eb="424">
      <t>ケイゾク</t>
    </rPh>
    <rPh sb="426" eb="427">
      <t>サキ</t>
    </rPh>
    <rPh sb="432" eb="434">
      <t>カツヤク</t>
    </rPh>
    <rPh sb="439" eb="441">
      <t>キタイ</t>
    </rPh>
    <phoneticPr fontId="18"/>
  </si>
  <si>
    <t>毎日明るく学校生活を過ごすことができました。１学期当初、友だち関係で悩むこともありましたが、最近は、多くの仲間と笑顔で関わる姿も見られ、成長を感じます。学習面では、発言する機会もあり、積極性も見られるようになってきました。算数は基本的によくできていますが、時こくと時間の学習について、夏休みの復習が必要です。何気ない日々の生活の中で「○分前」「○時間後」という時間の意識をもつことが大事だと思います。図工では、丁寧に作品をつくり、陶芸のオリジナルプレートでは、皿の凹凸をならすために指の腹をしっかりと使い、美しく仕上げることができました。１年間の目標を「学年目標の１つである『もくもくとやろう』」と定めました。ノートを一生懸命とる姿があり、黙々と頑張っている姿が見られます。宿題をやり忘れてしまうことが何回かあり、提出率が上がっていくことが今後の課題です。毎日確実に提出する習慣を身につけてほしいと思います。２学期も愛瑠さんの良さを生かして、様々な場面で活躍することを期待しています。</t>
    <rPh sb="2" eb="3">
      <t>アカ</t>
    </rPh>
    <rPh sb="23" eb="27">
      <t>ガッキトウショ</t>
    </rPh>
    <rPh sb="28" eb="29">
      <t>トモ</t>
    </rPh>
    <rPh sb="31" eb="33">
      <t>カンケイ</t>
    </rPh>
    <rPh sb="46" eb="48">
      <t>サイキン</t>
    </rPh>
    <rPh sb="50" eb="51">
      <t>オオ</t>
    </rPh>
    <rPh sb="53" eb="55">
      <t>ナカマ</t>
    </rPh>
    <rPh sb="56" eb="58">
      <t>エガオ</t>
    </rPh>
    <rPh sb="59" eb="60">
      <t>カカ</t>
    </rPh>
    <rPh sb="62" eb="63">
      <t>スガタ</t>
    </rPh>
    <rPh sb="64" eb="65">
      <t>ミ</t>
    </rPh>
    <rPh sb="68" eb="70">
      <t>セイチョウ</t>
    </rPh>
    <rPh sb="71" eb="72">
      <t>カン</t>
    </rPh>
    <rPh sb="76" eb="79">
      <t>ガクシュウメン</t>
    </rPh>
    <rPh sb="82" eb="84">
      <t>ハツゲン</t>
    </rPh>
    <rPh sb="86" eb="88">
      <t>キカイ</t>
    </rPh>
    <rPh sb="92" eb="95">
      <t>セッキョクセイ</t>
    </rPh>
    <rPh sb="96" eb="97">
      <t>ミ</t>
    </rPh>
    <rPh sb="200" eb="202">
      <t>ズコウ</t>
    </rPh>
    <rPh sb="205" eb="207">
      <t>テイネイ</t>
    </rPh>
    <rPh sb="208" eb="210">
      <t>サクヒン</t>
    </rPh>
    <rPh sb="215" eb="217">
      <t>トウゲイ</t>
    </rPh>
    <rPh sb="230" eb="231">
      <t>サラ</t>
    </rPh>
    <rPh sb="232" eb="234">
      <t>オウトツ</t>
    </rPh>
    <rPh sb="241" eb="242">
      <t>ユビ</t>
    </rPh>
    <rPh sb="243" eb="244">
      <t>ハラ</t>
    </rPh>
    <rPh sb="250" eb="251">
      <t>ツカ</t>
    </rPh>
    <rPh sb="253" eb="254">
      <t>ウツク</t>
    </rPh>
    <rPh sb="256" eb="258">
      <t>シア</t>
    </rPh>
    <rPh sb="359" eb="361">
      <t>ネンカン</t>
    </rPh>
    <rPh sb="362" eb="364">
      <t>モクヒョウ</t>
    </rPh>
    <rPh sb="366" eb="370">
      <t>ガクネンモクヒョウ</t>
    </rPh>
    <rPh sb="388" eb="389">
      <t>サダ</t>
    </rPh>
    <rPh sb="398" eb="402">
      <t>イッショウケンメイスガタモクモクトガンバスガタミシュクダイワスナンカイテイシュツリツアコンゴカダイマイニチカクジツテイシュツシュウカンミオモ</t>
    </rPh>
    <rPh sb="405" eb="407">
      <t>ガッキ</t>
    </rPh>
    <rPh sb="408" eb="410">
      <t>アイル</t>
    </rPh>
    <rPh sb="413" eb="414">
      <t>ヨ</t>
    </rPh>
    <rPh sb="416" eb="417">
      <t>イ</t>
    </rPh>
    <rPh sb="421" eb="436">
      <t>サマザマナバメンデカツヤクスルコトヲキタイ</t>
    </rPh>
    <phoneticPr fontId="18"/>
  </si>
  <si>
    <t>毎日元気に学校生活を過ごすことができました。学習面では、自分の考えをもって意欲的に学習を進めています。課題としては、姿勢の保持と整理整頓です。声がけをすると、少しの時間は意識できるのですが、なかなか継続できない姿が多く見られます。隼人くん自身も、１年間の目標として「姿勢を正す」と書いているので、それがただの目標で終わらないよう、意識づけていければと思います。家でも、その課題を意識して生活できるとよいなと思います。国語「まいごのかぎ」では、物語の好きな場面について、理由を詳しく書き、登場人物と自分を比べながらまとめることができました。図工では、いろいろな材料を組み合わせてつくり上げることができ、立体に仕上げることに長けていて、完成度も高いです。日々の生活に必要な力をもっており、日々のクラスのめあてが「姿勢を正す」となると「頑張らないと！」という気持ちは感じられるので、２学期以降はそれを自覚し、隼人くんらしく明るく元気に活躍することを期待しています。</t>
    <rPh sb="22" eb="25">
      <t>ガクシュウメン</t>
    </rPh>
    <rPh sb="28" eb="30">
      <t>ジブン</t>
    </rPh>
    <rPh sb="31" eb="32">
      <t>カンガ</t>
    </rPh>
    <rPh sb="37" eb="40">
      <t>イヨクテキ</t>
    </rPh>
    <rPh sb="41" eb="43">
      <t>ガクシュウ</t>
    </rPh>
    <rPh sb="44" eb="45">
      <t>スス</t>
    </rPh>
    <rPh sb="51" eb="53">
      <t>カダイ</t>
    </rPh>
    <rPh sb="58" eb="60">
      <t>シセイ</t>
    </rPh>
    <rPh sb="61" eb="63">
      <t>ホジ</t>
    </rPh>
    <rPh sb="64" eb="68">
      <t>セイリセイトン</t>
    </rPh>
    <rPh sb="71" eb="72">
      <t>コエ</t>
    </rPh>
    <rPh sb="79" eb="80">
      <t>スコ</t>
    </rPh>
    <rPh sb="82" eb="84">
      <t>ジカン</t>
    </rPh>
    <rPh sb="85" eb="87">
      <t>イシキ</t>
    </rPh>
    <rPh sb="99" eb="101">
      <t>ケイゾク</t>
    </rPh>
    <rPh sb="154" eb="156">
      <t>モクヒョウ</t>
    </rPh>
    <rPh sb="157" eb="158">
      <t>オ</t>
    </rPh>
    <rPh sb="165" eb="167">
      <t>イシキ</t>
    </rPh>
    <rPh sb="175" eb="176">
      <t>オモ</t>
    </rPh>
    <rPh sb="180" eb="181">
      <t>イエ</t>
    </rPh>
    <rPh sb="186" eb="188">
      <t>カダイ</t>
    </rPh>
    <rPh sb="189" eb="191">
      <t>イシキ</t>
    </rPh>
    <rPh sb="193" eb="195">
      <t>セイカツ</t>
    </rPh>
    <rPh sb="203" eb="204">
      <t>オモ</t>
    </rPh>
    <rPh sb="208" eb="210">
      <t>コクゴ</t>
    </rPh>
    <rPh sb="221" eb="223">
      <t>モノガタリ</t>
    </rPh>
    <rPh sb="224" eb="225">
      <t>ス</t>
    </rPh>
    <rPh sb="227" eb="229">
      <t>バメン</t>
    </rPh>
    <rPh sb="234" eb="236">
      <t>リユウ</t>
    </rPh>
    <rPh sb="237" eb="238">
      <t>クワ</t>
    </rPh>
    <rPh sb="240" eb="241">
      <t>カ</t>
    </rPh>
    <rPh sb="243" eb="247">
      <t>トウジョウジンブツ</t>
    </rPh>
    <rPh sb="248" eb="250">
      <t>ジブン</t>
    </rPh>
    <rPh sb="251" eb="252">
      <t>クラ</t>
    </rPh>
    <rPh sb="269" eb="271">
      <t>ズコウ</t>
    </rPh>
    <rPh sb="279" eb="281">
      <t>ザイリョウ</t>
    </rPh>
    <rPh sb="282" eb="283">
      <t>ク</t>
    </rPh>
    <rPh sb="284" eb="285">
      <t>ア</t>
    </rPh>
    <rPh sb="291" eb="292">
      <t>ア</t>
    </rPh>
    <rPh sb="300" eb="302">
      <t>リッタイ</t>
    </rPh>
    <rPh sb="303" eb="305">
      <t>シア</t>
    </rPh>
    <rPh sb="310" eb="311">
      <t>タ</t>
    </rPh>
    <rPh sb="316" eb="319">
      <t>カンセイド</t>
    </rPh>
    <rPh sb="320" eb="321">
      <t>タカ</t>
    </rPh>
    <rPh sb="325" eb="330">
      <t>ヒビノセイカツ</t>
    </rPh>
    <rPh sb="331" eb="333">
      <t>ヒツヨウ</t>
    </rPh>
    <rPh sb="334" eb="335">
      <t>チカラ</t>
    </rPh>
    <rPh sb="342" eb="344">
      <t>ヒビ</t>
    </rPh>
    <rPh sb="354" eb="356">
      <t>シセイ</t>
    </rPh>
    <rPh sb="357" eb="358">
      <t>タダ</t>
    </rPh>
    <rPh sb="365" eb="367">
      <t>ガンバ</t>
    </rPh>
    <rPh sb="376" eb="378">
      <t>キモ</t>
    </rPh>
    <rPh sb="380" eb="381">
      <t>カン</t>
    </rPh>
    <rPh sb="389" eb="393">
      <t>ガッキイコウ</t>
    </rPh>
    <rPh sb="397" eb="399">
      <t>ジカク</t>
    </rPh>
    <rPh sb="401" eb="403">
      <t>ハヤト</t>
    </rPh>
    <rPh sb="408" eb="409">
      <t>アカ</t>
    </rPh>
    <rPh sb="411" eb="413">
      <t>ゲンキ</t>
    </rPh>
    <rPh sb="414" eb="416">
      <t>カツヤク</t>
    </rPh>
    <rPh sb="421" eb="423">
      <t>キタイ</t>
    </rPh>
    <phoneticPr fontId="18"/>
  </si>
  <si>
    <t>毎日元気に学校生活を過ごすことができました。１年間の目標として「１年生と２年生の見本になれるよう頑張る」と書きました。１年生に妹が入学したこともあり、頑張ろうとしている気持ちが感じられます。学習面では、基本的なことはできるものの、授業中に手いたずらをしてしまい、やや集中力に欠ける場面が見られます。集中力や取り組みの姿勢と、模試の成績がやや下降していることとつながっているようです。目標は達成してこそ意味があると思うので、引き続き頑張っていることを認め、良い部分を伸ばしていけるようにしましょう。体育祭では、棒引きで力を発揮しました。競技の中でも丈士くんの力はチームにとって欠かせないと思います。４年生でも、作戦面も含め、活躍を期待しています。書写の片づけが早く、片づけ終わると、水道の周りや床に落ちている墨を丁寧に拭くことができました。伝えれば素直に聴く耳をもっている丈士くんです。２学期以降により成長できる姿を期待しています。</t>
    <rPh sb="23" eb="25">
      <t>ネンカン</t>
    </rPh>
    <rPh sb="26" eb="28">
      <t>モクヒョウ</t>
    </rPh>
    <rPh sb="33" eb="35">
      <t>ネンセイ</t>
    </rPh>
    <rPh sb="37" eb="39">
      <t>ネンセイ</t>
    </rPh>
    <rPh sb="40" eb="42">
      <t>ミホン</t>
    </rPh>
    <rPh sb="48" eb="50">
      <t>ガンバ</t>
    </rPh>
    <rPh sb="53" eb="54">
      <t>カ</t>
    </rPh>
    <rPh sb="60" eb="62">
      <t>ネンセイ</t>
    </rPh>
    <rPh sb="63" eb="64">
      <t>イモウト</t>
    </rPh>
    <rPh sb="65" eb="66">
      <t>ハイ</t>
    </rPh>
    <rPh sb="66" eb="67">
      <t>ガク</t>
    </rPh>
    <rPh sb="75" eb="77">
      <t>ガンバ</t>
    </rPh>
    <rPh sb="84" eb="86">
      <t>キモ</t>
    </rPh>
    <rPh sb="88" eb="89">
      <t>カン</t>
    </rPh>
    <rPh sb="95" eb="98">
      <t>ガクシュウメン</t>
    </rPh>
    <rPh sb="101" eb="104">
      <t>キホンテキ</t>
    </rPh>
    <rPh sb="115" eb="118">
      <t>ジュギョウチュウ</t>
    </rPh>
    <rPh sb="119" eb="120">
      <t>テ</t>
    </rPh>
    <rPh sb="133" eb="136">
      <t>シュウチュウリョク</t>
    </rPh>
    <rPh sb="137" eb="138">
      <t>カ</t>
    </rPh>
    <rPh sb="140" eb="142">
      <t>バメン</t>
    </rPh>
    <rPh sb="143" eb="144">
      <t>ミ</t>
    </rPh>
    <rPh sb="149" eb="152">
      <t>シュウチュウリョク</t>
    </rPh>
    <rPh sb="153" eb="154">
      <t>ト</t>
    </rPh>
    <rPh sb="155" eb="156">
      <t>ク</t>
    </rPh>
    <rPh sb="158" eb="160">
      <t>シセイ</t>
    </rPh>
    <rPh sb="162" eb="164">
      <t>モシ</t>
    </rPh>
    <rPh sb="165" eb="167">
      <t>セイセキ</t>
    </rPh>
    <rPh sb="170" eb="172">
      <t>カコウ</t>
    </rPh>
    <rPh sb="215" eb="217">
      <t>ガンバ</t>
    </rPh>
    <rPh sb="224" eb="225">
      <t>ミト</t>
    </rPh>
    <rPh sb="227" eb="228">
      <t>ヨ</t>
    </rPh>
    <rPh sb="229" eb="231">
      <t>ブブン</t>
    </rPh>
    <rPh sb="232" eb="233">
      <t>ノ</t>
    </rPh>
    <rPh sb="248" eb="251">
      <t>タイイクサイ</t>
    </rPh>
    <rPh sb="254" eb="256">
      <t>ボウヒ</t>
    </rPh>
    <rPh sb="258" eb="259">
      <t>チカラ</t>
    </rPh>
    <rPh sb="260" eb="262">
      <t>ハッキ</t>
    </rPh>
    <rPh sb="267" eb="269">
      <t>キョウギ</t>
    </rPh>
    <rPh sb="270" eb="271">
      <t>ナカ</t>
    </rPh>
    <rPh sb="278" eb="279">
      <t>チカラ</t>
    </rPh>
    <rPh sb="287" eb="288">
      <t>カ</t>
    </rPh>
    <rPh sb="293" eb="294">
      <t>オモ</t>
    </rPh>
    <rPh sb="299" eb="301">
      <t>ネンセイ</t>
    </rPh>
    <rPh sb="304" eb="307">
      <t>サクセンメン</t>
    </rPh>
    <rPh sb="308" eb="309">
      <t>フク</t>
    </rPh>
    <rPh sb="311" eb="313">
      <t>カツヤク</t>
    </rPh>
    <rPh sb="314" eb="316">
      <t>キタイ</t>
    </rPh>
    <rPh sb="322" eb="324">
      <t>ショシャ</t>
    </rPh>
    <rPh sb="325" eb="326">
      <t>カタ</t>
    </rPh>
    <rPh sb="329" eb="330">
      <t>ハヤ</t>
    </rPh>
    <rPh sb="332" eb="333">
      <t>カタ</t>
    </rPh>
    <rPh sb="335" eb="336">
      <t>オ</t>
    </rPh>
    <rPh sb="340" eb="342">
      <t>スイドウ</t>
    </rPh>
    <rPh sb="343" eb="344">
      <t>マワ</t>
    </rPh>
    <rPh sb="346" eb="347">
      <t>ユカ</t>
    </rPh>
    <rPh sb="348" eb="349">
      <t>オ</t>
    </rPh>
    <rPh sb="353" eb="354">
      <t>スミ</t>
    </rPh>
    <rPh sb="355" eb="357">
      <t>テイネイ</t>
    </rPh>
    <rPh sb="358" eb="359">
      <t>フ</t>
    </rPh>
    <rPh sb="369" eb="370">
      <t>ツタ</t>
    </rPh>
    <rPh sb="373" eb="375">
      <t>スナオ</t>
    </rPh>
    <rPh sb="376" eb="377">
      <t>キ</t>
    </rPh>
    <rPh sb="378" eb="379">
      <t>ミミ</t>
    </rPh>
    <rPh sb="385" eb="386">
      <t>ジョウ</t>
    </rPh>
    <rPh sb="386" eb="387">
      <t>シ</t>
    </rPh>
    <rPh sb="393" eb="397">
      <t>ガッキイコウ</t>
    </rPh>
    <rPh sb="400" eb="402">
      <t>セイチョウ</t>
    </rPh>
    <rPh sb="405" eb="406">
      <t>スガタ</t>
    </rPh>
    <rPh sb="407" eb="409">
      <t>キタイ</t>
    </rPh>
    <phoneticPr fontId="18"/>
  </si>
  <si>
    <t>毎日明るく元気に学校生活を過ごすことができました。学習面では、漢字のノートなどやや丁寧さに欠け、やってくるべき課題をやってこなかった時もありました。しかし、声をかけることで改善の様子も見られ、最近は自主勉強をするなど、漢字学習に対して意欲的な姿が見られます。理人くんの特筆すべき点は、掃除への取り組みです。雑巾がけを進んでやり、机・イスも理人くんがいれば、教室掃除が早く終わると言えるぐらい、指示を出しながらスムーズに行うことができました。１年間の目標に「掃除に集中して頑張る」と書いた通りの実行力に今後への期待がもてます。「整列係」としても同じ係の仲間と協力して、より良い整列を目指そうと工夫を重ね、静かに並べるようになってきました。友だちへの言動で指導する場面もありましたが、改善したことをしっかりと意識して仲間を大切に日々学校生活を過ごしてほしいと思います。２学期以降も理人くんの良さが様々な場面で発揮され、活躍することを期待しています。</t>
    <rPh sb="2" eb="3">
      <t>アカ</t>
    </rPh>
    <rPh sb="25" eb="28">
      <t>ガクシュウメン</t>
    </rPh>
    <rPh sb="31" eb="33">
      <t>カンジ</t>
    </rPh>
    <rPh sb="41" eb="43">
      <t>テイネイ</t>
    </rPh>
    <rPh sb="45" eb="46">
      <t>カ</t>
    </rPh>
    <rPh sb="55" eb="57">
      <t>カダイ</t>
    </rPh>
    <rPh sb="66" eb="67">
      <t>トキ</t>
    </rPh>
    <rPh sb="78" eb="79">
      <t>コエ</t>
    </rPh>
    <rPh sb="86" eb="88">
      <t>カイゼン</t>
    </rPh>
    <rPh sb="89" eb="91">
      <t>ヨウス</t>
    </rPh>
    <rPh sb="92" eb="93">
      <t>ミ</t>
    </rPh>
    <rPh sb="96" eb="98">
      <t>サイキン</t>
    </rPh>
    <rPh sb="99" eb="103">
      <t>ジシュベンキョウ</t>
    </rPh>
    <rPh sb="109" eb="113">
      <t>カンジガクシュウ</t>
    </rPh>
    <rPh sb="114" eb="115">
      <t>タイ</t>
    </rPh>
    <rPh sb="117" eb="120">
      <t>イヨクテキ</t>
    </rPh>
    <rPh sb="129" eb="131">
      <t>リジン</t>
    </rPh>
    <rPh sb="134" eb="136">
      <t>トクヒツ</t>
    </rPh>
    <rPh sb="139" eb="140">
      <t>テン</t>
    </rPh>
    <rPh sb="142" eb="144">
      <t>ソウジ</t>
    </rPh>
    <rPh sb="146" eb="147">
      <t>ト</t>
    </rPh>
    <rPh sb="148" eb="149">
      <t>ク</t>
    </rPh>
    <rPh sb="153" eb="155">
      <t>ゾウキン</t>
    </rPh>
    <rPh sb="158" eb="159">
      <t>スス</t>
    </rPh>
    <rPh sb="164" eb="165">
      <t>ツクエ</t>
    </rPh>
    <rPh sb="169" eb="171">
      <t>リヒト</t>
    </rPh>
    <rPh sb="178" eb="182">
      <t>キョウシツソウジ</t>
    </rPh>
    <rPh sb="183" eb="184">
      <t>ハヤ</t>
    </rPh>
    <rPh sb="185" eb="186">
      <t>オ</t>
    </rPh>
    <rPh sb="189" eb="190">
      <t>イ</t>
    </rPh>
    <rPh sb="196" eb="198">
      <t>シジ</t>
    </rPh>
    <rPh sb="199" eb="200">
      <t>ダ</t>
    </rPh>
    <rPh sb="209" eb="210">
      <t>オコナ</t>
    </rPh>
    <rPh sb="221" eb="223">
      <t>ネンカン</t>
    </rPh>
    <rPh sb="224" eb="226">
      <t>モクヒョウ</t>
    </rPh>
    <rPh sb="228" eb="230">
      <t>ソウジ</t>
    </rPh>
    <rPh sb="231" eb="233">
      <t>シュウチュウ</t>
    </rPh>
    <rPh sb="235" eb="237">
      <t>ガンバ</t>
    </rPh>
    <rPh sb="240" eb="241">
      <t>カ</t>
    </rPh>
    <rPh sb="243" eb="244">
      <t>トオ</t>
    </rPh>
    <rPh sb="246" eb="249">
      <t>ジッコウリョク</t>
    </rPh>
    <rPh sb="250" eb="252">
      <t>コンゴ</t>
    </rPh>
    <rPh sb="254" eb="256">
      <t>キタイ</t>
    </rPh>
    <rPh sb="263" eb="266">
      <t>セイレツカカリ</t>
    </rPh>
    <rPh sb="271" eb="272">
      <t>オナ</t>
    </rPh>
    <rPh sb="273" eb="274">
      <t>カカリ</t>
    </rPh>
    <rPh sb="275" eb="277">
      <t>ナカマ</t>
    </rPh>
    <rPh sb="278" eb="280">
      <t>キョウリョク</t>
    </rPh>
    <rPh sb="295" eb="297">
      <t>クフウ</t>
    </rPh>
    <rPh sb="298" eb="299">
      <t>カサ</t>
    </rPh>
    <rPh sb="301" eb="302">
      <t>シズ</t>
    </rPh>
    <rPh sb="304" eb="305">
      <t>ナラ</t>
    </rPh>
    <rPh sb="318" eb="319">
      <t>トモ</t>
    </rPh>
    <rPh sb="323" eb="325">
      <t>ゲンドウ</t>
    </rPh>
    <rPh sb="326" eb="328">
      <t>シドウ</t>
    </rPh>
    <rPh sb="330" eb="332">
      <t>バメン</t>
    </rPh>
    <rPh sb="340" eb="342">
      <t>カイゼン</t>
    </rPh>
    <rPh sb="352" eb="354">
      <t>イシキ</t>
    </rPh>
    <rPh sb="356" eb="358">
      <t>ナカマ</t>
    </rPh>
    <rPh sb="359" eb="361">
      <t>タイセツ</t>
    </rPh>
    <rPh sb="362" eb="378">
      <t>ヒビガッコウセイカツヲスゴシテホシイトオモ</t>
    </rPh>
    <phoneticPr fontId="18"/>
  </si>
  <si>
    <t>欠席4（発熱3、かぜ1）遅刻1（家事都合1）早退1（体調不良1）</t>
    <rPh sb="0" eb="2">
      <t>ケッセキ</t>
    </rPh>
    <rPh sb="4" eb="6">
      <t>ハツネツ</t>
    </rPh>
    <rPh sb="12" eb="14">
      <t>チコク</t>
    </rPh>
    <rPh sb="16" eb="20">
      <t>カジツゴウ</t>
    </rPh>
    <rPh sb="22" eb="24">
      <t>ソウタイ</t>
    </rPh>
    <rPh sb="26" eb="30">
      <t>タイチョウフリョウ</t>
    </rPh>
    <phoneticPr fontId="1"/>
  </si>
  <si>
    <t>欠席6（体調不良6）遅刻1（眼科通院1）</t>
    <rPh sb="0" eb="2">
      <t>ケッセキ</t>
    </rPh>
    <rPh sb="4" eb="8">
      <t>タイチョウフリョウ</t>
    </rPh>
    <rPh sb="10" eb="12">
      <t>チコク</t>
    </rPh>
    <rPh sb="14" eb="18">
      <t>ガンカツウイン</t>
    </rPh>
    <phoneticPr fontId="1"/>
  </si>
  <si>
    <t>出席停止5（インフルエンザ5）欠席2（腹痛1、頭痛1）早退2（体調不良2）</t>
    <rPh sb="0" eb="4">
      <t>シュッセキテイシ</t>
    </rPh>
    <rPh sb="15" eb="17">
      <t>ケッセキ</t>
    </rPh>
    <rPh sb="19" eb="21">
      <t>フクツウ</t>
    </rPh>
    <rPh sb="23" eb="25">
      <t>ズツウ</t>
    </rPh>
    <rPh sb="27" eb="29">
      <t>ソウタイ</t>
    </rPh>
    <rPh sb="31" eb="35">
      <t>タイチョウフリョウ</t>
    </rPh>
    <phoneticPr fontId="1"/>
  </si>
  <si>
    <t>欠席2（家事都合2）早退1（体調不良1）</t>
    <rPh sb="0" eb="2">
      <t>ケッセキ</t>
    </rPh>
    <rPh sb="4" eb="8">
      <t>カジツゴウ</t>
    </rPh>
    <rPh sb="10" eb="12">
      <t>ソウタイ</t>
    </rPh>
    <rPh sb="14" eb="18">
      <t>タイチョウフリョウ</t>
    </rPh>
    <phoneticPr fontId="1"/>
  </si>
  <si>
    <t>欠席3（家事都合3）早退1（家事都合1）</t>
    <rPh sb="0" eb="2">
      <t>ケッセキ</t>
    </rPh>
    <rPh sb="4" eb="8">
      <t>カジツゴウ</t>
    </rPh>
    <rPh sb="10" eb="12">
      <t>ソウタイ</t>
    </rPh>
    <rPh sb="14" eb="18">
      <t>カジツゴウ</t>
    </rPh>
    <phoneticPr fontId="1"/>
  </si>
  <si>
    <t xml:space="preserve"> 欠席日数</t>
    <phoneticPr fontId="1"/>
  </si>
  <si>
    <t>B</t>
    <phoneticPr fontId="1"/>
  </si>
  <si>
    <t>A</t>
    <phoneticPr fontId="1"/>
  </si>
  <si>
    <t>-</t>
    <phoneticPr fontId="1"/>
  </si>
  <si>
    <t>C</t>
    <phoneticPr fontId="1"/>
  </si>
  <si>
    <t>昆虫の育ち方やチョウのからだのつくりを理解することができる</t>
    <phoneticPr fontId="1"/>
  </si>
  <si>
    <t>この項目は適宜変更して下さい。
※注意※
ただし、項目数は１０個まで。仮に少ない場合も行の削除は絶対に行わないで下さい。</t>
    <phoneticPr fontId="1"/>
  </si>
  <si>
    <t>A</t>
    <phoneticPr fontId="1"/>
  </si>
  <si>
    <t>B</t>
    <phoneticPr fontId="1"/>
  </si>
  <si>
    <t>自分や友達の作品から良さや面白さ、美しさを感じとることができる</t>
    <phoneticPr fontId="1"/>
  </si>
  <si>
    <t>自分のイメージしたことをしっかりと表現したいと強く思っています。スムーズに製作できるときは楽しそうですが、思ったようにいかないときにイライラする気持ちを他人にぶつけることがありました。助言が納得がいくと、製作に取り入れています。</t>
    <phoneticPr fontId="1"/>
  </si>
  <si>
    <t>考えをまとめ、製作に移すことに時間が掛かります。考えているうちに集中力が途切れてしまうこともあるため、要所要所でこちらでも声を掛け、時間内に完成を目指しています。</t>
    <phoneticPr fontId="1"/>
  </si>
  <si>
    <t>出席停止3（コロナウイルス感染症3）遅刻17（寝坊17）</t>
    <rPh sb="0" eb="4">
      <t>シュッセキテイシ</t>
    </rPh>
    <rPh sb="13" eb="16">
      <t>カンセンショウ</t>
    </rPh>
    <rPh sb="18" eb="20">
      <t>チコク</t>
    </rPh>
    <rPh sb="23" eb="25">
      <t>ネボウ</t>
    </rPh>
    <phoneticPr fontId="1"/>
  </si>
  <si>
    <t>この項目は適宜変更して下さい。
※注意※
ただし、項目数は１０個まで。仮に少ない場合も行の削除は絶対に行わないで下さい。</t>
    <phoneticPr fontId="1"/>
  </si>
  <si>
    <t>A</t>
    <phoneticPr fontId="1"/>
  </si>
  <si>
    <t>B</t>
    <phoneticPr fontId="1"/>
  </si>
  <si>
    <t>B</t>
    <phoneticPr fontId="1"/>
  </si>
  <si>
    <t>A</t>
    <phoneticPr fontId="1"/>
  </si>
  <si>
    <t>C</t>
    <phoneticPr fontId="1"/>
  </si>
  <si>
    <t>この項目は適宜変更して下さい。
※注意※
ただし、項目数は１０個まで。仮に少ない場合も行の削除は絶対に行わないで下さい。</t>
    <phoneticPr fontId="1"/>
  </si>
  <si>
    <t>A</t>
    <phoneticPr fontId="1"/>
  </si>
  <si>
    <t>B</t>
    <phoneticPr fontId="1"/>
  </si>
  <si>
    <t>A</t>
    <phoneticPr fontId="1"/>
  </si>
  <si>
    <t>C</t>
    <phoneticPr fontId="1"/>
  </si>
  <si>
    <t>この項目は適宜変更して下さい。
※注意※
ただし、項目数は１０個まで。仮に少ない場合も行の削除は絶対に行わないで下さい。</t>
    <phoneticPr fontId="1"/>
  </si>
  <si>
    <t>身のまわりの自然の中での出来事や現象について関心を持ち、疑問を解決することができる</t>
    <phoneticPr fontId="1"/>
  </si>
  <si>
    <t>A</t>
    <phoneticPr fontId="1"/>
  </si>
  <si>
    <t>明るく元気で、いろいろなことに興味を持っています。理解力もあるのでノートをしっかり書くようにしましょう。</t>
    <phoneticPr fontId="1"/>
  </si>
  <si>
    <t>この項目は適宜変更して下さい。
※注意※
ただし、項目数は１０個まで。仮に少ない場合も行の削除は絶対に行わないで下さい。</t>
    <phoneticPr fontId="1"/>
  </si>
  <si>
    <t>この項目は適宜変更して下さい。
※注意※
ただし、項目数は１０個まで。仮に少ない場合も行の削除は絶対に行わないで下さい。</t>
    <phoneticPr fontId="1"/>
  </si>
  <si>
    <t>A</t>
    <phoneticPr fontId="1"/>
  </si>
  <si>
    <t>A</t>
    <phoneticPr fontId="1"/>
  </si>
  <si>
    <t>B</t>
    <phoneticPr fontId="1"/>
  </si>
  <si>
    <t>A</t>
    <phoneticPr fontId="1"/>
  </si>
  <si>
    <t>B</t>
    <phoneticPr fontId="1"/>
  </si>
  <si>
    <t>B</t>
    <phoneticPr fontId="1"/>
  </si>
  <si>
    <t>B</t>
    <phoneticPr fontId="1"/>
  </si>
  <si>
    <t>A</t>
    <phoneticPr fontId="1"/>
  </si>
  <si>
    <t>A</t>
    <phoneticPr fontId="1"/>
  </si>
  <si>
    <t>B</t>
    <phoneticPr fontId="1"/>
  </si>
  <si>
    <t>B</t>
    <phoneticPr fontId="1"/>
  </si>
  <si>
    <t>B</t>
    <phoneticPr fontId="1"/>
  </si>
  <si>
    <t>B</t>
    <phoneticPr fontId="1"/>
  </si>
  <si>
    <t>A</t>
    <phoneticPr fontId="1"/>
  </si>
  <si>
    <t>A</t>
    <phoneticPr fontId="1"/>
  </si>
  <si>
    <t>C</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</si>
  <si>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</si>
  <si>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</si>
  <si>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</si>
  <si>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</si>
  <si>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</si>
  <si>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</si>
  <si>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</si>
  <si>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</si>
  <si>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豊かな発想を持ち自由に表現することができる</t>
    <phoneticPr fontId="1"/>
  </si>
  <si>
    <t>つくりたいもののイメージを持ち、それに向かって制作することができる</t>
    <phoneticPr fontId="1"/>
  </si>
  <si>
    <t>C</t>
    <phoneticPr fontId="1"/>
  </si>
  <si>
    <t>-</t>
    <phoneticPr fontId="1"/>
  </si>
  <si>
    <t>どの作品にも自分の家で飼っている犬がモチーフになっていました。違うものに挑戦することを勧めると、思い悩んでしまうため様子を見ていたのですが、ようやく【マイキャラ・フィギュア】では図鑑を参考にして製作することができました。</t>
    <phoneticPr fontId="1"/>
  </si>
  <si>
    <t>丁寧に作品をつくっています。【色と形のもよう遊び　～不思議な動物～】では、玉子の殻を細かく切っていました。模様もたくさん描いていました。もう少し大きくのびのびと製作できるといいなと感じています。</t>
    <phoneticPr fontId="1"/>
  </si>
  <si>
    <t>材料の特徴をしっかりと捉え、そこに自分のイメージしたことを乗せて表現することができます。材料から色々な発想をすることが得意です。隙間時間を見付けては、気に入ったものをつくる姿も見られます。</t>
    <phoneticPr fontId="1"/>
  </si>
  <si>
    <t>ゴジラやドラゴンのような、大きく、ダイナミックなものをテーマに表現することが好きです。そのため、表現方法が大胆な反面雑に見えてしまうところがもったいないところです。上限すると解決するため、２学期に期待します。</t>
    <phoneticPr fontId="1"/>
  </si>
  <si>
    <t>手先が器用で、繊細な作品をつくることができました。友達の作品を鑑賞したり、つくり方のアドバイスをし合ったりして、授業も楽しく活動する様子が見られました。</t>
    <phoneticPr fontId="1"/>
  </si>
  <si>
    <t>精密に作品をつくることができます。【きゅうこんちゃん　お花がさいたよ！】では、青い画用紙で細かく花びらをつくっていました。【マイキャラ・フィギュア】では、昆虫の図鑑からヒントを得ていました。</t>
    <phoneticPr fontId="1"/>
  </si>
  <si>
    <t>友達と相談しながら、楽しく活動する姿が見られました。ダイナミックに表現したり、ひらめいたことを試したりする姿も見られました。満足いく作品をつくろうと試行しています。</t>
    <phoneticPr fontId="1"/>
  </si>
  <si>
    <t>気に入ったオリジナルキャラクターがあり、どの題材でもそれが登場していました。【マイキャラ・フィギュア】のときは、今回は違うものに挑戦してみよう！と声をかけたところ、新たな作品を製作することができました。率先して片付けなどができ、素晴らしいです。</t>
    <phoneticPr fontId="1"/>
  </si>
  <si>
    <t>器用に細々とした作品をつくることが得意です。陶芸作品では、オリジナルのプレートの他に、蓋付きのカップも製作していました。</t>
    <phoneticPr fontId="1"/>
  </si>
  <si>
    <t>丁寧に作品をつくっています。陶芸のオリジナルプレートでは、皿の凹凸を均すために指の腹をしっかりと使い、美しく仕上げていました。</t>
    <phoneticPr fontId="1"/>
  </si>
  <si>
    <t>色々な材料を組み合わせてつくり上げることができます。特に作品を立体に仕上げることに長けています。完成度も高く仕上げることができます。２学期も期待しています。</t>
    <phoneticPr fontId="1"/>
  </si>
  <si>
    <t>楽しく造形活動に取り組むことができました。【きゅうこんちゃん　お花がさいたよ！】では、大きな青い花を咲かせていました。【マイキャラ・フィギュア】は、お気に入りのキャラクターから外れたものの製作を勧め、新しい作品に挑戦していました。</t>
    <phoneticPr fontId="1"/>
  </si>
  <si>
    <t>丁寧に作品をつくることができます。指先を器用に使うことができます。【きゅうこんちゃん　お花がさいたよ！】では、ひまわりの花びらを美しく並べてつくっていました。掃除や片付けなど、率先して反り組み、素晴らしい態度です。</t>
    <phoneticPr fontId="1"/>
  </si>
  <si>
    <t>製作意欲が高いときは集中力もかなり長く持続できます。【きゅうこんちゃん　お花がさいたよ！】では、自分より大きい花をつくり、それを立たせるために試行錯誤する姿が見られました。</t>
    <phoneticPr fontId="1"/>
  </si>
  <si>
    <t>楽しく活動に取り組んでいます。豪快にどんどん製作している姿は、見ていてもとても気持ちが良いのですが、もう少し丁寧につくることができると、完成度が上がるのではないかと感じます。</t>
    <phoneticPr fontId="1"/>
  </si>
  <si>
    <t>A</t>
    <phoneticPr fontId="1"/>
  </si>
  <si>
    <t>B</t>
    <phoneticPr fontId="1"/>
  </si>
  <si>
    <t>A</t>
    <phoneticPr fontId="1"/>
  </si>
  <si>
    <t>A</t>
    <phoneticPr fontId="1"/>
  </si>
  <si>
    <t>A</t>
    <phoneticPr fontId="1"/>
  </si>
  <si>
    <t>B</t>
    <phoneticPr fontId="1"/>
  </si>
  <si>
    <t>A</t>
    <phoneticPr fontId="1"/>
  </si>
  <si>
    <t>B</t>
    <phoneticPr fontId="1"/>
  </si>
  <si>
    <t>C</t>
    <phoneticPr fontId="1"/>
  </si>
  <si>
    <t>C</t>
    <phoneticPr fontId="1"/>
  </si>
  <si>
    <t>A</t>
    <phoneticPr fontId="1"/>
  </si>
  <si>
    <t>C</t>
    <phoneticPr fontId="1"/>
  </si>
  <si>
    <t>B</t>
    <phoneticPr fontId="1"/>
  </si>
  <si>
    <t>B</t>
    <phoneticPr fontId="1"/>
  </si>
  <si>
    <t>A</t>
    <phoneticPr fontId="1"/>
  </si>
  <si>
    <t>A</t>
    <phoneticPr fontId="1"/>
  </si>
  <si>
    <t>A</t>
    <phoneticPr fontId="1"/>
  </si>
  <si>
    <t>A</t>
    <phoneticPr fontId="1"/>
  </si>
  <si>
    <t>B</t>
    <phoneticPr fontId="1"/>
  </si>
  <si>
    <t>150～200</t>
    <phoneticPr fontId="10" type="Hiragana" alignment="distributed"/>
  </si>
  <si>
    <t>B</t>
    <phoneticPr fontId="1"/>
  </si>
  <si>
    <t>A</t>
    <phoneticPr fontId="1"/>
  </si>
  <si>
    <t>C</t>
    <phoneticPr fontId="1"/>
  </si>
  <si>
    <t>-</t>
    <phoneticPr fontId="1"/>
  </si>
  <si>
    <t>総合所見</t>
    <phoneticPr fontId="1"/>
  </si>
  <si>
    <t>400～450</t>
    <phoneticPr fontId="10" type="Hiragana" alignment="distributed"/>
  </si>
  <si>
    <t xml:space="preserve"> 出席日数（自動計算）</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</si>
</sst>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sz val="11"/>
      <color indexed="52"/>
      <name val="ＭＳ Ｐゴシック"/>
      <family val="3"/>
      <charset val="128"/>
    </font>
    <font>
      <sz val="11"/>
      <color indexed="8"/>
      <name val="ＭＳ Ｐゴシック"/>
      <family val="3"/>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92">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3" fillId="0" borderId="0" xfId="0" applyFont="1" applyFill="1" applyProtection="1">
      <alignment vertical="center"/>
      <protection locked="0"/>
    </xf>
    <xf numFmtId="0" fontId="15" fillId="0" borderId="14" xfId="0" applyFont="1" applyBorder="1" applyProtection="1">
      <alignment vertical="center"/>
      <protection locked="0"/>
    </xf>
    <xf numFmtId="0" fontId="15" fillId="0" borderId="30" xfId="0" applyFont="1" applyBorder="1" applyProtection="1">
      <alignment vertical="center"/>
      <protection locked="0"/>
    </xf>
    <xf numFmtId="0" fontId="3" fillId="3" borderId="14" xfId="0" applyFont="1" applyFill="1" applyBorder="1" applyAlignment="1">
      <alignment vertical="top" textRotation="255" shrinkToFit="1"/>
    </xf>
    <xf numFmtId="0" fontId="3" fillId="0" borderId="14" xfId="0" applyFont="1" applyFill="1" applyBorder="1" applyAlignment="1">
      <alignment horizontal="right" vertical="center"/>
    </xf>
    <xf numFmtId="0" fontId="16"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9"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3" fillId="0" borderId="14" xfId="0" applyFont="1" applyBorder="1" applyAlignment="1" applyProtection="1">
      <alignment horizontal="center" vertical="center"/>
      <protection locked="0"/>
    </xf>
    <xf numFmtId="0" fontId="15" fillId="0" borderId="14" xfId="0" applyFont="1" applyBorder="1" applyAlignment="1" applyProtection="1">
      <alignment vertical="center" shrinkToFit="1"/>
      <protection locked="0"/>
    </xf>
    <xf numFmtId="0" fontId="0" fillId="0" borderId="14" xfId="0" applyBorder="1" applyProtection="1">
      <alignment vertical="center"/>
      <protection locked="0"/>
    </xf>
    <xf numFmtId="0" fontId="3" fillId="0" borderId="30" xfId="0" applyFont="1" applyBorder="1" applyAlignment="1" applyProtection="1">
      <alignment vertical="center" wrapText="1" shrinkToFit="1"/>
      <protection locked="0"/>
    </xf>
    <xf numFmtId="0" fontId="9" fillId="0" borderId="0" xfId="0" applyFont="1" applyProtection="1">
      <alignment vertical="center"/>
      <protection locked="0"/>
    </xf>
    <xf numFmtId="0" fontId="3" fillId="8" borderId="0" xfId="0" applyFont="1" applyFill="1" applyAlignment="1">
      <alignment horizontal="left" vertical="center" wrapText="1"/>
    </xf>
    <xf numFmtId="0" fontId="3" fillId="3" borderId="14" xfId="0" applyFont="1" applyFill="1" applyBorder="1" applyProtection="1">
      <alignment vertical="center"/>
      <protection locked="0"/>
    </xf>
    <xf numFmtId="0" fontId="3" fillId="0" borderId="0" xfId="0" applyFont="1" applyAlignment="1">
      <alignment horizontal="center" vertical="center"/>
    </xf>
    <xf numFmtId="0" fontId="3" fillId="3" borderId="14" xfId="0" applyFont="1" applyFill="1" applyBorder="1">
      <alignment vertical="center"/>
    </xf>
    <xf numFmtId="0" fontId="2" fillId="0" borderId="14" xfId="0" applyFont="1" applyBorder="1" applyProtection="1">
      <alignment vertical="center"/>
      <protection locked="0"/>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16" xfId="0" applyFont="1" applyFill="1" applyBorder="1" applyAlignment="1">
      <alignment horizontal="left" vertical="center" shrinkToFit="1"/>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Font="1" applyBorder="1" applyAlignment="1" applyProtection="1">
      <alignment horizontal="left" vertical="top" wrapText="1"/>
      <protection locked="0"/>
    </xf>
    <xf numFmtId="0" fontId="3" fillId="0" borderId="31"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11" fillId="7" borderId="30" xfId="0" applyFont="1" applyFill="1" applyBorder="1" applyAlignment="1">
      <alignment horizontal="center" vertical="center"/>
    </xf>
    <xf numFmtId="0" fontId="11" fillId="7" borderId="31" xfId="0" applyFont="1" applyFill="1" applyBorder="1" applyAlignment="1">
      <alignment horizontal="center" vertical="center"/>
    </xf>
    <xf numFmtId="0" fontId="11" fillId="7" borderId="32" xfId="0"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25">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3"/>
  <sheetViews>
    <sheetView tabSelected="1" view="pageBreakPreview" zoomScaleNormal="85" zoomScaleSheetLayoutView="100" workbookViewId="0">
      <selection activeCell="N11" sqref="N11"/>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36" t="str">
        <f ca="1">MID(CELL("filename",A1),FIND("[",CELL("filename",A1))+1,3)</f>
        <v>３－１</v>
      </c>
      <c r="B1" s="136"/>
      <c r="C1" s="137" t="str">
        <f ca="1">RIGHT(LEFT(CELL("filename",A1),FIND("[",CELL("filename",A1))-2),3)</f>
        <v>1学期</v>
      </c>
      <c r="D1" s="137"/>
      <c r="E1" s="137"/>
      <c r="F1" s="137"/>
      <c r="G1" s="137"/>
      <c r="H1" s="5"/>
      <c r="I1" s="5"/>
    </row>
    <row r="2" spans="1:17" ht="18.75" customHeight="1">
      <c r="A2" s="2" t="s">
        <v>18</v>
      </c>
      <c r="B2" s="1">
        <v>18</v>
      </c>
      <c r="F2" s="4" t="s">
        <v>17</v>
      </c>
      <c r="G2" s="138" t="str">
        <f ca="1">INDIRECT("'所見'!A"&amp;12+$B$2)</f>
        <v>三代澤 侑</v>
      </c>
      <c r="H2" s="138"/>
      <c r="I2" s="138"/>
    </row>
    <row r="3" spans="1:17" ht="12" customHeight="1">
      <c r="C3" s="9"/>
      <c r="D3" s="9"/>
      <c r="E3" s="9"/>
      <c r="F3" s="9"/>
      <c r="G3" s="9"/>
      <c r="H3" s="9"/>
      <c r="I3" s="9"/>
    </row>
    <row r="4" spans="1:17" ht="18.75" customHeight="1">
      <c r="A4" s="125" t="s">
        <v>19</v>
      </c>
      <c r="B4" s="126"/>
      <c r="C4" s="126"/>
      <c r="D4" s="126"/>
      <c r="E4" s="126"/>
      <c r="F4" s="126"/>
      <c r="G4" s="126"/>
      <c r="H4" s="126"/>
      <c r="I4" s="127"/>
    </row>
    <row r="5" spans="1:17" ht="18.75" customHeight="1">
      <c r="A5" s="19" t="s">
        <v>4</v>
      </c>
      <c r="B5" s="144" t="s">
        <v>5</v>
      </c>
      <c r="C5" s="144"/>
      <c r="D5" s="144"/>
      <c r="E5" s="144"/>
      <c r="F5" s="144"/>
      <c r="G5" s="20" t="s">
        <v>6</v>
      </c>
      <c r="H5" s="144" t="s">
        <v>7</v>
      </c>
      <c r="I5" s="145"/>
      <c r="Q5" s="73">
        <v>35</v>
      </c>
    </row>
    <row r="6" spans="1:17" ht="18.75" customHeight="1" thickBot="1">
      <c r="A6" s="93" t="s">
        <v>8</v>
      </c>
      <c r="B6" s="96" t="str">
        <f>国語!B2</f>
        <v>国語に関心を持ち、進んで読んだり、書いたり、理解したりしている</v>
      </c>
      <c r="C6" s="97"/>
      <c r="D6" s="97"/>
      <c r="E6" s="97"/>
      <c r="F6" s="98"/>
      <c r="G6" s="21" t="str">
        <f ca="1">OFFSET(国語!C2,0,$B$2)</f>
        <v>B</v>
      </c>
      <c r="H6" s="99">
        <f ca="1">OFFSET(国語!C12,0,$B$2)</f>
        <v>3</v>
      </c>
      <c r="I6" s="100"/>
      <c r="O6" s="8">
        <v>1</v>
      </c>
      <c r="P6" s="55" t="str">
        <f ca="1">INDIRECT("'出欠'!A"&amp;9+O6)</f>
        <v>天野 皓仁</v>
      </c>
    </row>
    <row r="7" spans="1:17" ht="18.75" customHeight="1" thickBot="1">
      <c r="A7" s="94"/>
      <c r="B7" s="103" t="str">
        <f>国語!B3</f>
        <v>登場人物や場面の様子を考えて内容がわかるように音読ができる</v>
      </c>
      <c r="C7" s="104"/>
      <c r="D7" s="104"/>
      <c r="E7" s="104"/>
      <c r="F7" s="105"/>
      <c r="G7" s="17" t="str">
        <f ca="1">OFFSET(国語!C3,0,$B$2)</f>
        <v>B</v>
      </c>
      <c r="H7" s="101"/>
      <c r="I7" s="102"/>
      <c r="K7" s="139" t="s">
        <v>40</v>
      </c>
      <c r="L7" s="140"/>
      <c r="O7" s="8">
        <v>2</v>
      </c>
      <c r="P7" s="55" t="str">
        <f t="shared" ref="P7:P30" ca="1" si="0">INDIRECT("'出欠'!A"&amp;9+O7)</f>
        <v>伊藤 滉都</v>
      </c>
    </row>
    <row r="8" spans="1:17" ht="18.75" customHeight="1" thickBot="1">
      <c r="A8" s="94"/>
      <c r="B8" s="103" t="str">
        <f>国語!B4</f>
        <v>話の中心に気を付けて聞き、質問をすることができる</v>
      </c>
      <c r="C8" s="104"/>
      <c r="D8" s="104"/>
      <c r="E8" s="104"/>
      <c r="F8" s="105"/>
      <c r="G8" s="17" t="str">
        <f ca="1">OFFSET(国語!C4,0,$B$2)</f>
        <v>B</v>
      </c>
      <c r="H8" s="101"/>
      <c r="I8" s="102"/>
      <c r="K8" s="54" t="s">
        <v>41</v>
      </c>
      <c r="L8" s="54" t="s">
        <v>42</v>
      </c>
      <c r="O8" s="8">
        <v>3</v>
      </c>
      <c r="P8" s="55" t="str">
        <f t="shared" ca="1" si="0"/>
        <v>大月 碧唯</v>
      </c>
    </row>
    <row r="9" spans="1:17" ht="18.75" customHeight="1" thickBot="1">
      <c r="A9" s="94"/>
      <c r="B9" s="103" t="str">
        <f>国語!B5</f>
        <v>自分の考えとその理由や登場人物の行動や気持ちをまとめて書くことができる</v>
      </c>
      <c r="C9" s="104"/>
      <c r="D9" s="104"/>
      <c r="E9" s="104"/>
      <c r="F9" s="105"/>
      <c r="G9" s="17" t="str">
        <f ca="1">OFFSET(国語!C5,0,$B$2)</f>
        <v>A</v>
      </c>
      <c r="H9" s="101"/>
      <c r="I9" s="102"/>
      <c r="K9" s="53">
        <v>17</v>
      </c>
      <c r="L9" s="53">
        <v>17</v>
      </c>
      <c r="O9" s="8">
        <v>4</v>
      </c>
      <c r="P9" s="55" t="str">
        <f t="shared" ca="1" si="0"/>
        <v>小栗 望愛</v>
      </c>
    </row>
    <row r="10" spans="1:17" ht="18.75" customHeight="1">
      <c r="A10" s="94"/>
      <c r="B10" s="103" t="str">
        <f>国語!B6</f>
        <v>登場人物の気持ちや場面の変化、情景を想像して読むことができる</v>
      </c>
      <c r="C10" s="104"/>
      <c r="D10" s="104"/>
      <c r="E10" s="104"/>
      <c r="F10" s="105"/>
      <c r="G10" s="17" t="str">
        <f ca="1">OFFSET(国語!C6,0,$B$2)</f>
        <v>B</v>
      </c>
      <c r="H10" s="101"/>
      <c r="I10" s="102"/>
      <c r="O10" s="8">
        <v>5</v>
      </c>
      <c r="P10" s="55" t="str">
        <f t="shared" ca="1" si="0"/>
        <v>金子 愛弥</v>
      </c>
    </row>
    <row r="11" spans="1:17" ht="18.75" customHeight="1">
      <c r="A11" s="94"/>
      <c r="B11" s="103" t="str">
        <f>国語!B7</f>
        <v>中心となる語や文をとらえ、段落の関係や事実、意見との関係を考えて読むことができる</v>
      </c>
      <c r="C11" s="104"/>
      <c r="D11" s="104"/>
      <c r="E11" s="104"/>
      <c r="F11" s="105"/>
      <c r="G11" s="17" t="str">
        <f ca="1">OFFSET(国語!C7,0,$B$2)</f>
        <v>A</v>
      </c>
      <c r="H11" s="101"/>
      <c r="I11" s="102"/>
      <c r="O11" s="8">
        <v>6</v>
      </c>
      <c r="P11" s="55" t="str">
        <f t="shared" ca="1" si="0"/>
        <v>久保田 進之介</v>
      </c>
    </row>
    <row r="12" spans="1:17" ht="18.75" customHeight="1">
      <c r="A12" s="94"/>
      <c r="B12" s="103" t="str">
        <f>国語!B8</f>
        <v>国語辞典の使い方や漢字の音訓、こそあど言葉を正しく理解することができる</v>
      </c>
      <c r="C12" s="104"/>
      <c r="D12" s="104"/>
      <c r="E12" s="104"/>
      <c r="F12" s="105"/>
      <c r="G12" s="17" t="str">
        <f ca="1">OFFSET(国語!C8,0,$B$2)</f>
        <v>C</v>
      </c>
      <c r="H12" s="101"/>
      <c r="I12" s="102"/>
      <c r="O12" s="8">
        <v>7</v>
      </c>
      <c r="P12" s="55" t="str">
        <f t="shared" ca="1" si="0"/>
        <v>後藤 碧志</v>
      </c>
    </row>
    <row r="13" spans="1:17" ht="18.75" customHeight="1">
      <c r="A13" s="94"/>
      <c r="B13" s="103" t="str">
        <f>国語!B9</f>
        <v>学習した漢字を読み書きし、理解することができる</v>
      </c>
      <c r="C13" s="104"/>
      <c r="D13" s="104"/>
      <c r="E13" s="104"/>
      <c r="F13" s="105"/>
      <c r="G13" s="17" t="str">
        <f ca="1">OFFSET(国語!C9,0,$B$2)</f>
        <v>C</v>
      </c>
      <c r="H13" s="101"/>
      <c r="I13" s="102"/>
      <c r="O13" s="8">
        <v>8</v>
      </c>
      <c r="P13" s="55" t="str">
        <f t="shared" ca="1" si="0"/>
        <v>小松 由伎乃</v>
      </c>
    </row>
    <row r="14" spans="1:17" ht="18.75" customHeight="1">
      <c r="A14" s="94"/>
      <c r="B14" s="103" t="str">
        <f>国語!B10</f>
        <v>正しい姿勢と鉛筆の持ち方で、丁寧な字を書くことができる</v>
      </c>
      <c r="C14" s="104"/>
      <c r="D14" s="104"/>
      <c r="E14" s="104"/>
      <c r="F14" s="105"/>
      <c r="G14" s="17" t="str">
        <f ca="1">OFFSET(国語!C10,0,$B$2)</f>
        <v>B</v>
      </c>
      <c r="H14" s="101"/>
      <c r="I14" s="102"/>
      <c r="O14" s="8">
        <v>9</v>
      </c>
      <c r="P14" s="55" t="str">
        <f t="shared" ca="1" si="0"/>
        <v>上甲 稜大</v>
      </c>
    </row>
    <row r="15" spans="1:17" ht="18.75" customHeight="1">
      <c r="A15" s="95"/>
      <c r="B15" s="103">
        <f>国語!B11</f>
        <v>0</v>
      </c>
      <c r="C15" s="104"/>
      <c r="D15" s="104"/>
      <c r="E15" s="104"/>
      <c r="F15" s="105"/>
      <c r="G15" s="18">
        <f ca="1">OFFSET(国語!C11,0,$B$2)</f>
        <v>0</v>
      </c>
      <c r="H15" s="101"/>
      <c r="I15" s="102"/>
      <c r="O15" s="8">
        <v>10</v>
      </c>
      <c r="P15" s="55" t="str">
        <f t="shared" ca="1" si="0"/>
        <v>辛 夏姫</v>
      </c>
    </row>
    <row r="16" spans="1:17" ht="18.75" customHeight="1">
      <c r="A16" s="93" t="s">
        <v>0</v>
      </c>
      <c r="B16" s="96" t="str">
        <f>算数!B2</f>
        <v>算数に関心を持ち、進んで新しい単元の習得をしたり、問題を解いたりすることができる</v>
      </c>
      <c r="C16" s="97"/>
      <c r="D16" s="97"/>
      <c r="E16" s="97"/>
      <c r="F16" s="98"/>
      <c r="G16" s="21" t="str">
        <f ca="1">OFFSET(算数!C2,0,$B$2)</f>
        <v>A</v>
      </c>
      <c r="H16" s="99">
        <f ca="1">OFFSET(算数!C12,0,$B$2)</f>
        <v>5</v>
      </c>
      <c r="I16" s="100"/>
      <c r="O16" s="8">
        <v>11</v>
      </c>
      <c r="P16" s="55" t="str">
        <f t="shared" ca="1" si="0"/>
        <v>新原 海</v>
      </c>
    </row>
    <row r="17" spans="1:16" ht="18.75" customHeight="1">
      <c r="A17" s="94"/>
      <c r="B17" s="103" t="str">
        <f>算数!B3</f>
        <v>かけ算の決まりを使って１０や０のかけ算の仕組みを理解し、計算することができる</v>
      </c>
      <c r="C17" s="104"/>
      <c r="D17" s="104"/>
      <c r="E17" s="104"/>
      <c r="F17" s="105"/>
      <c r="G17" s="17" t="str">
        <f ca="1">OFFSET(算数!C3,0,$B$2)</f>
        <v>A</v>
      </c>
      <c r="H17" s="101"/>
      <c r="I17" s="102"/>
      <c r="L17" s="30"/>
      <c r="M17" s="30"/>
      <c r="O17" s="8">
        <v>12</v>
      </c>
      <c r="P17" s="55" t="str">
        <f t="shared" ca="1" si="0"/>
        <v>田中 咲</v>
      </c>
    </row>
    <row r="18" spans="1:16" ht="18.75" customHeight="1">
      <c r="A18" s="94"/>
      <c r="B18" s="103" t="str">
        <f>算数!B4</f>
        <v>時刻や時間を計算によって求めたり、秒の単位を理解したりすることができる</v>
      </c>
      <c r="C18" s="104"/>
      <c r="D18" s="104"/>
      <c r="E18" s="104"/>
      <c r="F18" s="105"/>
      <c r="G18" s="17" t="str">
        <f ca="1">OFFSET(算数!C4,0,$B$2)</f>
        <v>A</v>
      </c>
      <c r="H18" s="101"/>
      <c r="I18" s="102"/>
      <c r="L18" s="30"/>
      <c r="M18" s="30"/>
      <c r="O18" s="8">
        <v>13</v>
      </c>
      <c r="P18" s="55" t="str">
        <f t="shared" ca="1" si="0"/>
        <v>永原 愛瑠</v>
      </c>
    </row>
    <row r="19" spans="1:16" ht="18.75" customHeight="1">
      <c r="A19" s="94"/>
      <c r="B19" s="103" t="str">
        <f>算数!B5</f>
        <v>わり算の意味を理解し、式に表したり計算したりすることができる</v>
      </c>
      <c r="C19" s="104"/>
      <c r="D19" s="104"/>
      <c r="E19" s="104"/>
      <c r="F19" s="105"/>
      <c r="G19" s="17" t="str">
        <f ca="1">OFFSET(算数!C5,0,$B$2)</f>
        <v>A</v>
      </c>
      <c r="H19" s="101"/>
      <c r="I19" s="102"/>
      <c r="L19" s="74">
        <f>番号</f>
        <v>18</v>
      </c>
      <c r="M19" s="30"/>
      <c r="O19" s="8">
        <v>14</v>
      </c>
      <c r="P19" s="55" t="str">
        <f t="shared" ca="1" si="0"/>
        <v>中村 隼人</v>
      </c>
    </row>
    <row r="20" spans="1:16" ht="18.75" customHeight="1">
      <c r="A20" s="94"/>
      <c r="B20" s="103" t="str">
        <f>算数!B6</f>
        <v>３けたや４けたの数のたし算・ひき算を、筆算を使って計算することができる</v>
      </c>
      <c r="C20" s="104"/>
      <c r="D20" s="104"/>
      <c r="E20" s="104"/>
      <c r="F20" s="105"/>
      <c r="G20" s="17" t="str">
        <f ca="1">OFFSET(算数!C6,0,$B$2)</f>
        <v>A</v>
      </c>
      <c r="H20" s="101"/>
      <c r="I20" s="102"/>
      <c r="L20" s="30"/>
      <c r="M20" s="30"/>
      <c r="O20" s="8">
        <v>15</v>
      </c>
      <c r="P20" s="55" t="str">
        <f t="shared" ca="1" si="0"/>
        <v>濱 丈士</v>
      </c>
    </row>
    <row r="21" spans="1:16" ht="18.75" customHeight="1">
      <c r="A21" s="94"/>
      <c r="B21" s="103">
        <f>算数!B7</f>
        <v>0</v>
      </c>
      <c r="C21" s="104"/>
      <c r="D21" s="104"/>
      <c r="E21" s="104"/>
      <c r="F21" s="105"/>
      <c r="G21" s="17">
        <f ca="1">OFFSET(算数!C7,0,$B$2)</f>
        <v>0</v>
      </c>
      <c r="H21" s="101"/>
      <c r="I21" s="102"/>
      <c r="O21" s="8">
        <v>16</v>
      </c>
      <c r="P21" s="55" t="str">
        <f t="shared" ca="1" si="0"/>
        <v>林 奏多</v>
      </c>
    </row>
    <row r="22" spans="1:16" ht="18.75" customHeight="1">
      <c r="A22" s="94"/>
      <c r="B22" s="103">
        <f>算数!B8</f>
        <v>0</v>
      </c>
      <c r="C22" s="104"/>
      <c r="D22" s="104"/>
      <c r="E22" s="104"/>
      <c r="F22" s="105"/>
      <c r="G22" s="17">
        <f ca="1">OFFSET(算数!C8,0,$B$2)</f>
        <v>0</v>
      </c>
      <c r="H22" s="101"/>
      <c r="I22" s="102"/>
      <c r="O22" s="8">
        <v>17</v>
      </c>
      <c r="P22" s="55" t="str">
        <f t="shared" ca="1" si="0"/>
        <v>三浦 遥希</v>
      </c>
    </row>
    <row r="23" spans="1:16" ht="18.75" customHeight="1">
      <c r="A23" s="94"/>
      <c r="B23" s="103">
        <f>算数!B9</f>
        <v>0</v>
      </c>
      <c r="C23" s="104"/>
      <c r="D23" s="104"/>
      <c r="E23" s="104"/>
      <c r="F23" s="105"/>
      <c r="G23" s="17">
        <f ca="1">OFFSET(算数!C9,0,$B$2)</f>
        <v>0</v>
      </c>
      <c r="H23" s="101"/>
      <c r="I23" s="102"/>
      <c r="O23" s="8">
        <v>18</v>
      </c>
      <c r="P23" s="55" t="str">
        <f t="shared" ca="1" si="0"/>
        <v>三代澤 侑</v>
      </c>
    </row>
    <row r="24" spans="1:16" ht="18.75" customHeight="1">
      <c r="A24" s="94"/>
      <c r="B24" s="103">
        <f>算数!B10</f>
        <v>0</v>
      </c>
      <c r="C24" s="104"/>
      <c r="D24" s="104"/>
      <c r="E24" s="104"/>
      <c r="F24" s="105"/>
      <c r="G24" s="17">
        <f ca="1">OFFSET(算数!C10,0,$B$2)</f>
        <v>0</v>
      </c>
      <c r="H24" s="101"/>
      <c r="I24" s="102"/>
      <c r="O24" s="8">
        <v>19</v>
      </c>
      <c r="P24" s="55" t="str">
        <f t="shared" ca="1" si="0"/>
        <v>安永 理人</v>
      </c>
    </row>
    <row r="25" spans="1:16" ht="18.75" customHeight="1">
      <c r="A25" s="95"/>
      <c r="B25" s="103">
        <f>算数!B11</f>
        <v>0</v>
      </c>
      <c r="C25" s="104"/>
      <c r="D25" s="104"/>
      <c r="E25" s="104"/>
      <c r="F25" s="105"/>
      <c r="G25" s="18">
        <f ca="1">OFFSET(算数!C11,0,$B$2)</f>
        <v>0</v>
      </c>
      <c r="H25" s="101"/>
      <c r="I25" s="102"/>
      <c r="O25" s="8">
        <v>20</v>
      </c>
      <c r="P25" s="55" t="str">
        <f t="shared" ca="1" si="0"/>
        <v>山崎 結介</v>
      </c>
    </row>
    <row r="26" spans="1:16" ht="18.75" customHeight="1">
      <c r="A26" s="93" t="s">
        <v>50</v>
      </c>
      <c r="B26" s="96" t="str">
        <f>理科!B2</f>
        <v>身のまわりの自然の中での出来事や現象について関心を持ち、疑問を解決することができる</v>
      </c>
      <c r="C26" s="97"/>
      <c r="D26" s="97"/>
      <c r="E26" s="97"/>
      <c r="F26" s="98"/>
      <c r="G26" s="21" t="str">
        <f ca="1">OFFSET(理科!C2,0,$B$2)</f>
        <v>A</v>
      </c>
      <c r="H26" s="99">
        <f ca="1">OFFSET(理科!C12,0,$B$2)</f>
        <v>5</v>
      </c>
      <c r="I26" s="100"/>
      <c r="O26" s="8">
        <v>21</v>
      </c>
      <c r="P26" s="55" t="str">
        <f t="shared" ca="1" si="0"/>
        <v>湯淺 創太</v>
      </c>
    </row>
    <row r="27" spans="1:16" ht="18.75" customHeight="1">
      <c r="A27" s="94"/>
      <c r="B27" s="103" t="str">
        <f>理科!B3</f>
        <v>実験や観察などを工夫して行い、丁寧に観察したり発表したりすることができる</v>
      </c>
      <c r="C27" s="104"/>
      <c r="D27" s="104"/>
      <c r="E27" s="104"/>
      <c r="F27" s="105"/>
      <c r="G27" s="17" t="str">
        <f ca="1">OFFSET(理科!C3,0,$B$2)</f>
        <v>A</v>
      </c>
      <c r="H27" s="101"/>
      <c r="I27" s="102"/>
      <c r="O27" s="8">
        <v>22</v>
      </c>
      <c r="P27" s="55">
        <f t="shared" ca="1" si="0"/>
        <v>0</v>
      </c>
    </row>
    <row r="28" spans="1:16" ht="18.75" customHeight="1">
      <c r="A28" s="94"/>
      <c r="B28" s="103" t="str">
        <f>理科!B4</f>
        <v>身近な生き物に興味を持ち、観察の仕方や記録の仕方について理解することができる</v>
      </c>
      <c r="C28" s="104"/>
      <c r="D28" s="104"/>
      <c r="E28" s="104"/>
      <c r="F28" s="105"/>
      <c r="G28" s="17" t="str">
        <f ca="1">OFFSET(理科!C4,0,$B$2)</f>
        <v>A</v>
      </c>
      <c r="H28" s="101"/>
      <c r="I28" s="102"/>
      <c r="O28" s="8">
        <v>23</v>
      </c>
      <c r="P28" s="55">
        <f t="shared" ca="1" si="0"/>
        <v>0</v>
      </c>
    </row>
    <row r="29" spans="1:16" ht="18.75" customHeight="1">
      <c r="A29" s="94"/>
      <c r="B29" s="103" t="str">
        <f>理科!B5</f>
        <v>様々な植物の種子の発芽や育ち方を理解することができる</v>
      </c>
      <c r="C29" s="104"/>
      <c r="D29" s="104"/>
      <c r="E29" s="104"/>
      <c r="F29" s="105"/>
      <c r="G29" s="17" t="str">
        <f ca="1">OFFSET(理科!C5,0,$B$2)</f>
        <v>A</v>
      </c>
      <c r="H29" s="101"/>
      <c r="I29" s="102"/>
      <c r="O29" s="8">
        <v>24</v>
      </c>
      <c r="P29" s="55">
        <f t="shared" ca="1" si="0"/>
        <v>0</v>
      </c>
    </row>
    <row r="30" spans="1:16" ht="18.75" customHeight="1">
      <c r="A30" s="94"/>
      <c r="B30" s="103" t="str">
        <f>理科!B6</f>
        <v>昆虫の育ち方やチョウのからだのつくりを理解することができる</v>
      </c>
      <c r="C30" s="104"/>
      <c r="D30" s="104"/>
      <c r="E30" s="104"/>
      <c r="F30" s="105"/>
      <c r="G30" s="17" t="str">
        <f ca="1">OFFSET(理科!C6,0,$B$2)</f>
        <v>A</v>
      </c>
      <c r="H30" s="101"/>
      <c r="I30" s="102"/>
      <c r="O30" s="8">
        <v>25</v>
      </c>
      <c r="P30" s="55">
        <f t="shared" ca="1" si="0"/>
        <v>0</v>
      </c>
    </row>
    <row r="31" spans="1:16" ht="18.75" customHeight="1">
      <c r="A31" s="94"/>
      <c r="B31" s="103">
        <f>理科!B7</f>
        <v>0</v>
      </c>
      <c r="C31" s="104"/>
      <c r="D31" s="104"/>
      <c r="E31" s="104"/>
      <c r="F31" s="105"/>
      <c r="G31" s="17">
        <f ca="1">OFFSET(理科!C7,0,$B$2)</f>
        <v>0</v>
      </c>
      <c r="H31" s="101"/>
      <c r="I31" s="102"/>
    </row>
    <row r="32" spans="1:16" ht="18.75" customHeight="1">
      <c r="A32" s="94"/>
      <c r="B32" s="103">
        <f>理科!B8</f>
        <v>0</v>
      </c>
      <c r="C32" s="104"/>
      <c r="D32" s="104"/>
      <c r="E32" s="104"/>
      <c r="F32" s="105"/>
      <c r="G32" s="17">
        <f ca="1">OFFSET(理科!C8,0,$B$2)</f>
        <v>0</v>
      </c>
      <c r="H32" s="101"/>
      <c r="I32" s="102"/>
    </row>
    <row r="33" spans="1:9" ht="18.75" customHeight="1">
      <c r="A33" s="94"/>
      <c r="B33" s="103">
        <f>理科!B9</f>
        <v>0</v>
      </c>
      <c r="C33" s="104"/>
      <c r="D33" s="104"/>
      <c r="E33" s="104"/>
      <c r="F33" s="105"/>
      <c r="G33" s="17">
        <f ca="1">OFFSET(理科!C9,0,$B$2)</f>
        <v>0</v>
      </c>
      <c r="H33" s="101"/>
      <c r="I33" s="102"/>
    </row>
    <row r="34" spans="1:9" ht="18.75" customHeight="1">
      <c r="A34" s="94"/>
      <c r="B34" s="103">
        <f>理科!B10</f>
        <v>0</v>
      </c>
      <c r="C34" s="104"/>
      <c r="D34" s="104"/>
      <c r="E34" s="104"/>
      <c r="F34" s="105"/>
      <c r="G34" s="17">
        <f ca="1">OFFSET(理科!C10,0,$B$2)</f>
        <v>0</v>
      </c>
      <c r="H34" s="101"/>
      <c r="I34" s="102"/>
    </row>
    <row r="35" spans="1:9" ht="18.75" customHeight="1">
      <c r="A35" s="95"/>
      <c r="B35" s="103">
        <f>理科!B11</f>
        <v>0</v>
      </c>
      <c r="C35" s="104"/>
      <c r="D35" s="104"/>
      <c r="E35" s="104"/>
      <c r="F35" s="105"/>
      <c r="G35" s="18">
        <f ca="1">OFFSET(理科!C11,0,$B$2)</f>
        <v>0</v>
      </c>
      <c r="H35" s="101"/>
      <c r="I35" s="102"/>
    </row>
    <row r="36" spans="1:9" ht="18.75" customHeight="1">
      <c r="A36" s="93" t="s">
        <v>51</v>
      </c>
      <c r="B36" s="96" t="str">
        <f>社会!B2</f>
        <v>身近な地域に興味を持ち、意欲的に見たり聞いたり調べたりすることができる</v>
      </c>
      <c r="C36" s="97"/>
      <c r="D36" s="97"/>
      <c r="E36" s="97"/>
      <c r="F36" s="98"/>
      <c r="G36" s="21" t="str">
        <f ca="1">OFFSET(社会!C2,0,$B$2)</f>
        <v>B</v>
      </c>
      <c r="H36" s="99">
        <f ca="1">OFFSET(社会!C12,0,$B$2)</f>
        <v>3</v>
      </c>
      <c r="I36" s="100"/>
    </row>
    <row r="37" spans="1:9" ht="18.75" customHeight="1">
      <c r="A37" s="94"/>
      <c r="B37" s="103" t="str">
        <f>社会!B3</f>
        <v>地図記号や方角について理解し、地図を読み取ることができる</v>
      </c>
      <c r="C37" s="104"/>
      <c r="D37" s="104"/>
      <c r="E37" s="104"/>
      <c r="F37" s="105"/>
      <c r="G37" s="17" t="str">
        <f ca="1">OFFSET(社会!C3,0,$B$2)</f>
        <v>B</v>
      </c>
      <c r="H37" s="101"/>
      <c r="I37" s="102"/>
    </row>
    <row r="38" spans="1:9" ht="18.75" customHeight="1">
      <c r="A38" s="94"/>
      <c r="B38" s="103" t="str">
        <f>社会!B4</f>
        <v>身近な地域の様子を調べ、場所による様子の違いを考えることができる</v>
      </c>
      <c r="C38" s="104"/>
      <c r="D38" s="104"/>
      <c r="E38" s="104"/>
      <c r="F38" s="105"/>
      <c r="G38" s="17" t="str">
        <f ca="1">OFFSET(社会!C4,0,$B$2)</f>
        <v>B</v>
      </c>
      <c r="H38" s="101"/>
      <c r="I38" s="102"/>
    </row>
    <row r="39" spans="1:9" ht="18.75" customHeight="1">
      <c r="A39" s="94"/>
      <c r="B39" s="103" t="str">
        <f>社会!B5</f>
        <v>地図を読み取ったり、写真を見たりしながら、松本市の特徴や様子を考えることができる</v>
      </c>
      <c r="C39" s="104"/>
      <c r="D39" s="104"/>
      <c r="E39" s="104"/>
      <c r="F39" s="105"/>
      <c r="G39" s="17" t="str">
        <f ca="1">OFFSET(社会!C5,0,$B$2)</f>
        <v>B</v>
      </c>
      <c r="H39" s="101"/>
      <c r="I39" s="102"/>
    </row>
    <row r="40" spans="1:9" ht="18.75" customHeight="1">
      <c r="A40" s="94"/>
      <c r="B40" s="103">
        <f>社会!B6</f>
        <v>0</v>
      </c>
      <c r="C40" s="104"/>
      <c r="D40" s="104"/>
      <c r="E40" s="104"/>
      <c r="F40" s="105"/>
      <c r="G40" s="17">
        <f ca="1">OFFSET(社会!C6,0,$B$2)</f>
        <v>0</v>
      </c>
      <c r="H40" s="101"/>
      <c r="I40" s="102"/>
    </row>
    <row r="41" spans="1:9" ht="18.75" customHeight="1">
      <c r="A41" s="94"/>
      <c r="B41" s="103">
        <f>社会!B7</f>
        <v>0</v>
      </c>
      <c r="C41" s="104"/>
      <c r="D41" s="104"/>
      <c r="E41" s="104"/>
      <c r="F41" s="105"/>
      <c r="G41" s="17">
        <f ca="1">OFFSET(社会!C7,0,$B$2)</f>
        <v>0</v>
      </c>
      <c r="H41" s="101"/>
      <c r="I41" s="102"/>
    </row>
    <row r="42" spans="1:9" ht="18.75" customHeight="1">
      <c r="A42" s="94"/>
      <c r="B42" s="103">
        <f>社会!B8</f>
        <v>0</v>
      </c>
      <c r="C42" s="104"/>
      <c r="D42" s="104"/>
      <c r="E42" s="104"/>
      <c r="F42" s="105"/>
      <c r="G42" s="17">
        <f ca="1">OFFSET(社会!C8,0,$B$2)</f>
        <v>0</v>
      </c>
      <c r="H42" s="101"/>
      <c r="I42" s="102"/>
    </row>
    <row r="43" spans="1:9" ht="18.75" customHeight="1">
      <c r="A43" s="94"/>
      <c r="B43" s="103">
        <f>社会!B9</f>
        <v>0</v>
      </c>
      <c r="C43" s="104"/>
      <c r="D43" s="104"/>
      <c r="E43" s="104"/>
      <c r="F43" s="105"/>
      <c r="G43" s="17">
        <f ca="1">OFFSET(社会!C9,0,$B$2)</f>
        <v>0</v>
      </c>
      <c r="H43" s="101"/>
      <c r="I43" s="102"/>
    </row>
    <row r="44" spans="1:9" ht="18.75" customHeight="1">
      <c r="A44" s="95"/>
      <c r="B44" s="103">
        <f>社会!B10</f>
        <v>0</v>
      </c>
      <c r="C44" s="104"/>
      <c r="D44" s="104"/>
      <c r="E44" s="104"/>
      <c r="F44" s="105"/>
      <c r="G44" s="18">
        <f ca="1">OFFSET(社会!C10,0,$B$2)</f>
        <v>0</v>
      </c>
      <c r="H44" s="101"/>
      <c r="I44" s="102"/>
    </row>
    <row r="45" spans="1:9" ht="18.75" customHeight="1">
      <c r="A45" s="93" t="s">
        <v>9</v>
      </c>
      <c r="B45" s="96" t="str">
        <f>英語!B2</f>
        <v>英語学習に楽しみを感じ、意欲的に学習に励むことができる</v>
      </c>
      <c r="C45" s="97"/>
      <c r="D45" s="97"/>
      <c r="E45" s="97"/>
      <c r="F45" s="98"/>
      <c r="G45" s="21" t="str">
        <f ca="1">OFFSET(英語!C2,0,$B$2)</f>
        <v>B</v>
      </c>
      <c r="H45" s="99">
        <f ca="1">OFFSET(英語!C12,0,$B$2)</f>
        <v>4</v>
      </c>
      <c r="I45" s="100"/>
    </row>
    <row r="46" spans="1:9" ht="18.75" customHeight="1">
      <c r="A46" s="94"/>
      <c r="B46" s="103" t="str">
        <f>英語!B3</f>
        <v>英語で会話をしたり、友だちとスキットをしたりすることができる</v>
      </c>
      <c r="C46" s="104"/>
      <c r="D46" s="104"/>
      <c r="E46" s="104"/>
      <c r="F46" s="105"/>
      <c r="G46" s="17" t="str">
        <f ca="1">OFFSET(英語!C3,0,$B$2)</f>
        <v>A</v>
      </c>
      <c r="H46" s="101"/>
      <c r="I46" s="102"/>
    </row>
    <row r="47" spans="1:9" ht="18.75" customHeight="1">
      <c r="A47" s="94"/>
      <c r="B47" s="103" t="str">
        <f>英語!B4</f>
        <v>身の回りにあるもの（名詞）、日常生活の動作（動詞）、人や物を説明する言葉（形容詞）を習得することができる</v>
      </c>
      <c r="C47" s="104"/>
      <c r="D47" s="104"/>
      <c r="E47" s="104"/>
      <c r="F47" s="105"/>
      <c r="G47" s="17" t="str">
        <f ca="1">OFFSET(英語!C4,0,$B$2)</f>
        <v>C</v>
      </c>
      <c r="H47" s="101"/>
      <c r="I47" s="102"/>
    </row>
    <row r="48" spans="1:9" ht="18.75" customHeight="1">
      <c r="A48" s="94"/>
      <c r="B48" s="103" t="str">
        <f>英語!B5</f>
        <v>単語の発音を予想して読むことができる</v>
      </c>
      <c r="C48" s="104"/>
      <c r="D48" s="104"/>
      <c r="E48" s="104"/>
      <c r="F48" s="105"/>
      <c r="G48" s="17" t="str">
        <f ca="1">OFFSET(英語!C5,0,$B$2)</f>
        <v>A</v>
      </c>
      <c r="H48" s="101"/>
      <c r="I48" s="102"/>
    </row>
    <row r="49" spans="1:9" ht="18.75" customHeight="1">
      <c r="A49" s="94"/>
      <c r="B49" s="103" t="str">
        <f>英語!B6</f>
        <v>単語の音を聞いて、つづりを予想して書くことができる</v>
      </c>
      <c r="C49" s="104"/>
      <c r="D49" s="104"/>
      <c r="E49" s="104"/>
      <c r="F49" s="105"/>
      <c r="G49" s="17" t="str">
        <f ca="1">OFFSET(英語!C6,0,$B$2)</f>
        <v>A</v>
      </c>
      <c r="H49" s="101"/>
      <c r="I49" s="102"/>
    </row>
    <row r="50" spans="1:9" ht="18.75" customHeight="1">
      <c r="A50" s="94"/>
      <c r="B50" s="103">
        <f>英語!B7</f>
        <v>0</v>
      </c>
      <c r="C50" s="104"/>
      <c r="D50" s="104"/>
      <c r="E50" s="104"/>
      <c r="F50" s="105"/>
      <c r="G50" s="17">
        <f ca="1">OFFSET(英語!C7,0,$B$2)</f>
        <v>0</v>
      </c>
      <c r="H50" s="101"/>
      <c r="I50" s="102"/>
    </row>
    <row r="51" spans="1:9" ht="18.75" customHeight="1">
      <c r="A51" s="94"/>
      <c r="B51" s="103">
        <f>英語!B8</f>
        <v>0</v>
      </c>
      <c r="C51" s="104"/>
      <c r="D51" s="104"/>
      <c r="E51" s="104"/>
      <c r="F51" s="105"/>
      <c r="G51" s="17">
        <f ca="1">OFFSET(英語!C8,0,$B$2)</f>
        <v>0</v>
      </c>
      <c r="H51" s="101"/>
      <c r="I51" s="102"/>
    </row>
    <row r="52" spans="1:9" ht="18.75" customHeight="1">
      <c r="A52" s="94"/>
      <c r="B52" s="103">
        <f>英語!B9</f>
        <v>0</v>
      </c>
      <c r="C52" s="104"/>
      <c r="D52" s="104"/>
      <c r="E52" s="104"/>
      <c r="F52" s="105"/>
      <c r="G52" s="17">
        <f ca="1">OFFSET(英語!C9,0,$B$2)</f>
        <v>0</v>
      </c>
      <c r="H52" s="101"/>
      <c r="I52" s="102"/>
    </row>
    <row r="53" spans="1:9" ht="18.75" customHeight="1">
      <c r="A53" s="95"/>
      <c r="B53" s="103">
        <f>英語!B10</f>
        <v>0</v>
      </c>
      <c r="C53" s="104"/>
      <c r="D53" s="104"/>
      <c r="E53" s="104"/>
      <c r="F53" s="105"/>
      <c r="G53" s="18">
        <f ca="1">OFFSET(英語!C10,0,$B$2)</f>
        <v>0</v>
      </c>
      <c r="H53" s="101"/>
      <c r="I53" s="102"/>
    </row>
    <row r="54" spans="1:9" ht="18.75" customHeight="1">
      <c r="A54" s="6"/>
      <c r="B54" s="31"/>
      <c r="C54" s="10"/>
      <c r="D54" s="10"/>
      <c r="E54" s="10"/>
      <c r="F54" s="10"/>
      <c r="G54" s="6"/>
      <c r="H54" s="7"/>
      <c r="I54" s="7"/>
    </row>
    <row r="55" spans="1:9" ht="18.75" customHeight="1">
      <c r="A55" s="1"/>
      <c r="B55" s="32"/>
      <c r="C55" s="11"/>
      <c r="D55" s="11"/>
      <c r="E55" s="11"/>
      <c r="F55" s="11"/>
      <c r="G55" s="1"/>
      <c r="H55" s="3"/>
      <c r="I55" s="3"/>
    </row>
    <row r="56" spans="1:9" ht="18.75" customHeight="1">
      <c r="A56" s="93" t="s">
        <v>3</v>
      </c>
      <c r="B56" s="96" t="str">
        <f>音楽!B2</f>
        <v>音や音楽に関心を持ち、進んで音楽表現や鑑賞の活動に取り組むことができる</v>
      </c>
      <c r="C56" s="97"/>
      <c r="D56" s="97"/>
      <c r="E56" s="97"/>
      <c r="F56" s="98"/>
      <c r="G56" s="21" t="str">
        <f ca="1">OFFSET(音楽!C2,0,$B$2)</f>
        <v>B</v>
      </c>
      <c r="H56" s="99">
        <f ca="1">OFFSET(音楽!C12,0,$B$2)</f>
        <v>4</v>
      </c>
      <c r="I56" s="100"/>
    </row>
    <row r="57" spans="1:9" ht="18.75" customHeight="1">
      <c r="A57" s="94"/>
      <c r="B57" s="103" t="str">
        <f>音楽!B3</f>
        <v>曲想や歌詞の内容にふさわしい表現を工夫して歌うことができる</v>
      </c>
      <c r="C57" s="104"/>
      <c r="D57" s="104"/>
      <c r="E57" s="104"/>
      <c r="F57" s="105"/>
      <c r="G57" s="17" t="str">
        <f ca="1">OFFSET(音楽!C3,0,$B$2)</f>
        <v>A</v>
      </c>
      <c r="H57" s="101"/>
      <c r="I57" s="102"/>
    </row>
    <row r="58" spans="1:9" ht="18.75" customHeight="1">
      <c r="A58" s="94"/>
      <c r="B58" s="103" t="str">
        <f>音楽!B4</f>
        <v>姿勢や構え方、息の強さ、タンギングに気をつけて、鍵盤ハーモニカやリコーダーを演奏することができる</v>
      </c>
      <c r="C58" s="104"/>
      <c r="D58" s="104"/>
      <c r="E58" s="104"/>
      <c r="F58" s="105"/>
      <c r="G58" s="17" t="str">
        <f ca="1">OFFSET(音楽!C4,0,$B$2)</f>
        <v>B</v>
      </c>
      <c r="H58" s="101"/>
      <c r="I58" s="102"/>
    </row>
    <row r="59" spans="1:9" ht="18.75" customHeight="1">
      <c r="A59" s="94"/>
      <c r="B59" s="103" t="str">
        <f>音楽!B5</f>
        <v>様子を思い浮かべたり、楽器の持つ特徴を感じ取りながら楽曲を聴くことができる</v>
      </c>
      <c r="C59" s="104"/>
      <c r="D59" s="104"/>
      <c r="E59" s="104"/>
      <c r="F59" s="105"/>
      <c r="G59" s="17" t="str">
        <f ca="1">OFFSET(音楽!C5,0,$B$2)</f>
        <v>A</v>
      </c>
      <c r="H59" s="101"/>
      <c r="I59" s="102"/>
    </row>
    <row r="60" spans="1:9" ht="18.75" customHeight="1">
      <c r="A60" s="94"/>
      <c r="B60" s="103">
        <f>音楽!B6</f>
        <v>0</v>
      </c>
      <c r="C60" s="104"/>
      <c r="D60" s="104"/>
      <c r="E60" s="104"/>
      <c r="F60" s="105"/>
      <c r="G60" s="17">
        <f ca="1">OFFSET(音楽!C6,0,$B$2)</f>
        <v>0</v>
      </c>
      <c r="H60" s="101"/>
      <c r="I60" s="102"/>
    </row>
    <row r="61" spans="1:9" ht="18.75" customHeight="1">
      <c r="A61" s="94"/>
      <c r="B61" s="103">
        <f>音楽!B7</f>
        <v>0</v>
      </c>
      <c r="C61" s="104"/>
      <c r="D61" s="104"/>
      <c r="E61" s="104"/>
      <c r="F61" s="105"/>
      <c r="G61" s="17">
        <f ca="1">OFFSET(音楽!C7,0,$B$2)</f>
        <v>0</v>
      </c>
      <c r="H61" s="101"/>
      <c r="I61" s="102"/>
    </row>
    <row r="62" spans="1:9" ht="18.75" customHeight="1">
      <c r="A62" s="94"/>
      <c r="B62" s="103">
        <f>音楽!B8</f>
        <v>0</v>
      </c>
      <c r="C62" s="104"/>
      <c r="D62" s="104"/>
      <c r="E62" s="104"/>
      <c r="F62" s="105"/>
      <c r="G62" s="17">
        <f ca="1">OFFSET(音楽!C8,0,$B$2)</f>
        <v>0</v>
      </c>
      <c r="H62" s="101"/>
      <c r="I62" s="102"/>
    </row>
    <row r="63" spans="1:9" ht="18.75" customHeight="1">
      <c r="A63" s="95"/>
      <c r="B63" s="103">
        <f>音楽!B9</f>
        <v>0</v>
      </c>
      <c r="C63" s="104"/>
      <c r="D63" s="104"/>
      <c r="E63" s="104"/>
      <c r="F63" s="105"/>
      <c r="G63" s="18">
        <f ca="1">OFFSET(音楽!C9,0,$B$2)</f>
        <v>0</v>
      </c>
      <c r="H63" s="101"/>
      <c r="I63" s="102"/>
    </row>
    <row r="64" spans="1:9" ht="18.75" customHeight="1">
      <c r="A64" s="93" t="s">
        <v>1</v>
      </c>
      <c r="B64" s="96" t="str">
        <f>図工!B2</f>
        <v>図工への関心を持ち、楽しく制作に取り組んでいる</v>
      </c>
      <c r="C64" s="97"/>
      <c r="D64" s="97"/>
      <c r="E64" s="97"/>
      <c r="F64" s="98"/>
      <c r="G64" s="21" t="str">
        <f ca="1">OFFSET(図工!C2,0,$B$2)</f>
        <v>A</v>
      </c>
      <c r="H64" s="99">
        <f ca="1">OFFSET(図工!C12,0,$B$2)</f>
        <v>4</v>
      </c>
      <c r="I64" s="100"/>
    </row>
    <row r="65" spans="1:14" ht="18.75" customHeight="1">
      <c r="A65" s="94"/>
      <c r="B65" s="103" t="str">
        <f>図工!B3</f>
        <v>豊かな発想を持ち自由に表現することができる</v>
      </c>
      <c r="C65" s="104"/>
      <c r="D65" s="104"/>
      <c r="E65" s="104"/>
      <c r="F65" s="105"/>
      <c r="G65" s="17" t="str">
        <f ca="1">OFFSET(図工!C3,0,$B$2)</f>
        <v>A</v>
      </c>
      <c r="H65" s="101"/>
      <c r="I65" s="102"/>
    </row>
    <row r="66" spans="1:14" ht="18.75" customHeight="1">
      <c r="A66" s="94"/>
      <c r="B66" s="103" t="str">
        <f>図工!B4</f>
        <v>つくりたいもののイメージを持ち、それに向かって制作することができる</v>
      </c>
      <c r="C66" s="104"/>
      <c r="D66" s="104"/>
      <c r="E66" s="104"/>
      <c r="F66" s="105"/>
      <c r="G66" s="17" t="str">
        <f ca="1">OFFSET(図工!C4,0,$B$2)</f>
        <v>B</v>
      </c>
      <c r="H66" s="101"/>
      <c r="I66" s="102"/>
    </row>
    <row r="67" spans="1:14" ht="18.75" customHeight="1">
      <c r="A67" s="94"/>
      <c r="B67" s="103" t="str">
        <f>図工!B5</f>
        <v>自分や友達の作品から良さや面白さ、美しさを感じとることができる</v>
      </c>
      <c r="C67" s="104"/>
      <c r="D67" s="104"/>
      <c r="E67" s="104"/>
      <c r="F67" s="105"/>
      <c r="G67" s="17" t="str">
        <f ca="1">OFFSET(図工!C5,0,$B$2)</f>
        <v>A</v>
      </c>
      <c r="H67" s="101"/>
      <c r="I67" s="102"/>
    </row>
    <row r="68" spans="1:14" ht="18.75" customHeight="1">
      <c r="A68" s="94"/>
      <c r="B68" s="103">
        <f>図工!B6</f>
        <v>0</v>
      </c>
      <c r="C68" s="104"/>
      <c r="D68" s="104"/>
      <c r="E68" s="104"/>
      <c r="F68" s="105"/>
      <c r="G68" s="17">
        <f ca="1">OFFSET(図工!C6,0,$B$2)</f>
        <v>0</v>
      </c>
      <c r="H68" s="101"/>
      <c r="I68" s="102"/>
    </row>
    <row r="69" spans="1:14" ht="18.75" customHeight="1">
      <c r="A69" s="95"/>
      <c r="B69" s="103">
        <f>図工!B7</f>
        <v>0</v>
      </c>
      <c r="C69" s="104"/>
      <c r="D69" s="104"/>
      <c r="E69" s="104"/>
      <c r="F69" s="105"/>
      <c r="G69" s="18">
        <f ca="1">OFFSET(図工!C7,0,$B$2)</f>
        <v>0</v>
      </c>
      <c r="H69" s="101"/>
      <c r="I69" s="102"/>
    </row>
    <row r="70" spans="1:14" ht="18.75" customHeight="1">
      <c r="A70" s="93" t="s">
        <v>2</v>
      </c>
      <c r="B70" s="96" t="str">
        <f>体育!B2</f>
        <v>運動の行い方を工夫するとともに、考えたことを他者に伝えることができる</v>
      </c>
      <c r="C70" s="97"/>
      <c r="D70" s="97"/>
      <c r="E70" s="97"/>
      <c r="F70" s="98"/>
      <c r="G70" s="21" t="str">
        <f ca="1">OFFSET(体育!C2,0,$B$2)</f>
        <v>A</v>
      </c>
      <c r="H70" s="99">
        <f ca="1">OFFSET(体育!C12,0,$B$2)</f>
        <v>5</v>
      </c>
      <c r="I70" s="100"/>
    </row>
    <row r="71" spans="1:14" ht="18.75" customHeight="1">
      <c r="A71" s="94"/>
      <c r="B71" s="103" t="str">
        <f>体育!B3</f>
        <v>決まりを守り、誰とでも仲良く意欲的に運動ができる</v>
      </c>
      <c r="C71" s="104"/>
      <c r="D71" s="104"/>
      <c r="E71" s="104"/>
      <c r="F71" s="105"/>
      <c r="G71" s="17" t="str">
        <f ca="1">OFFSET(体育!C3,0,$B$2)</f>
        <v>A</v>
      </c>
      <c r="H71" s="101"/>
      <c r="I71" s="102"/>
    </row>
    <row r="72" spans="1:14" ht="18.75" customHeight="1">
      <c r="A72" s="94"/>
      <c r="B72" s="103" t="str">
        <f>体育!B4</f>
        <v>全身を使って、力強く走ることができる（短距離走）</v>
      </c>
      <c r="C72" s="104"/>
      <c r="D72" s="104"/>
      <c r="E72" s="104"/>
      <c r="F72" s="105"/>
      <c r="G72" s="17" t="str">
        <f ca="1">OFFSET(体育!C4,0,$B$2)</f>
        <v>A</v>
      </c>
      <c r="H72" s="101"/>
      <c r="I72" s="102"/>
    </row>
    <row r="73" spans="1:14" ht="18.75" customHeight="1">
      <c r="A73" s="94"/>
      <c r="B73" s="103" t="str">
        <f>体育!B5</f>
        <v>バトンの受け渡しがスムーズにできる（リレー）</v>
      </c>
      <c r="C73" s="104"/>
      <c r="D73" s="104"/>
      <c r="E73" s="104"/>
      <c r="F73" s="105"/>
      <c r="G73" s="17" t="str">
        <f ca="1">OFFSET(体育!C5,0,$B$2)</f>
        <v>A</v>
      </c>
      <c r="H73" s="101"/>
      <c r="I73" s="102"/>
    </row>
    <row r="74" spans="1:14" ht="18.75" customHeight="1">
      <c r="A74" s="94"/>
      <c r="B74" s="103" t="str">
        <f>体育!B6</f>
        <v>短い助走から力強く踏み切って跳ぶことができる（走り幅跳び）</v>
      </c>
      <c r="C74" s="104"/>
      <c r="D74" s="104"/>
      <c r="E74" s="104"/>
      <c r="F74" s="105"/>
      <c r="G74" s="17" t="str">
        <f ca="1">OFFSET(体育!C6,0,$B$2)</f>
        <v>A</v>
      </c>
      <c r="H74" s="101"/>
      <c r="I74" s="102"/>
    </row>
    <row r="75" spans="1:14" ht="18.75" customHeight="1">
      <c r="A75" s="94"/>
      <c r="B75" s="103">
        <f>体育!B7</f>
        <v>0</v>
      </c>
      <c r="C75" s="104"/>
      <c r="D75" s="104"/>
      <c r="E75" s="104"/>
      <c r="F75" s="105"/>
      <c r="G75" s="17">
        <f ca="1">OFFSET(体育!C7,0,$B$2)</f>
        <v>0</v>
      </c>
      <c r="H75" s="101"/>
      <c r="I75" s="102"/>
    </row>
    <row r="76" spans="1:14" ht="18.75" customHeight="1">
      <c r="A76" s="95"/>
      <c r="B76" s="131">
        <f>体育!B8</f>
        <v>0</v>
      </c>
      <c r="C76" s="132"/>
      <c r="D76" s="132"/>
      <c r="E76" s="132"/>
      <c r="F76" s="133"/>
      <c r="G76" s="18">
        <f ca="1">OFFSET(体育!C8,0,$B$2)</f>
        <v>0</v>
      </c>
      <c r="H76" s="148"/>
      <c r="I76" s="149"/>
    </row>
    <row r="77" spans="1:14" ht="92.25" customHeight="1">
      <c r="A77" s="23" t="s">
        <v>24</v>
      </c>
      <c r="B77" s="146" t="str">
        <f ca="1">INDIRECT("'道徳'!B"&amp;2+$B$2)</f>
        <v>けんかになってしまった登場人物同士のやりとりを通して、自分と違う意見が出たときに心がけることを考え、互いに考えを伝え合い、自分と異なる意見も大切にしようとする心情を育てる「日曜日の公園で」という題材では、「違う意見が出たらけんかする時間がもったいないから譲る」と考えました。今後も学んだことを日常生活に生かし、侑くんの周りに対して優しくできる良さが発揮されることを期待しています。</v>
      </c>
      <c r="C77" s="146"/>
      <c r="D77" s="146"/>
      <c r="E77" s="146"/>
      <c r="F77" s="146"/>
      <c r="G77" s="146"/>
      <c r="H77" s="146"/>
      <c r="I77" s="147"/>
      <c r="L77" s="14"/>
      <c r="M77" s="12"/>
    </row>
    <row r="78" spans="1:14" ht="18.75" customHeight="1">
      <c r="D78" s="14"/>
      <c r="E78" s="12"/>
      <c r="L78" s="14"/>
      <c r="M78" s="30"/>
      <c r="N78" s="12"/>
    </row>
    <row r="79" spans="1:14" ht="18.75" customHeight="1">
      <c r="A79" s="125" t="s">
        <v>22</v>
      </c>
      <c r="B79" s="126"/>
      <c r="C79" s="126"/>
      <c r="D79" s="127"/>
      <c r="F79" s="125" t="s">
        <v>10</v>
      </c>
      <c r="G79" s="126"/>
      <c r="H79" s="126"/>
      <c r="I79" s="127"/>
      <c r="L79" s="30"/>
      <c r="M79" s="30"/>
      <c r="N79" s="30"/>
    </row>
    <row r="80" spans="1:14" ht="19.5" customHeight="1">
      <c r="A80" s="150" t="str">
        <f>所見!B2</f>
        <v>元気でさわやかなあいさつ返事を、自分から進んですることができる</v>
      </c>
      <c r="B80" s="151"/>
      <c r="C80" s="152"/>
      <c r="D80" s="27" t="str">
        <f ca="1">OFFSET(所見!C2,0,$B$2)</f>
        <v>B</v>
      </c>
      <c r="F80" s="134" t="s">
        <v>12</v>
      </c>
      <c r="G80" s="135"/>
      <c r="H80" s="135"/>
      <c r="I80" s="22">
        <f ca="1">OFFSET(出欠!C2,0,$B$2)</f>
        <v>76</v>
      </c>
      <c r="L80" s="30"/>
      <c r="M80" s="30"/>
      <c r="N80" s="30"/>
    </row>
    <row r="81" spans="1:14" ht="19.5" customHeight="1">
      <c r="A81" s="119" t="str">
        <f>所見!B3</f>
        <v>時間やきまりを守り、けじめをつけて、規則正しい生活をすることができる</v>
      </c>
      <c r="B81" s="120"/>
      <c r="C81" s="121"/>
      <c r="D81" s="13" t="str">
        <f ca="1">OFFSET(所見!C3,0,$B$2)</f>
        <v>B</v>
      </c>
      <c r="F81" s="129" t="s">
        <v>13</v>
      </c>
      <c r="G81" s="130"/>
      <c r="H81" s="130"/>
      <c r="I81" s="13">
        <f ca="1">OFFSET(出欠!C3,0,$B$2)</f>
        <v>0</v>
      </c>
      <c r="L81" s="30"/>
      <c r="M81" s="30"/>
      <c r="N81" s="30"/>
    </row>
    <row r="82" spans="1:14" ht="19.5" customHeight="1">
      <c r="A82" s="119" t="str">
        <f>所見!B4</f>
        <v>自分の物を大切にし、身の回りやロッカーの整理整頓をすることができる</v>
      </c>
      <c r="B82" s="120"/>
      <c r="C82" s="121"/>
      <c r="D82" s="13" t="str">
        <f ca="1">OFFSET(所見!C4,0,$B$2)</f>
        <v>B</v>
      </c>
      <c r="F82" s="128" t="s">
        <v>20</v>
      </c>
      <c r="G82" s="104"/>
      <c r="H82" s="105"/>
      <c r="I82" s="13">
        <f ca="1">OFFSET(出欠!C4,0,$B$2)</f>
        <v>76</v>
      </c>
      <c r="L82" s="30"/>
      <c r="M82" s="30"/>
      <c r="N82" s="30"/>
    </row>
    <row r="83" spans="1:14" ht="19.5" customHeight="1">
      <c r="A83" s="119" t="str">
        <f>所見!B5</f>
        <v>心身の健康に気をつけ、運動する習慣を身につけ、元気に生活することができる</v>
      </c>
      <c r="B83" s="120"/>
      <c r="C83" s="121"/>
      <c r="D83" s="13" t="str">
        <f ca="1">OFFSET(所見!C5,0,$B$2)</f>
        <v>A</v>
      </c>
      <c r="F83" s="129" t="s">
        <v>14</v>
      </c>
      <c r="G83" s="130"/>
      <c r="H83" s="130"/>
      <c r="I83" s="13">
        <f ca="1">OFFSET(出欠!C5,0,$B$2)</f>
        <v>76</v>
      </c>
      <c r="L83" s="30"/>
      <c r="M83" s="30"/>
      <c r="N83" s="30"/>
    </row>
    <row r="84" spans="1:14" ht="19.5" customHeight="1">
      <c r="A84" s="119" t="str">
        <f>所見!B6</f>
        <v>自らの目標に向かって最後までやり通すことができる</v>
      </c>
      <c r="B84" s="120"/>
      <c r="C84" s="121"/>
      <c r="D84" s="13" t="str">
        <f ca="1">OFFSET(所見!C6,0,$B$2)</f>
        <v>B</v>
      </c>
      <c r="F84" s="129" t="s">
        <v>21</v>
      </c>
      <c r="G84" s="130"/>
      <c r="H84" s="130"/>
      <c r="I84" s="13">
        <f ca="1">OFFSET(出欠!C6,0,$B$2)</f>
        <v>0</v>
      </c>
      <c r="L84" s="30"/>
      <c r="M84" s="30"/>
      <c r="N84" s="30"/>
    </row>
    <row r="85" spans="1:14" ht="19.5" customHeight="1">
      <c r="A85" s="119" t="str">
        <f>所見!B7</f>
        <v>当番の仕事や係活動など、やるべきことを責任持って行うことができる</v>
      </c>
      <c r="B85" s="120"/>
      <c r="C85" s="121"/>
      <c r="D85" s="13" t="str">
        <f ca="1">OFFSET(所見!C7,0,$B$2)</f>
        <v>B</v>
      </c>
      <c r="F85" s="129" t="s">
        <v>15</v>
      </c>
      <c r="G85" s="130"/>
      <c r="H85" s="130"/>
      <c r="I85" s="13">
        <f ca="1">OFFSET(出欠!C7,0,$B$2)</f>
        <v>0</v>
      </c>
      <c r="L85" s="74">
        <f>番号</f>
        <v>18</v>
      </c>
      <c r="M85" s="30"/>
      <c r="N85" s="30"/>
    </row>
    <row r="86" spans="1:14" ht="19.5" customHeight="1">
      <c r="A86" s="119" t="str">
        <f>所見!B8</f>
        <v>よりよい生活を送るために、考えたり工夫したりして生活することができる</v>
      </c>
      <c r="B86" s="120"/>
      <c r="C86" s="121"/>
      <c r="D86" s="13" t="str">
        <f ca="1">OFFSET(所見!C8,0,$B$2)</f>
        <v>B</v>
      </c>
      <c r="F86" s="129" t="s">
        <v>16</v>
      </c>
      <c r="G86" s="130"/>
      <c r="H86" s="130"/>
      <c r="I86" s="13">
        <f ca="1">OFFSET(出欠!C8,0,$B$2)</f>
        <v>0</v>
      </c>
      <c r="L86" s="30"/>
      <c r="M86" s="30"/>
      <c r="N86" s="30"/>
    </row>
    <row r="87" spans="1:14" ht="19.5" customHeight="1">
      <c r="A87" s="119" t="str">
        <f>所見!B9</f>
        <v>相手の気持ちや立場を理解して、だれに対しても仲良く支え合うことができる</v>
      </c>
      <c r="B87" s="120"/>
      <c r="C87" s="121"/>
      <c r="D87" s="15" t="str">
        <f ca="1">OFFSET(所見!C9,0,$B$2)</f>
        <v>B</v>
      </c>
      <c r="F87" s="110" t="str">
        <f ca="1">"備考： "&amp;INDIRECT("'出欠'!B"&amp;9+$B$2)</f>
        <v xml:space="preserve">備考： </v>
      </c>
      <c r="G87" s="111"/>
      <c r="H87" s="111"/>
      <c r="I87" s="112"/>
      <c r="L87" s="30"/>
      <c r="M87" s="30"/>
      <c r="N87" s="30"/>
    </row>
    <row r="88" spans="1:14" ht="19.5" customHeight="1">
      <c r="A88" s="119" t="str">
        <f>所見!B10</f>
        <v>自然を愛し、生命について考え、大切にすることができる</v>
      </c>
      <c r="B88" s="120"/>
      <c r="C88" s="121"/>
      <c r="D88" s="15" t="str">
        <f ca="1">OFFSET(所見!C10,0,$B$2)</f>
        <v>B</v>
      </c>
      <c r="F88" s="113"/>
      <c r="G88" s="114"/>
      <c r="H88" s="114"/>
      <c r="I88" s="115"/>
      <c r="L88" s="30"/>
      <c r="M88" s="30"/>
      <c r="N88" s="30"/>
    </row>
    <row r="89" spans="1:14" ht="19.5" customHeight="1">
      <c r="A89" s="122" t="str">
        <f>所見!B11</f>
        <v>働くことを進んで行い、最後まで一生懸命やることができる</v>
      </c>
      <c r="B89" s="123"/>
      <c r="C89" s="124"/>
      <c r="D89" s="16" t="str">
        <f ca="1">OFFSET(所見!C11,0,$B$2)</f>
        <v>A</v>
      </c>
      <c r="F89" s="116"/>
      <c r="G89" s="117"/>
      <c r="H89" s="117"/>
      <c r="I89" s="118"/>
      <c r="L89" s="30"/>
      <c r="M89" s="30"/>
      <c r="N89" s="25"/>
    </row>
    <row r="90" spans="1:14" ht="18.75" customHeight="1">
      <c r="A90" s="26"/>
      <c r="B90" s="28"/>
      <c r="C90" s="28"/>
      <c r="D90" s="29"/>
      <c r="F90" s="24"/>
      <c r="G90" s="24"/>
      <c r="H90" s="24"/>
      <c r="I90" s="24"/>
      <c r="L90" s="25"/>
      <c r="M90" s="25"/>
      <c r="N90" s="25"/>
    </row>
    <row r="91" spans="1:14" ht="39" customHeight="1">
      <c r="A91" s="106" t="s">
        <v>23</v>
      </c>
      <c r="B91" s="107"/>
      <c r="C91" s="108" t="str">
        <f ca="1">INDIRECT("'所見'!B"&amp;12+$B$2)</f>
        <v>配り係</v>
      </c>
      <c r="D91" s="108"/>
      <c r="E91" s="108"/>
      <c r="F91" s="108"/>
      <c r="G91" s="108"/>
      <c r="H91" s="108"/>
      <c r="I91" s="109"/>
      <c r="L91" s="25"/>
      <c r="M91" s="25"/>
    </row>
    <row r="92" spans="1:14" ht="18.75" customHeight="1">
      <c r="C92" s="14"/>
    </row>
    <row r="93" spans="1:14" ht="183" customHeight="1">
      <c r="A93" s="23" t="s">
        <v>11</v>
      </c>
      <c r="B93" s="141" t="str">
        <f ca="1">INDIRECT("'所見'!B"&amp;$Q$5+$B$2)</f>
        <v>毎日元気に学校生活を過ごすことができました。1年間の目標を「自分で宿題を確認したい」と定めました。基本的には毎日提出することができましたが、2、3日提出できない時もありました。声がけすると、確実に取り組むことができるので、継続してできる力が求められます。字の丁寧さが課題でありますが、書くことについては意欲的に取り組んでいます。国語「まいごのかぎ」では、物語の好きな場面について、自分なりの考えをしっかりもって、理由を詳しく書き、登場人物と自分を比べている様子が見られました。記述内容が素晴らしいので、より伸ばしていけるとよいでしょう。体育祭では、短距離走で見事学年1位になることができました。体育の授業を見た際も、ポテンシャルが高く、様々な競技で活躍することが期待できます。侑くんが伸ばしていきたい力の1つです。図工では、楽しく活動に取り組み、豪快に作品を製作できました。より丁寧さを求めて、2学期以降は取り組んでほしいと思います。２学期以降も様々な場面で活躍することを期待しています。</v>
      </c>
      <c r="C93" s="142"/>
      <c r="D93" s="142"/>
      <c r="E93" s="142"/>
      <c r="F93" s="142"/>
      <c r="G93" s="142"/>
      <c r="H93" s="142"/>
      <c r="I93" s="143"/>
    </row>
  </sheetData>
  <mergeCells count="116">
    <mergeCell ref="K7:L7"/>
    <mergeCell ref="B93:I93"/>
    <mergeCell ref="A4:I4"/>
    <mergeCell ref="B6:F6"/>
    <mergeCell ref="B7:F7"/>
    <mergeCell ref="B8:F8"/>
    <mergeCell ref="H5:I5"/>
    <mergeCell ref="F84:H84"/>
    <mergeCell ref="H64:I69"/>
    <mergeCell ref="H56:I63"/>
    <mergeCell ref="B34:F34"/>
    <mergeCell ref="B51:F51"/>
    <mergeCell ref="B62:F62"/>
    <mergeCell ref="B30:F30"/>
    <mergeCell ref="B33:F33"/>
    <mergeCell ref="B35:F35"/>
    <mergeCell ref="B53:F53"/>
    <mergeCell ref="B60:F60"/>
    <mergeCell ref="B61:F61"/>
    <mergeCell ref="B63:F63"/>
    <mergeCell ref="B5:F5"/>
    <mergeCell ref="B77:I77"/>
    <mergeCell ref="H70:I76"/>
    <mergeCell ref="A80:C80"/>
    <mergeCell ref="A1:B1"/>
    <mergeCell ref="C1:G1"/>
    <mergeCell ref="G2:I2"/>
    <mergeCell ref="H6:I15"/>
    <mergeCell ref="A6:A15"/>
    <mergeCell ref="B49:F49"/>
    <mergeCell ref="B50:F50"/>
    <mergeCell ref="H45:I53"/>
    <mergeCell ref="H16:I25"/>
    <mergeCell ref="H26:I35"/>
    <mergeCell ref="B14:F14"/>
    <mergeCell ref="B15:F15"/>
    <mergeCell ref="B25:F25"/>
    <mergeCell ref="A26:A35"/>
    <mergeCell ref="B26:F26"/>
    <mergeCell ref="B27:F27"/>
    <mergeCell ref="B28:F28"/>
    <mergeCell ref="B29:F29"/>
    <mergeCell ref="A45:A53"/>
    <mergeCell ref="B45:F45"/>
    <mergeCell ref="B46:F46"/>
    <mergeCell ref="B47:F47"/>
    <mergeCell ref="B48:F48"/>
    <mergeCell ref="A16:A25"/>
    <mergeCell ref="B76:F76"/>
    <mergeCell ref="B70:F70"/>
    <mergeCell ref="B71:F71"/>
    <mergeCell ref="B72:F72"/>
    <mergeCell ref="F80:H80"/>
    <mergeCell ref="A70:A76"/>
    <mergeCell ref="B73:F73"/>
    <mergeCell ref="B74:F74"/>
    <mergeCell ref="B75:F75"/>
    <mergeCell ref="B9:F9"/>
    <mergeCell ref="B10:F10"/>
    <mergeCell ref="B11:F11"/>
    <mergeCell ref="B12:F12"/>
    <mergeCell ref="B13:F13"/>
    <mergeCell ref="B67:F67"/>
    <mergeCell ref="B23:F23"/>
    <mergeCell ref="B16:F16"/>
    <mergeCell ref="B17:F17"/>
    <mergeCell ref="B18:F18"/>
    <mergeCell ref="B19:F19"/>
    <mergeCell ref="B20:F20"/>
    <mergeCell ref="B21:F21"/>
    <mergeCell ref="B22:F22"/>
    <mergeCell ref="B52:F52"/>
    <mergeCell ref="B24:F24"/>
    <mergeCell ref="B31:F31"/>
    <mergeCell ref="B32:F32"/>
    <mergeCell ref="A56:A63"/>
    <mergeCell ref="B56:F56"/>
    <mergeCell ref="B57:F57"/>
    <mergeCell ref="B58:F58"/>
    <mergeCell ref="B59:F59"/>
    <mergeCell ref="B69:F69"/>
    <mergeCell ref="A64:A69"/>
    <mergeCell ref="B64:F64"/>
    <mergeCell ref="B65:F65"/>
    <mergeCell ref="B66:F66"/>
    <mergeCell ref="B68:F68"/>
    <mergeCell ref="A91:B91"/>
    <mergeCell ref="C91:I91"/>
    <mergeCell ref="F87:I89"/>
    <mergeCell ref="A87:C87"/>
    <mergeCell ref="A88:C88"/>
    <mergeCell ref="A89:C89"/>
    <mergeCell ref="A79:D79"/>
    <mergeCell ref="F82:H82"/>
    <mergeCell ref="F81:H81"/>
    <mergeCell ref="F85:H85"/>
    <mergeCell ref="F86:H86"/>
    <mergeCell ref="F79:I79"/>
    <mergeCell ref="F83:H83"/>
    <mergeCell ref="A81:C81"/>
    <mergeCell ref="A82:C82"/>
    <mergeCell ref="A83:C83"/>
    <mergeCell ref="A84:C84"/>
    <mergeCell ref="A85:C85"/>
    <mergeCell ref="A86:C86"/>
    <mergeCell ref="A36:A44"/>
    <mergeCell ref="B36:F36"/>
    <mergeCell ref="H36:I44"/>
    <mergeCell ref="B37:F37"/>
    <mergeCell ref="B38:F38"/>
    <mergeCell ref="B39:F39"/>
    <mergeCell ref="B40:F40"/>
    <mergeCell ref="B41:F41"/>
    <mergeCell ref="B42:F42"/>
    <mergeCell ref="B43:F43"/>
    <mergeCell ref="B44:F44"/>
  </mergeCells>
  <phoneticPr fontId="1"/>
  <conditionalFormatting sqref="F87 B93 D80:D90 A80:A90 C91 B6:B30 C54:F55 G6:G30 L87:M91 N79:N90 G33:G35 B33:B35 B45:B53 B56:B77 G45:G76">
    <cfRule type="cellIs" dxfId="24" priority="5" stopIfTrue="1" operator="equal">
      <formula>0</formula>
    </cfRule>
  </conditionalFormatting>
  <conditionalFormatting sqref="G31:G32 B31:B32">
    <cfRule type="cellIs" dxfId="23" priority="4" stopIfTrue="1" operator="equal">
      <formula>0</formula>
    </cfRule>
  </conditionalFormatting>
  <conditionalFormatting sqref="B36:B44 G36:G44">
    <cfRule type="cellIs" dxfId="22" priority="3" stopIfTrue="1" operator="equal">
      <formula>0</formula>
    </cfRule>
  </conditionalFormatting>
  <conditionalFormatting sqref="L79:M86 M78">
    <cfRule type="cellIs" dxfId="21" priority="2" stopIfTrue="1" operator="equal">
      <formula>0</formula>
    </cfRule>
  </conditionalFormatting>
  <conditionalFormatting sqref="L17:M20">
    <cfRule type="cellIs" dxfId="20"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2" fitToHeight="2" orientation="portrait" horizontalDpi="300" verticalDpi="300" r:id="rId1"/>
  <headerFooter alignWithMargins="0"/>
  <rowBreaks count="1" manualBreakCount="1">
    <brk id="54"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5"/>
  <sheetViews>
    <sheetView view="pageBreakPreview"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53" t="str">
        <f ca="1">通知票!A1</f>
        <v>３－１</v>
      </c>
      <c r="B1" s="136"/>
      <c r="C1" s="56" t="str">
        <f ca="1">通知票!C1</f>
        <v>1学期</v>
      </c>
    </row>
    <row r="2" spans="1:3" ht="18.75" customHeight="1">
      <c r="A2" s="57" t="s">
        <v>43</v>
      </c>
      <c r="B2" s="56">
        <v>22</v>
      </c>
      <c r="C2" s="68">
        <f ca="1">INDIRECT("'所見'!A"&amp;12+$B$2)</f>
        <v>0</v>
      </c>
    </row>
    <row r="3" spans="1:3" ht="12" customHeight="1">
      <c r="C3" s="9"/>
    </row>
    <row r="4" spans="1:3" ht="18.75" customHeight="1">
      <c r="A4" s="58" t="s">
        <v>4</v>
      </c>
      <c r="B4" s="59" t="s">
        <v>6</v>
      </c>
      <c r="C4" s="22" t="s">
        <v>44</v>
      </c>
    </row>
    <row r="5" spans="1:3" ht="67.5" customHeight="1">
      <c r="A5" s="60" t="s">
        <v>8</v>
      </c>
      <c r="B5" s="61">
        <f ca="1">OFFSET(国語!C12,0,$B$2)</f>
        <v>0</v>
      </c>
      <c r="C5" s="62">
        <f ca="1">INDIRECT("'国語'!B"&amp;14+$B$2)</f>
        <v>0</v>
      </c>
    </row>
    <row r="6" spans="1:3" ht="67.5" customHeight="1">
      <c r="A6" s="63" t="s">
        <v>0</v>
      </c>
      <c r="B6" s="64">
        <f ca="1">OFFSET(算数!C12,0,$B$2)</f>
        <v>0</v>
      </c>
      <c r="C6" s="65">
        <f ca="1">INDIRECT("'算数'!B"&amp;14+$B$2)</f>
        <v>0</v>
      </c>
    </row>
    <row r="7" spans="1:3" ht="67.5" customHeight="1">
      <c r="A7" s="60" t="s">
        <v>50</v>
      </c>
      <c r="B7" s="61">
        <f ca="1">OFFSET(理科!C12,0,$B$2)</f>
        <v>0</v>
      </c>
      <c r="C7" s="62">
        <f ca="1">INDIRECT("'理科'!B"&amp;14+$B$2)</f>
        <v>0</v>
      </c>
    </row>
    <row r="8" spans="1:3" ht="67.5" customHeight="1">
      <c r="A8" s="60" t="s">
        <v>51</v>
      </c>
      <c r="B8" s="61">
        <f ca="1">OFFSET(社会!C12,0,$B$2)</f>
        <v>0</v>
      </c>
      <c r="C8" s="62">
        <f ca="1">INDIRECT("'社会'!B"&amp;14+$B$2)</f>
        <v>0</v>
      </c>
    </row>
    <row r="9" spans="1:3" ht="67.5" customHeight="1">
      <c r="A9" s="63" t="s">
        <v>9</v>
      </c>
      <c r="B9" s="64">
        <f ca="1">OFFSET(英語!C12,0,$B$2)</f>
        <v>0</v>
      </c>
      <c r="C9" s="65">
        <f ca="1">INDIRECT("'英語'!B"&amp;14+$B$2)</f>
        <v>0</v>
      </c>
    </row>
    <row r="10" spans="1:3" ht="67.5" customHeight="1">
      <c r="A10" s="60" t="s">
        <v>3</v>
      </c>
      <c r="B10" s="61">
        <f ca="1">OFFSET(音楽!C12,0,$B$2)</f>
        <v>0</v>
      </c>
      <c r="C10" s="62">
        <f ca="1">INDIRECT("'音楽'!B"&amp;14+$B$2)</f>
        <v>0</v>
      </c>
    </row>
    <row r="11" spans="1:3" ht="67.5" customHeight="1">
      <c r="A11" s="63" t="s">
        <v>1</v>
      </c>
      <c r="B11" s="64">
        <f ca="1">OFFSET(図工!C12,0,$B$2)</f>
        <v>0</v>
      </c>
      <c r="C11" s="65">
        <f ca="1">INDIRECT("'図工'!B"&amp;14+$B$2)</f>
        <v>0</v>
      </c>
    </row>
    <row r="12" spans="1:3" ht="67.5" customHeight="1">
      <c r="A12" s="60" t="s">
        <v>2</v>
      </c>
      <c r="B12" s="61">
        <f ca="1">OFFSET(体育!C12,0,$B$2)</f>
        <v>0</v>
      </c>
      <c r="C12" s="62">
        <f ca="1">INDIRECT("'体育'!B"&amp;14+$B$2)</f>
        <v>0</v>
      </c>
    </row>
    <row r="13" spans="1:3" ht="67.5" customHeight="1">
      <c r="A13" s="60" t="s">
        <v>24</v>
      </c>
      <c r="B13" s="154">
        <f ca="1">INDIRECT("'道徳'!B"&amp;2+$B$2)</f>
        <v>0</v>
      </c>
      <c r="C13" s="155"/>
    </row>
    <row r="14" spans="1:3" ht="18.75" customHeight="1">
      <c r="C14" s="66"/>
    </row>
    <row r="15" spans="1:3" ht="210" customHeight="1">
      <c r="A15" s="23" t="s">
        <v>11</v>
      </c>
      <c r="B15" s="67"/>
      <c r="C15" s="62">
        <f ca="1">INDIRECT("'所見'!B"&amp;通知票!$Q$5+$B$2)</f>
        <v>0</v>
      </c>
    </row>
  </sheetData>
  <mergeCells count="2">
    <mergeCell ref="A1:B1"/>
    <mergeCell ref="B13:C13"/>
  </mergeCells>
  <phoneticPr fontId="1"/>
  <conditionalFormatting sqref="C15 C5:C7 C9:C12">
    <cfRule type="cellIs" dxfId="19" priority="2" stopIfTrue="1" operator="equal">
      <formula>0</formula>
    </cfRule>
  </conditionalFormatting>
  <conditionalFormatting sqref="C8">
    <cfRule type="cellIs" dxfId="18"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３－１</v>
      </c>
      <c r="B1" s="34" t="str">
        <f ca="1">RIGHT(CELL("filename",B1),LEN(CELL("filename",B1))-FIND("]",CELL("filename",B1)))</f>
        <v>国語</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37"/>
    </row>
    <row r="2" spans="1:27" ht="22.5" customHeight="1">
      <c r="A2" s="159" t="s">
        <v>230</v>
      </c>
      <c r="B2" s="41" t="s">
        <v>70</v>
      </c>
      <c r="C2" s="38" t="s">
        <v>26</v>
      </c>
      <c r="D2" s="39" t="s">
        <v>231</v>
      </c>
      <c r="E2" s="39" t="s">
        <v>232</v>
      </c>
      <c r="F2" s="39" t="s">
        <v>233</v>
      </c>
      <c r="G2" s="39" t="s">
        <v>231</v>
      </c>
      <c r="H2" s="39" t="s">
        <v>219</v>
      </c>
      <c r="I2" s="39" t="s">
        <v>234</v>
      </c>
      <c r="J2" s="39" t="s">
        <v>232</v>
      </c>
      <c r="K2" s="39" t="s">
        <v>231</v>
      </c>
      <c r="L2" s="39" t="s">
        <v>219</v>
      </c>
      <c r="M2" s="39" t="s">
        <v>231</v>
      </c>
      <c r="N2" s="39" t="s">
        <v>231</v>
      </c>
      <c r="O2" s="39" t="s">
        <v>218</v>
      </c>
      <c r="P2" s="39" t="s">
        <v>218</v>
      </c>
      <c r="Q2" s="39" t="s">
        <v>233</v>
      </c>
      <c r="R2" s="39" t="s">
        <v>232</v>
      </c>
      <c r="S2" s="39" t="s">
        <v>231</v>
      </c>
      <c r="T2" s="39" t="s">
        <v>235</v>
      </c>
      <c r="U2" s="39" t="s">
        <v>232</v>
      </c>
      <c r="V2" s="39" t="s">
        <v>218</v>
      </c>
      <c r="W2" s="39" t="s">
        <v>232</v>
      </c>
      <c r="X2" s="39" t="s">
        <v>233</v>
      </c>
      <c r="Y2" s="39"/>
      <c r="Z2" s="40" t="s">
        <v>231</v>
      </c>
      <c r="AA2" s="40">
        <v>1</v>
      </c>
    </row>
    <row r="3" spans="1:27" ht="22.5" customHeight="1">
      <c r="A3" s="160"/>
      <c r="B3" s="41" t="s">
        <v>71</v>
      </c>
      <c r="C3" s="38" t="s">
        <v>26</v>
      </c>
      <c r="D3" s="39" t="s">
        <v>231</v>
      </c>
      <c r="E3" s="39" t="s">
        <v>232</v>
      </c>
      <c r="F3" s="39" t="s">
        <v>232</v>
      </c>
      <c r="G3" s="39" t="s">
        <v>231</v>
      </c>
      <c r="H3" s="39" t="s">
        <v>232</v>
      </c>
      <c r="I3" s="39" t="s">
        <v>218</v>
      </c>
      <c r="J3" s="39" t="s">
        <v>218</v>
      </c>
      <c r="K3" s="39" t="s">
        <v>218</v>
      </c>
      <c r="L3" s="39" t="s">
        <v>219</v>
      </c>
      <c r="M3" s="39" t="s">
        <v>219</v>
      </c>
      <c r="N3" s="39" t="s">
        <v>231</v>
      </c>
      <c r="O3" s="39" t="s">
        <v>218</v>
      </c>
      <c r="P3" s="39" t="s">
        <v>232</v>
      </c>
      <c r="Q3" s="39" t="s">
        <v>218</v>
      </c>
      <c r="R3" s="39" t="s">
        <v>232</v>
      </c>
      <c r="S3" s="39" t="s">
        <v>234</v>
      </c>
      <c r="T3" s="39" t="s">
        <v>232</v>
      </c>
      <c r="U3" s="39" t="s">
        <v>232</v>
      </c>
      <c r="V3" s="39" t="s">
        <v>219</v>
      </c>
      <c r="W3" s="39" t="s">
        <v>218</v>
      </c>
      <c r="X3" s="39" t="s">
        <v>218</v>
      </c>
      <c r="Y3" s="39"/>
      <c r="Z3" s="40" t="s">
        <v>232</v>
      </c>
      <c r="AA3" s="40">
        <v>2</v>
      </c>
    </row>
    <row r="4" spans="1:27" ht="22.5" customHeight="1">
      <c r="A4" s="160"/>
      <c r="B4" s="41" t="s">
        <v>72</v>
      </c>
      <c r="C4" s="38" t="s">
        <v>26</v>
      </c>
      <c r="D4" s="39" t="s">
        <v>219</v>
      </c>
      <c r="E4" s="39" t="s">
        <v>218</v>
      </c>
      <c r="F4" s="39" t="s">
        <v>218</v>
      </c>
      <c r="G4" s="39" t="s">
        <v>219</v>
      </c>
      <c r="H4" s="39" t="s">
        <v>234</v>
      </c>
      <c r="I4" s="39" t="s">
        <v>219</v>
      </c>
      <c r="J4" s="39" t="s">
        <v>232</v>
      </c>
      <c r="K4" s="39" t="s">
        <v>218</v>
      </c>
      <c r="L4" s="39" t="s">
        <v>219</v>
      </c>
      <c r="M4" s="39" t="s">
        <v>231</v>
      </c>
      <c r="N4" s="39" t="s">
        <v>234</v>
      </c>
      <c r="O4" s="39" t="s">
        <v>219</v>
      </c>
      <c r="P4" s="39" t="s">
        <v>231</v>
      </c>
      <c r="Q4" s="39" t="s">
        <v>218</v>
      </c>
      <c r="R4" s="39" t="s">
        <v>218</v>
      </c>
      <c r="S4" s="39" t="s">
        <v>219</v>
      </c>
      <c r="T4" s="39" t="s">
        <v>218</v>
      </c>
      <c r="U4" s="39" t="s">
        <v>232</v>
      </c>
      <c r="V4" s="39" t="s">
        <v>234</v>
      </c>
      <c r="W4" s="39" t="s">
        <v>232</v>
      </c>
      <c r="X4" s="39" t="s">
        <v>219</v>
      </c>
      <c r="Y4" s="39"/>
      <c r="Z4" s="40" t="s">
        <v>221</v>
      </c>
      <c r="AA4" s="40">
        <v>3</v>
      </c>
    </row>
    <row r="5" spans="1:27" ht="22.5" customHeight="1">
      <c r="A5" s="160"/>
      <c r="B5" s="41" t="s">
        <v>73</v>
      </c>
      <c r="C5" s="38" t="s">
        <v>26</v>
      </c>
      <c r="D5" s="39" t="s">
        <v>219</v>
      </c>
      <c r="E5" s="39" t="s">
        <v>218</v>
      </c>
      <c r="F5" s="39" t="s">
        <v>231</v>
      </c>
      <c r="G5" s="39" t="s">
        <v>219</v>
      </c>
      <c r="H5" s="39" t="s">
        <v>219</v>
      </c>
      <c r="I5" s="39" t="s">
        <v>218</v>
      </c>
      <c r="J5" s="39" t="s">
        <v>219</v>
      </c>
      <c r="K5" s="39" t="s">
        <v>219</v>
      </c>
      <c r="L5" s="39" t="s">
        <v>219</v>
      </c>
      <c r="M5" s="69" t="s">
        <v>219</v>
      </c>
      <c r="N5" s="39" t="s">
        <v>219</v>
      </c>
      <c r="O5" s="39" t="s">
        <v>219</v>
      </c>
      <c r="P5" s="39" t="s">
        <v>231</v>
      </c>
      <c r="Q5" s="39" t="s">
        <v>232</v>
      </c>
      <c r="R5" s="39" t="s">
        <v>233</v>
      </c>
      <c r="S5" s="39" t="s">
        <v>219</v>
      </c>
      <c r="T5" s="39" t="s">
        <v>218</v>
      </c>
      <c r="U5" s="39" t="s">
        <v>219</v>
      </c>
      <c r="V5" s="39" t="s">
        <v>219</v>
      </c>
      <c r="W5" s="39" t="s">
        <v>219</v>
      </c>
      <c r="X5" s="39" t="s">
        <v>219</v>
      </c>
      <c r="Y5" s="39"/>
      <c r="Z5" s="40" t="s">
        <v>220</v>
      </c>
      <c r="AA5" s="40">
        <v>4</v>
      </c>
    </row>
    <row r="6" spans="1:27" ht="22.5" customHeight="1">
      <c r="A6" s="160"/>
      <c r="B6" s="41" t="s">
        <v>74</v>
      </c>
      <c r="C6" s="38" t="s">
        <v>26</v>
      </c>
      <c r="D6" s="39" t="s">
        <v>218</v>
      </c>
      <c r="E6" s="39" t="s">
        <v>219</v>
      </c>
      <c r="F6" s="39" t="s">
        <v>218</v>
      </c>
      <c r="G6" s="39" t="s">
        <v>219</v>
      </c>
      <c r="H6" s="39" t="s">
        <v>218</v>
      </c>
      <c r="I6" s="39" t="s">
        <v>218</v>
      </c>
      <c r="J6" s="39" t="s">
        <v>218</v>
      </c>
      <c r="K6" s="39" t="s">
        <v>219</v>
      </c>
      <c r="L6" s="39" t="s">
        <v>218</v>
      </c>
      <c r="M6" s="39" t="s">
        <v>218</v>
      </c>
      <c r="N6" s="39" t="s">
        <v>219</v>
      </c>
      <c r="O6" s="39" t="s">
        <v>218</v>
      </c>
      <c r="P6" s="39" t="s">
        <v>219</v>
      </c>
      <c r="Q6" s="39" t="s">
        <v>218</v>
      </c>
      <c r="R6" s="39" t="s">
        <v>218</v>
      </c>
      <c r="S6" s="39" t="s">
        <v>218</v>
      </c>
      <c r="T6" s="39" t="s">
        <v>218</v>
      </c>
      <c r="U6" s="39" t="s">
        <v>218</v>
      </c>
      <c r="V6" s="39" t="s">
        <v>218</v>
      </c>
      <c r="W6" s="39" t="s">
        <v>218</v>
      </c>
      <c r="X6" s="39" t="s">
        <v>219</v>
      </c>
      <c r="Y6" s="39"/>
      <c r="Z6" s="40"/>
      <c r="AA6" s="40">
        <v>5</v>
      </c>
    </row>
    <row r="7" spans="1:27" ht="22.5" customHeight="1">
      <c r="A7" s="160"/>
      <c r="B7" s="41" t="s">
        <v>75</v>
      </c>
      <c r="C7" s="38" t="s">
        <v>26</v>
      </c>
      <c r="D7" s="39" t="s">
        <v>219</v>
      </c>
      <c r="E7" s="39" t="s">
        <v>219</v>
      </c>
      <c r="F7" s="39" t="s">
        <v>219</v>
      </c>
      <c r="G7" s="39" t="s">
        <v>219</v>
      </c>
      <c r="H7" s="39" t="s">
        <v>219</v>
      </c>
      <c r="I7" s="39" t="s">
        <v>231</v>
      </c>
      <c r="J7" s="39" t="s">
        <v>218</v>
      </c>
      <c r="K7" s="39" t="s">
        <v>219</v>
      </c>
      <c r="L7" s="39" t="s">
        <v>219</v>
      </c>
      <c r="M7" s="39" t="s">
        <v>219</v>
      </c>
      <c r="N7" s="39" t="s">
        <v>231</v>
      </c>
      <c r="O7" s="39" t="s">
        <v>219</v>
      </c>
      <c r="P7" s="39" t="s">
        <v>219</v>
      </c>
      <c r="Q7" s="39" t="s">
        <v>219</v>
      </c>
      <c r="R7" s="39" t="s">
        <v>219</v>
      </c>
      <c r="S7" s="39" t="s">
        <v>219</v>
      </c>
      <c r="T7" s="39" t="s">
        <v>218</v>
      </c>
      <c r="U7" s="39" t="s">
        <v>219</v>
      </c>
      <c r="V7" s="39" t="s">
        <v>231</v>
      </c>
      <c r="W7" s="39" t="s">
        <v>234</v>
      </c>
      <c r="X7" s="39" t="s">
        <v>219</v>
      </c>
      <c r="Y7" s="39"/>
      <c r="Z7" s="40"/>
      <c r="AA7" s="40" t="s">
        <v>220</v>
      </c>
    </row>
    <row r="8" spans="1:27" ht="22.5" customHeight="1">
      <c r="A8" s="160"/>
      <c r="B8" s="41" t="s">
        <v>76</v>
      </c>
      <c r="C8" s="38" t="s">
        <v>26</v>
      </c>
      <c r="D8" s="39" t="s">
        <v>231</v>
      </c>
      <c r="E8" s="39" t="s">
        <v>218</v>
      </c>
      <c r="F8" s="39" t="s">
        <v>218</v>
      </c>
      <c r="G8" s="39" t="s">
        <v>219</v>
      </c>
      <c r="H8" s="39" t="s">
        <v>219</v>
      </c>
      <c r="I8" s="39" t="s">
        <v>219</v>
      </c>
      <c r="J8" s="39" t="s">
        <v>219</v>
      </c>
      <c r="K8" s="39" t="s">
        <v>219</v>
      </c>
      <c r="L8" s="39" t="s">
        <v>219</v>
      </c>
      <c r="M8" s="39" t="s">
        <v>218</v>
      </c>
      <c r="N8" s="39" t="s">
        <v>219</v>
      </c>
      <c r="O8" s="39" t="s">
        <v>219</v>
      </c>
      <c r="P8" s="39" t="s">
        <v>219</v>
      </c>
      <c r="Q8" s="39" t="s">
        <v>231</v>
      </c>
      <c r="R8" s="39" t="s">
        <v>218</v>
      </c>
      <c r="S8" s="39" t="s">
        <v>219</v>
      </c>
      <c r="T8" s="39" t="s">
        <v>218</v>
      </c>
      <c r="U8" s="39" t="s">
        <v>221</v>
      </c>
      <c r="V8" s="39" t="s">
        <v>219</v>
      </c>
      <c r="W8" s="39" t="s">
        <v>231</v>
      </c>
      <c r="X8" s="39" t="s">
        <v>219</v>
      </c>
      <c r="Y8" s="39"/>
    </row>
    <row r="9" spans="1:27" ht="22.5" customHeight="1">
      <c r="A9" s="160"/>
      <c r="B9" s="41" t="s">
        <v>77</v>
      </c>
      <c r="C9" s="38" t="s">
        <v>26</v>
      </c>
      <c r="D9" s="39" t="s">
        <v>219</v>
      </c>
      <c r="E9" s="39" t="s">
        <v>221</v>
      </c>
      <c r="F9" s="39" t="s">
        <v>218</v>
      </c>
      <c r="G9" s="39" t="s">
        <v>219</v>
      </c>
      <c r="H9" s="39" t="s">
        <v>219</v>
      </c>
      <c r="I9" s="39" t="s">
        <v>218</v>
      </c>
      <c r="J9" s="39" t="s">
        <v>219</v>
      </c>
      <c r="K9" s="39" t="s">
        <v>219</v>
      </c>
      <c r="L9" s="39" t="s">
        <v>219</v>
      </c>
      <c r="M9" s="39" t="s">
        <v>218</v>
      </c>
      <c r="N9" s="39" t="s">
        <v>218</v>
      </c>
      <c r="O9" s="39" t="s">
        <v>218</v>
      </c>
      <c r="P9" s="39" t="s">
        <v>218</v>
      </c>
      <c r="Q9" s="39" t="s">
        <v>219</v>
      </c>
      <c r="R9" s="39" t="s">
        <v>218</v>
      </c>
      <c r="S9" s="39" t="s">
        <v>219</v>
      </c>
      <c r="T9" s="39" t="s">
        <v>221</v>
      </c>
      <c r="U9" s="39" t="s">
        <v>221</v>
      </c>
      <c r="V9" s="39" t="s">
        <v>219</v>
      </c>
      <c r="W9" s="39" t="s">
        <v>219</v>
      </c>
      <c r="X9" s="39" t="s">
        <v>219</v>
      </c>
      <c r="Y9" s="39"/>
    </row>
    <row r="10" spans="1:27" ht="22.5" customHeight="1">
      <c r="A10" s="160"/>
      <c r="B10" s="41" t="s">
        <v>78</v>
      </c>
      <c r="C10" s="38" t="s">
        <v>26</v>
      </c>
      <c r="D10" s="39" t="s">
        <v>218</v>
      </c>
      <c r="E10" s="39" t="s">
        <v>218</v>
      </c>
      <c r="F10" s="39" t="s">
        <v>219</v>
      </c>
      <c r="G10" s="39" t="s">
        <v>219</v>
      </c>
      <c r="H10" s="39" t="s">
        <v>219</v>
      </c>
      <c r="I10" s="39" t="s">
        <v>218</v>
      </c>
      <c r="J10" s="39" t="s">
        <v>218</v>
      </c>
      <c r="K10" s="39" t="s">
        <v>219</v>
      </c>
      <c r="L10" s="39" t="s">
        <v>218</v>
      </c>
      <c r="M10" s="39" t="s">
        <v>219</v>
      </c>
      <c r="N10" s="39" t="s">
        <v>218</v>
      </c>
      <c r="O10" s="39" t="s">
        <v>218</v>
      </c>
      <c r="P10" s="39" t="s">
        <v>219</v>
      </c>
      <c r="Q10" s="39" t="s">
        <v>218</v>
      </c>
      <c r="R10" s="39" t="s">
        <v>218</v>
      </c>
      <c r="S10" s="39" t="s">
        <v>219</v>
      </c>
      <c r="T10" s="39" t="s">
        <v>218</v>
      </c>
      <c r="U10" s="39" t="s">
        <v>218</v>
      </c>
      <c r="V10" s="39" t="s">
        <v>218</v>
      </c>
      <c r="W10" s="39" t="s">
        <v>218</v>
      </c>
      <c r="X10" s="39" t="s">
        <v>218</v>
      </c>
      <c r="Y10" s="39"/>
    </row>
    <row r="11" spans="1:27" ht="22.5" customHeight="1">
      <c r="A11" s="160"/>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1"/>
      <c r="B12" s="42"/>
      <c r="C12" s="43" t="s">
        <v>27</v>
      </c>
      <c r="D12" s="39">
        <v>5</v>
      </c>
      <c r="E12" s="39">
        <v>3</v>
      </c>
      <c r="F12" s="39">
        <v>3</v>
      </c>
      <c r="G12" s="39">
        <v>5</v>
      </c>
      <c r="H12" s="39">
        <v>5</v>
      </c>
      <c r="I12" s="39">
        <v>4</v>
      </c>
      <c r="J12" s="39">
        <v>3</v>
      </c>
      <c r="K12" s="39">
        <v>5</v>
      </c>
      <c r="L12" s="39">
        <v>5</v>
      </c>
      <c r="M12" s="39">
        <v>4</v>
      </c>
      <c r="N12" s="39">
        <v>5</v>
      </c>
      <c r="O12" s="39">
        <v>4</v>
      </c>
      <c r="P12" s="39">
        <v>4</v>
      </c>
      <c r="Q12" s="39">
        <v>3</v>
      </c>
      <c r="R12" s="39">
        <v>3</v>
      </c>
      <c r="S12" s="39">
        <v>5</v>
      </c>
      <c r="T12" s="39">
        <v>2</v>
      </c>
      <c r="U12" s="39">
        <v>3</v>
      </c>
      <c r="V12" s="39">
        <v>4</v>
      </c>
      <c r="W12" s="39">
        <v>4</v>
      </c>
      <c r="X12" s="39">
        <v>4</v>
      </c>
      <c r="Y12" s="39"/>
    </row>
    <row r="13" spans="1:27" ht="26.25" customHeight="1">
      <c r="A13" s="44"/>
      <c r="B13" s="44"/>
      <c r="C13" s="75" t="s">
        <v>53</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87</v>
      </c>
      <c r="B15" s="156"/>
      <c r="C15" s="157"/>
      <c r="D15" s="157"/>
      <c r="E15" s="157"/>
      <c r="F15" s="157"/>
      <c r="G15" s="157"/>
      <c r="H15" s="157"/>
      <c r="I15" s="157"/>
      <c r="J15" s="157"/>
      <c r="K15" s="157"/>
      <c r="L15" s="157"/>
      <c r="M15" s="157"/>
      <c r="N15" s="157"/>
      <c r="O15" s="157"/>
      <c r="P15" s="157"/>
      <c r="Q15" s="157"/>
      <c r="R15" s="157"/>
      <c r="S15" s="157"/>
      <c r="T15" s="157"/>
      <c r="U15" s="157"/>
      <c r="V15" s="157"/>
      <c r="W15" s="157"/>
      <c r="X15" s="157"/>
      <c r="Y15" s="158"/>
    </row>
    <row r="16" spans="1:27" ht="59.25" customHeight="1">
      <c r="A16" s="46" t="s">
        <v>88</v>
      </c>
      <c r="B16" s="156"/>
      <c r="C16" s="157"/>
      <c r="D16" s="157"/>
      <c r="E16" s="157"/>
      <c r="F16" s="157"/>
      <c r="G16" s="157"/>
      <c r="H16" s="157"/>
      <c r="I16" s="157"/>
      <c r="J16" s="157"/>
      <c r="K16" s="157"/>
      <c r="L16" s="157"/>
      <c r="M16" s="157"/>
      <c r="N16" s="157"/>
      <c r="O16" s="157"/>
      <c r="P16" s="157"/>
      <c r="Q16" s="157"/>
      <c r="R16" s="157"/>
      <c r="S16" s="157"/>
      <c r="T16" s="157"/>
      <c r="U16" s="157"/>
      <c r="V16" s="157"/>
      <c r="W16" s="157"/>
      <c r="X16" s="157"/>
      <c r="Y16" s="158"/>
    </row>
    <row r="17" spans="1:25" ht="59.25" customHeight="1">
      <c r="A17" s="46" t="s">
        <v>89</v>
      </c>
      <c r="B17" s="156"/>
      <c r="C17" s="157"/>
      <c r="D17" s="157"/>
      <c r="E17" s="157"/>
      <c r="F17" s="157"/>
      <c r="G17" s="157"/>
      <c r="H17" s="157"/>
      <c r="I17" s="157"/>
      <c r="J17" s="157"/>
      <c r="K17" s="157"/>
      <c r="L17" s="157"/>
      <c r="M17" s="157"/>
      <c r="N17" s="157"/>
      <c r="O17" s="157"/>
      <c r="P17" s="157"/>
      <c r="Q17" s="157"/>
      <c r="R17" s="157"/>
      <c r="S17" s="157"/>
      <c r="T17" s="157"/>
      <c r="U17" s="157"/>
      <c r="V17" s="157"/>
      <c r="W17" s="157"/>
      <c r="X17" s="157"/>
      <c r="Y17" s="158"/>
    </row>
    <row r="18" spans="1:25" ht="59.25" customHeight="1">
      <c r="A18" s="46" t="s">
        <v>90</v>
      </c>
      <c r="B18" s="156"/>
      <c r="C18" s="157"/>
      <c r="D18" s="157"/>
      <c r="E18" s="157"/>
      <c r="F18" s="157"/>
      <c r="G18" s="157"/>
      <c r="H18" s="157"/>
      <c r="I18" s="157"/>
      <c r="J18" s="157"/>
      <c r="K18" s="157"/>
      <c r="L18" s="157"/>
      <c r="M18" s="157"/>
      <c r="N18" s="157"/>
      <c r="O18" s="157"/>
      <c r="P18" s="157"/>
      <c r="Q18" s="157"/>
      <c r="R18" s="157"/>
      <c r="S18" s="157"/>
      <c r="T18" s="157"/>
      <c r="U18" s="157"/>
      <c r="V18" s="157"/>
      <c r="W18" s="157"/>
      <c r="X18" s="157"/>
      <c r="Y18" s="158"/>
    </row>
    <row r="19" spans="1:25" ht="59.25" customHeight="1">
      <c r="A19" s="46" t="s">
        <v>91</v>
      </c>
      <c r="B19" s="156"/>
      <c r="C19" s="157"/>
      <c r="D19" s="157"/>
      <c r="E19" s="157"/>
      <c r="F19" s="157"/>
      <c r="G19" s="157"/>
      <c r="H19" s="157"/>
      <c r="I19" s="157"/>
      <c r="J19" s="157"/>
      <c r="K19" s="157"/>
      <c r="L19" s="157"/>
      <c r="M19" s="157"/>
      <c r="N19" s="157"/>
      <c r="O19" s="157"/>
      <c r="P19" s="157"/>
      <c r="Q19" s="157"/>
      <c r="R19" s="157"/>
      <c r="S19" s="157"/>
      <c r="T19" s="157"/>
      <c r="U19" s="157"/>
      <c r="V19" s="157"/>
      <c r="W19" s="157"/>
      <c r="X19" s="157"/>
      <c r="Y19" s="158"/>
    </row>
    <row r="20" spans="1:25" ht="59.25" customHeight="1">
      <c r="A20" s="46" t="s">
        <v>92</v>
      </c>
      <c r="B20" s="156"/>
      <c r="C20" s="157"/>
      <c r="D20" s="157"/>
      <c r="E20" s="157"/>
      <c r="F20" s="157"/>
      <c r="G20" s="157"/>
      <c r="H20" s="157"/>
      <c r="I20" s="157"/>
      <c r="J20" s="157"/>
      <c r="K20" s="157"/>
      <c r="L20" s="157"/>
      <c r="M20" s="157"/>
      <c r="N20" s="157"/>
      <c r="O20" s="157"/>
      <c r="P20" s="157"/>
      <c r="Q20" s="157"/>
      <c r="R20" s="157"/>
      <c r="S20" s="157"/>
      <c r="T20" s="157"/>
      <c r="U20" s="157"/>
      <c r="V20" s="157"/>
      <c r="W20" s="157"/>
      <c r="X20" s="157"/>
      <c r="Y20" s="158"/>
    </row>
    <row r="21" spans="1:25" ht="59.25" customHeight="1">
      <c r="A21" s="46" t="s">
        <v>93</v>
      </c>
      <c r="B21" s="156"/>
      <c r="C21" s="157"/>
      <c r="D21" s="157"/>
      <c r="E21" s="157"/>
      <c r="F21" s="157"/>
      <c r="G21" s="157"/>
      <c r="H21" s="157"/>
      <c r="I21" s="157"/>
      <c r="J21" s="157"/>
      <c r="K21" s="157"/>
      <c r="L21" s="157"/>
      <c r="M21" s="157"/>
      <c r="N21" s="157"/>
      <c r="O21" s="157"/>
      <c r="P21" s="157"/>
      <c r="Q21" s="157"/>
      <c r="R21" s="157"/>
      <c r="S21" s="157"/>
      <c r="T21" s="157"/>
      <c r="U21" s="157"/>
      <c r="V21" s="157"/>
      <c r="W21" s="157"/>
      <c r="X21" s="157"/>
      <c r="Y21" s="158"/>
    </row>
    <row r="22" spans="1:25" ht="59.25" customHeight="1">
      <c r="A22" s="46" t="s">
        <v>94</v>
      </c>
      <c r="B22" s="156"/>
      <c r="C22" s="157"/>
      <c r="D22" s="157"/>
      <c r="E22" s="157"/>
      <c r="F22" s="157"/>
      <c r="G22" s="157"/>
      <c r="H22" s="157"/>
      <c r="I22" s="157"/>
      <c r="J22" s="157"/>
      <c r="K22" s="157"/>
      <c r="L22" s="157"/>
      <c r="M22" s="157"/>
      <c r="N22" s="157"/>
      <c r="O22" s="157"/>
      <c r="P22" s="157"/>
      <c r="Q22" s="157"/>
      <c r="R22" s="157"/>
      <c r="S22" s="157"/>
      <c r="T22" s="157"/>
      <c r="U22" s="157"/>
      <c r="V22" s="157"/>
      <c r="W22" s="157"/>
      <c r="X22" s="157"/>
      <c r="Y22" s="158"/>
    </row>
    <row r="23" spans="1:25" ht="59.25" customHeight="1">
      <c r="A23" s="46" t="s">
        <v>95</v>
      </c>
      <c r="B23" s="156"/>
      <c r="C23" s="157"/>
      <c r="D23" s="157"/>
      <c r="E23" s="157"/>
      <c r="F23" s="157"/>
      <c r="G23" s="157"/>
      <c r="H23" s="157"/>
      <c r="I23" s="157"/>
      <c r="J23" s="157"/>
      <c r="K23" s="157"/>
      <c r="L23" s="157"/>
      <c r="M23" s="157"/>
      <c r="N23" s="157"/>
      <c r="O23" s="157"/>
      <c r="P23" s="157"/>
      <c r="Q23" s="157"/>
      <c r="R23" s="157"/>
      <c r="S23" s="157"/>
      <c r="T23" s="157"/>
      <c r="U23" s="157"/>
      <c r="V23" s="157"/>
      <c r="W23" s="157"/>
      <c r="X23" s="157"/>
      <c r="Y23" s="158"/>
    </row>
    <row r="24" spans="1:25" ht="59.25" customHeight="1">
      <c r="A24" s="46" t="s">
        <v>96</v>
      </c>
      <c r="B24" s="156"/>
      <c r="C24" s="157"/>
      <c r="D24" s="157"/>
      <c r="E24" s="157"/>
      <c r="F24" s="157"/>
      <c r="G24" s="157"/>
      <c r="H24" s="157"/>
      <c r="I24" s="157"/>
      <c r="J24" s="157"/>
      <c r="K24" s="157"/>
      <c r="L24" s="157"/>
      <c r="M24" s="157"/>
      <c r="N24" s="157"/>
      <c r="O24" s="157"/>
      <c r="P24" s="157"/>
      <c r="Q24" s="157"/>
      <c r="R24" s="157"/>
      <c r="S24" s="157"/>
      <c r="T24" s="157"/>
      <c r="U24" s="157"/>
      <c r="V24" s="157"/>
      <c r="W24" s="157"/>
      <c r="X24" s="157"/>
      <c r="Y24" s="158"/>
    </row>
    <row r="25" spans="1:25" ht="59.25" customHeight="1">
      <c r="A25" s="46" t="s">
        <v>97</v>
      </c>
      <c r="B25" s="156"/>
      <c r="C25" s="157"/>
      <c r="D25" s="157"/>
      <c r="E25" s="157"/>
      <c r="F25" s="157"/>
      <c r="G25" s="157"/>
      <c r="H25" s="157"/>
      <c r="I25" s="157"/>
      <c r="J25" s="157"/>
      <c r="K25" s="157"/>
      <c r="L25" s="157"/>
      <c r="M25" s="157"/>
      <c r="N25" s="157"/>
      <c r="O25" s="157"/>
      <c r="P25" s="157"/>
      <c r="Q25" s="157"/>
      <c r="R25" s="157"/>
      <c r="S25" s="157"/>
      <c r="T25" s="157"/>
      <c r="U25" s="157"/>
      <c r="V25" s="157"/>
      <c r="W25" s="157"/>
      <c r="X25" s="157"/>
      <c r="Y25" s="158"/>
    </row>
    <row r="26" spans="1:25" ht="59.25" customHeight="1">
      <c r="A26" s="46" t="s">
        <v>98</v>
      </c>
      <c r="B26" s="156"/>
      <c r="C26" s="157"/>
      <c r="D26" s="157"/>
      <c r="E26" s="157"/>
      <c r="F26" s="157"/>
      <c r="G26" s="157"/>
      <c r="H26" s="157"/>
      <c r="I26" s="157"/>
      <c r="J26" s="157"/>
      <c r="K26" s="157"/>
      <c r="L26" s="157"/>
      <c r="M26" s="157"/>
      <c r="N26" s="157"/>
      <c r="O26" s="157"/>
      <c r="P26" s="157"/>
      <c r="Q26" s="157"/>
      <c r="R26" s="157"/>
      <c r="S26" s="157"/>
      <c r="T26" s="157"/>
      <c r="U26" s="157"/>
      <c r="V26" s="157"/>
      <c r="W26" s="157"/>
      <c r="X26" s="157"/>
      <c r="Y26" s="158"/>
    </row>
    <row r="27" spans="1:25" ht="59.25" customHeight="1">
      <c r="A27" s="46" t="s">
        <v>99</v>
      </c>
      <c r="B27" s="156"/>
      <c r="C27" s="157"/>
      <c r="D27" s="157"/>
      <c r="E27" s="157"/>
      <c r="F27" s="157"/>
      <c r="G27" s="157"/>
      <c r="H27" s="157"/>
      <c r="I27" s="157"/>
      <c r="J27" s="157"/>
      <c r="K27" s="157"/>
      <c r="L27" s="157"/>
      <c r="M27" s="157"/>
      <c r="N27" s="157"/>
      <c r="O27" s="157"/>
      <c r="P27" s="157"/>
      <c r="Q27" s="157"/>
      <c r="R27" s="157"/>
      <c r="S27" s="157"/>
      <c r="T27" s="157"/>
      <c r="U27" s="157"/>
      <c r="V27" s="157"/>
      <c r="W27" s="157"/>
      <c r="X27" s="157"/>
      <c r="Y27" s="158"/>
    </row>
    <row r="28" spans="1:25" ht="59.25" customHeight="1">
      <c r="A28" s="46" t="s">
        <v>100</v>
      </c>
      <c r="B28" s="156"/>
      <c r="C28" s="157"/>
      <c r="D28" s="157"/>
      <c r="E28" s="157"/>
      <c r="F28" s="157"/>
      <c r="G28" s="157"/>
      <c r="H28" s="157"/>
      <c r="I28" s="157"/>
      <c r="J28" s="157"/>
      <c r="K28" s="157"/>
      <c r="L28" s="157"/>
      <c r="M28" s="157"/>
      <c r="N28" s="157"/>
      <c r="O28" s="157"/>
      <c r="P28" s="157"/>
      <c r="Q28" s="157"/>
      <c r="R28" s="157"/>
      <c r="S28" s="157"/>
      <c r="T28" s="157"/>
      <c r="U28" s="157"/>
      <c r="V28" s="157"/>
      <c r="W28" s="157"/>
      <c r="X28" s="157"/>
      <c r="Y28" s="158"/>
    </row>
    <row r="29" spans="1:25" ht="59.25" customHeight="1">
      <c r="A29" s="46" t="s">
        <v>101</v>
      </c>
      <c r="B29" s="156"/>
      <c r="C29" s="157"/>
      <c r="D29" s="157"/>
      <c r="E29" s="157"/>
      <c r="F29" s="157"/>
      <c r="G29" s="157"/>
      <c r="H29" s="157"/>
      <c r="I29" s="157"/>
      <c r="J29" s="157"/>
      <c r="K29" s="157"/>
      <c r="L29" s="157"/>
      <c r="M29" s="157"/>
      <c r="N29" s="157"/>
      <c r="O29" s="157"/>
      <c r="P29" s="157"/>
      <c r="Q29" s="157"/>
      <c r="R29" s="157"/>
      <c r="S29" s="157"/>
      <c r="T29" s="157"/>
      <c r="U29" s="157"/>
      <c r="V29" s="157"/>
      <c r="W29" s="157"/>
      <c r="X29" s="157"/>
      <c r="Y29" s="158"/>
    </row>
    <row r="30" spans="1:25" ht="59.25" customHeight="1">
      <c r="A30" s="46" t="s">
        <v>102</v>
      </c>
      <c r="B30" s="156"/>
      <c r="C30" s="157"/>
      <c r="D30" s="157"/>
      <c r="E30" s="157"/>
      <c r="F30" s="157"/>
      <c r="G30" s="157"/>
      <c r="H30" s="157"/>
      <c r="I30" s="157"/>
      <c r="J30" s="157"/>
      <c r="K30" s="157"/>
      <c r="L30" s="157"/>
      <c r="M30" s="157"/>
      <c r="N30" s="157"/>
      <c r="O30" s="157"/>
      <c r="P30" s="157"/>
      <c r="Q30" s="157"/>
      <c r="R30" s="157"/>
      <c r="S30" s="157"/>
      <c r="T30" s="157"/>
      <c r="U30" s="157"/>
      <c r="V30" s="157"/>
      <c r="W30" s="157"/>
      <c r="X30" s="157"/>
      <c r="Y30" s="158"/>
    </row>
    <row r="31" spans="1:25" ht="59.25" customHeight="1">
      <c r="A31" s="46" t="s">
        <v>103</v>
      </c>
      <c r="B31" s="156"/>
      <c r="C31" s="157"/>
      <c r="D31" s="157"/>
      <c r="E31" s="157"/>
      <c r="F31" s="157"/>
      <c r="G31" s="157"/>
      <c r="H31" s="157"/>
      <c r="I31" s="157"/>
      <c r="J31" s="157"/>
      <c r="K31" s="157"/>
      <c r="L31" s="157"/>
      <c r="M31" s="157"/>
      <c r="N31" s="157"/>
      <c r="O31" s="157"/>
      <c r="P31" s="157"/>
      <c r="Q31" s="157"/>
      <c r="R31" s="157"/>
      <c r="S31" s="157"/>
      <c r="T31" s="157"/>
      <c r="U31" s="157"/>
      <c r="V31" s="157"/>
      <c r="W31" s="157"/>
      <c r="X31" s="157"/>
      <c r="Y31" s="158"/>
    </row>
    <row r="32" spans="1:25" ht="59.25" customHeight="1">
      <c r="A32" s="46" t="s">
        <v>104</v>
      </c>
      <c r="B32" s="156"/>
      <c r="C32" s="157"/>
      <c r="D32" s="157"/>
      <c r="E32" s="157"/>
      <c r="F32" s="157"/>
      <c r="G32" s="157"/>
      <c r="H32" s="157"/>
      <c r="I32" s="157"/>
      <c r="J32" s="157"/>
      <c r="K32" s="157"/>
      <c r="L32" s="157"/>
      <c r="M32" s="157"/>
      <c r="N32" s="157"/>
      <c r="O32" s="157"/>
      <c r="P32" s="157"/>
      <c r="Q32" s="157"/>
      <c r="R32" s="157"/>
      <c r="S32" s="157"/>
      <c r="T32" s="157"/>
      <c r="U32" s="157"/>
      <c r="V32" s="157"/>
      <c r="W32" s="157"/>
      <c r="X32" s="157"/>
      <c r="Y32" s="158"/>
    </row>
    <row r="33" spans="1:25" ht="59.25" customHeight="1">
      <c r="A33" s="46" t="s">
        <v>105</v>
      </c>
      <c r="B33" s="156"/>
      <c r="C33" s="157"/>
      <c r="D33" s="157"/>
      <c r="E33" s="157"/>
      <c r="F33" s="157"/>
      <c r="G33" s="157"/>
      <c r="H33" s="157"/>
      <c r="I33" s="157"/>
      <c r="J33" s="157"/>
      <c r="K33" s="157"/>
      <c r="L33" s="157"/>
      <c r="M33" s="157"/>
      <c r="N33" s="157"/>
      <c r="O33" s="157"/>
      <c r="P33" s="157"/>
      <c r="Q33" s="157"/>
      <c r="R33" s="157"/>
      <c r="S33" s="157"/>
      <c r="T33" s="157"/>
      <c r="U33" s="157"/>
      <c r="V33" s="157"/>
      <c r="W33" s="157"/>
      <c r="X33" s="157"/>
      <c r="Y33" s="158"/>
    </row>
    <row r="34" spans="1:25" ht="59.25" customHeight="1">
      <c r="A34" s="46" t="s">
        <v>106</v>
      </c>
      <c r="B34" s="156"/>
      <c r="C34" s="157"/>
      <c r="D34" s="157"/>
      <c r="E34" s="157"/>
      <c r="F34" s="157"/>
      <c r="G34" s="157"/>
      <c r="H34" s="157"/>
      <c r="I34" s="157"/>
      <c r="J34" s="157"/>
      <c r="K34" s="157"/>
      <c r="L34" s="157"/>
      <c r="M34" s="157"/>
      <c r="N34" s="157"/>
      <c r="O34" s="157"/>
      <c r="P34" s="157"/>
      <c r="Q34" s="157"/>
      <c r="R34" s="157"/>
      <c r="S34" s="157"/>
      <c r="T34" s="157"/>
      <c r="U34" s="157"/>
      <c r="V34" s="157"/>
      <c r="W34" s="157"/>
      <c r="X34" s="157"/>
      <c r="Y34" s="158"/>
    </row>
    <row r="35" spans="1:25" ht="59.25" customHeight="1">
      <c r="A35" s="46" t="s">
        <v>107</v>
      </c>
      <c r="B35" s="156"/>
      <c r="C35" s="157"/>
      <c r="D35" s="157"/>
      <c r="E35" s="157"/>
      <c r="F35" s="157"/>
      <c r="G35" s="157"/>
      <c r="H35" s="157"/>
      <c r="I35" s="157"/>
      <c r="J35" s="157"/>
      <c r="K35" s="157"/>
      <c r="L35" s="157"/>
      <c r="M35" s="157"/>
      <c r="N35" s="157"/>
      <c r="O35" s="157"/>
      <c r="P35" s="157"/>
      <c r="Q35" s="157"/>
      <c r="R35" s="157"/>
      <c r="S35" s="157"/>
      <c r="T35" s="157"/>
      <c r="U35" s="157"/>
      <c r="V35" s="157"/>
      <c r="W35" s="157"/>
      <c r="X35" s="157"/>
      <c r="Y35" s="158"/>
    </row>
    <row r="36" spans="1:25" ht="59.25" customHeight="1">
      <c r="A36" s="46"/>
      <c r="B36" s="156"/>
      <c r="C36" s="157"/>
      <c r="D36" s="157"/>
      <c r="E36" s="157"/>
      <c r="F36" s="157"/>
      <c r="G36" s="157"/>
      <c r="H36" s="157"/>
      <c r="I36" s="157"/>
      <c r="J36" s="157"/>
      <c r="K36" s="157"/>
      <c r="L36" s="157"/>
      <c r="M36" s="157"/>
      <c r="N36" s="157"/>
      <c r="O36" s="157"/>
      <c r="P36" s="157"/>
      <c r="Q36" s="157"/>
      <c r="R36" s="157"/>
      <c r="S36" s="157"/>
      <c r="T36" s="157"/>
      <c r="U36" s="157"/>
      <c r="V36" s="157"/>
      <c r="W36" s="157"/>
      <c r="X36" s="157"/>
      <c r="Y36" s="158"/>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4:Y14"/>
    <mergeCell ref="B15:Y15"/>
    <mergeCell ref="B16:Y16"/>
    <mergeCell ref="B17:Y17"/>
    <mergeCell ref="B18:Y18"/>
    <mergeCell ref="B19:Y19"/>
    <mergeCell ref="B20:Y20"/>
    <mergeCell ref="B21:Y21"/>
    <mergeCell ref="B22:Y22"/>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s>
  <phoneticPr fontId="1"/>
  <dataValidations count="2">
    <dataValidation type="list" allowBlank="1" showDropDown="1" showInputMessage="1" showErrorMessage="1" sqref="D6:Y11 D5:L5 N5:Y5 D2:Y4">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３－１</v>
      </c>
      <c r="B1" s="34" t="str">
        <f ca="1">RIGHT(CELL("filename",B1),LEN(CELL("filename",B1))-FIND("]",CELL("filename",B1)))</f>
        <v>算数</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37"/>
    </row>
    <row r="2" spans="1:27" ht="22.5" customHeight="1">
      <c r="A2" s="159" t="s">
        <v>236</v>
      </c>
      <c r="B2" s="41" t="s">
        <v>54</v>
      </c>
      <c r="C2" s="38" t="s">
        <v>26</v>
      </c>
      <c r="D2" s="39" t="s">
        <v>237</v>
      </c>
      <c r="E2" s="39" t="s">
        <v>238</v>
      </c>
      <c r="F2" s="39" t="s">
        <v>237</v>
      </c>
      <c r="G2" s="39" t="s">
        <v>237</v>
      </c>
      <c r="H2" s="39" t="s">
        <v>239</v>
      </c>
      <c r="I2" s="39" t="s">
        <v>239</v>
      </c>
      <c r="J2" s="39" t="s">
        <v>237</v>
      </c>
      <c r="K2" s="39" t="s">
        <v>237</v>
      </c>
      <c r="L2" s="39" t="s">
        <v>219</v>
      </c>
      <c r="M2" s="39" t="s">
        <v>237</v>
      </c>
      <c r="N2" s="39" t="s">
        <v>219</v>
      </c>
      <c r="O2" s="39" t="s">
        <v>219</v>
      </c>
      <c r="P2" s="39" t="s">
        <v>219</v>
      </c>
      <c r="Q2" s="39" t="s">
        <v>239</v>
      </c>
      <c r="R2" s="39" t="s">
        <v>238</v>
      </c>
      <c r="S2" s="39" t="s">
        <v>239</v>
      </c>
      <c r="T2" s="39" t="s">
        <v>221</v>
      </c>
      <c r="U2" s="39" t="s">
        <v>219</v>
      </c>
      <c r="V2" s="39" t="s">
        <v>239</v>
      </c>
      <c r="W2" s="39" t="s">
        <v>239</v>
      </c>
      <c r="X2" s="39" t="s">
        <v>239</v>
      </c>
      <c r="Y2" s="39"/>
      <c r="Z2" s="40" t="s">
        <v>219</v>
      </c>
      <c r="AA2" s="40">
        <v>1</v>
      </c>
    </row>
    <row r="3" spans="1:27" ht="22.5" customHeight="1">
      <c r="A3" s="160"/>
      <c r="B3" s="41" t="s">
        <v>55</v>
      </c>
      <c r="C3" s="38" t="s">
        <v>26</v>
      </c>
      <c r="D3" s="39" t="s">
        <v>237</v>
      </c>
      <c r="E3" s="39" t="s">
        <v>219</v>
      </c>
      <c r="F3" s="39" t="s">
        <v>219</v>
      </c>
      <c r="G3" s="39" t="s">
        <v>219</v>
      </c>
      <c r="H3" s="39" t="s">
        <v>239</v>
      </c>
      <c r="I3" s="39" t="s">
        <v>239</v>
      </c>
      <c r="J3" s="39" t="s">
        <v>219</v>
      </c>
      <c r="K3" s="39" t="s">
        <v>237</v>
      </c>
      <c r="L3" s="39" t="s">
        <v>219</v>
      </c>
      <c r="M3" s="39" t="s">
        <v>219</v>
      </c>
      <c r="N3" s="39" t="s">
        <v>219</v>
      </c>
      <c r="O3" s="39" t="s">
        <v>237</v>
      </c>
      <c r="P3" s="39" t="s">
        <v>219</v>
      </c>
      <c r="Q3" s="39" t="s">
        <v>239</v>
      </c>
      <c r="R3" s="39" t="s">
        <v>219</v>
      </c>
      <c r="S3" s="39" t="s">
        <v>219</v>
      </c>
      <c r="T3" s="39" t="s">
        <v>239</v>
      </c>
      <c r="U3" s="39" t="s">
        <v>219</v>
      </c>
      <c r="V3" s="39" t="s">
        <v>219</v>
      </c>
      <c r="W3" s="39" t="s">
        <v>239</v>
      </c>
      <c r="X3" s="39" t="s">
        <v>219</v>
      </c>
      <c r="Y3" s="39"/>
      <c r="Z3" s="40" t="s">
        <v>218</v>
      </c>
      <c r="AA3" s="40">
        <v>2</v>
      </c>
    </row>
    <row r="4" spans="1:27" ht="22.5" customHeight="1">
      <c r="A4" s="160"/>
      <c r="B4" s="41" t="s">
        <v>56</v>
      </c>
      <c r="C4" s="38" t="s">
        <v>26</v>
      </c>
      <c r="D4" s="39" t="s">
        <v>239</v>
      </c>
      <c r="E4" s="39" t="s">
        <v>218</v>
      </c>
      <c r="F4" s="39" t="s">
        <v>237</v>
      </c>
      <c r="G4" s="39" t="s">
        <v>218</v>
      </c>
      <c r="H4" s="39" t="s">
        <v>219</v>
      </c>
      <c r="I4" s="39" t="s">
        <v>237</v>
      </c>
      <c r="J4" s="39" t="s">
        <v>237</v>
      </c>
      <c r="K4" s="39" t="s">
        <v>237</v>
      </c>
      <c r="L4" s="39" t="s">
        <v>239</v>
      </c>
      <c r="M4" s="39" t="s">
        <v>219</v>
      </c>
      <c r="N4" s="39" t="s">
        <v>237</v>
      </c>
      <c r="O4" s="39" t="s">
        <v>218</v>
      </c>
      <c r="P4" s="39" t="s">
        <v>221</v>
      </c>
      <c r="Q4" s="39" t="s">
        <v>219</v>
      </c>
      <c r="R4" s="39" t="s">
        <v>219</v>
      </c>
      <c r="S4" s="39" t="s">
        <v>219</v>
      </c>
      <c r="T4" s="39" t="s">
        <v>221</v>
      </c>
      <c r="U4" s="39" t="s">
        <v>219</v>
      </c>
      <c r="V4" s="39" t="s">
        <v>219</v>
      </c>
      <c r="W4" s="39" t="s">
        <v>219</v>
      </c>
      <c r="X4" s="39" t="s">
        <v>219</v>
      </c>
      <c r="Y4" s="39"/>
      <c r="Z4" s="40" t="s">
        <v>221</v>
      </c>
      <c r="AA4" s="40">
        <v>3</v>
      </c>
    </row>
    <row r="5" spans="1:27" ht="22.5" customHeight="1">
      <c r="A5" s="160"/>
      <c r="B5" s="41" t="s">
        <v>57</v>
      </c>
      <c r="C5" s="38" t="s">
        <v>26</v>
      </c>
      <c r="D5" s="39" t="s">
        <v>219</v>
      </c>
      <c r="E5" s="39" t="s">
        <v>219</v>
      </c>
      <c r="F5" s="39" t="s">
        <v>219</v>
      </c>
      <c r="G5" s="39" t="s">
        <v>237</v>
      </c>
      <c r="H5" s="39" t="s">
        <v>237</v>
      </c>
      <c r="I5" s="39" t="s">
        <v>219</v>
      </c>
      <c r="J5" s="39" t="s">
        <v>219</v>
      </c>
      <c r="K5" s="39" t="s">
        <v>219</v>
      </c>
      <c r="L5" s="39" t="s">
        <v>219</v>
      </c>
      <c r="M5" s="39" t="s">
        <v>219</v>
      </c>
      <c r="N5" s="39" t="s">
        <v>219</v>
      </c>
      <c r="O5" s="39" t="s">
        <v>219</v>
      </c>
      <c r="P5" s="39" t="s">
        <v>219</v>
      </c>
      <c r="Q5" s="39" t="s">
        <v>237</v>
      </c>
      <c r="R5" s="39" t="s">
        <v>237</v>
      </c>
      <c r="S5" s="39" t="s">
        <v>239</v>
      </c>
      <c r="T5" s="39" t="s">
        <v>237</v>
      </c>
      <c r="U5" s="39" t="s">
        <v>219</v>
      </c>
      <c r="V5" s="39" t="s">
        <v>219</v>
      </c>
      <c r="W5" s="39" t="s">
        <v>219</v>
      </c>
      <c r="X5" s="39" t="s">
        <v>219</v>
      </c>
      <c r="Y5" s="39"/>
      <c r="Z5" s="40" t="s">
        <v>220</v>
      </c>
      <c r="AA5" s="40">
        <v>4</v>
      </c>
    </row>
    <row r="6" spans="1:27" ht="22.5" customHeight="1">
      <c r="A6" s="160"/>
      <c r="B6" s="41" t="s">
        <v>108</v>
      </c>
      <c r="C6" s="38" t="s">
        <v>26</v>
      </c>
      <c r="D6" s="39" t="s">
        <v>219</v>
      </c>
      <c r="E6" s="39" t="s">
        <v>219</v>
      </c>
      <c r="F6" s="39" t="s">
        <v>219</v>
      </c>
      <c r="G6" s="39" t="s">
        <v>237</v>
      </c>
      <c r="H6" s="39" t="s">
        <v>218</v>
      </c>
      <c r="I6" s="39" t="s">
        <v>240</v>
      </c>
      <c r="J6" s="39" t="s">
        <v>219</v>
      </c>
      <c r="K6" s="39" t="s">
        <v>219</v>
      </c>
      <c r="L6" s="39" t="s">
        <v>219</v>
      </c>
      <c r="M6" s="39" t="s">
        <v>219</v>
      </c>
      <c r="N6" s="39" t="s">
        <v>219</v>
      </c>
      <c r="O6" s="39" t="s">
        <v>219</v>
      </c>
      <c r="P6" s="39" t="s">
        <v>238</v>
      </c>
      <c r="Q6" s="39" t="s">
        <v>219</v>
      </c>
      <c r="R6" s="39" t="s">
        <v>219</v>
      </c>
      <c r="S6" s="39" t="s">
        <v>219</v>
      </c>
      <c r="T6" s="39" t="s">
        <v>221</v>
      </c>
      <c r="U6" s="39" t="s">
        <v>219</v>
      </c>
      <c r="V6" s="39" t="s">
        <v>219</v>
      </c>
      <c r="W6" s="39" t="s">
        <v>219</v>
      </c>
      <c r="X6" s="39" t="s">
        <v>219</v>
      </c>
      <c r="Y6" s="39"/>
      <c r="Z6" s="40"/>
      <c r="AA6" s="40">
        <v>5</v>
      </c>
    </row>
    <row r="7" spans="1:27" ht="22.5" customHeight="1">
      <c r="A7" s="160"/>
      <c r="B7" s="41"/>
      <c r="C7" s="38" t="s">
        <v>26</v>
      </c>
      <c r="D7" s="39"/>
      <c r="E7" s="39"/>
      <c r="F7" s="39"/>
      <c r="G7" s="39"/>
      <c r="H7" s="39"/>
      <c r="I7" s="39"/>
      <c r="J7" s="39"/>
      <c r="K7" s="39"/>
      <c r="L7" s="39"/>
      <c r="M7" s="39"/>
      <c r="N7" s="39"/>
      <c r="O7" s="39"/>
      <c r="P7" s="39"/>
      <c r="Q7" s="39"/>
      <c r="R7" s="39"/>
      <c r="S7" s="39"/>
      <c r="T7" s="39"/>
      <c r="U7" s="39"/>
      <c r="V7" s="39"/>
      <c r="W7" s="39"/>
      <c r="X7" s="39"/>
      <c r="Y7" s="39"/>
      <c r="Z7" s="40"/>
      <c r="AA7" s="40" t="s">
        <v>220</v>
      </c>
    </row>
    <row r="8" spans="1:27" ht="22.5" customHeight="1">
      <c r="A8" s="160"/>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60"/>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60"/>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60"/>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1"/>
      <c r="B12" s="42"/>
      <c r="C12" s="43" t="s">
        <v>27</v>
      </c>
      <c r="D12" s="39">
        <v>5</v>
      </c>
      <c r="E12" s="39">
        <v>4</v>
      </c>
      <c r="F12" s="39">
        <v>5</v>
      </c>
      <c r="G12" s="39">
        <v>5</v>
      </c>
      <c r="H12" s="39">
        <v>5</v>
      </c>
      <c r="I12" s="39">
        <v>4</v>
      </c>
      <c r="J12" s="39">
        <v>5</v>
      </c>
      <c r="K12" s="39">
        <v>5</v>
      </c>
      <c r="L12" s="39">
        <v>5</v>
      </c>
      <c r="M12" s="39">
        <v>5</v>
      </c>
      <c r="N12" s="39">
        <v>5</v>
      </c>
      <c r="O12" s="39">
        <v>5</v>
      </c>
      <c r="P12" s="39">
        <v>3</v>
      </c>
      <c r="Q12" s="39">
        <v>5</v>
      </c>
      <c r="R12" s="39">
        <v>5</v>
      </c>
      <c r="S12" s="39">
        <v>5</v>
      </c>
      <c r="T12" s="39">
        <v>2</v>
      </c>
      <c r="U12" s="39">
        <v>5</v>
      </c>
      <c r="V12" s="39">
        <v>5</v>
      </c>
      <c r="W12" s="39">
        <v>5</v>
      </c>
      <c r="X12" s="39">
        <v>5</v>
      </c>
      <c r="Y12" s="39"/>
    </row>
    <row r="13" spans="1:27" ht="26.25" customHeight="1">
      <c r="A13" s="44"/>
      <c r="B13" s="44"/>
      <c r="C13" s="75" t="s">
        <v>53</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87</v>
      </c>
      <c r="B15" s="156" t="s">
        <v>109</v>
      </c>
      <c r="C15" s="157"/>
      <c r="D15" s="157"/>
      <c r="E15" s="157"/>
      <c r="F15" s="157"/>
      <c r="G15" s="157"/>
      <c r="H15" s="157"/>
      <c r="I15" s="157"/>
      <c r="J15" s="157"/>
      <c r="K15" s="157"/>
      <c r="L15" s="157"/>
      <c r="M15" s="157"/>
      <c r="N15" s="157"/>
      <c r="O15" s="157"/>
      <c r="P15" s="157"/>
      <c r="Q15" s="157"/>
      <c r="R15" s="157"/>
      <c r="S15" s="157"/>
      <c r="T15" s="157"/>
      <c r="U15" s="157"/>
      <c r="V15" s="157"/>
      <c r="W15" s="157"/>
      <c r="X15" s="157"/>
      <c r="Y15" s="158"/>
    </row>
    <row r="16" spans="1:27" ht="59.25" customHeight="1">
      <c r="A16" s="46" t="s">
        <v>88</v>
      </c>
      <c r="B16" s="156" t="s">
        <v>110</v>
      </c>
      <c r="C16" s="157"/>
      <c r="D16" s="157"/>
      <c r="E16" s="157"/>
      <c r="F16" s="157"/>
      <c r="G16" s="157"/>
      <c r="H16" s="157"/>
      <c r="I16" s="157"/>
      <c r="J16" s="157"/>
      <c r="K16" s="157"/>
      <c r="L16" s="157"/>
      <c r="M16" s="157"/>
      <c r="N16" s="157"/>
      <c r="O16" s="157"/>
      <c r="P16" s="157"/>
      <c r="Q16" s="157"/>
      <c r="R16" s="157"/>
      <c r="S16" s="157"/>
      <c r="T16" s="157"/>
      <c r="U16" s="157"/>
      <c r="V16" s="157"/>
      <c r="W16" s="157"/>
      <c r="X16" s="157"/>
      <c r="Y16" s="158"/>
    </row>
    <row r="17" spans="1:25" ht="59.25" customHeight="1">
      <c r="A17" s="46" t="s">
        <v>89</v>
      </c>
      <c r="B17" s="156" t="s">
        <v>111</v>
      </c>
      <c r="C17" s="157"/>
      <c r="D17" s="157"/>
      <c r="E17" s="157"/>
      <c r="F17" s="157"/>
      <c r="G17" s="157"/>
      <c r="H17" s="157"/>
      <c r="I17" s="157"/>
      <c r="J17" s="157"/>
      <c r="K17" s="157"/>
      <c r="L17" s="157"/>
      <c r="M17" s="157"/>
      <c r="N17" s="157"/>
      <c r="O17" s="157"/>
      <c r="P17" s="157"/>
      <c r="Q17" s="157"/>
      <c r="R17" s="157"/>
      <c r="S17" s="157"/>
      <c r="T17" s="157"/>
      <c r="U17" s="157"/>
      <c r="V17" s="157"/>
      <c r="W17" s="157"/>
      <c r="X17" s="157"/>
      <c r="Y17" s="158"/>
    </row>
    <row r="18" spans="1:25" ht="59.25" customHeight="1">
      <c r="A18" s="46" t="s">
        <v>90</v>
      </c>
      <c r="B18" s="156" t="s">
        <v>112</v>
      </c>
      <c r="C18" s="157"/>
      <c r="D18" s="157"/>
      <c r="E18" s="157"/>
      <c r="F18" s="157"/>
      <c r="G18" s="157"/>
      <c r="H18" s="157"/>
      <c r="I18" s="157"/>
      <c r="J18" s="157"/>
      <c r="K18" s="157"/>
      <c r="L18" s="157"/>
      <c r="M18" s="157"/>
      <c r="N18" s="157"/>
      <c r="O18" s="157"/>
      <c r="P18" s="157"/>
      <c r="Q18" s="157"/>
      <c r="R18" s="157"/>
      <c r="S18" s="157"/>
      <c r="T18" s="157"/>
      <c r="U18" s="157"/>
      <c r="V18" s="157"/>
      <c r="W18" s="157"/>
      <c r="X18" s="157"/>
      <c r="Y18" s="158"/>
    </row>
    <row r="19" spans="1:25" ht="59.25" customHeight="1">
      <c r="A19" s="46" t="s">
        <v>91</v>
      </c>
      <c r="B19" s="156" t="s">
        <v>113</v>
      </c>
      <c r="C19" s="157"/>
      <c r="D19" s="157"/>
      <c r="E19" s="157"/>
      <c r="F19" s="157"/>
      <c r="G19" s="157"/>
      <c r="H19" s="157"/>
      <c r="I19" s="157"/>
      <c r="J19" s="157"/>
      <c r="K19" s="157"/>
      <c r="L19" s="157"/>
      <c r="M19" s="157"/>
      <c r="N19" s="157"/>
      <c r="O19" s="157"/>
      <c r="P19" s="157"/>
      <c r="Q19" s="157"/>
      <c r="R19" s="157"/>
      <c r="S19" s="157"/>
      <c r="T19" s="157"/>
      <c r="U19" s="157"/>
      <c r="V19" s="157"/>
      <c r="W19" s="157"/>
      <c r="X19" s="157"/>
      <c r="Y19" s="158"/>
    </row>
    <row r="20" spans="1:25" ht="59.25" customHeight="1">
      <c r="A20" s="46" t="s">
        <v>92</v>
      </c>
      <c r="B20" s="156" t="s">
        <v>114</v>
      </c>
      <c r="C20" s="157"/>
      <c r="D20" s="157"/>
      <c r="E20" s="157"/>
      <c r="F20" s="157"/>
      <c r="G20" s="157"/>
      <c r="H20" s="157"/>
      <c r="I20" s="157"/>
      <c r="J20" s="157"/>
      <c r="K20" s="157"/>
      <c r="L20" s="157"/>
      <c r="M20" s="157"/>
      <c r="N20" s="157"/>
      <c r="O20" s="157"/>
      <c r="P20" s="157"/>
      <c r="Q20" s="157"/>
      <c r="R20" s="157"/>
      <c r="S20" s="157"/>
      <c r="T20" s="157"/>
      <c r="U20" s="157"/>
      <c r="V20" s="157"/>
      <c r="W20" s="157"/>
      <c r="X20" s="157"/>
      <c r="Y20" s="158"/>
    </row>
    <row r="21" spans="1:25" ht="59.25" customHeight="1">
      <c r="A21" s="46" t="s">
        <v>93</v>
      </c>
      <c r="B21" s="156" t="s">
        <v>115</v>
      </c>
      <c r="C21" s="157"/>
      <c r="D21" s="157"/>
      <c r="E21" s="157"/>
      <c r="F21" s="157"/>
      <c r="G21" s="157"/>
      <c r="H21" s="157"/>
      <c r="I21" s="157"/>
      <c r="J21" s="157"/>
      <c r="K21" s="157"/>
      <c r="L21" s="157"/>
      <c r="M21" s="157"/>
      <c r="N21" s="157"/>
      <c r="O21" s="157"/>
      <c r="P21" s="157"/>
      <c r="Q21" s="157"/>
      <c r="R21" s="157"/>
      <c r="S21" s="157"/>
      <c r="T21" s="157"/>
      <c r="U21" s="157"/>
      <c r="V21" s="157"/>
      <c r="W21" s="157"/>
      <c r="X21" s="157"/>
      <c r="Y21" s="158"/>
    </row>
    <row r="22" spans="1:25" ht="59.25" customHeight="1">
      <c r="A22" s="46" t="s">
        <v>94</v>
      </c>
      <c r="B22" s="156" t="s">
        <v>116</v>
      </c>
      <c r="C22" s="157"/>
      <c r="D22" s="157"/>
      <c r="E22" s="157"/>
      <c r="F22" s="157"/>
      <c r="G22" s="157"/>
      <c r="H22" s="157"/>
      <c r="I22" s="157"/>
      <c r="J22" s="157"/>
      <c r="K22" s="157"/>
      <c r="L22" s="157"/>
      <c r="M22" s="157"/>
      <c r="N22" s="157"/>
      <c r="O22" s="157"/>
      <c r="P22" s="157"/>
      <c r="Q22" s="157"/>
      <c r="R22" s="157"/>
      <c r="S22" s="157"/>
      <c r="T22" s="157"/>
      <c r="U22" s="157"/>
      <c r="V22" s="157"/>
      <c r="W22" s="157"/>
      <c r="X22" s="157"/>
      <c r="Y22" s="158"/>
    </row>
    <row r="23" spans="1:25" ht="59.25" customHeight="1">
      <c r="A23" s="46" t="s">
        <v>95</v>
      </c>
      <c r="B23" s="156" t="s">
        <v>117</v>
      </c>
      <c r="C23" s="157"/>
      <c r="D23" s="157"/>
      <c r="E23" s="157"/>
      <c r="F23" s="157"/>
      <c r="G23" s="157"/>
      <c r="H23" s="157"/>
      <c r="I23" s="157"/>
      <c r="J23" s="157"/>
      <c r="K23" s="157"/>
      <c r="L23" s="157"/>
      <c r="M23" s="157"/>
      <c r="N23" s="157"/>
      <c r="O23" s="157"/>
      <c r="P23" s="157"/>
      <c r="Q23" s="157"/>
      <c r="R23" s="157"/>
      <c r="S23" s="157"/>
      <c r="T23" s="157"/>
      <c r="U23" s="157"/>
      <c r="V23" s="157"/>
      <c r="W23" s="157"/>
      <c r="X23" s="157"/>
      <c r="Y23" s="158"/>
    </row>
    <row r="24" spans="1:25" ht="59.25" customHeight="1">
      <c r="A24" s="46" t="s">
        <v>96</v>
      </c>
      <c r="B24" s="156" t="s">
        <v>117</v>
      </c>
      <c r="C24" s="157"/>
      <c r="D24" s="157"/>
      <c r="E24" s="157"/>
      <c r="F24" s="157"/>
      <c r="G24" s="157"/>
      <c r="H24" s="157"/>
      <c r="I24" s="157"/>
      <c r="J24" s="157"/>
      <c r="K24" s="157"/>
      <c r="L24" s="157"/>
      <c r="M24" s="157"/>
      <c r="N24" s="157"/>
      <c r="O24" s="157"/>
      <c r="P24" s="157"/>
      <c r="Q24" s="157"/>
      <c r="R24" s="157"/>
      <c r="S24" s="157"/>
      <c r="T24" s="157"/>
      <c r="U24" s="157"/>
      <c r="V24" s="157"/>
      <c r="W24" s="157"/>
      <c r="X24" s="157"/>
      <c r="Y24" s="158"/>
    </row>
    <row r="25" spans="1:25" ht="59.25" customHeight="1">
      <c r="A25" s="46" t="s">
        <v>97</v>
      </c>
      <c r="B25" s="156" t="s">
        <v>118</v>
      </c>
      <c r="C25" s="157"/>
      <c r="D25" s="157"/>
      <c r="E25" s="157"/>
      <c r="F25" s="157"/>
      <c r="G25" s="157"/>
      <c r="H25" s="157"/>
      <c r="I25" s="157"/>
      <c r="J25" s="157"/>
      <c r="K25" s="157"/>
      <c r="L25" s="157"/>
      <c r="M25" s="157"/>
      <c r="N25" s="157"/>
      <c r="O25" s="157"/>
      <c r="P25" s="157"/>
      <c r="Q25" s="157"/>
      <c r="R25" s="157"/>
      <c r="S25" s="157"/>
      <c r="T25" s="157"/>
      <c r="U25" s="157"/>
      <c r="V25" s="157"/>
      <c r="W25" s="157"/>
      <c r="X25" s="157"/>
      <c r="Y25" s="158"/>
    </row>
    <row r="26" spans="1:25" ht="59.25" customHeight="1">
      <c r="A26" s="46" t="s">
        <v>98</v>
      </c>
      <c r="B26" s="156" t="s">
        <v>119</v>
      </c>
      <c r="C26" s="157"/>
      <c r="D26" s="157"/>
      <c r="E26" s="157"/>
      <c r="F26" s="157"/>
      <c r="G26" s="157"/>
      <c r="H26" s="157"/>
      <c r="I26" s="157"/>
      <c r="J26" s="157"/>
      <c r="K26" s="157"/>
      <c r="L26" s="157"/>
      <c r="M26" s="157"/>
      <c r="N26" s="157"/>
      <c r="O26" s="157"/>
      <c r="P26" s="157"/>
      <c r="Q26" s="157"/>
      <c r="R26" s="157"/>
      <c r="S26" s="157"/>
      <c r="T26" s="157"/>
      <c r="U26" s="157"/>
      <c r="V26" s="157"/>
      <c r="W26" s="157"/>
      <c r="X26" s="157"/>
      <c r="Y26" s="158"/>
    </row>
    <row r="27" spans="1:25" ht="59.25" customHeight="1">
      <c r="A27" s="46" t="s">
        <v>99</v>
      </c>
      <c r="B27" s="156" t="s">
        <v>120</v>
      </c>
      <c r="C27" s="157"/>
      <c r="D27" s="157"/>
      <c r="E27" s="157"/>
      <c r="F27" s="157"/>
      <c r="G27" s="157"/>
      <c r="H27" s="157"/>
      <c r="I27" s="157"/>
      <c r="J27" s="157"/>
      <c r="K27" s="157"/>
      <c r="L27" s="157"/>
      <c r="M27" s="157"/>
      <c r="N27" s="157"/>
      <c r="O27" s="157"/>
      <c r="P27" s="157"/>
      <c r="Q27" s="157"/>
      <c r="R27" s="157"/>
      <c r="S27" s="157"/>
      <c r="T27" s="157"/>
      <c r="U27" s="157"/>
      <c r="V27" s="157"/>
      <c r="W27" s="157"/>
      <c r="X27" s="157"/>
      <c r="Y27" s="158"/>
    </row>
    <row r="28" spans="1:25" ht="59.25" customHeight="1">
      <c r="A28" s="46" t="s">
        <v>100</v>
      </c>
      <c r="B28" s="156" t="s">
        <v>117</v>
      </c>
      <c r="C28" s="157"/>
      <c r="D28" s="157"/>
      <c r="E28" s="157"/>
      <c r="F28" s="157"/>
      <c r="G28" s="157"/>
      <c r="H28" s="157"/>
      <c r="I28" s="157"/>
      <c r="J28" s="157"/>
      <c r="K28" s="157"/>
      <c r="L28" s="157"/>
      <c r="M28" s="157"/>
      <c r="N28" s="157"/>
      <c r="O28" s="157"/>
      <c r="P28" s="157"/>
      <c r="Q28" s="157"/>
      <c r="R28" s="157"/>
      <c r="S28" s="157"/>
      <c r="T28" s="157"/>
      <c r="U28" s="157"/>
      <c r="V28" s="157"/>
      <c r="W28" s="157"/>
      <c r="X28" s="157"/>
      <c r="Y28" s="158"/>
    </row>
    <row r="29" spans="1:25" ht="59.25" customHeight="1">
      <c r="A29" s="46" t="s">
        <v>101</v>
      </c>
      <c r="B29" s="156" t="s">
        <v>121</v>
      </c>
      <c r="C29" s="157"/>
      <c r="D29" s="157"/>
      <c r="E29" s="157"/>
      <c r="F29" s="157"/>
      <c r="G29" s="157"/>
      <c r="H29" s="157"/>
      <c r="I29" s="157"/>
      <c r="J29" s="157"/>
      <c r="K29" s="157"/>
      <c r="L29" s="157"/>
      <c r="M29" s="157"/>
      <c r="N29" s="157"/>
      <c r="O29" s="157"/>
      <c r="P29" s="157"/>
      <c r="Q29" s="157"/>
      <c r="R29" s="157"/>
      <c r="S29" s="157"/>
      <c r="T29" s="157"/>
      <c r="U29" s="157"/>
      <c r="V29" s="157"/>
      <c r="W29" s="157"/>
      <c r="X29" s="157"/>
      <c r="Y29" s="158"/>
    </row>
    <row r="30" spans="1:25" ht="59.25" customHeight="1">
      <c r="A30" s="46" t="s">
        <v>102</v>
      </c>
      <c r="B30" s="156" t="s">
        <v>117</v>
      </c>
      <c r="C30" s="157"/>
      <c r="D30" s="157"/>
      <c r="E30" s="157"/>
      <c r="F30" s="157"/>
      <c r="G30" s="157"/>
      <c r="H30" s="157"/>
      <c r="I30" s="157"/>
      <c r="J30" s="157"/>
      <c r="K30" s="157"/>
      <c r="L30" s="157"/>
      <c r="M30" s="157"/>
      <c r="N30" s="157"/>
      <c r="O30" s="157"/>
      <c r="P30" s="157"/>
      <c r="Q30" s="157"/>
      <c r="R30" s="157"/>
      <c r="S30" s="157"/>
      <c r="T30" s="157"/>
      <c r="U30" s="157"/>
      <c r="V30" s="157"/>
      <c r="W30" s="157"/>
      <c r="X30" s="157"/>
      <c r="Y30" s="158"/>
    </row>
    <row r="31" spans="1:25" ht="59.25" customHeight="1">
      <c r="A31" s="46" t="s">
        <v>103</v>
      </c>
      <c r="B31" s="156" t="s">
        <v>122</v>
      </c>
      <c r="C31" s="157"/>
      <c r="D31" s="157"/>
      <c r="E31" s="157"/>
      <c r="F31" s="157"/>
      <c r="G31" s="157"/>
      <c r="H31" s="157"/>
      <c r="I31" s="157"/>
      <c r="J31" s="157"/>
      <c r="K31" s="157"/>
      <c r="L31" s="157"/>
      <c r="M31" s="157"/>
      <c r="N31" s="157"/>
      <c r="O31" s="157"/>
      <c r="P31" s="157"/>
      <c r="Q31" s="157"/>
      <c r="R31" s="157"/>
      <c r="S31" s="157"/>
      <c r="T31" s="157"/>
      <c r="U31" s="157"/>
      <c r="V31" s="157"/>
      <c r="W31" s="157"/>
      <c r="X31" s="157"/>
      <c r="Y31" s="158"/>
    </row>
    <row r="32" spans="1:25" ht="59.25" customHeight="1">
      <c r="A32" s="46" t="s">
        <v>104</v>
      </c>
      <c r="B32" s="156" t="s">
        <v>123</v>
      </c>
      <c r="C32" s="157"/>
      <c r="D32" s="157"/>
      <c r="E32" s="157"/>
      <c r="F32" s="157"/>
      <c r="G32" s="157"/>
      <c r="H32" s="157"/>
      <c r="I32" s="157"/>
      <c r="J32" s="157"/>
      <c r="K32" s="157"/>
      <c r="L32" s="157"/>
      <c r="M32" s="157"/>
      <c r="N32" s="157"/>
      <c r="O32" s="157"/>
      <c r="P32" s="157"/>
      <c r="Q32" s="157"/>
      <c r="R32" s="157"/>
      <c r="S32" s="157"/>
      <c r="T32" s="157"/>
      <c r="U32" s="157"/>
      <c r="V32" s="157"/>
      <c r="W32" s="157"/>
      <c r="X32" s="157"/>
      <c r="Y32" s="158"/>
    </row>
    <row r="33" spans="1:25" ht="59.25" customHeight="1">
      <c r="A33" s="46" t="s">
        <v>105</v>
      </c>
      <c r="B33" s="156" t="s">
        <v>117</v>
      </c>
      <c r="C33" s="157"/>
      <c r="D33" s="157"/>
      <c r="E33" s="157"/>
      <c r="F33" s="157"/>
      <c r="G33" s="157"/>
      <c r="H33" s="157"/>
      <c r="I33" s="157"/>
      <c r="J33" s="157"/>
      <c r="K33" s="157"/>
      <c r="L33" s="157"/>
      <c r="M33" s="157"/>
      <c r="N33" s="157"/>
      <c r="O33" s="157"/>
      <c r="P33" s="157"/>
      <c r="Q33" s="157"/>
      <c r="R33" s="157"/>
      <c r="S33" s="157"/>
      <c r="T33" s="157"/>
      <c r="U33" s="157"/>
      <c r="V33" s="157"/>
      <c r="W33" s="157"/>
      <c r="X33" s="157"/>
      <c r="Y33" s="158"/>
    </row>
    <row r="34" spans="1:25" ht="59.25" customHeight="1">
      <c r="A34" s="46" t="s">
        <v>106</v>
      </c>
      <c r="B34" s="156" t="s">
        <v>124</v>
      </c>
      <c r="C34" s="157"/>
      <c r="D34" s="157"/>
      <c r="E34" s="157"/>
      <c r="F34" s="157"/>
      <c r="G34" s="157"/>
      <c r="H34" s="157"/>
      <c r="I34" s="157"/>
      <c r="J34" s="157"/>
      <c r="K34" s="157"/>
      <c r="L34" s="157"/>
      <c r="M34" s="157"/>
      <c r="N34" s="157"/>
      <c r="O34" s="157"/>
      <c r="P34" s="157"/>
      <c r="Q34" s="157"/>
      <c r="R34" s="157"/>
      <c r="S34" s="157"/>
      <c r="T34" s="157"/>
      <c r="U34" s="157"/>
      <c r="V34" s="157"/>
      <c r="W34" s="157"/>
      <c r="X34" s="157"/>
      <c r="Y34" s="158"/>
    </row>
    <row r="35" spans="1:25" ht="59.25" customHeight="1">
      <c r="A35" s="46" t="s">
        <v>107</v>
      </c>
      <c r="B35" s="156" t="s">
        <v>125</v>
      </c>
      <c r="C35" s="157"/>
      <c r="D35" s="157"/>
      <c r="E35" s="157"/>
      <c r="F35" s="157"/>
      <c r="G35" s="157"/>
      <c r="H35" s="157"/>
      <c r="I35" s="157"/>
      <c r="J35" s="157"/>
      <c r="K35" s="157"/>
      <c r="L35" s="157"/>
      <c r="M35" s="157"/>
      <c r="N35" s="157"/>
      <c r="O35" s="157"/>
      <c r="P35" s="157"/>
      <c r="Q35" s="157"/>
      <c r="R35" s="157"/>
      <c r="S35" s="157"/>
      <c r="T35" s="157"/>
      <c r="U35" s="157"/>
      <c r="V35" s="157"/>
      <c r="W35" s="157"/>
      <c r="X35" s="157"/>
      <c r="Y35" s="158"/>
    </row>
    <row r="36" spans="1:25" ht="59.25" customHeight="1">
      <c r="A36" s="46"/>
      <c r="B36" s="156"/>
      <c r="C36" s="157"/>
      <c r="D36" s="157"/>
      <c r="E36" s="157"/>
      <c r="F36" s="157"/>
      <c r="G36" s="157"/>
      <c r="H36" s="157"/>
      <c r="I36" s="157"/>
      <c r="J36" s="157"/>
      <c r="K36" s="157"/>
      <c r="L36" s="157"/>
      <c r="M36" s="157"/>
      <c r="N36" s="157"/>
      <c r="O36" s="157"/>
      <c r="P36" s="157"/>
      <c r="Q36" s="157"/>
      <c r="R36" s="157"/>
      <c r="S36" s="157"/>
      <c r="T36" s="157"/>
      <c r="U36" s="157"/>
      <c r="V36" s="157"/>
      <c r="W36" s="157"/>
      <c r="X36" s="157"/>
      <c r="Y36" s="158"/>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4:Y14"/>
    <mergeCell ref="B15:Y15"/>
    <mergeCell ref="B16:Y16"/>
    <mergeCell ref="B17:Y17"/>
    <mergeCell ref="B18:Y18"/>
    <mergeCell ref="B19:Y19"/>
    <mergeCell ref="B20:Y20"/>
    <mergeCell ref="B21:Y21"/>
    <mergeCell ref="B22:Y22"/>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A190"/>
  <sheetViews>
    <sheetView workbookViewId="0">
      <selection sqref="A1:XFD1048576"/>
    </sheetView>
  </sheetViews>
  <sheetFormatPr defaultColWidth="8.875" defaultRowHeight="13.5"/>
  <cols>
    <col min="1" max="1" width="13.5" style="78" customWidth="1"/>
    <col min="2" max="2" width="79.125" style="78" customWidth="1"/>
    <col min="3" max="3" width="9.375" style="78" customWidth="1"/>
    <col min="4" max="25" width="4.125" style="78" customWidth="1"/>
    <col min="26" max="16384" width="8.875" style="78"/>
  </cols>
  <sheetData>
    <row r="1" spans="1:27" ht="85.5" customHeight="1">
      <c r="A1" s="76" t="str">
        <f ca="1">MID(CELL("filename",A1),FIND("[",CELL("filename",A1))+1,3)</f>
        <v>３－１</v>
      </c>
      <c r="B1" s="34" t="str">
        <f ca="1">RIGHT(CELL("filename",B1),LEN(CELL("filename",B1))-FIND("]",CELL("filename",B1)))</f>
        <v>理科</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77"/>
    </row>
    <row r="2" spans="1:27" ht="22.5" customHeight="1">
      <c r="A2" s="159" t="s">
        <v>241</v>
      </c>
      <c r="B2" s="41" t="s">
        <v>242</v>
      </c>
      <c r="C2" s="38" t="s">
        <v>26</v>
      </c>
      <c r="D2" s="79" t="s">
        <v>243</v>
      </c>
      <c r="E2" s="79" t="s">
        <v>243</v>
      </c>
      <c r="F2" s="79" t="s">
        <v>243</v>
      </c>
      <c r="G2" s="79" t="s">
        <v>219</v>
      </c>
      <c r="H2" s="79" t="s">
        <v>243</v>
      </c>
      <c r="I2" s="79" t="s">
        <v>243</v>
      </c>
      <c r="J2" s="79" t="s">
        <v>243</v>
      </c>
      <c r="K2" s="79" t="s">
        <v>243</v>
      </c>
      <c r="L2" s="79" t="s">
        <v>243</v>
      </c>
      <c r="M2" s="79" t="s">
        <v>219</v>
      </c>
      <c r="N2" s="79" t="s">
        <v>219</v>
      </c>
      <c r="O2" s="79" t="s">
        <v>243</v>
      </c>
      <c r="P2" s="79" t="s">
        <v>219</v>
      </c>
      <c r="Q2" s="79" t="s">
        <v>219</v>
      </c>
      <c r="R2" s="79" t="s">
        <v>243</v>
      </c>
      <c r="S2" s="79" t="s">
        <v>219</v>
      </c>
      <c r="T2" s="79" t="s">
        <v>219</v>
      </c>
      <c r="U2" s="79" t="s">
        <v>243</v>
      </c>
      <c r="V2" s="79" t="s">
        <v>219</v>
      </c>
      <c r="W2" s="79" t="s">
        <v>243</v>
      </c>
      <c r="X2" s="79" t="s">
        <v>219</v>
      </c>
      <c r="Y2" s="79"/>
      <c r="Z2" s="80" t="s">
        <v>219</v>
      </c>
      <c r="AA2" s="80">
        <v>1</v>
      </c>
    </row>
    <row r="3" spans="1:27" ht="22.5" customHeight="1">
      <c r="A3" s="160"/>
      <c r="B3" s="41" t="s">
        <v>58</v>
      </c>
      <c r="C3" s="38" t="s">
        <v>26</v>
      </c>
      <c r="D3" s="79" t="s">
        <v>219</v>
      </c>
      <c r="E3" s="79" t="s">
        <v>219</v>
      </c>
      <c r="F3" s="79" t="s">
        <v>219</v>
      </c>
      <c r="G3" s="79" t="s">
        <v>219</v>
      </c>
      <c r="H3" s="79" t="s">
        <v>243</v>
      </c>
      <c r="I3" s="79" t="s">
        <v>219</v>
      </c>
      <c r="J3" s="79" t="s">
        <v>219</v>
      </c>
      <c r="K3" s="79" t="s">
        <v>219</v>
      </c>
      <c r="L3" s="79" t="s">
        <v>219</v>
      </c>
      <c r="M3" s="79" t="s">
        <v>219</v>
      </c>
      <c r="N3" s="79" t="s">
        <v>219</v>
      </c>
      <c r="O3" s="79" t="s">
        <v>219</v>
      </c>
      <c r="P3" s="79" t="s">
        <v>219</v>
      </c>
      <c r="Q3" s="79" t="s">
        <v>219</v>
      </c>
      <c r="R3" s="79" t="s">
        <v>219</v>
      </c>
      <c r="S3" s="79" t="s">
        <v>219</v>
      </c>
      <c r="T3" s="79" t="s">
        <v>219</v>
      </c>
      <c r="U3" s="79" t="s">
        <v>219</v>
      </c>
      <c r="V3" s="79" t="s">
        <v>219</v>
      </c>
      <c r="W3" s="79" t="s">
        <v>219</v>
      </c>
      <c r="X3" s="79" t="s">
        <v>219</v>
      </c>
      <c r="Y3" s="79"/>
      <c r="Z3" s="80" t="s">
        <v>218</v>
      </c>
      <c r="AA3" s="80">
        <v>2</v>
      </c>
    </row>
    <row r="4" spans="1:27" ht="22.5" customHeight="1">
      <c r="A4" s="160"/>
      <c r="B4" s="41" t="s">
        <v>79</v>
      </c>
      <c r="C4" s="38" t="s">
        <v>26</v>
      </c>
      <c r="D4" s="79" t="s">
        <v>219</v>
      </c>
      <c r="E4" s="79" t="s">
        <v>219</v>
      </c>
      <c r="F4" s="79" t="s">
        <v>219</v>
      </c>
      <c r="G4" s="79" t="s">
        <v>219</v>
      </c>
      <c r="H4" s="79" t="s">
        <v>219</v>
      </c>
      <c r="I4" s="79" t="s">
        <v>219</v>
      </c>
      <c r="J4" s="79" t="s">
        <v>219</v>
      </c>
      <c r="K4" s="79" t="s">
        <v>219</v>
      </c>
      <c r="L4" s="79" t="s">
        <v>219</v>
      </c>
      <c r="M4" s="79" t="s">
        <v>219</v>
      </c>
      <c r="N4" s="79" t="s">
        <v>219</v>
      </c>
      <c r="O4" s="79" t="s">
        <v>219</v>
      </c>
      <c r="P4" s="79" t="s">
        <v>219</v>
      </c>
      <c r="Q4" s="79" t="s">
        <v>219</v>
      </c>
      <c r="R4" s="79" t="s">
        <v>243</v>
      </c>
      <c r="S4" s="79" t="s">
        <v>219</v>
      </c>
      <c r="T4" s="79" t="s">
        <v>219</v>
      </c>
      <c r="U4" s="79" t="s">
        <v>219</v>
      </c>
      <c r="V4" s="79" t="s">
        <v>219</v>
      </c>
      <c r="W4" s="79" t="s">
        <v>219</v>
      </c>
      <c r="X4" s="79" t="s">
        <v>219</v>
      </c>
      <c r="Y4" s="79"/>
      <c r="Z4" s="80" t="s">
        <v>221</v>
      </c>
      <c r="AA4" s="80">
        <v>3</v>
      </c>
    </row>
    <row r="5" spans="1:27" ht="22.5" customHeight="1">
      <c r="A5" s="160"/>
      <c r="B5" s="41" t="s">
        <v>80</v>
      </c>
      <c r="C5" s="38" t="s">
        <v>26</v>
      </c>
      <c r="D5" s="79" t="s">
        <v>219</v>
      </c>
      <c r="E5" s="79" t="s">
        <v>219</v>
      </c>
      <c r="F5" s="79" t="s">
        <v>219</v>
      </c>
      <c r="G5" s="79" t="s">
        <v>219</v>
      </c>
      <c r="H5" s="79" t="s">
        <v>219</v>
      </c>
      <c r="I5" s="79" t="s">
        <v>219</v>
      </c>
      <c r="J5" s="79" t="s">
        <v>219</v>
      </c>
      <c r="K5" s="79" t="s">
        <v>219</v>
      </c>
      <c r="L5" s="79" t="s">
        <v>219</v>
      </c>
      <c r="M5" s="79" t="s">
        <v>219</v>
      </c>
      <c r="N5" s="79" t="s">
        <v>219</v>
      </c>
      <c r="O5" s="79" t="s">
        <v>219</v>
      </c>
      <c r="P5" s="79" t="s">
        <v>219</v>
      </c>
      <c r="Q5" s="79" t="s">
        <v>219</v>
      </c>
      <c r="R5" s="79" t="s">
        <v>219</v>
      </c>
      <c r="S5" s="79" t="s">
        <v>219</v>
      </c>
      <c r="T5" s="79" t="s">
        <v>218</v>
      </c>
      <c r="U5" s="79" t="s">
        <v>219</v>
      </c>
      <c r="V5" s="79" t="s">
        <v>219</v>
      </c>
      <c r="W5" s="79" t="s">
        <v>219</v>
      </c>
      <c r="X5" s="79" t="s">
        <v>219</v>
      </c>
      <c r="Y5" s="79"/>
      <c r="Z5" s="80" t="s">
        <v>220</v>
      </c>
      <c r="AA5" s="80">
        <v>4</v>
      </c>
    </row>
    <row r="6" spans="1:27" ht="22.5" customHeight="1">
      <c r="A6" s="160"/>
      <c r="B6" s="41" t="s">
        <v>222</v>
      </c>
      <c r="C6" s="38" t="s">
        <v>26</v>
      </c>
      <c r="D6" s="79" t="s">
        <v>219</v>
      </c>
      <c r="E6" s="79" t="s">
        <v>219</v>
      </c>
      <c r="F6" s="79" t="s">
        <v>218</v>
      </c>
      <c r="G6" s="79" t="s">
        <v>219</v>
      </c>
      <c r="H6" s="79" t="s">
        <v>219</v>
      </c>
      <c r="I6" s="79" t="s">
        <v>219</v>
      </c>
      <c r="J6" s="79" t="s">
        <v>219</v>
      </c>
      <c r="K6" s="79" t="s">
        <v>219</v>
      </c>
      <c r="L6" s="79" t="s">
        <v>219</v>
      </c>
      <c r="M6" s="79" t="s">
        <v>219</v>
      </c>
      <c r="N6" s="79" t="s">
        <v>219</v>
      </c>
      <c r="O6" s="79" t="s">
        <v>219</v>
      </c>
      <c r="P6" s="79" t="s">
        <v>219</v>
      </c>
      <c r="Q6" s="79" t="s">
        <v>219</v>
      </c>
      <c r="R6" s="79" t="s">
        <v>219</v>
      </c>
      <c r="S6" s="79" t="s">
        <v>219</v>
      </c>
      <c r="T6" s="79" t="s">
        <v>219</v>
      </c>
      <c r="U6" s="79" t="s">
        <v>219</v>
      </c>
      <c r="V6" s="79" t="s">
        <v>219</v>
      </c>
      <c r="W6" s="79" t="s">
        <v>219</v>
      </c>
      <c r="X6" s="79" t="s">
        <v>219</v>
      </c>
      <c r="Y6" s="79"/>
      <c r="Z6" s="80"/>
      <c r="AA6" s="80">
        <v>5</v>
      </c>
    </row>
    <row r="7" spans="1:27" ht="22.5" customHeight="1">
      <c r="A7" s="160"/>
      <c r="B7" s="41"/>
      <c r="C7" s="38" t="s">
        <v>26</v>
      </c>
      <c r="D7" s="79"/>
      <c r="E7" s="79"/>
      <c r="F7" s="79"/>
      <c r="G7" s="79"/>
      <c r="H7" s="79"/>
      <c r="I7" s="79"/>
      <c r="J7" s="79"/>
      <c r="K7" s="79"/>
      <c r="L7" s="79"/>
      <c r="M7" s="79"/>
      <c r="N7" s="79"/>
      <c r="O7" s="79"/>
      <c r="P7" s="79"/>
      <c r="Q7" s="79"/>
      <c r="R7" s="79"/>
      <c r="S7" s="79"/>
      <c r="T7" s="79"/>
      <c r="U7" s="79"/>
      <c r="V7" s="79"/>
      <c r="W7" s="79"/>
      <c r="X7" s="79"/>
      <c r="Y7" s="79"/>
      <c r="Z7" s="80"/>
      <c r="AA7" s="80" t="s">
        <v>220</v>
      </c>
    </row>
    <row r="8" spans="1:27" ht="22.5" customHeight="1">
      <c r="A8" s="160"/>
      <c r="B8" s="41"/>
      <c r="C8" s="38" t="s">
        <v>26</v>
      </c>
      <c r="D8" s="79"/>
      <c r="E8" s="79"/>
      <c r="F8" s="79"/>
      <c r="G8" s="79"/>
      <c r="H8" s="79"/>
      <c r="I8" s="79"/>
      <c r="J8" s="79"/>
      <c r="K8" s="79"/>
      <c r="L8" s="79"/>
      <c r="M8" s="79"/>
      <c r="N8" s="79"/>
      <c r="O8" s="79"/>
      <c r="P8" s="79"/>
      <c r="Q8" s="79"/>
      <c r="R8" s="79"/>
      <c r="S8" s="79"/>
      <c r="T8" s="79"/>
      <c r="U8" s="79"/>
      <c r="V8" s="79"/>
      <c r="W8" s="79"/>
      <c r="X8" s="79"/>
      <c r="Y8" s="79"/>
    </row>
    <row r="9" spans="1:27" ht="22.5" customHeight="1">
      <c r="A9" s="160"/>
      <c r="B9" s="41"/>
      <c r="C9" s="38" t="s">
        <v>26</v>
      </c>
      <c r="D9" s="79"/>
      <c r="E9" s="79"/>
      <c r="F9" s="79"/>
      <c r="G9" s="79"/>
      <c r="H9" s="79"/>
      <c r="I9" s="79"/>
      <c r="J9" s="79"/>
      <c r="K9" s="79"/>
      <c r="L9" s="79"/>
      <c r="M9" s="79"/>
      <c r="N9" s="79"/>
      <c r="O9" s="79"/>
      <c r="P9" s="79"/>
      <c r="Q9" s="79"/>
      <c r="R9" s="79"/>
      <c r="S9" s="79"/>
      <c r="T9" s="79"/>
      <c r="U9" s="79"/>
      <c r="V9" s="79"/>
      <c r="W9" s="79"/>
      <c r="X9" s="79"/>
      <c r="Y9" s="79"/>
    </row>
    <row r="10" spans="1:27" ht="22.5" customHeight="1">
      <c r="A10" s="160"/>
      <c r="B10" s="41"/>
      <c r="C10" s="38" t="s">
        <v>26</v>
      </c>
      <c r="D10" s="79"/>
      <c r="E10" s="79"/>
      <c r="F10" s="79"/>
      <c r="G10" s="79"/>
      <c r="H10" s="79"/>
      <c r="I10" s="79"/>
      <c r="J10" s="79"/>
      <c r="K10" s="79"/>
      <c r="L10" s="79"/>
      <c r="M10" s="79"/>
      <c r="N10" s="79"/>
      <c r="O10" s="79"/>
      <c r="P10" s="79"/>
      <c r="Q10" s="79"/>
      <c r="R10" s="79"/>
      <c r="S10" s="79"/>
      <c r="T10" s="79"/>
      <c r="U10" s="79"/>
      <c r="V10" s="79"/>
      <c r="W10" s="79"/>
      <c r="X10" s="79"/>
      <c r="Y10" s="79"/>
    </row>
    <row r="11" spans="1:27" ht="22.5" customHeight="1">
      <c r="A11" s="160"/>
      <c r="B11" s="41"/>
      <c r="C11" s="38" t="s">
        <v>26</v>
      </c>
      <c r="D11" s="79"/>
      <c r="E11" s="79"/>
      <c r="F11" s="79"/>
      <c r="G11" s="79"/>
      <c r="H11" s="79"/>
      <c r="I11" s="79"/>
      <c r="J11" s="79"/>
      <c r="K11" s="79"/>
      <c r="L11" s="79"/>
      <c r="M11" s="79"/>
      <c r="N11" s="79"/>
      <c r="O11" s="79"/>
      <c r="P11" s="79"/>
      <c r="Q11" s="79"/>
      <c r="R11" s="79"/>
      <c r="S11" s="79"/>
      <c r="T11" s="79"/>
      <c r="U11" s="79"/>
      <c r="V11" s="79"/>
      <c r="W11" s="79"/>
      <c r="X11" s="79"/>
      <c r="Y11" s="79"/>
    </row>
    <row r="12" spans="1:27" ht="30" customHeight="1">
      <c r="A12" s="161"/>
      <c r="B12" s="42"/>
      <c r="C12" s="43" t="s">
        <v>27</v>
      </c>
      <c r="D12" s="79">
        <v>5</v>
      </c>
      <c r="E12" s="79">
        <v>5</v>
      </c>
      <c r="F12" s="79">
        <v>5</v>
      </c>
      <c r="G12" s="79">
        <v>5</v>
      </c>
      <c r="H12" s="79">
        <v>5</v>
      </c>
      <c r="I12" s="79">
        <v>5</v>
      </c>
      <c r="J12" s="79">
        <v>5</v>
      </c>
      <c r="K12" s="79">
        <v>5</v>
      </c>
      <c r="L12" s="79">
        <v>5</v>
      </c>
      <c r="M12" s="79">
        <v>5</v>
      </c>
      <c r="N12" s="79">
        <v>5</v>
      </c>
      <c r="O12" s="79">
        <v>5</v>
      </c>
      <c r="P12" s="79">
        <v>5</v>
      </c>
      <c r="Q12" s="79">
        <v>5</v>
      </c>
      <c r="R12" s="79">
        <v>5</v>
      </c>
      <c r="S12" s="79">
        <v>5</v>
      </c>
      <c r="T12" s="79">
        <v>5</v>
      </c>
      <c r="U12" s="79">
        <v>5</v>
      </c>
      <c r="V12" s="79">
        <v>5</v>
      </c>
      <c r="W12" s="79">
        <v>5</v>
      </c>
      <c r="X12" s="79">
        <v>5</v>
      </c>
      <c r="Y12" s="79"/>
    </row>
    <row r="13" spans="1:27" ht="26.25" customHeight="1">
      <c r="A13" s="81"/>
      <c r="B13" s="81"/>
      <c r="C13" s="75" t="s">
        <v>53</v>
      </c>
      <c r="D13" s="79"/>
      <c r="E13" s="79"/>
      <c r="F13" s="79"/>
      <c r="G13" s="79"/>
      <c r="H13" s="79"/>
      <c r="I13" s="79"/>
      <c r="J13" s="79"/>
      <c r="K13" s="79"/>
      <c r="L13" s="79"/>
      <c r="M13" s="79"/>
      <c r="N13" s="79"/>
      <c r="O13" s="79"/>
      <c r="P13" s="79"/>
      <c r="Q13" s="79"/>
      <c r="R13" s="79"/>
      <c r="S13" s="79"/>
      <c r="T13" s="79"/>
      <c r="U13" s="79"/>
      <c r="V13" s="79"/>
      <c r="W13" s="79"/>
      <c r="X13" s="83"/>
      <c r="Y13" s="83"/>
    </row>
    <row r="14" spans="1:27" ht="22.5" customHeight="1">
      <c r="A14" s="45" t="s">
        <v>28</v>
      </c>
      <c r="B14" s="168" t="s">
        <v>29</v>
      </c>
      <c r="C14" s="169"/>
      <c r="D14" s="169"/>
      <c r="E14" s="169"/>
      <c r="F14" s="169"/>
      <c r="G14" s="169"/>
      <c r="H14" s="169"/>
      <c r="I14" s="169"/>
      <c r="J14" s="169"/>
      <c r="K14" s="169"/>
      <c r="L14" s="169"/>
      <c r="M14" s="169"/>
      <c r="N14" s="169"/>
      <c r="O14" s="169"/>
      <c r="P14" s="169"/>
      <c r="Q14" s="169"/>
      <c r="R14" s="169"/>
      <c r="S14" s="169"/>
      <c r="T14" s="169"/>
      <c r="U14" s="169"/>
      <c r="V14" s="169"/>
      <c r="W14" s="169"/>
      <c r="X14" s="169"/>
      <c r="Y14" s="170"/>
    </row>
    <row r="15" spans="1:27" ht="59.25" customHeight="1">
      <c r="A15" s="82" t="s">
        <v>87</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82" t="s">
        <v>88</v>
      </c>
      <c r="B16" s="165" t="s">
        <v>126</v>
      </c>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82" t="s">
        <v>89</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82" t="s">
        <v>90</v>
      </c>
      <c r="B18" s="165"/>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82" t="s">
        <v>91</v>
      </c>
      <c r="B19" s="165"/>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82" t="s">
        <v>92</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82" t="s">
        <v>93</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82" t="s">
        <v>94</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82" t="s">
        <v>95</v>
      </c>
      <c r="B23" s="165"/>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82" t="s">
        <v>96</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82" t="s">
        <v>97</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82" t="s">
        <v>98</v>
      </c>
      <c r="B26" s="165"/>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82" t="s">
        <v>99</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82" t="s">
        <v>100</v>
      </c>
      <c r="B28" s="165"/>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82" t="s">
        <v>101</v>
      </c>
      <c r="B29" s="165" t="s">
        <v>244</v>
      </c>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82" t="s">
        <v>102</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82" t="s">
        <v>103</v>
      </c>
      <c r="B31" s="165" t="s">
        <v>127</v>
      </c>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82" t="s">
        <v>104</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82" t="s">
        <v>105</v>
      </c>
      <c r="B33" s="165"/>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82" t="s">
        <v>106</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82" t="s">
        <v>107</v>
      </c>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82"/>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4:Y14"/>
    <mergeCell ref="B15:Y15"/>
    <mergeCell ref="B16:Y16"/>
    <mergeCell ref="B17:Y17"/>
    <mergeCell ref="B18:Y18"/>
    <mergeCell ref="B19:Y19"/>
    <mergeCell ref="B20:Y20"/>
    <mergeCell ref="B21:Y21"/>
    <mergeCell ref="B22:Y22"/>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s>
  <phoneticPr fontId="1"/>
  <dataValidations count="3">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2">
      <formula1>$AA$2:$AA$7</formula1>
    </dataValidation>
    <dataValidation type="list" allowBlank="1" showDropDown="1" showInputMessage="1" showErrorMessage="1" errorTitle="文字エラー" error="半角数字1～5を入れて下さい。_x000a_文字列ではなく数値で入力して下さい。" sqref="D13:Y13">
      <formula1>$AA$2:$AA$7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３－１</v>
      </c>
      <c r="B1" s="34" t="str">
        <f ca="1">RIGHT(CELL("filename",B1),LEN(CELL("filename",B1))-FIND("]",CELL("filename",B1)))</f>
        <v>社会</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37"/>
    </row>
    <row r="2" spans="1:27" ht="22.5" customHeight="1">
      <c r="A2" s="159" t="s">
        <v>245</v>
      </c>
      <c r="B2" s="41" t="s">
        <v>128</v>
      </c>
      <c r="C2" s="38" t="s">
        <v>26</v>
      </c>
      <c r="D2" s="79" t="s">
        <v>231</v>
      </c>
      <c r="E2" s="79" t="s">
        <v>232</v>
      </c>
      <c r="F2" s="79" t="s">
        <v>232</v>
      </c>
      <c r="G2" s="79" t="s">
        <v>231</v>
      </c>
      <c r="H2" s="79" t="s">
        <v>218</v>
      </c>
      <c r="I2" s="79" t="s">
        <v>232</v>
      </c>
      <c r="J2" s="79" t="s">
        <v>232</v>
      </c>
      <c r="K2" s="79" t="s">
        <v>231</v>
      </c>
      <c r="L2" s="79" t="s">
        <v>231</v>
      </c>
      <c r="M2" s="79" t="s">
        <v>231</v>
      </c>
      <c r="N2" s="79" t="s">
        <v>231</v>
      </c>
      <c r="O2" s="79" t="s">
        <v>231</v>
      </c>
      <c r="P2" s="79" t="s">
        <v>232</v>
      </c>
      <c r="Q2" s="79" t="s">
        <v>231</v>
      </c>
      <c r="R2" s="79" t="s">
        <v>232</v>
      </c>
      <c r="S2" s="79" t="s">
        <v>231</v>
      </c>
      <c r="T2" s="79" t="s">
        <v>221</v>
      </c>
      <c r="U2" s="79" t="s">
        <v>232</v>
      </c>
      <c r="V2" s="79" t="s">
        <v>231</v>
      </c>
      <c r="W2" s="79" t="s">
        <v>231</v>
      </c>
      <c r="X2" s="39" t="s">
        <v>231</v>
      </c>
      <c r="Y2" s="39"/>
      <c r="Z2" s="40" t="s">
        <v>219</v>
      </c>
      <c r="AA2" s="40">
        <v>1</v>
      </c>
    </row>
    <row r="3" spans="1:27" ht="22.5" customHeight="1">
      <c r="A3" s="160"/>
      <c r="B3" s="41" t="s">
        <v>129</v>
      </c>
      <c r="C3" s="38" t="s">
        <v>26</v>
      </c>
      <c r="D3" s="79" t="s">
        <v>219</v>
      </c>
      <c r="E3" s="79" t="s">
        <v>218</v>
      </c>
      <c r="F3" s="79" t="s">
        <v>232</v>
      </c>
      <c r="G3" s="79" t="s">
        <v>218</v>
      </c>
      <c r="H3" s="79" t="s">
        <v>218</v>
      </c>
      <c r="I3" s="79" t="s">
        <v>218</v>
      </c>
      <c r="J3" s="79" t="s">
        <v>232</v>
      </c>
      <c r="K3" s="79" t="s">
        <v>219</v>
      </c>
      <c r="L3" s="79" t="s">
        <v>218</v>
      </c>
      <c r="M3" s="79" t="s">
        <v>231</v>
      </c>
      <c r="N3" s="79" t="s">
        <v>231</v>
      </c>
      <c r="O3" s="79" t="s">
        <v>231</v>
      </c>
      <c r="P3" s="79" t="s">
        <v>232</v>
      </c>
      <c r="Q3" s="79" t="s">
        <v>219</v>
      </c>
      <c r="R3" s="79" t="s">
        <v>221</v>
      </c>
      <c r="S3" s="79" t="s">
        <v>219</v>
      </c>
      <c r="T3" s="79" t="s">
        <v>218</v>
      </c>
      <c r="U3" s="79" t="s">
        <v>218</v>
      </c>
      <c r="V3" s="79" t="s">
        <v>219</v>
      </c>
      <c r="W3" s="79" t="s">
        <v>219</v>
      </c>
      <c r="X3" s="79" t="s">
        <v>231</v>
      </c>
      <c r="Y3" s="39"/>
      <c r="Z3" s="40" t="s">
        <v>218</v>
      </c>
      <c r="AA3" s="40">
        <v>2</v>
      </c>
    </row>
    <row r="4" spans="1:27" ht="22.5" customHeight="1">
      <c r="A4" s="160"/>
      <c r="B4" s="41" t="s">
        <v>130</v>
      </c>
      <c r="C4" s="38" t="s">
        <v>26</v>
      </c>
      <c r="D4" s="79" t="s">
        <v>231</v>
      </c>
      <c r="E4" s="79" t="s">
        <v>219</v>
      </c>
      <c r="F4" s="79" t="s">
        <v>218</v>
      </c>
      <c r="G4" s="79" t="s">
        <v>232</v>
      </c>
      <c r="H4" s="79" t="s">
        <v>218</v>
      </c>
      <c r="I4" s="79" t="s">
        <v>231</v>
      </c>
      <c r="J4" s="79" t="s">
        <v>231</v>
      </c>
      <c r="K4" s="79" t="s">
        <v>231</v>
      </c>
      <c r="L4" s="79" t="s">
        <v>232</v>
      </c>
      <c r="M4" s="79" t="s">
        <v>219</v>
      </c>
      <c r="N4" s="79" t="s">
        <v>219</v>
      </c>
      <c r="O4" s="79" t="s">
        <v>219</v>
      </c>
      <c r="P4" s="79" t="s">
        <v>218</v>
      </c>
      <c r="Q4" s="79" t="s">
        <v>232</v>
      </c>
      <c r="R4" s="79" t="s">
        <v>218</v>
      </c>
      <c r="S4" s="79" t="s">
        <v>218</v>
      </c>
      <c r="T4" s="79" t="s">
        <v>232</v>
      </c>
      <c r="U4" s="79" t="s">
        <v>218</v>
      </c>
      <c r="V4" s="79" t="s">
        <v>219</v>
      </c>
      <c r="W4" s="79" t="s">
        <v>219</v>
      </c>
      <c r="X4" s="39" t="s">
        <v>219</v>
      </c>
      <c r="Y4" s="39"/>
      <c r="Z4" s="40" t="s">
        <v>221</v>
      </c>
      <c r="AA4" s="40">
        <v>3</v>
      </c>
    </row>
    <row r="5" spans="1:27" ht="22.5" customHeight="1">
      <c r="A5" s="160"/>
      <c r="B5" s="41" t="s">
        <v>131</v>
      </c>
      <c r="C5" s="38" t="s">
        <v>26</v>
      </c>
      <c r="D5" s="79" t="s">
        <v>218</v>
      </c>
      <c r="E5" s="79" t="s">
        <v>218</v>
      </c>
      <c r="F5" s="79" t="s">
        <v>219</v>
      </c>
      <c r="G5" s="79" t="s">
        <v>219</v>
      </c>
      <c r="H5" s="79" t="s">
        <v>219</v>
      </c>
      <c r="I5" s="79" t="s">
        <v>218</v>
      </c>
      <c r="J5" s="79" t="s">
        <v>218</v>
      </c>
      <c r="K5" s="79" t="s">
        <v>231</v>
      </c>
      <c r="L5" s="79" t="s">
        <v>219</v>
      </c>
      <c r="M5" s="79" t="s">
        <v>219</v>
      </c>
      <c r="N5" s="79" t="s">
        <v>218</v>
      </c>
      <c r="O5" s="79" t="s">
        <v>219</v>
      </c>
      <c r="P5" s="79" t="s">
        <v>219</v>
      </c>
      <c r="Q5" s="79" t="s">
        <v>218</v>
      </c>
      <c r="R5" s="79" t="s">
        <v>218</v>
      </c>
      <c r="S5" s="79" t="s">
        <v>219</v>
      </c>
      <c r="T5" s="79" t="s">
        <v>232</v>
      </c>
      <c r="U5" s="79" t="s">
        <v>218</v>
      </c>
      <c r="V5" s="79" t="s">
        <v>218</v>
      </c>
      <c r="W5" s="79" t="s">
        <v>218</v>
      </c>
      <c r="X5" s="39" t="s">
        <v>232</v>
      </c>
      <c r="Y5" s="39"/>
      <c r="Z5" s="40" t="s">
        <v>220</v>
      </c>
      <c r="AA5" s="40">
        <v>4</v>
      </c>
    </row>
    <row r="6" spans="1:27" ht="22.5" customHeight="1">
      <c r="A6" s="160"/>
      <c r="B6" s="41"/>
      <c r="C6" s="38" t="s">
        <v>26</v>
      </c>
      <c r="D6" s="79"/>
      <c r="E6" s="79"/>
      <c r="F6" s="79"/>
      <c r="G6" s="79"/>
      <c r="H6" s="79"/>
      <c r="I6" s="79"/>
      <c r="J6" s="79"/>
      <c r="K6" s="79"/>
      <c r="L6" s="79"/>
      <c r="M6" s="79"/>
      <c r="N6" s="79"/>
      <c r="O6" s="79"/>
      <c r="P6" s="79"/>
      <c r="Q6" s="79"/>
      <c r="R6" s="79"/>
      <c r="S6" s="79"/>
      <c r="T6" s="79"/>
      <c r="U6" s="79"/>
      <c r="V6" s="79"/>
      <c r="W6" s="79"/>
      <c r="X6" s="39"/>
      <c r="Y6" s="39"/>
      <c r="Z6" s="40"/>
      <c r="AA6" s="40">
        <v>5</v>
      </c>
    </row>
    <row r="7" spans="1:27" ht="22.5" customHeight="1">
      <c r="A7" s="160"/>
      <c r="B7" s="41"/>
      <c r="C7" s="38" t="s">
        <v>26</v>
      </c>
      <c r="D7" s="79"/>
      <c r="E7" s="79"/>
      <c r="F7" s="79"/>
      <c r="G7" s="79"/>
      <c r="H7" s="79"/>
      <c r="I7" s="79"/>
      <c r="J7" s="79"/>
      <c r="K7" s="79"/>
      <c r="L7" s="79"/>
      <c r="M7" s="79"/>
      <c r="N7" s="79"/>
      <c r="O7" s="79"/>
      <c r="P7" s="79"/>
      <c r="Q7" s="79"/>
      <c r="R7" s="79"/>
      <c r="S7" s="79"/>
      <c r="T7" s="79"/>
      <c r="U7" s="79"/>
      <c r="V7" s="79"/>
      <c r="W7" s="79"/>
      <c r="X7" s="39"/>
      <c r="Y7" s="39"/>
      <c r="Z7" s="40"/>
      <c r="AA7" s="40" t="s">
        <v>220</v>
      </c>
    </row>
    <row r="8" spans="1:27" ht="22.5" customHeight="1">
      <c r="A8" s="160"/>
      <c r="B8" s="41"/>
      <c r="C8" s="38" t="s">
        <v>26</v>
      </c>
      <c r="D8" s="79"/>
      <c r="E8" s="79"/>
      <c r="F8" s="79"/>
      <c r="G8" s="79"/>
      <c r="H8" s="79"/>
      <c r="I8" s="79"/>
      <c r="J8" s="79"/>
      <c r="K8" s="79"/>
      <c r="L8" s="79"/>
      <c r="M8" s="79"/>
      <c r="N8" s="79"/>
      <c r="O8" s="79"/>
      <c r="P8" s="79"/>
      <c r="Q8" s="79"/>
      <c r="R8" s="79"/>
      <c r="S8" s="79"/>
      <c r="T8" s="79"/>
      <c r="U8" s="79"/>
      <c r="V8" s="79"/>
      <c r="W8" s="79"/>
      <c r="X8" s="39"/>
      <c r="Y8" s="39"/>
    </row>
    <row r="9" spans="1:27" ht="22.5" customHeight="1">
      <c r="A9" s="160"/>
      <c r="B9" s="41"/>
      <c r="C9" s="38" t="s">
        <v>26</v>
      </c>
      <c r="D9" s="79"/>
      <c r="E9" s="79"/>
      <c r="F9" s="79"/>
      <c r="G9" s="79"/>
      <c r="H9" s="79"/>
      <c r="I9" s="79"/>
      <c r="J9" s="79"/>
      <c r="K9" s="79"/>
      <c r="L9" s="79"/>
      <c r="M9" s="79"/>
      <c r="N9" s="79"/>
      <c r="O9" s="79"/>
      <c r="P9" s="79"/>
      <c r="Q9" s="79"/>
      <c r="R9" s="79"/>
      <c r="S9" s="79"/>
      <c r="T9" s="79"/>
      <c r="U9" s="79"/>
      <c r="V9" s="79"/>
      <c r="W9" s="79"/>
      <c r="X9" s="39"/>
      <c r="Y9" s="39"/>
    </row>
    <row r="10" spans="1:27" ht="22.5" customHeight="1">
      <c r="A10" s="160"/>
      <c r="B10" s="41"/>
      <c r="C10" s="38" t="s">
        <v>26</v>
      </c>
      <c r="D10" s="79"/>
      <c r="E10" s="79"/>
      <c r="F10" s="79"/>
      <c r="G10" s="79"/>
      <c r="H10" s="79"/>
      <c r="I10" s="79"/>
      <c r="J10" s="79"/>
      <c r="K10" s="79"/>
      <c r="L10" s="79"/>
      <c r="M10" s="79"/>
      <c r="N10" s="79"/>
      <c r="O10" s="79"/>
      <c r="P10" s="79"/>
      <c r="Q10" s="79"/>
      <c r="R10" s="79"/>
      <c r="S10" s="79"/>
      <c r="T10" s="79"/>
      <c r="U10" s="79"/>
      <c r="V10" s="79"/>
      <c r="W10" s="79"/>
      <c r="X10" s="39"/>
      <c r="Y10" s="39"/>
    </row>
    <row r="11" spans="1:27" ht="22.5" customHeight="1">
      <c r="A11" s="160"/>
      <c r="B11" s="41"/>
      <c r="C11" s="38" t="s">
        <v>26</v>
      </c>
      <c r="D11" s="79"/>
      <c r="E11" s="79"/>
      <c r="F11" s="79"/>
      <c r="G11" s="79"/>
      <c r="H11" s="79"/>
      <c r="I11" s="79"/>
      <c r="J11" s="79"/>
      <c r="K11" s="79"/>
      <c r="L11" s="79"/>
      <c r="M11" s="79"/>
      <c r="N11" s="79"/>
      <c r="O11" s="79"/>
      <c r="P11" s="79"/>
      <c r="Q11" s="79"/>
      <c r="R11" s="79"/>
      <c r="S11" s="79"/>
      <c r="T11" s="79"/>
      <c r="U11" s="79"/>
      <c r="V11" s="79"/>
      <c r="W11" s="79"/>
      <c r="X11" s="39"/>
      <c r="Y11" s="39"/>
    </row>
    <row r="12" spans="1:27" ht="30" customHeight="1">
      <c r="A12" s="161"/>
      <c r="B12" s="42"/>
      <c r="C12" s="43" t="s">
        <v>27</v>
      </c>
      <c r="D12" s="79">
        <v>4</v>
      </c>
      <c r="E12" s="79">
        <v>3</v>
      </c>
      <c r="F12" s="79">
        <v>3</v>
      </c>
      <c r="G12" s="79">
        <v>4</v>
      </c>
      <c r="H12" s="79">
        <v>3</v>
      </c>
      <c r="I12" s="79">
        <v>3</v>
      </c>
      <c r="J12" s="79">
        <v>3</v>
      </c>
      <c r="K12" s="79">
        <v>5</v>
      </c>
      <c r="L12" s="79">
        <v>4</v>
      </c>
      <c r="M12" s="79">
        <v>5</v>
      </c>
      <c r="N12" s="79">
        <v>4</v>
      </c>
      <c r="O12" s="79">
        <v>5</v>
      </c>
      <c r="P12" s="79">
        <v>3</v>
      </c>
      <c r="Q12" s="79">
        <v>4</v>
      </c>
      <c r="R12" s="79">
        <v>2</v>
      </c>
      <c r="S12" s="79">
        <v>4</v>
      </c>
      <c r="T12" s="79">
        <v>2</v>
      </c>
      <c r="U12" s="79">
        <v>3</v>
      </c>
      <c r="V12" s="79">
        <v>4</v>
      </c>
      <c r="W12" s="79">
        <v>4</v>
      </c>
      <c r="X12" s="39">
        <v>4</v>
      </c>
      <c r="Y12" s="39"/>
    </row>
    <row r="13" spans="1:27" ht="26.25" customHeight="1">
      <c r="A13" s="44"/>
      <c r="B13" s="44"/>
      <c r="C13" s="75" t="s">
        <v>53</v>
      </c>
      <c r="D13" s="79"/>
      <c r="E13" s="79"/>
      <c r="F13" s="79"/>
      <c r="G13" s="79"/>
      <c r="H13" s="79"/>
      <c r="I13" s="79"/>
      <c r="J13" s="79"/>
      <c r="K13" s="79"/>
      <c r="L13" s="79"/>
      <c r="M13" s="79"/>
      <c r="N13" s="79"/>
      <c r="O13" s="79"/>
      <c r="P13" s="79"/>
      <c r="Q13" s="79"/>
      <c r="R13" s="79"/>
      <c r="S13" s="79"/>
      <c r="T13" s="79"/>
      <c r="U13" s="79"/>
      <c r="V13" s="79"/>
      <c r="W13" s="7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87</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46" t="s">
        <v>88</v>
      </c>
      <c r="B16" s="165"/>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46" t="s">
        <v>89</v>
      </c>
      <c r="B17" s="165" t="s">
        <v>132</v>
      </c>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46" t="s">
        <v>90</v>
      </c>
      <c r="B18" s="165" t="s">
        <v>133</v>
      </c>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46" t="s">
        <v>91</v>
      </c>
      <c r="B19" s="165" t="s">
        <v>134</v>
      </c>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46" t="s">
        <v>92</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46" t="s">
        <v>93</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46" t="s">
        <v>94</v>
      </c>
      <c r="B22" s="165" t="s">
        <v>134</v>
      </c>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46" t="s">
        <v>95</v>
      </c>
      <c r="B23" s="165"/>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46" t="s">
        <v>96</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46" t="s">
        <v>97</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46" t="s">
        <v>98</v>
      </c>
      <c r="B26" s="165" t="s">
        <v>134</v>
      </c>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46" t="s">
        <v>99</v>
      </c>
      <c r="B27" s="165" t="s">
        <v>134</v>
      </c>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46" t="s">
        <v>100</v>
      </c>
      <c r="B28" s="165"/>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46" t="s">
        <v>101</v>
      </c>
      <c r="B29" s="165"/>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46" t="s">
        <v>102</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46" t="s">
        <v>103</v>
      </c>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46" t="s">
        <v>104</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46" t="s">
        <v>105</v>
      </c>
      <c r="B33" s="165"/>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46" t="s">
        <v>106</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46" t="s">
        <v>107</v>
      </c>
      <c r="B35" s="156"/>
      <c r="C35" s="157"/>
      <c r="D35" s="157"/>
      <c r="E35" s="157"/>
      <c r="F35" s="157"/>
      <c r="G35" s="157"/>
      <c r="H35" s="157"/>
      <c r="I35" s="157"/>
      <c r="J35" s="157"/>
      <c r="K35" s="157"/>
      <c r="L35" s="157"/>
      <c r="M35" s="157"/>
      <c r="N35" s="157"/>
      <c r="O35" s="157"/>
      <c r="P35" s="157"/>
      <c r="Q35" s="157"/>
      <c r="R35" s="157"/>
      <c r="S35" s="157"/>
      <c r="T35" s="157"/>
      <c r="U35" s="157"/>
      <c r="V35" s="157"/>
      <c r="W35" s="157"/>
      <c r="X35" s="157"/>
      <c r="Y35" s="158"/>
    </row>
    <row r="36" spans="1:25" ht="59.25" customHeight="1">
      <c r="A36" s="46"/>
      <c r="B36" s="156"/>
      <c r="C36" s="157"/>
      <c r="D36" s="157"/>
      <c r="E36" s="157"/>
      <c r="F36" s="157"/>
      <c r="G36" s="157"/>
      <c r="H36" s="157"/>
      <c r="I36" s="157"/>
      <c r="J36" s="157"/>
      <c r="K36" s="157"/>
      <c r="L36" s="157"/>
      <c r="M36" s="157"/>
      <c r="N36" s="157"/>
      <c r="O36" s="157"/>
      <c r="P36" s="157"/>
      <c r="Q36" s="157"/>
      <c r="R36" s="157"/>
      <c r="S36" s="157"/>
      <c r="T36" s="157"/>
      <c r="U36" s="157"/>
      <c r="V36" s="157"/>
      <c r="W36" s="157"/>
      <c r="X36" s="157"/>
      <c r="Y36" s="158"/>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9:Y19"/>
    <mergeCell ref="B30:Y30"/>
    <mergeCell ref="B20:Y20"/>
    <mergeCell ref="B21:Y21"/>
    <mergeCell ref="B22:Y22"/>
    <mergeCell ref="B23:Y23"/>
    <mergeCell ref="B14:Y14"/>
    <mergeCell ref="B15:Y15"/>
    <mergeCell ref="B16:Y16"/>
    <mergeCell ref="B17:Y17"/>
    <mergeCell ref="B18:Y18"/>
    <mergeCell ref="B36:Y36"/>
    <mergeCell ref="B24:Y24"/>
    <mergeCell ref="B25:Y25"/>
    <mergeCell ref="B26:Y26"/>
    <mergeCell ref="B27:Y27"/>
    <mergeCell ref="B28:Y28"/>
    <mergeCell ref="B29:Y29"/>
    <mergeCell ref="B31:Y31"/>
    <mergeCell ref="B32:Y32"/>
    <mergeCell ref="B33:Y33"/>
    <mergeCell ref="B34:Y34"/>
    <mergeCell ref="B35:Y35"/>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A190"/>
  <sheetViews>
    <sheetView workbookViewId="0">
      <selection sqref="A1:XFD1048576"/>
    </sheetView>
  </sheetViews>
  <sheetFormatPr defaultColWidth="9" defaultRowHeight="13.5"/>
  <cols>
    <col min="1" max="1" width="13.5" style="78" customWidth="1"/>
    <col min="2" max="2" width="79.125" style="78" customWidth="1"/>
    <col min="3" max="3" width="9.375" style="78" customWidth="1"/>
    <col min="4" max="25" width="4.125" style="78" customWidth="1"/>
    <col min="26" max="16384" width="9" style="78"/>
  </cols>
  <sheetData>
    <row r="1" spans="1:27" ht="85.5" customHeight="1">
      <c r="A1" s="76" t="str">
        <f ca="1">MID(CELL("filename",A1),FIND("[",CELL("filename",A1))+1,3)</f>
        <v>３－１</v>
      </c>
      <c r="B1" s="34" t="str">
        <f ca="1">RIGHT(CELL("filename",B1),LEN(CELL("filename",B1))-FIND("]",CELL("filename",B1)))</f>
        <v>英語</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77"/>
    </row>
    <row r="2" spans="1:27" ht="22.5" customHeight="1">
      <c r="A2" s="159" t="s">
        <v>246</v>
      </c>
      <c r="B2" s="41" t="s">
        <v>45</v>
      </c>
      <c r="C2" s="38" t="s">
        <v>26</v>
      </c>
      <c r="D2" s="79" t="s">
        <v>247</v>
      </c>
      <c r="E2" s="79" t="s">
        <v>248</v>
      </c>
      <c r="F2" s="79" t="s">
        <v>249</v>
      </c>
      <c r="G2" s="79" t="s">
        <v>250</v>
      </c>
      <c r="H2" s="79" t="s">
        <v>251</v>
      </c>
      <c r="I2" s="79" t="s">
        <v>252</v>
      </c>
      <c r="J2" s="79" t="s">
        <v>253</v>
      </c>
      <c r="K2" s="79" t="s">
        <v>254</v>
      </c>
      <c r="L2" s="79" t="s">
        <v>255</v>
      </c>
      <c r="M2" s="79" t="s">
        <v>219</v>
      </c>
      <c r="N2" s="79" t="s">
        <v>219</v>
      </c>
      <c r="O2" s="79" t="s">
        <v>219</v>
      </c>
      <c r="P2" s="79" t="s">
        <v>253</v>
      </c>
      <c r="Q2" s="79" t="s">
        <v>256</v>
      </c>
      <c r="R2" s="79" t="s">
        <v>257</v>
      </c>
      <c r="S2" s="79" t="s">
        <v>254</v>
      </c>
      <c r="T2" s="79" t="s">
        <v>249</v>
      </c>
      <c r="U2" s="79" t="s">
        <v>258</v>
      </c>
      <c r="V2" s="79" t="s">
        <v>219</v>
      </c>
      <c r="W2" s="79" t="s">
        <v>218</v>
      </c>
      <c r="X2" s="79" t="s">
        <v>219</v>
      </c>
      <c r="Y2" s="79"/>
      <c r="Z2" s="80" t="s">
        <v>219</v>
      </c>
      <c r="AA2" s="80">
        <v>1</v>
      </c>
    </row>
    <row r="3" spans="1:27" ht="22.5" customHeight="1">
      <c r="A3" s="160"/>
      <c r="B3" s="41" t="s">
        <v>59</v>
      </c>
      <c r="C3" s="38" t="s">
        <v>26</v>
      </c>
      <c r="D3" s="79" t="s">
        <v>219</v>
      </c>
      <c r="E3" s="79" t="s">
        <v>256</v>
      </c>
      <c r="F3" s="79" t="s">
        <v>259</v>
      </c>
      <c r="G3" s="79" t="s">
        <v>219</v>
      </c>
      <c r="H3" s="79" t="s">
        <v>221</v>
      </c>
      <c r="I3" s="79" t="s">
        <v>219</v>
      </c>
      <c r="J3" s="79" t="s">
        <v>219</v>
      </c>
      <c r="K3" s="79" t="s">
        <v>219</v>
      </c>
      <c r="L3" s="79" t="s">
        <v>218</v>
      </c>
      <c r="M3" s="79" t="s">
        <v>219</v>
      </c>
      <c r="N3" s="79" t="s">
        <v>219</v>
      </c>
      <c r="O3" s="79" t="s">
        <v>219</v>
      </c>
      <c r="P3" s="79" t="s">
        <v>221</v>
      </c>
      <c r="Q3" s="79" t="s">
        <v>219</v>
      </c>
      <c r="R3" s="79" t="s">
        <v>219</v>
      </c>
      <c r="S3" s="79" t="s">
        <v>260</v>
      </c>
      <c r="T3" s="79" t="s">
        <v>218</v>
      </c>
      <c r="U3" s="79" t="s">
        <v>219</v>
      </c>
      <c r="V3" s="79" t="s">
        <v>219</v>
      </c>
      <c r="W3" s="79" t="s">
        <v>219</v>
      </c>
      <c r="X3" s="79" t="s">
        <v>219</v>
      </c>
      <c r="Y3" s="79"/>
      <c r="Z3" s="80" t="s">
        <v>218</v>
      </c>
      <c r="AA3" s="80">
        <v>2</v>
      </c>
    </row>
    <row r="4" spans="1:27" ht="22.5" customHeight="1">
      <c r="A4" s="160"/>
      <c r="B4" s="41" t="s">
        <v>52</v>
      </c>
      <c r="C4" s="38" t="s">
        <v>26</v>
      </c>
      <c r="D4" s="79" t="s">
        <v>219</v>
      </c>
      <c r="E4" s="79" t="s">
        <v>221</v>
      </c>
      <c r="F4" s="79" t="s">
        <v>221</v>
      </c>
      <c r="G4" s="79" t="s">
        <v>221</v>
      </c>
      <c r="H4" s="79" t="s">
        <v>221</v>
      </c>
      <c r="I4" s="79" t="s">
        <v>219</v>
      </c>
      <c r="J4" s="79" t="s">
        <v>261</v>
      </c>
      <c r="K4" s="79" t="s">
        <v>219</v>
      </c>
      <c r="L4" s="79" t="s">
        <v>218</v>
      </c>
      <c r="M4" s="79" t="s">
        <v>219</v>
      </c>
      <c r="N4" s="79" t="s">
        <v>218</v>
      </c>
      <c r="O4" s="79" t="s">
        <v>221</v>
      </c>
      <c r="P4" s="79" t="s">
        <v>262</v>
      </c>
      <c r="Q4" s="79" t="s">
        <v>219</v>
      </c>
      <c r="R4" s="79" t="s">
        <v>218</v>
      </c>
      <c r="S4" s="79" t="s">
        <v>219</v>
      </c>
      <c r="T4" s="79" t="s">
        <v>218</v>
      </c>
      <c r="U4" s="79" t="s">
        <v>221</v>
      </c>
      <c r="V4" s="79" t="s">
        <v>218</v>
      </c>
      <c r="W4" s="79" t="s">
        <v>221</v>
      </c>
      <c r="X4" s="79" t="s">
        <v>219</v>
      </c>
      <c r="Y4" s="79"/>
      <c r="Z4" s="80" t="s">
        <v>221</v>
      </c>
      <c r="AA4" s="80">
        <v>3</v>
      </c>
    </row>
    <row r="5" spans="1:27" ht="22.5" customHeight="1">
      <c r="A5" s="160"/>
      <c r="B5" s="41" t="s">
        <v>46</v>
      </c>
      <c r="C5" s="38" t="s">
        <v>26</v>
      </c>
      <c r="D5" s="79" t="s">
        <v>219</v>
      </c>
      <c r="E5" s="79" t="s">
        <v>221</v>
      </c>
      <c r="F5" s="79" t="s">
        <v>218</v>
      </c>
      <c r="G5" s="79" t="s">
        <v>219</v>
      </c>
      <c r="H5" s="79" t="s">
        <v>219</v>
      </c>
      <c r="I5" s="79" t="s">
        <v>218</v>
      </c>
      <c r="J5" s="79" t="s">
        <v>260</v>
      </c>
      <c r="K5" s="79" t="s">
        <v>219</v>
      </c>
      <c r="L5" s="79" t="s">
        <v>219</v>
      </c>
      <c r="M5" s="79" t="s">
        <v>219</v>
      </c>
      <c r="N5" s="79" t="s">
        <v>219</v>
      </c>
      <c r="O5" s="79" t="s">
        <v>219</v>
      </c>
      <c r="P5" s="79" t="s">
        <v>221</v>
      </c>
      <c r="Q5" s="79" t="s">
        <v>219</v>
      </c>
      <c r="R5" s="79" t="s">
        <v>219</v>
      </c>
      <c r="S5" s="79" t="s">
        <v>219</v>
      </c>
      <c r="T5" s="79" t="s">
        <v>221</v>
      </c>
      <c r="U5" s="79" t="s">
        <v>219</v>
      </c>
      <c r="V5" s="79" t="s">
        <v>219</v>
      </c>
      <c r="W5" s="79" t="s">
        <v>221</v>
      </c>
      <c r="X5" s="79" t="s">
        <v>219</v>
      </c>
      <c r="Y5" s="79"/>
      <c r="Z5" s="80" t="s">
        <v>220</v>
      </c>
      <c r="AA5" s="80">
        <v>4</v>
      </c>
    </row>
    <row r="6" spans="1:27" ht="22.5" customHeight="1">
      <c r="A6" s="160"/>
      <c r="B6" s="41" t="s">
        <v>47</v>
      </c>
      <c r="C6" s="38" t="s">
        <v>26</v>
      </c>
      <c r="D6" s="79" t="s">
        <v>219</v>
      </c>
      <c r="E6" s="79" t="s">
        <v>219</v>
      </c>
      <c r="F6" s="79" t="s">
        <v>219</v>
      </c>
      <c r="G6" s="79" t="s">
        <v>219</v>
      </c>
      <c r="H6" s="79" t="s">
        <v>219</v>
      </c>
      <c r="I6" s="79" t="s">
        <v>219</v>
      </c>
      <c r="J6" s="79" t="s">
        <v>219</v>
      </c>
      <c r="K6" s="79" t="s">
        <v>219</v>
      </c>
      <c r="L6" s="79" t="s">
        <v>221</v>
      </c>
      <c r="M6" s="79" t="s">
        <v>219</v>
      </c>
      <c r="N6" s="79" t="s">
        <v>219</v>
      </c>
      <c r="O6" s="79" t="s">
        <v>221</v>
      </c>
      <c r="P6" s="79" t="s">
        <v>221</v>
      </c>
      <c r="Q6" s="79" t="s">
        <v>219</v>
      </c>
      <c r="R6" s="79" t="s">
        <v>219</v>
      </c>
      <c r="S6" s="79" t="s">
        <v>219</v>
      </c>
      <c r="T6" s="79" t="s">
        <v>221</v>
      </c>
      <c r="U6" s="79" t="s">
        <v>219</v>
      </c>
      <c r="V6" s="79" t="s">
        <v>219</v>
      </c>
      <c r="W6" s="79" t="s">
        <v>219</v>
      </c>
      <c r="X6" s="79" t="s">
        <v>219</v>
      </c>
      <c r="Y6" s="79"/>
      <c r="Z6" s="80"/>
      <c r="AA6" s="80">
        <v>5</v>
      </c>
    </row>
    <row r="7" spans="1:27" ht="22.5" customHeight="1">
      <c r="A7" s="160"/>
      <c r="B7" s="41"/>
      <c r="C7" s="38" t="s">
        <v>26</v>
      </c>
      <c r="D7" s="79"/>
      <c r="E7" s="79"/>
      <c r="F7" s="79"/>
      <c r="G7" s="79"/>
      <c r="H7" s="79"/>
      <c r="I7" s="79"/>
      <c r="J7" s="79"/>
      <c r="K7" s="79"/>
      <c r="L7" s="79"/>
      <c r="M7" s="79"/>
      <c r="N7" s="79"/>
      <c r="O7" s="79"/>
      <c r="P7" s="79"/>
      <c r="Q7" s="79"/>
      <c r="R7" s="79"/>
      <c r="S7" s="79"/>
      <c r="T7" s="79"/>
      <c r="U7" s="79"/>
      <c r="V7" s="79"/>
      <c r="W7" s="79"/>
      <c r="X7" s="79"/>
      <c r="Y7" s="79"/>
      <c r="Z7" s="80"/>
      <c r="AA7" s="80" t="s">
        <v>220</v>
      </c>
    </row>
    <row r="8" spans="1:27" ht="22.5" customHeight="1">
      <c r="A8" s="160"/>
      <c r="B8" s="41"/>
      <c r="C8" s="38" t="s">
        <v>26</v>
      </c>
      <c r="D8" s="79"/>
      <c r="E8" s="79"/>
      <c r="F8" s="79"/>
      <c r="G8" s="79"/>
      <c r="H8" s="79"/>
      <c r="I8" s="79"/>
      <c r="J8" s="79"/>
      <c r="K8" s="79"/>
      <c r="L8" s="79"/>
      <c r="M8" s="79"/>
      <c r="N8" s="79"/>
      <c r="O8" s="79"/>
      <c r="P8" s="79"/>
      <c r="Q8" s="79"/>
      <c r="R8" s="79"/>
      <c r="S8" s="79"/>
      <c r="T8" s="79"/>
      <c r="U8" s="79"/>
      <c r="V8" s="79"/>
      <c r="W8" s="79"/>
      <c r="X8" s="79"/>
      <c r="Y8" s="79"/>
    </row>
    <row r="9" spans="1:27" ht="22.5" customHeight="1">
      <c r="A9" s="160"/>
      <c r="B9" s="41"/>
      <c r="C9" s="38" t="s">
        <v>26</v>
      </c>
      <c r="D9" s="79"/>
      <c r="E9" s="79"/>
      <c r="F9" s="79"/>
      <c r="G9" s="79"/>
      <c r="H9" s="79"/>
      <c r="I9" s="79"/>
      <c r="J9" s="79"/>
      <c r="K9" s="79"/>
      <c r="L9" s="79"/>
      <c r="M9" s="79"/>
      <c r="N9" s="79"/>
      <c r="O9" s="79"/>
      <c r="P9" s="79"/>
      <c r="Q9" s="79"/>
      <c r="R9" s="79"/>
      <c r="S9" s="79"/>
      <c r="T9" s="79"/>
      <c r="U9" s="79"/>
      <c r="V9" s="79"/>
      <c r="W9" s="79"/>
      <c r="X9" s="79"/>
      <c r="Y9" s="79"/>
    </row>
    <row r="10" spans="1:27" ht="22.5" customHeight="1">
      <c r="A10" s="160"/>
      <c r="B10" s="41"/>
      <c r="C10" s="38" t="s">
        <v>26</v>
      </c>
      <c r="D10" s="79"/>
      <c r="E10" s="79"/>
      <c r="F10" s="79"/>
      <c r="G10" s="79"/>
      <c r="H10" s="79"/>
      <c r="I10" s="79"/>
      <c r="J10" s="79"/>
      <c r="K10" s="79"/>
      <c r="L10" s="79"/>
      <c r="M10" s="79"/>
      <c r="N10" s="79"/>
      <c r="O10" s="79"/>
      <c r="P10" s="79"/>
      <c r="Q10" s="79"/>
      <c r="R10" s="79"/>
      <c r="S10" s="79"/>
      <c r="T10" s="79"/>
      <c r="U10" s="79"/>
      <c r="V10" s="79"/>
      <c r="W10" s="79"/>
      <c r="X10" s="79"/>
      <c r="Y10" s="79"/>
    </row>
    <row r="11" spans="1:27" ht="22.5" customHeight="1">
      <c r="A11" s="160"/>
      <c r="B11" s="41"/>
      <c r="C11" s="38" t="s">
        <v>26</v>
      </c>
      <c r="D11" s="79"/>
      <c r="E11" s="79"/>
      <c r="F11" s="79"/>
      <c r="G11" s="79"/>
      <c r="H11" s="79"/>
      <c r="I11" s="79"/>
      <c r="J11" s="79"/>
      <c r="K11" s="79"/>
      <c r="L11" s="79"/>
      <c r="M11" s="79"/>
      <c r="N11" s="79"/>
      <c r="O11" s="79"/>
      <c r="P11" s="79"/>
      <c r="Q11" s="79"/>
      <c r="R11" s="79"/>
      <c r="S11" s="79"/>
      <c r="T11" s="79"/>
      <c r="U11" s="79"/>
      <c r="V11" s="79"/>
      <c r="W11" s="79"/>
      <c r="X11" s="79"/>
      <c r="Y11" s="79"/>
    </row>
    <row r="12" spans="1:27" ht="30" customHeight="1">
      <c r="A12" s="161"/>
      <c r="B12" s="42"/>
      <c r="C12" s="43" t="s">
        <v>27</v>
      </c>
      <c r="D12" s="79">
        <v>5</v>
      </c>
      <c r="E12" s="79">
        <v>3</v>
      </c>
      <c r="F12" s="79">
        <v>3</v>
      </c>
      <c r="G12" s="79">
        <v>4</v>
      </c>
      <c r="H12" s="79">
        <v>3</v>
      </c>
      <c r="I12" s="79">
        <v>4</v>
      </c>
      <c r="J12" s="79">
        <v>5</v>
      </c>
      <c r="K12" s="79">
        <v>5</v>
      </c>
      <c r="L12" s="79">
        <v>3</v>
      </c>
      <c r="M12" s="79">
        <v>5</v>
      </c>
      <c r="N12" s="79">
        <v>5</v>
      </c>
      <c r="O12" s="79">
        <v>3</v>
      </c>
      <c r="P12" s="79">
        <v>2</v>
      </c>
      <c r="Q12" s="79">
        <v>5</v>
      </c>
      <c r="R12" s="79">
        <v>4</v>
      </c>
      <c r="S12" s="79">
        <v>5</v>
      </c>
      <c r="T12" s="79">
        <v>2</v>
      </c>
      <c r="U12" s="79">
        <v>4</v>
      </c>
      <c r="V12" s="79">
        <v>5</v>
      </c>
      <c r="W12" s="79">
        <v>3</v>
      </c>
      <c r="X12" s="79">
        <v>5</v>
      </c>
      <c r="Y12" s="79"/>
    </row>
    <row r="13" spans="1:27" ht="26.25" customHeight="1">
      <c r="A13" s="81"/>
      <c r="B13" s="81"/>
      <c r="C13" s="75" t="s">
        <v>53</v>
      </c>
      <c r="D13" s="79"/>
      <c r="E13" s="79"/>
      <c r="F13" s="79"/>
      <c r="G13" s="79"/>
      <c r="H13" s="79"/>
      <c r="I13" s="79"/>
      <c r="J13" s="79"/>
      <c r="K13" s="79"/>
      <c r="L13" s="79"/>
      <c r="M13" s="79"/>
      <c r="N13" s="79"/>
      <c r="O13" s="79"/>
      <c r="P13" s="79"/>
      <c r="Q13" s="79"/>
      <c r="R13" s="79"/>
      <c r="S13" s="79"/>
      <c r="T13" s="79"/>
      <c r="U13" s="79"/>
      <c r="V13" s="79"/>
      <c r="W13" s="79"/>
      <c r="X13" s="79"/>
      <c r="Y13" s="79"/>
    </row>
    <row r="14" spans="1:27" ht="22.5" customHeight="1">
      <c r="A14" s="45" t="s">
        <v>28</v>
      </c>
      <c r="B14" s="168" t="s">
        <v>29</v>
      </c>
      <c r="C14" s="169"/>
      <c r="D14" s="169"/>
      <c r="E14" s="169"/>
      <c r="F14" s="169"/>
      <c r="G14" s="169"/>
      <c r="H14" s="169"/>
      <c r="I14" s="169"/>
      <c r="J14" s="169"/>
      <c r="K14" s="169"/>
      <c r="L14" s="169"/>
      <c r="M14" s="169"/>
      <c r="N14" s="169"/>
      <c r="O14" s="169"/>
      <c r="P14" s="169"/>
      <c r="Q14" s="169"/>
      <c r="R14" s="169"/>
      <c r="S14" s="169"/>
      <c r="T14" s="169"/>
      <c r="U14" s="169"/>
      <c r="V14" s="169"/>
      <c r="W14" s="169"/>
      <c r="X14" s="169"/>
      <c r="Y14" s="170"/>
    </row>
    <row r="15" spans="1:27" ht="59.25" customHeight="1">
      <c r="A15" s="82" t="s">
        <v>87</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82" t="s">
        <v>88</v>
      </c>
      <c r="B16" s="165"/>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82" t="s">
        <v>89</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82" t="s">
        <v>90</v>
      </c>
      <c r="B18" s="165"/>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82" t="s">
        <v>91</v>
      </c>
      <c r="B19" s="165"/>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82" t="s">
        <v>92</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82" t="s">
        <v>93</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82" t="s">
        <v>94</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82" t="s">
        <v>95</v>
      </c>
      <c r="B23" s="165"/>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82" t="s">
        <v>96</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82" t="s">
        <v>97</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82" t="s">
        <v>98</v>
      </c>
      <c r="B26" s="165"/>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82" t="s">
        <v>99</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82" t="s">
        <v>100</v>
      </c>
      <c r="B28" s="165"/>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82" t="s">
        <v>101</v>
      </c>
      <c r="B29" s="165"/>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82" t="s">
        <v>102</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82" t="s">
        <v>103</v>
      </c>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82" t="s">
        <v>104</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82" t="s">
        <v>105</v>
      </c>
      <c r="B33" s="165"/>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82" t="s">
        <v>106</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82" t="s">
        <v>107</v>
      </c>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82"/>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4:Y14"/>
    <mergeCell ref="B15:Y15"/>
    <mergeCell ref="B16:Y16"/>
    <mergeCell ref="B17:Y17"/>
    <mergeCell ref="B18:Y18"/>
    <mergeCell ref="B19:Y19"/>
    <mergeCell ref="B20:Y20"/>
    <mergeCell ref="B21:Y21"/>
    <mergeCell ref="B22:Y22"/>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３－１</v>
      </c>
      <c r="B1" s="34" t="str">
        <f ca="1">RIGHT(CELL("filename",B1),LEN(CELL("filename",B1))-FIND("]",CELL("filename",B1)))</f>
        <v>音楽</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37"/>
    </row>
    <row r="2" spans="1:27" ht="22.5" customHeight="1">
      <c r="A2" s="159" t="s">
        <v>263</v>
      </c>
      <c r="B2" s="85" t="s">
        <v>135</v>
      </c>
      <c r="C2" s="38" t="s">
        <v>26</v>
      </c>
      <c r="D2" s="39" t="s">
        <v>49</v>
      </c>
      <c r="E2" s="39" t="s">
        <v>49</v>
      </c>
      <c r="F2" s="39" t="s">
        <v>49</v>
      </c>
      <c r="G2" s="39" t="s">
        <v>49</v>
      </c>
      <c r="H2" s="39" t="s">
        <v>49</v>
      </c>
      <c r="I2" s="39" t="s">
        <v>49</v>
      </c>
      <c r="J2" s="39" t="s">
        <v>49</v>
      </c>
      <c r="K2" s="39" t="s">
        <v>49</v>
      </c>
      <c r="L2" s="39" t="s">
        <v>49</v>
      </c>
      <c r="M2" s="39" t="s">
        <v>49</v>
      </c>
      <c r="N2" s="39" t="s">
        <v>49</v>
      </c>
      <c r="O2" s="39" t="s">
        <v>49</v>
      </c>
      <c r="P2" s="39" t="s">
        <v>49</v>
      </c>
      <c r="Q2" s="39" t="s">
        <v>49</v>
      </c>
      <c r="R2" s="39" t="s">
        <v>48</v>
      </c>
      <c r="S2" s="39" t="s">
        <v>49</v>
      </c>
      <c r="T2" s="39" t="s">
        <v>49</v>
      </c>
      <c r="U2" s="39" t="s">
        <v>48</v>
      </c>
      <c r="V2" s="39" t="s">
        <v>48</v>
      </c>
      <c r="W2" s="39" t="s">
        <v>48</v>
      </c>
      <c r="X2" s="39" t="s">
        <v>49</v>
      </c>
      <c r="Y2" s="39"/>
      <c r="Z2" s="40" t="s">
        <v>264</v>
      </c>
      <c r="AA2" s="40">
        <v>1</v>
      </c>
    </row>
    <row r="3" spans="1:27" ht="22.5" customHeight="1">
      <c r="A3" s="160"/>
      <c r="B3" s="85" t="s">
        <v>136</v>
      </c>
      <c r="C3" s="38" t="s">
        <v>26</v>
      </c>
      <c r="D3" s="39" t="s">
        <v>49</v>
      </c>
      <c r="E3" s="39" t="s">
        <v>49</v>
      </c>
      <c r="F3" s="39" t="s">
        <v>49</v>
      </c>
      <c r="G3" s="39" t="s">
        <v>49</v>
      </c>
      <c r="H3" s="39" t="s">
        <v>49</v>
      </c>
      <c r="I3" s="39" t="s">
        <v>49</v>
      </c>
      <c r="J3" s="39" t="s">
        <v>49</v>
      </c>
      <c r="K3" s="39" t="s">
        <v>49</v>
      </c>
      <c r="L3" s="39" t="s">
        <v>49</v>
      </c>
      <c r="M3" s="39" t="s">
        <v>49</v>
      </c>
      <c r="N3" s="39" t="s">
        <v>49</v>
      </c>
      <c r="O3" s="39" t="s">
        <v>49</v>
      </c>
      <c r="P3" s="39" t="s">
        <v>49</v>
      </c>
      <c r="Q3" s="39" t="s">
        <v>49</v>
      </c>
      <c r="R3" s="39" t="s">
        <v>49</v>
      </c>
      <c r="S3" s="39" t="s">
        <v>49</v>
      </c>
      <c r="T3" s="39" t="s">
        <v>49</v>
      </c>
      <c r="U3" s="39" t="s">
        <v>49</v>
      </c>
      <c r="V3" s="39" t="s">
        <v>49</v>
      </c>
      <c r="W3" s="39" t="s">
        <v>49</v>
      </c>
      <c r="X3" s="39" t="s">
        <v>49</v>
      </c>
      <c r="Y3" s="39"/>
      <c r="Z3" s="40" t="s">
        <v>265</v>
      </c>
      <c r="AA3" s="40">
        <v>2</v>
      </c>
    </row>
    <row r="4" spans="1:27" ht="22.5" customHeight="1">
      <c r="A4" s="160"/>
      <c r="B4" s="85" t="s">
        <v>137</v>
      </c>
      <c r="C4" s="38" t="s">
        <v>26</v>
      </c>
      <c r="D4" s="39" t="s">
        <v>49</v>
      </c>
      <c r="E4" s="39" t="s">
        <v>48</v>
      </c>
      <c r="F4" s="39" t="s">
        <v>48</v>
      </c>
      <c r="G4" s="39" t="s">
        <v>49</v>
      </c>
      <c r="H4" s="39" t="s">
        <v>49</v>
      </c>
      <c r="I4" s="39" t="s">
        <v>49</v>
      </c>
      <c r="J4" s="39" t="s">
        <v>48</v>
      </c>
      <c r="K4" s="39" t="s">
        <v>49</v>
      </c>
      <c r="L4" s="39" t="s">
        <v>49</v>
      </c>
      <c r="M4" s="39" t="s">
        <v>49</v>
      </c>
      <c r="N4" s="39" t="s">
        <v>49</v>
      </c>
      <c r="O4" s="39" t="s">
        <v>49</v>
      </c>
      <c r="P4" s="39" t="s">
        <v>48</v>
      </c>
      <c r="Q4" s="39" t="s">
        <v>49</v>
      </c>
      <c r="R4" s="39" t="s">
        <v>48</v>
      </c>
      <c r="S4" s="39" t="s">
        <v>49</v>
      </c>
      <c r="T4" s="39" t="s">
        <v>48</v>
      </c>
      <c r="U4" s="39" t="s">
        <v>48</v>
      </c>
      <c r="V4" s="39" t="s">
        <v>49</v>
      </c>
      <c r="W4" s="39" t="s">
        <v>49</v>
      </c>
      <c r="X4" s="39" t="s">
        <v>49</v>
      </c>
      <c r="Y4" s="39"/>
      <c r="Z4" s="40" t="s">
        <v>266</v>
      </c>
      <c r="AA4" s="40">
        <v>3</v>
      </c>
    </row>
    <row r="5" spans="1:27" ht="22.5" customHeight="1">
      <c r="A5" s="160"/>
      <c r="B5" s="85" t="s">
        <v>138</v>
      </c>
      <c r="C5" s="38" t="s">
        <v>26</v>
      </c>
      <c r="D5" s="39" t="s">
        <v>49</v>
      </c>
      <c r="E5" s="39" t="s">
        <v>49</v>
      </c>
      <c r="F5" s="39" t="s">
        <v>49</v>
      </c>
      <c r="G5" s="39" t="s">
        <v>49</v>
      </c>
      <c r="H5" s="39" t="s">
        <v>49</v>
      </c>
      <c r="I5" s="39" t="s">
        <v>49</v>
      </c>
      <c r="J5" s="39" t="s">
        <v>49</v>
      </c>
      <c r="K5" s="39" t="s">
        <v>49</v>
      </c>
      <c r="L5" s="39" t="s">
        <v>49</v>
      </c>
      <c r="M5" s="39" t="s">
        <v>49</v>
      </c>
      <c r="N5" s="39" t="s">
        <v>49</v>
      </c>
      <c r="O5" s="39" t="s">
        <v>49</v>
      </c>
      <c r="P5" s="39" t="s">
        <v>49</v>
      </c>
      <c r="Q5" s="39" t="s">
        <v>49</v>
      </c>
      <c r="R5" s="39" t="s">
        <v>49</v>
      </c>
      <c r="S5" s="39" t="s">
        <v>49</v>
      </c>
      <c r="T5" s="39" t="s">
        <v>49</v>
      </c>
      <c r="U5" s="39" t="s">
        <v>49</v>
      </c>
      <c r="V5" s="39" t="s">
        <v>49</v>
      </c>
      <c r="W5" s="39" t="s">
        <v>49</v>
      </c>
      <c r="X5" s="39" t="s">
        <v>49</v>
      </c>
      <c r="Y5" s="39"/>
      <c r="Z5" s="40" t="s">
        <v>267</v>
      </c>
      <c r="AA5" s="40">
        <v>4</v>
      </c>
    </row>
    <row r="6" spans="1:27" ht="22.5" customHeight="1">
      <c r="A6" s="160"/>
      <c r="B6" s="41"/>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60"/>
      <c r="B7" s="41"/>
      <c r="C7" s="38" t="s">
        <v>26</v>
      </c>
      <c r="D7" s="39"/>
      <c r="E7" s="39"/>
      <c r="F7" s="39"/>
      <c r="G7" s="39"/>
      <c r="H7" s="39"/>
      <c r="I7" s="39"/>
      <c r="J7" s="39"/>
      <c r="K7" s="39"/>
      <c r="L7" s="39"/>
      <c r="M7" s="39"/>
      <c r="N7" s="39"/>
      <c r="O7" s="39"/>
      <c r="P7" s="39"/>
      <c r="Q7" s="39"/>
      <c r="R7" s="39"/>
      <c r="S7" s="39"/>
      <c r="T7" s="39"/>
      <c r="U7" s="39"/>
      <c r="V7" s="39"/>
      <c r="W7" s="39"/>
      <c r="X7" s="39"/>
      <c r="Y7" s="39"/>
      <c r="Z7" s="40"/>
      <c r="AA7" s="40" t="s">
        <v>268</v>
      </c>
    </row>
    <row r="8" spans="1:27" ht="22.5" customHeight="1">
      <c r="A8" s="160"/>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60"/>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60"/>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60"/>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1"/>
      <c r="B12" s="42"/>
      <c r="C12" s="43" t="s">
        <v>27</v>
      </c>
      <c r="D12" s="39">
        <v>5</v>
      </c>
      <c r="E12" s="39">
        <v>4</v>
      </c>
      <c r="F12" s="39">
        <v>4</v>
      </c>
      <c r="G12" s="39">
        <v>5</v>
      </c>
      <c r="H12" s="39">
        <v>5</v>
      </c>
      <c r="I12" s="39">
        <v>5</v>
      </c>
      <c r="J12" s="39">
        <v>4</v>
      </c>
      <c r="K12" s="39">
        <v>5</v>
      </c>
      <c r="L12" s="39">
        <v>5</v>
      </c>
      <c r="M12" s="39">
        <v>5</v>
      </c>
      <c r="N12" s="39">
        <v>5</v>
      </c>
      <c r="O12" s="39">
        <v>5</v>
      </c>
      <c r="P12" s="39">
        <v>4</v>
      </c>
      <c r="Q12" s="39">
        <v>5</v>
      </c>
      <c r="R12" s="39">
        <v>4</v>
      </c>
      <c r="S12" s="39">
        <v>5</v>
      </c>
      <c r="T12" s="39">
        <v>4</v>
      </c>
      <c r="U12" s="39">
        <v>4</v>
      </c>
      <c r="V12" s="39">
        <v>4</v>
      </c>
      <c r="W12" s="39">
        <v>4</v>
      </c>
      <c r="X12" s="39">
        <v>5</v>
      </c>
      <c r="Y12" s="39"/>
    </row>
    <row r="13" spans="1:27" ht="26.25" customHeight="1">
      <c r="A13" s="44"/>
      <c r="B13" s="44"/>
      <c r="C13" s="75" t="s">
        <v>53</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87</v>
      </c>
      <c r="B15" s="156"/>
      <c r="C15" s="157"/>
      <c r="D15" s="157"/>
      <c r="E15" s="157"/>
      <c r="F15" s="157"/>
      <c r="G15" s="157"/>
      <c r="H15" s="157"/>
      <c r="I15" s="157"/>
      <c r="J15" s="157"/>
      <c r="K15" s="157"/>
      <c r="L15" s="157"/>
      <c r="M15" s="157"/>
      <c r="N15" s="157"/>
      <c r="O15" s="157"/>
      <c r="P15" s="157"/>
      <c r="Q15" s="157"/>
      <c r="R15" s="157"/>
      <c r="S15" s="157"/>
      <c r="T15" s="157"/>
      <c r="U15" s="157"/>
      <c r="V15" s="157"/>
      <c r="W15" s="157"/>
      <c r="X15" s="157"/>
      <c r="Y15" s="158"/>
    </row>
    <row r="16" spans="1:27" ht="59.25" customHeight="1">
      <c r="A16" s="46" t="s">
        <v>88</v>
      </c>
      <c r="B16" s="156"/>
      <c r="C16" s="157"/>
      <c r="D16" s="157"/>
      <c r="E16" s="157"/>
      <c r="F16" s="157"/>
      <c r="G16" s="157"/>
      <c r="H16" s="157"/>
      <c r="I16" s="157"/>
      <c r="J16" s="157"/>
      <c r="K16" s="157"/>
      <c r="L16" s="157"/>
      <c r="M16" s="157"/>
      <c r="N16" s="157"/>
      <c r="O16" s="157"/>
      <c r="P16" s="157"/>
      <c r="Q16" s="157"/>
      <c r="R16" s="157"/>
      <c r="S16" s="157"/>
      <c r="T16" s="157"/>
      <c r="U16" s="157"/>
      <c r="V16" s="157"/>
      <c r="W16" s="157"/>
      <c r="X16" s="157"/>
      <c r="Y16" s="158"/>
    </row>
    <row r="17" spans="1:25" ht="59.25" customHeight="1">
      <c r="A17" s="46" t="s">
        <v>89</v>
      </c>
      <c r="B17" s="156"/>
      <c r="C17" s="157"/>
      <c r="D17" s="157"/>
      <c r="E17" s="157"/>
      <c r="F17" s="157"/>
      <c r="G17" s="157"/>
      <c r="H17" s="157"/>
      <c r="I17" s="157"/>
      <c r="J17" s="157"/>
      <c r="K17" s="157"/>
      <c r="L17" s="157"/>
      <c r="M17" s="157"/>
      <c r="N17" s="157"/>
      <c r="O17" s="157"/>
      <c r="P17" s="157"/>
      <c r="Q17" s="157"/>
      <c r="R17" s="157"/>
      <c r="S17" s="157"/>
      <c r="T17" s="157"/>
      <c r="U17" s="157"/>
      <c r="V17" s="157"/>
      <c r="W17" s="157"/>
      <c r="X17" s="157"/>
      <c r="Y17" s="158"/>
    </row>
    <row r="18" spans="1:25" ht="59.25" customHeight="1">
      <c r="A18" s="46" t="s">
        <v>90</v>
      </c>
      <c r="B18" s="156"/>
      <c r="C18" s="157"/>
      <c r="D18" s="157"/>
      <c r="E18" s="157"/>
      <c r="F18" s="157"/>
      <c r="G18" s="157"/>
      <c r="H18" s="157"/>
      <c r="I18" s="157"/>
      <c r="J18" s="157"/>
      <c r="K18" s="157"/>
      <c r="L18" s="157"/>
      <c r="M18" s="157"/>
      <c r="N18" s="157"/>
      <c r="O18" s="157"/>
      <c r="P18" s="157"/>
      <c r="Q18" s="157"/>
      <c r="R18" s="157"/>
      <c r="S18" s="157"/>
      <c r="T18" s="157"/>
      <c r="U18" s="157"/>
      <c r="V18" s="157"/>
      <c r="W18" s="157"/>
      <c r="X18" s="157"/>
      <c r="Y18" s="158"/>
    </row>
    <row r="19" spans="1:25" ht="59.25" customHeight="1">
      <c r="A19" s="46" t="s">
        <v>91</v>
      </c>
      <c r="B19" s="156"/>
      <c r="C19" s="157"/>
      <c r="D19" s="157"/>
      <c r="E19" s="157"/>
      <c r="F19" s="157"/>
      <c r="G19" s="157"/>
      <c r="H19" s="157"/>
      <c r="I19" s="157"/>
      <c r="J19" s="157"/>
      <c r="K19" s="157"/>
      <c r="L19" s="157"/>
      <c r="M19" s="157"/>
      <c r="N19" s="157"/>
      <c r="O19" s="157"/>
      <c r="P19" s="157"/>
      <c r="Q19" s="157"/>
      <c r="R19" s="157"/>
      <c r="S19" s="157"/>
      <c r="T19" s="157"/>
      <c r="U19" s="157"/>
      <c r="V19" s="157"/>
      <c r="W19" s="157"/>
      <c r="X19" s="157"/>
      <c r="Y19" s="158"/>
    </row>
    <row r="20" spans="1:25" ht="59.25" customHeight="1">
      <c r="A20" s="46" t="s">
        <v>92</v>
      </c>
      <c r="B20" s="156"/>
      <c r="C20" s="157"/>
      <c r="D20" s="157"/>
      <c r="E20" s="157"/>
      <c r="F20" s="157"/>
      <c r="G20" s="157"/>
      <c r="H20" s="157"/>
      <c r="I20" s="157"/>
      <c r="J20" s="157"/>
      <c r="K20" s="157"/>
      <c r="L20" s="157"/>
      <c r="M20" s="157"/>
      <c r="N20" s="157"/>
      <c r="O20" s="157"/>
      <c r="P20" s="157"/>
      <c r="Q20" s="157"/>
      <c r="R20" s="157"/>
      <c r="S20" s="157"/>
      <c r="T20" s="157"/>
      <c r="U20" s="157"/>
      <c r="V20" s="157"/>
      <c r="W20" s="157"/>
      <c r="X20" s="157"/>
      <c r="Y20" s="158"/>
    </row>
    <row r="21" spans="1:25" ht="59.25" customHeight="1">
      <c r="A21" s="46" t="s">
        <v>93</v>
      </c>
      <c r="B21" s="156"/>
      <c r="C21" s="157"/>
      <c r="D21" s="157"/>
      <c r="E21" s="157"/>
      <c r="F21" s="157"/>
      <c r="G21" s="157"/>
      <c r="H21" s="157"/>
      <c r="I21" s="157"/>
      <c r="J21" s="157"/>
      <c r="K21" s="157"/>
      <c r="L21" s="157"/>
      <c r="M21" s="157"/>
      <c r="N21" s="157"/>
      <c r="O21" s="157"/>
      <c r="P21" s="157"/>
      <c r="Q21" s="157"/>
      <c r="R21" s="157"/>
      <c r="S21" s="157"/>
      <c r="T21" s="157"/>
      <c r="U21" s="157"/>
      <c r="V21" s="157"/>
      <c r="W21" s="157"/>
      <c r="X21" s="157"/>
      <c r="Y21" s="158"/>
    </row>
    <row r="22" spans="1:25" ht="59.25" customHeight="1">
      <c r="A22" s="46" t="s">
        <v>94</v>
      </c>
      <c r="B22" s="156"/>
      <c r="C22" s="157"/>
      <c r="D22" s="157"/>
      <c r="E22" s="157"/>
      <c r="F22" s="157"/>
      <c r="G22" s="157"/>
      <c r="H22" s="157"/>
      <c r="I22" s="157"/>
      <c r="J22" s="157"/>
      <c r="K22" s="157"/>
      <c r="L22" s="157"/>
      <c r="M22" s="157"/>
      <c r="N22" s="157"/>
      <c r="O22" s="157"/>
      <c r="P22" s="157"/>
      <c r="Q22" s="157"/>
      <c r="R22" s="157"/>
      <c r="S22" s="157"/>
      <c r="T22" s="157"/>
      <c r="U22" s="157"/>
      <c r="V22" s="157"/>
      <c r="W22" s="157"/>
      <c r="X22" s="157"/>
      <c r="Y22" s="158"/>
    </row>
    <row r="23" spans="1:25" ht="59.25" customHeight="1">
      <c r="A23" s="46" t="s">
        <v>95</v>
      </c>
      <c r="B23" s="156"/>
      <c r="C23" s="157"/>
      <c r="D23" s="157"/>
      <c r="E23" s="157"/>
      <c r="F23" s="157"/>
      <c r="G23" s="157"/>
      <c r="H23" s="157"/>
      <c r="I23" s="157"/>
      <c r="J23" s="157"/>
      <c r="K23" s="157"/>
      <c r="L23" s="157"/>
      <c r="M23" s="157"/>
      <c r="N23" s="157"/>
      <c r="O23" s="157"/>
      <c r="P23" s="157"/>
      <c r="Q23" s="157"/>
      <c r="R23" s="157"/>
      <c r="S23" s="157"/>
      <c r="T23" s="157"/>
      <c r="U23" s="157"/>
      <c r="V23" s="157"/>
      <c r="W23" s="157"/>
      <c r="X23" s="157"/>
      <c r="Y23" s="158"/>
    </row>
    <row r="24" spans="1:25" ht="59.25" customHeight="1">
      <c r="A24" s="46" t="s">
        <v>96</v>
      </c>
      <c r="B24" s="156"/>
      <c r="C24" s="157"/>
      <c r="D24" s="157"/>
      <c r="E24" s="157"/>
      <c r="F24" s="157"/>
      <c r="G24" s="157"/>
      <c r="H24" s="157"/>
      <c r="I24" s="157"/>
      <c r="J24" s="157"/>
      <c r="K24" s="157"/>
      <c r="L24" s="157"/>
      <c r="M24" s="157"/>
      <c r="N24" s="157"/>
      <c r="O24" s="157"/>
      <c r="P24" s="157"/>
      <c r="Q24" s="157"/>
      <c r="R24" s="157"/>
      <c r="S24" s="157"/>
      <c r="T24" s="157"/>
      <c r="U24" s="157"/>
      <c r="V24" s="157"/>
      <c r="W24" s="157"/>
      <c r="X24" s="157"/>
      <c r="Y24" s="158"/>
    </row>
    <row r="25" spans="1:25" ht="59.25" customHeight="1">
      <c r="A25" s="46" t="s">
        <v>97</v>
      </c>
      <c r="B25" s="156"/>
      <c r="C25" s="157"/>
      <c r="D25" s="157"/>
      <c r="E25" s="157"/>
      <c r="F25" s="157"/>
      <c r="G25" s="157"/>
      <c r="H25" s="157"/>
      <c r="I25" s="157"/>
      <c r="J25" s="157"/>
      <c r="K25" s="157"/>
      <c r="L25" s="157"/>
      <c r="M25" s="157"/>
      <c r="N25" s="157"/>
      <c r="O25" s="157"/>
      <c r="P25" s="157"/>
      <c r="Q25" s="157"/>
      <c r="R25" s="157"/>
      <c r="S25" s="157"/>
      <c r="T25" s="157"/>
      <c r="U25" s="157"/>
      <c r="V25" s="157"/>
      <c r="W25" s="157"/>
      <c r="X25" s="157"/>
      <c r="Y25" s="158"/>
    </row>
    <row r="26" spans="1:25" ht="59.25" customHeight="1">
      <c r="A26" s="46" t="s">
        <v>98</v>
      </c>
      <c r="B26" s="156"/>
      <c r="C26" s="157"/>
      <c r="D26" s="157"/>
      <c r="E26" s="157"/>
      <c r="F26" s="157"/>
      <c r="G26" s="157"/>
      <c r="H26" s="157"/>
      <c r="I26" s="157"/>
      <c r="J26" s="157"/>
      <c r="K26" s="157"/>
      <c r="L26" s="157"/>
      <c r="M26" s="157"/>
      <c r="N26" s="157"/>
      <c r="O26" s="157"/>
      <c r="P26" s="157"/>
      <c r="Q26" s="157"/>
      <c r="R26" s="157"/>
      <c r="S26" s="157"/>
      <c r="T26" s="157"/>
      <c r="U26" s="157"/>
      <c r="V26" s="157"/>
      <c r="W26" s="157"/>
      <c r="X26" s="157"/>
      <c r="Y26" s="158"/>
    </row>
    <row r="27" spans="1:25" ht="59.25" customHeight="1">
      <c r="A27" s="46" t="s">
        <v>99</v>
      </c>
      <c r="B27" s="156"/>
      <c r="C27" s="157"/>
      <c r="D27" s="157"/>
      <c r="E27" s="157"/>
      <c r="F27" s="157"/>
      <c r="G27" s="157"/>
      <c r="H27" s="157"/>
      <c r="I27" s="157"/>
      <c r="J27" s="157"/>
      <c r="K27" s="157"/>
      <c r="L27" s="157"/>
      <c r="M27" s="157"/>
      <c r="N27" s="157"/>
      <c r="O27" s="157"/>
      <c r="P27" s="157"/>
      <c r="Q27" s="157"/>
      <c r="R27" s="157"/>
      <c r="S27" s="157"/>
      <c r="T27" s="157"/>
      <c r="U27" s="157"/>
      <c r="V27" s="157"/>
      <c r="W27" s="157"/>
      <c r="X27" s="157"/>
      <c r="Y27" s="158"/>
    </row>
    <row r="28" spans="1:25" ht="59.25" customHeight="1">
      <c r="A28" s="46" t="s">
        <v>100</v>
      </c>
      <c r="B28" s="156"/>
      <c r="C28" s="157"/>
      <c r="D28" s="157"/>
      <c r="E28" s="157"/>
      <c r="F28" s="157"/>
      <c r="G28" s="157"/>
      <c r="H28" s="157"/>
      <c r="I28" s="157"/>
      <c r="J28" s="157"/>
      <c r="K28" s="157"/>
      <c r="L28" s="157"/>
      <c r="M28" s="157"/>
      <c r="N28" s="157"/>
      <c r="O28" s="157"/>
      <c r="P28" s="157"/>
      <c r="Q28" s="157"/>
      <c r="R28" s="157"/>
      <c r="S28" s="157"/>
      <c r="T28" s="157"/>
      <c r="U28" s="157"/>
      <c r="V28" s="157"/>
      <c r="W28" s="157"/>
      <c r="X28" s="157"/>
      <c r="Y28" s="158"/>
    </row>
    <row r="29" spans="1:25" ht="59.25" customHeight="1">
      <c r="A29" s="46" t="s">
        <v>101</v>
      </c>
      <c r="B29" s="156"/>
      <c r="C29" s="157"/>
      <c r="D29" s="157"/>
      <c r="E29" s="157"/>
      <c r="F29" s="157"/>
      <c r="G29" s="157"/>
      <c r="H29" s="157"/>
      <c r="I29" s="157"/>
      <c r="J29" s="157"/>
      <c r="K29" s="157"/>
      <c r="L29" s="157"/>
      <c r="M29" s="157"/>
      <c r="N29" s="157"/>
      <c r="O29" s="157"/>
      <c r="P29" s="157"/>
      <c r="Q29" s="157"/>
      <c r="R29" s="157"/>
      <c r="S29" s="157"/>
      <c r="T29" s="157"/>
      <c r="U29" s="157"/>
      <c r="V29" s="157"/>
      <c r="W29" s="157"/>
      <c r="X29" s="157"/>
      <c r="Y29" s="158"/>
    </row>
    <row r="30" spans="1:25" ht="59.25" customHeight="1">
      <c r="A30" s="46" t="s">
        <v>102</v>
      </c>
      <c r="B30" s="156"/>
      <c r="C30" s="157"/>
      <c r="D30" s="157"/>
      <c r="E30" s="157"/>
      <c r="F30" s="157"/>
      <c r="G30" s="157"/>
      <c r="H30" s="157"/>
      <c r="I30" s="157"/>
      <c r="J30" s="157"/>
      <c r="K30" s="157"/>
      <c r="L30" s="157"/>
      <c r="M30" s="157"/>
      <c r="N30" s="157"/>
      <c r="O30" s="157"/>
      <c r="P30" s="157"/>
      <c r="Q30" s="157"/>
      <c r="R30" s="157"/>
      <c r="S30" s="157"/>
      <c r="T30" s="157"/>
      <c r="U30" s="157"/>
      <c r="V30" s="157"/>
      <c r="W30" s="157"/>
      <c r="X30" s="157"/>
      <c r="Y30" s="158"/>
    </row>
    <row r="31" spans="1:25" ht="59.25" customHeight="1">
      <c r="A31" s="46" t="s">
        <v>103</v>
      </c>
      <c r="B31" s="156"/>
      <c r="C31" s="157"/>
      <c r="D31" s="157"/>
      <c r="E31" s="157"/>
      <c r="F31" s="157"/>
      <c r="G31" s="157"/>
      <c r="H31" s="157"/>
      <c r="I31" s="157"/>
      <c r="J31" s="157"/>
      <c r="K31" s="157"/>
      <c r="L31" s="157"/>
      <c r="M31" s="157"/>
      <c r="N31" s="157"/>
      <c r="O31" s="157"/>
      <c r="P31" s="157"/>
      <c r="Q31" s="157"/>
      <c r="R31" s="157"/>
      <c r="S31" s="157"/>
      <c r="T31" s="157"/>
      <c r="U31" s="157"/>
      <c r="V31" s="157"/>
      <c r="W31" s="157"/>
      <c r="X31" s="157"/>
      <c r="Y31" s="158"/>
    </row>
    <row r="32" spans="1:25" ht="59.25" customHeight="1">
      <c r="A32" s="46" t="s">
        <v>104</v>
      </c>
      <c r="B32" s="156"/>
      <c r="C32" s="157"/>
      <c r="D32" s="157"/>
      <c r="E32" s="157"/>
      <c r="F32" s="157"/>
      <c r="G32" s="157"/>
      <c r="H32" s="157"/>
      <c r="I32" s="157"/>
      <c r="J32" s="157"/>
      <c r="K32" s="157"/>
      <c r="L32" s="157"/>
      <c r="M32" s="157"/>
      <c r="N32" s="157"/>
      <c r="O32" s="157"/>
      <c r="P32" s="157"/>
      <c r="Q32" s="157"/>
      <c r="R32" s="157"/>
      <c r="S32" s="157"/>
      <c r="T32" s="157"/>
      <c r="U32" s="157"/>
      <c r="V32" s="157"/>
      <c r="W32" s="157"/>
      <c r="X32" s="157"/>
      <c r="Y32" s="158"/>
    </row>
    <row r="33" spans="1:25" ht="59.25" customHeight="1">
      <c r="A33" s="46" t="s">
        <v>105</v>
      </c>
      <c r="B33" s="156"/>
      <c r="C33" s="157"/>
      <c r="D33" s="157"/>
      <c r="E33" s="157"/>
      <c r="F33" s="157"/>
      <c r="G33" s="157"/>
      <c r="H33" s="157"/>
      <c r="I33" s="157"/>
      <c r="J33" s="157"/>
      <c r="K33" s="157"/>
      <c r="L33" s="157"/>
      <c r="M33" s="157"/>
      <c r="N33" s="157"/>
      <c r="O33" s="157"/>
      <c r="P33" s="157"/>
      <c r="Q33" s="157"/>
      <c r="R33" s="157"/>
      <c r="S33" s="157"/>
      <c r="T33" s="157"/>
      <c r="U33" s="157"/>
      <c r="V33" s="157"/>
      <c r="W33" s="157"/>
      <c r="X33" s="157"/>
      <c r="Y33" s="158"/>
    </row>
    <row r="34" spans="1:25" ht="59.25" customHeight="1">
      <c r="A34" s="46" t="s">
        <v>106</v>
      </c>
      <c r="B34" s="156"/>
      <c r="C34" s="157"/>
      <c r="D34" s="157"/>
      <c r="E34" s="157"/>
      <c r="F34" s="157"/>
      <c r="G34" s="157"/>
      <c r="H34" s="157"/>
      <c r="I34" s="157"/>
      <c r="J34" s="157"/>
      <c r="K34" s="157"/>
      <c r="L34" s="157"/>
      <c r="M34" s="157"/>
      <c r="N34" s="157"/>
      <c r="O34" s="157"/>
      <c r="P34" s="157"/>
      <c r="Q34" s="157"/>
      <c r="R34" s="157"/>
      <c r="S34" s="157"/>
      <c r="T34" s="157"/>
      <c r="U34" s="157"/>
      <c r="V34" s="157"/>
      <c r="W34" s="157"/>
      <c r="X34" s="157"/>
      <c r="Y34" s="158"/>
    </row>
    <row r="35" spans="1:25" ht="59.25" customHeight="1">
      <c r="A35" s="46" t="s">
        <v>107</v>
      </c>
      <c r="B35" s="156"/>
      <c r="C35" s="157"/>
      <c r="D35" s="157"/>
      <c r="E35" s="157"/>
      <c r="F35" s="157"/>
      <c r="G35" s="157"/>
      <c r="H35" s="157"/>
      <c r="I35" s="157"/>
      <c r="J35" s="157"/>
      <c r="K35" s="157"/>
      <c r="L35" s="157"/>
      <c r="M35" s="157"/>
      <c r="N35" s="157"/>
      <c r="O35" s="157"/>
      <c r="P35" s="157"/>
      <c r="Q35" s="157"/>
      <c r="R35" s="157"/>
      <c r="S35" s="157"/>
      <c r="T35" s="157"/>
      <c r="U35" s="157"/>
      <c r="V35" s="157"/>
      <c r="W35" s="157"/>
      <c r="X35" s="157"/>
      <c r="Y35" s="158"/>
    </row>
    <row r="36" spans="1:25" ht="59.25" customHeight="1">
      <c r="A36" s="46"/>
      <c r="B36" s="156"/>
      <c r="C36" s="157"/>
      <c r="D36" s="157"/>
      <c r="E36" s="157"/>
      <c r="F36" s="157"/>
      <c r="G36" s="157"/>
      <c r="H36" s="157"/>
      <c r="I36" s="157"/>
      <c r="J36" s="157"/>
      <c r="K36" s="157"/>
      <c r="L36" s="157"/>
      <c r="M36" s="157"/>
      <c r="N36" s="157"/>
      <c r="O36" s="157"/>
      <c r="P36" s="157"/>
      <c r="Q36" s="157"/>
      <c r="R36" s="157"/>
      <c r="S36" s="157"/>
      <c r="T36" s="157"/>
      <c r="U36" s="157"/>
      <c r="V36" s="157"/>
      <c r="W36" s="157"/>
      <c r="X36" s="157"/>
      <c r="Y36" s="158"/>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4:Y14"/>
    <mergeCell ref="B15:Y15"/>
    <mergeCell ref="B16:Y16"/>
    <mergeCell ref="B17:Y17"/>
    <mergeCell ref="B18:Y18"/>
    <mergeCell ref="B19:Y19"/>
    <mergeCell ref="B20:Y20"/>
    <mergeCell ref="B21:Y21"/>
    <mergeCell ref="B22:Y22"/>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３－１</v>
      </c>
      <c r="B1" s="34" t="str">
        <f ca="1">RIGHT(CELL("filename",B1),LEN(CELL("filename",B1))-FIND("]",CELL("filename",B1)))</f>
        <v>図工</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37"/>
    </row>
    <row r="2" spans="1:27" ht="22.5" customHeight="1">
      <c r="A2" s="159" t="s">
        <v>269</v>
      </c>
      <c r="B2" s="86" t="s">
        <v>270</v>
      </c>
      <c r="C2" s="38" t="s">
        <v>26</v>
      </c>
      <c r="D2" s="39" t="s">
        <v>234</v>
      </c>
      <c r="E2" s="39" t="s">
        <v>234</v>
      </c>
      <c r="F2" s="39" t="s">
        <v>234</v>
      </c>
      <c r="G2" s="39" t="s">
        <v>234</v>
      </c>
      <c r="H2" s="39" t="s">
        <v>234</v>
      </c>
      <c r="I2" s="39" t="s">
        <v>234</v>
      </c>
      <c r="J2" s="39" t="s">
        <v>234</v>
      </c>
      <c r="K2" s="39" t="s">
        <v>234</v>
      </c>
      <c r="L2" s="39" t="s">
        <v>234</v>
      </c>
      <c r="M2" s="39" t="s">
        <v>234</v>
      </c>
      <c r="N2" s="39" t="s">
        <v>234</v>
      </c>
      <c r="O2" s="39" t="s">
        <v>234</v>
      </c>
      <c r="P2" s="39" t="s">
        <v>234</v>
      </c>
      <c r="Q2" s="39" t="s">
        <v>234</v>
      </c>
      <c r="R2" s="39" t="s">
        <v>234</v>
      </c>
      <c r="S2" s="39" t="s">
        <v>234</v>
      </c>
      <c r="T2" s="39" t="s">
        <v>234</v>
      </c>
      <c r="U2" s="39" t="s">
        <v>234</v>
      </c>
      <c r="V2" s="39" t="s">
        <v>234</v>
      </c>
      <c r="W2" s="39" t="s">
        <v>234</v>
      </c>
      <c r="X2" s="39" t="s">
        <v>234</v>
      </c>
      <c r="Y2" s="39"/>
      <c r="Z2" s="40" t="s">
        <v>234</v>
      </c>
      <c r="AA2" s="40">
        <v>1</v>
      </c>
    </row>
    <row r="3" spans="1:27" ht="22.5" customHeight="1">
      <c r="A3" s="160"/>
      <c r="B3" s="86" t="s">
        <v>271</v>
      </c>
      <c r="C3" s="38" t="s">
        <v>26</v>
      </c>
      <c r="D3" s="39" t="s">
        <v>234</v>
      </c>
      <c r="E3" s="39" t="s">
        <v>234</v>
      </c>
      <c r="F3" s="39" t="s">
        <v>234</v>
      </c>
      <c r="G3" s="39" t="s">
        <v>234</v>
      </c>
      <c r="H3" s="39" t="s">
        <v>234</v>
      </c>
      <c r="I3" s="39" t="s">
        <v>234</v>
      </c>
      <c r="J3" s="39" t="s">
        <v>234</v>
      </c>
      <c r="K3" s="39" t="s">
        <v>234</v>
      </c>
      <c r="L3" s="39" t="s">
        <v>234</v>
      </c>
      <c r="M3" s="39" t="s">
        <v>234</v>
      </c>
      <c r="N3" s="39" t="s">
        <v>234</v>
      </c>
      <c r="O3" s="39" t="s">
        <v>234</v>
      </c>
      <c r="P3" s="39" t="s">
        <v>234</v>
      </c>
      <c r="Q3" s="39" t="s">
        <v>234</v>
      </c>
      <c r="R3" s="39" t="s">
        <v>234</v>
      </c>
      <c r="S3" s="39" t="s">
        <v>234</v>
      </c>
      <c r="T3" s="39" t="s">
        <v>234</v>
      </c>
      <c r="U3" s="39" t="s">
        <v>234</v>
      </c>
      <c r="V3" s="39" t="s">
        <v>234</v>
      </c>
      <c r="W3" s="39" t="s">
        <v>234</v>
      </c>
      <c r="X3" s="39" t="s">
        <v>234</v>
      </c>
      <c r="Y3" s="39"/>
      <c r="Z3" s="40" t="s">
        <v>233</v>
      </c>
      <c r="AA3" s="40">
        <v>2</v>
      </c>
    </row>
    <row r="4" spans="1:27" ht="22.5" customHeight="1">
      <c r="A4" s="160"/>
      <c r="B4" s="86" t="s">
        <v>272</v>
      </c>
      <c r="C4" s="38" t="s">
        <v>26</v>
      </c>
      <c r="D4" s="39" t="s">
        <v>233</v>
      </c>
      <c r="E4" s="39" t="s">
        <v>233</v>
      </c>
      <c r="F4" s="39" t="s">
        <v>233</v>
      </c>
      <c r="G4" s="39" t="s">
        <v>234</v>
      </c>
      <c r="H4" s="39" t="s">
        <v>234</v>
      </c>
      <c r="I4" s="39" t="s">
        <v>233</v>
      </c>
      <c r="J4" s="39" t="s">
        <v>233</v>
      </c>
      <c r="K4" s="39" t="s">
        <v>234</v>
      </c>
      <c r="L4" s="39" t="s">
        <v>234</v>
      </c>
      <c r="M4" s="39" t="s">
        <v>234</v>
      </c>
      <c r="N4" s="39" t="s">
        <v>233</v>
      </c>
      <c r="O4" s="39" t="s">
        <v>233</v>
      </c>
      <c r="P4" s="39" t="s">
        <v>233</v>
      </c>
      <c r="Q4" s="39" t="s">
        <v>234</v>
      </c>
      <c r="R4" s="39" t="s">
        <v>233</v>
      </c>
      <c r="S4" s="39" t="s">
        <v>234</v>
      </c>
      <c r="T4" s="39" t="s">
        <v>233</v>
      </c>
      <c r="U4" s="39" t="s">
        <v>233</v>
      </c>
      <c r="V4" s="39" t="s">
        <v>233</v>
      </c>
      <c r="W4" s="39" t="s">
        <v>233</v>
      </c>
      <c r="X4" s="39" t="s">
        <v>233</v>
      </c>
      <c r="Y4" s="39"/>
      <c r="Z4" s="40" t="s">
        <v>273</v>
      </c>
      <c r="AA4" s="40">
        <v>3</v>
      </c>
    </row>
    <row r="5" spans="1:27" ht="22.5" customHeight="1">
      <c r="A5" s="160"/>
      <c r="B5" s="41" t="s">
        <v>226</v>
      </c>
      <c r="C5" s="38" t="s">
        <v>26</v>
      </c>
      <c r="D5" s="39" t="s">
        <v>234</v>
      </c>
      <c r="E5" s="39" t="s">
        <v>234</v>
      </c>
      <c r="F5" s="39" t="s">
        <v>234</v>
      </c>
      <c r="G5" s="39" t="s">
        <v>234</v>
      </c>
      <c r="H5" s="39" t="s">
        <v>234</v>
      </c>
      <c r="I5" s="39" t="s">
        <v>234</v>
      </c>
      <c r="J5" s="39" t="s">
        <v>234</v>
      </c>
      <c r="K5" s="39" t="s">
        <v>234</v>
      </c>
      <c r="L5" s="39" t="s">
        <v>234</v>
      </c>
      <c r="M5" s="39" t="s">
        <v>234</v>
      </c>
      <c r="N5" s="39" t="s">
        <v>234</v>
      </c>
      <c r="O5" s="39" t="s">
        <v>234</v>
      </c>
      <c r="P5" s="39" t="s">
        <v>234</v>
      </c>
      <c r="Q5" s="39" t="s">
        <v>234</v>
      </c>
      <c r="R5" s="39" t="s">
        <v>234</v>
      </c>
      <c r="S5" s="39" t="s">
        <v>234</v>
      </c>
      <c r="T5" s="39" t="s">
        <v>234</v>
      </c>
      <c r="U5" s="39" t="s">
        <v>234</v>
      </c>
      <c r="V5" s="39" t="s">
        <v>234</v>
      </c>
      <c r="W5" s="39" t="s">
        <v>234</v>
      </c>
      <c r="X5" s="39" t="s">
        <v>234</v>
      </c>
      <c r="Y5" s="39"/>
      <c r="Z5" s="40" t="s">
        <v>274</v>
      </c>
      <c r="AA5" s="40">
        <v>4</v>
      </c>
    </row>
    <row r="6" spans="1:27" ht="22.5" customHeight="1">
      <c r="A6" s="160"/>
      <c r="B6" s="69"/>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60"/>
      <c r="B7" s="41"/>
      <c r="C7" s="38" t="s">
        <v>26</v>
      </c>
      <c r="D7" s="39"/>
      <c r="E7" s="39"/>
      <c r="F7" s="39"/>
      <c r="G7" s="39"/>
      <c r="H7" s="39"/>
      <c r="I7" s="39"/>
      <c r="J7" s="39"/>
      <c r="K7" s="39"/>
      <c r="L7" s="39"/>
      <c r="M7" s="39"/>
      <c r="N7" s="39"/>
      <c r="O7" s="39"/>
      <c r="P7" s="39"/>
      <c r="Q7" s="39"/>
      <c r="R7" s="39"/>
      <c r="S7" s="39"/>
      <c r="T7" s="39"/>
      <c r="U7" s="39"/>
      <c r="V7" s="39"/>
      <c r="W7" s="39"/>
      <c r="X7" s="39"/>
      <c r="Y7" s="39"/>
      <c r="Z7" s="40"/>
      <c r="AA7" s="40" t="s">
        <v>274</v>
      </c>
    </row>
    <row r="8" spans="1:27" ht="22.5" customHeight="1">
      <c r="A8" s="160"/>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60"/>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60"/>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60"/>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1"/>
      <c r="B12" s="42"/>
      <c r="C12" s="43" t="s">
        <v>27</v>
      </c>
      <c r="D12" s="39">
        <v>4</v>
      </c>
      <c r="E12" s="39">
        <v>4</v>
      </c>
      <c r="F12" s="39">
        <v>4</v>
      </c>
      <c r="G12" s="39">
        <v>5</v>
      </c>
      <c r="H12" s="39">
        <v>5</v>
      </c>
      <c r="I12" s="39">
        <v>4</v>
      </c>
      <c r="J12" s="39">
        <v>4</v>
      </c>
      <c r="K12" s="39">
        <v>5</v>
      </c>
      <c r="L12" s="39">
        <v>5</v>
      </c>
      <c r="M12" s="39">
        <v>5</v>
      </c>
      <c r="N12" s="39">
        <v>4</v>
      </c>
      <c r="O12" s="39">
        <v>4</v>
      </c>
      <c r="P12" s="39">
        <v>4</v>
      </c>
      <c r="Q12" s="39">
        <v>5</v>
      </c>
      <c r="R12" s="39">
        <v>4</v>
      </c>
      <c r="S12" s="39">
        <v>5</v>
      </c>
      <c r="T12" s="39">
        <v>4</v>
      </c>
      <c r="U12" s="39">
        <v>4</v>
      </c>
      <c r="V12" s="39">
        <v>4</v>
      </c>
      <c r="W12" s="39">
        <v>4</v>
      </c>
      <c r="X12" s="39">
        <v>4</v>
      </c>
      <c r="Y12" s="39"/>
    </row>
    <row r="13" spans="1:27" ht="26.25" customHeight="1">
      <c r="A13" s="44"/>
      <c r="B13" s="44"/>
      <c r="C13" s="75" t="s">
        <v>53</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87</v>
      </c>
      <c r="B15" s="156" t="s">
        <v>227</v>
      </c>
      <c r="C15" s="157"/>
      <c r="D15" s="157"/>
      <c r="E15" s="157"/>
      <c r="F15" s="157"/>
      <c r="G15" s="157"/>
      <c r="H15" s="157"/>
      <c r="I15" s="157"/>
      <c r="J15" s="157"/>
      <c r="K15" s="157"/>
      <c r="L15" s="157"/>
      <c r="M15" s="157"/>
      <c r="N15" s="157"/>
      <c r="O15" s="157"/>
      <c r="P15" s="157"/>
      <c r="Q15" s="157"/>
      <c r="R15" s="157"/>
      <c r="S15" s="157"/>
      <c r="T15" s="157"/>
      <c r="U15" s="157"/>
      <c r="V15" s="157"/>
      <c r="W15" s="157"/>
      <c r="X15" s="157"/>
      <c r="Y15" s="158"/>
    </row>
    <row r="16" spans="1:27" ht="59.25" customHeight="1">
      <c r="A16" s="46" t="s">
        <v>88</v>
      </c>
      <c r="B16" s="156" t="s">
        <v>275</v>
      </c>
      <c r="C16" s="157"/>
      <c r="D16" s="157"/>
      <c r="E16" s="157"/>
      <c r="F16" s="157"/>
      <c r="G16" s="157"/>
      <c r="H16" s="157"/>
      <c r="I16" s="157"/>
      <c r="J16" s="157"/>
      <c r="K16" s="157"/>
      <c r="L16" s="157"/>
      <c r="M16" s="157"/>
      <c r="N16" s="157"/>
      <c r="O16" s="157"/>
      <c r="P16" s="157"/>
      <c r="Q16" s="157"/>
      <c r="R16" s="157"/>
      <c r="S16" s="157"/>
      <c r="T16" s="157"/>
      <c r="U16" s="157"/>
      <c r="V16" s="157"/>
      <c r="W16" s="157"/>
      <c r="X16" s="157"/>
      <c r="Y16" s="158"/>
    </row>
    <row r="17" spans="1:25" ht="59.25" customHeight="1">
      <c r="A17" s="46" t="s">
        <v>89</v>
      </c>
      <c r="B17" s="156" t="s">
        <v>276</v>
      </c>
      <c r="C17" s="157"/>
      <c r="D17" s="157"/>
      <c r="E17" s="157"/>
      <c r="F17" s="157"/>
      <c r="G17" s="157"/>
      <c r="H17" s="157"/>
      <c r="I17" s="157"/>
      <c r="J17" s="157"/>
      <c r="K17" s="157"/>
      <c r="L17" s="157"/>
      <c r="M17" s="157"/>
      <c r="N17" s="157"/>
      <c r="O17" s="157"/>
      <c r="P17" s="157"/>
      <c r="Q17" s="157"/>
      <c r="R17" s="157"/>
      <c r="S17" s="157"/>
      <c r="T17" s="157"/>
      <c r="U17" s="157"/>
      <c r="V17" s="157"/>
      <c r="W17" s="157"/>
      <c r="X17" s="157"/>
      <c r="Y17" s="158"/>
    </row>
    <row r="18" spans="1:25" ht="59.25" customHeight="1">
      <c r="A18" s="46" t="s">
        <v>90</v>
      </c>
      <c r="B18" s="156" t="s">
        <v>276</v>
      </c>
      <c r="C18" s="157"/>
      <c r="D18" s="157"/>
      <c r="E18" s="157"/>
      <c r="F18" s="157"/>
      <c r="G18" s="157"/>
      <c r="H18" s="157"/>
      <c r="I18" s="157"/>
      <c r="J18" s="157"/>
      <c r="K18" s="157"/>
      <c r="L18" s="157"/>
      <c r="M18" s="157"/>
      <c r="N18" s="157"/>
      <c r="O18" s="157"/>
      <c r="P18" s="157"/>
      <c r="Q18" s="157"/>
      <c r="R18" s="157"/>
      <c r="S18" s="157"/>
      <c r="T18" s="157"/>
      <c r="U18" s="157"/>
      <c r="V18" s="157"/>
      <c r="W18" s="157"/>
      <c r="X18" s="157"/>
      <c r="Y18" s="158"/>
    </row>
    <row r="19" spans="1:25" ht="59.25" customHeight="1">
      <c r="A19" s="46" t="s">
        <v>91</v>
      </c>
      <c r="B19" s="156" t="s">
        <v>277</v>
      </c>
      <c r="C19" s="157"/>
      <c r="D19" s="157"/>
      <c r="E19" s="157"/>
      <c r="F19" s="157"/>
      <c r="G19" s="157"/>
      <c r="H19" s="157"/>
      <c r="I19" s="157"/>
      <c r="J19" s="157"/>
      <c r="K19" s="157"/>
      <c r="L19" s="157"/>
      <c r="M19" s="157"/>
      <c r="N19" s="157"/>
      <c r="O19" s="157"/>
      <c r="P19" s="157"/>
      <c r="Q19" s="157"/>
      <c r="R19" s="157"/>
      <c r="S19" s="157"/>
      <c r="T19" s="157"/>
      <c r="U19" s="157"/>
      <c r="V19" s="157"/>
      <c r="W19" s="157"/>
      <c r="X19" s="157"/>
      <c r="Y19" s="158"/>
    </row>
    <row r="20" spans="1:25" ht="59.25" customHeight="1">
      <c r="A20" s="46" t="s">
        <v>92</v>
      </c>
      <c r="B20" s="156" t="s">
        <v>278</v>
      </c>
      <c r="C20" s="157"/>
      <c r="D20" s="157"/>
      <c r="E20" s="157"/>
      <c r="F20" s="157"/>
      <c r="G20" s="157"/>
      <c r="H20" s="157"/>
      <c r="I20" s="157"/>
      <c r="J20" s="157"/>
      <c r="K20" s="157"/>
      <c r="L20" s="157"/>
      <c r="M20" s="157"/>
      <c r="N20" s="157"/>
      <c r="O20" s="157"/>
      <c r="P20" s="157"/>
      <c r="Q20" s="157"/>
      <c r="R20" s="157"/>
      <c r="S20" s="157"/>
      <c r="T20" s="157"/>
      <c r="U20" s="157"/>
      <c r="V20" s="157"/>
      <c r="W20" s="157"/>
      <c r="X20" s="157"/>
      <c r="Y20" s="158"/>
    </row>
    <row r="21" spans="1:25" ht="59.25" customHeight="1">
      <c r="A21" s="46" t="s">
        <v>93</v>
      </c>
      <c r="B21" s="156" t="s">
        <v>228</v>
      </c>
      <c r="C21" s="157"/>
      <c r="D21" s="157"/>
      <c r="E21" s="157"/>
      <c r="F21" s="157"/>
      <c r="G21" s="157"/>
      <c r="H21" s="157"/>
      <c r="I21" s="157"/>
      <c r="J21" s="157"/>
      <c r="K21" s="157"/>
      <c r="L21" s="157"/>
      <c r="M21" s="157"/>
      <c r="N21" s="157"/>
      <c r="O21" s="157"/>
      <c r="P21" s="157"/>
      <c r="Q21" s="157"/>
      <c r="R21" s="157"/>
      <c r="S21" s="157"/>
      <c r="T21" s="157"/>
      <c r="U21" s="157"/>
      <c r="V21" s="157"/>
      <c r="W21" s="157"/>
      <c r="X21" s="157"/>
      <c r="Y21" s="158"/>
    </row>
    <row r="22" spans="1:25" ht="59.25" customHeight="1">
      <c r="A22" s="46" t="s">
        <v>94</v>
      </c>
      <c r="B22" s="156" t="s">
        <v>279</v>
      </c>
      <c r="C22" s="157"/>
      <c r="D22" s="157"/>
      <c r="E22" s="157"/>
      <c r="F22" s="157"/>
      <c r="G22" s="157"/>
      <c r="H22" s="157"/>
      <c r="I22" s="157"/>
      <c r="J22" s="157"/>
      <c r="K22" s="157"/>
      <c r="L22" s="157"/>
      <c r="M22" s="157"/>
      <c r="N22" s="157"/>
      <c r="O22" s="157"/>
      <c r="P22" s="157"/>
      <c r="Q22" s="157"/>
      <c r="R22" s="157"/>
      <c r="S22" s="157"/>
      <c r="T22" s="157"/>
      <c r="U22" s="157"/>
      <c r="V22" s="157"/>
      <c r="W22" s="157"/>
      <c r="X22" s="157"/>
      <c r="Y22" s="158"/>
    </row>
    <row r="23" spans="1:25" ht="59.25" customHeight="1">
      <c r="A23" s="46" t="s">
        <v>95</v>
      </c>
      <c r="B23" s="156" t="s">
        <v>280</v>
      </c>
      <c r="C23" s="157"/>
      <c r="D23" s="157"/>
      <c r="E23" s="157"/>
      <c r="F23" s="157"/>
      <c r="G23" s="157"/>
      <c r="H23" s="157"/>
      <c r="I23" s="157"/>
      <c r="J23" s="157"/>
      <c r="K23" s="157"/>
      <c r="L23" s="157"/>
      <c r="M23" s="157"/>
      <c r="N23" s="157"/>
      <c r="O23" s="157"/>
      <c r="P23" s="157"/>
      <c r="Q23" s="157"/>
      <c r="R23" s="157"/>
      <c r="S23" s="157"/>
      <c r="T23" s="157"/>
      <c r="U23" s="157"/>
      <c r="V23" s="157"/>
      <c r="W23" s="157"/>
      <c r="X23" s="157"/>
      <c r="Y23" s="158"/>
    </row>
    <row r="24" spans="1:25" ht="59.25" customHeight="1">
      <c r="A24" s="46" t="s">
        <v>96</v>
      </c>
      <c r="B24" s="156" t="s">
        <v>281</v>
      </c>
      <c r="C24" s="157"/>
      <c r="D24" s="157"/>
      <c r="E24" s="157"/>
      <c r="F24" s="157"/>
      <c r="G24" s="157"/>
      <c r="H24" s="157"/>
      <c r="I24" s="157"/>
      <c r="J24" s="157"/>
      <c r="K24" s="157"/>
      <c r="L24" s="157"/>
      <c r="M24" s="157"/>
      <c r="N24" s="157"/>
      <c r="O24" s="157"/>
      <c r="P24" s="157"/>
      <c r="Q24" s="157"/>
      <c r="R24" s="157"/>
      <c r="S24" s="157"/>
      <c r="T24" s="157"/>
      <c r="U24" s="157"/>
      <c r="V24" s="157"/>
      <c r="W24" s="157"/>
      <c r="X24" s="157"/>
      <c r="Y24" s="158"/>
    </row>
    <row r="25" spans="1:25" ht="59.25" customHeight="1">
      <c r="A25" s="46" t="s">
        <v>97</v>
      </c>
      <c r="B25" s="156" t="s">
        <v>282</v>
      </c>
      <c r="C25" s="157"/>
      <c r="D25" s="157"/>
      <c r="E25" s="157"/>
      <c r="F25" s="157"/>
      <c r="G25" s="157"/>
      <c r="H25" s="157"/>
      <c r="I25" s="157"/>
      <c r="J25" s="157"/>
      <c r="K25" s="157"/>
      <c r="L25" s="157"/>
      <c r="M25" s="157"/>
      <c r="N25" s="157"/>
      <c r="O25" s="157"/>
      <c r="P25" s="157"/>
      <c r="Q25" s="157"/>
      <c r="R25" s="157"/>
      <c r="S25" s="157"/>
      <c r="T25" s="157"/>
      <c r="U25" s="157"/>
      <c r="V25" s="157"/>
      <c r="W25" s="157"/>
      <c r="X25" s="157"/>
      <c r="Y25" s="158"/>
    </row>
    <row r="26" spans="1:25" ht="59.25" customHeight="1">
      <c r="A26" s="46" t="s">
        <v>98</v>
      </c>
      <c r="B26" s="156" t="s">
        <v>283</v>
      </c>
      <c r="C26" s="157"/>
      <c r="D26" s="157"/>
      <c r="E26" s="157"/>
      <c r="F26" s="157"/>
      <c r="G26" s="157"/>
      <c r="H26" s="157"/>
      <c r="I26" s="157"/>
      <c r="J26" s="157"/>
      <c r="K26" s="157"/>
      <c r="L26" s="157"/>
      <c r="M26" s="157"/>
      <c r="N26" s="157"/>
      <c r="O26" s="157"/>
      <c r="P26" s="157"/>
      <c r="Q26" s="157"/>
      <c r="R26" s="157"/>
      <c r="S26" s="157"/>
      <c r="T26" s="157"/>
      <c r="U26" s="157"/>
      <c r="V26" s="157"/>
      <c r="W26" s="157"/>
      <c r="X26" s="157"/>
      <c r="Y26" s="158"/>
    </row>
    <row r="27" spans="1:25" ht="59.25" customHeight="1">
      <c r="A27" s="46" t="s">
        <v>99</v>
      </c>
      <c r="B27" s="156" t="s">
        <v>284</v>
      </c>
      <c r="C27" s="157"/>
      <c r="D27" s="157"/>
      <c r="E27" s="157"/>
      <c r="F27" s="157"/>
      <c r="G27" s="157"/>
      <c r="H27" s="157"/>
      <c r="I27" s="157"/>
      <c r="J27" s="157"/>
      <c r="K27" s="157"/>
      <c r="L27" s="157"/>
      <c r="M27" s="157"/>
      <c r="N27" s="157"/>
      <c r="O27" s="157"/>
      <c r="P27" s="157"/>
      <c r="Q27" s="157"/>
      <c r="R27" s="157"/>
      <c r="S27" s="157"/>
      <c r="T27" s="157"/>
      <c r="U27" s="157"/>
      <c r="V27" s="157"/>
      <c r="W27" s="157"/>
      <c r="X27" s="157"/>
      <c r="Y27" s="158"/>
    </row>
    <row r="28" spans="1:25" ht="59.25" customHeight="1">
      <c r="A28" s="46" t="s">
        <v>100</v>
      </c>
      <c r="B28" s="156" t="s">
        <v>285</v>
      </c>
      <c r="C28" s="157"/>
      <c r="D28" s="157"/>
      <c r="E28" s="157"/>
      <c r="F28" s="157"/>
      <c r="G28" s="157"/>
      <c r="H28" s="157"/>
      <c r="I28" s="157"/>
      <c r="J28" s="157"/>
      <c r="K28" s="157"/>
      <c r="L28" s="157"/>
      <c r="M28" s="157"/>
      <c r="N28" s="157"/>
      <c r="O28" s="157"/>
      <c r="P28" s="157"/>
      <c r="Q28" s="157"/>
      <c r="R28" s="157"/>
      <c r="S28" s="157"/>
      <c r="T28" s="157"/>
      <c r="U28" s="157"/>
      <c r="V28" s="157"/>
      <c r="W28" s="157"/>
      <c r="X28" s="157"/>
      <c r="Y28" s="158"/>
    </row>
    <row r="29" spans="1:25" ht="59.25" customHeight="1">
      <c r="A29" s="46" t="s">
        <v>101</v>
      </c>
      <c r="B29" s="156" t="s">
        <v>286</v>
      </c>
      <c r="C29" s="157"/>
      <c r="D29" s="157"/>
      <c r="E29" s="157"/>
      <c r="F29" s="157"/>
      <c r="G29" s="157"/>
      <c r="H29" s="157"/>
      <c r="I29" s="157"/>
      <c r="J29" s="157"/>
      <c r="K29" s="157"/>
      <c r="L29" s="157"/>
      <c r="M29" s="157"/>
      <c r="N29" s="157"/>
      <c r="O29" s="157"/>
      <c r="P29" s="157"/>
      <c r="Q29" s="157"/>
      <c r="R29" s="157"/>
      <c r="S29" s="157"/>
      <c r="T29" s="157"/>
      <c r="U29" s="157"/>
      <c r="V29" s="157"/>
      <c r="W29" s="157"/>
      <c r="X29" s="157"/>
      <c r="Y29" s="158"/>
    </row>
    <row r="30" spans="1:25" ht="59.25" customHeight="1">
      <c r="A30" s="46" t="s">
        <v>102</v>
      </c>
      <c r="B30" s="156" t="s">
        <v>287</v>
      </c>
      <c r="C30" s="157"/>
      <c r="D30" s="157"/>
      <c r="E30" s="157"/>
      <c r="F30" s="157"/>
      <c r="G30" s="157"/>
      <c r="H30" s="157"/>
      <c r="I30" s="157"/>
      <c r="J30" s="157"/>
      <c r="K30" s="157"/>
      <c r="L30" s="157"/>
      <c r="M30" s="157"/>
      <c r="N30" s="157"/>
      <c r="O30" s="157"/>
      <c r="P30" s="157"/>
      <c r="Q30" s="157"/>
      <c r="R30" s="157"/>
      <c r="S30" s="157"/>
      <c r="T30" s="157"/>
      <c r="U30" s="157"/>
      <c r="V30" s="157"/>
      <c r="W30" s="157"/>
      <c r="X30" s="157"/>
      <c r="Y30" s="158"/>
    </row>
    <row r="31" spans="1:25" ht="59.25" customHeight="1">
      <c r="A31" s="46" t="s">
        <v>103</v>
      </c>
      <c r="B31" s="156" t="s">
        <v>288</v>
      </c>
      <c r="C31" s="157"/>
      <c r="D31" s="157"/>
      <c r="E31" s="157"/>
      <c r="F31" s="157"/>
      <c r="G31" s="157"/>
      <c r="H31" s="157"/>
      <c r="I31" s="157"/>
      <c r="J31" s="157"/>
      <c r="K31" s="157"/>
      <c r="L31" s="157"/>
      <c r="M31" s="157"/>
      <c r="N31" s="157"/>
      <c r="O31" s="157"/>
      <c r="P31" s="157"/>
      <c r="Q31" s="157"/>
      <c r="R31" s="157"/>
      <c r="S31" s="157"/>
      <c r="T31" s="157"/>
      <c r="U31" s="157"/>
      <c r="V31" s="157"/>
      <c r="W31" s="157"/>
      <c r="X31" s="157"/>
      <c r="Y31" s="158"/>
    </row>
    <row r="32" spans="1:25" ht="59.25" customHeight="1">
      <c r="A32" s="46" t="s">
        <v>104</v>
      </c>
      <c r="B32" s="156" t="s">
        <v>289</v>
      </c>
      <c r="C32" s="157"/>
      <c r="D32" s="157"/>
      <c r="E32" s="157"/>
      <c r="F32" s="157"/>
      <c r="G32" s="157"/>
      <c r="H32" s="157"/>
      <c r="I32" s="157"/>
      <c r="J32" s="157"/>
      <c r="K32" s="157"/>
      <c r="L32" s="157"/>
      <c r="M32" s="157"/>
      <c r="N32" s="157"/>
      <c r="O32" s="157"/>
      <c r="P32" s="157"/>
      <c r="Q32" s="157"/>
      <c r="R32" s="157"/>
      <c r="S32" s="157"/>
      <c r="T32" s="157"/>
      <c r="U32" s="157"/>
      <c r="V32" s="157"/>
      <c r="W32" s="157"/>
      <c r="X32" s="157"/>
      <c r="Y32" s="158"/>
    </row>
    <row r="33" spans="1:25" ht="59.25" customHeight="1">
      <c r="A33" s="46" t="s">
        <v>105</v>
      </c>
      <c r="B33" s="156"/>
      <c r="C33" s="157"/>
      <c r="D33" s="157"/>
      <c r="E33" s="157"/>
      <c r="F33" s="157"/>
      <c r="G33" s="157"/>
      <c r="H33" s="157"/>
      <c r="I33" s="157"/>
      <c r="J33" s="157"/>
      <c r="K33" s="157"/>
      <c r="L33" s="157"/>
      <c r="M33" s="157"/>
      <c r="N33" s="157"/>
      <c r="O33" s="157"/>
      <c r="P33" s="157"/>
      <c r="Q33" s="157"/>
      <c r="R33" s="157"/>
      <c r="S33" s="157"/>
      <c r="T33" s="157"/>
      <c r="U33" s="157"/>
      <c r="V33" s="157"/>
      <c r="W33" s="157"/>
      <c r="X33" s="157"/>
      <c r="Y33" s="158"/>
    </row>
    <row r="34" spans="1:25" ht="59.25" customHeight="1">
      <c r="A34" s="46" t="s">
        <v>106</v>
      </c>
      <c r="B34" s="156"/>
      <c r="C34" s="157"/>
      <c r="D34" s="157"/>
      <c r="E34" s="157"/>
      <c r="F34" s="157"/>
      <c r="G34" s="157"/>
      <c r="H34" s="157"/>
      <c r="I34" s="157"/>
      <c r="J34" s="157"/>
      <c r="K34" s="157"/>
      <c r="L34" s="157"/>
      <c r="M34" s="157"/>
      <c r="N34" s="157"/>
      <c r="O34" s="157"/>
      <c r="P34" s="157"/>
      <c r="Q34" s="157"/>
      <c r="R34" s="157"/>
      <c r="S34" s="157"/>
      <c r="T34" s="157"/>
      <c r="U34" s="157"/>
      <c r="V34" s="157"/>
      <c r="W34" s="157"/>
      <c r="X34" s="157"/>
      <c r="Y34" s="158"/>
    </row>
    <row r="35" spans="1:25" ht="59.25" customHeight="1">
      <c r="A35" s="46" t="s">
        <v>107</v>
      </c>
      <c r="B35" s="156"/>
      <c r="C35" s="157"/>
      <c r="D35" s="157"/>
      <c r="E35" s="157"/>
      <c r="F35" s="157"/>
      <c r="G35" s="157"/>
      <c r="H35" s="157"/>
      <c r="I35" s="157"/>
      <c r="J35" s="157"/>
      <c r="K35" s="157"/>
      <c r="L35" s="157"/>
      <c r="M35" s="157"/>
      <c r="N35" s="157"/>
      <c r="O35" s="157"/>
      <c r="P35" s="157"/>
      <c r="Q35" s="157"/>
      <c r="R35" s="157"/>
      <c r="S35" s="157"/>
      <c r="T35" s="157"/>
      <c r="U35" s="157"/>
      <c r="V35" s="157"/>
      <c r="W35" s="157"/>
      <c r="X35" s="157"/>
      <c r="Y35" s="158"/>
    </row>
    <row r="36" spans="1:25" ht="59.25" customHeight="1">
      <c r="A36" s="46"/>
      <c r="B36" s="156"/>
      <c r="C36" s="157"/>
      <c r="D36" s="157"/>
      <c r="E36" s="157"/>
      <c r="F36" s="157"/>
      <c r="G36" s="157"/>
      <c r="H36" s="157"/>
      <c r="I36" s="157"/>
      <c r="J36" s="157"/>
      <c r="K36" s="157"/>
      <c r="L36" s="157"/>
      <c r="M36" s="157"/>
      <c r="N36" s="157"/>
      <c r="O36" s="157"/>
      <c r="P36" s="157"/>
      <c r="Q36" s="157"/>
      <c r="R36" s="157"/>
      <c r="S36" s="157"/>
      <c r="T36" s="157"/>
      <c r="U36" s="157"/>
      <c r="V36" s="157"/>
      <c r="W36" s="157"/>
      <c r="X36" s="157"/>
      <c r="Y36" s="158"/>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4:Y14"/>
    <mergeCell ref="B15:Y15"/>
    <mergeCell ref="B16:Y16"/>
    <mergeCell ref="B17:Y17"/>
    <mergeCell ref="B18:Y18"/>
    <mergeCell ref="B19:Y19"/>
    <mergeCell ref="B20:Y20"/>
    <mergeCell ref="B21:Y21"/>
    <mergeCell ref="B22:Y22"/>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３－１</v>
      </c>
      <c r="B1" s="34" t="str">
        <f ca="1">RIGHT(CELL("filename",B1),LEN(CELL("filename",B1))-FIND("]",CELL("filename",B1)))</f>
        <v>体育</v>
      </c>
      <c r="C1" s="35" t="s">
        <v>25</v>
      </c>
      <c r="D1" s="36" t="str">
        <f>A15</f>
        <v>天野 皓仁</v>
      </c>
      <c r="E1" s="36" t="str">
        <f>A16</f>
        <v>伊藤 滉都</v>
      </c>
      <c r="F1" s="36" t="str">
        <f>A17</f>
        <v>大月 碧唯</v>
      </c>
      <c r="G1" s="36" t="str">
        <f>A18</f>
        <v>小栗 望愛</v>
      </c>
      <c r="H1" s="36" t="str">
        <f>A19</f>
        <v>金子 愛弥</v>
      </c>
      <c r="I1" s="36" t="str">
        <f>A20</f>
        <v>久保田 進之介</v>
      </c>
      <c r="J1" s="36" t="str">
        <f>A21</f>
        <v>後藤 碧志</v>
      </c>
      <c r="K1" s="36" t="str">
        <f>A22</f>
        <v>小松 由伎乃</v>
      </c>
      <c r="L1" s="36" t="str">
        <f>A23</f>
        <v>上甲 稜大</v>
      </c>
      <c r="M1" s="36" t="str">
        <f>A24</f>
        <v>辛 夏姫</v>
      </c>
      <c r="N1" s="36" t="str">
        <f>A25</f>
        <v>新原 海</v>
      </c>
      <c r="O1" s="36" t="str">
        <f>A26</f>
        <v>田中 咲</v>
      </c>
      <c r="P1" s="36" t="str">
        <f>A27</f>
        <v>永原 愛瑠</v>
      </c>
      <c r="Q1" s="36" t="str">
        <f>A28</f>
        <v>中村 隼人</v>
      </c>
      <c r="R1" s="36" t="str">
        <f>A29</f>
        <v>濱 丈士</v>
      </c>
      <c r="S1" s="36" t="str">
        <f>A30</f>
        <v>林 奏多</v>
      </c>
      <c r="T1" s="36" t="str">
        <f>A31</f>
        <v>三浦 遥希</v>
      </c>
      <c r="U1" s="36" t="str">
        <f>A32</f>
        <v>三代澤 侑</v>
      </c>
      <c r="V1" s="36" t="str">
        <f>A33</f>
        <v>安永 理人</v>
      </c>
      <c r="W1" s="36" t="str">
        <f>A34</f>
        <v>山崎 結介</v>
      </c>
      <c r="X1" s="36" t="str">
        <f>A35</f>
        <v>湯淺 創太</v>
      </c>
      <c r="Y1" s="36">
        <f>A36</f>
        <v>0</v>
      </c>
      <c r="Z1" s="37"/>
    </row>
    <row r="2" spans="1:27" ht="22.5" customHeight="1">
      <c r="A2" s="159" t="s">
        <v>223</v>
      </c>
      <c r="B2" s="41" t="s">
        <v>139</v>
      </c>
      <c r="C2" s="38" t="s">
        <v>26</v>
      </c>
      <c r="D2" s="79" t="s">
        <v>224</v>
      </c>
      <c r="E2" s="79" t="s">
        <v>219</v>
      </c>
      <c r="F2" s="79" t="s">
        <v>86</v>
      </c>
      <c r="G2" s="79" t="s">
        <v>290</v>
      </c>
      <c r="H2" s="79" t="s">
        <v>291</v>
      </c>
      <c r="I2" s="79" t="s">
        <v>292</v>
      </c>
      <c r="J2" s="79" t="s">
        <v>225</v>
      </c>
      <c r="K2" s="79" t="s">
        <v>218</v>
      </c>
      <c r="L2" s="79" t="s">
        <v>219</v>
      </c>
      <c r="M2" s="79" t="s">
        <v>219</v>
      </c>
      <c r="N2" s="79" t="s">
        <v>224</v>
      </c>
      <c r="O2" s="79" t="s">
        <v>293</v>
      </c>
      <c r="P2" s="79" t="s">
        <v>86</v>
      </c>
      <c r="Q2" s="79" t="s">
        <v>292</v>
      </c>
      <c r="R2" s="79" t="s">
        <v>294</v>
      </c>
      <c r="S2" s="79" t="s">
        <v>224</v>
      </c>
      <c r="T2" s="79" t="s">
        <v>218</v>
      </c>
      <c r="U2" s="79" t="s">
        <v>219</v>
      </c>
      <c r="V2" s="79" t="s">
        <v>219</v>
      </c>
      <c r="W2" s="79" t="s">
        <v>219</v>
      </c>
      <c r="X2" s="79" t="s">
        <v>219</v>
      </c>
      <c r="Y2" s="39"/>
      <c r="Z2" s="40" t="s">
        <v>219</v>
      </c>
      <c r="AA2" s="40">
        <v>1</v>
      </c>
    </row>
    <row r="3" spans="1:27" ht="22.5" customHeight="1">
      <c r="A3" s="160"/>
      <c r="B3" s="41" t="s">
        <v>140</v>
      </c>
      <c r="C3" s="38" t="s">
        <v>26</v>
      </c>
      <c r="D3" s="79" t="s">
        <v>290</v>
      </c>
      <c r="E3" s="79" t="s">
        <v>295</v>
      </c>
      <c r="F3" s="79" t="s">
        <v>218</v>
      </c>
      <c r="G3" s="79" t="s">
        <v>224</v>
      </c>
      <c r="H3" s="79" t="s">
        <v>218</v>
      </c>
      <c r="I3" s="79" t="s">
        <v>224</v>
      </c>
      <c r="J3" s="79" t="s">
        <v>221</v>
      </c>
      <c r="K3" s="79" t="s">
        <v>219</v>
      </c>
      <c r="L3" s="79" t="s">
        <v>219</v>
      </c>
      <c r="M3" s="79" t="s">
        <v>219</v>
      </c>
      <c r="N3" s="79" t="s">
        <v>219</v>
      </c>
      <c r="O3" s="79" t="s">
        <v>296</v>
      </c>
      <c r="P3" s="79" t="s">
        <v>297</v>
      </c>
      <c r="Q3" s="79" t="s">
        <v>298</v>
      </c>
      <c r="R3" s="79" t="s">
        <v>299</v>
      </c>
      <c r="S3" s="79" t="s">
        <v>300</v>
      </c>
      <c r="T3" s="79" t="s">
        <v>221</v>
      </c>
      <c r="U3" s="79" t="s">
        <v>219</v>
      </c>
      <c r="V3" s="79" t="s">
        <v>218</v>
      </c>
      <c r="W3" s="79" t="s">
        <v>301</v>
      </c>
      <c r="X3" s="79" t="s">
        <v>218</v>
      </c>
      <c r="Y3" s="39"/>
      <c r="Z3" s="40" t="s">
        <v>302</v>
      </c>
      <c r="AA3" s="40">
        <v>2</v>
      </c>
    </row>
    <row r="4" spans="1:27" ht="22.5" customHeight="1">
      <c r="A4" s="160"/>
      <c r="B4" s="41" t="s">
        <v>141</v>
      </c>
      <c r="C4" s="38" t="s">
        <v>26</v>
      </c>
      <c r="D4" s="79" t="s">
        <v>219</v>
      </c>
      <c r="E4" s="79" t="s">
        <v>219</v>
      </c>
      <c r="F4" s="79" t="s">
        <v>291</v>
      </c>
      <c r="G4" s="79" t="s">
        <v>219</v>
      </c>
      <c r="H4" s="79" t="s">
        <v>218</v>
      </c>
      <c r="I4" s="79" t="s">
        <v>224</v>
      </c>
      <c r="J4" s="79" t="s">
        <v>218</v>
      </c>
      <c r="K4" s="79" t="s">
        <v>218</v>
      </c>
      <c r="L4" s="79" t="s">
        <v>219</v>
      </c>
      <c r="M4" s="79" t="s">
        <v>219</v>
      </c>
      <c r="N4" s="79" t="s">
        <v>224</v>
      </c>
      <c r="O4" s="79" t="s">
        <v>303</v>
      </c>
      <c r="P4" s="79" t="s">
        <v>218</v>
      </c>
      <c r="Q4" s="79" t="s">
        <v>295</v>
      </c>
      <c r="R4" s="79" t="s">
        <v>218</v>
      </c>
      <c r="S4" s="79" t="s">
        <v>260</v>
      </c>
      <c r="T4" s="79" t="s">
        <v>218</v>
      </c>
      <c r="U4" s="79" t="s">
        <v>219</v>
      </c>
      <c r="V4" s="79" t="s">
        <v>219</v>
      </c>
      <c r="W4" s="79" t="s">
        <v>219</v>
      </c>
      <c r="X4" s="79" t="s">
        <v>218</v>
      </c>
      <c r="Y4" s="39"/>
      <c r="Z4" s="40" t="s">
        <v>221</v>
      </c>
      <c r="AA4" s="40">
        <v>3</v>
      </c>
    </row>
    <row r="5" spans="1:27" ht="22.5" customHeight="1">
      <c r="A5" s="160"/>
      <c r="B5" s="41" t="s">
        <v>142</v>
      </c>
      <c r="C5" s="38" t="s">
        <v>26</v>
      </c>
      <c r="D5" s="79" t="s">
        <v>304</v>
      </c>
      <c r="E5" s="79" t="s">
        <v>219</v>
      </c>
      <c r="F5" s="79" t="s">
        <v>305</v>
      </c>
      <c r="G5" s="79" t="s">
        <v>219</v>
      </c>
      <c r="H5" s="79" t="s">
        <v>218</v>
      </c>
      <c r="I5" s="79" t="s">
        <v>304</v>
      </c>
      <c r="J5" s="79" t="s">
        <v>218</v>
      </c>
      <c r="K5" s="79" t="s">
        <v>219</v>
      </c>
      <c r="L5" s="79" t="s">
        <v>224</v>
      </c>
      <c r="M5" s="79" t="s">
        <v>219</v>
      </c>
      <c r="N5" s="79" t="s">
        <v>224</v>
      </c>
      <c r="O5" s="79" t="s">
        <v>219</v>
      </c>
      <c r="P5" s="79" t="s">
        <v>219</v>
      </c>
      <c r="Q5" s="79" t="s">
        <v>219</v>
      </c>
      <c r="R5" s="79" t="s">
        <v>218</v>
      </c>
      <c r="S5" s="79" t="s">
        <v>219</v>
      </c>
      <c r="T5" s="79" t="s">
        <v>218</v>
      </c>
      <c r="U5" s="79" t="s">
        <v>219</v>
      </c>
      <c r="V5" s="79" t="s">
        <v>219</v>
      </c>
      <c r="W5" s="79" t="s">
        <v>219</v>
      </c>
      <c r="X5" s="79" t="s">
        <v>218</v>
      </c>
      <c r="Y5" s="39"/>
      <c r="Z5" s="40" t="s">
        <v>220</v>
      </c>
      <c r="AA5" s="40">
        <v>4</v>
      </c>
    </row>
    <row r="6" spans="1:27" ht="22.5" customHeight="1">
      <c r="A6" s="160"/>
      <c r="B6" s="41" t="s">
        <v>143</v>
      </c>
      <c r="C6" s="38" t="s">
        <v>26</v>
      </c>
      <c r="D6" s="79" t="s">
        <v>306</v>
      </c>
      <c r="E6" s="79" t="s">
        <v>219</v>
      </c>
      <c r="F6" s="79" t="s">
        <v>218</v>
      </c>
      <c r="G6" s="79" t="s">
        <v>219</v>
      </c>
      <c r="H6" s="79" t="s">
        <v>307</v>
      </c>
      <c r="I6" s="79" t="s">
        <v>219</v>
      </c>
      <c r="J6" s="79" t="s">
        <v>218</v>
      </c>
      <c r="K6" s="79" t="s">
        <v>219</v>
      </c>
      <c r="L6" s="79" t="s">
        <v>219</v>
      </c>
      <c r="M6" s="79" t="s">
        <v>219</v>
      </c>
      <c r="N6" s="79" t="s">
        <v>219</v>
      </c>
      <c r="O6" s="79" t="s">
        <v>218</v>
      </c>
      <c r="P6" s="79" t="s">
        <v>218</v>
      </c>
      <c r="Q6" s="79" t="s">
        <v>308</v>
      </c>
      <c r="R6" s="79" t="s">
        <v>219</v>
      </c>
      <c r="S6" s="79" t="s">
        <v>219</v>
      </c>
      <c r="T6" s="79" t="s">
        <v>218</v>
      </c>
      <c r="U6" s="79" t="s">
        <v>219</v>
      </c>
      <c r="V6" s="79" t="s">
        <v>307</v>
      </c>
      <c r="W6" s="79" t="s">
        <v>219</v>
      </c>
      <c r="X6" s="79" t="s">
        <v>306</v>
      </c>
      <c r="Y6" s="39"/>
      <c r="Z6" s="40"/>
      <c r="AA6" s="40">
        <v>5</v>
      </c>
    </row>
    <row r="7" spans="1:27" ht="22.5" customHeight="1">
      <c r="A7" s="160"/>
      <c r="B7" s="84"/>
      <c r="C7" s="38" t="s">
        <v>26</v>
      </c>
      <c r="D7" s="79"/>
      <c r="E7" s="79"/>
      <c r="F7" s="79"/>
      <c r="G7" s="79"/>
      <c r="H7" s="79"/>
      <c r="I7" s="79"/>
      <c r="J7" s="79"/>
      <c r="K7" s="79"/>
      <c r="L7" s="79"/>
      <c r="M7" s="79"/>
      <c r="N7" s="79"/>
      <c r="O7" s="79"/>
      <c r="P7" s="79"/>
      <c r="Q7" s="79"/>
      <c r="R7" s="79"/>
      <c r="S7" s="79"/>
      <c r="T7" s="79"/>
      <c r="U7" s="79"/>
      <c r="V7" s="79"/>
      <c r="W7" s="79"/>
      <c r="X7" s="39"/>
      <c r="Y7" s="39"/>
      <c r="Z7" s="40"/>
      <c r="AA7" s="40" t="s">
        <v>220</v>
      </c>
    </row>
    <row r="8" spans="1:27" ht="22.5" customHeight="1">
      <c r="A8" s="160"/>
      <c r="B8" s="41"/>
      <c r="C8" s="38" t="s">
        <v>26</v>
      </c>
      <c r="D8" s="79"/>
      <c r="E8" s="79"/>
      <c r="F8" s="79"/>
      <c r="G8" s="79"/>
      <c r="H8" s="79"/>
      <c r="I8" s="79"/>
      <c r="J8" s="79"/>
      <c r="K8" s="79"/>
      <c r="L8" s="79"/>
      <c r="M8" s="79"/>
      <c r="N8" s="79"/>
      <c r="O8" s="79"/>
      <c r="P8" s="79"/>
      <c r="Q8" s="79"/>
      <c r="R8" s="79"/>
      <c r="S8" s="79"/>
      <c r="T8" s="79"/>
      <c r="U8" s="79"/>
      <c r="V8" s="79"/>
      <c r="W8" s="79"/>
      <c r="X8" s="39"/>
      <c r="Y8" s="39"/>
    </row>
    <row r="9" spans="1:27" ht="22.5" customHeight="1">
      <c r="A9" s="160"/>
      <c r="B9" s="41"/>
      <c r="C9" s="38" t="s">
        <v>26</v>
      </c>
      <c r="D9" s="79"/>
      <c r="E9" s="79"/>
      <c r="F9" s="79"/>
      <c r="G9" s="79"/>
      <c r="H9" s="79"/>
      <c r="I9" s="79"/>
      <c r="J9" s="79"/>
      <c r="K9" s="79"/>
      <c r="L9" s="79"/>
      <c r="M9" s="79"/>
      <c r="N9" s="79"/>
      <c r="O9" s="79"/>
      <c r="P9" s="79"/>
      <c r="Q9" s="79"/>
      <c r="R9" s="79"/>
      <c r="S9" s="79"/>
      <c r="T9" s="79"/>
      <c r="U9" s="79"/>
      <c r="V9" s="79"/>
      <c r="W9" s="79"/>
      <c r="X9" s="39"/>
      <c r="Y9" s="39"/>
    </row>
    <row r="10" spans="1:27" ht="22.5" customHeight="1">
      <c r="A10" s="160"/>
      <c r="B10" s="41"/>
      <c r="C10" s="38" t="s">
        <v>26</v>
      </c>
      <c r="D10" s="79"/>
      <c r="E10" s="79"/>
      <c r="F10" s="79"/>
      <c r="G10" s="79"/>
      <c r="H10" s="79"/>
      <c r="I10" s="79"/>
      <c r="J10" s="79"/>
      <c r="K10" s="79"/>
      <c r="L10" s="79"/>
      <c r="M10" s="79"/>
      <c r="N10" s="79"/>
      <c r="O10" s="79"/>
      <c r="P10" s="79"/>
      <c r="Q10" s="79"/>
      <c r="R10" s="79"/>
      <c r="S10" s="79"/>
      <c r="T10" s="79"/>
      <c r="U10" s="79"/>
      <c r="V10" s="79"/>
      <c r="W10" s="79"/>
      <c r="X10" s="39"/>
      <c r="Y10" s="39"/>
    </row>
    <row r="11" spans="1:27" ht="22.5" customHeight="1">
      <c r="A11" s="160"/>
      <c r="B11" s="41"/>
      <c r="C11" s="38" t="s">
        <v>26</v>
      </c>
      <c r="D11" s="79"/>
      <c r="E11" s="79"/>
      <c r="F11" s="79"/>
      <c r="G11" s="79"/>
      <c r="H11" s="79"/>
      <c r="I11" s="79"/>
      <c r="J11" s="79"/>
      <c r="K11" s="79"/>
      <c r="L11" s="79"/>
      <c r="M11" s="79"/>
      <c r="N11" s="79"/>
      <c r="O11" s="79"/>
      <c r="P11" s="79"/>
      <c r="Q11" s="79"/>
      <c r="R11" s="79"/>
      <c r="S11" s="79"/>
      <c r="T11" s="79"/>
      <c r="U11" s="79"/>
      <c r="V11" s="79"/>
      <c r="W11" s="79"/>
      <c r="X11" s="39"/>
      <c r="Y11" s="39"/>
    </row>
    <row r="12" spans="1:27" ht="30" customHeight="1">
      <c r="A12" s="161"/>
      <c r="B12" s="42"/>
      <c r="C12" s="43" t="s">
        <v>27</v>
      </c>
      <c r="D12" s="79">
        <v>5</v>
      </c>
      <c r="E12" s="79">
        <v>5</v>
      </c>
      <c r="F12" s="79">
        <v>3</v>
      </c>
      <c r="G12" s="79">
        <v>5</v>
      </c>
      <c r="H12" s="79">
        <v>3</v>
      </c>
      <c r="I12" s="79">
        <v>5</v>
      </c>
      <c r="J12" s="79">
        <v>2</v>
      </c>
      <c r="K12" s="79">
        <v>4</v>
      </c>
      <c r="L12" s="79">
        <v>5</v>
      </c>
      <c r="M12" s="79">
        <v>5</v>
      </c>
      <c r="N12" s="79">
        <v>5</v>
      </c>
      <c r="O12" s="79">
        <v>4</v>
      </c>
      <c r="P12" s="79">
        <v>3</v>
      </c>
      <c r="Q12" s="79">
        <v>3</v>
      </c>
      <c r="R12" s="79">
        <v>3</v>
      </c>
      <c r="S12" s="79">
        <v>5</v>
      </c>
      <c r="T12" s="79">
        <v>2</v>
      </c>
      <c r="U12" s="79">
        <v>5</v>
      </c>
      <c r="V12" s="79">
        <v>5</v>
      </c>
      <c r="W12" s="79">
        <v>4</v>
      </c>
      <c r="X12" s="39">
        <v>4</v>
      </c>
      <c r="Y12" s="39"/>
    </row>
    <row r="13" spans="1:27" ht="26.25" customHeight="1">
      <c r="A13" s="44"/>
      <c r="B13" s="44"/>
      <c r="C13" s="75" t="s">
        <v>53</v>
      </c>
      <c r="D13" s="79"/>
      <c r="E13" s="79"/>
      <c r="F13" s="79"/>
      <c r="G13" s="79"/>
      <c r="H13" s="79"/>
      <c r="I13" s="79"/>
      <c r="J13" s="79"/>
      <c r="K13" s="79"/>
      <c r="L13" s="79"/>
      <c r="M13" s="79"/>
      <c r="N13" s="79"/>
      <c r="O13" s="79"/>
      <c r="P13" s="79"/>
      <c r="Q13" s="79"/>
      <c r="R13" s="79"/>
      <c r="S13" s="79"/>
      <c r="T13" s="79"/>
      <c r="U13" s="79"/>
      <c r="V13" s="79"/>
      <c r="W13" s="7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87</v>
      </c>
      <c r="B15" s="156"/>
      <c r="C15" s="157"/>
      <c r="D15" s="157"/>
      <c r="E15" s="157"/>
      <c r="F15" s="157"/>
      <c r="G15" s="157"/>
      <c r="H15" s="157"/>
      <c r="I15" s="157"/>
      <c r="J15" s="157"/>
      <c r="K15" s="157"/>
      <c r="L15" s="157"/>
      <c r="M15" s="157"/>
      <c r="N15" s="157"/>
      <c r="O15" s="157"/>
      <c r="P15" s="157"/>
      <c r="Q15" s="157"/>
      <c r="R15" s="157"/>
      <c r="S15" s="157"/>
      <c r="T15" s="157"/>
      <c r="U15" s="157"/>
      <c r="V15" s="157"/>
      <c r="W15" s="157"/>
      <c r="X15" s="157"/>
      <c r="Y15" s="158"/>
    </row>
    <row r="16" spans="1:27" ht="59.25" customHeight="1">
      <c r="A16" s="46" t="s">
        <v>88</v>
      </c>
      <c r="B16" s="156"/>
      <c r="C16" s="157"/>
      <c r="D16" s="157"/>
      <c r="E16" s="157"/>
      <c r="F16" s="157"/>
      <c r="G16" s="157"/>
      <c r="H16" s="157"/>
      <c r="I16" s="157"/>
      <c r="J16" s="157"/>
      <c r="K16" s="157"/>
      <c r="L16" s="157"/>
      <c r="M16" s="157"/>
      <c r="N16" s="157"/>
      <c r="O16" s="157"/>
      <c r="P16" s="157"/>
      <c r="Q16" s="157"/>
      <c r="R16" s="157"/>
      <c r="S16" s="157"/>
      <c r="T16" s="157"/>
      <c r="U16" s="157"/>
      <c r="V16" s="157"/>
      <c r="W16" s="157"/>
      <c r="X16" s="157"/>
      <c r="Y16" s="158"/>
    </row>
    <row r="17" spans="1:25" ht="59.25" customHeight="1">
      <c r="A17" s="46" t="s">
        <v>89</v>
      </c>
      <c r="B17" s="156"/>
      <c r="C17" s="157"/>
      <c r="D17" s="157"/>
      <c r="E17" s="157"/>
      <c r="F17" s="157"/>
      <c r="G17" s="157"/>
      <c r="H17" s="157"/>
      <c r="I17" s="157"/>
      <c r="J17" s="157"/>
      <c r="K17" s="157"/>
      <c r="L17" s="157"/>
      <c r="M17" s="157"/>
      <c r="N17" s="157"/>
      <c r="O17" s="157"/>
      <c r="P17" s="157"/>
      <c r="Q17" s="157"/>
      <c r="R17" s="157"/>
      <c r="S17" s="157"/>
      <c r="T17" s="157"/>
      <c r="U17" s="157"/>
      <c r="V17" s="157"/>
      <c r="W17" s="157"/>
      <c r="X17" s="157"/>
      <c r="Y17" s="158"/>
    </row>
    <row r="18" spans="1:25" ht="59.25" customHeight="1">
      <c r="A18" s="46" t="s">
        <v>90</v>
      </c>
      <c r="B18" s="156"/>
      <c r="C18" s="157"/>
      <c r="D18" s="157"/>
      <c r="E18" s="157"/>
      <c r="F18" s="157"/>
      <c r="G18" s="157"/>
      <c r="H18" s="157"/>
      <c r="I18" s="157"/>
      <c r="J18" s="157"/>
      <c r="K18" s="157"/>
      <c r="L18" s="157"/>
      <c r="M18" s="157"/>
      <c r="N18" s="157"/>
      <c r="O18" s="157"/>
      <c r="P18" s="157"/>
      <c r="Q18" s="157"/>
      <c r="R18" s="157"/>
      <c r="S18" s="157"/>
      <c r="T18" s="157"/>
      <c r="U18" s="157"/>
      <c r="V18" s="157"/>
      <c r="W18" s="157"/>
      <c r="X18" s="157"/>
      <c r="Y18" s="158"/>
    </row>
    <row r="19" spans="1:25" ht="59.25" customHeight="1">
      <c r="A19" s="46" t="s">
        <v>91</v>
      </c>
      <c r="B19" s="156"/>
      <c r="C19" s="157"/>
      <c r="D19" s="157"/>
      <c r="E19" s="157"/>
      <c r="F19" s="157"/>
      <c r="G19" s="157"/>
      <c r="H19" s="157"/>
      <c r="I19" s="157"/>
      <c r="J19" s="157"/>
      <c r="K19" s="157"/>
      <c r="L19" s="157"/>
      <c r="M19" s="157"/>
      <c r="N19" s="157"/>
      <c r="O19" s="157"/>
      <c r="P19" s="157"/>
      <c r="Q19" s="157"/>
      <c r="R19" s="157"/>
      <c r="S19" s="157"/>
      <c r="T19" s="157"/>
      <c r="U19" s="157"/>
      <c r="V19" s="157"/>
      <c r="W19" s="157"/>
      <c r="X19" s="157"/>
      <c r="Y19" s="158"/>
    </row>
    <row r="20" spans="1:25" ht="59.25" customHeight="1">
      <c r="A20" s="46" t="s">
        <v>92</v>
      </c>
      <c r="B20" s="156"/>
      <c r="C20" s="157"/>
      <c r="D20" s="157"/>
      <c r="E20" s="157"/>
      <c r="F20" s="157"/>
      <c r="G20" s="157"/>
      <c r="H20" s="157"/>
      <c r="I20" s="157"/>
      <c r="J20" s="157"/>
      <c r="K20" s="157"/>
      <c r="L20" s="157"/>
      <c r="M20" s="157"/>
      <c r="N20" s="157"/>
      <c r="O20" s="157"/>
      <c r="P20" s="157"/>
      <c r="Q20" s="157"/>
      <c r="R20" s="157"/>
      <c r="S20" s="157"/>
      <c r="T20" s="157"/>
      <c r="U20" s="157"/>
      <c r="V20" s="157"/>
      <c r="W20" s="157"/>
      <c r="X20" s="157"/>
      <c r="Y20" s="158"/>
    </row>
    <row r="21" spans="1:25" ht="59.25" customHeight="1">
      <c r="A21" s="46" t="s">
        <v>93</v>
      </c>
      <c r="B21" s="156" t="s">
        <v>144</v>
      </c>
      <c r="C21" s="157"/>
      <c r="D21" s="157"/>
      <c r="E21" s="157"/>
      <c r="F21" s="157"/>
      <c r="G21" s="157"/>
      <c r="H21" s="157"/>
      <c r="I21" s="157"/>
      <c r="J21" s="157"/>
      <c r="K21" s="157"/>
      <c r="L21" s="157"/>
      <c r="M21" s="157"/>
      <c r="N21" s="157"/>
      <c r="O21" s="157"/>
      <c r="P21" s="157"/>
      <c r="Q21" s="157"/>
      <c r="R21" s="157"/>
      <c r="S21" s="157"/>
      <c r="T21" s="157"/>
      <c r="U21" s="157"/>
      <c r="V21" s="157"/>
      <c r="W21" s="157"/>
      <c r="X21" s="157"/>
      <c r="Y21" s="158"/>
    </row>
    <row r="22" spans="1:25" ht="59.25" customHeight="1">
      <c r="A22" s="46" t="s">
        <v>94</v>
      </c>
      <c r="B22" s="156"/>
      <c r="C22" s="157"/>
      <c r="D22" s="157"/>
      <c r="E22" s="157"/>
      <c r="F22" s="157"/>
      <c r="G22" s="157"/>
      <c r="H22" s="157"/>
      <c r="I22" s="157"/>
      <c r="J22" s="157"/>
      <c r="K22" s="157"/>
      <c r="L22" s="157"/>
      <c r="M22" s="157"/>
      <c r="N22" s="157"/>
      <c r="O22" s="157"/>
      <c r="P22" s="157"/>
      <c r="Q22" s="157"/>
      <c r="R22" s="157"/>
      <c r="S22" s="157"/>
      <c r="T22" s="157"/>
      <c r="U22" s="157"/>
      <c r="V22" s="157"/>
      <c r="W22" s="157"/>
      <c r="X22" s="157"/>
      <c r="Y22" s="158"/>
    </row>
    <row r="23" spans="1:25" ht="59.25" customHeight="1">
      <c r="A23" s="46" t="s">
        <v>95</v>
      </c>
      <c r="B23" s="156"/>
      <c r="C23" s="157"/>
      <c r="D23" s="157"/>
      <c r="E23" s="157"/>
      <c r="F23" s="157"/>
      <c r="G23" s="157"/>
      <c r="H23" s="157"/>
      <c r="I23" s="157"/>
      <c r="J23" s="157"/>
      <c r="K23" s="157"/>
      <c r="L23" s="157"/>
      <c r="M23" s="157"/>
      <c r="N23" s="157"/>
      <c r="O23" s="157"/>
      <c r="P23" s="157"/>
      <c r="Q23" s="157"/>
      <c r="R23" s="157"/>
      <c r="S23" s="157"/>
      <c r="T23" s="157"/>
      <c r="U23" s="157"/>
      <c r="V23" s="157"/>
      <c r="W23" s="157"/>
      <c r="X23" s="157"/>
      <c r="Y23" s="158"/>
    </row>
    <row r="24" spans="1:25" ht="59.25" customHeight="1">
      <c r="A24" s="46" t="s">
        <v>96</v>
      </c>
      <c r="B24" s="156"/>
      <c r="C24" s="157"/>
      <c r="D24" s="157"/>
      <c r="E24" s="157"/>
      <c r="F24" s="157"/>
      <c r="G24" s="157"/>
      <c r="H24" s="157"/>
      <c r="I24" s="157"/>
      <c r="J24" s="157"/>
      <c r="K24" s="157"/>
      <c r="L24" s="157"/>
      <c r="M24" s="157"/>
      <c r="N24" s="157"/>
      <c r="O24" s="157"/>
      <c r="P24" s="157"/>
      <c r="Q24" s="157"/>
      <c r="R24" s="157"/>
      <c r="S24" s="157"/>
      <c r="T24" s="157"/>
      <c r="U24" s="157"/>
      <c r="V24" s="157"/>
      <c r="W24" s="157"/>
      <c r="X24" s="157"/>
      <c r="Y24" s="158"/>
    </row>
    <row r="25" spans="1:25" ht="59.25" customHeight="1">
      <c r="A25" s="46" t="s">
        <v>97</v>
      </c>
      <c r="B25" s="156"/>
      <c r="C25" s="157"/>
      <c r="D25" s="157"/>
      <c r="E25" s="157"/>
      <c r="F25" s="157"/>
      <c r="G25" s="157"/>
      <c r="H25" s="157"/>
      <c r="I25" s="157"/>
      <c r="J25" s="157"/>
      <c r="K25" s="157"/>
      <c r="L25" s="157"/>
      <c r="M25" s="157"/>
      <c r="N25" s="157"/>
      <c r="O25" s="157"/>
      <c r="P25" s="157"/>
      <c r="Q25" s="157"/>
      <c r="R25" s="157"/>
      <c r="S25" s="157"/>
      <c r="T25" s="157"/>
      <c r="U25" s="157"/>
      <c r="V25" s="157"/>
      <c r="W25" s="157"/>
      <c r="X25" s="157"/>
      <c r="Y25" s="158"/>
    </row>
    <row r="26" spans="1:25" ht="59.25" customHeight="1">
      <c r="A26" s="46" t="s">
        <v>98</v>
      </c>
      <c r="B26" s="156"/>
      <c r="C26" s="157"/>
      <c r="D26" s="157"/>
      <c r="E26" s="157"/>
      <c r="F26" s="157"/>
      <c r="G26" s="157"/>
      <c r="H26" s="157"/>
      <c r="I26" s="157"/>
      <c r="J26" s="157"/>
      <c r="K26" s="157"/>
      <c r="L26" s="157"/>
      <c r="M26" s="157"/>
      <c r="N26" s="157"/>
      <c r="O26" s="157"/>
      <c r="P26" s="157"/>
      <c r="Q26" s="157"/>
      <c r="R26" s="157"/>
      <c r="S26" s="157"/>
      <c r="T26" s="157"/>
      <c r="U26" s="157"/>
      <c r="V26" s="157"/>
      <c r="W26" s="157"/>
      <c r="X26" s="157"/>
      <c r="Y26" s="158"/>
    </row>
    <row r="27" spans="1:25" ht="59.25" customHeight="1">
      <c r="A27" s="46" t="s">
        <v>99</v>
      </c>
      <c r="B27" s="156"/>
      <c r="C27" s="157"/>
      <c r="D27" s="157"/>
      <c r="E27" s="157"/>
      <c r="F27" s="157"/>
      <c r="G27" s="157"/>
      <c r="H27" s="157"/>
      <c r="I27" s="157"/>
      <c r="J27" s="157"/>
      <c r="K27" s="157"/>
      <c r="L27" s="157"/>
      <c r="M27" s="157"/>
      <c r="N27" s="157"/>
      <c r="O27" s="157"/>
      <c r="P27" s="157"/>
      <c r="Q27" s="157"/>
      <c r="R27" s="157"/>
      <c r="S27" s="157"/>
      <c r="T27" s="157"/>
      <c r="U27" s="157"/>
      <c r="V27" s="157"/>
      <c r="W27" s="157"/>
      <c r="X27" s="157"/>
      <c r="Y27" s="158"/>
    </row>
    <row r="28" spans="1:25" ht="59.25" customHeight="1">
      <c r="A28" s="46" t="s">
        <v>100</v>
      </c>
      <c r="B28" s="156" t="s">
        <v>145</v>
      </c>
      <c r="C28" s="157"/>
      <c r="D28" s="157"/>
      <c r="E28" s="157"/>
      <c r="F28" s="157"/>
      <c r="G28" s="157"/>
      <c r="H28" s="157"/>
      <c r="I28" s="157"/>
      <c r="J28" s="157"/>
      <c r="K28" s="157"/>
      <c r="L28" s="157"/>
      <c r="M28" s="157"/>
      <c r="N28" s="157"/>
      <c r="O28" s="157"/>
      <c r="P28" s="157"/>
      <c r="Q28" s="157"/>
      <c r="R28" s="157"/>
      <c r="S28" s="157"/>
      <c r="T28" s="157"/>
      <c r="U28" s="157"/>
      <c r="V28" s="157"/>
      <c r="W28" s="157"/>
      <c r="X28" s="157"/>
      <c r="Y28" s="158"/>
    </row>
    <row r="29" spans="1:25" ht="59.25" customHeight="1">
      <c r="A29" s="46" t="s">
        <v>101</v>
      </c>
      <c r="B29" s="156" t="s">
        <v>146</v>
      </c>
      <c r="C29" s="157"/>
      <c r="D29" s="157"/>
      <c r="E29" s="157"/>
      <c r="F29" s="157"/>
      <c r="G29" s="157"/>
      <c r="H29" s="157"/>
      <c r="I29" s="157"/>
      <c r="J29" s="157"/>
      <c r="K29" s="157"/>
      <c r="L29" s="157"/>
      <c r="M29" s="157"/>
      <c r="N29" s="157"/>
      <c r="O29" s="157"/>
      <c r="P29" s="157"/>
      <c r="Q29" s="157"/>
      <c r="R29" s="157"/>
      <c r="S29" s="157"/>
      <c r="T29" s="157"/>
      <c r="U29" s="157"/>
      <c r="V29" s="157"/>
      <c r="W29" s="157"/>
      <c r="X29" s="157"/>
      <c r="Y29" s="158"/>
    </row>
    <row r="30" spans="1:25" ht="59.25" customHeight="1">
      <c r="A30" s="46" t="s">
        <v>102</v>
      </c>
      <c r="B30" s="156"/>
      <c r="C30" s="157"/>
      <c r="D30" s="157"/>
      <c r="E30" s="157"/>
      <c r="F30" s="157"/>
      <c r="G30" s="157"/>
      <c r="H30" s="157"/>
      <c r="I30" s="157"/>
      <c r="J30" s="157"/>
      <c r="K30" s="157"/>
      <c r="L30" s="157"/>
      <c r="M30" s="157"/>
      <c r="N30" s="157"/>
      <c r="O30" s="157"/>
      <c r="P30" s="157"/>
      <c r="Q30" s="157"/>
      <c r="R30" s="157"/>
      <c r="S30" s="157"/>
      <c r="T30" s="157"/>
      <c r="U30" s="157"/>
      <c r="V30" s="157"/>
      <c r="W30" s="157"/>
      <c r="X30" s="157"/>
      <c r="Y30" s="158"/>
    </row>
    <row r="31" spans="1:25" ht="59.25" customHeight="1">
      <c r="A31" s="46" t="s">
        <v>103</v>
      </c>
      <c r="B31" s="156" t="s">
        <v>147</v>
      </c>
      <c r="C31" s="157"/>
      <c r="D31" s="157"/>
      <c r="E31" s="157"/>
      <c r="F31" s="157"/>
      <c r="G31" s="157"/>
      <c r="H31" s="157"/>
      <c r="I31" s="157"/>
      <c r="J31" s="157"/>
      <c r="K31" s="157"/>
      <c r="L31" s="157"/>
      <c r="M31" s="157"/>
      <c r="N31" s="157"/>
      <c r="O31" s="157"/>
      <c r="P31" s="157"/>
      <c r="Q31" s="157"/>
      <c r="R31" s="157"/>
      <c r="S31" s="157"/>
      <c r="T31" s="157"/>
      <c r="U31" s="157"/>
      <c r="V31" s="157"/>
      <c r="W31" s="157"/>
      <c r="X31" s="157"/>
      <c r="Y31" s="158"/>
    </row>
    <row r="32" spans="1:25" ht="59.25" customHeight="1">
      <c r="A32" s="46" t="s">
        <v>104</v>
      </c>
      <c r="B32" s="156"/>
      <c r="C32" s="157"/>
      <c r="D32" s="157"/>
      <c r="E32" s="157"/>
      <c r="F32" s="157"/>
      <c r="G32" s="157"/>
      <c r="H32" s="157"/>
      <c r="I32" s="157"/>
      <c r="J32" s="157"/>
      <c r="K32" s="157"/>
      <c r="L32" s="157"/>
      <c r="M32" s="157"/>
      <c r="N32" s="157"/>
      <c r="O32" s="157"/>
      <c r="P32" s="157"/>
      <c r="Q32" s="157"/>
      <c r="R32" s="157"/>
      <c r="S32" s="157"/>
      <c r="T32" s="157"/>
      <c r="U32" s="157"/>
      <c r="V32" s="157"/>
      <c r="W32" s="157"/>
      <c r="X32" s="157"/>
      <c r="Y32" s="158"/>
    </row>
    <row r="33" spans="1:25" ht="59.25" customHeight="1">
      <c r="A33" s="46" t="s">
        <v>105</v>
      </c>
      <c r="B33" s="156"/>
      <c r="C33" s="157"/>
      <c r="D33" s="157"/>
      <c r="E33" s="157"/>
      <c r="F33" s="157"/>
      <c r="G33" s="157"/>
      <c r="H33" s="157"/>
      <c r="I33" s="157"/>
      <c r="J33" s="157"/>
      <c r="K33" s="157"/>
      <c r="L33" s="157"/>
      <c r="M33" s="157"/>
      <c r="N33" s="157"/>
      <c r="O33" s="157"/>
      <c r="P33" s="157"/>
      <c r="Q33" s="157"/>
      <c r="R33" s="157"/>
      <c r="S33" s="157"/>
      <c r="T33" s="157"/>
      <c r="U33" s="157"/>
      <c r="V33" s="157"/>
      <c r="W33" s="157"/>
      <c r="X33" s="157"/>
      <c r="Y33" s="158"/>
    </row>
    <row r="34" spans="1:25" ht="59.25" customHeight="1">
      <c r="A34" s="46" t="s">
        <v>106</v>
      </c>
      <c r="B34" s="156" t="s">
        <v>148</v>
      </c>
      <c r="C34" s="157"/>
      <c r="D34" s="157"/>
      <c r="E34" s="157"/>
      <c r="F34" s="157"/>
      <c r="G34" s="157"/>
      <c r="H34" s="157"/>
      <c r="I34" s="157"/>
      <c r="J34" s="157"/>
      <c r="K34" s="157"/>
      <c r="L34" s="157"/>
      <c r="M34" s="157"/>
      <c r="N34" s="157"/>
      <c r="O34" s="157"/>
      <c r="P34" s="157"/>
      <c r="Q34" s="157"/>
      <c r="R34" s="157"/>
      <c r="S34" s="157"/>
      <c r="T34" s="157"/>
      <c r="U34" s="157"/>
      <c r="V34" s="157"/>
      <c r="W34" s="157"/>
      <c r="X34" s="157"/>
      <c r="Y34" s="158"/>
    </row>
    <row r="35" spans="1:25" ht="59.25" customHeight="1">
      <c r="A35" s="46" t="s">
        <v>107</v>
      </c>
      <c r="B35" s="156"/>
      <c r="C35" s="157"/>
      <c r="D35" s="157"/>
      <c r="E35" s="157"/>
      <c r="F35" s="157"/>
      <c r="G35" s="157"/>
      <c r="H35" s="157"/>
      <c r="I35" s="157"/>
      <c r="J35" s="157"/>
      <c r="K35" s="157"/>
      <c r="L35" s="157"/>
      <c r="M35" s="157"/>
      <c r="N35" s="157"/>
      <c r="O35" s="157"/>
      <c r="P35" s="157"/>
      <c r="Q35" s="157"/>
      <c r="R35" s="157"/>
      <c r="S35" s="157"/>
      <c r="T35" s="157"/>
      <c r="U35" s="157"/>
      <c r="V35" s="157"/>
      <c r="W35" s="157"/>
      <c r="X35" s="157"/>
      <c r="Y35" s="158"/>
    </row>
    <row r="36" spans="1:25" ht="59.25" customHeight="1">
      <c r="A36" s="46"/>
      <c r="B36" s="156"/>
      <c r="C36" s="157"/>
      <c r="D36" s="157"/>
      <c r="E36" s="157"/>
      <c r="F36" s="157"/>
      <c r="G36" s="157"/>
      <c r="H36" s="157"/>
      <c r="I36" s="157"/>
      <c r="J36" s="157"/>
      <c r="K36" s="157"/>
      <c r="L36" s="157"/>
      <c r="M36" s="157"/>
      <c r="N36" s="157"/>
      <c r="O36" s="157"/>
      <c r="P36" s="157"/>
      <c r="Q36" s="157"/>
      <c r="R36" s="157"/>
      <c r="S36" s="157"/>
      <c r="T36" s="157"/>
      <c r="U36" s="157"/>
      <c r="V36" s="157"/>
      <c r="W36" s="157"/>
      <c r="X36" s="157"/>
      <c r="Y36" s="158"/>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A2:A12"/>
    <mergeCell ref="B14:Y14"/>
    <mergeCell ref="B15:Y15"/>
    <mergeCell ref="B16:Y16"/>
    <mergeCell ref="B17:Y17"/>
    <mergeCell ref="B18:Y18"/>
    <mergeCell ref="B19:Y19"/>
    <mergeCell ref="B20:Y20"/>
    <mergeCell ref="B21:Y21"/>
    <mergeCell ref="B22:Y22"/>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8"/>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３－１</v>
      </c>
      <c r="B1" s="34" t="str">
        <f ca="1">RIGHT(CELL("filename",B1),LEN(CELL("filename",B1))-FIND("]",CELL("filename",B1)))</f>
        <v>道徳</v>
      </c>
      <c r="C1" s="47" t="s">
        <v>30</v>
      </c>
    </row>
    <row r="2" spans="1:3" ht="22.5" customHeight="1">
      <c r="A2" s="45" t="s">
        <v>28</v>
      </c>
      <c r="B2" s="48" t="s">
        <v>6</v>
      </c>
      <c r="C2" s="8" t="s">
        <v>309</v>
      </c>
    </row>
    <row r="3" spans="1:3" ht="59.25" customHeight="1">
      <c r="A3" s="46" t="s">
        <v>87</v>
      </c>
      <c r="B3" s="49" t="s">
        <v>149</v>
      </c>
      <c r="C3" s="8">
        <f>LEN(B3)</f>
        <v>200</v>
      </c>
    </row>
    <row r="4" spans="1:3" ht="59.25" customHeight="1">
      <c r="A4" s="46" t="s">
        <v>88</v>
      </c>
      <c r="B4" s="49" t="s">
        <v>150</v>
      </c>
      <c r="C4" s="8">
        <f t="shared" ref="C4:C24" si="0">LEN(B4)</f>
        <v>176</v>
      </c>
    </row>
    <row r="5" spans="1:3" ht="59.25" customHeight="1">
      <c r="A5" s="46" t="s">
        <v>89</v>
      </c>
      <c r="B5" s="49" t="s">
        <v>151</v>
      </c>
      <c r="C5" s="8">
        <f t="shared" si="0"/>
        <v>196</v>
      </c>
    </row>
    <row r="6" spans="1:3" ht="59.25" customHeight="1">
      <c r="A6" s="46" t="s">
        <v>90</v>
      </c>
      <c r="B6" s="49" t="s">
        <v>152</v>
      </c>
      <c r="C6" s="8">
        <f t="shared" si="0"/>
        <v>198</v>
      </c>
    </row>
    <row r="7" spans="1:3" ht="59.25" customHeight="1">
      <c r="A7" s="46" t="s">
        <v>91</v>
      </c>
      <c r="B7" s="49" t="s">
        <v>153</v>
      </c>
      <c r="C7" s="8">
        <f t="shared" si="0"/>
        <v>196</v>
      </c>
    </row>
    <row r="8" spans="1:3" ht="59.25" customHeight="1">
      <c r="A8" s="46" t="s">
        <v>92</v>
      </c>
      <c r="B8" s="49" t="s">
        <v>154</v>
      </c>
      <c r="C8" s="8">
        <f t="shared" si="0"/>
        <v>198</v>
      </c>
    </row>
    <row r="9" spans="1:3" ht="59.25" customHeight="1">
      <c r="A9" s="46" t="s">
        <v>93</v>
      </c>
      <c r="B9" s="49" t="s">
        <v>155</v>
      </c>
      <c r="C9" s="8">
        <f t="shared" si="0"/>
        <v>191</v>
      </c>
    </row>
    <row r="10" spans="1:3" ht="59.25" customHeight="1">
      <c r="A10" s="46" t="s">
        <v>94</v>
      </c>
      <c r="B10" s="49" t="s">
        <v>156</v>
      </c>
      <c r="C10" s="8">
        <f t="shared" si="0"/>
        <v>194</v>
      </c>
    </row>
    <row r="11" spans="1:3" ht="59.25" customHeight="1">
      <c r="A11" s="46" t="s">
        <v>95</v>
      </c>
      <c r="B11" s="49" t="s">
        <v>157</v>
      </c>
      <c r="C11" s="8">
        <f t="shared" si="0"/>
        <v>186</v>
      </c>
    </row>
    <row r="12" spans="1:3" ht="59.25" customHeight="1">
      <c r="A12" s="46" t="s">
        <v>96</v>
      </c>
      <c r="B12" s="49" t="s">
        <v>158</v>
      </c>
      <c r="C12" s="8">
        <f t="shared" si="0"/>
        <v>197</v>
      </c>
    </row>
    <row r="13" spans="1:3" ht="59.25" customHeight="1">
      <c r="A13" s="46" t="s">
        <v>97</v>
      </c>
      <c r="B13" s="49" t="s">
        <v>159</v>
      </c>
      <c r="C13" s="8">
        <f t="shared" si="0"/>
        <v>192</v>
      </c>
    </row>
    <row r="14" spans="1:3" ht="59.25" customHeight="1">
      <c r="A14" s="46" t="s">
        <v>98</v>
      </c>
      <c r="B14" s="49" t="s">
        <v>160</v>
      </c>
      <c r="C14" s="8">
        <f t="shared" si="0"/>
        <v>198</v>
      </c>
    </row>
    <row r="15" spans="1:3" ht="59.25" customHeight="1">
      <c r="A15" s="46" t="s">
        <v>99</v>
      </c>
      <c r="B15" s="49" t="s">
        <v>161</v>
      </c>
      <c r="C15" s="8">
        <f t="shared" si="0"/>
        <v>199</v>
      </c>
    </row>
    <row r="16" spans="1:3" ht="59.25" customHeight="1">
      <c r="A16" s="46" t="s">
        <v>100</v>
      </c>
      <c r="B16" s="49" t="s">
        <v>162</v>
      </c>
      <c r="C16" s="8">
        <f t="shared" si="0"/>
        <v>194</v>
      </c>
    </row>
    <row r="17" spans="1:3" ht="59.25" customHeight="1">
      <c r="A17" s="46" t="s">
        <v>101</v>
      </c>
      <c r="B17" s="49" t="s">
        <v>163</v>
      </c>
      <c r="C17" s="8">
        <f t="shared" si="0"/>
        <v>193</v>
      </c>
    </row>
    <row r="18" spans="1:3" ht="59.25" customHeight="1">
      <c r="A18" s="46" t="s">
        <v>102</v>
      </c>
      <c r="B18" s="49" t="s">
        <v>164</v>
      </c>
      <c r="C18" s="8">
        <f t="shared" si="0"/>
        <v>193</v>
      </c>
    </row>
    <row r="19" spans="1:3" ht="59.25" customHeight="1">
      <c r="A19" s="46" t="s">
        <v>103</v>
      </c>
      <c r="B19" s="49" t="s">
        <v>165</v>
      </c>
      <c r="C19" s="8">
        <f t="shared" si="0"/>
        <v>193</v>
      </c>
    </row>
    <row r="20" spans="1:3" ht="59.25" customHeight="1">
      <c r="A20" s="46" t="s">
        <v>104</v>
      </c>
      <c r="B20" s="49" t="s">
        <v>166</v>
      </c>
      <c r="C20" s="8">
        <f t="shared" si="0"/>
        <v>190</v>
      </c>
    </row>
    <row r="21" spans="1:3" ht="59.25" customHeight="1">
      <c r="A21" s="46" t="s">
        <v>105</v>
      </c>
      <c r="B21" s="49" t="s">
        <v>167</v>
      </c>
      <c r="C21" s="8">
        <f t="shared" si="0"/>
        <v>195</v>
      </c>
    </row>
    <row r="22" spans="1:3" ht="59.25" customHeight="1">
      <c r="A22" s="46" t="s">
        <v>106</v>
      </c>
      <c r="B22" s="49" t="s">
        <v>168</v>
      </c>
      <c r="C22" s="8">
        <f t="shared" si="0"/>
        <v>196</v>
      </c>
    </row>
    <row r="23" spans="1:3" ht="59.25" customHeight="1">
      <c r="A23" s="46" t="s">
        <v>107</v>
      </c>
      <c r="B23" s="49" t="s">
        <v>169</v>
      </c>
      <c r="C23" s="8">
        <f t="shared" si="0"/>
        <v>189</v>
      </c>
    </row>
    <row r="24" spans="1:3" ht="59.25" customHeight="1">
      <c r="A24" s="46"/>
      <c r="B24" s="49"/>
      <c r="C24" s="8">
        <f t="shared" si="0"/>
        <v>0</v>
      </c>
    </row>
    <row r="25" spans="1:3" ht="22.5" customHeight="1"/>
    <row r="26" spans="1:3" ht="22.5" customHeight="1"/>
    <row r="27" spans="1:3" ht="22.5" customHeight="1"/>
    <row r="28" spans="1:3" ht="2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sheetData>
  <phoneticPr fontId="1"/>
  <conditionalFormatting sqref="C3:C24">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Z196"/>
  <sheetViews>
    <sheetView workbookViewId="0">
      <selection sqref="A1:XFD1048576"/>
    </sheetView>
  </sheetViews>
  <sheetFormatPr defaultColWidth="9" defaultRowHeight="13.5"/>
  <cols>
    <col min="1" max="1" width="13.5" style="78" customWidth="1"/>
    <col min="2" max="2" width="79.125" style="78" customWidth="1"/>
    <col min="3" max="3" width="9.375" style="78" customWidth="1"/>
    <col min="4" max="25" width="4.125" style="78" customWidth="1"/>
    <col min="26" max="26" width="6" style="78" customWidth="1"/>
    <col min="27" max="16384" width="9" style="78"/>
  </cols>
  <sheetData>
    <row r="1" spans="1:26" ht="85.5" customHeight="1">
      <c r="A1" s="50" t="str">
        <f ca="1">MID(CELL("filename",A1),FIND("[",CELL("filename",A1))+1,3)</f>
        <v>３－１</v>
      </c>
      <c r="B1" s="50" t="s">
        <v>31</v>
      </c>
      <c r="C1" s="51" t="s">
        <v>25</v>
      </c>
      <c r="D1" s="36" t="str">
        <f>A13</f>
        <v>天野 皓仁</v>
      </c>
      <c r="E1" s="36" t="str">
        <f>A14</f>
        <v>伊藤 滉都</v>
      </c>
      <c r="F1" s="36" t="str">
        <f>A15</f>
        <v>大月 碧唯</v>
      </c>
      <c r="G1" s="36" t="str">
        <f>A16</f>
        <v>小栗 望愛</v>
      </c>
      <c r="H1" s="36" t="str">
        <f>A17</f>
        <v>金子 愛弥</v>
      </c>
      <c r="I1" s="36" t="str">
        <f>A18</f>
        <v>久保田 進之介</v>
      </c>
      <c r="J1" s="36" t="str">
        <f>A19</f>
        <v>後藤 碧志</v>
      </c>
      <c r="K1" s="36" t="str">
        <f>A20</f>
        <v>小松 由伎乃</v>
      </c>
      <c r="L1" s="36" t="str">
        <f>A21</f>
        <v>上甲 稜大</v>
      </c>
      <c r="M1" s="36" t="str">
        <f>A22</f>
        <v>辛 夏姫</v>
      </c>
      <c r="N1" s="36" t="str">
        <f>A23</f>
        <v>新原 海</v>
      </c>
      <c r="O1" s="36" t="str">
        <f>A24</f>
        <v>田中 咲</v>
      </c>
      <c r="P1" s="36" t="str">
        <f>A25</f>
        <v>永原 愛瑠</v>
      </c>
      <c r="Q1" s="36" t="str">
        <f>A26</f>
        <v>中村 隼人</v>
      </c>
      <c r="R1" s="36" t="str">
        <f>A27</f>
        <v>濱 丈士</v>
      </c>
      <c r="S1" s="36" t="str">
        <f>A28</f>
        <v>林 奏多</v>
      </c>
      <c r="T1" s="36" t="str">
        <f>A29</f>
        <v>三浦 遥希</v>
      </c>
      <c r="U1" s="36" t="str">
        <f>A30</f>
        <v>三代澤 侑</v>
      </c>
      <c r="V1" s="36" t="str">
        <f>A31</f>
        <v>安永 理人</v>
      </c>
      <c r="W1" s="36" t="str">
        <f>A32</f>
        <v>山崎 結介</v>
      </c>
      <c r="X1" s="36" t="str">
        <f>A33</f>
        <v>湯淺 創太</v>
      </c>
      <c r="Y1" s="36">
        <f>A34</f>
        <v>0</v>
      </c>
      <c r="Z1" s="77"/>
    </row>
    <row r="2" spans="1:26" ht="22.5" customHeight="1">
      <c r="A2" s="177" t="s">
        <v>32</v>
      </c>
      <c r="B2" s="70" t="s">
        <v>60</v>
      </c>
      <c r="C2" s="38" t="s">
        <v>26</v>
      </c>
      <c r="D2" s="79" t="s">
        <v>310</v>
      </c>
      <c r="E2" s="79" t="s">
        <v>311</v>
      </c>
      <c r="F2" s="79" t="s">
        <v>48</v>
      </c>
      <c r="G2" s="79" t="s">
        <v>311</v>
      </c>
      <c r="H2" s="79" t="s">
        <v>48</v>
      </c>
      <c r="I2" s="79" t="s">
        <v>48</v>
      </c>
      <c r="J2" s="79" t="s">
        <v>311</v>
      </c>
      <c r="K2" s="79" t="s">
        <v>48</v>
      </c>
      <c r="L2" s="79" t="s">
        <v>219</v>
      </c>
      <c r="M2" s="79" t="s">
        <v>48</v>
      </c>
      <c r="N2" s="79" t="s">
        <v>219</v>
      </c>
      <c r="O2" s="79" t="s">
        <v>219</v>
      </c>
      <c r="P2" s="79" t="s">
        <v>48</v>
      </c>
      <c r="Q2" s="79" t="s">
        <v>311</v>
      </c>
      <c r="R2" s="79" t="s">
        <v>48</v>
      </c>
      <c r="S2" s="79" t="s">
        <v>219</v>
      </c>
      <c r="T2" s="79" t="s">
        <v>219</v>
      </c>
      <c r="U2" s="79" t="s">
        <v>48</v>
      </c>
      <c r="V2" s="79" t="s">
        <v>48</v>
      </c>
      <c r="W2" s="79" t="s">
        <v>311</v>
      </c>
      <c r="X2" s="79" t="s">
        <v>311</v>
      </c>
      <c r="Y2" s="79"/>
      <c r="Z2" s="87" t="s">
        <v>311</v>
      </c>
    </row>
    <row r="3" spans="1:26" ht="22.5" customHeight="1">
      <c r="A3" s="178"/>
      <c r="B3" s="70" t="s">
        <v>61</v>
      </c>
      <c r="C3" s="38" t="s">
        <v>26</v>
      </c>
      <c r="D3" s="79" t="s">
        <v>48</v>
      </c>
      <c r="E3" s="79" t="s">
        <v>48</v>
      </c>
      <c r="F3" s="79" t="s">
        <v>219</v>
      </c>
      <c r="G3" s="79" t="s">
        <v>48</v>
      </c>
      <c r="H3" s="79" t="s">
        <v>219</v>
      </c>
      <c r="I3" s="79" t="s">
        <v>219</v>
      </c>
      <c r="J3" s="79" t="s">
        <v>48</v>
      </c>
      <c r="K3" s="79" t="s">
        <v>311</v>
      </c>
      <c r="L3" s="79" t="s">
        <v>219</v>
      </c>
      <c r="M3" s="79" t="s">
        <v>311</v>
      </c>
      <c r="N3" s="79" t="s">
        <v>311</v>
      </c>
      <c r="O3" s="79" t="s">
        <v>48</v>
      </c>
      <c r="P3" s="79" t="s">
        <v>219</v>
      </c>
      <c r="Q3" s="79" t="s">
        <v>48</v>
      </c>
      <c r="R3" s="79" t="s">
        <v>48</v>
      </c>
      <c r="S3" s="79" t="s">
        <v>219</v>
      </c>
      <c r="T3" s="79" t="s">
        <v>221</v>
      </c>
      <c r="U3" s="79" t="s">
        <v>48</v>
      </c>
      <c r="V3" s="79" t="s">
        <v>48</v>
      </c>
      <c r="W3" s="79" t="s">
        <v>48</v>
      </c>
      <c r="X3" s="79" t="s">
        <v>48</v>
      </c>
      <c r="Y3" s="79"/>
      <c r="Z3" s="87" t="s">
        <v>218</v>
      </c>
    </row>
    <row r="4" spans="1:26" ht="22.5" customHeight="1">
      <c r="A4" s="178"/>
      <c r="B4" s="70" t="s">
        <v>62</v>
      </c>
      <c r="C4" s="38" t="s">
        <v>26</v>
      </c>
      <c r="D4" s="79" t="s">
        <v>219</v>
      </c>
      <c r="E4" s="79" t="s">
        <v>48</v>
      </c>
      <c r="F4" s="79" t="s">
        <v>311</v>
      </c>
      <c r="G4" s="79" t="s">
        <v>311</v>
      </c>
      <c r="H4" s="79" t="s">
        <v>311</v>
      </c>
      <c r="I4" s="79" t="s">
        <v>312</v>
      </c>
      <c r="J4" s="79" t="s">
        <v>221</v>
      </c>
      <c r="K4" s="79" t="s">
        <v>311</v>
      </c>
      <c r="L4" s="79" t="s">
        <v>219</v>
      </c>
      <c r="M4" s="79" t="s">
        <v>219</v>
      </c>
      <c r="N4" s="79" t="s">
        <v>219</v>
      </c>
      <c r="O4" s="79" t="s">
        <v>219</v>
      </c>
      <c r="P4" s="79" t="s">
        <v>311</v>
      </c>
      <c r="Q4" s="79" t="s">
        <v>312</v>
      </c>
      <c r="R4" s="79" t="s">
        <v>48</v>
      </c>
      <c r="S4" s="79" t="s">
        <v>219</v>
      </c>
      <c r="T4" s="79" t="s">
        <v>312</v>
      </c>
      <c r="U4" s="79" t="s">
        <v>48</v>
      </c>
      <c r="V4" s="79" t="s">
        <v>48</v>
      </c>
      <c r="W4" s="79" t="s">
        <v>48</v>
      </c>
      <c r="X4" s="79" t="s">
        <v>218</v>
      </c>
      <c r="Y4" s="79"/>
      <c r="Z4" s="87" t="s">
        <v>221</v>
      </c>
    </row>
    <row r="5" spans="1:26" ht="22.5" customHeight="1">
      <c r="A5" s="178"/>
      <c r="B5" s="70" t="s">
        <v>63</v>
      </c>
      <c r="C5" s="38" t="s">
        <v>26</v>
      </c>
      <c r="D5" s="79" t="s">
        <v>219</v>
      </c>
      <c r="E5" s="79" t="s">
        <v>48</v>
      </c>
      <c r="F5" s="79" t="s">
        <v>48</v>
      </c>
      <c r="G5" s="79" t="s">
        <v>48</v>
      </c>
      <c r="H5" s="79" t="s">
        <v>48</v>
      </c>
      <c r="I5" s="79" t="s">
        <v>48</v>
      </c>
      <c r="J5" s="79" t="s">
        <v>48</v>
      </c>
      <c r="K5" s="79" t="s">
        <v>48</v>
      </c>
      <c r="L5" s="79" t="s">
        <v>48</v>
      </c>
      <c r="M5" s="79" t="s">
        <v>48</v>
      </c>
      <c r="N5" s="79" t="s">
        <v>48</v>
      </c>
      <c r="O5" s="79" t="s">
        <v>48</v>
      </c>
      <c r="P5" s="79" t="s">
        <v>48</v>
      </c>
      <c r="Q5" s="79" t="s">
        <v>48</v>
      </c>
      <c r="R5" s="79" t="s">
        <v>48</v>
      </c>
      <c r="S5" s="79" t="s">
        <v>48</v>
      </c>
      <c r="T5" s="79" t="s">
        <v>48</v>
      </c>
      <c r="U5" s="79" t="s">
        <v>219</v>
      </c>
      <c r="V5" s="79" t="s">
        <v>48</v>
      </c>
      <c r="W5" s="79" t="s">
        <v>48</v>
      </c>
      <c r="X5" s="79" t="s">
        <v>311</v>
      </c>
      <c r="Y5" s="79"/>
      <c r="Z5" s="87" t="s">
        <v>313</v>
      </c>
    </row>
    <row r="6" spans="1:26" ht="22.5" customHeight="1">
      <c r="A6" s="178"/>
      <c r="B6" s="70" t="s">
        <v>64</v>
      </c>
      <c r="C6" s="38" t="s">
        <v>26</v>
      </c>
      <c r="D6" s="79" t="s">
        <v>311</v>
      </c>
      <c r="E6" s="79" t="s">
        <v>48</v>
      </c>
      <c r="F6" s="79" t="s">
        <v>48</v>
      </c>
      <c r="G6" s="79" t="s">
        <v>219</v>
      </c>
      <c r="H6" s="79" t="s">
        <v>48</v>
      </c>
      <c r="I6" s="79" t="s">
        <v>48</v>
      </c>
      <c r="J6" s="79" t="s">
        <v>48</v>
      </c>
      <c r="K6" s="79" t="s">
        <v>311</v>
      </c>
      <c r="L6" s="79" t="s">
        <v>48</v>
      </c>
      <c r="M6" s="79" t="s">
        <v>219</v>
      </c>
      <c r="N6" s="79" t="s">
        <v>219</v>
      </c>
      <c r="O6" s="79" t="s">
        <v>48</v>
      </c>
      <c r="P6" s="79" t="s">
        <v>48</v>
      </c>
      <c r="Q6" s="79" t="s">
        <v>48</v>
      </c>
      <c r="R6" s="79" t="s">
        <v>48</v>
      </c>
      <c r="S6" s="79" t="s">
        <v>219</v>
      </c>
      <c r="T6" s="79" t="s">
        <v>48</v>
      </c>
      <c r="U6" s="79" t="s">
        <v>48</v>
      </c>
      <c r="V6" s="79" t="s">
        <v>48</v>
      </c>
      <c r="W6" s="79" t="s">
        <v>48</v>
      </c>
      <c r="X6" s="79" t="s">
        <v>48</v>
      </c>
      <c r="Y6" s="79"/>
    </row>
    <row r="7" spans="1:26" ht="22.5" customHeight="1">
      <c r="A7" s="178"/>
      <c r="B7" s="70" t="s">
        <v>65</v>
      </c>
      <c r="C7" s="38" t="s">
        <v>26</v>
      </c>
      <c r="D7" s="79" t="s">
        <v>48</v>
      </c>
      <c r="E7" s="79" t="s">
        <v>48</v>
      </c>
      <c r="F7" s="79" t="s">
        <v>219</v>
      </c>
      <c r="G7" s="79" t="s">
        <v>48</v>
      </c>
      <c r="H7" s="79" t="s">
        <v>311</v>
      </c>
      <c r="I7" s="79" t="s">
        <v>311</v>
      </c>
      <c r="J7" s="79" t="s">
        <v>219</v>
      </c>
      <c r="K7" s="79" t="s">
        <v>311</v>
      </c>
      <c r="L7" s="79" t="s">
        <v>48</v>
      </c>
      <c r="M7" s="79" t="s">
        <v>219</v>
      </c>
      <c r="N7" s="79" t="s">
        <v>219</v>
      </c>
      <c r="O7" s="79" t="s">
        <v>48</v>
      </c>
      <c r="P7" s="79" t="s">
        <v>48</v>
      </c>
      <c r="Q7" s="79" t="s">
        <v>48</v>
      </c>
      <c r="R7" s="79" t="s">
        <v>48</v>
      </c>
      <c r="S7" s="79" t="s">
        <v>311</v>
      </c>
      <c r="T7" s="79" t="s">
        <v>48</v>
      </c>
      <c r="U7" s="79" t="s">
        <v>48</v>
      </c>
      <c r="V7" s="79" t="s">
        <v>219</v>
      </c>
      <c r="W7" s="79" t="s">
        <v>48</v>
      </c>
      <c r="X7" s="79" t="s">
        <v>48</v>
      </c>
      <c r="Y7" s="79"/>
    </row>
    <row r="8" spans="1:26" ht="22.5" customHeight="1">
      <c r="A8" s="178"/>
      <c r="B8" s="70" t="s">
        <v>66</v>
      </c>
      <c r="C8" s="38" t="s">
        <v>26</v>
      </c>
      <c r="D8" s="79" t="s">
        <v>48</v>
      </c>
      <c r="E8" s="79" t="s">
        <v>48</v>
      </c>
      <c r="F8" s="79" t="s">
        <v>48</v>
      </c>
      <c r="G8" s="79" t="s">
        <v>48</v>
      </c>
      <c r="H8" s="79" t="s">
        <v>48</v>
      </c>
      <c r="I8" s="79" t="s">
        <v>48</v>
      </c>
      <c r="J8" s="79" t="s">
        <v>48</v>
      </c>
      <c r="K8" s="79" t="s">
        <v>48</v>
      </c>
      <c r="L8" s="79" t="s">
        <v>48</v>
      </c>
      <c r="M8" s="79" t="s">
        <v>48</v>
      </c>
      <c r="N8" s="79" t="s">
        <v>311</v>
      </c>
      <c r="O8" s="79" t="s">
        <v>48</v>
      </c>
      <c r="P8" s="79" t="s">
        <v>48</v>
      </c>
      <c r="Q8" s="79" t="s">
        <v>48</v>
      </c>
      <c r="R8" s="79" t="s">
        <v>48</v>
      </c>
      <c r="S8" s="79" t="s">
        <v>219</v>
      </c>
      <c r="T8" s="79" t="s">
        <v>48</v>
      </c>
      <c r="U8" s="79" t="s">
        <v>48</v>
      </c>
      <c r="V8" s="79" t="s">
        <v>48</v>
      </c>
      <c r="W8" s="79" t="s">
        <v>48</v>
      </c>
      <c r="X8" s="79" t="s">
        <v>48</v>
      </c>
      <c r="Y8" s="79"/>
    </row>
    <row r="9" spans="1:26" ht="22.5" customHeight="1">
      <c r="A9" s="178"/>
      <c r="B9" s="70" t="s">
        <v>67</v>
      </c>
      <c r="C9" s="38" t="s">
        <v>26</v>
      </c>
      <c r="D9" s="79" t="s">
        <v>219</v>
      </c>
      <c r="E9" s="79" t="s">
        <v>219</v>
      </c>
      <c r="F9" s="79" t="s">
        <v>48</v>
      </c>
      <c r="G9" s="79" t="s">
        <v>48</v>
      </c>
      <c r="H9" s="79" t="s">
        <v>48</v>
      </c>
      <c r="I9" s="79" t="s">
        <v>48</v>
      </c>
      <c r="J9" s="79" t="s">
        <v>48</v>
      </c>
      <c r="K9" s="79" t="s">
        <v>48</v>
      </c>
      <c r="L9" s="79" t="s">
        <v>48</v>
      </c>
      <c r="M9" s="79" t="s">
        <v>48</v>
      </c>
      <c r="N9" s="79" t="s">
        <v>219</v>
      </c>
      <c r="O9" s="79" t="s">
        <v>219</v>
      </c>
      <c r="P9" s="79" t="s">
        <v>48</v>
      </c>
      <c r="Q9" s="79" t="s">
        <v>219</v>
      </c>
      <c r="R9" s="79" t="s">
        <v>48</v>
      </c>
      <c r="S9" s="79" t="s">
        <v>219</v>
      </c>
      <c r="T9" s="79" t="s">
        <v>48</v>
      </c>
      <c r="U9" s="79" t="s">
        <v>48</v>
      </c>
      <c r="V9" s="79" t="s">
        <v>48</v>
      </c>
      <c r="W9" s="79" t="s">
        <v>221</v>
      </c>
      <c r="X9" s="79" t="s">
        <v>219</v>
      </c>
      <c r="Y9" s="79"/>
    </row>
    <row r="10" spans="1:26" ht="22.5" customHeight="1">
      <c r="A10" s="88"/>
      <c r="B10" s="71" t="s">
        <v>68</v>
      </c>
      <c r="C10" s="38" t="s">
        <v>26</v>
      </c>
      <c r="D10" s="79" t="s">
        <v>48</v>
      </c>
      <c r="E10" s="79" t="s">
        <v>219</v>
      </c>
      <c r="F10" s="79" t="s">
        <v>219</v>
      </c>
      <c r="G10" s="79" t="s">
        <v>311</v>
      </c>
      <c r="H10" s="79" t="s">
        <v>48</v>
      </c>
      <c r="I10" s="79" t="s">
        <v>219</v>
      </c>
      <c r="J10" s="79" t="s">
        <v>219</v>
      </c>
      <c r="K10" s="79" t="s">
        <v>219</v>
      </c>
      <c r="L10" s="79" t="s">
        <v>48</v>
      </c>
      <c r="M10" s="79" t="s">
        <v>219</v>
      </c>
      <c r="N10" s="79" t="s">
        <v>311</v>
      </c>
      <c r="O10" s="79" t="s">
        <v>311</v>
      </c>
      <c r="P10" s="79" t="s">
        <v>219</v>
      </c>
      <c r="Q10" s="79" t="s">
        <v>219</v>
      </c>
      <c r="R10" s="79" t="s">
        <v>311</v>
      </c>
      <c r="S10" s="79" t="s">
        <v>311</v>
      </c>
      <c r="T10" s="79" t="s">
        <v>219</v>
      </c>
      <c r="U10" s="79" t="s">
        <v>48</v>
      </c>
      <c r="V10" s="79" t="s">
        <v>219</v>
      </c>
      <c r="W10" s="79" t="s">
        <v>48</v>
      </c>
      <c r="X10" s="79" t="s">
        <v>48</v>
      </c>
      <c r="Y10" s="79"/>
    </row>
    <row r="11" spans="1:26" ht="22.5" customHeight="1">
      <c r="A11" s="88"/>
      <c r="B11" s="71" t="s">
        <v>69</v>
      </c>
      <c r="C11" s="38" t="s">
        <v>26</v>
      </c>
      <c r="D11" s="79" t="s">
        <v>48</v>
      </c>
      <c r="E11" s="79" t="s">
        <v>48</v>
      </c>
      <c r="F11" s="79" t="s">
        <v>219</v>
      </c>
      <c r="G11" s="79" t="s">
        <v>48</v>
      </c>
      <c r="H11" s="79" t="s">
        <v>219</v>
      </c>
      <c r="I11" s="79" t="s">
        <v>48</v>
      </c>
      <c r="J11" s="79" t="s">
        <v>48</v>
      </c>
      <c r="K11" s="79" t="s">
        <v>219</v>
      </c>
      <c r="L11" s="79" t="s">
        <v>311</v>
      </c>
      <c r="M11" s="79" t="s">
        <v>48</v>
      </c>
      <c r="N11" s="79" t="s">
        <v>219</v>
      </c>
      <c r="O11" s="79" t="s">
        <v>48</v>
      </c>
      <c r="P11" s="79" t="s">
        <v>48</v>
      </c>
      <c r="Q11" s="79" t="s">
        <v>48</v>
      </c>
      <c r="R11" s="79" t="s">
        <v>48</v>
      </c>
      <c r="S11" s="79" t="s">
        <v>311</v>
      </c>
      <c r="T11" s="79" t="s">
        <v>48</v>
      </c>
      <c r="U11" s="79" t="s">
        <v>311</v>
      </c>
      <c r="V11" s="79" t="s">
        <v>219</v>
      </c>
      <c r="W11" s="79" t="s">
        <v>219</v>
      </c>
      <c r="X11" s="79" t="s">
        <v>48</v>
      </c>
      <c r="Y11" s="79"/>
    </row>
    <row r="12" spans="1:26" ht="22.5" customHeight="1">
      <c r="A12" s="179" t="s">
        <v>33</v>
      </c>
      <c r="B12" s="180"/>
      <c r="C12" s="180"/>
      <c r="D12" s="180"/>
      <c r="E12" s="180"/>
      <c r="F12" s="180"/>
      <c r="G12" s="180"/>
      <c r="H12" s="180"/>
      <c r="I12" s="180"/>
      <c r="J12" s="180"/>
      <c r="K12" s="180"/>
      <c r="L12" s="180"/>
      <c r="M12" s="180"/>
      <c r="N12" s="180"/>
      <c r="O12" s="180"/>
      <c r="P12" s="180"/>
      <c r="Q12" s="180"/>
      <c r="R12" s="180"/>
      <c r="S12" s="180"/>
      <c r="T12" s="180"/>
      <c r="U12" s="180"/>
      <c r="V12" s="180"/>
      <c r="W12" s="180"/>
      <c r="X12" s="180"/>
      <c r="Y12" s="181"/>
    </row>
    <row r="13" spans="1:26" ht="22.5" customHeight="1">
      <c r="A13" s="89" t="s">
        <v>87</v>
      </c>
      <c r="B13" s="165" t="s">
        <v>195</v>
      </c>
      <c r="C13" s="166"/>
      <c r="D13" s="166"/>
      <c r="E13" s="166"/>
      <c r="F13" s="166"/>
      <c r="G13" s="166"/>
      <c r="H13" s="166"/>
      <c r="I13" s="166"/>
      <c r="J13" s="166"/>
      <c r="K13" s="166"/>
      <c r="L13" s="166"/>
      <c r="M13" s="166"/>
      <c r="N13" s="166"/>
      <c r="O13" s="166"/>
      <c r="P13" s="166"/>
      <c r="Q13" s="166"/>
      <c r="R13" s="166"/>
      <c r="S13" s="166"/>
      <c r="T13" s="166"/>
      <c r="U13" s="166"/>
      <c r="V13" s="166"/>
      <c r="W13" s="166"/>
      <c r="X13" s="166"/>
      <c r="Y13" s="167"/>
    </row>
    <row r="14" spans="1:26" ht="22.5" customHeight="1">
      <c r="A14" s="89" t="s">
        <v>88</v>
      </c>
      <c r="B14" s="165" t="s">
        <v>85</v>
      </c>
      <c r="C14" s="166"/>
      <c r="D14" s="166"/>
      <c r="E14" s="166"/>
      <c r="F14" s="166"/>
      <c r="G14" s="166"/>
      <c r="H14" s="166"/>
      <c r="I14" s="166"/>
      <c r="J14" s="166"/>
      <c r="K14" s="166"/>
      <c r="L14" s="166"/>
      <c r="M14" s="166"/>
      <c r="N14" s="166"/>
      <c r="O14" s="166"/>
      <c r="P14" s="166"/>
      <c r="Q14" s="166"/>
      <c r="R14" s="166"/>
      <c r="S14" s="166"/>
      <c r="T14" s="166"/>
      <c r="U14" s="166"/>
      <c r="V14" s="166"/>
      <c r="W14" s="166"/>
      <c r="X14" s="166"/>
      <c r="Y14" s="167"/>
    </row>
    <row r="15" spans="1:26" ht="22.5" customHeight="1">
      <c r="A15" s="89" t="s">
        <v>89</v>
      </c>
      <c r="B15" s="165" t="s">
        <v>170</v>
      </c>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6" ht="22.5" customHeight="1">
      <c r="A16" s="89" t="s">
        <v>90</v>
      </c>
      <c r="B16" s="165" t="s">
        <v>196</v>
      </c>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22.5" customHeight="1">
      <c r="A17" s="89" t="s">
        <v>91</v>
      </c>
      <c r="B17" s="165" t="s">
        <v>171</v>
      </c>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22.5" customHeight="1">
      <c r="A18" s="89" t="s">
        <v>92</v>
      </c>
      <c r="B18" s="165" t="s">
        <v>172</v>
      </c>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22.5" customHeight="1">
      <c r="A19" s="89" t="s">
        <v>93</v>
      </c>
      <c r="B19" s="165" t="s">
        <v>173</v>
      </c>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22.5" customHeight="1">
      <c r="A20" s="89" t="s">
        <v>94</v>
      </c>
      <c r="B20" s="165" t="s">
        <v>174</v>
      </c>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22.5" customHeight="1">
      <c r="A21" s="89" t="s">
        <v>95</v>
      </c>
      <c r="B21" s="165" t="s">
        <v>175</v>
      </c>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22.5" customHeight="1">
      <c r="A22" s="89" t="s">
        <v>96</v>
      </c>
      <c r="B22" s="165" t="s">
        <v>197</v>
      </c>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22.5" customHeight="1">
      <c r="A23" s="89" t="s">
        <v>97</v>
      </c>
      <c r="B23" s="165" t="s">
        <v>176</v>
      </c>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22.5" customHeight="1">
      <c r="A24" s="89" t="s">
        <v>98</v>
      </c>
      <c r="B24" s="165" t="s">
        <v>83</v>
      </c>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22.5" customHeight="1">
      <c r="A25" s="89" t="s">
        <v>99</v>
      </c>
      <c r="B25" s="165" t="s">
        <v>81</v>
      </c>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22.5" customHeight="1">
      <c r="A26" s="89" t="s">
        <v>100</v>
      </c>
      <c r="B26" s="165" t="s">
        <v>82</v>
      </c>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22.5" customHeight="1">
      <c r="A27" s="89" t="s">
        <v>101</v>
      </c>
      <c r="B27" s="165" t="s">
        <v>177</v>
      </c>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22.5" customHeight="1">
      <c r="A28" s="89" t="s">
        <v>102</v>
      </c>
      <c r="B28" s="165" t="s">
        <v>198</v>
      </c>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22.5" customHeight="1">
      <c r="A29" s="89" t="s">
        <v>103</v>
      </c>
      <c r="B29" s="165" t="s">
        <v>178</v>
      </c>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22.5" customHeight="1">
      <c r="A30" s="89" t="s">
        <v>104</v>
      </c>
      <c r="B30" s="165" t="s">
        <v>179</v>
      </c>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22.5" customHeight="1">
      <c r="A31" s="89" t="s">
        <v>105</v>
      </c>
      <c r="B31" s="165" t="s">
        <v>173</v>
      </c>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22.5" customHeight="1">
      <c r="A32" s="89" t="s">
        <v>106</v>
      </c>
      <c r="B32" s="165" t="s">
        <v>84</v>
      </c>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6" ht="22.5" customHeight="1">
      <c r="A33" s="89" t="s">
        <v>107</v>
      </c>
      <c r="B33" s="165" t="s">
        <v>179</v>
      </c>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6" ht="22.5" customHeight="1">
      <c r="A34" s="89"/>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c r="Z34" s="90" t="s">
        <v>30</v>
      </c>
    </row>
    <row r="35" spans="1:26" ht="22.5" customHeight="1">
      <c r="A35" s="174" t="s">
        <v>314</v>
      </c>
      <c r="B35" s="175"/>
      <c r="C35" s="175"/>
      <c r="D35" s="175"/>
      <c r="E35" s="175"/>
      <c r="F35" s="175"/>
      <c r="G35" s="175"/>
      <c r="H35" s="175"/>
      <c r="I35" s="175"/>
      <c r="J35" s="175"/>
      <c r="K35" s="175"/>
      <c r="L35" s="175"/>
      <c r="M35" s="175"/>
      <c r="N35" s="175"/>
      <c r="O35" s="175"/>
      <c r="P35" s="175"/>
      <c r="Q35" s="175"/>
      <c r="R35" s="175"/>
      <c r="S35" s="175"/>
      <c r="T35" s="175"/>
      <c r="U35" s="175"/>
      <c r="V35" s="175"/>
      <c r="W35" s="175"/>
      <c r="X35" s="175"/>
      <c r="Y35" s="176"/>
      <c r="Z35" s="78" t="s">
        <v>315</v>
      </c>
    </row>
    <row r="36" spans="1:26" ht="77.25" customHeight="1">
      <c r="A36" s="91" t="str">
        <f>A13</f>
        <v>天野 皓仁</v>
      </c>
      <c r="B36" s="171" t="s">
        <v>199</v>
      </c>
      <c r="C36" s="172"/>
      <c r="D36" s="172"/>
      <c r="E36" s="172"/>
      <c r="F36" s="172"/>
      <c r="G36" s="172"/>
      <c r="H36" s="172"/>
      <c r="I36" s="172"/>
      <c r="J36" s="172"/>
      <c r="K36" s="172"/>
      <c r="L36" s="172"/>
      <c r="M36" s="172"/>
      <c r="N36" s="172"/>
      <c r="O36" s="172"/>
      <c r="P36" s="172"/>
      <c r="Q36" s="172"/>
      <c r="R36" s="172"/>
      <c r="S36" s="172"/>
      <c r="T36" s="172"/>
      <c r="U36" s="172"/>
      <c r="V36" s="172"/>
      <c r="W36" s="172"/>
      <c r="X36" s="172"/>
      <c r="Y36" s="173"/>
      <c r="Z36" s="78">
        <f>LEN(B36)</f>
        <v>445</v>
      </c>
    </row>
    <row r="37" spans="1:26" ht="77.25" customHeight="1">
      <c r="A37" s="91" t="str">
        <f t="shared" ref="A37:A57" si="0">A14</f>
        <v>伊藤 滉都</v>
      </c>
      <c r="B37" s="171" t="s">
        <v>200</v>
      </c>
      <c r="C37" s="172"/>
      <c r="D37" s="172"/>
      <c r="E37" s="172"/>
      <c r="F37" s="172"/>
      <c r="G37" s="172"/>
      <c r="H37" s="172"/>
      <c r="I37" s="172"/>
      <c r="J37" s="172"/>
      <c r="K37" s="172"/>
      <c r="L37" s="172"/>
      <c r="M37" s="172"/>
      <c r="N37" s="172"/>
      <c r="O37" s="172"/>
      <c r="P37" s="172"/>
      <c r="Q37" s="172"/>
      <c r="R37" s="172"/>
      <c r="S37" s="172"/>
      <c r="T37" s="172"/>
      <c r="U37" s="172"/>
      <c r="V37" s="172"/>
      <c r="W37" s="172"/>
      <c r="X37" s="172"/>
      <c r="Y37" s="173"/>
      <c r="Z37" s="78">
        <f t="shared" ref="Z37:Z57" si="1">LEN(B37)</f>
        <v>448</v>
      </c>
    </row>
    <row r="38" spans="1:26" ht="77.25" customHeight="1">
      <c r="A38" s="91" t="str">
        <f t="shared" si="0"/>
        <v>大月 碧唯</v>
      </c>
      <c r="B38" s="171" t="s">
        <v>201</v>
      </c>
      <c r="C38" s="172"/>
      <c r="D38" s="172"/>
      <c r="E38" s="172"/>
      <c r="F38" s="172"/>
      <c r="G38" s="172"/>
      <c r="H38" s="172"/>
      <c r="I38" s="172"/>
      <c r="J38" s="172"/>
      <c r="K38" s="172"/>
      <c r="L38" s="172"/>
      <c r="M38" s="172"/>
      <c r="N38" s="172"/>
      <c r="O38" s="172"/>
      <c r="P38" s="172"/>
      <c r="Q38" s="172"/>
      <c r="R38" s="172"/>
      <c r="S38" s="172"/>
      <c r="T38" s="172"/>
      <c r="U38" s="172"/>
      <c r="V38" s="172"/>
      <c r="W38" s="172"/>
      <c r="X38" s="172"/>
      <c r="Y38" s="173"/>
      <c r="Z38" s="78">
        <f t="shared" si="1"/>
        <v>449</v>
      </c>
    </row>
    <row r="39" spans="1:26" ht="77.25" customHeight="1">
      <c r="A39" s="91" t="str">
        <f t="shared" si="0"/>
        <v>小栗 望愛</v>
      </c>
      <c r="B39" s="171" t="s">
        <v>180</v>
      </c>
      <c r="C39" s="172"/>
      <c r="D39" s="172"/>
      <c r="E39" s="172"/>
      <c r="F39" s="172"/>
      <c r="G39" s="172"/>
      <c r="H39" s="172"/>
      <c r="I39" s="172"/>
      <c r="J39" s="172"/>
      <c r="K39" s="172"/>
      <c r="L39" s="172"/>
      <c r="M39" s="172"/>
      <c r="N39" s="172"/>
      <c r="O39" s="172"/>
      <c r="P39" s="172"/>
      <c r="Q39" s="172"/>
      <c r="R39" s="172"/>
      <c r="S39" s="172"/>
      <c r="T39" s="172"/>
      <c r="U39" s="172"/>
      <c r="V39" s="172"/>
      <c r="W39" s="172"/>
      <c r="X39" s="172"/>
      <c r="Y39" s="173"/>
      <c r="Z39" s="78">
        <f t="shared" si="1"/>
        <v>412</v>
      </c>
    </row>
    <row r="40" spans="1:26" ht="77.25" customHeight="1">
      <c r="A40" s="91" t="str">
        <f t="shared" si="0"/>
        <v>金子 愛弥</v>
      </c>
      <c r="B40" s="171" t="s">
        <v>181</v>
      </c>
      <c r="C40" s="172"/>
      <c r="D40" s="172"/>
      <c r="E40" s="172"/>
      <c r="F40" s="172"/>
      <c r="G40" s="172"/>
      <c r="H40" s="172"/>
      <c r="I40" s="172"/>
      <c r="J40" s="172"/>
      <c r="K40" s="172"/>
      <c r="L40" s="172"/>
      <c r="M40" s="172"/>
      <c r="N40" s="172"/>
      <c r="O40" s="172"/>
      <c r="P40" s="172"/>
      <c r="Q40" s="172"/>
      <c r="R40" s="172"/>
      <c r="S40" s="172"/>
      <c r="T40" s="172"/>
      <c r="U40" s="172"/>
      <c r="V40" s="172"/>
      <c r="W40" s="172"/>
      <c r="X40" s="172"/>
      <c r="Y40" s="173"/>
      <c r="Z40" s="78">
        <f t="shared" si="1"/>
        <v>429</v>
      </c>
    </row>
    <row r="41" spans="1:26" ht="77.25" customHeight="1">
      <c r="A41" s="91" t="str">
        <f t="shared" si="0"/>
        <v>久保田 進之介</v>
      </c>
      <c r="B41" s="171" t="s">
        <v>202</v>
      </c>
      <c r="C41" s="172"/>
      <c r="D41" s="172"/>
      <c r="E41" s="172"/>
      <c r="F41" s="172"/>
      <c r="G41" s="172"/>
      <c r="H41" s="172"/>
      <c r="I41" s="172"/>
      <c r="J41" s="172"/>
      <c r="K41" s="172"/>
      <c r="L41" s="172"/>
      <c r="M41" s="172"/>
      <c r="N41" s="172"/>
      <c r="O41" s="172"/>
      <c r="P41" s="172"/>
      <c r="Q41" s="172"/>
      <c r="R41" s="172"/>
      <c r="S41" s="172"/>
      <c r="T41" s="172"/>
      <c r="U41" s="172"/>
      <c r="V41" s="172"/>
      <c r="W41" s="172"/>
      <c r="X41" s="172"/>
      <c r="Y41" s="173"/>
      <c r="Z41" s="78">
        <f t="shared" si="1"/>
        <v>431</v>
      </c>
    </row>
    <row r="42" spans="1:26" ht="77.25" customHeight="1">
      <c r="A42" s="91" t="str">
        <f t="shared" si="0"/>
        <v>後藤 碧志</v>
      </c>
      <c r="B42" s="171" t="s">
        <v>203</v>
      </c>
      <c r="C42" s="172"/>
      <c r="D42" s="172"/>
      <c r="E42" s="172"/>
      <c r="F42" s="172"/>
      <c r="G42" s="172"/>
      <c r="H42" s="172"/>
      <c r="I42" s="172"/>
      <c r="J42" s="172"/>
      <c r="K42" s="172"/>
      <c r="L42" s="172"/>
      <c r="M42" s="172"/>
      <c r="N42" s="172"/>
      <c r="O42" s="172"/>
      <c r="P42" s="172"/>
      <c r="Q42" s="172"/>
      <c r="R42" s="172"/>
      <c r="S42" s="172"/>
      <c r="T42" s="172"/>
      <c r="U42" s="172"/>
      <c r="V42" s="172"/>
      <c r="W42" s="172"/>
      <c r="X42" s="172"/>
      <c r="Y42" s="173"/>
      <c r="Z42" s="78">
        <f t="shared" si="1"/>
        <v>427</v>
      </c>
    </row>
    <row r="43" spans="1:26" ht="77.25" customHeight="1">
      <c r="A43" s="91" t="str">
        <f t="shared" si="0"/>
        <v>小松 由伎乃</v>
      </c>
      <c r="B43" s="171" t="s">
        <v>204</v>
      </c>
      <c r="C43" s="172"/>
      <c r="D43" s="172"/>
      <c r="E43" s="172"/>
      <c r="F43" s="172"/>
      <c r="G43" s="172"/>
      <c r="H43" s="172"/>
      <c r="I43" s="172"/>
      <c r="J43" s="172"/>
      <c r="K43" s="172"/>
      <c r="L43" s="172"/>
      <c r="M43" s="172"/>
      <c r="N43" s="172"/>
      <c r="O43" s="172"/>
      <c r="P43" s="172"/>
      <c r="Q43" s="172"/>
      <c r="R43" s="172"/>
      <c r="S43" s="172"/>
      <c r="T43" s="172"/>
      <c r="U43" s="172"/>
      <c r="V43" s="172"/>
      <c r="W43" s="172"/>
      <c r="X43" s="172"/>
      <c r="Y43" s="173"/>
      <c r="Z43" s="78">
        <f t="shared" si="1"/>
        <v>450</v>
      </c>
    </row>
    <row r="44" spans="1:26" ht="77.25" customHeight="1">
      <c r="A44" s="91" t="str">
        <f t="shared" si="0"/>
        <v>上甲 稜大</v>
      </c>
      <c r="B44" s="171" t="s">
        <v>205</v>
      </c>
      <c r="C44" s="172"/>
      <c r="D44" s="172"/>
      <c r="E44" s="172"/>
      <c r="F44" s="172"/>
      <c r="G44" s="172"/>
      <c r="H44" s="172"/>
      <c r="I44" s="172"/>
      <c r="J44" s="172"/>
      <c r="K44" s="172"/>
      <c r="L44" s="172"/>
      <c r="M44" s="172"/>
      <c r="N44" s="172"/>
      <c r="O44" s="172"/>
      <c r="P44" s="172"/>
      <c r="Q44" s="172"/>
      <c r="R44" s="172"/>
      <c r="S44" s="172"/>
      <c r="T44" s="172"/>
      <c r="U44" s="172"/>
      <c r="V44" s="172"/>
      <c r="W44" s="172"/>
      <c r="X44" s="172"/>
      <c r="Y44" s="173"/>
      <c r="Z44" s="78">
        <f t="shared" si="1"/>
        <v>428</v>
      </c>
    </row>
    <row r="45" spans="1:26" ht="77.25" customHeight="1">
      <c r="A45" s="91" t="str">
        <f t="shared" si="0"/>
        <v>辛 夏姫</v>
      </c>
      <c r="B45" s="171" t="s">
        <v>206</v>
      </c>
      <c r="C45" s="172"/>
      <c r="D45" s="172"/>
      <c r="E45" s="172"/>
      <c r="F45" s="172"/>
      <c r="G45" s="172"/>
      <c r="H45" s="172"/>
      <c r="I45" s="172"/>
      <c r="J45" s="172"/>
      <c r="K45" s="172"/>
      <c r="L45" s="172"/>
      <c r="M45" s="172"/>
      <c r="N45" s="172"/>
      <c r="O45" s="172"/>
      <c r="P45" s="172"/>
      <c r="Q45" s="172"/>
      <c r="R45" s="172"/>
      <c r="S45" s="172"/>
      <c r="T45" s="172"/>
      <c r="U45" s="172"/>
      <c r="V45" s="172"/>
      <c r="W45" s="172"/>
      <c r="X45" s="172"/>
      <c r="Y45" s="173"/>
      <c r="Z45" s="78">
        <f t="shared" si="1"/>
        <v>438</v>
      </c>
    </row>
    <row r="46" spans="1:26" ht="77.25" customHeight="1">
      <c r="A46" s="91" t="str">
        <f t="shared" si="0"/>
        <v>新原 海</v>
      </c>
      <c r="B46" s="171" t="s">
        <v>182</v>
      </c>
      <c r="C46" s="172"/>
      <c r="D46" s="172"/>
      <c r="E46" s="172"/>
      <c r="F46" s="172"/>
      <c r="G46" s="172"/>
      <c r="H46" s="172"/>
      <c r="I46" s="172"/>
      <c r="J46" s="172"/>
      <c r="K46" s="172"/>
      <c r="L46" s="172"/>
      <c r="M46" s="172"/>
      <c r="N46" s="172"/>
      <c r="O46" s="172"/>
      <c r="P46" s="172"/>
      <c r="Q46" s="172"/>
      <c r="R46" s="172"/>
      <c r="S46" s="172"/>
      <c r="T46" s="172"/>
      <c r="U46" s="172"/>
      <c r="V46" s="172"/>
      <c r="W46" s="172"/>
      <c r="X46" s="172"/>
      <c r="Y46" s="173"/>
      <c r="Z46" s="78">
        <f t="shared" si="1"/>
        <v>426</v>
      </c>
    </row>
    <row r="47" spans="1:26" ht="77.25" customHeight="1">
      <c r="A47" s="91" t="str">
        <f t="shared" si="0"/>
        <v>田中 咲</v>
      </c>
      <c r="B47" s="171" t="s">
        <v>207</v>
      </c>
      <c r="C47" s="172"/>
      <c r="D47" s="172"/>
      <c r="E47" s="172"/>
      <c r="F47" s="172"/>
      <c r="G47" s="172"/>
      <c r="H47" s="172"/>
      <c r="I47" s="172"/>
      <c r="J47" s="172"/>
      <c r="K47" s="172"/>
      <c r="L47" s="172"/>
      <c r="M47" s="172"/>
      <c r="N47" s="172"/>
      <c r="O47" s="172"/>
      <c r="P47" s="172"/>
      <c r="Q47" s="172"/>
      <c r="R47" s="172"/>
      <c r="S47" s="172"/>
      <c r="T47" s="172"/>
      <c r="U47" s="172"/>
      <c r="V47" s="172"/>
      <c r="W47" s="172"/>
      <c r="X47" s="172"/>
      <c r="Y47" s="173"/>
      <c r="Z47" s="78">
        <f t="shared" si="1"/>
        <v>447</v>
      </c>
    </row>
    <row r="48" spans="1:26" ht="77.25" customHeight="1">
      <c r="A48" s="91" t="str">
        <f t="shared" si="0"/>
        <v>永原 愛瑠</v>
      </c>
      <c r="B48" s="171" t="s">
        <v>208</v>
      </c>
      <c r="C48" s="172"/>
      <c r="D48" s="172"/>
      <c r="E48" s="172"/>
      <c r="F48" s="172"/>
      <c r="G48" s="172"/>
      <c r="H48" s="172"/>
      <c r="I48" s="172"/>
      <c r="J48" s="172"/>
      <c r="K48" s="172"/>
      <c r="L48" s="172"/>
      <c r="M48" s="172"/>
      <c r="N48" s="172"/>
      <c r="O48" s="172"/>
      <c r="P48" s="172"/>
      <c r="Q48" s="172"/>
      <c r="R48" s="172"/>
      <c r="S48" s="172"/>
      <c r="T48" s="172"/>
      <c r="U48" s="172"/>
      <c r="V48" s="172"/>
      <c r="W48" s="172"/>
      <c r="X48" s="172"/>
      <c r="Y48" s="173"/>
      <c r="Z48" s="78">
        <f t="shared" si="1"/>
        <v>442</v>
      </c>
    </row>
    <row r="49" spans="1:26" ht="77.25" customHeight="1">
      <c r="A49" s="91" t="str">
        <f t="shared" si="0"/>
        <v>中村 隼人</v>
      </c>
      <c r="B49" s="171" t="s">
        <v>209</v>
      </c>
      <c r="C49" s="172"/>
      <c r="D49" s="172"/>
      <c r="E49" s="172"/>
      <c r="F49" s="172"/>
      <c r="G49" s="172"/>
      <c r="H49" s="172"/>
      <c r="I49" s="172"/>
      <c r="J49" s="172"/>
      <c r="K49" s="172"/>
      <c r="L49" s="172"/>
      <c r="M49" s="172"/>
      <c r="N49" s="172"/>
      <c r="O49" s="172"/>
      <c r="P49" s="172"/>
      <c r="Q49" s="172"/>
      <c r="R49" s="172"/>
      <c r="S49" s="172"/>
      <c r="T49" s="172"/>
      <c r="U49" s="172"/>
      <c r="V49" s="172"/>
      <c r="W49" s="172"/>
      <c r="X49" s="172"/>
      <c r="Y49" s="173"/>
      <c r="Z49" s="78">
        <f t="shared" si="1"/>
        <v>429</v>
      </c>
    </row>
    <row r="50" spans="1:26" ht="77.25" customHeight="1">
      <c r="A50" s="91" t="str">
        <f t="shared" si="0"/>
        <v>濱 丈士</v>
      </c>
      <c r="B50" s="171" t="s">
        <v>210</v>
      </c>
      <c r="C50" s="172"/>
      <c r="D50" s="172"/>
      <c r="E50" s="172"/>
      <c r="F50" s="172"/>
      <c r="G50" s="172"/>
      <c r="H50" s="172"/>
      <c r="I50" s="172"/>
      <c r="J50" s="172"/>
      <c r="K50" s="172"/>
      <c r="L50" s="172"/>
      <c r="M50" s="172"/>
      <c r="N50" s="172"/>
      <c r="O50" s="172"/>
      <c r="P50" s="172"/>
      <c r="Q50" s="172"/>
      <c r="R50" s="172"/>
      <c r="S50" s="172"/>
      <c r="T50" s="172"/>
      <c r="U50" s="172"/>
      <c r="V50" s="172"/>
      <c r="W50" s="172"/>
      <c r="X50" s="172"/>
      <c r="Y50" s="173"/>
      <c r="Z50" s="78">
        <f t="shared" si="1"/>
        <v>415</v>
      </c>
    </row>
    <row r="51" spans="1:26" ht="77.25" customHeight="1">
      <c r="A51" s="91" t="str">
        <f t="shared" si="0"/>
        <v>林 奏多</v>
      </c>
      <c r="B51" s="171" t="s">
        <v>183</v>
      </c>
      <c r="C51" s="172"/>
      <c r="D51" s="172"/>
      <c r="E51" s="172"/>
      <c r="F51" s="172"/>
      <c r="G51" s="172"/>
      <c r="H51" s="172"/>
      <c r="I51" s="172"/>
      <c r="J51" s="172"/>
      <c r="K51" s="172"/>
      <c r="L51" s="172"/>
      <c r="M51" s="172"/>
      <c r="N51" s="172"/>
      <c r="O51" s="172"/>
      <c r="P51" s="172"/>
      <c r="Q51" s="172"/>
      <c r="R51" s="172"/>
      <c r="S51" s="172"/>
      <c r="T51" s="172"/>
      <c r="U51" s="172"/>
      <c r="V51" s="172"/>
      <c r="W51" s="172"/>
      <c r="X51" s="172"/>
      <c r="Y51" s="173"/>
      <c r="Z51" s="78">
        <f t="shared" si="1"/>
        <v>406</v>
      </c>
    </row>
    <row r="52" spans="1:26" ht="77.25" customHeight="1">
      <c r="A52" s="91" t="str">
        <f t="shared" si="0"/>
        <v>三浦 遥希</v>
      </c>
      <c r="B52" s="171" t="s">
        <v>184</v>
      </c>
      <c r="C52" s="172"/>
      <c r="D52" s="172"/>
      <c r="E52" s="172"/>
      <c r="F52" s="172"/>
      <c r="G52" s="172"/>
      <c r="H52" s="172"/>
      <c r="I52" s="172"/>
      <c r="J52" s="172"/>
      <c r="K52" s="172"/>
      <c r="L52" s="172"/>
      <c r="M52" s="172"/>
      <c r="N52" s="172"/>
      <c r="O52" s="172"/>
      <c r="P52" s="172"/>
      <c r="Q52" s="172"/>
      <c r="R52" s="172"/>
      <c r="S52" s="172"/>
      <c r="T52" s="172"/>
      <c r="U52" s="172"/>
      <c r="V52" s="172"/>
      <c r="W52" s="172"/>
      <c r="X52" s="172"/>
      <c r="Y52" s="173"/>
      <c r="Z52" s="78">
        <f t="shared" si="1"/>
        <v>430</v>
      </c>
    </row>
    <row r="53" spans="1:26" ht="77.25" customHeight="1">
      <c r="A53" s="91" t="str">
        <f t="shared" si="0"/>
        <v>三代澤 侑</v>
      </c>
      <c r="B53" s="171" t="s">
        <v>185</v>
      </c>
      <c r="C53" s="172"/>
      <c r="D53" s="172"/>
      <c r="E53" s="172"/>
      <c r="F53" s="172"/>
      <c r="G53" s="172"/>
      <c r="H53" s="172"/>
      <c r="I53" s="172"/>
      <c r="J53" s="172"/>
      <c r="K53" s="172"/>
      <c r="L53" s="172"/>
      <c r="M53" s="172"/>
      <c r="N53" s="172"/>
      <c r="O53" s="172"/>
      <c r="P53" s="172"/>
      <c r="Q53" s="172"/>
      <c r="R53" s="172"/>
      <c r="S53" s="172"/>
      <c r="T53" s="172"/>
      <c r="U53" s="172"/>
      <c r="V53" s="172"/>
      <c r="W53" s="172"/>
      <c r="X53" s="172"/>
      <c r="Y53" s="173"/>
      <c r="Z53" s="78">
        <f t="shared" si="1"/>
        <v>444</v>
      </c>
    </row>
    <row r="54" spans="1:26" ht="77.25" customHeight="1">
      <c r="A54" s="91" t="str">
        <f t="shared" si="0"/>
        <v>安永 理人</v>
      </c>
      <c r="B54" s="171" t="s">
        <v>211</v>
      </c>
      <c r="C54" s="172"/>
      <c r="D54" s="172"/>
      <c r="E54" s="172"/>
      <c r="F54" s="172"/>
      <c r="G54" s="172"/>
      <c r="H54" s="172"/>
      <c r="I54" s="172"/>
      <c r="J54" s="172"/>
      <c r="K54" s="172"/>
      <c r="L54" s="172"/>
      <c r="M54" s="172"/>
      <c r="N54" s="172"/>
      <c r="O54" s="172"/>
      <c r="P54" s="172"/>
      <c r="Q54" s="172"/>
      <c r="R54" s="172"/>
      <c r="S54" s="172"/>
      <c r="T54" s="172"/>
      <c r="U54" s="172"/>
      <c r="V54" s="172"/>
      <c r="W54" s="172"/>
      <c r="X54" s="172"/>
      <c r="Y54" s="173"/>
      <c r="Z54" s="78">
        <f t="shared" si="1"/>
        <v>422</v>
      </c>
    </row>
    <row r="55" spans="1:26" ht="77.25" customHeight="1">
      <c r="A55" s="91" t="str">
        <f t="shared" si="0"/>
        <v>山崎 結介</v>
      </c>
      <c r="B55" s="171" t="s">
        <v>186</v>
      </c>
      <c r="C55" s="172"/>
      <c r="D55" s="172"/>
      <c r="E55" s="172"/>
      <c r="F55" s="172"/>
      <c r="G55" s="172"/>
      <c r="H55" s="172"/>
      <c r="I55" s="172"/>
      <c r="J55" s="172"/>
      <c r="K55" s="172"/>
      <c r="L55" s="172"/>
      <c r="M55" s="172"/>
      <c r="N55" s="172"/>
      <c r="O55" s="172"/>
      <c r="P55" s="172"/>
      <c r="Q55" s="172"/>
      <c r="R55" s="172"/>
      <c r="S55" s="172"/>
      <c r="T55" s="172"/>
      <c r="U55" s="172"/>
      <c r="V55" s="172"/>
      <c r="W55" s="172"/>
      <c r="X55" s="172"/>
      <c r="Y55" s="173"/>
      <c r="Z55" s="78">
        <f t="shared" si="1"/>
        <v>449</v>
      </c>
    </row>
    <row r="56" spans="1:26" ht="77.25" customHeight="1">
      <c r="A56" s="91" t="str">
        <f t="shared" si="0"/>
        <v>湯淺 創太</v>
      </c>
      <c r="B56" s="171" t="s">
        <v>187</v>
      </c>
      <c r="C56" s="172"/>
      <c r="D56" s="172"/>
      <c r="E56" s="172"/>
      <c r="F56" s="172"/>
      <c r="G56" s="172"/>
      <c r="H56" s="172"/>
      <c r="I56" s="172"/>
      <c r="J56" s="172"/>
      <c r="K56" s="172"/>
      <c r="L56" s="172"/>
      <c r="M56" s="172"/>
      <c r="N56" s="172"/>
      <c r="O56" s="172"/>
      <c r="P56" s="172"/>
      <c r="Q56" s="172"/>
      <c r="R56" s="172"/>
      <c r="S56" s="172"/>
      <c r="T56" s="172"/>
      <c r="U56" s="172"/>
      <c r="V56" s="172"/>
      <c r="W56" s="172"/>
      <c r="X56" s="172"/>
      <c r="Y56" s="173"/>
      <c r="Z56" s="78">
        <f t="shared" si="1"/>
        <v>408</v>
      </c>
    </row>
    <row r="57" spans="1:26" ht="77.25" customHeight="1">
      <c r="A57" s="91">
        <f t="shared" si="0"/>
        <v>0</v>
      </c>
      <c r="B57" s="171"/>
      <c r="C57" s="172"/>
      <c r="D57" s="172"/>
      <c r="E57" s="172"/>
      <c r="F57" s="172"/>
      <c r="G57" s="172"/>
      <c r="H57" s="172"/>
      <c r="I57" s="172"/>
      <c r="J57" s="172"/>
      <c r="K57" s="172"/>
      <c r="L57" s="172"/>
      <c r="M57" s="172"/>
      <c r="N57" s="172"/>
      <c r="O57" s="172"/>
      <c r="P57" s="172"/>
      <c r="Q57" s="172"/>
      <c r="R57" s="172"/>
      <c r="S57" s="172"/>
      <c r="T57" s="172"/>
      <c r="U57" s="172"/>
      <c r="V57" s="172"/>
      <c r="W57" s="172"/>
      <c r="X57" s="172"/>
      <c r="Y57" s="173"/>
      <c r="Z57" s="78">
        <f t="shared" si="1"/>
        <v>0</v>
      </c>
    </row>
    <row r="58" spans="1:26" ht="17.25" customHeight="1"/>
    <row r="59" spans="1:26" ht="17.25" customHeight="1"/>
    <row r="60" spans="1:26" ht="17.25" customHeight="1"/>
    <row r="61" spans="1:26" ht="17.25" customHeight="1"/>
    <row r="62" spans="1:26" ht="17.25" customHeight="1"/>
    <row r="63" spans="1:26" ht="17.25" customHeight="1"/>
    <row r="64" spans="1:26"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sheetData>
  <mergeCells count="47">
    <mergeCell ref="A2:A9"/>
    <mergeCell ref="A12:Y12"/>
    <mergeCell ref="B13:Y13"/>
    <mergeCell ref="B14:Y14"/>
    <mergeCell ref="B15:Y15"/>
    <mergeCell ref="A35:Y35"/>
    <mergeCell ref="B36:Y36"/>
    <mergeCell ref="B37:Y37"/>
    <mergeCell ref="B38:Y38"/>
    <mergeCell ref="B26:Y26"/>
    <mergeCell ref="B27:Y27"/>
    <mergeCell ref="B28:Y28"/>
    <mergeCell ref="B29:Y29"/>
    <mergeCell ref="B30:Y30"/>
    <mergeCell ref="B31:Y31"/>
    <mergeCell ref="B32:Y32"/>
    <mergeCell ref="B33:Y33"/>
    <mergeCell ref="B34:Y34"/>
    <mergeCell ref="B16:Y16"/>
    <mergeCell ref="B17:Y17"/>
    <mergeCell ref="B18:Y18"/>
    <mergeCell ref="B19:Y19"/>
    <mergeCell ref="B20:Y20"/>
    <mergeCell ref="B21:Y21"/>
    <mergeCell ref="B22:Y22"/>
    <mergeCell ref="B23:Y23"/>
    <mergeCell ref="B24:Y24"/>
    <mergeCell ref="B25:Y25"/>
    <mergeCell ref="B39:Y39"/>
    <mergeCell ref="B40:Y40"/>
    <mergeCell ref="B41:Y41"/>
    <mergeCell ref="B42:Y42"/>
    <mergeCell ref="B43:Y43"/>
    <mergeCell ref="B54:Y54"/>
    <mergeCell ref="B55:Y55"/>
    <mergeCell ref="B56:Y56"/>
    <mergeCell ref="B57:Y57"/>
    <mergeCell ref="B44:Y44"/>
    <mergeCell ref="B45:Y45"/>
    <mergeCell ref="B46:Y46"/>
    <mergeCell ref="B47:Y47"/>
    <mergeCell ref="B48:Y48"/>
    <mergeCell ref="B49:Y49"/>
    <mergeCell ref="B50:Y50"/>
    <mergeCell ref="B51:Y51"/>
    <mergeCell ref="B52:Y52"/>
    <mergeCell ref="B53:Y53"/>
  </mergeCells>
  <phoneticPr fontId="1"/>
  <conditionalFormatting sqref="Z36:Z57">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Y11">
      <formula1>$Z$2:$Z$5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Z156"/>
  <sheetViews>
    <sheetView workbookViewId="0">
      <selection sqref="A1:XFD1048576"/>
    </sheetView>
  </sheetViews>
  <sheetFormatPr defaultColWidth="9" defaultRowHeight="13.5"/>
  <cols>
    <col min="1" max="1" width="13.5" style="78" customWidth="1"/>
    <col min="2" max="2" width="7.5" style="78" customWidth="1"/>
    <col min="3" max="3" width="9.375" style="78" customWidth="1"/>
    <col min="4" max="25" width="6.875" style="78" customWidth="1"/>
    <col min="26" max="16384" width="9" style="78"/>
  </cols>
  <sheetData>
    <row r="1" spans="1:26" ht="85.5" customHeight="1">
      <c r="A1" s="182" t="str">
        <f ca="1">MID(CELL("filename",A1),FIND("[",CELL("filename",A1))+1,3)</f>
        <v>３－１</v>
      </c>
      <c r="B1" s="183"/>
      <c r="C1" s="184"/>
      <c r="D1" s="72" t="str">
        <f>A10</f>
        <v>天野 皓仁</v>
      </c>
      <c r="E1" s="72" t="str">
        <f>A11</f>
        <v>伊藤 滉都</v>
      </c>
      <c r="F1" s="72" t="str">
        <f>A12</f>
        <v>大月 碧唯</v>
      </c>
      <c r="G1" s="72" t="str">
        <f>A13</f>
        <v>小栗 望愛</v>
      </c>
      <c r="H1" s="72" t="str">
        <f>A14</f>
        <v>金子 愛弥</v>
      </c>
      <c r="I1" s="72" t="str">
        <f>A15</f>
        <v>久保田 進之介</v>
      </c>
      <c r="J1" s="72" t="str">
        <f>A16</f>
        <v>後藤 碧志</v>
      </c>
      <c r="K1" s="72" t="str">
        <f>A17</f>
        <v>小松 由伎乃</v>
      </c>
      <c r="L1" s="72" t="str">
        <f>A18</f>
        <v>上甲 稜大</v>
      </c>
      <c r="M1" s="72" t="str">
        <f>A19</f>
        <v>辛 夏姫</v>
      </c>
      <c r="N1" s="72" t="str">
        <f>A20</f>
        <v>新原 海</v>
      </c>
      <c r="O1" s="72" t="str">
        <f>A21</f>
        <v>田中 咲</v>
      </c>
      <c r="P1" s="72" t="str">
        <f>A22</f>
        <v>永原 愛瑠</v>
      </c>
      <c r="Q1" s="72" t="str">
        <f>A23</f>
        <v>中村 隼人</v>
      </c>
      <c r="R1" s="72" t="str">
        <f>A24</f>
        <v>濱 丈士</v>
      </c>
      <c r="S1" s="72" t="str">
        <f>A25</f>
        <v>林 奏多</v>
      </c>
      <c r="T1" s="72" t="str">
        <f>A26</f>
        <v>三浦 遥希</v>
      </c>
      <c r="U1" s="72" t="str">
        <f>A27</f>
        <v>三代澤 侑</v>
      </c>
      <c r="V1" s="72" t="str">
        <f>A28</f>
        <v>安永 理人</v>
      </c>
      <c r="W1" s="72" t="str">
        <f>A29</f>
        <v>山崎 結介</v>
      </c>
      <c r="X1" s="72" t="str">
        <f>A30</f>
        <v>湯淺 創太</v>
      </c>
      <c r="Y1" s="72">
        <f>A31</f>
        <v>0</v>
      </c>
      <c r="Z1" s="77"/>
    </row>
    <row r="2" spans="1:26" ht="22.5" customHeight="1">
      <c r="A2" s="185" t="s">
        <v>34</v>
      </c>
      <c r="B2" s="185"/>
      <c r="C2" s="185"/>
      <c r="D2" s="92">
        <v>76</v>
      </c>
      <c r="E2" s="92">
        <v>76</v>
      </c>
      <c r="F2" s="92">
        <v>76</v>
      </c>
      <c r="G2" s="92">
        <v>76</v>
      </c>
      <c r="H2" s="92">
        <v>76</v>
      </c>
      <c r="I2" s="92">
        <v>76</v>
      </c>
      <c r="J2" s="92">
        <v>76</v>
      </c>
      <c r="K2" s="92">
        <v>76</v>
      </c>
      <c r="L2" s="92">
        <v>76</v>
      </c>
      <c r="M2" s="92">
        <v>76</v>
      </c>
      <c r="N2" s="92">
        <v>76</v>
      </c>
      <c r="O2" s="92">
        <v>76</v>
      </c>
      <c r="P2" s="92">
        <v>76</v>
      </c>
      <c r="Q2" s="92">
        <v>76</v>
      </c>
      <c r="R2" s="92">
        <v>76</v>
      </c>
      <c r="S2" s="92">
        <v>76</v>
      </c>
      <c r="T2" s="92">
        <v>76</v>
      </c>
      <c r="U2" s="92">
        <v>76</v>
      </c>
      <c r="V2" s="92">
        <v>76</v>
      </c>
      <c r="W2" s="92">
        <v>76</v>
      </c>
      <c r="X2" s="92">
        <v>76</v>
      </c>
      <c r="Y2" s="92"/>
    </row>
    <row r="3" spans="1:26" ht="22.5" customHeight="1">
      <c r="A3" s="185" t="s">
        <v>35</v>
      </c>
      <c r="B3" s="185"/>
      <c r="C3" s="185"/>
      <c r="D3" s="92">
        <v>0</v>
      </c>
      <c r="E3" s="92">
        <v>0</v>
      </c>
      <c r="F3" s="92">
        <v>0</v>
      </c>
      <c r="G3" s="92">
        <v>0</v>
      </c>
      <c r="H3" s="92">
        <v>4</v>
      </c>
      <c r="I3" s="92">
        <v>0</v>
      </c>
      <c r="J3" s="92">
        <v>0</v>
      </c>
      <c r="K3" s="92">
        <v>0</v>
      </c>
      <c r="L3" s="92">
        <v>0</v>
      </c>
      <c r="M3" s="92">
        <v>0</v>
      </c>
      <c r="N3" s="92">
        <v>0</v>
      </c>
      <c r="O3" s="92">
        <v>5</v>
      </c>
      <c r="P3" s="92">
        <v>0</v>
      </c>
      <c r="Q3" s="92">
        <v>0</v>
      </c>
      <c r="R3" s="92">
        <v>0</v>
      </c>
      <c r="S3" s="92">
        <v>0</v>
      </c>
      <c r="T3" s="92">
        <v>3</v>
      </c>
      <c r="U3" s="92">
        <v>0</v>
      </c>
      <c r="V3" s="92">
        <v>0</v>
      </c>
      <c r="W3" s="92">
        <v>0</v>
      </c>
      <c r="X3" s="92">
        <v>0</v>
      </c>
      <c r="Y3" s="92"/>
    </row>
    <row r="4" spans="1:26" ht="22.5" customHeight="1">
      <c r="A4" s="185" t="s">
        <v>36</v>
      </c>
      <c r="B4" s="185"/>
      <c r="C4" s="185"/>
      <c r="D4" s="52">
        <f t="shared" ref="D4:Y4" si="0">D2-D3</f>
        <v>76</v>
      </c>
      <c r="E4" s="52">
        <f t="shared" si="0"/>
        <v>76</v>
      </c>
      <c r="F4" s="52">
        <f t="shared" si="0"/>
        <v>76</v>
      </c>
      <c r="G4" s="52">
        <f t="shared" si="0"/>
        <v>76</v>
      </c>
      <c r="H4" s="52">
        <f t="shared" si="0"/>
        <v>72</v>
      </c>
      <c r="I4" s="52">
        <f t="shared" si="0"/>
        <v>76</v>
      </c>
      <c r="J4" s="52">
        <f t="shared" si="0"/>
        <v>76</v>
      </c>
      <c r="K4" s="52">
        <f t="shared" si="0"/>
        <v>76</v>
      </c>
      <c r="L4" s="52">
        <f t="shared" si="0"/>
        <v>76</v>
      </c>
      <c r="M4" s="52">
        <f t="shared" si="0"/>
        <v>76</v>
      </c>
      <c r="N4" s="52">
        <f t="shared" si="0"/>
        <v>76</v>
      </c>
      <c r="O4" s="52">
        <f t="shared" si="0"/>
        <v>71</v>
      </c>
      <c r="P4" s="52">
        <f t="shared" si="0"/>
        <v>76</v>
      </c>
      <c r="Q4" s="52">
        <f t="shared" si="0"/>
        <v>76</v>
      </c>
      <c r="R4" s="52">
        <f t="shared" si="0"/>
        <v>76</v>
      </c>
      <c r="S4" s="52">
        <f t="shared" si="0"/>
        <v>76</v>
      </c>
      <c r="T4" s="52">
        <f t="shared" si="0"/>
        <v>73</v>
      </c>
      <c r="U4" s="52">
        <f t="shared" si="0"/>
        <v>76</v>
      </c>
      <c r="V4" s="52">
        <f t="shared" si="0"/>
        <v>76</v>
      </c>
      <c r="W4" s="52">
        <f t="shared" si="0"/>
        <v>76</v>
      </c>
      <c r="X4" s="52">
        <f t="shared" si="0"/>
        <v>76</v>
      </c>
      <c r="Y4" s="52">
        <f t="shared" si="0"/>
        <v>0</v>
      </c>
    </row>
    <row r="5" spans="1:26" ht="22.5" customHeight="1">
      <c r="A5" s="186" t="s">
        <v>316</v>
      </c>
      <c r="B5" s="187"/>
      <c r="C5" s="188"/>
      <c r="D5" s="52">
        <f t="shared" ref="D5:Y5" si="1">D4-D6</f>
        <v>73</v>
      </c>
      <c r="E5" s="52">
        <f t="shared" si="1"/>
        <v>76</v>
      </c>
      <c r="F5" s="52">
        <f t="shared" si="1"/>
        <v>75</v>
      </c>
      <c r="G5" s="52">
        <f t="shared" si="1"/>
        <v>72</v>
      </c>
      <c r="H5" s="52">
        <f t="shared" si="1"/>
        <v>69</v>
      </c>
      <c r="I5" s="52">
        <f t="shared" si="1"/>
        <v>68</v>
      </c>
      <c r="J5" s="52">
        <f t="shared" si="1"/>
        <v>76</v>
      </c>
      <c r="K5" s="52">
        <f t="shared" si="1"/>
        <v>76</v>
      </c>
      <c r="L5" s="52">
        <f t="shared" si="1"/>
        <v>70</v>
      </c>
      <c r="M5" s="52">
        <f t="shared" si="1"/>
        <v>75</v>
      </c>
      <c r="N5" s="52">
        <f t="shared" si="1"/>
        <v>76</v>
      </c>
      <c r="O5" s="52">
        <f t="shared" si="1"/>
        <v>69</v>
      </c>
      <c r="P5" s="52">
        <f t="shared" si="1"/>
        <v>76</v>
      </c>
      <c r="Q5" s="52">
        <f t="shared" si="1"/>
        <v>72</v>
      </c>
      <c r="R5" s="52">
        <f t="shared" si="1"/>
        <v>73</v>
      </c>
      <c r="S5" s="52">
        <f t="shared" si="1"/>
        <v>76</v>
      </c>
      <c r="T5" s="52">
        <f t="shared" si="1"/>
        <v>73</v>
      </c>
      <c r="U5" s="52">
        <f t="shared" si="1"/>
        <v>76</v>
      </c>
      <c r="V5" s="52">
        <f t="shared" si="1"/>
        <v>74</v>
      </c>
      <c r="W5" s="52">
        <f t="shared" si="1"/>
        <v>74</v>
      </c>
      <c r="X5" s="52">
        <f t="shared" si="1"/>
        <v>76</v>
      </c>
      <c r="Y5" s="52">
        <f t="shared" si="1"/>
        <v>0</v>
      </c>
    </row>
    <row r="6" spans="1:26" ht="22.5" customHeight="1">
      <c r="A6" s="189" t="s">
        <v>217</v>
      </c>
      <c r="B6" s="190"/>
      <c r="C6" s="191"/>
      <c r="D6" s="92">
        <v>3</v>
      </c>
      <c r="E6" s="92">
        <v>0</v>
      </c>
      <c r="F6" s="92">
        <v>1</v>
      </c>
      <c r="G6" s="92">
        <v>4</v>
      </c>
      <c r="H6" s="92">
        <v>3</v>
      </c>
      <c r="I6" s="92">
        <v>8</v>
      </c>
      <c r="J6" s="92">
        <v>0</v>
      </c>
      <c r="K6" s="92">
        <v>0</v>
      </c>
      <c r="L6" s="92">
        <v>6</v>
      </c>
      <c r="M6" s="92">
        <v>1</v>
      </c>
      <c r="N6" s="92">
        <v>0</v>
      </c>
      <c r="O6" s="92">
        <v>2</v>
      </c>
      <c r="P6" s="92">
        <v>0</v>
      </c>
      <c r="Q6" s="92">
        <v>4</v>
      </c>
      <c r="R6" s="92">
        <v>3</v>
      </c>
      <c r="S6" s="92">
        <v>0</v>
      </c>
      <c r="T6" s="92">
        <v>0</v>
      </c>
      <c r="U6" s="92">
        <v>0</v>
      </c>
      <c r="V6" s="92">
        <v>2</v>
      </c>
      <c r="W6" s="92">
        <v>2</v>
      </c>
      <c r="X6" s="92">
        <v>0</v>
      </c>
      <c r="Y6" s="92"/>
    </row>
    <row r="7" spans="1:26" ht="22.5" customHeight="1">
      <c r="A7" s="185" t="s">
        <v>37</v>
      </c>
      <c r="B7" s="185"/>
      <c r="C7" s="185"/>
      <c r="D7" s="92">
        <v>0</v>
      </c>
      <c r="E7" s="92">
        <v>0</v>
      </c>
      <c r="F7" s="92">
        <v>0</v>
      </c>
      <c r="G7" s="92">
        <v>1</v>
      </c>
      <c r="H7" s="92">
        <v>0</v>
      </c>
      <c r="I7" s="92">
        <v>0</v>
      </c>
      <c r="J7" s="92">
        <v>0</v>
      </c>
      <c r="K7" s="92">
        <v>0</v>
      </c>
      <c r="L7" s="92">
        <v>1</v>
      </c>
      <c r="M7" s="92">
        <v>0</v>
      </c>
      <c r="N7" s="92">
        <v>0</v>
      </c>
      <c r="O7" s="92">
        <v>0</v>
      </c>
      <c r="P7" s="92">
        <v>0</v>
      </c>
      <c r="Q7" s="92">
        <v>1</v>
      </c>
      <c r="R7" s="92">
        <v>0</v>
      </c>
      <c r="S7" s="92">
        <v>0</v>
      </c>
      <c r="T7" s="92">
        <v>17</v>
      </c>
      <c r="U7" s="92">
        <v>0</v>
      </c>
      <c r="V7" s="92">
        <v>0</v>
      </c>
      <c r="W7" s="92">
        <v>0</v>
      </c>
      <c r="X7" s="92">
        <v>0</v>
      </c>
      <c r="Y7" s="92"/>
    </row>
    <row r="8" spans="1:26" ht="22.5" customHeight="1">
      <c r="A8" s="185" t="s">
        <v>38</v>
      </c>
      <c r="B8" s="185"/>
      <c r="C8" s="185"/>
      <c r="D8" s="92">
        <v>1</v>
      </c>
      <c r="E8" s="92">
        <v>1</v>
      </c>
      <c r="F8" s="92">
        <v>0</v>
      </c>
      <c r="G8" s="92">
        <v>1</v>
      </c>
      <c r="H8" s="92">
        <v>0</v>
      </c>
      <c r="I8" s="92">
        <v>5</v>
      </c>
      <c r="J8" s="92">
        <v>0</v>
      </c>
      <c r="K8" s="92">
        <v>0</v>
      </c>
      <c r="L8" s="92">
        <v>0</v>
      </c>
      <c r="M8" s="92">
        <v>0</v>
      </c>
      <c r="N8" s="92">
        <v>0</v>
      </c>
      <c r="O8" s="92">
        <v>2</v>
      </c>
      <c r="P8" s="92">
        <v>0</v>
      </c>
      <c r="Q8" s="92">
        <v>0</v>
      </c>
      <c r="R8" s="92">
        <v>0</v>
      </c>
      <c r="S8" s="92">
        <v>0</v>
      </c>
      <c r="T8" s="92">
        <v>0</v>
      </c>
      <c r="U8" s="92">
        <v>0</v>
      </c>
      <c r="V8" s="92">
        <v>1</v>
      </c>
      <c r="W8" s="92">
        <v>0</v>
      </c>
      <c r="X8" s="92">
        <v>0</v>
      </c>
      <c r="Y8" s="92"/>
    </row>
    <row r="9" spans="1:26" ht="22.5" customHeight="1">
      <c r="A9" s="179" t="s">
        <v>39</v>
      </c>
      <c r="B9" s="180"/>
      <c r="C9" s="180"/>
      <c r="D9" s="180"/>
      <c r="E9" s="180"/>
      <c r="F9" s="180"/>
      <c r="G9" s="180"/>
      <c r="H9" s="180"/>
      <c r="I9" s="180"/>
      <c r="J9" s="180"/>
      <c r="K9" s="180"/>
      <c r="L9" s="180"/>
      <c r="M9" s="180"/>
      <c r="N9" s="180"/>
      <c r="O9" s="180"/>
      <c r="P9" s="180"/>
      <c r="Q9" s="180"/>
      <c r="R9" s="180"/>
      <c r="S9" s="180"/>
      <c r="T9" s="180"/>
      <c r="U9" s="180"/>
      <c r="V9" s="180"/>
      <c r="W9" s="180"/>
      <c r="X9" s="180"/>
      <c r="Y9" s="181"/>
    </row>
    <row r="10" spans="1:26" ht="22.5" customHeight="1">
      <c r="A10" s="89" t="s">
        <v>87</v>
      </c>
      <c r="B10" s="165" t="s">
        <v>216</v>
      </c>
      <c r="C10" s="166"/>
      <c r="D10" s="166"/>
      <c r="E10" s="166"/>
      <c r="F10" s="166"/>
      <c r="G10" s="166"/>
      <c r="H10" s="166"/>
      <c r="I10" s="166"/>
      <c r="J10" s="166"/>
      <c r="K10" s="166"/>
      <c r="L10" s="166"/>
      <c r="M10" s="166"/>
      <c r="N10" s="166"/>
      <c r="O10" s="166"/>
      <c r="P10" s="166"/>
      <c r="Q10" s="166"/>
      <c r="R10" s="166"/>
      <c r="S10" s="166"/>
      <c r="T10" s="166"/>
      <c r="U10" s="166"/>
      <c r="V10" s="166"/>
      <c r="W10" s="166"/>
      <c r="X10" s="166"/>
      <c r="Y10" s="167"/>
    </row>
    <row r="11" spans="1:26" ht="22.5" customHeight="1">
      <c r="A11" s="89" t="s">
        <v>88</v>
      </c>
      <c r="B11" s="165" t="s">
        <v>188</v>
      </c>
      <c r="C11" s="166"/>
      <c r="D11" s="166"/>
      <c r="E11" s="166"/>
      <c r="F11" s="166"/>
      <c r="G11" s="166"/>
      <c r="H11" s="166"/>
      <c r="I11" s="166"/>
      <c r="J11" s="166"/>
      <c r="K11" s="166"/>
      <c r="L11" s="166"/>
      <c r="M11" s="166"/>
      <c r="N11" s="166"/>
      <c r="O11" s="166"/>
      <c r="P11" s="166"/>
      <c r="Q11" s="166"/>
      <c r="R11" s="166"/>
      <c r="S11" s="166"/>
      <c r="T11" s="166"/>
      <c r="U11" s="166"/>
      <c r="V11" s="166"/>
      <c r="W11" s="166"/>
      <c r="X11" s="166"/>
      <c r="Y11" s="167"/>
    </row>
    <row r="12" spans="1:26" ht="22.5" customHeight="1">
      <c r="A12" s="89" t="s">
        <v>89</v>
      </c>
      <c r="B12" s="165" t="s">
        <v>189</v>
      </c>
      <c r="C12" s="166"/>
      <c r="D12" s="166"/>
      <c r="E12" s="166"/>
      <c r="F12" s="166"/>
      <c r="G12" s="166"/>
      <c r="H12" s="166"/>
      <c r="I12" s="166"/>
      <c r="J12" s="166"/>
      <c r="K12" s="166"/>
      <c r="L12" s="166"/>
      <c r="M12" s="166"/>
      <c r="N12" s="166"/>
      <c r="O12" s="166"/>
      <c r="P12" s="166"/>
      <c r="Q12" s="166"/>
      <c r="R12" s="166"/>
      <c r="S12" s="166"/>
      <c r="T12" s="166"/>
      <c r="U12" s="166"/>
      <c r="V12" s="166"/>
      <c r="W12" s="166"/>
      <c r="X12" s="166"/>
      <c r="Y12" s="167"/>
    </row>
    <row r="13" spans="1:26" ht="22.5" customHeight="1">
      <c r="A13" s="89" t="s">
        <v>90</v>
      </c>
      <c r="B13" s="165" t="s">
        <v>212</v>
      </c>
      <c r="C13" s="166"/>
      <c r="D13" s="166"/>
      <c r="E13" s="166"/>
      <c r="F13" s="166"/>
      <c r="G13" s="166"/>
      <c r="H13" s="166"/>
      <c r="I13" s="166"/>
      <c r="J13" s="166"/>
      <c r="K13" s="166"/>
      <c r="L13" s="166"/>
      <c r="M13" s="166"/>
      <c r="N13" s="166"/>
      <c r="O13" s="166"/>
      <c r="P13" s="166"/>
      <c r="Q13" s="166"/>
      <c r="R13" s="166"/>
      <c r="S13" s="166"/>
      <c r="T13" s="166"/>
      <c r="U13" s="166"/>
      <c r="V13" s="166"/>
      <c r="W13" s="166"/>
      <c r="X13" s="166"/>
      <c r="Y13" s="167"/>
    </row>
    <row r="14" spans="1:26" ht="22.5" customHeight="1">
      <c r="A14" s="89" t="s">
        <v>91</v>
      </c>
      <c r="B14" s="165" t="s">
        <v>190</v>
      </c>
      <c r="C14" s="166"/>
      <c r="D14" s="166"/>
      <c r="E14" s="166"/>
      <c r="F14" s="166"/>
      <c r="G14" s="166"/>
      <c r="H14" s="166"/>
      <c r="I14" s="166"/>
      <c r="J14" s="166"/>
      <c r="K14" s="166"/>
      <c r="L14" s="166"/>
      <c r="M14" s="166"/>
      <c r="N14" s="166"/>
      <c r="O14" s="166"/>
      <c r="P14" s="166"/>
      <c r="Q14" s="166"/>
      <c r="R14" s="166"/>
      <c r="S14" s="166"/>
      <c r="T14" s="166"/>
      <c r="U14" s="166"/>
      <c r="V14" s="166"/>
      <c r="W14" s="166"/>
      <c r="X14" s="166"/>
      <c r="Y14" s="167"/>
    </row>
    <row r="15" spans="1:26" ht="22.5" customHeight="1">
      <c r="A15" s="89" t="s">
        <v>92</v>
      </c>
      <c r="B15" s="165" t="s">
        <v>191</v>
      </c>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6" ht="22.5" customHeight="1">
      <c r="A16" s="89" t="s">
        <v>93</v>
      </c>
      <c r="B16" s="165"/>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22.5" customHeight="1">
      <c r="A17" s="89" t="s">
        <v>94</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22.5" customHeight="1">
      <c r="A18" s="89" t="s">
        <v>95</v>
      </c>
      <c r="B18" s="165" t="s">
        <v>213</v>
      </c>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22.5" customHeight="1">
      <c r="A19" s="89" t="s">
        <v>96</v>
      </c>
      <c r="B19" s="165" t="s">
        <v>189</v>
      </c>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22.5" customHeight="1">
      <c r="A20" s="89" t="s">
        <v>97</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22.5" customHeight="1">
      <c r="A21" s="89" t="s">
        <v>98</v>
      </c>
      <c r="B21" s="165" t="s">
        <v>214</v>
      </c>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22.5" customHeight="1">
      <c r="A22" s="89" t="s">
        <v>99</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22.5" customHeight="1">
      <c r="A23" s="89" t="s">
        <v>100</v>
      </c>
      <c r="B23" s="165" t="s">
        <v>192</v>
      </c>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22.5" customHeight="1">
      <c r="A24" s="89" t="s">
        <v>101</v>
      </c>
      <c r="B24" s="165" t="s">
        <v>193</v>
      </c>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22.5" customHeight="1">
      <c r="A25" s="89" t="s">
        <v>102</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22.5" customHeight="1">
      <c r="A26" s="89" t="s">
        <v>103</v>
      </c>
      <c r="B26" s="165" t="s">
        <v>229</v>
      </c>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22.5" customHeight="1">
      <c r="A27" s="89" t="s">
        <v>104</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22.5" customHeight="1">
      <c r="A28" s="89" t="s">
        <v>105</v>
      </c>
      <c r="B28" s="165" t="s">
        <v>215</v>
      </c>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22.5" customHeight="1">
      <c r="A29" s="89" t="s">
        <v>106</v>
      </c>
      <c r="B29" s="165" t="s">
        <v>194</v>
      </c>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22.5" customHeight="1">
      <c r="A30" s="89" t="s">
        <v>107</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22.5" customHeight="1">
      <c r="A31" s="89"/>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sheetData>
  <mergeCells count="31">
    <mergeCell ref="B13:Y13"/>
    <mergeCell ref="B14:Y14"/>
    <mergeCell ref="B15:Y15"/>
    <mergeCell ref="B16:Y16"/>
    <mergeCell ref="A1:C1"/>
    <mergeCell ref="A2:C2"/>
    <mergeCell ref="A3:C3"/>
    <mergeCell ref="A4:C4"/>
    <mergeCell ref="A5:C5"/>
    <mergeCell ref="A6:C6"/>
    <mergeCell ref="A7:C7"/>
    <mergeCell ref="A8:C8"/>
    <mergeCell ref="A9:Y9"/>
    <mergeCell ref="B10:Y10"/>
    <mergeCell ref="B11:Y11"/>
    <mergeCell ref="B12:Y12"/>
    <mergeCell ref="B17:Y17"/>
    <mergeCell ref="B18:Y18"/>
    <mergeCell ref="B19:Y19"/>
    <mergeCell ref="B20:Y20"/>
    <mergeCell ref="B21:Y21"/>
    <mergeCell ref="B30:Y30"/>
    <mergeCell ref="B31:Y31"/>
    <mergeCell ref="B22:Y22"/>
    <mergeCell ref="B23:Y23"/>
    <mergeCell ref="B24:Y24"/>
    <mergeCell ref="B25:Y25"/>
    <mergeCell ref="B26:Y26"/>
    <mergeCell ref="B27:Y27"/>
    <mergeCell ref="B28:Y28"/>
    <mergeCell ref="B29:Y29"/>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6</vt:i4>
      </vt:variant>
    </vt:vector>
  </HeadingPairs>
  <TitlesOfParts>
    <vt:vector size="19" baseType="lpstr">
      <vt:lpstr>通知票</vt:lpstr>
      <vt:lpstr>所見集</vt:lpstr>
      <vt:lpstr>国語</vt:lpstr>
      <vt:lpstr>算数</vt:lpstr>
      <vt:lpstr>理科</vt:lpstr>
      <vt:lpstr>社会</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2024-07-22T01:24:18Z</cp:lastPrinted>
  <dcterms:created xsi:type="dcterms:W3CDTF">2005-07-21T09:07:06Z</dcterms:created>
  <dcterms:modified xsi:type="dcterms:W3CDTF">2024-07-22T01:24:22Z</dcterms:modified>
</cp:coreProperties>
</file>