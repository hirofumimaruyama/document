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240" yWindow="60" windowWidth="14940" windowHeight="8550" tabRatio="783"/>
  </bookViews>
  <sheets>
    <sheet name="通知票" sheetId="1" r:id="rId1"/>
    <sheet name="所見集" sheetId="46" r:id="rId2"/>
    <sheet name="国語" sheetId="36" r:id="rId3"/>
    <sheet name="算数" sheetId="37" r:id="rId4"/>
    <sheet name="生活" sheetId="38" r:id="rId5"/>
    <sheet name="英語" sheetId="39" r:id="rId6"/>
    <sheet name="音楽" sheetId="40" r:id="rId7"/>
    <sheet name="図工" sheetId="41" r:id="rId8"/>
    <sheet name="体育" sheetId="42" r:id="rId9"/>
    <sheet name="道徳" sheetId="43" r:id="rId10"/>
    <sheet name="所見" sheetId="44" r:id="rId11"/>
    <sheet name="出欠" sheetId="45" r:id="rId12"/>
  </sheets>
  <definedNames>
    <definedName name="_xlnm.Print_Area" localSheetId="1">所見集!$A$1:$C$14</definedName>
    <definedName name="_xlnm.Print_Area" localSheetId="0">通知票!$A$1:$I$91</definedName>
    <definedName name="至">通知票!$L$9</definedName>
    <definedName name="自">通知票!$K$9</definedName>
    <definedName name="番号">通知票!$B$2</definedName>
    <definedName name="番号2">所見集!$B$2</definedName>
  </definedNames>
  <calcPr calcId="152511"/>
</workbook>
</file>

<file path=xl/calcChain.xml><?xml version="1.0" encoding="utf-8"?>
<calcChain xmlns="http://schemas.openxmlformats.org/spreadsheetml/2006/main">
  <c r="P5" i="45" l="1"/>
  <c r="K5" i="45"/>
  <c r="H5" i="45"/>
  <c r="W4" i="45"/>
  <c r="W5" i="45" s="1"/>
  <c r="V4" i="45"/>
  <c r="V5" i="45" s="1"/>
  <c r="U4" i="45"/>
  <c r="U5" i="45" s="1"/>
  <c r="T4" i="45"/>
  <c r="T5" i="45" s="1"/>
  <c r="S4" i="45"/>
  <c r="S5" i="45" s="1"/>
  <c r="R4" i="45"/>
  <c r="R5" i="45" s="1"/>
  <c r="Q4" i="45"/>
  <c r="Q5" i="45" s="1"/>
  <c r="P4" i="45"/>
  <c r="O4" i="45"/>
  <c r="O5" i="45" s="1"/>
  <c r="N4" i="45"/>
  <c r="N5" i="45" s="1"/>
  <c r="M4" i="45"/>
  <c r="M5" i="45" s="1"/>
  <c r="L4" i="45"/>
  <c r="L5" i="45" s="1"/>
  <c r="K4" i="45"/>
  <c r="J4" i="45"/>
  <c r="J5" i="45" s="1"/>
  <c r="I4" i="45"/>
  <c r="I5" i="45" s="1"/>
  <c r="H4" i="45"/>
  <c r="G4" i="45"/>
  <c r="G5" i="45" s="1"/>
  <c r="F4" i="45"/>
  <c r="F5" i="45" s="1"/>
  <c r="E4" i="45"/>
  <c r="E5" i="45" s="1"/>
  <c r="D4" i="45"/>
  <c r="D5" i="45" s="1"/>
  <c r="W1" i="45"/>
  <c r="V1" i="45"/>
  <c r="U1" i="45"/>
  <c r="T1" i="45"/>
  <c r="S1" i="45"/>
  <c r="R1" i="45"/>
  <c r="Q1" i="45"/>
  <c r="P1" i="45"/>
  <c r="O1" i="45"/>
  <c r="N1" i="45"/>
  <c r="M1" i="45"/>
  <c r="L1" i="45"/>
  <c r="K1" i="45"/>
  <c r="J1" i="45"/>
  <c r="I1" i="45"/>
  <c r="H1" i="45"/>
  <c r="G1" i="45"/>
  <c r="F1" i="45"/>
  <c r="E1" i="45"/>
  <c r="D1" i="45"/>
  <c r="A1" i="45"/>
  <c r="X53" i="44" l="1"/>
  <c r="A53" i="44"/>
  <c r="X52" i="44"/>
  <c r="A52" i="44"/>
  <c r="X51" i="44"/>
  <c r="A51" i="44"/>
  <c r="X50" i="44"/>
  <c r="A50" i="44"/>
  <c r="X49" i="44"/>
  <c r="A49" i="44"/>
  <c r="X48" i="44"/>
  <c r="A48" i="44"/>
  <c r="X47" i="44"/>
  <c r="A47" i="44"/>
  <c r="X46" i="44"/>
  <c r="A46" i="44"/>
  <c r="X45" i="44"/>
  <c r="A45" i="44"/>
  <c r="X44" i="44"/>
  <c r="A44" i="44"/>
  <c r="X43" i="44"/>
  <c r="A43" i="44"/>
  <c r="X42" i="44"/>
  <c r="A42" i="44"/>
  <c r="X41" i="44"/>
  <c r="A41" i="44"/>
  <c r="X40" i="44"/>
  <c r="A40" i="44"/>
  <c r="X39" i="44"/>
  <c r="A39" i="44"/>
  <c r="X38" i="44"/>
  <c r="A38" i="44"/>
  <c r="X37" i="44"/>
  <c r="A37" i="44"/>
  <c r="X36" i="44"/>
  <c r="A36" i="44"/>
  <c r="X35" i="44"/>
  <c r="A35" i="44"/>
  <c r="X34" i="44"/>
  <c r="A34" i="44"/>
  <c r="W1" i="44"/>
  <c r="V1" i="44"/>
  <c r="U1" i="44"/>
  <c r="T1" i="44"/>
  <c r="S1" i="44"/>
  <c r="R1" i="44"/>
  <c r="Q1" i="44"/>
  <c r="P1" i="44"/>
  <c r="O1" i="44"/>
  <c r="N1" i="44"/>
  <c r="M1" i="44"/>
  <c r="L1" i="44"/>
  <c r="K1" i="44"/>
  <c r="J1" i="44"/>
  <c r="I1" i="44"/>
  <c r="H1" i="44"/>
  <c r="G1" i="44"/>
  <c r="F1" i="44"/>
  <c r="E1" i="44"/>
  <c r="D1" i="44"/>
  <c r="A1" i="44"/>
  <c r="C22" i="43" l="1"/>
  <c r="C21" i="43"/>
  <c r="C20" i="43"/>
  <c r="C19" i="43"/>
  <c r="C18" i="43"/>
  <c r="C17" i="43"/>
  <c r="C16" i="43"/>
  <c r="C15" i="43"/>
  <c r="C14" i="43"/>
  <c r="C13" i="43"/>
  <c r="C12" i="43"/>
  <c r="C11" i="43"/>
  <c r="C10" i="43"/>
  <c r="C9" i="43"/>
  <c r="C8" i="43"/>
  <c r="C7" i="43"/>
  <c r="C6" i="43"/>
  <c r="C5" i="43"/>
  <c r="C4" i="43"/>
  <c r="C3" i="43"/>
  <c r="B1" i="43"/>
  <c r="A1" i="43"/>
  <c r="W1" i="42" l="1"/>
  <c r="V1" i="42"/>
  <c r="U1" i="42"/>
  <c r="T1" i="42"/>
  <c r="S1" i="42"/>
  <c r="R1" i="42"/>
  <c r="Q1" i="42"/>
  <c r="P1" i="42"/>
  <c r="O1" i="42"/>
  <c r="N1" i="42"/>
  <c r="M1" i="42"/>
  <c r="L1" i="42"/>
  <c r="K1" i="42"/>
  <c r="J1" i="42"/>
  <c r="I1" i="42"/>
  <c r="H1" i="42"/>
  <c r="G1" i="42"/>
  <c r="F1" i="42"/>
  <c r="E1" i="42"/>
  <c r="D1" i="42"/>
  <c r="B1" i="42"/>
  <c r="A1" i="42"/>
  <c r="W1" i="41" l="1"/>
  <c r="V1" i="41"/>
  <c r="U1" i="41"/>
  <c r="T1" i="41"/>
  <c r="S1" i="41"/>
  <c r="R1" i="41"/>
  <c r="Q1" i="41"/>
  <c r="P1" i="41"/>
  <c r="O1" i="41"/>
  <c r="N1" i="41"/>
  <c r="M1" i="41"/>
  <c r="L1" i="41"/>
  <c r="K1" i="41"/>
  <c r="J1" i="41"/>
  <c r="I1" i="41"/>
  <c r="H1" i="41"/>
  <c r="G1" i="41"/>
  <c r="F1" i="41"/>
  <c r="E1" i="41"/>
  <c r="D1" i="41"/>
  <c r="B1" i="41"/>
  <c r="A1" i="41"/>
  <c r="W1" i="40" l="1"/>
  <c r="V1" i="40"/>
  <c r="U1" i="40"/>
  <c r="T1" i="40"/>
  <c r="S1" i="40"/>
  <c r="R1" i="40"/>
  <c r="Q1" i="40"/>
  <c r="P1" i="40"/>
  <c r="O1" i="40"/>
  <c r="N1" i="40"/>
  <c r="M1" i="40"/>
  <c r="L1" i="40"/>
  <c r="K1" i="40"/>
  <c r="J1" i="40"/>
  <c r="I1" i="40"/>
  <c r="H1" i="40"/>
  <c r="G1" i="40"/>
  <c r="F1" i="40"/>
  <c r="E1" i="40"/>
  <c r="D1" i="40"/>
  <c r="B1" i="40"/>
  <c r="A1" i="40"/>
  <c r="W1" i="39" l="1"/>
  <c r="V1" i="39"/>
  <c r="U1" i="39"/>
  <c r="T1" i="39"/>
  <c r="S1" i="39"/>
  <c r="R1" i="39"/>
  <c r="Q1" i="39"/>
  <c r="P1" i="39"/>
  <c r="O1" i="39"/>
  <c r="N1" i="39"/>
  <c r="M1" i="39"/>
  <c r="L1" i="39"/>
  <c r="K1" i="39"/>
  <c r="J1" i="39"/>
  <c r="I1" i="39"/>
  <c r="H1" i="39"/>
  <c r="G1" i="39"/>
  <c r="F1" i="39"/>
  <c r="E1" i="39"/>
  <c r="D1" i="39"/>
  <c r="B1" i="39"/>
  <c r="A1" i="39"/>
  <c r="W1" i="38" l="1"/>
  <c r="V1" i="38"/>
  <c r="U1" i="38"/>
  <c r="T1" i="38"/>
  <c r="S1" i="38"/>
  <c r="R1" i="38"/>
  <c r="Q1" i="38"/>
  <c r="P1" i="38"/>
  <c r="O1" i="38"/>
  <c r="N1" i="38"/>
  <c r="M1" i="38"/>
  <c r="L1" i="38"/>
  <c r="K1" i="38"/>
  <c r="J1" i="38"/>
  <c r="I1" i="38"/>
  <c r="H1" i="38"/>
  <c r="G1" i="38"/>
  <c r="F1" i="38"/>
  <c r="E1" i="38"/>
  <c r="D1" i="38"/>
  <c r="B1" i="38"/>
  <c r="A1" i="38"/>
  <c r="W1" i="37" l="1"/>
  <c r="V1" i="37"/>
  <c r="U1" i="37"/>
  <c r="T1" i="37"/>
  <c r="S1" i="37"/>
  <c r="R1" i="37"/>
  <c r="Q1" i="37"/>
  <c r="P1" i="37"/>
  <c r="O1" i="37"/>
  <c r="N1" i="37"/>
  <c r="M1" i="37"/>
  <c r="L1" i="37"/>
  <c r="K1" i="37"/>
  <c r="J1" i="37"/>
  <c r="I1" i="37"/>
  <c r="H1" i="37"/>
  <c r="G1" i="37"/>
  <c r="F1" i="37"/>
  <c r="E1" i="37"/>
  <c r="D1" i="37"/>
  <c r="B1" i="37"/>
  <c r="A1" i="37"/>
  <c r="W1" i="36" l="1"/>
  <c r="V1" i="36"/>
  <c r="U1" i="36"/>
  <c r="T1" i="36"/>
  <c r="S1" i="36"/>
  <c r="R1" i="36"/>
  <c r="Q1" i="36"/>
  <c r="P1" i="36"/>
  <c r="O1" i="36"/>
  <c r="N1" i="36"/>
  <c r="M1" i="36"/>
  <c r="L1" i="36"/>
  <c r="K1" i="36"/>
  <c r="J1" i="36"/>
  <c r="I1" i="36"/>
  <c r="H1" i="36"/>
  <c r="G1" i="36"/>
  <c r="F1" i="36"/>
  <c r="E1" i="36"/>
  <c r="D1" i="36"/>
  <c r="B1" i="36"/>
  <c r="A1" i="36"/>
  <c r="P12" i="1"/>
  <c r="P10" i="1"/>
  <c r="P8" i="1"/>
  <c r="P16" i="1"/>
  <c r="P11" i="1"/>
  <c r="P26" i="1"/>
  <c r="P14" i="1"/>
  <c r="P22" i="1"/>
  <c r="P21" i="1"/>
  <c r="P28" i="1"/>
  <c r="P9" i="1"/>
  <c r="P6" i="1"/>
  <c r="P18" i="1"/>
  <c r="P24" i="1"/>
  <c r="P27" i="1"/>
  <c r="P20" i="1"/>
  <c r="P17" i="1"/>
  <c r="P23" i="1"/>
  <c r="C14" i="46"/>
  <c r="P19" i="1"/>
  <c r="P29" i="1"/>
  <c r="P30" i="1"/>
  <c r="G2" i="1"/>
  <c r="P13" i="1"/>
  <c r="P7" i="1"/>
  <c r="P15" i="1"/>
  <c r="P25" i="1"/>
  <c r="B91" i="1"/>
  <c r="A1" i="1" l="1"/>
  <c r="B6" i="46" l="1"/>
  <c r="C6" i="46"/>
  <c r="C1" i="1" l="1"/>
  <c r="B11" i="46" l="1"/>
  <c r="B10" i="46"/>
  <c r="B9" i="46"/>
  <c r="B8" i="46"/>
  <c r="B7" i="46"/>
  <c r="B5" i="46"/>
  <c r="A1" i="46"/>
  <c r="C5" i="46"/>
  <c r="C2" i="46"/>
  <c r="C8" i="46"/>
  <c r="C9" i="46"/>
  <c r="C10" i="46"/>
  <c r="C7" i="46"/>
  <c r="C11" i="46"/>
  <c r="B12" i="46"/>
  <c r="C1" i="46" l="1"/>
  <c r="G74" i="1" l="1"/>
  <c r="G73" i="1"/>
  <c r="G72" i="1"/>
  <c r="G71" i="1"/>
  <c r="G70" i="1"/>
  <c r="G69" i="1"/>
  <c r="G68" i="1"/>
  <c r="G67" i="1"/>
  <c r="G66" i="1"/>
  <c r="H65" i="1"/>
  <c r="G65" i="1"/>
  <c r="G64" i="1"/>
  <c r="G63" i="1"/>
  <c r="G62" i="1"/>
  <c r="G61" i="1"/>
  <c r="G60" i="1"/>
  <c r="G59" i="1"/>
  <c r="G58" i="1"/>
  <c r="G57" i="1"/>
  <c r="G56" i="1"/>
  <c r="H55" i="1"/>
  <c r="G55" i="1"/>
  <c r="G52" i="1"/>
  <c r="G51" i="1"/>
  <c r="G50" i="1"/>
  <c r="G49" i="1"/>
  <c r="G48" i="1"/>
  <c r="G47" i="1"/>
  <c r="G46" i="1"/>
  <c r="G45" i="1"/>
  <c r="G44" i="1"/>
  <c r="H43" i="1"/>
  <c r="G43" i="1"/>
  <c r="G42" i="1"/>
  <c r="G41" i="1"/>
  <c r="G40" i="1"/>
  <c r="G39" i="1"/>
  <c r="G38" i="1"/>
  <c r="G37" i="1"/>
  <c r="G36" i="1"/>
  <c r="G35" i="1"/>
  <c r="H34" i="1"/>
  <c r="G34" i="1"/>
  <c r="G33" i="1"/>
  <c r="G32" i="1"/>
  <c r="G31" i="1"/>
  <c r="G30" i="1"/>
  <c r="G29" i="1"/>
  <c r="G28" i="1"/>
  <c r="G27" i="1"/>
  <c r="H26" i="1"/>
  <c r="G26" i="1"/>
  <c r="G25" i="1"/>
  <c r="G24" i="1"/>
  <c r="G23" i="1"/>
  <c r="G22" i="1"/>
  <c r="G21" i="1"/>
  <c r="G20" i="1"/>
  <c r="G19" i="1"/>
  <c r="G18" i="1"/>
  <c r="G17" i="1"/>
  <c r="H16" i="1"/>
  <c r="G16" i="1"/>
  <c r="I84" i="1"/>
  <c r="I83" i="1"/>
  <c r="I82" i="1"/>
  <c r="I81" i="1"/>
  <c r="I80" i="1"/>
  <c r="I79" i="1"/>
  <c r="I78" i="1"/>
  <c r="D87" i="1"/>
  <c r="D86" i="1"/>
  <c r="D85" i="1"/>
  <c r="D84" i="1"/>
  <c r="D83" i="1"/>
  <c r="D82" i="1"/>
  <c r="D81" i="1"/>
  <c r="D80" i="1"/>
  <c r="D79" i="1"/>
  <c r="D78" i="1"/>
  <c r="H6" i="1"/>
  <c r="G15" i="1"/>
  <c r="G14" i="1"/>
  <c r="G13" i="1"/>
  <c r="G12" i="1"/>
  <c r="G11" i="1"/>
  <c r="G10" i="1"/>
  <c r="G9" i="1"/>
  <c r="G8" i="1"/>
  <c r="G7" i="1"/>
  <c r="G6" i="1"/>
  <c r="B75" i="1"/>
  <c r="F85" i="1"/>
  <c r="C89" i="1"/>
  <c r="A87" i="1" l="1"/>
  <c r="A86" i="1"/>
  <c r="A85" i="1"/>
  <c r="A84" i="1"/>
  <c r="A83" i="1"/>
  <c r="A82" i="1"/>
  <c r="A81" i="1"/>
  <c r="A80" i="1"/>
  <c r="A79" i="1"/>
  <c r="A78" i="1"/>
  <c r="B74" i="1"/>
  <c r="B73" i="1"/>
  <c r="B72" i="1"/>
  <c r="B71" i="1"/>
  <c r="B70" i="1"/>
  <c r="B69" i="1"/>
  <c r="B68" i="1"/>
  <c r="B67" i="1"/>
  <c r="B66" i="1"/>
  <c r="B65" i="1"/>
  <c r="B64" i="1"/>
  <c r="B63" i="1"/>
  <c r="B62" i="1"/>
  <c r="B61" i="1"/>
  <c r="B60" i="1"/>
  <c r="B59" i="1"/>
  <c r="B58" i="1"/>
  <c r="B57" i="1"/>
  <c r="B56" i="1"/>
  <c r="B55"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alcChain>
</file>

<file path=xl/sharedStrings.xml><?xml version="1.0" encoding="utf-8"?>
<sst xmlns="http://schemas.openxmlformats.org/spreadsheetml/2006/main" count="986" uniqueCount="213">
  <si>
    <t>生活</t>
    <phoneticPr fontId="1"/>
  </si>
  <si>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</si>
  <si>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</si>
  <si>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</si>
  <si>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</si>
  <si>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</si>
  <si>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</si>
  <si>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</si>
  <si>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</si>
  <si>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</si>
  <si>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</si>
  <si>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</si>
  <si>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</si>
  <si>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</si>
  <si>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</si>
  <si>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</si>
  <si>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</si>
  <si>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</si>
  <si>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</si>
  <si>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</si>
  <si>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</si>
  <si>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</si>
  <si>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</si>
  <si>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</si>
  <si>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</si>
  <si>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</si>
  <si>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</si>
  <si>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国語に関心を持ち、進んで読んだり書いたりすることができる</t>
  </si>
  <si>
    <t>A～C</t>
  </si>
  <si>
    <t>聞く人が分かるように、はっきりと話すことができる</t>
  </si>
  <si>
    <t>大事なところに気をつけて、話を聞くことができる</t>
  </si>
  <si>
    <t>言葉のまとまりに気をつけて、音読や発表をすることができる</t>
  </si>
  <si>
    <t>物語文を読んで、場面の様子を想像したり、内容を読み取ったりすることができる</t>
  </si>
  <si>
    <t>説明文において、内容を読み比べながら、理解することができる</t>
  </si>
  <si>
    <t>気がついたことや想像したことを書いたり、話したりすることができる</t>
  </si>
  <si>
    <t>１～５</t>
  </si>
  <si>
    <t>氏名</t>
  </si>
  <si>
    <t>今学期の様子（教科担任から学級担任へ）</t>
  </si>
  <si>
    <t>算数に関心を持ち、進んで学習に取り組むことができる</t>
  </si>
  <si>
    <t>文章で書かれた問題から、加減のしくみをとらえて解くことができる</t>
  </si>
  <si>
    <t>文字数</t>
    <rPh sb="0" eb="3">
      <t>もじすう</t>
    </rPh>
    <phoneticPr fontId="10"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</si>
  <si>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</si>
  <si>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</si>
  <si>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</si>
  <si>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</si>
  <si>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</si>
  <si>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</si>
  <si>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</si>
  <si>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</si>
  <si>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</si>
  <si>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</si>
  <si>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</si>
  <si>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</si>
  <si>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</si>
  <si>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</si>
  <si>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生活</t>
    <phoneticPr fontId="1"/>
  </si>
  <si>
    <t>プリント係</t>
    <rPh sb="4" eb="5">
      <t>かかり</t>
    </rPh>
    <phoneticPr fontId="10" type="Hiragana" alignment="distributed"/>
  </si>
  <si>
    <t>学習した平仮名を形に注意しながら、正しく表記することができる</t>
  </si>
  <si>
    <t>１０までの数を数えたり、数字を読んだり、書いたりすることができる</t>
  </si>
  <si>
    <t>前後・左右・上下などの言葉を使って、ものの位置を正しく表すことができる</t>
  </si>
  <si>
    <t>１０までの合成分解ができ、10までのたし算・ひき算ができる</t>
  </si>
  <si>
    <t>学校の様子や、先生･友だちのことがわかり、楽しく安全に生活できる</t>
  </si>
  <si>
    <t>動植物にふれ合い、生き物への親しみを持ち、それらを大切にできる</t>
  </si>
  <si>
    <t>動植物を観察し、気付いたことを絵や文に表すことができる</t>
  </si>
  <si>
    <r>
      <t xml:space="preserve">学年
</t>
    </r>
    <r>
      <rPr>
        <sz val="9"/>
        <rFont val="ＭＳ Ｐ明朝"/>
        <family val="1"/>
        <charset val="128"/>
      </rPr>
      <t>(3学期)</t>
    </r>
    <rPh sb="5" eb="7">
      <t>ガッキ</t>
    </rPh>
    <phoneticPr fontId="1"/>
  </si>
  <si>
    <t>A</t>
    <phoneticPr fontId="1"/>
  </si>
  <si>
    <t>英語学習に楽しみを感じ、意欲的に学習に励むことができる</t>
  </si>
  <si>
    <t>「なぜ」「いつ」「どこで」などと、踏み込んだ会話をすることができる</t>
  </si>
  <si>
    <t>身の回りにあるもの（名詞）、日常生活の動作（動詞）、人や物を説明する言葉（形容詞）を習得することができる</t>
  </si>
  <si>
    <t>単語の発音を予想して読むことができる</t>
  </si>
  <si>
    <t>単語の音を聞いて、つづりを予想して書くことができる</t>
  </si>
  <si>
    <t>給食係</t>
    <rPh sb="0" eb="3">
      <t>きゅうしょくかかり</t>
    </rPh>
    <phoneticPr fontId="10" type="Hiragana" alignment="distributed"/>
  </si>
  <si>
    <t>大きな声ではっきりとあいさつや返事をすることができる</t>
  </si>
  <si>
    <t>時間やきまりを守り、規則正しい生活をすることができる</t>
  </si>
  <si>
    <t>物を大切にし、整理整頓に心がけ、忘れ物をしないように気をつけることができる</t>
  </si>
  <si>
    <t>心身の健康に気をつけ、進んで運動をし、元気に生活することができる</t>
  </si>
  <si>
    <t>良いと思うことは進んで行い、最後まで頑張ることができる</t>
  </si>
  <si>
    <t>自分でやらなければならないことは、しっかりと行うことができる</t>
  </si>
  <si>
    <t>自分で進んで考え、工夫しながら取り組むことができる</t>
  </si>
  <si>
    <t>身近にいる人々に親切にし、誰とでも助け合うことができる</t>
  </si>
  <si>
    <t>自然に親しみ、生きているものに優しく接することができる</t>
  </si>
  <si>
    <t>手伝いや仕事を進んで行うことができる</t>
  </si>
  <si>
    <t>欠席１（風邪１）</t>
    <rPh sb="0" eb="2">
      <t>ケッセキ</t>
    </rPh>
    <rPh sb="4" eb="6">
      <t>カゼ</t>
    </rPh>
    <phoneticPr fontId="1"/>
  </si>
  <si>
    <t>B</t>
    <phoneticPr fontId="1"/>
  </si>
  <si>
    <t>淺輪 景都</t>
  </si>
  <si>
    <t>太谷 高志</t>
  </si>
  <si>
    <t>加藤 裕吾</t>
  </si>
  <si>
    <t>後藤 朱里</t>
  </si>
  <si>
    <t>上甲 絃葉</t>
  </si>
  <si>
    <t>須田 陽貴</t>
  </si>
  <si>
    <t>高藤 遙舞</t>
  </si>
  <si>
    <t>立石 結子</t>
  </si>
  <si>
    <t>月岡 和香</t>
  </si>
  <si>
    <t>中村 祐香子</t>
  </si>
  <si>
    <t>藤森 結</t>
  </si>
  <si>
    <t>吉澤 紘風</t>
  </si>
  <si>
    <t>やや嫌味な言い方をするところがあります。授業中の発言は控えめで、姿勢も良いです。朝顔の観察では、気付いたことを絵や文で表すことに苦戦していました。</t>
    <rPh sb="2" eb="4">
      <t>イヤミ</t>
    </rPh>
    <rPh sb="5" eb="6">
      <t>イ</t>
    </rPh>
    <rPh sb="7" eb="8">
      <t>カタ</t>
    </rPh>
    <rPh sb="20" eb="23">
      <t>ジュギョウチュウ</t>
    </rPh>
    <rPh sb="24" eb="26">
      <t>ハツゲン</t>
    </rPh>
    <rPh sb="27" eb="28">
      <t>ヒカ</t>
    </rPh>
    <rPh sb="32" eb="34">
      <t>シセイ</t>
    </rPh>
    <rPh sb="35" eb="36">
      <t>ヨ</t>
    </rPh>
    <rPh sb="40" eb="42">
      <t>アサガオ</t>
    </rPh>
    <rPh sb="43" eb="45">
      <t>カンサツ</t>
    </rPh>
    <rPh sb="48" eb="50">
      <t>キヅ</t>
    </rPh>
    <rPh sb="55" eb="56">
      <t>エ</t>
    </rPh>
    <rPh sb="57" eb="58">
      <t>ブン</t>
    </rPh>
    <rPh sb="59" eb="60">
      <t>アラワ</t>
    </rPh>
    <rPh sb="64" eb="66">
      <t>クセン</t>
    </rPh>
    <phoneticPr fontId="1"/>
  </si>
  <si>
    <t>自分の考えを書くことに少し時間が掛かります。朝顔の観察では、気付いたことを絵や文で表すことに苦戦していました。</t>
    <rPh sb="0" eb="2">
      <t>ジブン</t>
    </rPh>
    <rPh sb="3" eb="4">
      <t>カンガ</t>
    </rPh>
    <rPh sb="6" eb="7">
      <t>カ</t>
    </rPh>
    <rPh sb="11" eb="12">
      <t>スコ</t>
    </rPh>
    <rPh sb="13" eb="15">
      <t>ジカン</t>
    </rPh>
    <rPh sb="16" eb="17">
      <t>カ</t>
    </rPh>
    <phoneticPr fontId="1"/>
  </si>
  <si>
    <t>授業中のお喋りが多いです。</t>
    <rPh sb="0" eb="3">
      <t>ジュギョウチュウ</t>
    </rPh>
    <rPh sb="5" eb="6">
      <t>シャベ</t>
    </rPh>
    <rPh sb="8" eb="9">
      <t>オオ</t>
    </rPh>
    <phoneticPr fontId="1"/>
  </si>
  <si>
    <t>指示が聞けておらず、きょろきょろと周りを見ている時があります。朝顔の観察では、気付いたことを絵や文で表すことに苦戦していました。</t>
    <rPh sb="0" eb="2">
      <t>シジ</t>
    </rPh>
    <rPh sb="3" eb="4">
      <t>キ</t>
    </rPh>
    <rPh sb="17" eb="18">
      <t>マワ</t>
    </rPh>
    <rPh sb="20" eb="21">
      <t>ミ</t>
    </rPh>
    <rPh sb="24" eb="25">
      <t>トキ</t>
    </rPh>
    <phoneticPr fontId="1"/>
  </si>
  <si>
    <t>発言が活発で内容も的確です。朝顔の絵も丁寧に書いていました。</t>
    <rPh sb="0" eb="2">
      <t>ハツゲン</t>
    </rPh>
    <rPh sb="3" eb="5">
      <t>カッパツ</t>
    </rPh>
    <rPh sb="6" eb="8">
      <t>ナイヨウ</t>
    </rPh>
    <rPh sb="9" eb="11">
      <t>テキカク</t>
    </rPh>
    <rPh sb="14" eb="16">
      <t>アサガオ</t>
    </rPh>
    <rPh sb="17" eb="18">
      <t>エ</t>
    </rPh>
    <rPh sb="19" eb="21">
      <t>テイネイ</t>
    </rPh>
    <rPh sb="22" eb="23">
      <t>カアサガオカンサツ</t>
    </rPh>
    <phoneticPr fontId="1"/>
  </si>
  <si>
    <t>当初、姿勢が乱れがちでしたが改善されてきました。</t>
    <rPh sb="0" eb="2">
      <t>トウショ</t>
    </rPh>
    <rPh sb="3" eb="5">
      <t>シセイ</t>
    </rPh>
    <rPh sb="6" eb="7">
      <t>ミダ</t>
    </rPh>
    <rPh sb="14" eb="16">
      <t>カイゼン</t>
    </rPh>
    <phoneticPr fontId="1"/>
  </si>
  <si>
    <t>朝顔の観察記録を記入する際、「これでいいの？」と一回一回、質問をしています。自信を持って自分の考えを書きましょう。</t>
    <rPh sb="0" eb="2">
      <t>アサガオ</t>
    </rPh>
    <rPh sb="3" eb="7">
      <t>カンサツキロク</t>
    </rPh>
    <rPh sb="8" eb="10">
      <t>キニュウ</t>
    </rPh>
    <rPh sb="12" eb="13">
      <t>サイ</t>
    </rPh>
    <rPh sb="24" eb="28">
      <t>イッカイイッカイ</t>
    </rPh>
    <rPh sb="29" eb="31">
      <t>シツモン</t>
    </rPh>
    <rPh sb="38" eb="40">
      <t>ジシン</t>
    </rPh>
    <rPh sb="41" eb="42">
      <t>モ</t>
    </rPh>
    <rPh sb="44" eb="46">
      <t>ジブン</t>
    </rPh>
    <rPh sb="47" eb="48">
      <t>カンガ</t>
    </rPh>
    <rPh sb="50" eb="51">
      <t>カ</t>
    </rPh>
    <phoneticPr fontId="1"/>
  </si>
  <si>
    <t>一生懸命に課題に取り組むことができました。</t>
    <rPh sb="0" eb="4">
      <t>イッショウケンメイ</t>
    </rPh>
    <rPh sb="5" eb="7">
      <t>カダイ</t>
    </rPh>
    <rPh sb="8" eb="9">
      <t>ト</t>
    </rPh>
    <rPh sb="10" eb="11">
      <t>ク</t>
    </rPh>
    <phoneticPr fontId="1"/>
  </si>
  <si>
    <t>植物の名前をよく覚えていました。授業中に大あくびをする時があります。</t>
    <rPh sb="0" eb="2">
      <t>ショクブツ</t>
    </rPh>
    <rPh sb="3" eb="5">
      <t>ナマエ</t>
    </rPh>
    <rPh sb="8" eb="9">
      <t>オボ</t>
    </rPh>
    <rPh sb="16" eb="19">
      <t>ジュギョウチュウ</t>
    </rPh>
    <rPh sb="20" eb="21">
      <t>オオ</t>
    </rPh>
    <rPh sb="27" eb="28">
      <t>トキ</t>
    </rPh>
    <phoneticPr fontId="1"/>
  </si>
  <si>
    <t>寡黙な印象ですが、自信が付いてきたのか、発言が増えました。</t>
    <rPh sb="0" eb="2">
      <t>カモク</t>
    </rPh>
    <rPh sb="3" eb="5">
      <t>インショウ</t>
    </rPh>
    <rPh sb="9" eb="11">
      <t>ジシン</t>
    </rPh>
    <rPh sb="12" eb="13">
      <t>ツ</t>
    </rPh>
    <rPh sb="20" eb="22">
      <t>ハツゲン</t>
    </rPh>
    <rPh sb="23" eb="24">
      <t>フ</t>
    </rPh>
    <phoneticPr fontId="1"/>
  </si>
  <si>
    <t>授業中のお喋りが多いです。お喋りは多いのですが、書くことは苦手なのか自信がないのか、なかなか手につかない時があります。挙手をしたのに指名されないと「えー」と言ってふてくされます。</t>
    <rPh sb="0" eb="3">
      <t>ジュギョウチュウ</t>
    </rPh>
    <rPh sb="5" eb="6">
      <t>シャベ</t>
    </rPh>
    <rPh sb="8" eb="9">
      <t>オオ</t>
    </rPh>
    <rPh sb="14" eb="15">
      <t>シャベ</t>
    </rPh>
    <rPh sb="17" eb="18">
      <t>オオ</t>
    </rPh>
    <rPh sb="24" eb="25">
      <t>カ</t>
    </rPh>
    <rPh sb="29" eb="31">
      <t>ニガテ</t>
    </rPh>
    <rPh sb="34" eb="36">
      <t>ジシン</t>
    </rPh>
    <rPh sb="46" eb="47">
      <t>テ</t>
    </rPh>
    <rPh sb="52" eb="53">
      <t>トキ</t>
    </rPh>
    <rPh sb="59" eb="61">
      <t>キョシュ</t>
    </rPh>
    <rPh sb="66" eb="68">
      <t>シメイ</t>
    </rPh>
    <rPh sb="78" eb="79">
      <t>イ</t>
    </rPh>
    <phoneticPr fontId="1"/>
  </si>
  <si>
    <t>授業の活動に積極的に取り組むことができる</t>
    <rPh sb="0" eb="2">
      <t>ジュギョウ</t>
    </rPh>
    <rPh sb="3" eb="5">
      <t>カツドウ</t>
    </rPh>
    <rPh sb="6" eb="9">
      <t>セッキョクテキ</t>
    </rPh>
    <rPh sb="10" eb="11">
      <t>ト</t>
    </rPh>
    <rPh sb="12" eb="13">
      <t>ク</t>
    </rPh>
    <phoneticPr fontId="1"/>
  </si>
  <si>
    <t>メロディーに合った音程でのびのび歌うことができる</t>
    <rPh sb="6" eb="7">
      <t>ア</t>
    </rPh>
    <rPh sb="9" eb="11">
      <t>オンテイ</t>
    </rPh>
    <rPh sb="16" eb="17">
      <t>ウタ</t>
    </rPh>
    <phoneticPr fontId="1"/>
  </si>
  <si>
    <t>鍵盤ハーモニカで正しい指使いやリズムで楽曲を奏でることができる</t>
    <rPh sb="0" eb="2">
      <t>ケンバン</t>
    </rPh>
    <rPh sb="8" eb="9">
      <t>タダ</t>
    </rPh>
    <rPh sb="11" eb="13">
      <t>ユビヅカ</t>
    </rPh>
    <rPh sb="19" eb="21">
      <t>ガッキョク</t>
    </rPh>
    <rPh sb="22" eb="23">
      <t>カナ</t>
    </rPh>
    <phoneticPr fontId="1"/>
  </si>
  <si>
    <t>提示した音を正しく聴き取ることができる</t>
    <rPh sb="0" eb="2">
      <t>テイジ</t>
    </rPh>
    <rPh sb="4" eb="5">
      <t>オト</t>
    </rPh>
    <rPh sb="6" eb="7">
      <t>タダ</t>
    </rPh>
    <rPh sb="9" eb="10">
      <t>キ</t>
    </rPh>
    <rPh sb="11" eb="12">
      <t>ト</t>
    </rPh>
    <phoneticPr fontId="1"/>
  </si>
  <si>
    <t>授業の活動に真面目に取り組んでいます。鍵盤ハーモニカは努力次第でさらに上達出来そうです。頑張りましょう。</t>
    <rPh sb="0" eb="2">
      <t>ジュギョウ</t>
    </rPh>
    <rPh sb="3" eb="5">
      <t>カツドウ</t>
    </rPh>
    <rPh sb="6" eb="9">
      <t>マジメ</t>
    </rPh>
    <rPh sb="10" eb="11">
      <t>ト</t>
    </rPh>
    <rPh sb="12" eb="13">
      <t>ク</t>
    </rPh>
    <rPh sb="19" eb="21">
      <t>ケンバン</t>
    </rPh>
    <rPh sb="27" eb="29">
      <t>ドリョク</t>
    </rPh>
    <rPh sb="29" eb="31">
      <t>シダイ</t>
    </rPh>
    <rPh sb="35" eb="37">
      <t>ジョウタツ</t>
    </rPh>
    <rPh sb="37" eb="39">
      <t>デキ</t>
    </rPh>
    <rPh sb="44" eb="46">
      <t>ガンバ</t>
    </rPh>
    <phoneticPr fontId="1"/>
  </si>
  <si>
    <t>最初に比べ、学期の最後には授業に集中して取り組めるようになりました。音の聴きとりはたくさん聴いて、音名が判別できるように頑張っていきましょう。</t>
    <rPh sb="0" eb="2">
      <t>サイショ</t>
    </rPh>
    <rPh sb="3" eb="4">
      <t>クラ</t>
    </rPh>
    <rPh sb="6" eb="8">
      <t>ガッキ</t>
    </rPh>
    <rPh sb="9" eb="11">
      <t>サイゴ</t>
    </rPh>
    <rPh sb="13" eb="15">
      <t>ジュギョウ</t>
    </rPh>
    <rPh sb="16" eb="18">
      <t>シュウチュウ</t>
    </rPh>
    <rPh sb="20" eb="21">
      <t>ト</t>
    </rPh>
    <rPh sb="22" eb="23">
      <t>ク</t>
    </rPh>
    <rPh sb="34" eb="35">
      <t>オト</t>
    </rPh>
    <rPh sb="36" eb="37">
      <t>キ</t>
    </rPh>
    <rPh sb="45" eb="46">
      <t>キ</t>
    </rPh>
    <rPh sb="49" eb="51">
      <t>オンメイ</t>
    </rPh>
    <rPh sb="52" eb="54">
      <t>ハンベツ</t>
    </rPh>
    <rPh sb="60" eb="62">
      <t>ガンバ</t>
    </rPh>
    <phoneticPr fontId="1"/>
  </si>
  <si>
    <t>授業にしっかり取り組んでいます。音の聴きとりはたくさん聴いて、音名が判別できるように頑張っていきましょう。</t>
    <rPh sb="0" eb="2">
      <t>ジュギョウ</t>
    </rPh>
    <rPh sb="7" eb="8">
      <t>ト</t>
    </rPh>
    <rPh sb="9" eb="10">
      <t>ク</t>
    </rPh>
    <rPh sb="16" eb="17">
      <t>オト</t>
    </rPh>
    <rPh sb="18" eb="19">
      <t>キ</t>
    </rPh>
    <rPh sb="27" eb="28">
      <t>キ</t>
    </rPh>
    <rPh sb="31" eb="33">
      <t>オンメイ</t>
    </rPh>
    <rPh sb="34" eb="36">
      <t>ハンベツ</t>
    </rPh>
    <rPh sb="42" eb="44">
      <t>ガンバ</t>
    </rPh>
    <phoneticPr fontId="1"/>
  </si>
  <si>
    <t>運動遊びの行い方を工夫するとともに、考えたことを他者に伝えることができる</t>
    <rPh sb="0" eb="3">
      <t>ウンドウアソ</t>
    </rPh>
    <rPh sb="5" eb="6">
      <t>オコナ</t>
    </rPh>
    <rPh sb="7" eb="8">
      <t>カタ</t>
    </rPh>
    <rPh sb="9" eb="11">
      <t>クフウ</t>
    </rPh>
    <rPh sb="18" eb="19">
      <t>カンガ</t>
    </rPh>
    <rPh sb="24" eb="26">
      <t>タシャ</t>
    </rPh>
    <rPh sb="27" eb="28">
      <t>ツタ</t>
    </rPh>
    <phoneticPr fontId="1"/>
  </si>
  <si>
    <t>決まりを守り、誰とでも仲良く意欲的に運動ができる</t>
    <rPh sb="0" eb="1">
      <t>キ</t>
    </rPh>
    <rPh sb="4" eb="5">
      <t>マモ</t>
    </rPh>
    <rPh sb="7" eb="8">
      <t>ダレ</t>
    </rPh>
    <rPh sb="11" eb="13">
      <t>ナカヨ</t>
    </rPh>
    <rPh sb="14" eb="17">
      <t>イヨクテキ</t>
    </rPh>
    <rPh sb="18" eb="20">
      <t>ウンドウ</t>
    </rPh>
    <phoneticPr fontId="1"/>
  </si>
  <si>
    <t>全身を使って、色々な走り方ができる（かけっこ、走の運動遊び）</t>
    <rPh sb="0" eb="2">
      <t>ゼンシン</t>
    </rPh>
    <rPh sb="3" eb="4">
      <t>ツカ</t>
    </rPh>
    <rPh sb="7" eb="13">
      <t>イロイロナハシリカタ</t>
    </rPh>
    <rPh sb="23" eb="24">
      <t>ソウ</t>
    </rPh>
    <rPh sb="25" eb="28">
      <t>ウンドウアソ</t>
    </rPh>
    <phoneticPr fontId="1"/>
  </si>
  <si>
    <t>タイミングを合わせたバトンパスができる（リレー）</t>
    <rPh sb="6" eb="7">
      <t>ア</t>
    </rPh>
    <phoneticPr fontId="1"/>
  </si>
  <si>
    <t>簡単なボール操作と力強くボールを投げることができる（ボールゲーム）</t>
    <rPh sb="0" eb="2">
      <t>カンタン</t>
    </rPh>
    <rPh sb="6" eb="8">
      <t>ソウサ</t>
    </rPh>
    <rPh sb="9" eb="11">
      <t>チカラツヨ</t>
    </rPh>
    <rPh sb="16" eb="17">
      <t>ナ</t>
    </rPh>
    <phoneticPr fontId="1"/>
  </si>
  <si>
    <t>集合や整列、話を聞く時など集中してないことがあり、活動に遅れることがあります。また、指示通りの活動ができていない時もあります。友達とは仲良く活動することができていますので、２学期はもう少し集中して授業を受けましょう。</t>
    <rPh sb="0" eb="2">
      <t>シュウゴウ</t>
    </rPh>
    <rPh sb="3" eb="5">
      <t>セイレツ</t>
    </rPh>
    <rPh sb="6" eb="7">
      <t>ハナシ</t>
    </rPh>
    <rPh sb="8" eb="9">
      <t>キ</t>
    </rPh>
    <rPh sb="10" eb="11">
      <t>トキ</t>
    </rPh>
    <rPh sb="13" eb="15">
      <t>シュウチュウ</t>
    </rPh>
    <rPh sb="25" eb="27">
      <t>カツドウ</t>
    </rPh>
    <rPh sb="28" eb="29">
      <t>オク</t>
    </rPh>
    <rPh sb="42" eb="45">
      <t>シジドオ</t>
    </rPh>
    <rPh sb="47" eb="49">
      <t>カツドウ</t>
    </rPh>
    <rPh sb="56" eb="57">
      <t>トキ</t>
    </rPh>
    <rPh sb="63" eb="65">
      <t>トモダチ</t>
    </rPh>
    <rPh sb="67" eb="69">
      <t>ナカヨ</t>
    </rPh>
    <rPh sb="70" eb="72">
      <t>カツドウ</t>
    </rPh>
    <rPh sb="87" eb="89">
      <t>ガッキ</t>
    </rPh>
    <rPh sb="92" eb="93">
      <t>スコ</t>
    </rPh>
    <rPh sb="94" eb="96">
      <t>シュウチュウ</t>
    </rPh>
    <rPh sb="98" eb="100">
      <t>ジュギョウ</t>
    </rPh>
    <rPh sb="101" eb="102">
      <t>ウ</t>
    </rPh>
    <phoneticPr fontId="1"/>
  </si>
  <si>
    <t>教科書の内容を自分のこととして捉え、自分の生活を振り返りながら真剣に考えることができました。「あしたはえんそく」という単元では、登場人物たちの気持ちを想像し、うさぎの言葉を「ぞうさんとすわればよかった。いやいや言わなければよかった。」と書き記し、うさぎが反省する様子を読み取ることができました。これからの学校生活に生かし、友だちと仲良く過ごしましょう。</t>
    <rPh sb="83" eb="85">
      <t>コトバ</t>
    </rPh>
    <rPh sb="105" eb="106">
      <t>イ</t>
    </rPh>
    <rPh sb="127" eb="129">
      <t>ハンセイ</t>
    </rPh>
    <rPh sb="131" eb="133">
      <t>ヨウス</t>
    </rPh>
    <rPh sb="134" eb="135">
      <t>ヨ</t>
    </rPh>
    <rPh sb="136" eb="137">
      <t>ト</t>
    </rPh>
    <phoneticPr fontId="1"/>
  </si>
  <si>
    <t>教科書の内容から、登場人物の気持ちを想像し考えを深めることができました。「かぼちゃのつる」という単元では、友だちの言葉に耳を傾けず、わがままばかりを言っていた主人公が、最後に反省した時の気持ちを「まわりの人に迷惑をかけなければよかった。」と想像し、書き記すことができました。学習が活かされ、友だちへの思いやりを忘れずに過ごせるよう願っています。</t>
    <rPh sb="102" eb="103">
      <t>ヒト</t>
    </rPh>
    <rPh sb="104" eb="106">
      <t>メイワク</t>
    </rPh>
    <rPh sb="124" eb="125">
      <t>カ</t>
    </rPh>
    <rPh sb="126" eb="127">
      <t>シル</t>
    </rPh>
    <phoneticPr fontId="1"/>
  </si>
  <si>
    <t>友だちの意見を聞く中で、自分の生活を振り返って考えることができました。「はしのうえのおおかみ」という単元では、周りの動物に意地悪をしていたおおかみが、くまに親切にされたことで、自分も動物たちに親切にしてみたときの気持ちを「やさしくできたから、いいきもち。」と想像し、「これから、友だちに優しくして、もっと友だちになりたい。」と書き記すことができました。友だちに親切にできるよう願っています。</t>
    <rPh sb="20" eb="21">
      <t>カエ</t>
    </rPh>
    <rPh sb="23" eb="24">
      <t>カンガ</t>
    </rPh>
    <rPh sb="129" eb="131">
      <t>ソウゾウ</t>
    </rPh>
    <rPh sb="139" eb="140">
      <t>トモ</t>
    </rPh>
    <rPh sb="143" eb="144">
      <t>ヤサ</t>
    </rPh>
    <rPh sb="152" eb="153">
      <t>トモ</t>
    </rPh>
    <rPh sb="163" eb="164">
      <t>カ</t>
    </rPh>
    <rPh sb="165" eb="166">
      <t>シル</t>
    </rPh>
    <phoneticPr fontId="1"/>
  </si>
  <si>
    <t>教科書の内容から、登場人物の気持ちを想像し考えを深めることができました。「かぼちゃのつる」という単元では、友だちの言葉に耳を傾けず、わがままばかりを言っていた主人公が、最後に反省した時の気持ちを「人の話を聞けば良かった。周りの人に迷惑をかけなければよかった。」と書き記すことができました。学習が活かされ、友だちへの思いやりを忘れずに過ごせるよう願っています。</t>
    <rPh sb="98" eb="99">
      <t>ヒト</t>
    </rPh>
    <rPh sb="100" eb="101">
      <t>ハナシ</t>
    </rPh>
    <rPh sb="102" eb="103">
      <t>キ</t>
    </rPh>
    <rPh sb="105" eb="106">
      <t>ヨ</t>
    </rPh>
    <rPh sb="110" eb="111">
      <t>マワ</t>
    </rPh>
    <rPh sb="113" eb="114">
      <t>ヒト</t>
    </rPh>
    <rPh sb="115" eb="117">
      <t>メイワク</t>
    </rPh>
    <rPh sb="131" eb="132">
      <t>カ</t>
    </rPh>
    <rPh sb="133" eb="134">
      <t>シル</t>
    </rPh>
    <phoneticPr fontId="1"/>
  </si>
  <si>
    <t>どの単元においても、活発に発言し、登場人物の気持ちや学習のまとめをワークシートいっぱいに書くことができました。「はしのうえのおおかみ」という単元では、周りの動物に意地悪をしていたおおかみが、くまに親切にされたことで反省して行動を変化させる様子を読み取り、自分もこれから、「みんなに優しくし、みんなを助けてあげる。」と書き記していました。これまでのように、友だちへの思いやりを大切にして過ごせることを願っています。</t>
    <rPh sb="10" eb="12">
      <t>カッパツ</t>
    </rPh>
    <rPh sb="13" eb="15">
      <t>ハツゲン</t>
    </rPh>
    <rPh sb="75" eb="76">
      <t>マワ</t>
    </rPh>
    <rPh sb="78" eb="80">
      <t>ドウブツ</t>
    </rPh>
    <rPh sb="81" eb="84">
      <t>イジワル</t>
    </rPh>
    <rPh sb="98" eb="100">
      <t>シンセツ</t>
    </rPh>
    <rPh sb="107" eb="109">
      <t>ハンセイ</t>
    </rPh>
    <rPh sb="111" eb="113">
      <t>コウドウ</t>
    </rPh>
    <rPh sb="114" eb="116">
      <t>ヘンカ</t>
    </rPh>
    <rPh sb="119" eb="121">
      <t>ヨウス</t>
    </rPh>
    <rPh sb="122" eb="123">
      <t>ヨ</t>
    </rPh>
    <rPh sb="124" eb="125">
      <t>ト</t>
    </rPh>
    <rPh sb="127" eb="129">
      <t>ジブン</t>
    </rPh>
    <rPh sb="140" eb="141">
      <t>ヤサ</t>
    </rPh>
    <rPh sb="149" eb="150">
      <t>タス</t>
    </rPh>
    <rPh sb="158" eb="159">
      <t>カ</t>
    </rPh>
    <rPh sb="160" eb="161">
      <t>シル</t>
    </rPh>
    <rPh sb="187" eb="189">
      <t>タイセツ</t>
    </rPh>
    <phoneticPr fontId="1"/>
  </si>
  <si>
    <t>教科書の内容から、登場人物の気持ちを想像し考えを深めることができました。「かぼちゃのつる」という単元では、友だちの言葉に耳を傾けず、わがままばかりを言っていた主人公が、最後に反省した時の気持ちを「あんなことしないで、人の話を聞けばよかった。周りの人に迷惑をかけない。」と想像し、書き記すことができました。学習が活かされ、友だちへの思いやりを忘れずに過ごせるよう願っています。</t>
    <rPh sb="108" eb="109">
      <t>ヒト</t>
    </rPh>
    <rPh sb="110" eb="111">
      <t>ハナシ</t>
    </rPh>
    <rPh sb="112" eb="113">
      <t>キ</t>
    </rPh>
    <rPh sb="120" eb="121">
      <t>マワ</t>
    </rPh>
    <rPh sb="123" eb="124">
      <t>ヒト</t>
    </rPh>
    <rPh sb="125" eb="127">
      <t>メイワク</t>
    </rPh>
    <rPh sb="139" eb="140">
      <t>カ</t>
    </rPh>
    <rPh sb="141" eb="142">
      <t>シル</t>
    </rPh>
    <phoneticPr fontId="1"/>
  </si>
  <si>
    <t>教科書の内容を自分のこととして捉え、自分の生活を振り返りながら真剣に考えることができました。「どうしてこうなるのかな」や「かぼちゃのつる」の単元では、決まりや約束を守らないとどうなるかをしっかりと考え、ワークシートに、「バスの中で静かにしたい。トイレを静かに使いたい。」と書き記すことができました。これからの学校生活に生かしていきましょう。</t>
    <rPh sb="113" eb="114">
      <t>ナカ</t>
    </rPh>
    <rPh sb="115" eb="116">
      <t>シズ</t>
    </rPh>
    <rPh sb="126" eb="127">
      <t>シズ</t>
    </rPh>
    <rPh sb="129" eb="130">
      <t>ツカ</t>
    </rPh>
    <phoneticPr fontId="1"/>
  </si>
  <si>
    <t>教科書の内容を自分のこととして捉え、自分の生活を振り返りながら真剣に考えることができました。「こんなクラスにしたいな」の単元では、どんなクラスなら楽しくすごせるかという問いに、「みんななかよしのクラス」と答え、失敗した友だちや困っている友だちに対する優しい言葉がけをたくさん書き記すことができました。これからも、みんなと仲良く気持ちよく過ごしましょう。</t>
    <rPh sb="73" eb="74">
      <t>タノ</t>
    </rPh>
    <rPh sb="84" eb="85">
      <t>ト</t>
    </rPh>
    <rPh sb="102" eb="103">
      <t>コタ</t>
    </rPh>
    <rPh sb="122" eb="123">
      <t>タイ</t>
    </rPh>
    <rPh sb="125" eb="126">
      <t>ヤサ</t>
    </rPh>
    <rPh sb="128" eb="130">
      <t>コトバ</t>
    </rPh>
    <rPh sb="137" eb="138">
      <t>カ</t>
    </rPh>
    <rPh sb="139" eb="140">
      <t>シル</t>
    </rPh>
    <rPh sb="160" eb="162">
      <t>ナカヨ</t>
    </rPh>
    <rPh sb="163" eb="165">
      <t>キモ</t>
    </rPh>
    <rPh sb="168" eb="169">
      <t>ス</t>
    </rPh>
    <phoneticPr fontId="1"/>
  </si>
  <si>
    <t>教科書の内容を自分のこととして捉え、自分の生活を振り返りながら真剣に考えることができました。「とりかえっこ」という単元では、「友だちができてうれしくて、毎日学校に行きたい。」と書き記し、もっと楽しくするために、「先生にいっぱい教えてもらって、先生の話をいっぱい聞きたい。」と書いていました。勉強を頑張ったり、みんなと仲良く気持ちよく過ごしたりしましょう。</t>
    <rPh sb="63" eb="64">
      <t>トモ</t>
    </rPh>
    <rPh sb="76" eb="78">
      <t>マイニチ</t>
    </rPh>
    <rPh sb="78" eb="80">
      <t>ガッコウ</t>
    </rPh>
    <rPh sb="81" eb="82">
      <t>イ</t>
    </rPh>
    <rPh sb="88" eb="89">
      <t>カ</t>
    </rPh>
    <rPh sb="90" eb="91">
      <t>シル</t>
    </rPh>
    <rPh sb="96" eb="97">
      <t>タノ</t>
    </rPh>
    <rPh sb="106" eb="108">
      <t>センセイ</t>
    </rPh>
    <rPh sb="113" eb="114">
      <t>オシ</t>
    </rPh>
    <rPh sb="121" eb="123">
      <t>センセイ</t>
    </rPh>
    <rPh sb="124" eb="125">
      <t>ハナシ</t>
    </rPh>
    <rPh sb="130" eb="131">
      <t>キ</t>
    </rPh>
    <rPh sb="137" eb="138">
      <t>カ</t>
    </rPh>
    <rPh sb="145" eb="147">
      <t>ベンキョウ</t>
    </rPh>
    <rPh sb="148" eb="150">
      <t>ガンバ</t>
    </rPh>
    <rPh sb="158" eb="160">
      <t>ナカヨ</t>
    </rPh>
    <rPh sb="161" eb="163">
      <t>キモ</t>
    </rPh>
    <rPh sb="166" eb="167">
      <t>ス</t>
    </rPh>
    <phoneticPr fontId="1"/>
  </si>
  <si>
    <t>教科書の内容から、登場人物の気持ちを想像し考えを深めることができました。「みんなじょうず」という単元では、「あいさつ上手」「なんでも真剣上手」など、友だちの良いところを見つけ、ワークシートに記入していました。また、自分の良いところをたくさん見つけることもできました。学習が活かされ、これからも友だちの良いところをたくさん見つけて、みんなと仲良く過ごせるよう願っています。</t>
    <rPh sb="66" eb="68">
      <t>シンケン</t>
    </rPh>
    <phoneticPr fontId="1"/>
  </si>
  <si>
    <t>どの単元においても、活発に発言し、登場人物の気持ちや学習のまとめをワークシートいっぱいに書くことができました。「はしのうえのおおかみ」という単元では、周りの動物に意地悪をしていたおおかみが、くまに親切にされたことで反省して行動を変化させる様子を読み取り、自分もこれから、「人に優しくすると自分んもいい気持ちになる。」と書き記していました。これまでのように、友だちへの思いやりを大切にして過ごせることを願っています。</t>
    <rPh sb="10" eb="12">
      <t>カッパツ</t>
    </rPh>
    <rPh sb="13" eb="15">
      <t>ハツゲン</t>
    </rPh>
    <rPh sb="75" eb="76">
      <t>マワ</t>
    </rPh>
    <rPh sb="78" eb="80">
      <t>ドウブツ</t>
    </rPh>
    <rPh sb="81" eb="84">
      <t>イジワル</t>
    </rPh>
    <rPh sb="98" eb="100">
      <t>シンセツ</t>
    </rPh>
    <rPh sb="107" eb="109">
      <t>ハンセイ</t>
    </rPh>
    <rPh sb="111" eb="113">
      <t>コウドウ</t>
    </rPh>
    <rPh sb="114" eb="116">
      <t>ヘンカ</t>
    </rPh>
    <rPh sb="119" eb="121">
      <t>ヨウス</t>
    </rPh>
    <rPh sb="122" eb="123">
      <t>ヨ</t>
    </rPh>
    <rPh sb="124" eb="125">
      <t>ト</t>
    </rPh>
    <rPh sb="127" eb="129">
      <t>ジブン</t>
    </rPh>
    <rPh sb="136" eb="137">
      <t>ヒト</t>
    </rPh>
    <rPh sb="138" eb="139">
      <t>ヤサ</t>
    </rPh>
    <rPh sb="144" eb="146">
      <t>ジブン</t>
    </rPh>
    <rPh sb="150" eb="152">
      <t>キモ</t>
    </rPh>
    <rPh sb="159" eb="160">
      <t>カ</t>
    </rPh>
    <rPh sb="161" eb="162">
      <t>シル</t>
    </rPh>
    <rPh sb="188" eb="190">
      <t>タイセツ</t>
    </rPh>
    <phoneticPr fontId="1"/>
  </si>
  <si>
    <t>教科書の内容から、登場人物の気持ちを想像し考えを深めることができました。「かぼちゃのつる」という単元では、友だちの言葉に耳を傾けず、わがままばかりを言っていた主人公が、最後に反省した時の気持ちを「友だちの言うことを聞けば良かった。まわりの人に迷惑をかけなければよかった。」と想像し、書き記すことができました。学習が活かされ、友だちへの思いやりを忘れずに過ごせるよう願っています。</t>
    <rPh sb="98" eb="99">
      <t>トモ</t>
    </rPh>
    <rPh sb="102" eb="103">
      <t>イ</t>
    </rPh>
    <rPh sb="107" eb="108">
      <t>キ</t>
    </rPh>
    <rPh sb="110" eb="111">
      <t>ヨ</t>
    </rPh>
    <rPh sb="119" eb="120">
      <t>ヒト</t>
    </rPh>
    <rPh sb="121" eb="123">
      <t>メイワク</t>
    </rPh>
    <rPh sb="141" eb="142">
      <t>カ</t>
    </rPh>
    <rPh sb="143" eb="144">
      <t>シル</t>
    </rPh>
    <phoneticPr fontId="1"/>
  </si>
  <si>
    <t>体育係</t>
    <rPh sb="0" eb="2">
      <t>たいいく</t>
    </rPh>
    <rPh sb="2" eb="3">
      <t>かかり</t>
    </rPh>
    <phoneticPr fontId="10" type="Hiragana" alignment="distributed"/>
  </si>
  <si>
    <t>時刻係</t>
    <rPh sb="0" eb="2">
      <t>じこく</t>
    </rPh>
    <rPh sb="2" eb="3">
      <t>かかり</t>
    </rPh>
    <phoneticPr fontId="10" type="Hiragana" alignment="distributed"/>
  </si>
  <si>
    <t>整列係</t>
    <rPh sb="0" eb="2">
      <t>せいれつ</t>
    </rPh>
    <rPh sb="2" eb="3">
      <t>かかり</t>
    </rPh>
    <phoneticPr fontId="10" type="Hiragana" alignment="distributed"/>
  </si>
  <si>
    <t>掃除整頓係</t>
    <rPh sb="0" eb="2">
      <t>そうじ</t>
    </rPh>
    <rPh sb="2" eb="4">
      <t>せいとん</t>
    </rPh>
    <rPh sb="4" eb="5">
      <t>かか</t>
    </rPh>
    <phoneticPr fontId="10" type="Hiragana" alignment="distributed"/>
  </si>
  <si>
    <t>１学期を通じて一日も休まず元気に登校することができました。運動能力に優れ、体育祭のかけっこや水泳学習では、存分に力を発揮することができました。体育係としても、責任感を持って仕事を行うことができました。学習面では、1学期の学習内容を確実に習得し、全国模試では、国語算数ともに満点という素晴らしい成績を収めることができました。英語のテストに向けて、手作りの単語帳を開きながら懸命に学習する姿が見られ、どんな学習にも精一杯取り組むことができて感心します。一方で、生活科のあさがおの観察では、絵や文章を思うようにかくことができない様子が見られました。実物を見て描いたり、想像したことをのびのびと描いたりしてみましょう。生活面では、友だちと関わりながら楽しく過ごし、休み時間や放課後は活発に体を動かして活動しています。とても真面目で、決まりを守ろうという気持ちは強いのですが、時々うっかりとした言動が見られました。物事に落ち着いて集中して取り組むようにしましょう。2学期の高志君のさらなる成長を期待しています。</t>
    <rPh sb="4" eb="5">
      <t>つう</t>
    </rPh>
    <rPh sb="7" eb="9">
      <t>いちにち</t>
    </rPh>
    <rPh sb="10" eb="11">
      <t>やす</t>
    </rPh>
    <rPh sb="13" eb="15">
      <t>げんき</t>
    </rPh>
    <rPh sb="16" eb="18">
      <t>とうこう</t>
    </rPh>
    <rPh sb="29" eb="33">
      <t>うんどうのうりょく</t>
    </rPh>
    <rPh sb="34" eb="35">
      <t>すぐ</t>
    </rPh>
    <rPh sb="37" eb="40">
      <t>たいいくさい</t>
    </rPh>
    <rPh sb="46" eb="50">
      <t>すいえいがくしゅう</t>
    </rPh>
    <rPh sb="53" eb="55">
      <t>ぞんぶん</t>
    </rPh>
    <rPh sb="56" eb="57">
      <t>ちから</t>
    </rPh>
    <rPh sb="58" eb="60">
      <t>はっき</t>
    </rPh>
    <rPh sb="71" eb="74">
      <t>たいいくかかり</t>
    </rPh>
    <rPh sb="79" eb="82">
      <t>せきにんかん</t>
    </rPh>
    <rPh sb="83" eb="84">
      <t>も</t>
    </rPh>
    <rPh sb="86" eb="88">
      <t>しごと</t>
    </rPh>
    <rPh sb="89" eb="90">
      <t>おこな</t>
    </rPh>
    <rPh sb="100" eb="103">
      <t>がくしゅうめん</t>
    </rPh>
    <rPh sb="107" eb="109">
      <t>がっき</t>
    </rPh>
    <rPh sb="110" eb="114">
      <t>がくしゅうないよう</t>
    </rPh>
    <rPh sb="115" eb="117">
      <t>かくじつ</t>
    </rPh>
    <rPh sb="118" eb="120">
      <t>しゅうとく</t>
    </rPh>
    <rPh sb="122" eb="126">
      <t>ぜんこくもし</t>
    </rPh>
    <rPh sb="129" eb="133">
      <t>こくごさんすう</t>
    </rPh>
    <rPh sb="136" eb="138">
      <t>まんてん</t>
    </rPh>
    <rPh sb="141" eb="143">
      <t>すば</t>
    </rPh>
    <rPh sb="146" eb="148">
      <t>せいせき</t>
    </rPh>
    <rPh sb="149" eb="150">
      <t>おさ</t>
    </rPh>
    <rPh sb="161" eb="163">
      <t>えいご</t>
    </rPh>
    <rPh sb="168" eb="169">
      <t>む</t>
    </rPh>
    <rPh sb="172" eb="174">
      <t>てづく</t>
    </rPh>
    <rPh sb="176" eb="179">
      <t>たんごちょう</t>
    </rPh>
    <rPh sb="180" eb="181">
      <t>ひら</t>
    </rPh>
    <rPh sb="185" eb="187">
      <t>けんめい</t>
    </rPh>
    <rPh sb="188" eb="190">
      <t>がくしゅう</t>
    </rPh>
    <rPh sb="192" eb="193">
      <t>すがた</t>
    </rPh>
    <rPh sb="194" eb="195">
      <t>み</t>
    </rPh>
    <rPh sb="201" eb="203">
      <t>がくしゅう</t>
    </rPh>
    <rPh sb="205" eb="209">
      <t>せいいっぱいと</t>
    </rPh>
    <rPh sb="210" eb="211">
      <t>く</t>
    </rPh>
    <rPh sb="218" eb="220">
      <t>かんしん</t>
    </rPh>
    <rPh sb="224" eb="226">
      <t>いっぽう</t>
    </rPh>
    <rPh sb="228" eb="231">
      <t>せいかつか</t>
    </rPh>
    <rPh sb="237" eb="239">
      <t>かんさつ</t>
    </rPh>
    <rPh sb="242" eb="243">
      <t>え</t>
    </rPh>
    <rPh sb="244" eb="246">
      <t>ぶんしょう</t>
    </rPh>
    <rPh sb="247" eb="248">
      <t>おも</t>
    </rPh>
    <rPh sb="261" eb="263">
      <t>ようす</t>
    </rPh>
    <rPh sb="264" eb="265">
      <t>み</t>
    </rPh>
    <rPh sb="271" eb="273">
      <t>じつぶつ</t>
    </rPh>
    <rPh sb="274" eb="275">
      <t>み</t>
    </rPh>
    <rPh sb="276" eb="277">
      <t>えが</t>
    </rPh>
    <rPh sb="281" eb="283">
      <t>そうぞう</t>
    </rPh>
    <rPh sb="293" eb="294">
      <t>えが</t>
    </rPh>
    <rPh sb="305" eb="308">
      <t>せいかつめん</t>
    </rPh>
    <rPh sb="311" eb="312">
      <t>とも</t>
    </rPh>
    <rPh sb="315" eb="316">
      <t>かか</t>
    </rPh>
    <rPh sb="321" eb="322">
      <t>たの</t>
    </rPh>
    <rPh sb="324" eb="325">
      <t>す</t>
    </rPh>
    <rPh sb="328" eb="329">
      <t>やす</t>
    </rPh>
    <rPh sb="330" eb="332">
      <t>じかん</t>
    </rPh>
    <rPh sb="333" eb="336">
      <t>ほうかご</t>
    </rPh>
    <rPh sb="337" eb="339">
      <t>かっぱつ</t>
    </rPh>
    <rPh sb="340" eb="341">
      <t>からだ</t>
    </rPh>
    <rPh sb="342" eb="343">
      <t>うご</t>
    </rPh>
    <rPh sb="346" eb="348">
      <t>かつどう</t>
    </rPh>
    <rPh sb="357" eb="360">
      <t>まじめ</t>
    </rPh>
    <rPh sb="362" eb="363">
      <t>き</t>
    </rPh>
    <rPh sb="366" eb="367">
      <t>まも</t>
    </rPh>
    <rPh sb="372" eb="374">
      <t>きも</t>
    </rPh>
    <rPh sb="376" eb="377">
      <t>つよ</t>
    </rPh>
    <rPh sb="383" eb="385">
      <t>ときどき</t>
    </rPh>
    <rPh sb="392" eb="394">
      <t>げんどう</t>
    </rPh>
    <rPh sb="395" eb="396">
      <t>み</t>
    </rPh>
    <rPh sb="402" eb="404">
      <t>ものごと</t>
    </rPh>
    <rPh sb="405" eb="406">
      <t>お</t>
    </rPh>
    <rPh sb="407" eb="408">
      <t>つ</t>
    </rPh>
    <rPh sb="410" eb="412">
      <t>しゅうちゅう</t>
    </rPh>
    <rPh sb="414" eb="415">
      <t>と</t>
    </rPh>
    <rPh sb="416" eb="417">
      <t>く</t>
    </rPh>
    <rPh sb="428" eb="430">
      <t>がっき</t>
    </rPh>
    <rPh sb="431" eb="433">
      <t>たかし</t>
    </rPh>
    <rPh sb="433" eb="434">
      <t>くん</t>
    </rPh>
    <rPh sb="439" eb="441">
      <t>せいちょう</t>
    </rPh>
    <rPh sb="442" eb="444">
      <t>きたい</t>
    </rPh>
    <phoneticPr fontId="10" type="Hiragana" alignment="distributed"/>
  </si>
  <si>
    <t>いつも明るく元気で、大きな声で挨拶をすることができ、友だちと関わりながら、学校生活を楽しむことができました。授業に積極的に取り組んで、活発に発言できるところが、裕吾君の素晴らしいところです。理解も良く、1学期の学習内容をしっかりと習得し、優秀な成績を収めることができました。全国模試においても素晴らしい結果を残しました。一方で、文字を書く際には、時間がかかったり、字形が整わなかったりすることがあるので、気をつけて丁寧に書けるようにしましょう。また、楽しくなるとテンションが上がりすぎてしまい、周りが見えなくなってしまう様子が見られました。全般的におしゃべりが優先してしまい、やるべきことがおろそかになって、先生や友だちから注意を受けることがありました。今やらなければいけないことをしっかり考えて、落ち着いて行動できると良いでしょう。どんなことにも、わくわくと意欲的に取り組める良さを十分に生かして、課題に精一杯取り組めることを期待しています。2学期の裕吾君のさらなる成長を願っています。</t>
    <rPh sb="3" eb="4">
      <t>あか</t>
    </rPh>
    <rPh sb="6" eb="8">
      <t>げんき</t>
    </rPh>
    <rPh sb="10" eb="11">
      <t>おお</t>
    </rPh>
    <rPh sb="13" eb="14">
      <t>こえ</t>
    </rPh>
    <rPh sb="15" eb="17">
      <t>あいさつ</t>
    </rPh>
    <rPh sb="26" eb="27">
      <t>とも</t>
    </rPh>
    <rPh sb="30" eb="31">
      <t>かか</t>
    </rPh>
    <rPh sb="37" eb="41">
      <t>がっこうせいかつ</t>
    </rPh>
    <rPh sb="42" eb="43">
      <t>たの</t>
    </rPh>
    <rPh sb="67" eb="69">
      <t>かっぱつ</t>
    </rPh>
    <rPh sb="70" eb="72">
      <t>はつげん</t>
    </rPh>
    <rPh sb="84" eb="86">
      <t>すば</t>
    </rPh>
    <rPh sb="95" eb="97">
      <t>りかい</t>
    </rPh>
    <rPh sb="98" eb="99">
      <t>よ</t>
    </rPh>
    <rPh sb="102" eb="104">
      <t>がっき</t>
    </rPh>
    <rPh sb="105" eb="109">
      <t>がくしゅうないよう</t>
    </rPh>
    <rPh sb="115" eb="117">
      <t>しゅうとく</t>
    </rPh>
    <rPh sb="119" eb="121">
      <t>ゆうしゅう</t>
    </rPh>
    <rPh sb="122" eb="124">
      <t>せいせき</t>
    </rPh>
    <rPh sb="125" eb="126">
      <t>おさ</t>
    </rPh>
    <rPh sb="137" eb="141">
      <t>ぜんこくもし</t>
    </rPh>
    <rPh sb="146" eb="148">
      <t>すば</t>
    </rPh>
    <rPh sb="151" eb="153">
      <t>けっか</t>
    </rPh>
    <rPh sb="154" eb="155">
      <t>のこ</t>
    </rPh>
    <rPh sb="160" eb="162">
      <t>いっぽう</t>
    </rPh>
    <rPh sb="164" eb="166">
      <t>もじ</t>
    </rPh>
    <rPh sb="167" eb="168">
      <t>か</t>
    </rPh>
    <rPh sb="169" eb="170">
      <t>さい</t>
    </rPh>
    <rPh sb="173" eb="175">
      <t>じかん</t>
    </rPh>
    <rPh sb="182" eb="184">
      <t>じけい</t>
    </rPh>
    <rPh sb="185" eb="186">
      <t>ととの</t>
    </rPh>
    <rPh sb="202" eb="203">
      <t>き</t>
    </rPh>
    <rPh sb="207" eb="209">
      <t>ていねい</t>
    </rPh>
    <rPh sb="210" eb="211">
      <t>か</t>
    </rPh>
    <rPh sb="225" eb="226">
      <t>たの</t>
    </rPh>
    <rPh sb="237" eb="238">
      <t>あ</t>
    </rPh>
    <rPh sb="247" eb="248">
      <t>まわ</t>
    </rPh>
    <rPh sb="250" eb="251">
      <t>み</t>
    </rPh>
    <rPh sb="260" eb="262">
      <t>ようす</t>
    </rPh>
    <rPh sb="263" eb="264">
      <t>み</t>
    </rPh>
    <rPh sb="270" eb="273">
      <t>ぜんぱんてき</t>
    </rPh>
    <rPh sb="280" eb="282">
      <t>ゆうせん</t>
    </rPh>
    <rPh sb="304" eb="306">
      <t>せんせい</t>
    </rPh>
    <rPh sb="307" eb="308">
      <t>とも</t>
    </rPh>
    <rPh sb="312" eb="314">
      <t>ちゅうい</t>
    </rPh>
    <rPh sb="315" eb="316">
      <t>う</t>
    </rPh>
    <rPh sb="380" eb="383">
      <t>いよくてき</t>
    </rPh>
    <rPh sb="384" eb="385">
      <t>と</t>
    </rPh>
    <rPh sb="386" eb="387">
      <t>く</t>
    </rPh>
    <rPh sb="389" eb="390">
      <t>よ</t>
    </rPh>
    <rPh sb="392" eb="394">
      <t>じゅうぶん</t>
    </rPh>
    <rPh sb="395" eb="396">
      <t>い</t>
    </rPh>
    <rPh sb="400" eb="402">
      <t>かだい</t>
    </rPh>
    <rPh sb="403" eb="406">
      <t>せいいっぱい</t>
    </rPh>
    <rPh sb="406" eb="407">
      <t>と</t>
    </rPh>
    <rPh sb="408" eb="409">
      <t>く</t>
    </rPh>
    <rPh sb="414" eb="416">
      <t>きたい</t>
    </rPh>
    <rPh sb="423" eb="425">
      <t>がっき</t>
    </rPh>
    <rPh sb="426" eb="427">
      <t>ゆう</t>
    </rPh>
    <rPh sb="427" eb="428">
      <t>ご</t>
    </rPh>
    <rPh sb="428" eb="429">
      <t>くん</t>
    </rPh>
    <rPh sb="434" eb="436">
      <t>せいちょう</t>
    </rPh>
    <rPh sb="437" eb="438">
      <t>ねが</t>
    </rPh>
    <phoneticPr fontId="10" type="Hiragana" alignment="distributed"/>
  </si>
  <si>
    <t>いつも明るく、大きな声で挨拶できるところが朱里さんの素晴らしいところです。時刻係としてみんなに声をかけたり、当番の仕事で、朝の会や帰りの会をスムーズに進めたりすることができました。友だちと関わりながら、元気いっぱい学校生活を送ることができ、1学期を通じて一日も休まず登校することができました。学習面では、授業に真面目に取り組んでいて、積極的に発言できるところが素晴らしいです。基礎的な内容や計算などにおいては、間違いが少なくしっかりと答えることができました。英語の習得も素晴らしく、的確に答えることができました。一方で、話を聞くときに集中力に欠けてしまい、やるべきことが遅くなったりできなかったりすることがあります。課題に対して、じっくりと考えることができず、何を書いていいのか分からない様子も見られました。もう少し物事に集中できるとよいでしょう。着替えや片付けが遅くなってしまうこともあるので、手先を使った作業が素早くできるように、日々の生活から努力を重ねましょう。２学期の朱里さんのさらなる成長を期待しています。</t>
    <rPh sb="3" eb="4">
      <t>あか</t>
    </rPh>
    <rPh sb="7" eb="8">
      <t>おお</t>
    </rPh>
    <rPh sb="10" eb="11">
      <t>こえ</t>
    </rPh>
    <rPh sb="12" eb="14">
      <t>あいさつ</t>
    </rPh>
    <rPh sb="21" eb="23">
      <t>あかり</t>
    </rPh>
    <rPh sb="26" eb="28">
      <t>すば</t>
    </rPh>
    <rPh sb="37" eb="39">
      <t>じこく</t>
    </rPh>
    <rPh sb="39" eb="40">
      <t>かか</t>
    </rPh>
    <rPh sb="47" eb="48">
      <t>こえ</t>
    </rPh>
    <rPh sb="54" eb="56">
      <t>とうばん</t>
    </rPh>
    <rPh sb="57" eb="59">
      <t>しごと</t>
    </rPh>
    <rPh sb="61" eb="62">
      <t>あさ</t>
    </rPh>
    <rPh sb="63" eb="64">
      <t>かい</t>
    </rPh>
    <rPh sb="65" eb="66">
      <t>かえ</t>
    </rPh>
    <rPh sb="68" eb="69">
      <t>かい</t>
    </rPh>
    <rPh sb="75" eb="76">
      <t>すす</t>
    </rPh>
    <rPh sb="90" eb="91">
      <t>とも</t>
    </rPh>
    <rPh sb="94" eb="95">
      <t>かか</t>
    </rPh>
    <rPh sb="101" eb="103">
      <t>げんき</t>
    </rPh>
    <rPh sb="107" eb="111">
      <t>がっこうせいかつ</t>
    </rPh>
    <rPh sb="112" eb="113">
      <t>おく</t>
    </rPh>
    <rPh sb="121" eb="123">
      <t>がっき</t>
    </rPh>
    <rPh sb="124" eb="125">
      <t>つう</t>
    </rPh>
    <rPh sb="127" eb="129">
      <t>いちにち</t>
    </rPh>
    <rPh sb="130" eb="131">
      <t>やす</t>
    </rPh>
    <rPh sb="133" eb="135">
      <t>とうこう</t>
    </rPh>
    <rPh sb="146" eb="149">
      <t>がくしゅうめん</t>
    </rPh>
    <rPh sb="152" eb="154">
      <t>じゅぎょう</t>
    </rPh>
    <rPh sb="155" eb="158">
      <t>まじめ</t>
    </rPh>
    <rPh sb="159" eb="160">
      <t>と</t>
    </rPh>
    <rPh sb="161" eb="162">
      <t>く</t>
    </rPh>
    <rPh sb="167" eb="170">
      <t>せっきょくてき</t>
    </rPh>
    <rPh sb="171" eb="173">
      <t>はつげん</t>
    </rPh>
    <rPh sb="180" eb="182">
      <t>すば</t>
    </rPh>
    <rPh sb="188" eb="191">
      <t>きそてき</t>
    </rPh>
    <rPh sb="192" eb="194">
      <t>ないよう</t>
    </rPh>
    <rPh sb="195" eb="197">
      <t>けいさん</t>
    </rPh>
    <rPh sb="205" eb="207">
      <t>まちが</t>
    </rPh>
    <rPh sb="209" eb="210">
      <t>すく</t>
    </rPh>
    <rPh sb="217" eb="218">
      <t>こた</t>
    </rPh>
    <rPh sb="229" eb="231">
      <t>えいご</t>
    </rPh>
    <rPh sb="232" eb="234">
      <t>しゅうとく</t>
    </rPh>
    <rPh sb="235" eb="237">
      <t>すば</t>
    </rPh>
    <rPh sb="241" eb="243">
      <t>てきかく</t>
    </rPh>
    <rPh sb="244" eb="245">
      <t>こた</t>
    </rPh>
    <rPh sb="256" eb="258">
      <t>いっぽう</t>
    </rPh>
    <rPh sb="260" eb="261">
      <t>はなし</t>
    </rPh>
    <rPh sb="262" eb="263">
      <t>き</t>
    </rPh>
    <rPh sb="267" eb="270">
      <t>しゅうちゅうりょく</t>
    </rPh>
    <rPh sb="271" eb="272">
      <t>か</t>
    </rPh>
    <rPh sb="285" eb="286">
      <t>おそ</t>
    </rPh>
    <rPh sb="308" eb="310">
      <t>かだい</t>
    </rPh>
    <rPh sb="311" eb="312">
      <t>たい</t>
    </rPh>
    <rPh sb="320" eb="321">
      <t>かんが</t>
    </rPh>
    <rPh sb="330" eb="331">
      <t>なに</t>
    </rPh>
    <rPh sb="332" eb="333">
      <t>か</t>
    </rPh>
    <rPh sb="339" eb="340">
      <t>わ</t>
    </rPh>
    <rPh sb="344" eb="346">
      <t>ようす</t>
    </rPh>
    <rPh sb="347" eb="348">
      <t>み</t>
    </rPh>
    <rPh sb="356" eb="357">
      <t>すこ</t>
    </rPh>
    <rPh sb="358" eb="360">
      <t>ものごと</t>
    </rPh>
    <rPh sb="361" eb="363">
      <t>しゅうちゅう</t>
    </rPh>
    <rPh sb="374" eb="376">
      <t>きが</t>
    </rPh>
    <rPh sb="378" eb="380">
      <t>かたづ</t>
    </rPh>
    <rPh sb="382" eb="383">
      <t>おそ</t>
    </rPh>
    <rPh sb="398" eb="400">
      <t>てさき</t>
    </rPh>
    <rPh sb="401" eb="402">
      <t>つか</t>
    </rPh>
    <rPh sb="404" eb="406">
      <t>さぎょう</t>
    </rPh>
    <rPh sb="407" eb="409">
      <t>すばや</t>
    </rPh>
    <rPh sb="417" eb="419">
      <t>ひび</t>
    </rPh>
    <rPh sb="420" eb="422">
      <t>せいかつ</t>
    </rPh>
    <rPh sb="424" eb="426">
      <t>どりょく</t>
    </rPh>
    <rPh sb="427" eb="428">
      <t>かさ</t>
    </rPh>
    <rPh sb="435" eb="437">
      <t>がっき</t>
    </rPh>
    <rPh sb="438" eb="440">
      <t>あかり</t>
    </rPh>
    <rPh sb="447" eb="449">
      <t>せいちょう</t>
    </rPh>
    <rPh sb="450" eb="452">
      <t>きたい</t>
    </rPh>
    <phoneticPr fontId="10" type="Hiragana" alignment="distributed"/>
  </si>
  <si>
    <t>どんなことにも真面目に一生懸命取り組むことができ、あらゆる面において優秀な成績を収めることができました。学習面では、平仮名を丁寧に正しく書き、紘葉さんのノートやワークシートはみんなの模範となりました。授業中の発言も活発で、的確です。算数の計算に意欲的に取り組んで、素早く確実に答えることができました。文章題も正しく立式して、答えを導き出すことができました。英語のアルファベットや単語も確実に覚え、会話をスムーズに行うことができ、感心しました。音楽や体育、図工といった実技教科にも懸命に取り組んでいます。体育祭のかけっこでは、学年で一位という成績で表彰され、素晴らしかったです。応援練習にも意欲的に取り組むことができました。友だちとの関係も良好で、誰とでも仲良くできるところが、紘葉さんの素晴らしいところです。体育係として、責任感を持って仕事を行ったり、朝の会や帰りの会で、みんなに良い声掛けをしたりすることもできました。2学期も、リーダーシップを発揮して活躍することを期待しています。</t>
    <rPh sb="7" eb="10">
      <t>まじめ</t>
    </rPh>
    <rPh sb="11" eb="15">
      <t>いっしょうけんめい</t>
    </rPh>
    <rPh sb="15" eb="16">
      <t>と</t>
    </rPh>
    <rPh sb="17" eb="18">
      <t>く</t>
    </rPh>
    <rPh sb="29" eb="30">
      <t>めん</t>
    </rPh>
    <rPh sb="34" eb="36">
      <t>ゆうしゅう</t>
    </rPh>
    <rPh sb="37" eb="39">
      <t>せいせき</t>
    </rPh>
    <rPh sb="40" eb="41">
      <t>おさ</t>
    </rPh>
    <rPh sb="52" eb="55">
      <t>がくしゅうめん</t>
    </rPh>
    <rPh sb="58" eb="61">
      <t>ひらがな</t>
    </rPh>
    <rPh sb="62" eb="64">
      <t>ていねい</t>
    </rPh>
    <rPh sb="65" eb="66">
      <t>ただ</t>
    </rPh>
    <rPh sb="68" eb="69">
      <t>か</t>
    </rPh>
    <rPh sb="71" eb="72">
      <t>こう</t>
    </rPh>
    <rPh sb="72" eb="73">
      <t>は</t>
    </rPh>
    <rPh sb="91" eb="93">
      <t>もはん</t>
    </rPh>
    <rPh sb="100" eb="103">
      <t>じゅぎょうちゅう</t>
    </rPh>
    <rPh sb="104" eb="106">
      <t>はつげん</t>
    </rPh>
    <rPh sb="107" eb="109">
      <t>かっぱつ</t>
    </rPh>
    <rPh sb="111" eb="113">
      <t>てきかく</t>
    </rPh>
    <rPh sb="116" eb="118">
      <t>さんすう</t>
    </rPh>
    <rPh sb="119" eb="121">
      <t>けいさん</t>
    </rPh>
    <rPh sb="122" eb="125">
      <t>いよくてき</t>
    </rPh>
    <rPh sb="126" eb="127">
      <t>と</t>
    </rPh>
    <rPh sb="128" eb="129">
      <t>く</t>
    </rPh>
    <rPh sb="132" eb="134">
      <t>すばや</t>
    </rPh>
    <rPh sb="135" eb="137">
      <t>かくじつ</t>
    </rPh>
    <rPh sb="138" eb="139">
      <t>こた</t>
    </rPh>
    <rPh sb="150" eb="153">
      <t>ぶんしょうだい</t>
    </rPh>
    <rPh sb="154" eb="155">
      <t>ただ</t>
    </rPh>
    <rPh sb="157" eb="159">
      <t>りっしき</t>
    </rPh>
    <rPh sb="162" eb="163">
      <t>こた</t>
    </rPh>
    <rPh sb="165" eb="166">
      <t>みちび</t>
    </rPh>
    <rPh sb="167" eb="168">
      <t>だ</t>
    </rPh>
    <rPh sb="178" eb="180">
      <t>えいご</t>
    </rPh>
    <rPh sb="189" eb="191">
      <t>たんご</t>
    </rPh>
    <rPh sb="192" eb="194">
      <t>かくじつ</t>
    </rPh>
    <rPh sb="195" eb="196">
      <t>おぼ</t>
    </rPh>
    <rPh sb="198" eb="200">
      <t>かいわ</t>
    </rPh>
    <rPh sb="206" eb="207">
      <t>おこな</t>
    </rPh>
    <rPh sb="214" eb="216">
      <t>かんしん</t>
    </rPh>
    <rPh sb="221" eb="223">
      <t>おんがく</t>
    </rPh>
    <rPh sb="224" eb="226">
      <t>たいいく</t>
    </rPh>
    <rPh sb="227" eb="229">
      <t>ずこう</t>
    </rPh>
    <rPh sb="233" eb="237">
      <t>じつぎきょうか</t>
    </rPh>
    <rPh sb="239" eb="241">
      <t>けんめい</t>
    </rPh>
    <rPh sb="242" eb="243">
      <t>と</t>
    </rPh>
    <rPh sb="244" eb="245">
      <t>く</t>
    </rPh>
    <rPh sb="251" eb="254">
      <t>たいいくさい</t>
    </rPh>
    <rPh sb="262" eb="264">
      <t>がくねん</t>
    </rPh>
    <rPh sb="265" eb="267">
      <t>いちい</t>
    </rPh>
    <rPh sb="270" eb="272">
      <t>せいせき</t>
    </rPh>
    <rPh sb="273" eb="275">
      <t>ひょうしょう</t>
    </rPh>
    <rPh sb="278" eb="280">
      <t>すば</t>
    </rPh>
    <rPh sb="288" eb="290">
      <t>おうえん</t>
    </rPh>
    <rPh sb="290" eb="292">
      <t>れんしゅう</t>
    </rPh>
    <rPh sb="294" eb="297">
      <t>いよくてき</t>
    </rPh>
    <rPh sb="298" eb="299">
      <t>と</t>
    </rPh>
    <rPh sb="300" eb="301">
      <t>く</t>
    </rPh>
    <rPh sb="311" eb="312">
      <t>とも</t>
    </rPh>
    <rPh sb="316" eb="318">
      <t>かんけい</t>
    </rPh>
    <rPh sb="319" eb="321">
      <t>りょうこう</t>
    </rPh>
    <rPh sb="323" eb="324">
      <t>だれ</t>
    </rPh>
    <rPh sb="327" eb="329">
      <t>なかよ</t>
    </rPh>
    <rPh sb="338" eb="339">
      <t>こう</t>
    </rPh>
    <rPh sb="339" eb="340">
      <t>は</t>
    </rPh>
    <rPh sb="343" eb="345">
      <t>すば</t>
    </rPh>
    <rPh sb="354" eb="357">
      <t>たいいくかかり</t>
    </rPh>
    <rPh sb="361" eb="364">
      <t>せきにんかん</t>
    </rPh>
    <rPh sb="365" eb="366">
      <t>も</t>
    </rPh>
    <rPh sb="368" eb="370">
      <t>しごと</t>
    </rPh>
    <rPh sb="371" eb="372">
      <t>おこな</t>
    </rPh>
    <rPh sb="376" eb="377">
      <t>あさ</t>
    </rPh>
    <rPh sb="378" eb="379">
      <t>かい</t>
    </rPh>
    <rPh sb="380" eb="381">
      <t>かえ</t>
    </rPh>
    <rPh sb="383" eb="384">
      <t>かい</t>
    </rPh>
    <rPh sb="390" eb="391">
      <t>よ</t>
    </rPh>
    <rPh sb="392" eb="394">
      <t>こえが</t>
    </rPh>
    <rPh sb="411" eb="413">
      <t>がっき</t>
    </rPh>
    <rPh sb="423" eb="425">
      <t>はっき</t>
    </rPh>
    <rPh sb="427" eb="429">
      <t>かつやく</t>
    </rPh>
    <rPh sb="434" eb="436">
      <t>きたい</t>
    </rPh>
    <phoneticPr fontId="10" type="Hiragana" alignment="distributed"/>
  </si>
  <si>
    <t>真面目な性格で、授業中は黙々と丁寧に学習に取り組んでいます。入学当初は、発言が消極的でしたが、次第に自信がついてきて、朝の会や帰りの会においても、係からの連絡を意欲的に行うようになりました。絵を描くことが好きで、国語の「うたにあわせてあいうえお」やたし算の本作りなどで、素敵なイラストを加えて、オリジナルの本を作り上げることができました。図工の「あじさいとかたつむり」では、時間いっぱい使って、丁寧に作品を作り上げました。算数では、計算が身について、素早く答えを出せるようになりましたが、文章題の答えを書く際に、単位を書き忘れてしまうことがあったので、気をつけましょう。やるべきことを確実にやろうとするところが祐香子さんの立派なところです。もう少し時間を意識して、計画的に実行できると良いでしょう。友だちとの関係が深まってきて、笑顔で会話をしたり、遊んだりする様子が多く見られるようになりました。2学期も、友だちと切磋琢磨しながら、様々な経験を積み重ねて成長していくことを期待しています。</t>
    <rPh sb="0" eb="3">
      <t>まじめ</t>
    </rPh>
    <rPh sb="4" eb="6">
      <t>せいかく</t>
    </rPh>
    <rPh sb="8" eb="11">
      <t>じゅぎょうちゅう</t>
    </rPh>
    <rPh sb="12" eb="14">
      <t>もくもく</t>
    </rPh>
    <rPh sb="15" eb="17">
      <t>ていねい</t>
    </rPh>
    <rPh sb="18" eb="20">
      <t>がくしゅう</t>
    </rPh>
    <rPh sb="21" eb="22">
      <t>と</t>
    </rPh>
    <rPh sb="23" eb="24">
      <t>く</t>
    </rPh>
    <rPh sb="30" eb="34">
      <t>にゅうがくとうしょ</t>
    </rPh>
    <rPh sb="36" eb="38">
      <t>はつげん</t>
    </rPh>
    <rPh sb="39" eb="42">
      <t>しょうきょくてき</t>
    </rPh>
    <rPh sb="47" eb="49">
      <t>しだい</t>
    </rPh>
    <rPh sb="50" eb="52">
      <t>じしん</t>
    </rPh>
    <rPh sb="59" eb="60">
      <t>あさ</t>
    </rPh>
    <rPh sb="61" eb="62">
      <t>かい</t>
    </rPh>
    <rPh sb="63" eb="64">
      <t>かえ</t>
    </rPh>
    <rPh sb="66" eb="67">
      <t>かい</t>
    </rPh>
    <rPh sb="73" eb="74">
      <t>かかり</t>
    </rPh>
    <rPh sb="77" eb="79">
      <t>れんらく</t>
    </rPh>
    <rPh sb="80" eb="83">
      <t>いよくてき</t>
    </rPh>
    <rPh sb="84" eb="85">
      <t>おこな</t>
    </rPh>
    <rPh sb="95" eb="96">
      <t>え</t>
    </rPh>
    <rPh sb="97" eb="98">
      <t>えが</t>
    </rPh>
    <rPh sb="102" eb="103">
      <t>す</t>
    </rPh>
    <rPh sb="106" eb="108">
      <t>こくご</t>
    </rPh>
    <rPh sb="126" eb="127">
      <t>ざん</t>
    </rPh>
    <rPh sb="128" eb="129">
      <t>ほん</t>
    </rPh>
    <rPh sb="129" eb="130">
      <t>つく</t>
    </rPh>
    <rPh sb="135" eb="137">
      <t>すてき</t>
    </rPh>
    <rPh sb="143" eb="144">
      <t>くわ</t>
    </rPh>
    <rPh sb="153" eb="154">
      <t>ほん</t>
    </rPh>
    <rPh sb="155" eb="156">
      <t>つく</t>
    </rPh>
    <rPh sb="157" eb="158">
      <t>あ</t>
    </rPh>
    <rPh sb="169" eb="171">
      <t>ずこう</t>
    </rPh>
    <rPh sb="211" eb="213">
      <t>さんすう</t>
    </rPh>
    <rPh sb="216" eb="218">
      <t>けいさん</t>
    </rPh>
    <rPh sb="219" eb="220">
      <t>み</t>
    </rPh>
    <rPh sb="225" eb="227">
      <t>すばや</t>
    </rPh>
    <rPh sb="228" eb="229">
      <t>こた</t>
    </rPh>
    <rPh sb="231" eb="232">
      <t>だ</t>
    </rPh>
    <rPh sb="244" eb="247">
      <t>ぶんしょうだい</t>
    </rPh>
    <rPh sb="248" eb="249">
      <t>こた</t>
    </rPh>
    <rPh sb="251" eb="252">
      <t>か</t>
    </rPh>
    <rPh sb="253" eb="254">
      <t>さい</t>
    </rPh>
    <rPh sb="256" eb="258">
      <t>たんい</t>
    </rPh>
    <rPh sb="259" eb="260">
      <t>か</t>
    </rPh>
    <rPh sb="261" eb="262">
      <t>わす</t>
    </rPh>
    <rPh sb="276" eb="277">
      <t>き</t>
    </rPh>
    <rPh sb="292" eb="294">
      <t>かくじつ</t>
    </rPh>
    <rPh sb="311" eb="313">
      <t>りっぱ</t>
    </rPh>
    <rPh sb="322" eb="323">
      <t>すこ</t>
    </rPh>
    <rPh sb="324" eb="326">
      <t>じかん</t>
    </rPh>
    <rPh sb="327" eb="329">
      <t>いしき</t>
    </rPh>
    <rPh sb="332" eb="335">
      <t>けいかくてき</t>
    </rPh>
    <rPh sb="336" eb="338">
      <t>じっこう</t>
    </rPh>
    <rPh sb="342" eb="343">
      <t>よ</t>
    </rPh>
    <rPh sb="349" eb="350">
      <t>とも</t>
    </rPh>
    <rPh sb="354" eb="356">
      <t>かんけい</t>
    </rPh>
    <rPh sb="357" eb="358">
      <t>ふか</t>
    </rPh>
    <rPh sb="364" eb="366">
      <t>えがお</t>
    </rPh>
    <rPh sb="367" eb="369">
      <t>かいわ</t>
    </rPh>
    <rPh sb="374" eb="375">
      <t>あそ</t>
    </rPh>
    <rPh sb="380" eb="382">
      <t>ようす</t>
    </rPh>
    <rPh sb="383" eb="384">
      <t>おお</t>
    </rPh>
    <rPh sb="385" eb="386">
      <t>み</t>
    </rPh>
    <rPh sb="399" eb="401">
      <t>がっき</t>
    </rPh>
    <rPh sb="403" eb="404">
      <t>とも</t>
    </rPh>
    <rPh sb="407" eb="411">
      <t>せっさたくま</t>
    </rPh>
    <rPh sb="416" eb="418">
      <t>さまざま</t>
    </rPh>
    <rPh sb="419" eb="421">
      <t>けいけん</t>
    </rPh>
    <rPh sb="422" eb="423">
      <t>つ</t>
    </rPh>
    <rPh sb="424" eb="425">
      <t>かさ</t>
    </rPh>
    <rPh sb="427" eb="429">
      <t>せいちょう</t>
    </rPh>
    <rPh sb="436" eb="438">
      <t>きたい</t>
    </rPh>
    <phoneticPr fontId="10" type="Hiragana" alignment="distributed"/>
  </si>
  <si>
    <t>植物や動物についての知識が豊富で、得意な分野の学習になると、発言が積極的で的確です。休み時間にも、様々な知識について、教師や友だちに楽しそうに話す様子が多く見られました。国語では、音読を大きな声ではっきりと行うことができ、初見の文章もすらすらと読むことができました。読解力にも優れています。算数の全国模試では、満点という素晴らしい成績を収めました。図工や表現活動には、意欲的に取り組むことができました。一方で、話や指示を聞く時には集中しておらず、活動が遅れたり、できていなかったりする様子が見られます。自分の思い通りにできないと、ふてくされてしまったり、泣き出したりしてしまうことがありました。テストを行っても、理解しているにも関わらず、所々にうっかりとした間違いが見られました。課題に集中して真剣に取り組めると、間違いも少なくなるでしょう。まずは、姿勢や整理整頓といった身の周りのことを凡事徹底し、学習に落ち着いて取り組みましょう。2学期の紘風君のさらなる成長を期待しています。</t>
    <rPh sb="0" eb="2">
      <t>しょくぶつ</t>
    </rPh>
    <rPh sb="3" eb="5">
      <t>どうぶつ</t>
    </rPh>
    <rPh sb="10" eb="12">
      <t>ちしき</t>
    </rPh>
    <rPh sb="13" eb="15">
      <t>ほうふ</t>
    </rPh>
    <rPh sb="17" eb="19">
      <t>とくい</t>
    </rPh>
    <rPh sb="20" eb="22">
      <t>ぶんや</t>
    </rPh>
    <rPh sb="23" eb="25">
      <t>がくしゅう</t>
    </rPh>
    <rPh sb="30" eb="32">
      <t>はつげん</t>
    </rPh>
    <rPh sb="33" eb="36">
      <t>せっきょくてき</t>
    </rPh>
    <rPh sb="37" eb="39">
      <t>てきかく</t>
    </rPh>
    <rPh sb="42" eb="43">
      <t>やす</t>
    </rPh>
    <rPh sb="44" eb="46">
      <t>じかん</t>
    </rPh>
    <rPh sb="49" eb="51">
      <t>さまざま</t>
    </rPh>
    <rPh sb="52" eb="54">
      <t>ちしき</t>
    </rPh>
    <rPh sb="59" eb="61">
      <t>きょうし</t>
    </rPh>
    <rPh sb="62" eb="63">
      <t>とも</t>
    </rPh>
    <rPh sb="66" eb="67">
      <t>たの</t>
    </rPh>
    <rPh sb="71" eb="72">
      <t>はな</t>
    </rPh>
    <rPh sb="73" eb="75">
      <t>ようす</t>
    </rPh>
    <rPh sb="76" eb="77">
      <t>おお</t>
    </rPh>
    <rPh sb="78" eb="79">
      <t>み</t>
    </rPh>
    <rPh sb="85" eb="87">
      <t>こくご</t>
    </rPh>
    <rPh sb="90" eb="92">
      <t>おんどく</t>
    </rPh>
    <rPh sb="93" eb="94">
      <t>おお</t>
    </rPh>
    <rPh sb="96" eb="97">
      <t>こえ</t>
    </rPh>
    <rPh sb="103" eb="104">
      <t>おこな</t>
    </rPh>
    <rPh sb="111" eb="113">
      <t>しょけん</t>
    </rPh>
    <rPh sb="114" eb="116">
      <t>ぶんしょう</t>
    </rPh>
    <rPh sb="122" eb="123">
      <t>よ</t>
    </rPh>
    <rPh sb="133" eb="136">
      <t>どっかいりょく</t>
    </rPh>
    <rPh sb="138" eb="139">
      <t>すぐ</t>
    </rPh>
    <rPh sb="145" eb="147">
      <t>さんすう</t>
    </rPh>
    <rPh sb="148" eb="152">
      <t>ぜんこくもし</t>
    </rPh>
    <rPh sb="155" eb="157">
      <t>まんてん</t>
    </rPh>
    <rPh sb="160" eb="162">
      <t>すば</t>
    </rPh>
    <rPh sb="165" eb="167">
      <t>せいせき</t>
    </rPh>
    <rPh sb="168" eb="169">
      <t>おさ</t>
    </rPh>
    <rPh sb="174" eb="176">
      <t>ずこう</t>
    </rPh>
    <rPh sb="177" eb="181">
      <t>ひょうげんかつどう</t>
    </rPh>
    <rPh sb="184" eb="187">
      <t>いよくてき</t>
    </rPh>
    <rPh sb="188" eb="189">
      <t>と</t>
    </rPh>
    <rPh sb="190" eb="191">
      <t>く</t>
    </rPh>
    <rPh sb="201" eb="203">
      <t>いっぽう</t>
    </rPh>
    <rPh sb="205" eb="206">
      <t>はなし</t>
    </rPh>
    <rPh sb="207" eb="209">
      <t>しじ</t>
    </rPh>
    <rPh sb="210" eb="211">
      <t>き</t>
    </rPh>
    <rPh sb="212" eb="213">
      <t>とき</t>
    </rPh>
    <rPh sb="215" eb="217">
      <t>しゅうちゅう</t>
    </rPh>
    <rPh sb="223" eb="225">
      <t>かつどう</t>
    </rPh>
    <rPh sb="226" eb="227">
      <t>おく</t>
    </rPh>
    <rPh sb="242" eb="244">
      <t>ようす</t>
    </rPh>
    <rPh sb="245" eb="246">
      <t>み</t>
    </rPh>
    <rPh sb="251" eb="253">
      <t>じぶん</t>
    </rPh>
    <rPh sb="254" eb="255">
      <t>おも</t>
    </rPh>
    <rPh sb="256" eb="257">
      <t>どお</t>
    </rPh>
    <rPh sb="277" eb="278">
      <t>な</t>
    </rPh>
    <rPh sb="279" eb="280">
      <t>だ</t>
    </rPh>
    <rPh sb="301" eb="302">
      <t>おこな</t>
    </rPh>
    <rPh sb="306" eb="308">
      <t>りかい</t>
    </rPh>
    <rPh sb="314" eb="315">
      <t>かか</t>
    </rPh>
    <rPh sb="319" eb="321">
      <t>ところどころ</t>
    </rPh>
    <rPh sb="329" eb="331">
      <t>まちが</t>
    </rPh>
    <rPh sb="333" eb="334">
      <t>み</t>
    </rPh>
    <rPh sb="340" eb="342">
      <t>かだい</t>
    </rPh>
    <rPh sb="343" eb="345">
      <t>しゅうちゅう</t>
    </rPh>
    <rPh sb="347" eb="349">
      <t>しんけん</t>
    </rPh>
    <rPh sb="350" eb="351">
      <t>と</t>
    </rPh>
    <rPh sb="352" eb="353">
      <t>く</t>
    </rPh>
    <rPh sb="357" eb="359">
      <t>まちが</t>
    </rPh>
    <rPh sb="361" eb="362">
      <t>すく</t>
    </rPh>
    <rPh sb="375" eb="377">
      <t>しせい</t>
    </rPh>
    <rPh sb="378" eb="382">
      <t>せいりせいとん</t>
    </rPh>
    <rPh sb="386" eb="387">
      <t>み</t>
    </rPh>
    <rPh sb="388" eb="389">
      <t>まわ</t>
    </rPh>
    <rPh sb="394" eb="398">
      <t>ぼんじてってい</t>
    </rPh>
    <rPh sb="400" eb="402">
      <t>がくしゅう</t>
    </rPh>
    <rPh sb="403" eb="404">
      <t>お</t>
    </rPh>
    <rPh sb="405" eb="406">
      <t>つ</t>
    </rPh>
    <rPh sb="408" eb="409">
      <t>と</t>
    </rPh>
    <rPh sb="410" eb="411">
      <t>く</t>
    </rPh>
    <rPh sb="418" eb="420">
      <t>がっき</t>
    </rPh>
    <rPh sb="421" eb="422">
      <t>こう</t>
    </rPh>
    <rPh sb="422" eb="423">
      <t>かぜ</t>
    </rPh>
    <rPh sb="423" eb="424">
      <t>くん</t>
    </rPh>
    <rPh sb="429" eb="431">
      <t>せいちょう</t>
    </rPh>
    <rPh sb="432" eb="434">
      <t>きたい</t>
    </rPh>
    <phoneticPr fontId="10" type="Hiragana" alignment="distributed"/>
  </si>
  <si>
    <t>出席停止２（ウイルス性結膜炎による出席停止２）欠席２（風邪１、歯科通院１）遅刻２（腹痛１、咳１）</t>
    <rPh sb="0" eb="4">
      <t>シュッセキテイシ</t>
    </rPh>
    <rPh sb="10" eb="11">
      <t>セイ</t>
    </rPh>
    <rPh sb="11" eb="14">
      <t>ケツマクエン</t>
    </rPh>
    <rPh sb="17" eb="21">
      <t>シュッセキテイシ</t>
    </rPh>
    <rPh sb="23" eb="25">
      <t>ケッセキ</t>
    </rPh>
    <rPh sb="27" eb="29">
      <t>カゼ</t>
    </rPh>
    <rPh sb="31" eb="35">
      <t>シカツウイン</t>
    </rPh>
    <rPh sb="37" eb="39">
      <t>チコク</t>
    </rPh>
    <rPh sb="41" eb="43">
      <t>フクツウ</t>
    </rPh>
    <rPh sb="45" eb="46">
      <t>セキ</t>
    </rPh>
    <phoneticPr fontId="1"/>
  </si>
  <si>
    <t>出席停止２（コロナ対策のため２）</t>
    <rPh sb="0" eb="4">
      <t>シュッセキテイシ</t>
    </rPh>
    <rPh sb="9" eb="11">
      <t>タイサク</t>
    </rPh>
    <phoneticPr fontId="1"/>
  </si>
  <si>
    <t>欠席２（風邪２）</t>
    <rPh sb="4" eb="6">
      <t>カゼ</t>
    </rPh>
    <phoneticPr fontId="1"/>
  </si>
  <si>
    <t>毎朝早く、同じ時間に決まり良く登校し、やるべきことを素早く行って、余裕を持って生活することができました。いつも明るく、友だちとたくさん会話をしながら、楽しく学校生活を過ごすことができました。プリント係として、お昼休みには必ず職員室にプリントを取りに行き、責任感を持って仕事を行うことができ、感心しました。学習面では、算数が好きで、積極的に計算問題に取り組み、いち早くノートを使い終えるほど頑張りました。全国模試の結果も素晴らしかったです。ひき算の文章題では、立式に戸惑うことがあったので、問題文をよく読んで答えられるようにしましょう。図工ではユニークな発想が多く見られ、国語のワークシートや先達に学ぶ発表会のノートは、オリジナルのイラストを加えてきれいにまとめることができました。授業中は姿勢を正して話を聞き、活発に発言しています。時々、おしゃべりをしてしまうことがあったので、授業のルールを守ることを心がけましょう。2学期の景都君のさらなる成長を期待しています。</t>
    <rPh sb="0" eb="2">
      <t>まいあさ</t>
    </rPh>
    <rPh sb="2" eb="3">
      <t>はや</t>
    </rPh>
    <rPh sb="5" eb="6">
      <t>おな</t>
    </rPh>
    <rPh sb="7" eb="9">
      <t>じかん</t>
    </rPh>
    <rPh sb="10" eb="11">
      <t>き</t>
    </rPh>
    <rPh sb="13" eb="14">
      <t>よ</t>
    </rPh>
    <rPh sb="15" eb="17">
      <t>とうこう</t>
    </rPh>
    <rPh sb="26" eb="28">
      <t>すばや</t>
    </rPh>
    <rPh sb="29" eb="30">
      <t>おこな</t>
    </rPh>
    <rPh sb="33" eb="35">
      <t>よゆう</t>
    </rPh>
    <rPh sb="36" eb="37">
      <t>も</t>
    </rPh>
    <rPh sb="39" eb="41">
      <t>せいかつ</t>
    </rPh>
    <rPh sb="55" eb="56">
      <t>あか</t>
    </rPh>
    <rPh sb="99" eb="100">
      <t>かかり</t>
    </rPh>
    <rPh sb="105" eb="107">
      <t>ひるやす</t>
    </rPh>
    <rPh sb="110" eb="111">
      <t>かなら</t>
    </rPh>
    <rPh sb="112" eb="115">
      <t>しょくいんしつ</t>
    </rPh>
    <rPh sb="121" eb="122">
      <t>と</t>
    </rPh>
    <rPh sb="124" eb="125">
      <t>いき</t>
    </rPh>
    <rPh sb="127" eb="130">
      <t>せきにんかん</t>
    </rPh>
    <rPh sb="131" eb="132">
      <t>も</t>
    </rPh>
    <rPh sb="134" eb="136">
      <t>しごと</t>
    </rPh>
    <rPh sb="137" eb="138">
      <t>おこな</t>
    </rPh>
    <rPh sb="145" eb="147">
      <t>かんしん</t>
    </rPh>
    <rPh sb="152" eb="155">
      <t>がくしゅうめん</t>
    </rPh>
    <rPh sb="158" eb="160">
      <t>さんすう</t>
    </rPh>
    <rPh sb="161" eb="162">
      <t>す</t>
    </rPh>
    <rPh sb="165" eb="168">
      <t>せっきょくてき</t>
    </rPh>
    <rPh sb="169" eb="173">
      <t>けいさんもんだい</t>
    </rPh>
    <rPh sb="174" eb="175">
      <t>と</t>
    </rPh>
    <rPh sb="176" eb="177">
      <t>く</t>
    </rPh>
    <rPh sb="181" eb="182">
      <t>はや</t>
    </rPh>
    <rPh sb="187" eb="188">
      <t>つか</t>
    </rPh>
    <rPh sb="189" eb="190">
      <t>お</t>
    </rPh>
    <rPh sb="194" eb="196">
      <t>がんば</t>
    </rPh>
    <rPh sb="201" eb="205">
      <t>ぜんこくもし</t>
    </rPh>
    <rPh sb="206" eb="208">
      <t>けっか</t>
    </rPh>
    <rPh sb="209" eb="211">
      <t>すば</t>
    </rPh>
    <rPh sb="221" eb="222">
      <t>ざん</t>
    </rPh>
    <rPh sb="223" eb="226">
      <t>ぶんしょうだい</t>
    </rPh>
    <rPh sb="229" eb="231">
      <t>りっしき</t>
    </rPh>
    <rPh sb="232" eb="234">
      <t>とまど</t>
    </rPh>
    <rPh sb="244" eb="247">
      <t>もんだいぶん</t>
    </rPh>
    <rPh sb="250" eb="251">
      <t>よ</t>
    </rPh>
    <rPh sb="253" eb="254">
      <t>こた</t>
    </rPh>
    <rPh sb="267" eb="269">
      <t>ずこう</t>
    </rPh>
    <rPh sb="276" eb="278">
      <t>はっそう</t>
    </rPh>
    <rPh sb="279" eb="280">
      <t>おお</t>
    </rPh>
    <rPh sb="281" eb="282">
      <t>み</t>
    </rPh>
    <rPh sb="285" eb="287">
      <t>こくご</t>
    </rPh>
    <rPh sb="295" eb="297">
      <t>せんだつ</t>
    </rPh>
    <rPh sb="298" eb="299">
      <t>まな</t>
    </rPh>
    <rPh sb="300" eb="303">
      <t>はっぴょうかい</t>
    </rPh>
    <rPh sb="320" eb="321">
      <t>くわ</t>
    </rPh>
    <rPh sb="340" eb="343">
      <t>じゅぎょうちゅう</t>
    </rPh>
    <rPh sb="344" eb="346">
      <t>しせい</t>
    </rPh>
    <rPh sb="347" eb="348">
      <t>ただ</t>
    </rPh>
    <rPh sb="350" eb="351">
      <t>はなし</t>
    </rPh>
    <rPh sb="352" eb="353">
      <t>き</t>
    </rPh>
    <rPh sb="355" eb="357">
      <t>かっぱつ</t>
    </rPh>
    <rPh sb="358" eb="360">
      <t>はつげん</t>
    </rPh>
    <rPh sb="366" eb="368">
      <t>ときどき</t>
    </rPh>
    <rPh sb="389" eb="391">
      <t>じゅぎょう</t>
    </rPh>
    <rPh sb="396" eb="397">
      <t>まも</t>
    </rPh>
    <rPh sb="401" eb="402">
      <t>こころ</t>
    </rPh>
    <rPh sb="410" eb="412">
      <t>がっき</t>
    </rPh>
    <rPh sb="413" eb="414">
      <t>けい</t>
    </rPh>
    <rPh sb="414" eb="415">
      <t>みやこ</t>
    </rPh>
    <rPh sb="415" eb="416">
      <t>くん</t>
    </rPh>
    <rPh sb="421" eb="423">
      <t>せいちょう</t>
    </rPh>
    <rPh sb="424" eb="426">
      <t>きたい</t>
    </rPh>
    <phoneticPr fontId="10" type="Hiragana" alignment="distributed"/>
  </si>
  <si>
    <t>とても明るく元気で、友だちと関わりながら、学校生活を楽しむことができました。おしゃべりが好きで、休み時間になると、たくさんの友だちと会話を楽しんでいました。体育祭やあらゆる活動に、積極的に取り組むことができました。絵を描くことが好きで、国語のワークシートや先達に学ぶ発表会のノートは、陽貴君のオリジナルのイラストを加えて、きれいにまとめることができました。図工の作品においても、手先が起用で活動量も多く、様々な工夫が見られ、素敵な作品を作り上げることができました。学習を進めるテンポが速く、課題を素早く達成することができて感心します。一方で、じっくりと取り組めず、それによる間違いが見られることがあります。授業中は姿勢が崩れたり、おしゃべりをしてしまったりして、集中力に欠けてしまうことがあるので、気をつけましょう。友だちとは仲良く過ごしていますが、時々口調が強くなってしまうことがあるので、優しく接することができるようにしましょう。2学期も、様々なことに懸命に取り組んで、さらに成長できることを期待しています。</t>
    <rPh sb="3" eb="4">
      <t>あか</t>
    </rPh>
    <rPh sb="6" eb="8">
      <t>げんき</t>
    </rPh>
    <rPh sb="10" eb="11">
      <t>とも</t>
    </rPh>
    <rPh sb="14" eb="15">
      <t>かか</t>
    </rPh>
    <rPh sb="21" eb="25">
      <t>がっこうせいかつ</t>
    </rPh>
    <rPh sb="26" eb="27">
      <t>たの</t>
    </rPh>
    <rPh sb="44" eb="45">
      <t>す</t>
    </rPh>
    <rPh sb="48" eb="49">
      <t>やす</t>
    </rPh>
    <rPh sb="50" eb="52">
      <t>じかん</t>
    </rPh>
    <rPh sb="62" eb="63">
      <t>とも</t>
    </rPh>
    <rPh sb="66" eb="68">
      <t>かいわ</t>
    </rPh>
    <rPh sb="69" eb="70">
      <t>たの</t>
    </rPh>
    <rPh sb="78" eb="81">
      <t>たいいくさい</t>
    </rPh>
    <rPh sb="86" eb="88">
      <t>かつどう</t>
    </rPh>
    <rPh sb="90" eb="93">
      <t>せっきょくてき</t>
    </rPh>
    <rPh sb="94" eb="95">
      <t>と</t>
    </rPh>
    <rPh sb="96" eb="97">
      <t>く</t>
    </rPh>
    <rPh sb="107" eb="108">
      <t>え</t>
    </rPh>
    <rPh sb="109" eb="110">
      <t>か</t>
    </rPh>
    <rPh sb="114" eb="115">
      <t>す</t>
    </rPh>
    <rPh sb="118" eb="120">
      <t>こくご</t>
    </rPh>
    <rPh sb="128" eb="130">
      <t>せんだつ</t>
    </rPh>
    <rPh sb="131" eb="132">
      <t>まな</t>
    </rPh>
    <rPh sb="133" eb="136">
      <t>はっぴょうかい</t>
    </rPh>
    <rPh sb="142" eb="143">
      <t>よう</t>
    </rPh>
    <rPh sb="143" eb="144">
      <t>き</t>
    </rPh>
    <rPh sb="157" eb="158">
      <t>くわ</t>
    </rPh>
    <rPh sb="178" eb="180">
      <t>ずこう</t>
    </rPh>
    <rPh sb="181" eb="183">
      <t>さくひん</t>
    </rPh>
    <rPh sb="189" eb="191">
      <t>てさき</t>
    </rPh>
    <rPh sb="192" eb="194">
      <t>きよう</t>
    </rPh>
    <rPh sb="195" eb="198">
      <t>かつどうりょう</t>
    </rPh>
    <rPh sb="199" eb="200">
      <t>おお</t>
    </rPh>
    <rPh sb="202" eb="204">
      <t>さまざま</t>
    </rPh>
    <rPh sb="205" eb="207">
      <t>くふう</t>
    </rPh>
    <rPh sb="208" eb="209">
      <t>み</t>
    </rPh>
    <rPh sb="212" eb="214">
      <t>すてき</t>
    </rPh>
    <rPh sb="215" eb="217">
      <t>さくひん</t>
    </rPh>
    <rPh sb="218" eb="219">
      <t>つく</t>
    </rPh>
    <rPh sb="220" eb="221">
      <t>あ</t>
    </rPh>
    <rPh sb="232" eb="234">
      <t>がくしゅう</t>
    </rPh>
    <rPh sb="235" eb="236">
      <t>すす</t>
    </rPh>
    <rPh sb="242" eb="243">
      <t>はや</t>
    </rPh>
    <rPh sb="245" eb="247">
      <t>かだい</t>
    </rPh>
    <rPh sb="248" eb="250">
      <t>すばや</t>
    </rPh>
    <rPh sb="251" eb="253">
      <t>たっせい</t>
    </rPh>
    <rPh sb="261" eb="263">
      <t>かんしん</t>
    </rPh>
    <rPh sb="267" eb="269">
      <t>いっぽう</t>
    </rPh>
    <rPh sb="276" eb="277">
      <t>と</t>
    </rPh>
    <rPh sb="278" eb="279">
      <t>く</t>
    </rPh>
    <rPh sb="287" eb="289">
      <t>まちが</t>
    </rPh>
    <rPh sb="291" eb="292">
      <t>み</t>
    </rPh>
    <rPh sb="303" eb="306">
      <t>じゅぎょうちゅう</t>
    </rPh>
    <rPh sb="307" eb="309">
      <t>しせい</t>
    </rPh>
    <rPh sb="310" eb="311">
      <t>くず</t>
    </rPh>
    <rPh sb="331" eb="334">
      <t>しゅうちゅうりょく</t>
    </rPh>
    <rPh sb="335" eb="336">
      <t>か</t>
    </rPh>
    <rPh sb="349" eb="350">
      <t>き</t>
    </rPh>
    <rPh sb="358" eb="359">
      <t>とも</t>
    </rPh>
    <rPh sb="363" eb="365">
      <t>なかよ</t>
    </rPh>
    <rPh sb="366" eb="367">
      <t>す</t>
    </rPh>
    <rPh sb="375" eb="377">
      <t>ときどき</t>
    </rPh>
    <rPh sb="377" eb="379">
      <t>くちょう</t>
    </rPh>
    <rPh sb="380" eb="381">
      <t>つよ</t>
    </rPh>
    <rPh sb="396" eb="397">
      <t>やさ</t>
    </rPh>
    <rPh sb="399" eb="400">
      <t>せっ</t>
    </rPh>
    <rPh sb="418" eb="420">
      <t>がっき</t>
    </rPh>
    <rPh sb="422" eb="424">
      <t>さまざま</t>
    </rPh>
    <rPh sb="428" eb="430">
      <t>けんめい</t>
    </rPh>
    <rPh sb="431" eb="432">
      <t>と</t>
    </rPh>
    <rPh sb="433" eb="434">
      <t>く</t>
    </rPh>
    <rPh sb="440" eb="442">
      <t>せいちょう</t>
    </rPh>
    <rPh sb="448" eb="450">
      <t>きたい</t>
    </rPh>
    <phoneticPr fontId="10" type="Hiragana" alignment="distributed"/>
  </si>
  <si>
    <t>いつも明るく元気で、友だちとの関わりも多く、みんなと楽しく過ごす様子が多く見られます。ムードメーカーで、みんなを楽しませることのできる遙舞君は、誰からも好かれています。大きな声で挨拶や音読をすることができ、素晴らしいです。授業にも真面目に取り組んでいて、頑張ろうとする気持ちが伝わってきます。一方で、言葉での説明をしっかり聞くことができず、やるべきことが理解できなくて、戸惑ってしまうことがあります。また、問題文を自ら読み取ることができずに、何を答えていいのかわからないことがあるようです。自信がなくて、「これでいいですか。」と質問することが多くあります。話を聞いたり文章を読んだりする機会を多く取り入れて、力をつけていくようにしましょう。ひき算では、指を使って計算している様子なので、スムーズに計算できるように、本読み計算や計算問題に繰り返し取り組みましょう。落ち着いてじっくりと取り組めばできることが多いので、学習を積み重ねていけば必ず力が伸びると期待しています。2学期は、もっと自信を持って意欲的になれることを願っています。</t>
    <rPh sb="3" eb="4">
      <t>あか</t>
    </rPh>
    <rPh sb="6" eb="8">
      <t>げんき</t>
    </rPh>
    <rPh sb="10" eb="11">
      <t>とも</t>
    </rPh>
    <rPh sb="15" eb="16">
      <t>かか</t>
    </rPh>
    <rPh sb="19" eb="20">
      <t>おお</t>
    </rPh>
    <rPh sb="26" eb="27">
      <t>たの</t>
    </rPh>
    <rPh sb="29" eb="30">
      <t>す</t>
    </rPh>
    <rPh sb="32" eb="34">
      <t>ようす</t>
    </rPh>
    <rPh sb="35" eb="36">
      <t>おお</t>
    </rPh>
    <rPh sb="37" eb="38">
      <t>み</t>
    </rPh>
    <rPh sb="56" eb="57">
      <t>たの</t>
    </rPh>
    <rPh sb="67" eb="68">
      <t>はる</t>
    </rPh>
    <rPh sb="68" eb="69">
      <t>ま</t>
    </rPh>
    <rPh sb="69" eb="70">
      <t>くん</t>
    </rPh>
    <rPh sb="72" eb="73">
      <t>だれ</t>
    </rPh>
    <rPh sb="76" eb="77">
      <t>す</t>
    </rPh>
    <rPh sb="84" eb="85">
      <t>おお</t>
    </rPh>
    <rPh sb="87" eb="88">
      <t>こえ</t>
    </rPh>
    <rPh sb="89" eb="91">
      <t>あいさつ</t>
    </rPh>
    <rPh sb="92" eb="94">
      <t>おんどく</t>
    </rPh>
    <rPh sb="103" eb="105">
      <t>すば</t>
    </rPh>
    <rPh sb="111" eb="113">
      <t>じゅぎょう</t>
    </rPh>
    <rPh sb="115" eb="118">
      <t>まじめ</t>
    </rPh>
    <rPh sb="119" eb="120">
      <t>と</t>
    </rPh>
    <rPh sb="121" eb="122">
      <t>く</t>
    </rPh>
    <rPh sb="127" eb="129">
      <t>がんば</t>
    </rPh>
    <rPh sb="134" eb="136">
      <t>きも</t>
    </rPh>
    <rPh sb="138" eb="139">
      <t>つた</t>
    </rPh>
    <rPh sb="146" eb="148">
      <t>いっぽう</t>
    </rPh>
    <rPh sb="150" eb="152">
      <t>ことば</t>
    </rPh>
    <rPh sb="154" eb="156">
      <t>せつめい</t>
    </rPh>
    <rPh sb="161" eb="162">
      <t>き</t>
    </rPh>
    <rPh sb="177" eb="179">
      <t>りかい</t>
    </rPh>
    <rPh sb="185" eb="187">
      <t>とまど</t>
    </rPh>
    <rPh sb="203" eb="206">
      <t>もんだいぶん</t>
    </rPh>
    <rPh sb="207" eb="208">
      <t>みずか</t>
    </rPh>
    <rPh sb="209" eb="210">
      <t>よ</t>
    </rPh>
    <rPh sb="211" eb="212">
      <t>と</t>
    </rPh>
    <rPh sb="221" eb="222">
      <t>なに</t>
    </rPh>
    <rPh sb="223" eb="224">
      <t>こた</t>
    </rPh>
    <rPh sb="245" eb="247">
      <t>じしん</t>
    </rPh>
    <rPh sb="264" eb="266">
      <t>しつもん</t>
    </rPh>
    <rPh sb="271" eb="272">
      <t>おお</t>
    </rPh>
    <rPh sb="278" eb="279">
      <t>はなし</t>
    </rPh>
    <rPh sb="280" eb="281">
      <t>き</t>
    </rPh>
    <rPh sb="284" eb="286">
      <t>ぶんしょう</t>
    </rPh>
    <rPh sb="287" eb="288">
      <t>よ</t>
    </rPh>
    <rPh sb="293" eb="295">
      <t>きかい</t>
    </rPh>
    <rPh sb="296" eb="297">
      <t>おお</t>
    </rPh>
    <rPh sb="298" eb="299">
      <t>と</t>
    </rPh>
    <rPh sb="300" eb="301">
      <t>い</t>
    </rPh>
    <rPh sb="304" eb="305">
      <t>ちから</t>
    </rPh>
    <rPh sb="322" eb="323">
      <t>ざん</t>
    </rPh>
    <rPh sb="326" eb="327">
      <t>ゆび</t>
    </rPh>
    <rPh sb="328" eb="329">
      <t>つか</t>
    </rPh>
    <rPh sb="331" eb="333">
      <t>けいさん</t>
    </rPh>
    <rPh sb="337" eb="339">
      <t>ようす</t>
    </rPh>
    <rPh sb="348" eb="350">
      <t>けいさん</t>
    </rPh>
    <rPh sb="357" eb="359">
      <t>ほんよ</t>
    </rPh>
    <rPh sb="360" eb="362">
      <t>けいさん</t>
    </rPh>
    <rPh sb="363" eb="367">
      <t>けいさんもんだい</t>
    </rPh>
    <rPh sb="368" eb="369">
      <t>く</t>
    </rPh>
    <rPh sb="370" eb="371">
      <t>かえ</t>
    </rPh>
    <rPh sb="372" eb="373">
      <t>と</t>
    </rPh>
    <rPh sb="374" eb="375">
      <t>く</t>
    </rPh>
    <rPh sb="402" eb="403">
      <t>おお</t>
    </rPh>
    <rPh sb="407" eb="409">
      <t>がくしゅう</t>
    </rPh>
    <rPh sb="410" eb="411">
      <t>つ</t>
    </rPh>
    <rPh sb="412" eb="413">
      <t>かさ</t>
    </rPh>
    <rPh sb="418" eb="419">
      <t>かなら</t>
    </rPh>
    <rPh sb="420" eb="421">
      <t>ちから</t>
    </rPh>
    <rPh sb="422" eb="423">
      <t>の</t>
    </rPh>
    <rPh sb="426" eb="428">
      <t>きたい</t>
    </rPh>
    <rPh sb="435" eb="437">
      <t>がっき</t>
    </rPh>
    <rPh sb="442" eb="444">
      <t>じしん</t>
    </rPh>
    <rPh sb="445" eb="446">
      <t>も</t>
    </rPh>
    <rPh sb="448" eb="451">
      <t>いよくてき</t>
    </rPh>
    <rPh sb="458" eb="459">
      <t>ねが</t>
    </rPh>
    <phoneticPr fontId="10" type="Hiragana" alignment="distributed"/>
  </si>
  <si>
    <t>1学期を通じて、一日も休まず元気に登校することができました。あらゆる教科で、真面目に一生懸命取り組むことができ、素晴らしかったです。常に文字や絵を丁寧にかくことができて、結子さんのノートやワークシートは、みんなの模範となりました。国語も算数も、1学期の学習内容をしっかりと習得することができ、テストや全国模試では、優秀な成績を収めることができました。国語の「はなのみち」では、くまとりすの会話を想像力豊かに考えました。算数では、計算がスムーズにできるようになりました。文章題では、立式に戸惑うことがあったので、夏休みに復習しておきましょう。発言や発表は積極的で、はっきりとみんなに伝えることができ、給食係として、朝の会や帰りの会では、みんなに良い声掛けができました。少しマイペースなところがあり、着替えや準備に時間がかかってしまうことがあるので、素早くできるように頑張りましょう。正しいことを主張できる強さやリーダー性があるので、2学期もみんなをリードして活躍することを期待しています。</t>
    <rPh sb="1" eb="3">
      <t>がっき</t>
    </rPh>
    <rPh sb="4" eb="5">
      <t>つう</t>
    </rPh>
    <rPh sb="8" eb="10">
      <t>いちにち</t>
    </rPh>
    <rPh sb="11" eb="12">
      <t>やす</t>
    </rPh>
    <rPh sb="14" eb="16">
      <t>げんき</t>
    </rPh>
    <rPh sb="17" eb="19">
      <t>とうこう</t>
    </rPh>
    <rPh sb="34" eb="36">
      <t>きょうか</t>
    </rPh>
    <rPh sb="38" eb="41">
      <t>まじめ</t>
    </rPh>
    <rPh sb="42" eb="46">
      <t>いっしょうけんめい</t>
    </rPh>
    <rPh sb="46" eb="47">
      <t>と</t>
    </rPh>
    <rPh sb="48" eb="49">
      <t>く</t>
    </rPh>
    <rPh sb="56" eb="58">
      <t>すば</t>
    </rPh>
    <rPh sb="66" eb="67">
      <t>つね</t>
    </rPh>
    <rPh sb="68" eb="70">
      <t>もじ</t>
    </rPh>
    <rPh sb="71" eb="72">
      <t>え</t>
    </rPh>
    <rPh sb="73" eb="75">
      <t>ていねい</t>
    </rPh>
    <rPh sb="85" eb="87">
      <t>ゆいこ</t>
    </rPh>
    <rPh sb="106" eb="108">
      <t>もはん</t>
    </rPh>
    <rPh sb="115" eb="117">
      <t>こくご</t>
    </rPh>
    <rPh sb="118" eb="120">
      <t>さんすう</t>
    </rPh>
    <rPh sb="123" eb="125">
      <t>がっき</t>
    </rPh>
    <rPh sb="126" eb="130">
      <t>がくしゅうないよう</t>
    </rPh>
    <rPh sb="136" eb="138">
      <t>しゅうとく</t>
    </rPh>
    <rPh sb="150" eb="154">
      <t>ぜんこくもし</t>
    </rPh>
    <rPh sb="157" eb="159">
      <t>ゆうしゅう</t>
    </rPh>
    <rPh sb="160" eb="162">
      <t>せいせき</t>
    </rPh>
    <rPh sb="163" eb="164">
      <t>おさ</t>
    </rPh>
    <rPh sb="175" eb="177">
      <t>こくご</t>
    </rPh>
    <rPh sb="194" eb="196">
      <t>かいわ</t>
    </rPh>
    <rPh sb="197" eb="201">
      <t>そうぞうりょくゆた</t>
    </rPh>
    <rPh sb="203" eb="204">
      <t>かんが</t>
    </rPh>
    <rPh sb="209" eb="211">
      <t>さんすう</t>
    </rPh>
    <rPh sb="214" eb="216">
      <t>けいさん</t>
    </rPh>
    <rPh sb="234" eb="237">
      <t>ぶんしょうだい</t>
    </rPh>
    <rPh sb="240" eb="242">
      <t>りっしき</t>
    </rPh>
    <rPh sb="243" eb="245">
      <t>とまど</t>
    </rPh>
    <rPh sb="255" eb="257">
      <t>なつやす</t>
    </rPh>
    <rPh sb="259" eb="261">
      <t>ふくしゅう</t>
    </rPh>
    <rPh sb="270" eb="272">
      <t>はつげん</t>
    </rPh>
    <rPh sb="273" eb="275">
      <t>はっぴょう</t>
    </rPh>
    <rPh sb="276" eb="279">
      <t>せっきょくてき</t>
    </rPh>
    <rPh sb="290" eb="291">
      <t>つた</t>
    </rPh>
    <rPh sb="299" eb="302">
      <t>きゅうしょくかかり</t>
    </rPh>
    <rPh sb="306" eb="307">
      <t>あさ</t>
    </rPh>
    <rPh sb="308" eb="309">
      <t>かい</t>
    </rPh>
    <rPh sb="310" eb="311">
      <t>かえ</t>
    </rPh>
    <rPh sb="313" eb="314">
      <t>かい</t>
    </rPh>
    <rPh sb="321" eb="322">
      <t>よ</t>
    </rPh>
    <rPh sb="323" eb="325">
      <t>こえが</t>
    </rPh>
    <rPh sb="333" eb="334">
      <t>すこ</t>
    </rPh>
    <rPh sb="348" eb="350">
      <t>きが</t>
    </rPh>
    <rPh sb="352" eb="354">
      <t>じゅんび</t>
    </rPh>
    <rPh sb="355" eb="357">
      <t>じかん</t>
    </rPh>
    <rPh sb="373" eb="375">
      <t>すばや</t>
    </rPh>
    <rPh sb="382" eb="384">
      <t>がんば</t>
    </rPh>
    <rPh sb="390" eb="391">
      <t>ただ</t>
    </rPh>
    <rPh sb="396" eb="398">
      <t>しゅちょう</t>
    </rPh>
    <rPh sb="401" eb="402">
      <t>つよ</t>
    </rPh>
    <rPh sb="408" eb="409">
      <t>せい</t>
    </rPh>
    <rPh sb="416" eb="418">
      <t>がっき</t>
    </rPh>
    <rPh sb="428" eb="430">
      <t>かつやく</t>
    </rPh>
    <rPh sb="435" eb="437">
      <t>きたい</t>
    </rPh>
    <phoneticPr fontId="10" type="Hiragana" alignment="distributed"/>
  </si>
  <si>
    <t>1学期を通じて、一日も休まず元気に登校することができました。入学当初は緊張が見られたものの、次第に学校に慣れ、友だちとも深く関わって、学校生活を楽しく過ごすことができました。絵を描くことが好きで、国語の「うたにあわせてあいうえお」では、素敵なイラストを加えて、オリジナルの歌の本を作ることができました。算数では、たし算は早く身について、あまり困る様子は見せませんでしたが、ひき算は答えを出すまでに時間がかかり、苦労したようです。夏休みには、繰り返し問題に取り組んで、スムーズに計算できるようになりましょう。じっくり時間をかけて考えれば、正しい答えを導き出すことができるので、学習を積み重ねていけば、必ず力が伸びると期待しています。プリント係として、友だちと協力して、職員室にプリントを取りに行くことができ、朝の会や帰りの会で、積極的にみんなに連絡することもできました。マイペースなところがあり、課題を終えたり、文字を書いたりするのに、時間がかかっているようです。周りに気を取られずに集中し、素早くできるよう努力を重ねましょう。2学期の和香さんのさらなる成長を期待しています。</t>
    <rPh sb="257" eb="259">
      <t>じかん</t>
    </rPh>
    <rPh sb="263" eb="264">
      <t>かんが</t>
    </rPh>
    <rPh sb="268" eb="269">
      <t>ただ</t>
    </rPh>
    <rPh sb="271" eb="272">
      <t>こた</t>
    </rPh>
    <rPh sb="274" eb="275">
      <t>みちび</t>
    </rPh>
    <rPh sb="276" eb="277">
      <t>だ</t>
    </rPh>
    <rPh sb="287" eb="289">
      <t>がくしゅう</t>
    </rPh>
    <rPh sb="290" eb="291">
      <t>つ</t>
    </rPh>
    <rPh sb="292" eb="293">
      <t>かさ</t>
    </rPh>
    <rPh sb="299" eb="300">
      <t>かなら</t>
    </rPh>
    <rPh sb="301" eb="302">
      <t>ちから</t>
    </rPh>
    <rPh sb="303" eb="304">
      <t>の</t>
    </rPh>
    <rPh sb="307" eb="309">
      <t>きたい</t>
    </rPh>
    <rPh sb="324" eb="325">
      <t>とも</t>
    </rPh>
    <rPh sb="328" eb="330">
      <t>きょうりょく</t>
    </rPh>
    <rPh sb="333" eb="336">
      <t>しょくいんしつ</t>
    </rPh>
    <rPh sb="342" eb="343">
      <t>と</t>
    </rPh>
    <rPh sb="345" eb="346">
      <t>い</t>
    </rPh>
    <rPh sb="353" eb="354">
      <t>あさ</t>
    </rPh>
    <rPh sb="355" eb="356">
      <t>かい</t>
    </rPh>
    <rPh sb="357" eb="358">
      <t>かえ</t>
    </rPh>
    <rPh sb="360" eb="361">
      <t>かい</t>
    </rPh>
    <rPh sb="363" eb="366">
      <t>せっきょくてき</t>
    </rPh>
    <rPh sb="371" eb="373">
      <t>れんらく</t>
    </rPh>
    <rPh sb="464" eb="466">
      <t>がっき</t>
    </rPh>
    <phoneticPr fontId="10" type="Hiragana" alignment="distributed"/>
  </si>
  <si>
    <t>１学期を通じて一日も休まず元気に登校することができました。体育祭では、応援を自主的に練習して、いち早く演舞を覚え、本番では、あらゆる競技に精一杯取り組むことができました。どの教科の学習にも、意欲的に一生懸命取り組むことができるところが結さんの素晴らしいところです。様々な教科におけるワークシートや、図工の作品において、完成度の高い課題を仕上げることができました。授業中は集中して話を聞き、積極的に発言することができました。全国模試の算数では、素晴らしい結果を残すことができました。英語の理解度も高く、語彙が豊富ですらすらと会話を行うことができました。物事を行うテンポが早く、結さんの良いところではありますが、焦って行ってやり直すことがあるので、じっくりと丁寧に取り組めると良いでしょう。文字を書く時にも、消しゴムで消して書き直すことが頻繁にあるので、できるだけ消さずに書けるようにしましょう。活動の様々な場面で、友だちに良い声掛けができ、リーダーシップを発揮することができました。2学期も、さらにみんなをリードして、活躍することを期待しています。</t>
    <rPh sb="38" eb="41">
      <t>じしゅてき</t>
    </rPh>
    <rPh sb="42" eb="44">
      <t>れんしゅう</t>
    </rPh>
    <rPh sb="87" eb="89">
      <t>きょうか</t>
    </rPh>
    <rPh sb="90" eb="92">
      <t>がくしゅう</t>
    </rPh>
    <rPh sb="95" eb="98">
      <t>いよくてき</t>
    </rPh>
    <rPh sb="117" eb="118">
      <t>ゆ</t>
    </rPh>
    <rPh sb="121" eb="123">
      <t>すば</t>
    </rPh>
    <rPh sb="132" eb="134">
      <t>さまざま</t>
    </rPh>
    <rPh sb="135" eb="137">
      <t>きょうか</t>
    </rPh>
    <rPh sb="149" eb="151">
      <t>ずこう</t>
    </rPh>
    <rPh sb="152" eb="154">
      <t>さくひん</t>
    </rPh>
    <rPh sb="159" eb="162">
      <t>かんせいど</t>
    </rPh>
    <rPh sb="163" eb="164">
      <t>たか</t>
    </rPh>
    <rPh sb="165" eb="167">
      <t>かだい</t>
    </rPh>
    <rPh sb="168" eb="170">
      <t>しあ</t>
    </rPh>
    <rPh sb="181" eb="184">
      <t>じゅぎょうちゅう</t>
    </rPh>
    <rPh sb="185" eb="187">
      <t>しゅうちゅう</t>
    </rPh>
    <rPh sb="189" eb="190">
      <t>はなし</t>
    </rPh>
    <rPh sb="191" eb="192">
      <t>き</t>
    </rPh>
    <rPh sb="194" eb="197">
      <t>せっきょくてき</t>
    </rPh>
    <rPh sb="198" eb="200">
      <t>はつげん</t>
    </rPh>
    <rPh sb="226" eb="228">
      <t>けっか</t>
    </rPh>
    <rPh sb="229" eb="230">
      <t>のこ</t>
    </rPh>
    <rPh sb="240" eb="242">
      <t>えいご</t>
    </rPh>
    <rPh sb="243" eb="246">
      <t>りかいど</t>
    </rPh>
    <rPh sb="247" eb="248">
      <t>たか</t>
    </rPh>
    <rPh sb="250" eb="252">
      <t>ごい</t>
    </rPh>
    <rPh sb="253" eb="255">
      <t>ほうふ</t>
    </rPh>
    <rPh sb="261" eb="263">
      <t>かいわ</t>
    </rPh>
    <rPh sb="264" eb="265">
      <t>おこな</t>
    </rPh>
    <rPh sb="287" eb="288">
      <t>ゆい</t>
    </rPh>
    <rPh sb="291" eb="292">
      <t>よ</t>
    </rPh>
    <rPh sb="304" eb="305">
      <t>あせ</t>
    </rPh>
    <rPh sb="348" eb="349">
      <t>とき</t>
    </rPh>
    <rPh sb="396" eb="398">
      <t>かつどう</t>
    </rPh>
    <rPh sb="399" eb="401">
      <t>さまざま</t>
    </rPh>
    <rPh sb="402" eb="404">
      <t>ばめん</t>
    </rPh>
    <rPh sb="406" eb="407">
      <t>とも</t>
    </rPh>
    <rPh sb="410" eb="411">
      <t>よ</t>
    </rPh>
    <rPh sb="412" eb="414">
      <t>こえが</t>
    </rPh>
    <rPh sb="427" eb="429">
      <t>はっき</t>
    </rPh>
    <rPh sb="441" eb="443">
      <t>がっき</t>
    </rPh>
    <rPh sb="458" eb="460">
      <t>かつやく</t>
    </rPh>
    <rPh sb="465" eb="467">
      <t>きたい</t>
    </rPh>
    <phoneticPr fontId="10" type="Hiragana" alignment="distributed"/>
  </si>
  <si>
    <t>欠席１（手足口病１）早退１（発熱１）</t>
    <rPh sb="0" eb="2">
      <t>ケッセキ</t>
    </rPh>
    <rPh sb="4" eb="8">
      <t>テアシクチビョウ</t>
    </rPh>
    <rPh sb="10" eb="12">
      <t>ソウタイ</t>
    </rPh>
    <rPh sb="14" eb="16">
      <t>ハツネツ</t>
    </rPh>
    <phoneticPr fontId="1"/>
  </si>
  <si>
    <t>遅刻１（眼科通院１）早退１（発熱１）</t>
    <rPh sb="0" eb="2">
      <t>チコク</t>
    </rPh>
    <rPh sb="4" eb="6">
      <t>ガンカ</t>
    </rPh>
    <rPh sb="6" eb="8">
      <t>ツウイン</t>
    </rPh>
    <rPh sb="10" eb="12">
      <t>ソウタイ</t>
    </rPh>
    <rPh sb="14" eb="16">
      <t>ハツネツ</t>
    </rPh>
    <phoneticPr fontId="1"/>
  </si>
  <si>
    <t>この項目は適宜変更して下さい。
※注意※
ただし、項目数は１０個まで。仮に少ない場合も行の削除は絶対に行わないで下さい。</t>
    <phoneticPr fontId="1"/>
  </si>
  <si>
    <t>C</t>
    <phoneticPr fontId="1"/>
  </si>
  <si>
    <t>欠席１（風邪１）遅刻３（腹痛2、眼科通院１）早退１（耳鼻科通院１）</t>
    <rPh sb="8" eb="10">
      <t>チコク</t>
    </rPh>
    <rPh sb="12" eb="14">
      <t>フクツウ</t>
    </rPh>
    <rPh sb="16" eb="18">
      <t>ガンカ</t>
    </rPh>
    <rPh sb="18" eb="20">
      <t>ツウイン</t>
    </rPh>
    <rPh sb="22" eb="24">
      <t>ソウタイ</t>
    </rPh>
    <rPh sb="26" eb="31">
      <t>ジビカツウイン</t>
    </rPh>
    <phoneticPr fontId="1"/>
  </si>
  <si>
    <t>150～200</t>
    <phoneticPr fontId="10" type="Hiragana" alignment="distributed"/>
  </si>
  <si>
    <t xml:space="preserve"> 出席日数（自動計算）</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</si>
  <si>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</si>
  <si>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</si>
  <si>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</si>
  <si>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</si>
  <si>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</si>
  <si>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</si>
  <si>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</si>
  <si>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</si>
  <si>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</si>
  <si>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</si>
  <si>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</si>
  <si>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t>
    <phoneticPr fontId="1"/>
  </si>
  <si>
    <t>高藤 遙舞</t>
    <phoneticPr fontId="1"/>
  </si>
  <si>
    <t>みんなをリードしてくれています。</t>
    <phoneticPr fontId="1"/>
  </si>
  <si>
    <t>この項目は適宜変更して下さい。
※注意※
ただし、項目数は１０個まで。仮に少ない場合も行の削除は絶対に行わないで下さい。</t>
    <phoneticPr fontId="1"/>
  </si>
  <si>
    <t>B</t>
    <phoneticPr fontId="1"/>
  </si>
  <si>
    <t>A</t>
    <phoneticPr fontId="1"/>
  </si>
  <si>
    <t>この項目は適宜変更して下さい。
※注意※
ただし、項目数は１０個まで。仮に少ない場合も行の削除は絶対に行わないで下さい。</t>
    <phoneticPr fontId="1"/>
  </si>
  <si>
    <t>A</t>
    <phoneticPr fontId="1"/>
  </si>
  <si>
    <t>A</t>
    <phoneticPr fontId="1"/>
  </si>
  <si>
    <t>A</t>
    <phoneticPr fontId="1"/>
  </si>
  <si>
    <t>この項目は適宜変更して下さい。
※注意※
ただし、項目数は１０個まで。仮に少ない場合も行の削除は絶対に行わないで下さい。</t>
    <phoneticPr fontId="1"/>
  </si>
  <si>
    <t>図工への関心を持ち、楽しく制作に取り組んでいる</t>
    <phoneticPr fontId="1"/>
  </si>
  <si>
    <t>A</t>
    <phoneticPr fontId="1"/>
  </si>
  <si>
    <t>B</t>
    <phoneticPr fontId="1"/>
  </si>
  <si>
    <t>豊かな発想を持ち自由に表現することができる</t>
    <phoneticPr fontId="1"/>
  </si>
  <si>
    <t>つくりたいもののイメージを持ち、それに向かって制作することができる</t>
    <phoneticPr fontId="1"/>
  </si>
  <si>
    <t>自分や友達の作品から良さや面白さ、美しさを感じとることができる</t>
    <phoneticPr fontId="1"/>
  </si>
  <si>
    <t>ユニークな発想がたくさん見られました。【あみあみばっぐ】の授業では、バッグの他に携帯、財布などつくりたいものをどんどんつくっていました。</t>
    <phoneticPr fontId="1"/>
  </si>
  <si>
    <t>活動の内容をきちんと理解して進めています。【あみあみバッグ】も【あじさいとかたつむり】も、糊をしっかりと隅まで付けて完成させることができました。雨粒もたくさん描き、画面が賑やかになりました。</t>
    <phoneticPr fontId="1"/>
  </si>
  <si>
    <t>楽しく活動していますが、声が大きかったり、落ち着きに欠けたりすることがあるため、教員や周りの友達からよく注意をされています。欠席していた分を頑張って追い上げ、完成させることができました。</t>
    <phoneticPr fontId="1"/>
  </si>
  <si>
    <t>楽しく活動することができました。はさみや糊など、道具の使い方にもう少し慣れると、自分の思ったように作品をつくることができるように感じています。</t>
    <phoneticPr fontId="1"/>
  </si>
  <si>
    <t>画面いっぱいに画用紙を使い、大きく対象を描くことができます。【さくらにじゃんぷ！】では、足を曲げてジャンプしているポーズをのびのびと表現することができました。</t>
    <phoneticPr fontId="1"/>
  </si>
  <si>
    <t>手先がかなり器用で活動量も多いため、工夫したところがたくさん見られます。【あみあみばっぐ】では、お気に入りのキャラクターをたくさん描いて飾りつけしていました。</t>
    <phoneticPr fontId="1"/>
  </si>
  <si>
    <t>意欲的に取り組んでいます。どんどんつくり進めたいのですが、もう少し落ち着いて製作できると作品のレベルがあがるように感じます。【あじさいとかたつむり】では、かたつむりとカエルを画面からはみ出るほど大きく描くことができました。</t>
    <phoneticPr fontId="1"/>
  </si>
  <si>
    <t>しっかりと授業に臨む姿勢が素晴らしいです。【あじさいとかたつむり】では、かたつむりやカエルを大きく描いて貼りました。表情もかわいく描くことができました。</t>
    <phoneticPr fontId="1"/>
  </si>
  <si>
    <t>丁寧に道具を使うことができます。クレヨンの塗り方は、筆圧強くしっかりと塗りこむことができます。時間が掛かりますが、最後まで丁寧につくり上げることができました。</t>
    <phoneticPr fontId="1"/>
  </si>
  <si>
    <t>丁寧に製作しています。【あじさいとかたつむり】では、あじさいの花を5種類つくっていました。かたつむりとカエルも2匹ずつつくり、時間いっぱい使って仕上げていました。</t>
    <phoneticPr fontId="1"/>
  </si>
  <si>
    <t>完成度の高い作品をつくることができます。【さくらにじゃんぷ！】では、たくさん桜の花びらを描き、花吹雪の中にいる自分を表現していました。バッグに付ける紐は、５本のテープを編んでつくりました。</t>
    <phoneticPr fontId="1"/>
  </si>
  <si>
    <t>意欲的に授業に取り組んでいます。【あじさいとかたつむり】では、大きなあじさいを仕上げることができました。かたつむりは５匹もつくり、カエルがジャンプしているところも表現していました。</t>
    <phoneticPr fontId="1"/>
  </si>
  <si>
    <t>A</t>
    <phoneticPr fontId="1"/>
  </si>
  <si>
    <t>A</t>
    <phoneticPr fontId="1"/>
  </si>
  <si>
    <t>B</t>
    <phoneticPr fontId="1"/>
  </si>
  <si>
    <t>A</t>
    <phoneticPr fontId="1"/>
  </si>
  <si>
    <t>B</t>
    <phoneticPr fontId="1"/>
  </si>
  <si>
    <t>A</t>
    <phoneticPr fontId="10" type="Hiragana" alignment="distributed"/>
  </si>
  <si>
    <t>B</t>
    <phoneticPr fontId="10" type="Hiragana" alignment="distributed"/>
  </si>
  <si>
    <t>A</t>
    <phoneticPr fontId="10" type="Hiragana" alignment="distributed"/>
  </si>
  <si>
    <t>A</t>
    <phoneticPr fontId="1"/>
  </si>
  <si>
    <t>B</t>
    <phoneticPr fontId="10" type="Hiragana" alignment="distributed"/>
  </si>
  <si>
    <t>-</t>
    <phoneticPr fontId="1"/>
  </si>
  <si>
    <t>総合所見</t>
    <phoneticPr fontId="1"/>
  </si>
  <si>
    <t>400～450</t>
    <phoneticPr fontId="10" type="Hiragana" alignment="distributed"/>
  </si>
  <si>
    <t xml:space="preserve"> 欠席日数</t>
    <phoneticPr fontId="1"/>
  </si>
  <si>
    <t>欠席３（発熱１、咳２）</t>
    <rPh sb="4" eb="6">
      <t>ハツネツ</t>
    </rPh>
    <rPh sb="8" eb="9">
      <t>セキ</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</si>
</sst>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3"/>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sz val="11"/>
      <color theme="1"/>
      <name val="ＭＳ Ｐ明朝"/>
      <family val="1"/>
      <charset val="128"/>
    </font>
    <font>
      <sz val="11"/>
      <color rgb="FF222222"/>
      <name val="ＭＳ 明朝"/>
      <family val="1"/>
      <charset val="128"/>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2">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s>
  <cellStyleXfs count="1">
    <xf numFmtId="0" fontId="0" fillId="0" borderId="0">
      <alignment vertical="center"/>
    </xf>
  </cellStyleXfs>
  <cellXfs count="188">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8" fillId="2" borderId="14" xfId="0" applyNumberFormat="1" applyFont="1" applyFill="1" applyBorder="1" applyAlignment="1">
      <alignment horizontal="center" vertical="center" wrapText="1"/>
    </xf>
    <xf numFmtId="0" fontId="8" fillId="2" borderId="14" xfId="0" applyFont="1" applyFill="1" applyBorder="1" applyAlignment="1">
      <alignment horizontal="center" vertical="center"/>
    </xf>
    <xf numFmtId="0" fontId="7"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9"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11"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2" fillId="8" borderId="14" xfId="0" applyFont="1" applyFill="1" applyBorder="1">
      <alignment vertical="center"/>
    </xf>
    <xf numFmtId="0" fontId="12" fillId="12" borderId="48" xfId="0" applyFont="1" applyFill="1" applyBorder="1" applyAlignment="1">
      <alignment horizontal="center" vertical="center"/>
    </xf>
    <xf numFmtId="0" fontId="13"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3" fillId="0" borderId="14" xfId="0" applyFont="1" applyFill="1" applyBorder="1" applyAlignment="1">
      <alignment horizontal="right" vertical="center"/>
    </xf>
    <xf numFmtId="0" fontId="15" fillId="0" borderId="14" xfId="0" applyFont="1" applyBorder="1" applyProtection="1">
      <alignment vertical="center"/>
      <protection locked="0"/>
    </xf>
    <xf numFmtId="0" fontId="3" fillId="13" borderId="14" xfId="0" applyFont="1" applyFill="1" applyBorder="1" applyAlignment="1">
      <alignment horizontal="center" vertical="center" wrapText="1"/>
    </xf>
    <xf numFmtId="0" fontId="3" fillId="0" borderId="14" xfId="0" applyFont="1" applyFill="1" applyBorder="1" applyAlignment="1" applyProtection="1">
      <alignment horizontal="center" vertical="center"/>
      <protection locked="0"/>
    </xf>
    <xf numFmtId="0" fontId="8"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2" fillId="0" borderId="14" xfId="0" applyFont="1" applyBorder="1" applyAlignment="1" applyProtection="1">
      <alignment horizontal="center" vertical="center"/>
      <protection locked="0"/>
    </xf>
    <xf numFmtId="0" fontId="9" fillId="0" borderId="0" xfId="0" applyFont="1">
      <alignment vertical="center"/>
    </xf>
    <xf numFmtId="0" fontId="3" fillId="0" borderId="31" xfId="0" applyFont="1" applyBorder="1" applyAlignment="1">
      <alignment horizontal="left" vertical="center" wrapText="1"/>
    </xf>
    <xf numFmtId="0" fontId="3" fillId="0" borderId="14" xfId="0" applyFont="1" applyBorder="1" applyAlignment="1" applyProtection="1">
      <alignment horizontal="center" vertical="center"/>
      <protection locked="0"/>
    </xf>
    <xf numFmtId="0" fontId="2" fillId="3" borderId="14" xfId="0" applyFont="1" applyFill="1" applyBorder="1" applyProtection="1">
      <alignment vertical="center"/>
      <protection locked="0"/>
    </xf>
    <xf numFmtId="0" fontId="3" fillId="0" borderId="0" xfId="0" applyFont="1" applyAlignment="1">
      <alignment horizontal="center" vertical="center"/>
    </xf>
    <xf numFmtId="0" fontId="3" fillId="0" borderId="14" xfId="0" applyFont="1" applyBorder="1" applyAlignment="1" applyProtection="1">
      <alignment horizontal="left" vertical="center" wrapText="1"/>
      <protection locked="0"/>
    </xf>
    <xf numFmtId="0" fontId="3" fillId="8" borderId="0" xfId="0" applyFont="1" applyFill="1" applyAlignment="1">
      <alignment horizontal="left" vertical="center" wrapText="1"/>
    </xf>
    <xf numFmtId="0" fontId="3" fillId="3" borderId="14" xfId="0" applyFont="1" applyFill="1" applyBorder="1" applyProtection="1">
      <alignment vertical="center"/>
      <protection locked="0"/>
    </xf>
    <xf numFmtId="0" fontId="3" fillId="3" borderId="14" xfId="0" applyFont="1" applyFill="1" applyBorder="1" applyAlignment="1">
      <alignment horizontal="left" vertical="center"/>
    </xf>
    <xf numFmtId="0" fontId="2" fillId="0" borderId="14" xfId="0" applyFont="1" applyBorder="1" applyProtection="1">
      <alignment vertical="center"/>
      <protection locked="0"/>
    </xf>
    <xf numFmtId="0" fontId="3" fillId="0" borderId="0" xfId="0" applyFont="1" applyFill="1" applyProtection="1">
      <alignment vertical="center"/>
      <protection locked="0"/>
    </xf>
    <xf numFmtId="0" fontId="15" fillId="0" borderId="14" xfId="0" applyFont="1" applyBorder="1" applyAlignment="1" applyProtection="1">
      <alignment vertical="center" wrapText="1"/>
      <protection locked="0"/>
    </xf>
    <xf numFmtId="0" fontId="3" fillId="0" borderId="30" xfId="0" applyFont="1" applyBorder="1" applyAlignment="1" applyProtection="1">
      <alignment vertical="center" wrapText="1" shrinkToFit="1"/>
      <protection locked="0"/>
    </xf>
    <xf numFmtId="0" fontId="16" fillId="0" borderId="14" xfId="0" applyFont="1" applyBorder="1" applyAlignment="1" applyProtection="1">
      <alignment horizontal="left" vertical="center" wrapText="1"/>
      <protection locked="0"/>
    </xf>
    <xf numFmtId="0" fontId="16" fillId="0" borderId="14" xfId="0" applyFont="1" applyBorder="1" applyAlignment="1" applyProtection="1">
      <alignment vertical="center" wrapText="1"/>
      <protection locked="0"/>
    </xf>
    <xf numFmtId="0" fontId="13" fillId="11" borderId="49" xfId="0" applyFont="1" applyFill="1" applyBorder="1" applyAlignment="1">
      <alignment horizontal="center" vertical="center"/>
    </xf>
    <xf numFmtId="0" fontId="13" fillId="11" borderId="50" xfId="0" applyFont="1" applyFill="1" applyBorder="1" applyAlignment="1">
      <alignment horizontal="center" vertical="center"/>
    </xf>
    <xf numFmtId="0" fontId="6" fillId="0" borderId="42" xfId="0" applyFont="1" applyFill="1" applyBorder="1" applyAlignment="1">
      <alignment horizontal="left" vertical="top" wrapText="1"/>
    </xf>
    <xf numFmtId="0" fontId="6" fillId="0" borderId="31" xfId="0" applyFont="1" applyFill="1" applyBorder="1" applyAlignment="1">
      <alignment horizontal="left" vertical="top" wrapText="1"/>
    </xf>
    <xf numFmtId="0" fontId="6" fillId="0" borderId="32" xfId="0" applyFont="1" applyFill="1" applyBorder="1" applyAlignment="1">
      <alignment horizontal="left" vertical="top" wrapTex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3" fillId="0" borderId="24"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6" fillId="0" borderId="8" xfId="0" applyFont="1" applyFill="1" applyBorder="1" applyAlignment="1">
      <alignment horizontal="left" vertical="top" wrapText="1" shrinkToFit="1"/>
    </xf>
    <xf numFmtId="0" fontId="6" fillId="0" borderId="39" xfId="0" applyFont="1" applyFill="1" applyBorder="1" applyAlignment="1">
      <alignment horizontal="left" vertical="top" wrapText="1" shrinkToFit="1"/>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16" xfId="0" applyFont="1" applyFill="1" applyBorder="1" applyAlignment="1">
      <alignment horizontal="left" vertical="center"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7" fillId="4" borderId="45" xfId="0" applyFont="1" applyFill="1" applyBorder="1" applyAlignment="1">
      <alignment horizontal="left" vertical="center" wrapText="1"/>
    </xf>
    <xf numFmtId="0" fontId="7" fillId="4" borderId="46" xfId="0" applyFont="1" applyFill="1" applyBorder="1" applyAlignment="1">
      <alignment horizontal="left" vertical="center" wrapText="1"/>
    </xf>
    <xf numFmtId="0" fontId="7" fillId="4" borderId="41" xfId="0" applyFont="1" applyFill="1" applyBorder="1" applyAlignment="1">
      <alignment horizontal="left" vertical="center" wrapText="1"/>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3" fillId="0" borderId="30" xfId="0" applyFont="1" applyBorder="1" applyAlignment="1" applyProtection="1">
      <alignment horizontal="left" vertical="top" wrapText="1"/>
      <protection locked="0"/>
    </xf>
    <xf numFmtId="0" fontId="3" fillId="0" borderId="31"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11" fillId="7" borderId="30" xfId="0" applyFont="1" applyFill="1" applyBorder="1" applyAlignment="1">
      <alignment horizontal="center" vertical="center"/>
    </xf>
    <xf numFmtId="0" fontId="11" fillId="7" borderId="31" xfId="0" applyFont="1" applyFill="1" applyBorder="1" applyAlignment="1">
      <alignment horizontal="center" vertical="center"/>
    </xf>
    <xf numFmtId="0" fontId="11" fillId="7" borderId="32" xfId="0" applyFont="1" applyFill="1" applyBorder="1" applyAlignment="1">
      <alignment horizontal="center" vertical="center"/>
    </xf>
    <xf numFmtId="0" fontId="3" fillId="8" borderId="14" xfId="0" applyFont="1" applyFill="1" applyBorder="1" applyAlignment="1">
      <alignment horizontal="left"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cellXfs>
  <cellStyles count="1">
    <cellStyle name="標準" xfId="0" builtinId="0"/>
  </cellStyles>
  <dxfs count="14">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16</xdr:col>
      <xdr:colOff>104776</xdr:colOff>
      <xdr:row>5</xdr:row>
      <xdr:rowOff>66675</xdr:rowOff>
    </xdr:from>
    <xdr:to>
      <xdr:col>17</xdr:col>
      <xdr:colOff>561976</xdr:colOff>
      <xdr:row>7</xdr:row>
      <xdr:rowOff>114300</xdr:rowOff>
    </xdr:to>
    <xdr:sp macro="" textlink="">
      <xdr:nvSpPr>
        <xdr:cNvPr id="7" name="テキスト ボックス 6"/>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8" name="テキスト ボックス 7"/>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9" name="テキスト ボックス 8"/>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0" name="テキスト ボックス 9"/>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1" name="テキスト ボックス 10"/>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15</xdr:col>
      <xdr:colOff>1247776</xdr:colOff>
      <xdr:row>5</xdr:row>
      <xdr:rowOff>76200</xdr:rowOff>
    </xdr:from>
    <xdr:to>
      <xdr:col>17</xdr:col>
      <xdr:colOff>666750</xdr:colOff>
      <xdr:row>10</xdr:row>
      <xdr:rowOff>171451</xdr:rowOff>
    </xdr:to>
    <xdr:sp macro="" textlink="">
      <xdr:nvSpPr>
        <xdr:cNvPr id="12" name="テキスト ボックス 11"/>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1"/>
  <sheetViews>
    <sheetView tabSelected="1" view="pageBreakPreview" zoomScaleNormal="85" zoomScaleSheetLayoutView="100" workbookViewId="0">
      <selection activeCell="O10" sqref="O10"/>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16" t="str">
        <f ca="1">MID(CELL("filename",A1),FIND("[",CELL("filename",A1))+1,3)</f>
        <v>１－２</v>
      </c>
      <c r="B1" s="116"/>
      <c r="C1" s="117" t="str">
        <f ca="1">RIGHT(LEFT(CELL("filename",A1),FIND("[",CELL("filename",A1))-2),3)</f>
        <v>1学期</v>
      </c>
      <c r="D1" s="117"/>
      <c r="E1" s="117"/>
      <c r="F1" s="117"/>
      <c r="G1" s="117"/>
      <c r="H1" s="5"/>
      <c r="I1" s="5"/>
    </row>
    <row r="2" spans="1:17" ht="18.75" customHeight="1">
      <c r="A2" s="2" t="s">
        <v>19</v>
      </c>
      <c r="B2" s="1">
        <v>8</v>
      </c>
      <c r="F2" s="4" t="s">
        <v>18</v>
      </c>
      <c r="G2" s="118" t="str">
        <f ca="1">INDIRECT("'所見'!A"&amp;12+$B$2)</f>
        <v>立石 結子</v>
      </c>
      <c r="H2" s="118"/>
      <c r="I2" s="118"/>
    </row>
    <row r="3" spans="1:17" ht="12" customHeight="1">
      <c r="C3" s="9"/>
      <c r="D3" s="9"/>
      <c r="E3" s="9"/>
      <c r="F3" s="9"/>
      <c r="G3" s="9"/>
      <c r="H3" s="9"/>
      <c r="I3" s="9"/>
    </row>
    <row r="4" spans="1:17" ht="18.75" customHeight="1">
      <c r="A4" s="94" t="s">
        <v>20</v>
      </c>
      <c r="B4" s="95"/>
      <c r="C4" s="95"/>
      <c r="D4" s="95"/>
      <c r="E4" s="95"/>
      <c r="F4" s="95"/>
      <c r="G4" s="95"/>
      <c r="H4" s="95"/>
      <c r="I4" s="96"/>
    </row>
    <row r="5" spans="1:17" ht="18.75" customHeight="1">
      <c r="A5" s="19" t="s">
        <v>5</v>
      </c>
      <c r="B5" s="103" t="s">
        <v>6</v>
      </c>
      <c r="C5" s="103"/>
      <c r="D5" s="103"/>
      <c r="E5" s="103"/>
      <c r="F5" s="103"/>
      <c r="G5" s="20" t="s">
        <v>7</v>
      </c>
      <c r="H5" s="103" t="s">
        <v>8</v>
      </c>
      <c r="I5" s="104"/>
      <c r="Q5" s="66">
        <v>33</v>
      </c>
    </row>
    <row r="6" spans="1:17" ht="18.75" customHeight="1" thickBot="1">
      <c r="A6" s="113" t="s">
        <v>9</v>
      </c>
      <c r="B6" s="97" t="str">
        <f>国語!B2</f>
        <v>国語に関心を持ち、進んで読んだり書いたりすることができる</v>
      </c>
      <c r="C6" s="98"/>
      <c r="D6" s="98"/>
      <c r="E6" s="98"/>
      <c r="F6" s="99"/>
      <c r="G6" s="21" t="str">
        <f ca="1">OFFSET(国語!C2,0,$B$2)</f>
        <v>A</v>
      </c>
      <c r="H6" s="107">
        <f ca="1">OFFSET(国語!C12,0,$B$2)</f>
        <v>5</v>
      </c>
      <c r="I6" s="108"/>
      <c r="O6" s="8">
        <v>1</v>
      </c>
      <c r="P6" s="52" t="str">
        <f ca="1">INDIRECT("'出欠'!A"&amp;9+O6)</f>
        <v>淺輪 景都</v>
      </c>
    </row>
    <row r="7" spans="1:17" ht="18.75" customHeight="1" thickBot="1">
      <c r="A7" s="114"/>
      <c r="B7" s="100" t="str">
        <f>国語!B3</f>
        <v>聞く人が分かるように、はっきりと話すことができる</v>
      </c>
      <c r="C7" s="101"/>
      <c r="D7" s="101"/>
      <c r="E7" s="101"/>
      <c r="F7" s="102"/>
      <c r="G7" s="17" t="str">
        <f ca="1">OFFSET(国語!C3,0,$B$2)</f>
        <v>A</v>
      </c>
      <c r="H7" s="109"/>
      <c r="I7" s="110"/>
      <c r="K7" s="89" t="s">
        <v>50</v>
      </c>
      <c r="L7" s="90"/>
      <c r="O7" s="8">
        <v>2</v>
      </c>
      <c r="P7" s="52" t="str">
        <f t="shared" ref="P7:P30" ca="1" si="0">INDIRECT("'出欠'!A"&amp;9+O7)</f>
        <v>太谷 高志</v>
      </c>
    </row>
    <row r="8" spans="1:17" ht="18.75" customHeight="1" thickBot="1">
      <c r="A8" s="114"/>
      <c r="B8" s="100" t="str">
        <f>国語!B4</f>
        <v>大事なところに気をつけて、話を聞くことができる</v>
      </c>
      <c r="C8" s="101"/>
      <c r="D8" s="101"/>
      <c r="E8" s="101"/>
      <c r="F8" s="102"/>
      <c r="G8" s="17" t="str">
        <f ca="1">OFFSET(国語!C4,0,$B$2)</f>
        <v>A</v>
      </c>
      <c r="H8" s="109"/>
      <c r="I8" s="110"/>
      <c r="K8" s="51" t="s">
        <v>51</v>
      </c>
      <c r="L8" s="51" t="s">
        <v>52</v>
      </c>
      <c r="O8" s="8">
        <v>3</v>
      </c>
      <c r="P8" s="52" t="str">
        <f t="shared" ca="1" si="0"/>
        <v>加藤 裕吾</v>
      </c>
    </row>
    <row r="9" spans="1:17" ht="18.75" customHeight="1" thickBot="1">
      <c r="A9" s="114"/>
      <c r="B9" s="100" t="str">
        <f>国語!B5</f>
        <v>言葉のまとまりに気をつけて、音読や発表をすることができる</v>
      </c>
      <c r="C9" s="101"/>
      <c r="D9" s="101"/>
      <c r="E9" s="101"/>
      <c r="F9" s="102"/>
      <c r="G9" s="17" t="str">
        <f ca="1">OFFSET(国語!C5,0,$B$2)</f>
        <v>A</v>
      </c>
      <c r="H9" s="109"/>
      <c r="I9" s="110"/>
      <c r="K9" s="50">
        <v>7</v>
      </c>
      <c r="L9" s="50">
        <v>7</v>
      </c>
      <c r="O9" s="8">
        <v>4</v>
      </c>
      <c r="P9" s="52" t="str">
        <f t="shared" ca="1" si="0"/>
        <v>後藤 朱里</v>
      </c>
    </row>
    <row r="10" spans="1:17" ht="18.75" customHeight="1">
      <c r="A10" s="114"/>
      <c r="B10" s="100" t="str">
        <f>国語!B6</f>
        <v>気がついたことや想像したことを書いたり、話したりすることができる</v>
      </c>
      <c r="C10" s="101"/>
      <c r="D10" s="101"/>
      <c r="E10" s="101"/>
      <c r="F10" s="102"/>
      <c r="G10" s="17" t="str">
        <f ca="1">OFFSET(国語!C6,0,$B$2)</f>
        <v>A</v>
      </c>
      <c r="H10" s="109"/>
      <c r="I10" s="110"/>
      <c r="O10" s="8">
        <v>5</v>
      </c>
      <c r="P10" s="52" t="str">
        <f t="shared" ca="1" si="0"/>
        <v>上甲 絃葉</v>
      </c>
    </row>
    <row r="11" spans="1:17" ht="18.75" customHeight="1">
      <c r="A11" s="114"/>
      <c r="B11" s="100" t="str">
        <f>国語!B7</f>
        <v>物語文を読んで、場面の様子を想像したり、内容を読み取ったりすることができる</v>
      </c>
      <c r="C11" s="101"/>
      <c r="D11" s="101"/>
      <c r="E11" s="101"/>
      <c r="F11" s="102"/>
      <c r="G11" s="17" t="str">
        <f ca="1">OFFSET(国語!C7,0,$B$2)</f>
        <v>A</v>
      </c>
      <c r="H11" s="109"/>
      <c r="I11" s="110"/>
      <c r="O11" s="8">
        <v>6</v>
      </c>
      <c r="P11" s="52" t="str">
        <f t="shared" ca="1" si="0"/>
        <v>須田 陽貴</v>
      </c>
    </row>
    <row r="12" spans="1:17" ht="18.75" customHeight="1">
      <c r="A12" s="114"/>
      <c r="B12" s="100" t="str">
        <f>国語!B8</f>
        <v>説明文において、内容を読み比べながら、理解することができる</v>
      </c>
      <c r="C12" s="101"/>
      <c r="D12" s="101"/>
      <c r="E12" s="101"/>
      <c r="F12" s="102"/>
      <c r="G12" s="17" t="str">
        <f ca="1">OFFSET(国語!C8,0,$B$2)</f>
        <v>A</v>
      </c>
      <c r="H12" s="109"/>
      <c r="I12" s="110"/>
      <c r="O12" s="8">
        <v>7</v>
      </c>
      <c r="P12" s="52" t="str">
        <f t="shared" ca="1" si="0"/>
        <v>高藤 遙舞</v>
      </c>
    </row>
    <row r="13" spans="1:17" ht="18.75" customHeight="1">
      <c r="A13" s="114"/>
      <c r="B13" s="100" t="str">
        <f>国語!B9</f>
        <v>学習した平仮名を形に注意しながら、正しく表記することができる</v>
      </c>
      <c r="C13" s="101"/>
      <c r="D13" s="101"/>
      <c r="E13" s="101"/>
      <c r="F13" s="102"/>
      <c r="G13" s="17" t="str">
        <f ca="1">OFFSET(国語!C9,0,$B$2)</f>
        <v>A</v>
      </c>
      <c r="H13" s="109"/>
      <c r="I13" s="110"/>
      <c r="O13" s="8">
        <v>8</v>
      </c>
      <c r="P13" s="52" t="str">
        <f t="shared" ca="1" si="0"/>
        <v>立石 結子</v>
      </c>
    </row>
    <row r="14" spans="1:17" ht="18.75" customHeight="1">
      <c r="A14" s="114"/>
      <c r="B14" s="100">
        <f>国語!B10</f>
        <v>0</v>
      </c>
      <c r="C14" s="101"/>
      <c r="D14" s="101"/>
      <c r="E14" s="101"/>
      <c r="F14" s="102"/>
      <c r="G14" s="17">
        <f ca="1">OFFSET(国語!C10,0,$B$2)</f>
        <v>0</v>
      </c>
      <c r="H14" s="109"/>
      <c r="I14" s="110"/>
      <c r="O14" s="8">
        <v>9</v>
      </c>
      <c r="P14" s="52" t="str">
        <f t="shared" ca="1" si="0"/>
        <v>月岡 和香</v>
      </c>
    </row>
    <row r="15" spans="1:17" ht="18.75" customHeight="1">
      <c r="A15" s="115"/>
      <c r="B15" s="100">
        <f>国語!B11</f>
        <v>0</v>
      </c>
      <c r="C15" s="101"/>
      <c r="D15" s="101"/>
      <c r="E15" s="101"/>
      <c r="F15" s="102"/>
      <c r="G15" s="18">
        <f ca="1">OFFSET(国語!C11,0,$B$2)</f>
        <v>0</v>
      </c>
      <c r="H15" s="109"/>
      <c r="I15" s="110"/>
      <c r="O15" s="8">
        <v>10</v>
      </c>
      <c r="P15" s="52" t="str">
        <f t="shared" ca="1" si="0"/>
        <v>中村 祐香子</v>
      </c>
    </row>
    <row r="16" spans="1:17" ht="18.75" customHeight="1">
      <c r="A16" s="113" t="s">
        <v>1</v>
      </c>
      <c r="B16" s="97" t="str">
        <f>算数!B2</f>
        <v>算数に関心を持ち、進んで学習に取り組むことができる</v>
      </c>
      <c r="C16" s="98"/>
      <c r="D16" s="98"/>
      <c r="E16" s="98"/>
      <c r="F16" s="99"/>
      <c r="G16" s="21" t="str">
        <f ca="1">OFFSET(算数!C2,0,$B$2)</f>
        <v>A</v>
      </c>
      <c r="H16" s="107">
        <f ca="1">OFFSET(算数!C12,0,$B$2)</f>
        <v>5</v>
      </c>
      <c r="I16" s="108"/>
      <c r="O16" s="8">
        <v>11</v>
      </c>
      <c r="P16" s="52" t="str">
        <f t="shared" ca="1" si="0"/>
        <v>藤森 結</v>
      </c>
    </row>
    <row r="17" spans="1:16" ht="18.75" customHeight="1">
      <c r="A17" s="114"/>
      <c r="B17" s="100" t="str">
        <f>算数!B3</f>
        <v>１０までの数を数えたり、数字を読んだり、書いたりすることができる</v>
      </c>
      <c r="C17" s="101"/>
      <c r="D17" s="101"/>
      <c r="E17" s="101"/>
      <c r="F17" s="102"/>
      <c r="G17" s="17" t="str">
        <f ca="1">OFFSET(算数!C3,0,$B$2)</f>
        <v>A</v>
      </c>
      <c r="H17" s="109"/>
      <c r="I17" s="110"/>
      <c r="O17" s="8">
        <v>12</v>
      </c>
      <c r="P17" s="52" t="str">
        <f t="shared" ca="1" si="0"/>
        <v>吉澤 紘風</v>
      </c>
    </row>
    <row r="18" spans="1:16" ht="18.75" customHeight="1">
      <c r="A18" s="114"/>
      <c r="B18" s="100" t="str">
        <f>算数!B4</f>
        <v>前後・左右・上下などの言葉を使って、ものの位置を正しく表すことができる</v>
      </c>
      <c r="C18" s="101"/>
      <c r="D18" s="101"/>
      <c r="E18" s="101"/>
      <c r="F18" s="102"/>
      <c r="G18" s="17" t="str">
        <f ca="1">OFFSET(算数!C4,0,$B$2)</f>
        <v>A</v>
      </c>
      <c r="H18" s="109"/>
      <c r="I18" s="110"/>
      <c r="O18" s="8">
        <v>13</v>
      </c>
      <c r="P18" s="52">
        <f t="shared" ca="1" si="0"/>
        <v>0</v>
      </c>
    </row>
    <row r="19" spans="1:16" ht="18.75" customHeight="1">
      <c r="A19" s="114"/>
      <c r="B19" s="100" t="str">
        <f>算数!B5</f>
        <v>１０までの合成分解ができ、10までのたし算・ひき算ができる</v>
      </c>
      <c r="C19" s="101"/>
      <c r="D19" s="101"/>
      <c r="E19" s="101"/>
      <c r="F19" s="102"/>
      <c r="G19" s="17" t="str">
        <f ca="1">OFFSET(算数!C5,0,$B$2)</f>
        <v>A</v>
      </c>
      <c r="H19" s="109"/>
      <c r="I19" s="110"/>
      <c r="O19" s="8">
        <v>14</v>
      </c>
      <c r="P19" s="52">
        <f t="shared" ca="1" si="0"/>
        <v>0</v>
      </c>
    </row>
    <row r="20" spans="1:16" ht="18.75" customHeight="1">
      <c r="A20" s="114"/>
      <c r="B20" s="100" t="str">
        <f>算数!B6</f>
        <v>文章で書かれた問題から、加減のしくみをとらえて解くことができる</v>
      </c>
      <c r="C20" s="101"/>
      <c r="D20" s="101"/>
      <c r="E20" s="101"/>
      <c r="F20" s="102"/>
      <c r="G20" s="17" t="str">
        <f ca="1">OFFSET(算数!C6,0,$B$2)</f>
        <v>B</v>
      </c>
      <c r="H20" s="109"/>
      <c r="I20" s="110"/>
      <c r="O20" s="8">
        <v>15</v>
      </c>
      <c r="P20" s="52">
        <f t="shared" ca="1" si="0"/>
        <v>0</v>
      </c>
    </row>
    <row r="21" spans="1:16" ht="18.75" customHeight="1">
      <c r="A21" s="114"/>
      <c r="B21" s="100">
        <f>算数!B7</f>
        <v>0</v>
      </c>
      <c r="C21" s="101"/>
      <c r="D21" s="101"/>
      <c r="E21" s="101"/>
      <c r="F21" s="102"/>
      <c r="G21" s="17">
        <f ca="1">OFFSET(算数!C7,0,$B$2)</f>
        <v>0</v>
      </c>
      <c r="H21" s="109"/>
      <c r="I21" s="110"/>
      <c r="O21" s="8">
        <v>16</v>
      </c>
      <c r="P21" s="52">
        <f t="shared" ca="1" si="0"/>
        <v>0</v>
      </c>
    </row>
    <row r="22" spans="1:16" ht="18.75" customHeight="1">
      <c r="A22" s="114"/>
      <c r="B22" s="100">
        <f>算数!B8</f>
        <v>0</v>
      </c>
      <c r="C22" s="101"/>
      <c r="D22" s="101"/>
      <c r="E22" s="101"/>
      <c r="F22" s="102"/>
      <c r="G22" s="17">
        <f ca="1">OFFSET(算数!C8,0,$B$2)</f>
        <v>0</v>
      </c>
      <c r="H22" s="109"/>
      <c r="I22" s="110"/>
      <c r="O22" s="8">
        <v>17</v>
      </c>
      <c r="P22" s="52">
        <f t="shared" ca="1" si="0"/>
        <v>0</v>
      </c>
    </row>
    <row r="23" spans="1:16" ht="18.75" customHeight="1">
      <c r="A23" s="114"/>
      <c r="B23" s="100">
        <f>算数!B9</f>
        <v>0</v>
      </c>
      <c r="C23" s="101"/>
      <c r="D23" s="101"/>
      <c r="E23" s="101"/>
      <c r="F23" s="102"/>
      <c r="G23" s="17">
        <f ca="1">OFFSET(算数!C9,0,$B$2)</f>
        <v>0</v>
      </c>
      <c r="H23" s="109"/>
      <c r="I23" s="110"/>
      <c r="O23" s="8">
        <v>18</v>
      </c>
      <c r="P23" s="52">
        <f t="shared" ca="1" si="0"/>
        <v>0</v>
      </c>
    </row>
    <row r="24" spans="1:16" ht="18.75" customHeight="1">
      <c r="A24" s="114"/>
      <c r="B24" s="100">
        <f>算数!B10</f>
        <v>0</v>
      </c>
      <c r="C24" s="101"/>
      <c r="D24" s="101"/>
      <c r="E24" s="101"/>
      <c r="F24" s="102"/>
      <c r="G24" s="17">
        <f ca="1">OFFSET(算数!C10,0,$B$2)</f>
        <v>0</v>
      </c>
      <c r="H24" s="109"/>
      <c r="I24" s="110"/>
      <c r="O24" s="8">
        <v>19</v>
      </c>
      <c r="P24" s="52">
        <f t="shared" ca="1" si="0"/>
        <v>0</v>
      </c>
    </row>
    <row r="25" spans="1:16" ht="18.75" customHeight="1">
      <c r="A25" s="115"/>
      <c r="B25" s="100">
        <f>算数!B11</f>
        <v>0</v>
      </c>
      <c r="C25" s="101"/>
      <c r="D25" s="101"/>
      <c r="E25" s="101"/>
      <c r="F25" s="102"/>
      <c r="G25" s="18">
        <f ca="1">OFFSET(算数!C11,0,$B$2)</f>
        <v>0</v>
      </c>
      <c r="H25" s="109"/>
      <c r="I25" s="110"/>
      <c r="O25" s="8">
        <v>20</v>
      </c>
      <c r="P25" s="52">
        <f t="shared" ca="1" si="0"/>
        <v>0</v>
      </c>
    </row>
    <row r="26" spans="1:16" ht="18.75" customHeight="1">
      <c r="A26" s="113" t="s">
        <v>0</v>
      </c>
      <c r="B26" s="97" t="str">
        <f>生活!B2</f>
        <v>学校の様子や、先生･友だちのことがわかり、楽しく安全に生活できる</v>
      </c>
      <c r="C26" s="98"/>
      <c r="D26" s="98"/>
      <c r="E26" s="98"/>
      <c r="F26" s="99"/>
      <c r="G26" s="21" t="str">
        <f ca="1">OFFSET(生活!C2,0,$B$2)</f>
        <v>A</v>
      </c>
      <c r="H26" s="107">
        <f ca="1">OFFSET(生活!C12,0,$B$2)</f>
        <v>5</v>
      </c>
      <c r="I26" s="108"/>
      <c r="O26" s="8">
        <v>21</v>
      </c>
      <c r="P26" s="52">
        <f t="shared" ca="1" si="0"/>
        <v>0</v>
      </c>
    </row>
    <row r="27" spans="1:16" ht="18.75" customHeight="1">
      <c r="A27" s="114"/>
      <c r="B27" s="100" t="str">
        <f>生活!B3</f>
        <v>動植物にふれ合い、生き物への親しみを持ち、それらを大切にできる</v>
      </c>
      <c r="C27" s="101"/>
      <c r="D27" s="101"/>
      <c r="E27" s="101"/>
      <c r="F27" s="102"/>
      <c r="G27" s="17" t="str">
        <f ca="1">OFFSET(生活!C3,0,$B$2)</f>
        <v>A</v>
      </c>
      <c r="H27" s="109"/>
      <c r="I27" s="110"/>
      <c r="O27" s="8">
        <v>22</v>
      </c>
      <c r="P27" s="52">
        <f t="shared" ca="1" si="0"/>
        <v>0</v>
      </c>
    </row>
    <row r="28" spans="1:16" ht="18.75" customHeight="1">
      <c r="A28" s="114"/>
      <c r="B28" s="100" t="str">
        <f>生活!B4</f>
        <v>動植物を観察し、気付いたことを絵や文に表すことができる</v>
      </c>
      <c r="C28" s="101"/>
      <c r="D28" s="101"/>
      <c r="E28" s="101"/>
      <c r="F28" s="102"/>
      <c r="G28" s="17" t="str">
        <f ca="1">OFFSET(生活!C4,0,$B$2)</f>
        <v>A</v>
      </c>
      <c r="H28" s="109"/>
      <c r="I28" s="110"/>
      <c r="O28" s="8">
        <v>23</v>
      </c>
      <c r="P28" s="52">
        <f t="shared" ca="1" si="0"/>
        <v>0</v>
      </c>
    </row>
    <row r="29" spans="1:16" ht="18.75" customHeight="1">
      <c r="A29" s="114"/>
      <c r="B29" s="100">
        <f>生活!B5</f>
        <v>0</v>
      </c>
      <c r="C29" s="101"/>
      <c r="D29" s="101"/>
      <c r="E29" s="101"/>
      <c r="F29" s="102"/>
      <c r="G29" s="17">
        <f ca="1">OFFSET(生活!C5,0,$B$2)</f>
        <v>0</v>
      </c>
      <c r="H29" s="109"/>
      <c r="I29" s="110"/>
      <c r="O29" s="8">
        <v>24</v>
      </c>
      <c r="P29" s="52">
        <f t="shared" ca="1" si="0"/>
        <v>0</v>
      </c>
    </row>
    <row r="30" spans="1:16" ht="18.75" customHeight="1">
      <c r="A30" s="114"/>
      <c r="B30" s="100">
        <f>生活!B6</f>
        <v>0</v>
      </c>
      <c r="C30" s="101"/>
      <c r="D30" s="101"/>
      <c r="E30" s="101"/>
      <c r="F30" s="102"/>
      <c r="G30" s="17">
        <f ca="1">OFFSET(生活!C6,0,$B$2)</f>
        <v>0</v>
      </c>
      <c r="H30" s="109"/>
      <c r="I30" s="110"/>
      <c r="O30" s="8">
        <v>25</v>
      </c>
      <c r="P30" s="52">
        <f t="shared" ca="1" si="0"/>
        <v>0</v>
      </c>
    </row>
    <row r="31" spans="1:16" ht="18.75" customHeight="1">
      <c r="A31" s="114"/>
      <c r="B31" s="100">
        <f>生活!B7</f>
        <v>0</v>
      </c>
      <c r="C31" s="101"/>
      <c r="D31" s="101"/>
      <c r="E31" s="101"/>
      <c r="F31" s="102"/>
      <c r="G31" s="17">
        <f ca="1">OFFSET(生活!C7,0,$B$2)</f>
        <v>0</v>
      </c>
      <c r="H31" s="109"/>
      <c r="I31" s="110"/>
    </row>
    <row r="32" spans="1:16" ht="18.75" customHeight="1">
      <c r="A32" s="114"/>
      <c r="B32" s="100">
        <f>生活!B8</f>
        <v>0</v>
      </c>
      <c r="C32" s="101"/>
      <c r="D32" s="101"/>
      <c r="E32" s="101"/>
      <c r="F32" s="102"/>
      <c r="G32" s="17">
        <f ca="1">OFFSET(生活!C8,0,$B$2)</f>
        <v>0</v>
      </c>
      <c r="H32" s="109"/>
      <c r="I32" s="110"/>
    </row>
    <row r="33" spans="1:9" ht="18.75" customHeight="1">
      <c r="A33" s="115"/>
      <c r="B33" s="100">
        <f>生活!B9</f>
        <v>0</v>
      </c>
      <c r="C33" s="101"/>
      <c r="D33" s="101"/>
      <c r="E33" s="101"/>
      <c r="F33" s="102"/>
      <c r="G33" s="18">
        <f ca="1">OFFSET(生活!C9,0,$B$2)</f>
        <v>0</v>
      </c>
      <c r="H33" s="109"/>
      <c r="I33" s="110"/>
    </row>
    <row r="34" spans="1:9" ht="18.75" customHeight="1">
      <c r="A34" s="113" t="s">
        <v>10</v>
      </c>
      <c r="B34" s="97" t="str">
        <f>英語!B2</f>
        <v>英語学習に楽しみを感じ、意欲的に学習に励むことができる</v>
      </c>
      <c r="C34" s="98"/>
      <c r="D34" s="98"/>
      <c r="E34" s="98"/>
      <c r="F34" s="99"/>
      <c r="G34" s="21" t="str">
        <f ca="1">OFFSET(英語!C2,0,$B$2)</f>
        <v>A</v>
      </c>
      <c r="H34" s="107">
        <f ca="1">OFFSET(英語!C12,0,$B$2)</f>
        <v>5</v>
      </c>
      <c r="I34" s="108"/>
    </row>
    <row r="35" spans="1:9" ht="18.75" customHeight="1">
      <c r="A35" s="114"/>
      <c r="B35" s="100" t="str">
        <f>英語!B3</f>
        <v>「なぜ」「いつ」「どこで」などと、踏み込んだ会話をすることができる</v>
      </c>
      <c r="C35" s="101"/>
      <c r="D35" s="101"/>
      <c r="E35" s="101"/>
      <c r="F35" s="102"/>
      <c r="G35" s="17" t="str">
        <f ca="1">OFFSET(英語!C3,0,$B$2)</f>
        <v>A</v>
      </c>
      <c r="H35" s="109"/>
      <c r="I35" s="110"/>
    </row>
    <row r="36" spans="1:9" ht="18.75" customHeight="1">
      <c r="A36" s="114"/>
      <c r="B36" s="100" t="str">
        <f>英語!B4</f>
        <v>身の回りにあるもの（名詞）、日常生活の動作（動詞）、人や物を説明する言葉（形容詞）を習得することができる</v>
      </c>
      <c r="C36" s="101"/>
      <c r="D36" s="101"/>
      <c r="E36" s="101"/>
      <c r="F36" s="102"/>
      <c r="G36" s="17" t="str">
        <f ca="1">OFFSET(英語!C4,0,$B$2)</f>
        <v>A</v>
      </c>
      <c r="H36" s="109"/>
      <c r="I36" s="110"/>
    </row>
    <row r="37" spans="1:9" ht="18.75" customHeight="1">
      <c r="A37" s="114"/>
      <c r="B37" s="100" t="str">
        <f>英語!B5</f>
        <v>単語の発音を予想して読むことができる</v>
      </c>
      <c r="C37" s="101"/>
      <c r="D37" s="101"/>
      <c r="E37" s="101"/>
      <c r="F37" s="102"/>
      <c r="G37" s="17" t="str">
        <f ca="1">OFFSET(英語!C5,0,$B$2)</f>
        <v>A</v>
      </c>
      <c r="H37" s="109"/>
      <c r="I37" s="110"/>
    </row>
    <row r="38" spans="1:9" ht="18.75" customHeight="1">
      <c r="A38" s="114"/>
      <c r="B38" s="100" t="str">
        <f>英語!B6</f>
        <v>単語の音を聞いて、つづりを予想して書くことができる</v>
      </c>
      <c r="C38" s="101"/>
      <c r="D38" s="101"/>
      <c r="E38" s="101"/>
      <c r="F38" s="102"/>
      <c r="G38" s="17" t="str">
        <f ca="1">OFFSET(英語!C6,0,$B$2)</f>
        <v>A</v>
      </c>
      <c r="H38" s="109"/>
      <c r="I38" s="110"/>
    </row>
    <row r="39" spans="1:9" ht="18.75" customHeight="1">
      <c r="A39" s="114"/>
      <c r="B39" s="100">
        <f>英語!B7</f>
        <v>0</v>
      </c>
      <c r="C39" s="101"/>
      <c r="D39" s="101"/>
      <c r="E39" s="101"/>
      <c r="F39" s="102"/>
      <c r="G39" s="17">
        <f ca="1">OFFSET(英語!C7,0,$B$2)</f>
        <v>0</v>
      </c>
      <c r="H39" s="109"/>
      <c r="I39" s="110"/>
    </row>
    <row r="40" spans="1:9" ht="18.75" customHeight="1">
      <c r="A40" s="114"/>
      <c r="B40" s="100">
        <f>英語!B8</f>
        <v>0</v>
      </c>
      <c r="C40" s="101"/>
      <c r="D40" s="101"/>
      <c r="E40" s="101"/>
      <c r="F40" s="102"/>
      <c r="G40" s="17">
        <f ca="1">OFFSET(英語!C8,0,$B$2)</f>
        <v>0</v>
      </c>
      <c r="H40" s="109"/>
      <c r="I40" s="110"/>
    </row>
    <row r="41" spans="1:9" ht="18.75" customHeight="1">
      <c r="A41" s="114"/>
      <c r="B41" s="100">
        <f>英語!B9</f>
        <v>0</v>
      </c>
      <c r="C41" s="101"/>
      <c r="D41" s="101"/>
      <c r="E41" s="101"/>
      <c r="F41" s="102"/>
      <c r="G41" s="17">
        <f ca="1">OFFSET(英語!C9,0,$B$2)</f>
        <v>0</v>
      </c>
      <c r="H41" s="109"/>
      <c r="I41" s="110"/>
    </row>
    <row r="42" spans="1:9" ht="18.75" customHeight="1">
      <c r="A42" s="115"/>
      <c r="B42" s="100">
        <f>英語!B10</f>
        <v>0</v>
      </c>
      <c r="C42" s="101"/>
      <c r="D42" s="101"/>
      <c r="E42" s="101"/>
      <c r="F42" s="102"/>
      <c r="G42" s="18">
        <f ca="1">OFFSET(英語!C10,0,$B$2)</f>
        <v>0</v>
      </c>
      <c r="H42" s="109"/>
      <c r="I42" s="110"/>
    </row>
    <row r="43" spans="1:9" ht="18.75" customHeight="1">
      <c r="A43" s="113" t="s">
        <v>4</v>
      </c>
      <c r="B43" s="97" t="str">
        <f>音楽!B2</f>
        <v>授業の活動に積極的に取り組むことができる</v>
      </c>
      <c r="C43" s="98"/>
      <c r="D43" s="98"/>
      <c r="E43" s="98"/>
      <c r="F43" s="99"/>
      <c r="G43" s="21" t="str">
        <f ca="1">OFFSET(音楽!C2,0,$B$2)</f>
        <v>A</v>
      </c>
      <c r="H43" s="107">
        <f ca="1">OFFSET(音楽!C12,0,$B$2)</f>
        <v>5</v>
      </c>
      <c r="I43" s="108"/>
    </row>
    <row r="44" spans="1:9" ht="18.75" customHeight="1">
      <c r="A44" s="114"/>
      <c r="B44" s="100" t="str">
        <f>音楽!B3</f>
        <v>メロディーに合った音程でのびのび歌うことができる</v>
      </c>
      <c r="C44" s="101"/>
      <c r="D44" s="101"/>
      <c r="E44" s="101"/>
      <c r="F44" s="102"/>
      <c r="G44" s="17" t="str">
        <f ca="1">OFFSET(音楽!C3,0,$B$2)</f>
        <v>A</v>
      </c>
      <c r="H44" s="109"/>
      <c r="I44" s="110"/>
    </row>
    <row r="45" spans="1:9" ht="18.75" customHeight="1">
      <c r="A45" s="114"/>
      <c r="B45" s="100" t="str">
        <f>音楽!B4</f>
        <v>鍵盤ハーモニカで正しい指使いやリズムで楽曲を奏でることができる</v>
      </c>
      <c r="C45" s="101"/>
      <c r="D45" s="101"/>
      <c r="E45" s="101"/>
      <c r="F45" s="102"/>
      <c r="G45" s="17" t="str">
        <f ca="1">OFFSET(音楽!C4,0,$B$2)</f>
        <v>A</v>
      </c>
      <c r="H45" s="109"/>
      <c r="I45" s="110"/>
    </row>
    <row r="46" spans="1:9" ht="18.75" customHeight="1">
      <c r="A46" s="114"/>
      <c r="B46" s="100" t="str">
        <f>音楽!B5</f>
        <v>提示した音を正しく聴き取ることができる</v>
      </c>
      <c r="C46" s="101"/>
      <c r="D46" s="101"/>
      <c r="E46" s="101"/>
      <c r="F46" s="102"/>
      <c r="G46" s="17" t="str">
        <f ca="1">OFFSET(音楽!C5,0,$B$2)</f>
        <v>A</v>
      </c>
      <c r="H46" s="109"/>
      <c r="I46" s="110"/>
    </row>
    <row r="47" spans="1:9" ht="18.75" customHeight="1">
      <c r="A47" s="114"/>
      <c r="B47" s="100">
        <f>音楽!B6</f>
        <v>0</v>
      </c>
      <c r="C47" s="101"/>
      <c r="D47" s="101"/>
      <c r="E47" s="101"/>
      <c r="F47" s="102"/>
      <c r="G47" s="17">
        <f ca="1">OFFSET(音楽!C6,0,$B$2)</f>
        <v>0</v>
      </c>
      <c r="H47" s="109"/>
      <c r="I47" s="110"/>
    </row>
    <row r="48" spans="1:9" ht="18.75" customHeight="1">
      <c r="A48" s="114"/>
      <c r="B48" s="100">
        <f>音楽!B7</f>
        <v>0</v>
      </c>
      <c r="C48" s="101"/>
      <c r="D48" s="101"/>
      <c r="E48" s="101"/>
      <c r="F48" s="102"/>
      <c r="G48" s="17">
        <f ca="1">OFFSET(音楽!C7,0,$B$2)</f>
        <v>0</v>
      </c>
      <c r="H48" s="109"/>
      <c r="I48" s="110"/>
    </row>
    <row r="49" spans="1:9" ht="18.75" customHeight="1">
      <c r="A49" s="114"/>
      <c r="B49" s="100">
        <f>音楽!B8</f>
        <v>0</v>
      </c>
      <c r="C49" s="101"/>
      <c r="D49" s="101"/>
      <c r="E49" s="101"/>
      <c r="F49" s="102"/>
      <c r="G49" s="17">
        <f ca="1">OFFSET(音楽!C8,0,$B$2)</f>
        <v>0</v>
      </c>
      <c r="H49" s="109"/>
      <c r="I49" s="110"/>
    </row>
    <row r="50" spans="1:9" ht="18.75" customHeight="1">
      <c r="A50" s="114"/>
      <c r="B50" s="100">
        <f>音楽!B9</f>
        <v>0</v>
      </c>
      <c r="C50" s="101"/>
      <c r="D50" s="101"/>
      <c r="E50" s="101"/>
      <c r="F50" s="102"/>
      <c r="G50" s="17">
        <f ca="1">OFFSET(音楽!C9,0,$B$2)</f>
        <v>0</v>
      </c>
      <c r="H50" s="109"/>
      <c r="I50" s="110"/>
    </row>
    <row r="51" spans="1:9" ht="18.75" customHeight="1">
      <c r="A51" s="114"/>
      <c r="B51" s="100">
        <f>音楽!B10</f>
        <v>0</v>
      </c>
      <c r="C51" s="101"/>
      <c r="D51" s="101"/>
      <c r="E51" s="101"/>
      <c r="F51" s="102"/>
      <c r="G51" s="17">
        <f ca="1">OFFSET(音楽!C10,0,$B$2)</f>
        <v>0</v>
      </c>
      <c r="H51" s="109"/>
      <c r="I51" s="110"/>
    </row>
    <row r="52" spans="1:9" ht="18.75" customHeight="1">
      <c r="A52" s="115"/>
      <c r="B52" s="100">
        <f>音楽!B11</f>
        <v>0</v>
      </c>
      <c r="C52" s="101"/>
      <c r="D52" s="101"/>
      <c r="E52" s="101"/>
      <c r="F52" s="102"/>
      <c r="G52" s="18">
        <f ca="1">OFFSET(音楽!C11,0,$B$2)</f>
        <v>0</v>
      </c>
      <c r="H52" s="109"/>
      <c r="I52" s="110"/>
    </row>
    <row r="53" spans="1:9" ht="18.75" customHeight="1">
      <c r="A53" s="6"/>
      <c r="B53" s="31"/>
      <c r="C53" s="10"/>
      <c r="D53" s="10"/>
      <c r="E53" s="10"/>
      <c r="F53" s="10"/>
      <c r="G53" s="6"/>
      <c r="H53" s="7"/>
      <c r="I53" s="7"/>
    </row>
    <row r="54" spans="1:9" ht="18.75" customHeight="1">
      <c r="A54" s="1"/>
      <c r="B54" s="32"/>
      <c r="C54" s="11"/>
      <c r="D54" s="11"/>
      <c r="E54" s="11"/>
      <c r="F54" s="11"/>
      <c r="G54" s="1"/>
      <c r="H54" s="3"/>
      <c r="I54" s="3"/>
    </row>
    <row r="55" spans="1:9" ht="18.75" customHeight="1">
      <c r="A55" s="113" t="s">
        <v>2</v>
      </c>
      <c r="B55" s="97" t="str">
        <f>図工!B2</f>
        <v>図工への関心を持ち、楽しく制作に取り組んでいる</v>
      </c>
      <c r="C55" s="98"/>
      <c r="D55" s="98"/>
      <c r="E55" s="98"/>
      <c r="F55" s="99"/>
      <c r="G55" s="21" t="str">
        <f ca="1">OFFSET(図工!C2,0,$B$2)</f>
        <v>A</v>
      </c>
      <c r="H55" s="107">
        <f ca="1">OFFSET(図工!C12,0,$B$2)</f>
        <v>5</v>
      </c>
      <c r="I55" s="108"/>
    </row>
    <row r="56" spans="1:9" ht="18.75" customHeight="1">
      <c r="A56" s="114"/>
      <c r="B56" s="100" t="str">
        <f>図工!B3</f>
        <v>豊かな発想を持ち自由に表現することができる</v>
      </c>
      <c r="C56" s="101"/>
      <c r="D56" s="101"/>
      <c r="E56" s="101"/>
      <c r="F56" s="102"/>
      <c r="G56" s="17" t="str">
        <f ca="1">OFFSET(図工!C3,0,$B$2)</f>
        <v>A</v>
      </c>
      <c r="H56" s="109"/>
      <c r="I56" s="110"/>
    </row>
    <row r="57" spans="1:9" ht="18.75" customHeight="1">
      <c r="A57" s="114"/>
      <c r="B57" s="100" t="str">
        <f>図工!B4</f>
        <v>つくりたいもののイメージを持ち、それに向かって制作することができる</v>
      </c>
      <c r="C57" s="101"/>
      <c r="D57" s="101"/>
      <c r="E57" s="101"/>
      <c r="F57" s="102"/>
      <c r="G57" s="17" t="str">
        <f ca="1">OFFSET(図工!C4,0,$B$2)</f>
        <v>A</v>
      </c>
      <c r="H57" s="109"/>
      <c r="I57" s="110"/>
    </row>
    <row r="58" spans="1:9" ht="18.75" customHeight="1">
      <c r="A58" s="114"/>
      <c r="B58" s="100" t="str">
        <f>図工!B5</f>
        <v>自分や友達の作品から良さや面白さ、美しさを感じとることができる</v>
      </c>
      <c r="C58" s="101"/>
      <c r="D58" s="101"/>
      <c r="E58" s="101"/>
      <c r="F58" s="102"/>
      <c r="G58" s="17" t="str">
        <f ca="1">OFFSET(図工!C5,0,$B$2)</f>
        <v>A</v>
      </c>
      <c r="H58" s="109"/>
      <c r="I58" s="110"/>
    </row>
    <row r="59" spans="1:9" ht="18.75" customHeight="1">
      <c r="A59" s="114"/>
      <c r="B59" s="100">
        <f>図工!B6</f>
        <v>0</v>
      </c>
      <c r="C59" s="101"/>
      <c r="D59" s="101"/>
      <c r="E59" s="101"/>
      <c r="F59" s="102"/>
      <c r="G59" s="17">
        <f ca="1">OFFSET(図工!C6,0,$B$2)</f>
        <v>0</v>
      </c>
      <c r="H59" s="109"/>
      <c r="I59" s="110"/>
    </row>
    <row r="60" spans="1:9" ht="18.75" customHeight="1">
      <c r="A60" s="114"/>
      <c r="B60" s="100">
        <f>図工!B7</f>
        <v>0</v>
      </c>
      <c r="C60" s="101"/>
      <c r="D60" s="101"/>
      <c r="E60" s="101"/>
      <c r="F60" s="102"/>
      <c r="G60" s="17">
        <f ca="1">OFFSET(図工!C7,0,$B$2)</f>
        <v>0</v>
      </c>
      <c r="H60" s="109"/>
      <c r="I60" s="110"/>
    </row>
    <row r="61" spans="1:9" ht="18.75" customHeight="1">
      <c r="A61" s="114"/>
      <c r="B61" s="100">
        <f>図工!B8</f>
        <v>0</v>
      </c>
      <c r="C61" s="101"/>
      <c r="D61" s="101"/>
      <c r="E61" s="101"/>
      <c r="F61" s="102"/>
      <c r="G61" s="17">
        <f ca="1">OFFSET(図工!C8,0,$B$2)</f>
        <v>0</v>
      </c>
      <c r="H61" s="109"/>
      <c r="I61" s="110"/>
    </row>
    <row r="62" spans="1:9" ht="18.75" customHeight="1">
      <c r="A62" s="114"/>
      <c r="B62" s="100">
        <f>図工!B9</f>
        <v>0</v>
      </c>
      <c r="C62" s="101"/>
      <c r="D62" s="101"/>
      <c r="E62" s="101"/>
      <c r="F62" s="102"/>
      <c r="G62" s="17">
        <f ca="1">OFFSET(図工!C9,0,$B$2)</f>
        <v>0</v>
      </c>
      <c r="H62" s="109"/>
      <c r="I62" s="110"/>
    </row>
    <row r="63" spans="1:9" ht="18.75" customHeight="1">
      <c r="A63" s="114"/>
      <c r="B63" s="100">
        <f>図工!B10</f>
        <v>0</v>
      </c>
      <c r="C63" s="101"/>
      <c r="D63" s="101"/>
      <c r="E63" s="101"/>
      <c r="F63" s="102"/>
      <c r="G63" s="17">
        <f ca="1">OFFSET(図工!C10,0,$B$2)</f>
        <v>0</v>
      </c>
      <c r="H63" s="109"/>
      <c r="I63" s="110"/>
    </row>
    <row r="64" spans="1:9" ht="18.75" customHeight="1">
      <c r="A64" s="115"/>
      <c r="B64" s="100">
        <f>図工!B11</f>
        <v>0</v>
      </c>
      <c r="C64" s="101"/>
      <c r="D64" s="101"/>
      <c r="E64" s="101"/>
      <c r="F64" s="102"/>
      <c r="G64" s="18">
        <f ca="1">OFFSET(図工!C11,0,$B$2)</f>
        <v>0</v>
      </c>
      <c r="H64" s="109"/>
      <c r="I64" s="110"/>
    </row>
    <row r="65" spans="1:14" ht="18.75" customHeight="1">
      <c r="A65" s="113" t="s">
        <v>3</v>
      </c>
      <c r="B65" s="97" t="str">
        <f>体育!B2</f>
        <v>運動遊びの行い方を工夫するとともに、考えたことを他者に伝えることができる</v>
      </c>
      <c r="C65" s="98"/>
      <c r="D65" s="98"/>
      <c r="E65" s="98"/>
      <c r="F65" s="99"/>
      <c r="G65" s="21" t="str">
        <f ca="1">OFFSET(体育!C2,0,$B$2)</f>
        <v>B</v>
      </c>
      <c r="H65" s="107">
        <f ca="1">OFFSET(体育!C12,0,$B$2)</f>
        <v>4</v>
      </c>
      <c r="I65" s="108"/>
    </row>
    <row r="66" spans="1:14" ht="18.75" customHeight="1">
      <c r="A66" s="114"/>
      <c r="B66" s="100" t="str">
        <f>体育!B3</f>
        <v>決まりを守り、誰とでも仲良く意欲的に運動ができる</v>
      </c>
      <c r="C66" s="101"/>
      <c r="D66" s="101"/>
      <c r="E66" s="101"/>
      <c r="F66" s="102"/>
      <c r="G66" s="17" t="str">
        <f ca="1">OFFSET(体育!C3,0,$B$2)</f>
        <v>A</v>
      </c>
      <c r="H66" s="109"/>
      <c r="I66" s="110"/>
    </row>
    <row r="67" spans="1:14" ht="18.75" customHeight="1">
      <c r="A67" s="114"/>
      <c r="B67" s="100" t="str">
        <f>体育!B4</f>
        <v>全身を使って、色々な走り方ができる（かけっこ、走の運動遊び）</v>
      </c>
      <c r="C67" s="101"/>
      <c r="D67" s="101"/>
      <c r="E67" s="101"/>
      <c r="F67" s="102"/>
      <c r="G67" s="17" t="str">
        <f ca="1">OFFSET(体育!C4,0,$B$2)</f>
        <v>A</v>
      </c>
      <c r="H67" s="109"/>
      <c r="I67" s="110"/>
    </row>
    <row r="68" spans="1:14" ht="18.75" customHeight="1">
      <c r="A68" s="114"/>
      <c r="B68" s="100" t="str">
        <f>体育!B5</f>
        <v>タイミングを合わせたバトンパスができる（リレー）</v>
      </c>
      <c r="C68" s="101"/>
      <c r="D68" s="101"/>
      <c r="E68" s="101"/>
      <c r="F68" s="102"/>
      <c r="G68" s="17" t="str">
        <f ca="1">OFFSET(体育!C5,0,$B$2)</f>
        <v>A</v>
      </c>
      <c r="H68" s="109"/>
      <c r="I68" s="110"/>
    </row>
    <row r="69" spans="1:14" ht="18.75" customHeight="1">
      <c r="A69" s="114"/>
      <c r="B69" s="100" t="str">
        <f>体育!B6</f>
        <v>簡単なボール操作と力強くボールを投げることができる（ボールゲーム）</v>
      </c>
      <c r="C69" s="101"/>
      <c r="D69" s="101"/>
      <c r="E69" s="101"/>
      <c r="F69" s="102"/>
      <c r="G69" s="17" t="str">
        <f ca="1">OFFSET(体育!C6,0,$B$2)</f>
        <v>B</v>
      </c>
      <c r="H69" s="109"/>
      <c r="I69" s="110"/>
    </row>
    <row r="70" spans="1:14" ht="18.75" customHeight="1">
      <c r="A70" s="114"/>
      <c r="B70" s="100">
        <f>体育!B7</f>
        <v>0</v>
      </c>
      <c r="C70" s="101"/>
      <c r="D70" s="101"/>
      <c r="E70" s="101"/>
      <c r="F70" s="102"/>
      <c r="G70" s="17">
        <f ca="1">OFFSET(体育!C7,0,$B$2)</f>
        <v>0</v>
      </c>
      <c r="H70" s="109"/>
      <c r="I70" s="110"/>
    </row>
    <row r="71" spans="1:14" ht="18.75" customHeight="1">
      <c r="A71" s="114"/>
      <c r="B71" s="100">
        <f>体育!B8</f>
        <v>0</v>
      </c>
      <c r="C71" s="101"/>
      <c r="D71" s="101"/>
      <c r="E71" s="101"/>
      <c r="F71" s="102"/>
      <c r="G71" s="17">
        <f ca="1">OFFSET(体育!C8,0,$B$2)</f>
        <v>0</v>
      </c>
      <c r="H71" s="109"/>
      <c r="I71" s="110"/>
    </row>
    <row r="72" spans="1:14" ht="18.75" customHeight="1">
      <c r="A72" s="114"/>
      <c r="B72" s="100">
        <f>体育!B9</f>
        <v>0</v>
      </c>
      <c r="C72" s="101"/>
      <c r="D72" s="101"/>
      <c r="E72" s="101"/>
      <c r="F72" s="102"/>
      <c r="G72" s="17">
        <f ca="1">OFFSET(体育!C9,0,$B$2)</f>
        <v>0</v>
      </c>
      <c r="H72" s="109"/>
      <c r="I72" s="110"/>
    </row>
    <row r="73" spans="1:14" ht="18.75" customHeight="1">
      <c r="A73" s="114"/>
      <c r="B73" s="100">
        <f>体育!B10</f>
        <v>0</v>
      </c>
      <c r="C73" s="101"/>
      <c r="D73" s="101"/>
      <c r="E73" s="101"/>
      <c r="F73" s="102"/>
      <c r="G73" s="17">
        <f ca="1">OFFSET(体育!C10,0,$B$2)</f>
        <v>0</v>
      </c>
      <c r="H73" s="109"/>
      <c r="I73" s="110"/>
    </row>
    <row r="74" spans="1:14" ht="18.75" customHeight="1">
      <c r="A74" s="115"/>
      <c r="B74" s="127">
        <f>体育!B11</f>
        <v>0</v>
      </c>
      <c r="C74" s="128"/>
      <c r="D74" s="128"/>
      <c r="E74" s="128"/>
      <c r="F74" s="129"/>
      <c r="G74" s="18">
        <f ca="1">OFFSET(体育!C11,0,$B$2)</f>
        <v>0</v>
      </c>
      <c r="H74" s="119"/>
      <c r="I74" s="120"/>
    </row>
    <row r="75" spans="1:14" ht="92.25" customHeight="1">
      <c r="A75" s="23" t="s">
        <v>25</v>
      </c>
      <c r="B75" s="111" t="str">
        <f ca="1">INDIRECT("'道徳'!B"&amp;2+$B$2)</f>
        <v>教科書の内容を自分のこととして捉え、自分の生活を振り返りながら真剣に考えることができました。「こんなクラスにしたいな」の単元では、どんなクラスなら楽しくすごせるかという問いに、「みんななかよしのクラス」と答え、失敗した友だちや困っている友だちに対する優しい言葉がけをたくさん書き記すことができました。これからも、みんなと仲良く気持ちよく過ごしましょう。</v>
      </c>
      <c r="C75" s="111"/>
      <c r="D75" s="111"/>
      <c r="E75" s="111"/>
      <c r="F75" s="111"/>
      <c r="G75" s="111"/>
      <c r="H75" s="111"/>
      <c r="I75" s="112"/>
    </row>
    <row r="76" spans="1:14" ht="18.75" customHeight="1">
      <c r="D76" s="14"/>
      <c r="E76" s="12"/>
      <c r="N76" s="12"/>
    </row>
    <row r="77" spans="1:14" ht="18.75" customHeight="1">
      <c r="A77" s="94" t="s">
        <v>23</v>
      </c>
      <c r="B77" s="95"/>
      <c r="C77" s="95"/>
      <c r="D77" s="96"/>
      <c r="F77" s="94" t="s">
        <v>11</v>
      </c>
      <c r="G77" s="95"/>
      <c r="H77" s="95"/>
      <c r="I77" s="96"/>
      <c r="L77" s="14"/>
      <c r="M77" s="12"/>
      <c r="N77" s="30"/>
    </row>
    <row r="78" spans="1:14" ht="19.5" customHeight="1">
      <c r="A78" s="121" t="str">
        <f>所見!B2</f>
        <v>大きな声ではっきりとあいさつや返事をすることができる</v>
      </c>
      <c r="B78" s="122"/>
      <c r="C78" s="123"/>
      <c r="D78" s="27" t="str">
        <f ca="1">OFFSET(所見!C2,0,$B$2)</f>
        <v>A</v>
      </c>
      <c r="F78" s="130" t="s">
        <v>13</v>
      </c>
      <c r="G78" s="131"/>
      <c r="H78" s="131"/>
      <c r="I78" s="22">
        <f ca="1">OFFSET(出欠!C2,0,$B$2)</f>
        <v>70</v>
      </c>
      <c r="L78" s="14"/>
      <c r="M78" s="30"/>
      <c r="N78" s="30"/>
    </row>
    <row r="79" spans="1:14" ht="19.5" customHeight="1">
      <c r="A79" s="124" t="str">
        <f>所見!B3</f>
        <v>時間やきまりを守り、規則正しい生活をすることができる</v>
      </c>
      <c r="B79" s="125"/>
      <c r="C79" s="126"/>
      <c r="D79" s="13" t="str">
        <f ca="1">OFFSET(所見!C3,0,$B$2)</f>
        <v>B</v>
      </c>
      <c r="F79" s="105" t="s">
        <v>14</v>
      </c>
      <c r="G79" s="106"/>
      <c r="H79" s="106"/>
      <c r="I79" s="13">
        <f ca="1">OFFSET(出欠!C3,0,$B$2)</f>
        <v>0</v>
      </c>
      <c r="L79" s="30"/>
      <c r="M79" s="30"/>
      <c r="N79" s="30"/>
    </row>
    <row r="80" spans="1:14" ht="19.5" customHeight="1">
      <c r="A80" s="124" t="str">
        <f>所見!B4</f>
        <v>物を大切にし、整理整頓に心がけ、忘れ物をしないように気をつけることができる</v>
      </c>
      <c r="B80" s="125"/>
      <c r="C80" s="126"/>
      <c r="D80" s="13" t="str">
        <f ca="1">OFFSET(所見!C4,0,$B$2)</f>
        <v>A</v>
      </c>
      <c r="F80" s="148" t="s">
        <v>21</v>
      </c>
      <c r="G80" s="101"/>
      <c r="H80" s="102"/>
      <c r="I80" s="13">
        <f ca="1">OFFSET(出欠!C4,0,$B$2)</f>
        <v>70</v>
      </c>
      <c r="L80" s="30"/>
      <c r="M80" s="30"/>
      <c r="N80" s="30"/>
    </row>
    <row r="81" spans="1:14" ht="19.5" customHeight="1">
      <c r="A81" s="124" t="str">
        <f>所見!B5</f>
        <v>心身の健康に気をつけ、進んで運動をし、元気に生活することができる</v>
      </c>
      <c r="B81" s="125"/>
      <c r="C81" s="126"/>
      <c r="D81" s="13" t="str">
        <f ca="1">OFFSET(所見!C5,0,$B$2)</f>
        <v>A</v>
      </c>
      <c r="F81" s="105" t="s">
        <v>15</v>
      </c>
      <c r="G81" s="106"/>
      <c r="H81" s="106"/>
      <c r="I81" s="13">
        <f ca="1">OFFSET(出欠!C5,0,$B$2)</f>
        <v>70</v>
      </c>
      <c r="L81" s="30"/>
      <c r="M81" s="30"/>
      <c r="N81" s="30"/>
    </row>
    <row r="82" spans="1:14" ht="19.5" customHeight="1">
      <c r="A82" s="124" t="str">
        <f>所見!B6</f>
        <v>良いと思うことは進んで行い、最後まで頑張ることができる</v>
      </c>
      <c r="B82" s="125"/>
      <c r="C82" s="126"/>
      <c r="D82" s="13" t="str">
        <f ca="1">OFFSET(所見!C6,0,$B$2)</f>
        <v>A</v>
      </c>
      <c r="F82" s="105" t="s">
        <v>22</v>
      </c>
      <c r="G82" s="106"/>
      <c r="H82" s="106"/>
      <c r="I82" s="13">
        <f ca="1">OFFSET(出欠!C6,0,$B$2)</f>
        <v>0</v>
      </c>
      <c r="L82" s="30"/>
      <c r="M82" s="30"/>
      <c r="N82" s="30"/>
    </row>
    <row r="83" spans="1:14" ht="19.5" customHeight="1">
      <c r="A83" s="124" t="str">
        <f>所見!B7</f>
        <v>自分でやらなければならないことは、しっかりと行うことができる</v>
      </c>
      <c r="B83" s="125"/>
      <c r="C83" s="126"/>
      <c r="D83" s="13" t="str">
        <f ca="1">OFFSET(所見!C7,0,$B$2)</f>
        <v>A</v>
      </c>
      <c r="F83" s="105" t="s">
        <v>16</v>
      </c>
      <c r="G83" s="106"/>
      <c r="H83" s="106"/>
      <c r="I83" s="13">
        <f ca="1">OFFSET(出欠!C7,0,$B$2)</f>
        <v>0</v>
      </c>
      <c r="L83" s="30"/>
      <c r="M83" s="30"/>
      <c r="N83" s="30"/>
    </row>
    <row r="84" spans="1:14" ht="19.5" customHeight="1">
      <c r="A84" s="124" t="str">
        <f>所見!B8</f>
        <v>自分で進んで考え、工夫しながら取り組むことができる</v>
      </c>
      <c r="B84" s="125"/>
      <c r="C84" s="126"/>
      <c r="D84" s="13" t="str">
        <f ca="1">OFFSET(所見!C8,0,$B$2)</f>
        <v>A</v>
      </c>
      <c r="F84" s="105" t="s">
        <v>17</v>
      </c>
      <c r="G84" s="106"/>
      <c r="H84" s="106"/>
      <c r="I84" s="13">
        <f ca="1">OFFSET(出欠!C8,0,$B$2)</f>
        <v>0</v>
      </c>
      <c r="L84" s="30"/>
      <c r="M84" s="30"/>
      <c r="N84" s="30"/>
    </row>
    <row r="85" spans="1:14" ht="19.5" customHeight="1">
      <c r="A85" s="124" t="str">
        <f>所見!B9</f>
        <v>身近にいる人々に親切にし、誰とでも助け合うことができる</v>
      </c>
      <c r="B85" s="125"/>
      <c r="C85" s="126"/>
      <c r="D85" s="15" t="str">
        <f ca="1">OFFSET(所見!C9,0,$B$2)</f>
        <v>A</v>
      </c>
      <c r="F85" s="136" t="str">
        <f ca="1">"備考： "&amp;INDIRECT("'出欠'!B"&amp;9+$B$2)</f>
        <v xml:space="preserve">備考： </v>
      </c>
      <c r="G85" s="137"/>
      <c r="H85" s="137"/>
      <c r="I85" s="138"/>
      <c r="L85" s="30"/>
      <c r="M85" s="30"/>
      <c r="N85" s="30"/>
    </row>
    <row r="86" spans="1:14" ht="19.5" customHeight="1">
      <c r="A86" s="124" t="str">
        <f>所見!B10</f>
        <v>自然に親しみ、生きているものに優しく接することができる</v>
      </c>
      <c r="B86" s="125"/>
      <c r="C86" s="126"/>
      <c r="D86" s="15" t="str">
        <f ca="1">OFFSET(所見!C10,0,$B$2)</f>
        <v>A</v>
      </c>
      <c r="F86" s="139"/>
      <c r="G86" s="140"/>
      <c r="H86" s="140"/>
      <c r="I86" s="141"/>
      <c r="L86" s="30"/>
      <c r="M86" s="30"/>
      <c r="N86" s="30"/>
    </row>
    <row r="87" spans="1:14" ht="19.5" customHeight="1">
      <c r="A87" s="145" t="str">
        <f>所見!B11</f>
        <v>手伝いや仕事を進んで行うことができる</v>
      </c>
      <c r="B87" s="146"/>
      <c r="C87" s="147"/>
      <c r="D87" s="16" t="str">
        <f ca="1">OFFSET(所見!C11,0,$B$2)</f>
        <v>A</v>
      </c>
      <c r="F87" s="142"/>
      <c r="G87" s="143"/>
      <c r="H87" s="143"/>
      <c r="I87" s="144"/>
      <c r="L87" s="30"/>
      <c r="M87" s="30"/>
      <c r="N87" s="25"/>
    </row>
    <row r="88" spans="1:14" ht="18.75" customHeight="1">
      <c r="A88" s="26"/>
      <c r="B88" s="28"/>
      <c r="C88" s="28"/>
      <c r="D88" s="29"/>
      <c r="F88" s="24"/>
      <c r="G88" s="24"/>
      <c r="H88" s="24"/>
      <c r="I88" s="24"/>
      <c r="L88" s="25"/>
      <c r="M88" s="25"/>
      <c r="N88" s="25"/>
    </row>
    <row r="89" spans="1:14" ht="39" customHeight="1">
      <c r="A89" s="132" t="s">
        <v>24</v>
      </c>
      <c r="B89" s="133"/>
      <c r="C89" s="134" t="str">
        <f ca="1">INDIRECT("'所見'!B"&amp;12+$B$2)</f>
        <v>給食係</v>
      </c>
      <c r="D89" s="134"/>
      <c r="E89" s="134"/>
      <c r="F89" s="134"/>
      <c r="G89" s="134"/>
      <c r="H89" s="134"/>
      <c r="I89" s="135"/>
      <c r="L89" s="25"/>
      <c r="M89" s="25"/>
    </row>
    <row r="90" spans="1:14" ht="18.75" customHeight="1">
      <c r="C90" s="14"/>
    </row>
    <row r="91" spans="1:14" ht="183" customHeight="1">
      <c r="A91" s="23" t="s">
        <v>12</v>
      </c>
      <c r="B91" s="91" t="str">
        <f ca="1">INDIRECT("'所見'!B"&amp;$Q$5+$B$2)</f>
        <v>1学期を通じて、一日も休まず元気に登校することができました。あらゆる教科で、真面目に一生懸命取り組むことができ、素晴らしかったです。常に文字や絵を丁寧にかくことができて、結子さんのノートやワークシートは、みんなの模範となりました。国語も算数も、1学期の学習内容をしっかりと習得することができ、テストや全国模試では、優秀な成績を収めることができました。国語の「はなのみち」では、くまとりすの会話を想像力豊かに考えました。算数では、計算がスムーズにできるようになりました。文章題では、立式に戸惑うことがあったので、夏休みに復習しておきましょう。発言や発表は積極的で、はっきりとみんなに伝えることができ、給食係として、朝の会や帰りの会では、みんなに良い声掛けができました。少しマイペースなところがあり、着替えや準備に時間がかかってしまうことがあるので、素早くできるように頑張りましょう。正しいことを主張できる強さやリーダー性があるので、2学期もみんなをリードして活躍することを期待しています。</v>
      </c>
      <c r="C91" s="92"/>
      <c r="D91" s="92"/>
      <c r="E91" s="92"/>
      <c r="F91" s="92"/>
      <c r="G91" s="92"/>
      <c r="H91" s="92"/>
      <c r="I91" s="93"/>
    </row>
  </sheetData>
  <mergeCells count="112">
    <mergeCell ref="A89:B89"/>
    <mergeCell ref="C89:I89"/>
    <mergeCell ref="F85:I87"/>
    <mergeCell ref="A85:C85"/>
    <mergeCell ref="A86:C86"/>
    <mergeCell ref="A87:C87"/>
    <mergeCell ref="A77:D77"/>
    <mergeCell ref="F80:H80"/>
    <mergeCell ref="F79:H79"/>
    <mergeCell ref="F83:H83"/>
    <mergeCell ref="F84:H84"/>
    <mergeCell ref="F77:I77"/>
    <mergeCell ref="F81:H81"/>
    <mergeCell ref="B62:F62"/>
    <mergeCell ref="B63:F63"/>
    <mergeCell ref="A43:A52"/>
    <mergeCell ref="B43:F43"/>
    <mergeCell ref="B44:F44"/>
    <mergeCell ref="B45:F45"/>
    <mergeCell ref="B46:F46"/>
    <mergeCell ref="B64:F64"/>
    <mergeCell ref="B73:F73"/>
    <mergeCell ref="A55:A64"/>
    <mergeCell ref="B61:F61"/>
    <mergeCell ref="B55:F55"/>
    <mergeCell ref="B56:F56"/>
    <mergeCell ref="B57:F57"/>
    <mergeCell ref="A65:A74"/>
    <mergeCell ref="B68:F68"/>
    <mergeCell ref="B69:F69"/>
    <mergeCell ref="B70:F70"/>
    <mergeCell ref="B71:F71"/>
    <mergeCell ref="B59:F59"/>
    <mergeCell ref="B60:F60"/>
    <mergeCell ref="B9:F9"/>
    <mergeCell ref="B10:F10"/>
    <mergeCell ref="B11:F11"/>
    <mergeCell ref="B12:F12"/>
    <mergeCell ref="B13:F13"/>
    <mergeCell ref="B58:F58"/>
    <mergeCell ref="B23:F23"/>
    <mergeCell ref="B16:F16"/>
    <mergeCell ref="B17:F17"/>
    <mergeCell ref="B18:F18"/>
    <mergeCell ref="B19:F19"/>
    <mergeCell ref="B20:F20"/>
    <mergeCell ref="B21:F21"/>
    <mergeCell ref="B22:F22"/>
    <mergeCell ref="B41:F41"/>
    <mergeCell ref="B24:F24"/>
    <mergeCell ref="H65:I74"/>
    <mergeCell ref="A78:C78"/>
    <mergeCell ref="A79:C79"/>
    <mergeCell ref="A80:C80"/>
    <mergeCell ref="A81:C81"/>
    <mergeCell ref="A82:C82"/>
    <mergeCell ref="A83:C83"/>
    <mergeCell ref="A84:C84"/>
    <mergeCell ref="B72:F72"/>
    <mergeCell ref="B74:F74"/>
    <mergeCell ref="B65:F65"/>
    <mergeCell ref="B66:F66"/>
    <mergeCell ref="B67:F67"/>
    <mergeCell ref="F78:H78"/>
    <mergeCell ref="A16:A25"/>
    <mergeCell ref="A1:B1"/>
    <mergeCell ref="C1:G1"/>
    <mergeCell ref="G2:I2"/>
    <mergeCell ref="H6:I15"/>
    <mergeCell ref="A6:A15"/>
    <mergeCell ref="B38:F38"/>
    <mergeCell ref="B39:F39"/>
    <mergeCell ref="H34:I42"/>
    <mergeCell ref="H16:I25"/>
    <mergeCell ref="H26:I33"/>
    <mergeCell ref="B14:F14"/>
    <mergeCell ref="B15:F15"/>
    <mergeCell ref="B25:F25"/>
    <mergeCell ref="A26:A33"/>
    <mergeCell ref="B26:F26"/>
    <mergeCell ref="B27:F27"/>
    <mergeCell ref="B28:F28"/>
    <mergeCell ref="B29:F29"/>
    <mergeCell ref="A34:A42"/>
    <mergeCell ref="B34:F34"/>
    <mergeCell ref="B35:F35"/>
    <mergeCell ref="B36:F36"/>
    <mergeCell ref="B37:F37"/>
    <mergeCell ref="K7:L7"/>
    <mergeCell ref="B91:I91"/>
    <mergeCell ref="A4:I4"/>
    <mergeCell ref="B6:F6"/>
    <mergeCell ref="B7:F7"/>
    <mergeCell ref="B8:F8"/>
    <mergeCell ref="H5:I5"/>
    <mergeCell ref="F82:H82"/>
    <mergeCell ref="H55:I64"/>
    <mergeCell ref="H43:I52"/>
    <mergeCell ref="B32:F32"/>
    <mergeCell ref="B40:F40"/>
    <mergeCell ref="B49:F49"/>
    <mergeCell ref="B30:F30"/>
    <mergeCell ref="B31:F31"/>
    <mergeCell ref="B33:F33"/>
    <mergeCell ref="B42:F42"/>
    <mergeCell ref="B47:F47"/>
    <mergeCell ref="B48:F48"/>
    <mergeCell ref="B50:F50"/>
    <mergeCell ref="B51:F51"/>
    <mergeCell ref="B52:F52"/>
    <mergeCell ref="B5:F5"/>
    <mergeCell ref="B75:I75"/>
  </mergeCells>
  <phoneticPr fontId="1"/>
  <conditionalFormatting sqref="F85 B91 B55:B75 D78:D88 A78:A88 C89 B6:B52 C53:F54 G6:G74 L79:M89 M78 N77:N88">
    <cfRule type="cellIs" dxfId="13"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4" fitToHeight="2"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4"/>
  <sheetViews>
    <sheetView view="pageBreakPreview" zoomScaleNormal="70" zoomScaleSheetLayoutView="100" workbookViewId="0">
      <selection activeCell="B3" sqref="B3"/>
    </sheetView>
  </sheetViews>
  <sheetFormatPr defaultRowHeight="13.5"/>
  <cols>
    <col min="1" max="2" width="4.25" style="8" customWidth="1"/>
    <col min="3" max="3" width="95" style="8" customWidth="1"/>
    <col min="4" max="16384" width="9" style="8"/>
  </cols>
  <sheetData>
    <row r="1" spans="1:3" ht="18.75" customHeight="1">
      <c r="A1" s="149" t="str">
        <f ca="1">通知票!A1</f>
        <v>１－２</v>
      </c>
      <c r="B1" s="116"/>
      <c r="C1" s="53" t="str">
        <f ca="1">通知票!C1</f>
        <v>1学期</v>
      </c>
    </row>
    <row r="2" spans="1:3" ht="18.75" customHeight="1">
      <c r="A2" s="54" t="s">
        <v>53</v>
      </c>
      <c r="B2" s="53">
        <v>14</v>
      </c>
      <c r="C2" s="65">
        <f ca="1">INDIRECT("'所見'!A"&amp;12+$B$2)</f>
        <v>0</v>
      </c>
    </row>
    <row r="3" spans="1:3" ht="12" customHeight="1">
      <c r="C3" s="9"/>
    </row>
    <row r="4" spans="1:3" ht="18.75" customHeight="1">
      <c r="A4" s="55" t="s">
        <v>5</v>
      </c>
      <c r="B4" s="56" t="s">
        <v>7</v>
      </c>
      <c r="C4" s="22" t="s">
        <v>54</v>
      </c>
    </row>
    <row r="5" spans="1:3" ht="75" customHeight="1">
      <c r="A5" s="57" t="s">
        <v>9</v>
      </c>
      <c r="B5" s="58">
        <f ca="1">OFFSET(国語!C12,0,$B$2)</f>
        <v>0</v>
      </c>
      <c r="C5" s="59">
        <f ca="1">INDIRECT("'国語'!B"&amp;14+$B$2)</f>
        <v>0</v>
      </c>
    </row>
    <row r="6" spans="1:3" ht="75" customHeight="1">
      <c r="A6" s="60" t="s">
        <v>1</v>
      </c>
      <c r="B6" s="61">
        <f ca="1">OFFSET(算数!C12,0,$B$2)</f>
        <v>0</v>
      </c>
      <c r="C6" s="62">
        <f ca="1">INDIRECT("'算数'!B"&amp;14+$B$2)</f>
        <v>0</v>
      </c>
    </row>
    <row r="7" spans="1:3" ht="75" customHeight="1">
      <c r="A7" s="57" t="s">
        <v>55</v>
      </c>
      <c r="B7" s="58">
        <f ca="1">OFFSET(生活!C12,0,$B$2)</f>
        <v>0</v>
      </c>
      <c r="C7" s="59">
        <f ca="1">INDIRECT("'生活'!B"&amp;14+$B$2)</f>
        <v>0</v>
      </c>
    </row>
    <row r="8" spans="1:3" ht="75" customHeight="1">
      <c r="A8" s="60" t="s">
        <v>10</v>
      </c>
      <c r="B8" s="61">
        <f ca="1">OFFSET(英語!C12,0,$B$2)</f>
        <v>0</v>
      </c>
      <c r="C8" s="62">
        <f ca="1">INDIRECT("'英語'!B"&amp;14+$B$2)</f>
        <v>0</v>
      </c>
    </row>
    <row r="9" spans="1:3" ht="75" customHeight="1">
      <c r="A9" s="57" t="s">
        <v>4</v>
      </c>
      <c r="B9" s="58">
        <f ca="1">OFFSET(音楽!C12,0,$B$2)</f>
        <v>0</v>
      </c>
      <c r="C9" s="59">
        <f ca="1">INDIRECT("'音楽'!B"&amp;14+$B$2)</f>
        <v>0</v>
      </c>
    </row>
    <row r="10" spans="1:3" ht="75" customHeight="1">
      <c r="A10" s="60" t="s">
        <v>2</v>
      </c>
      <c r="B10" s="61">
        <f ca="1">OFFSET(図工!C12,0,$B$2)</f>
        <v>0</v>
      </c>
      <c r="C10" s="62">
        <f ca="1">INDIRECT("'図工'!B"&amp;14+$B$2)</f>
        <v>0</v>
      </c>
    </row>
    <row r="11" spans="1:3" ht="75" customHeight="1">
      <c r="A11" s="57" t="s">
        <v>3</v>
      </c>
      <c r="B11" s="58">
        <f ca="1">OFFSET(体育!C12,0,$B$2)</f>
        <v>0</v>
      </c>
      <c r="C11" s="59">
        <f ca="1">INDIRECT("'体育'!B"&amp;14+$B$2)</f>
        <v>0</v>
      </c>
    </row>
    <row r="12" spans="1:3" ht="75" customHeight="1">
      <c r="A12" s="57" t="s">
        <v>25</v>
      </c>
      <c r="B12" s="150">
        <f ca="1">INDIRECT("'道徳'!B"&amp;2+$B$2)</f>
        <v>0</v>
      </c>
      <c r="C12" s="151"/>
    </row>
    <row r="13" spans="1:3" ht="18.75" customHeight="1">
      <c r="C13" s="63"/>
    </row>
    <row r="14" spans="1:3" ht="225" customHeight="1">
      <c r="A14" s="23" t="s">
        <v>12</v>
      </c>
      <c r="B14" s="64"/>
      <c r="C14" s="59">
        <f ca="1">INDIRECT("'所見'!B"&amp;通知票!$Q$5+$B$2)</f>
        <v>0</v>
      </c>
    </row>
  </sheetData>
  <mergeCells count="2">
    <mergeCell ref="A1:B1"/>
    <mergeCell ref="B12:C12"/>
  </mergeCells>
  <phoneticPr fontId="1"/>
  <conditionalFormatting sqref="C14 C5:C11">
    <cfRule type="cellIs" dxfId="12"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2"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Y188"/>
  <sheetViews>
    <sheetView workbookViewId="0">
      <selection sqref="A1:XFD1048576"/>
    </sheetView>
  </sheetViews>
  <sheetFormatPr defaultColWidth="9" defaultRowHeight="13.5"/>
  <cols>
    <col min="1" max="1" width="13.5" style="72" customWidth="1"/>
    <col min="2" max="2" width="79.125" style="72" customWidth="1"/>
    <col min="3" max="3" width="9.375" style="72" customWidth="1"/>
    <col min="4" max="23" width="4.125" style="72" customWidth="1"/>
    <col min="24" max="16384" width="9" style="72"/>
  </cols>
  <sheetData>
    <row r="1" spans="1:25" ht="85.5" customHeight="1">
      <c r="A1" s="70" t="str">
        <f ca="1">MID(CELL("filename",A1),FIND("[",CELL("filename",A1))+1,3)</f>
        <v>１－２</v>
      </c>
      <c r="B1" s="34" t="str">
        <f ca="1">RIGHT(CELL("filename",B1),LEN(CELL("filename",B1))-FIND("]",CELL("filename",B1)))</f>
        <v>国語</v>
      </c>
      <c r="C1" s="35" t="s">
        <v>26</v>
      </c>
      <c r="D1" s="36" t="str">
        <f>A15</f>
        <v>淺輪 景都</v>
      </c>
      <c r="E1" s="36" t="str">
        <f>A16</f>
        <v>太谷 高志</v>
      </c>
      <c r="F1" s="36" t="str">
        <f>A17</f>
        <v>加藤 裕吾</v>
      </c>
      <c r="G1" s="36" t="str">
        <f>A18</f>
        <v>後藤 朱里</v>
      </c>
      <c r="H1" s="36" t="str">
        <f>A19</f>
        <v>上甲 絃葉</v>
      </c>
      <c r="I1" s="36" t="str">
        <f>A20</f>
        <v>須田 陽貴</v>
      </c>
      <c r="J1" s="36" t="str">
        <f>A21</f>
        <v>高藤 遙舞</v>
      </c>
      <c r="K1" s="36" t="str">
        <f>A22</f>
        <v>立石 結子</v>
      </c>
      <c r="L1" s="36" t="str">
        <f>A23</f>
        <v>月岡 和香</v>
      </c>
      <c r="M1" s="36" t="str">
        <f>A24</f>
        <v>中村 祐香子</v>
      </c>
      <c r="N1" s="36" t="str">
        <f>A25</f>
        <v>藤森 結</v>
      </c>
      <c r="O1" s="36" t="str">
        <f>A26</f>
        <v>吉澤 紘風</v>
      </c>
      <c r="P1" s="36">
        <f>A27</f>
        <v>0</v>
      </c>
      <c r="Q1" s="36">
        <f>A28</f>
        <v>0</v>
      </c>
      <c r="R1" s="36">
        <f>A29</f>
        <v>0</v>
      </c>
      <c r="S1" s="36">
        <f>A30</f>
        <v>0</v>
      </c>
      <c r="T1" s="36">
        <f>A31</f>
        <v>0</v>
      </c>
      <c r="U1" s="36">
        <f>A32</f>
        <v>0</v>
      </c>
      <c r="V1" s="36">
        <f>A33</f>
        <v>0</v>
      </c>
      <c r="W1" s="36">
        <f>A34</f>
        <v>0</v>
      </c>
      <c r="X1" s="71"/>
    </row>
    <row r="2" spans="1:25" ht="22.5" customHeight="1">
      <c r="A2" s="155" t="s">
        <v>153</v>
      </c>
      <c r="B2" s="67" t="s">
        <v>27</v>
      </c>
      <c r="C2" s="38" t="s">
        <v>28</v>
      </c>
      <c r="D2" s="73" t="s">
        <v>65</v>
      </c>
      <c r="E2" s="73" t="s">
        <v>65</v>
      </c>
      <c r="F2" s="73" t="s">
        <v>83</v>
      </c>
      <c r="G2" s="73" t="s">
        <v>65</v>
      </c>
      <c r="H2" s="73" t="s">
        <v>158</v>
      </c>
      <c r="I2" s="73" t="s">
        <v>83</v>
      </c>
      <c r="J2" s="73" t="s">
        <v>159</v>
      </c>
      <c r="K2" s="73" t="s">
        <v>158</v>
      </c>
      <c r="L2" s="73" t="s">
        <v>159</v>
      </c>
      <c r="M2" s="73" t="s">
        <v>159</v>
      </c>
      <c r="N2" s="73" t="s">
        <v>158</v>
      </c>
      <c r="O2" s="73" t="s">
        <v>158</v>
      </c>
      <c r="P2" s="73"/>
      <c r="Q2" s="73"/>
      <c r="R2" s="73"/>
      <c r="S2" s="73"/>
      <c r="T2" s="73"/>
      <c r="U2" s="73"/>
      <c r="V2" s="73"/>
      <c r="W2" s="73"/>
      <c r="X2" s="74" t="s">
        <v>158</v>
      </c>
      <c r="Y2" s="74">
        <v>1</v>
      </c>
    </row>
    <row r="3" spans="1:25" ht="22.5" customHeight="1">
      <c r="A3" s="156"/>
      <c r="B3" s="67" t="s">
        <v>29</v>
      </c>
      <c r="C3" s="38" t="s">
        <v>28</v>
      </c>
      <c r="D3" s="73" t="s">
        <v>158</v>
      </c>
      <c r="E3" s="73" t="s">
        <v>159</v>
      </c>
      <c r="F3" s="73" t="s">
        <v>158</v>
      </c>
      <c r="G3" s="73" t="s">
        <v>158</v>
      </c>
      <c r="H3" s="73" t="s">
        <v>158</v>
      </c>
      <c r="I3" s="73" t="s">
        <v>158</v>
      </c>
      <c r="J3" s="73" t="s">
        <v>159</v>
      </c>
      <c r="K3" s="73" t="s">
        <v>158</v>
      </c>
      <c r="L3" s="73" t="s">
        <v>158</v>
      </c>
      <c r="M3" s="73" t="s">
        <v>159</v>
      </c>
      <c r="N3" s="73" t="s">
        <v>158</v>
      </c>
      <c r="O3" s="73" t="s">
        <v>159</v>
      </c>
      <c r="P3" s="73"/>
      <c r="Q3" s="73"/>
      <c r="R3" s="73"/>
      <c r="S3" s="73"/>
      <c r="T3" s="73"/>
      <c r="U3" s="73"/>
      <c r="V3" s="73"/>
      <c r="W3" s="73"/>
      <c r="X3" s="74" t="s">
        <v>159</v>
      </c>
      <c r="Y3" s="74">
        <v>2</v>
      </c>
    </row>
    <row r="4" spans="1:25" ht="22.5" customHeight="1">
      <c r="A4" s="156"/>
      <c r="B4" s="67" t="s">
        <v>30</v>
      </c>
      <c r="C4" s="38" t="s">
        <v>28</v>
      </c>
      <c r="D4" s="73" t="s">
        <v>158</v>
      </c>
      <c r="E4" s="73" t="s">
        <v>158</v>
      </c>
      <c r="F4" s="73" t="s">
        <v>159</v>
      </c>
      <c r="G4" s="73" t="s">
        <v>159</v>
      </c>
      <c r="H4" s="73" t="s">
        <v>158</v>
      </c>
      <c r="I4" s="73" t="s">
        <v>159</v>
      </c>
      <c r="J4" s="73" t="s">
        <v>159</v>
      </c>
      <c r="K4" s="73" t="s">
        <v>158</v>
      </c>
      <c r="L4" s="73" t="s">
        <v>159</v>
      </c>
      <c r="M4" s="73" t="s">
        <v>159</v>
      </c>
      <c r="N4" s="73" t="s">
        <v>158</v>
      </c>
      <c r="O4" s="73" t="s">
        <v>159</v>
      </c>
      <c r="P4" s="73"/>
      <c r="Q4" s="73"/>
      <c r="R4" s="73"/>
      <c r="S4" s="73"/>
      <c r="T4" s="73"/>
      <c r="U4" s="73"/>
      <c r="V4" s="73"/>
      <c r="W4" s="73"/>
      <c r="X4" s="74" t="s">
        <v>160</v>
      </c>
      <c r="Y4" s="74">
        <v>3</v>
      </c>
    </row>
    <row r="5" spans="1:25" ht="22.5" customHeight="1">
      <c r="A5" s="156"/>
      <c r="B5" s="67" t="s">
        <v>31</v>
      </c>
      <c r="C5" s="38" t="s">
        <v>28</v>
      </c>
      <c r="D5" s="73" t="s">
        <v>158</v>
      </c>
      <c r="E5" s="73" t="s">
        <v>158</v>
      </c>
      <c r="F5" s="73" t="s">
        <v>158</v>
      </c>
      <c r="G5" s="73" t="s">
        <v>158</v>
      </c>
      <c r="H5" s="73" t="s">
        <v>158</v>
      </c>
      <c r="I5" s="73" t="s">
        <v>158</v>
      </c>
      <c r="J5" s="73" t="s">
        <v>158</v>
      </c>
      <c r="K5" s="73" t="s">
        <v>158</v>
      </c>
      <c r="L5" s="73" t="s">
        <v>159</v>
      </c>
      <c r="M5" s="73" t="s">
        <v>158</v>
      </c>
      <c r="N5" s="73" t="s">
        <v>158</v>
      </c>
      <c r="O5" s="73" t="s">
        <v>158</v>
      </c>
      <c r="P5" s="73"/>
      <c r="Q5" s="73"/>
      <c r="R5" s="73"/>
      <c r="S5" s="73"/>
      <c r="T5" s="73"/>
      <c r="U5" s="73"/>
      <c r="V5" s="73"/>
      <c r="W5" s="73"/>
      <c r="X5" s="74" t="s">
        <v>161</v>
      </c>
      <c r="Y5" s="74">
        <v>4</v>
      </c>
    </row>
    <row r="6" spans="1:25" ht="22.5" customHeight="1">
      <c r="A6" s="156"/>
      <c r="B6" s="67" t="s">
        <v>34</v>
      </c>
      <c r="C6" s="38" t="s">
        <v>28</v>
      </c>
      <c r="D6" s="73" t="s">
        <v>159</v>
      </c>
      <c r="E6" s="73" t="s">
        <v>159</v>
      </c>
      <c r="F6" s="73" t="s">
        <v>158</v>
      </c>
      <c r="G6" s="73" t="s">
        <v>159</v>
      </c>
      <c r="H6" s="73" t="s">
        <v>158</v>
      </c>
      <c r="I6" s="73" t="s">
        <v>159</v>
      </c>
      <c r="J6" s="73" t="s">
        <v>159</v>
      </c>
      <c r="K6" s="73" t="s">
        <v>158</v>
      </c>
      <c r="L6" s="73" t="s">
        <v>158</v>
      </c>
      <c r="M6" s="73" t="s">
        <v>158</v>
      </c>
      <c r="N6" s="73" t="s">
        <v>158</v>
      </c>
      <c r="O6" s="73" t="s">
        <v>159</v>
      </c>
      <c r="P6" s="73"/>
      <c r="Q6" s="73"/>
      <c r="R6" s="73"/>
      <c r="S6" s="73"/>
      <c r="T6" s="73"/>
      <c r="U6" s="73"/>
      <c r="V6" s="73"/>
      <c r="W6" s="73"/>
      <c r="X6" s="74"/>
      <c r="Y6" s="74">
        <v>5</v>
      </c>
    </row>
    <row r="7" spans="1:25" ht="22.5" customHeight="1">
      <c r="A7" s="156"/>
      <c r="B7" s="67" t="s">
        <v>32</v>
      </c>
      <c r="C7" s="38" t="s">
        <v>28</v>
      </c>
      <c r="D7" s="73" t="s">
        <v>159</v>
      </c>
      <c r="E7" s="73" t="s">
        <v>158</v>
      </c>
      <c r="F7" s="73" t="s">
        <v>158</v>
      </c>
      <c r="G7" s="73" t="s">
        <v>158</v>
      </c>
      <c r="H7" s="73" t="s">
        <v>158</v>
      </c>
      <c r="I7" s="73" t="s">
        <v>158</v>
      </c>
      <c r="J7" s="73" t="s">
        <v>159</v>
      </c>
      <c r="K7" s="73" t="s">
        <v>158</v>
      </c>
      <c r="L7" s="73" t="s">
        <v>159</v>
      </c>
      <c r="M7" s="73" t="s">
        <v>158</v>
      </c>
      <c r="N7" s="73" t="s">
        <v>158</v>
      </c>
      <c r="O7" s="73" t="s">
        <v>158</v>
      </c>
      <c r="P7" s="73"/>
      <c r="Q7" s="73"/>
      <c r="R7" s="73"/>
      <c r="S7" s="73"/>
      <c r="T7" s="73"/>
      <c r="U7" s="73"/>
      <c r="V7" s="73"/>
      <c r="W7" s="73"/>
      <c r="X7" s="74"/>
      <c r="Y7" s="74" t="s">
        <v>161</v>
      </c>
    </row>
    <row r="8" spans="1:25" ht="22.5" customHeight="1">
      <c r="A8" s="156"/>
      <c r="B8" s="67" t="s">
        <v>33</v>
      </c>
      <c r="C8" s="38" t="s">
        <v>28</v>
      </c>
      <c r="D8" s="73" t="s">
        <v>158</v>
      </c>
      <c r="E8" s="73" t="s">
        <v>158</v>
      </c>
      <c r="F8" s="73" t="s">
        <v>158</v>
      </c>
      <c r="G8" s="73" t="s">
        <v>158</v>
      </c>
      <c r="H8" s="73" t="s">
        <v>158</v>
      </c>
      <c r="I8" s="73" t="s">
        <v>158</v>
      </c>
      <c r="J8" s="73" t="s">
        <v>159</v>
      </c>
      <c r="K8" s="73" t="s">
        <v>158</v>
      </c>
      <c r="L8" s="73" t="s">
        <v>158</v>
      </c>
      <c r="M8" s="73" t="s">
        <v>158</v>
      </c>
      <c r="N8" s="73" t="s">
        <v>158</v>
      </c>
      <c r="O8" s="73" t="s">
        <v>158</v>
      </c>
      <c r="P8" s="73"/>
      <c r="Q8" s="73"/>
      <c r="R8" s="73"/>
      <c r="S8" s="73"/>
      <c r="T8" s="73"/>
      <c r="U8" s="73"/>
      <c r="V8" s="73"/>
      <c r="W8" s="73"/>
    </row>
    <row r="9" spans="1:25" ht="22.5" customHeight="1">
      <c r="A9" s="156"/>
      <c r="B9" s="67" t="s">
        <v>57</v>
      </c>
      <c r="C9" s="38" t="s">
        <v>28</v>
      </c>
      <c r="D9" s="73" t="s">
        <v>158</v>
      </c>
      <c r="E9" s="73" t="s">
        <v>158</v>
      </c>
      <c r="F9" s="73" t="s">
        <v>159</v>
      </c>
      <c r="G9" s="73" t="s">
        <v>159</v>
      </c>
      <c r="H9" s="73" t="s">
        <v>158</v>
      </c>
      <c r="I9" s="73" t="s">
        <v>158</v>
      </c>
      <c r="J9" s="73" t="s">
        <v>159</v>
      </c>
      <c r="K9" s="73" t="s">
        <v>158</v>
      </c>
      <c r="L9" s="73" t="s">
        <v>159</v>
      </c>
      <c r="M9" s="73" t="s">
        <v>158</v>
      </c>
      <c r="N9" s="73" t="s">
        <v>158</v>
      </c>
      <c r="O9" s="73" t="s">
        <v>159</v>
      </c>
      <c r="P9" s="73"/>
      <c r="Q9" s="73"/>
      <c r="R9" s="73"/>
      <c r="S9" s="73"/>
      <c r="T9" s="73"/>
      <c r="U9" s="73"/>
      <c r="V9" s="73"/>
      <c r="W9" s="73"/>
    </row>
    <row r="10" spans="1:25" ht="22.5" customHeight="1">
      <c r="A10" s="156"/>
      <c r="B10" s="41"/>
      <c r="C10" s="38" t="s">
        <v>28</v>
      </c>
      <c r="D10" s="73"/>
      <c r="E10" s="73"/>
      <c r="F10" s="73"/>
      <c r="G10" s="73"/>
      <c r="H10" s="73"/>
      <c r="I10" s="73"/>
      <c r="J10" s="73"/>
      <c r="K10" s="73"/>
      <c r="L10" s="73"/>
      <c r="M10" s="73"/>
      <c r="N10" s="73"/>
      <c r="O10" s="73"/>
      <c r="P10" s="73"/>
      <c r="Q10" s="73"/>
      <c r="R10" s="73"/>
      <c r="S10" s="73"/>
      <c r="T10" s="73"/>
      <c r="U10" s="73"/>
      <c r="V10" s="73"/>
      <c r="W10" s="73"/>
    </row>
    <row r="11" spans="1:25" ht="22.5" customHeight="1">
      <c r="A11" s="156"/>
      <c r="B11" s="41"/>
      <c r="C11" s="38" t="s">
        <v>28</v>
      </c>
      <c r="D11" s="73"/>
      <c r="E11" s="73"/>
      <c r="F11" s="73"/>
      <c r="G11" s="73"/>
      <c r="H11" s="73"/>
      <c r="I11" s="73"/>
      <c r="J11" s="73"/>
      <c r="K11" s="73"/>
      <c r="L11" s="73"/>
      <c r="M11" s="73"/>
      <c r="N11" s="73"/>
      <c r="O11" s="73"/>
      <c r="P11" s="73"/>
      <c r="Q11" s="73"/>
      <c r="R11" s="73"/>
      <c r="S11" s="73"/>
      <c r="T11" s="73"/>
      <c r="U11" s="73"/>
      <c r="V11" s="73"/>
      <c r="W11" s="73"/>
    </row>
    <row r="12" spans="1:25" ht="30" customHeight="1">
      <c r="A12" s="157"/>
      <c r="B12" s="42"/>
      <c r="C12" s="43" t="s">
        <v>35</v>
      </c>
      <c r="D12" s="73">
        <v>5</v>
      </c>
      <c r="E12" s="73">
        <v>5</v>
      </c>
      <c r="F12" s="73">
        <v>4</v>
      </c>
      <c r="G12" s="73">
        <v>4</v>
      </c>
      <c r="H12" s="73">
        <v>5</v>
      </c>
      <c r="I12" s="73">
        <v>4</v>
      </c>
      <c r="J12" s="73">
        <v>3</v>
      </c>
      <c r="K12" s="73">
        <v>5</v>
      </c>
      <c r="L12" s="73">
        <v>4</v>
      </c>
      <c r="M12" s="73">
        <v>4</v>
      </c>
      <c r="N12" s="73">
        <v>5</v>
      </c>
      <c r="O12" s="73">
        <v>4</v>
      </c>
      <c r="P12" s="73"/>
      <c r="Q12" s="73"/>
      <c r="R12" s="73"/>
      <c r="S12" s="73"/>
      <c r="T12" s="73"/>
      <c r="U12" s="73"/>
      <c r="V12" s="73"/>
      <c r="W12" s="73"/>
    </row>
    <row r="13" spans="1:25" ht="26.25" customHeight="1">
      <c r="A13" s="75"/>
      <c r="B13" s="75"/>
      <c r="C13" s="68" t="s">
        <v>64</v>
      </c>
      <c r="D13" s="76"/>
      <c r="E13" s="76"/>
      <c r="F13" s="76"/>
      <c r="G13" s="76"/>
      <c r="H13" s="76"/>
      <c r="I13" s="76"/>
      <c r="J13" s="76"/>
      <c r="K13" s="76"/>
      <c r="L13" s="76"/>
      <c r="M13" s="76"/>
      <c r="N13" s="76"/>
      <c r="O13" s="76"/>
      <c r="P13" s="76"/>
      <c r="Q13" s="76"/>
      <c r="R13" s="76"/>
      <c r="S13" s="76"/>
      <c r="T13" s="76"/>
      <c r="U13" s="76"/>
      <c r="V13" s="76"/>
      <c r="W13" s="76"/>
    </row>
    <row r="14" spans="1:25" ht="22.5" customHeight="1">
      <c r="A14" s="45" t="s">
        <v>36</v>
      </c>
      <c r="B14" s="158" t="s">
        <v>37</v>
      </c>
      <c r="C14" s="159"/>
      <c r="D14" s="159"/>
      <c r="E14" s="159"/>
      <c r="F14" s="159"/>
      <c r="G14" s="159"/>
      <c r="H14" s="159"/>
      <c r="I14" s="159"/>
      <c r="J14" s="159"/>
      <c r="K14" s="159"/>
      <c r="L14" s="159"/>
      <c r="M14" s="159"/>
      <c r="N14" s="159"/>
      <c r="O14" s="159"/>
      <c r="P14" s="159"/>
      <c r="Q14" s="159"/>
      <c r="R14" s="159"/>
      <c r="S14" s="159"/>
      <c r="T14" s="159"/>
      <c r="U14" s="159"/>
      <c r="V14" s="159"/>
      <c r="W14" s="160"/>
    </row>
    <row r="15" spans="1:25" ht="59.25" customHeight="1">
      <c r="A15" s="77" t="s">
        <v>84</v>
      </c>
      <c r="B15" s="152"/>
      <c r="C15" s="153"/>
      <c r="D15" s="153"/>
      <c r="E15" s="153"/>
      <c r="F15" s="153"/>
      <c r="G15" s="153"/>
      <c r="H15" s="153"/>
      <c r="I15" s="153"/>
      <c r="J15" s="153"/>
      <c r="K15" s="153"/>
      <c r="L15" s="153"/>
      <c r="M15" s="153"/>
      <c r="N15" s="153"/>
      <c r="O15" s="153"/>
      <c r="P15" s="153"/>
      <c r="Q15" s="153"/>
      <c r="R15" s="153"/>
      <c r="S15" s="153"/>
      <c r="T15" s="153"/>
      <c r="U15" s="153"/>
      <c r="V15" s="153"/>
      <c r="W15" s="154"/>
    </row>
    <row r="16" spans="1:25" ht="59.25" customHeight="1">
      <c r="A16" s="77" t="s">
        <v>85</v>
      </c>
      <c r="B16" s="152"/>
      <c r="C16" s="153"/>
      <c r="D16" s="153"/>
      <c r="E16" s="153"/>
      <c r="F16" s="153"/>
      <c r="G16" s="153"/>
      <c r="H16" s="153"/>
      <c r="I16" s="153"/>
      <c r="J16" s="153"/>
      <c r="K16" s="153"/>
      <c r="L16" s="153"/>
      <c r="M16" s="153"/>
      <c r="N16" s="153"/>
      <c r="O16" s="153"/>
      <c r="P16" s="153"/>
      <c r="Q16" s="153"/>
      <c r="R16" s="153"/>
      <c r="S16" s="153"/>
      <c r="T16" s="153"/>
      <c r="U16" s="153"/>
      <c r="V16" s="153"/>
      <c r="W16" s="154"/>
    </row>
    <row r="17" spans="1:23" ht="59.25" customHeight="1">
      <c r="A17" s="77" t="s">
        <v>86</v>
      </c>
      <c r="B17" s="152"/>
      <c r="C17" s="153"/>
      <c r="D17" s="153"/>
      <c r="E17" s="153"/>
      <c r="F17" s="153"/>
      <c r="G17" s="153"/>
      <c r="H17" s="153"/>
      <c r="I17" s="153"/>
      <c r="J17" s="153"/>
      <c r="K17" s="153"/>
      <c r="L17" s="153"/>
      <c r="M17" s="153"/>
      <c r="N17" s="153"/>
      <c r="O17" s="153"/>
      <c r="P17" s="153"/>
      <c r="Q17" s="153"/>
      <c r="R17" s="153"/>
      <c r="S17" s="153"/>
      <c r="T17" s="153"/>
      <c r="U17" s="153"/>
      <c r="V17" s="153"/>
      <c r="W17" s="154"/>
    </row>
    <row r="18" spans="1:23" ht="59.25" customHeight="1">
      <c r="A18" s="77" t="s">
        <v>87</v>
      </c>
      <c r="B18" s="152"/>
      <c r="C18" s="153"/>
      <c r="D18" s="153"/>
      <c r="E18" s="153"/>
      <c r="F18" s="153"/>
      <c r="G18" s="153"/>
      <c r="H18" s="153"/>
      <c r="I18" s="153"/>
      <c r="J18" s="153"/>
      <c r="K18" s="153"/>
      <c r="L18" s="153"/>
      <c r="M18" s="153"/>
      <c r="N18" s="153"/>
      <c r="O18" s="153"/>
      <c r="P18" s="153"/>
      <c r="Q18" s="153"/>
      <c r="R18" s="153"/>
      <c r="S18" s="153"/>
      <c r="T18" s="153"/>
      <c r="U18" s="153"/>
      <c r="V18" s="153"/>
      <c r="W18" s="154"/>
    </row>
    <row r="19" spans="1:23" ht="59.25" customHeight="1">
      <c r="A19" s="77" t="s">
        <v>88</v>
      </c>
      <c r="B19" s="152"/>
      <c r="C19" s="153"/>
      <c r="D19" s="153"/>
      <c r="E19" s="153"/>
      <c r="F19" s="153"/>
      <c r="G19" s="153"/>
      <c r="H19" s="153"/>
      <c r="I19" s="153"/>
      <c r="J19" s="153"/>
      <c r="K19" s="153"/>
      <c r="L19" s="153"/>
      <c r="M19" s="153"/>
      <c r="N19" s="153"/>
      <c r="O19" s="153"/>
      <c r="P19" s="153"/>
      <c r="Q19" s="153"/>
      <c r="R19" s="153"/>
      <c r="S19" s="153"/>
      <c r="T19" s="153"/>
      <c r="U19" s="153"/>
      <c r="V19" s="153"/>
      <c r="W19" s="154"/>
    </row>
    <row r="20" spans="1:23" ht="59.25" customHeight="1">
      <c r="A20" s="77" t="s">
        <v>89</v>
      </c>
      <c r="B20" s="152"/>
      <c r="C20" s="153"/>
      <c r="D20" s="153"/>
      <c r="E20" s="153"/>
      <c r="F20" s="153"/>
      <c r="G20" s="153"/>
      <c r="H20" s="153"/>
      <c r="I20" s="153"/>
      <c r="J20" s="153"/>
      <c r="K20" s="153"/>
      <c r="L20" s="153"/>
      <c r="M20" s="153"/>
      <c r="N20" s="153"/>
      <c r="O20" s="153"/>
      <c r="P20" s="153"/>
      <c r="Q20" s="153"/>
      <c r="R20" s="153"/>
      <c r="S20" s="153"/>
      <c r="T20" s="153"/>
      <c r="U20" s="153"/>
      <c r="V20" s="153"/>
      <c r="W20" s="154"/>
    </row>
    <row r="21" spans="1:23" ht="59.25" customHeight="1">
      <c r="A21" s="77" t="s">
        <v>90</v>
      </c>
      <c r="B21" s="152"/>
      <c r="C21" s="153"/>
      <c r="D21" s="153"/>
      <c r="E21" s="153"/>
      <c r="F21" s="153"/>
      <c r="G21" s="153"/>
      <c r="H21" s="153"/>
      <c r="I21" s="153"/>
      <c r="J21" s="153"/>
      <c r="K21" s="153"/>
      <c r="L21" s="153"/>
      <c r="M21" s="153"/>
      <c r="N21" s="153"/>
      <c r="O21" s="153"/>
      <c r="P21" s="153"/>
      <c r="Q21" s="153"/>
      <c r="R21" s="153"/>
      <c r="S21" s="153"/>
      <c r="T21" s="153"/>
      <c r="U21" s="153"/>
      <c r="V21" s="153"/>
      <c r="W21" s="154"/>
    </row>
    <row r="22" spans="1:23" ht="59.25" customHeight="1">
      <c r="A22" s="77" t="s">
        <v>91</v>
      </c>
      <c r="B22" s="152"/>
      <c r="C22" s="153"/>
      <c r="D22" s="153"/>
      <c r="E22" s="153"/>
      <c r="F22" s="153"/>
      <c r="G22" s="153"/>
      <c r="H22" s="153"/>
      <c r="I22" s="153"/>
      <c r="J22" s="153"/>
      <c r="K22" s="153"/>
      <c r="L22" s="153"/>
      <c r="M22" s="153"/>
      <c r="N22" s="153"/>
      <c r="O22" s="153"/>
      <c r="P22" s="153"/>
      <c r="Q22" s="153"/>
      <c r="R22" s="153"/>
      <c r="S22" s="153"/>
      <c r="T22" s="153"/>
      <c r="U22" s="153"/>
      <c r="V22" s="153"/>
      <c r="W22" s="154"/>
    </row>
    <row r="23" spans="1:23" ht="59.25" customHeight="1">
      <c r="A23" s="77" t="s">
        <v>92</v>
      </c>
      <c r="B23" s="152"/>
      <c r="C23" s="153"/>
      <c r="D23" s="153"/>
      <c r="E23" s="153"/>
      <c r="F23" s="153"/>
      <c r="G23" s="153"/>
      <c r="H23" s="153"/>
      <c r="I23" s="153"/>
      <c r="J23" s="153"/>
      <c r="K23" s="153"/>
      <c r="L23" s="153"/>
      <c r="M23" s="153"/>
      <c r="N23" s="153"/>
      <c r="O23" s="153"/>
      <c r="P23" s="153"/>
      <c r="Q23" s="153"/>
      <c r="R23" s="153"/>
      <c r="S23" s="153"/>
      <c r="T23" s="153"/>
      <c r="U23" s="153"/>
      <c r="V23" s="153"/>
      <c r="W23" s="154"/>
    </row>
    <row r="24" spans="1:23" ht="59.25" customHeight="1">
      <c r="A24" s="77" t="s">
        <v>93</v>
      </c>
      <c r="B24" s="152"/>
      <c r="C24" s="153"/>
      <c r="D24" s="153"/>
      <c r="E24" s="153"/>
      <c r="F24" s="153"/>
      <c r="G24" s="153"/>
      <c r="H24" s="153"/>
      <c r="I24" s="153"/>
      <c r="J24" s="153"/>
      <c r="K24" s="153"/>
      <c r="L24" s="153"/>
      <c r="M24" s="153"/>
      <c r="N24" s="153"/>
      <c r="O24" s="153"/>
      <c r="P24" s="153"/>
      <c r="Q24" s="153"/>
      <c r="R24" s="153"/>
      <c r="S24" s="153"/>
      <c r="T24" s="153"/>
      <c r="U24" s="153"/>
      <c r="V24" s="153"/>
      <c r="W24" s="154"/>
    </row>
    <row r="25" spans="1:23" ht="59.25" customHeight="1">
      <c r="A25" s="77" t="s">
        <v>94</v>
      </c>
      <c r="B25" s="152"/>
      <c r="C25" s="153"/>
      <c r="D25" s="153"/>
      <c r="E25" s="153"/>
      <c r="F25" s="153"/>
      <c r="G25" s="153"/>
      <c r="H25" s="153"/>
      <c r="I25" s="153"/>
      <c r="J25" s="153"/>
      <c r="K25" s="153"/>
      <c r="L25" s="153"/>
      <c r="M25" s="153"/>
      <c r="N25" s="153"/>
      <c r="O25" s="153"/>
      <c r="P25" s="153"/>
      <c r="Q25" s="153"/>
      <c r="R25" s="153"/>
      <c r="S25" s="153"/>
      <c r="T25" s="153"/>
      <c r="U25" s="153"/>
      <c r="V25" s="153"/>
      <c r="W25" s="154"/>
    </row>
    <row r="26" spans="1:23" ht="59.25" customHeight="1">
      <c r="A26" s="77" t="s">
        <v>95</v>
      </c>
      <c r="B26" s="152"/>
      <c r="C26" s="153"/>
      <c r="D26" s="153"/>
      <c r="E26" s="153"/>
      <c r="F26" s="153"/>
      <c r="G26" s="153"/>
      <c r="H26" s="153"/>
      <c r="I26" s="153"/>
      <c r="J26" s="153"/>
      <c r="K26" s="153"/>
      <c r="L26" s="153"/>
      <c r="M26" s="153"/>
      <c r="N26" s="153"/>
      <c r="O26" s="153"/>
      <c r="P26" s="153"/>
      <c r="Q26" s="153"/>
      <c r="R26" s="153"/>
      <c r="S26" s="153"/>
      <c r="T26" s="153"/>
      <c r="U26" s="153"/>
      <c r="V26" s="153"/>
      <c r="W26" s="154"/>
    </row>
    <row r="27" spans="1:23" ht="59.25" customHeight="1">
      <c r="A27" s="77"/>
      <c r="B27" s="152"/>
      <c r="C27" s="153"/>
      <c r="D27" s="153"/>
      <c r="E27" s="153"/>
      <c r="F27" s="153"/>
      <c r="G27" s="153"/>
      <c r="H27" s="153"/>
      <c r="I27" s="153"/>
      <c r="J27" s="153"/>
      <c r="K27" s="153"/>
      <c r="L27" s="153"/>
      <c r="M27" s="153"/>
      <c r="N27" s="153"/>
      <c r="O27" s="153"/>
      <c r="P27" s="153"/>
      <c r="Q27" s="153"/>
      <c r="R27" s="153"/>
      <c r="S27" s="153"/>
      <c r="T27" s="153"/>
      <c r="U27" s="153"/>
      <c r="V27" s="153"/>
      <c r="W27" s="154"/>
    </row>
    <row r="28" spans="1:23" ht="59.25" customHeight="1">
      <c r="A28" s="77"/>
      <c r="B28" s="152"/>
      <c r="C28" s="153"/>
      <c r="D28" s="153"/>
      <c r="E28" s="153"/>
      <c r="F28" s="153"/>
      <c r="G28" s="153"/>
      <c r="H28" s="153"/>
      <c r="I28" s="153"/>
      <c r="J28" s="153"/>
      <c r="K28" s="153"/>
      <c r="L28" s="153"/>
      <c r="M28" s="153"/>
      <c r="N28" s="153"/>
      <c r="O28" s="153"/>
      <c r="P28" s="153"/>
      <c r="Q28" s="153"/>
      <c r="R28" s="153"/>
      <c r="S28" s="153"/>
      <c r="T28" s="153"/>
      <c r="U28" s="153"/>
      <c r="V28" s="153"/>
      <c r="W28" s="154"/>
    </row>
    <row r="29" spans="1:23" ht="59.25" customHeight="1">
      <c r="A29" s="77"/>
      <c r="B29" s="152"/>
      <c r="C29" s="153"/>
      <c r="D29" s="153"/>
      <c r="E29" s="153"/>
      <c r="F29" s="153"/>
      <c r="G29" s="153"/>
      <c r="H29" s="153"/>
      <c r="I29" s="153"/>
      <c r="J29" s="153"/>
      <c r="K29" s="153"/>
      <c r="L29" s="153"/>
      <c r="M29" s="153"/>
      <c r="N29" s="153"/>
      <c r="O29" s="153"/>
      <c r="P29" s="153"/>
      <c r="Q29" s="153"/>
      <c r="R29" s="153"/>
      <c r="S29" s="153"/>
      <c r="T29" s="153"/>
      <c r="U29" s="153"/>
      <c r="V29" s="153"/>
      <c r="W29" s="154"/>
    </row>
    <row r="30" spans="1:23" ht="59.25" customHeight="1">
      <c r="A30" s="77"/>
      <c r="B30" s="152"/>
      <c r="C30" s="153"/>
      <c r="D30" s="153"/>
      <c r="E30" s="153"/>
      <c r="F30" s="153"/>
      <c r="G30" s="153"/>
      <c r="H30" s="153"/>
      <c r="I30" s="153"/>
      <c r="J30" s="153"/>
      <c r="K30" s="153"/>
      <c r="L30" s="153"/>
      <c r="M30" s="153"/>
      <c r="N30" s="153"/>
      <c r="O30" s="153"/>
      <c r="P30" s="153"/>
      <c r="Q30" s="153"/>
      <c r="R30" s="153"/>
      <c r="S30" s="153"/>
      <c r="T30" s="153"/>
      <c r="U30" s="153"/>
      <c r="V30" s="153"/>
      <c r="W30" s="154"/>
    </row>
    <row r="31" spans="1:23" ht="59.25" customHeight="1">
      <c r="A31" s="77"/>
      <c r="B31" s="152"/>
      <c r="C31" s="153"/>
      <c r="D31" s="153"/>
      <c r="E31" s="153"/>
      <c r="F31" s="153"/>
      <c r="G31" s="153"/>
      <c r="H31" s="153"/>
      <c r="I31" s="153"/>
      <c r="J31" s="153"/>
      <c r="K31" s="153"/>
      <c r="L31" s="153"/>
      <c r="M31" s="153"/>
      <c r="N31" s="153"/>
      <c r="O31" s="153"/>
      <c r="P31" s="153"/>
      <c r="Q31" s="153"/>
      <c r="R31" s="153"/>
      <c r="S31" s="153"/>
      <c r="T31" s="153"/>
      <c r="U31" s="153"/>
      <c r="V31" s="153"/>
      <c r="W31" s="154"/>
    </row>
    <row r="32" spans="1:23" ht="59.25" customHeight="1">
      <c r="A32" s="77"/>
      <c r="B32" s="152"/>
      <c r="C32" s="153"/>
      <c r="D32" s="153"/>
      <c r="E32" s="153"/>
      <c r="F32" s="153"/>
      <c r="G32" s="153"/>
      <c r="H32" s="153"/>
      <c r="I32" s="153"/>
      <c r="J32" s="153"/>
      <c r="K32" s="153"/>
      <c r="L32" s="153"/>
      <c r="M32" s="153"/>
      <c r="N32" s="153"/>
      <c r="O32" s="153"/>
      <c r="P32" s="153"/>
      <c r="Q32" s="153"/>
      <c r="R32" s="153"/>
      <c r="S32" s="153"/>
      <c r="T32" s="153"/>
      <c r="U32" s="153"/>
      <c r="V32" s="153"/>
      <c r="W32" s="154"/>
    </row>
    <row r="33" spans="1:23" ht="59.25" customHeight="1">
      <c r="A33" s="77"/>
      <c r="B33" s="152"/>
      <c r="C33" s="153"/>
      <c r="D33" s="153"/>
      <c r="E33" s="153"/>
      <c r="F33" s="153"/>
      <c r="G33" s="153"/>
      <c r="H33" s="153"/>
      <c r="I33" s="153"/>
      <c r="J33" s="153"/>
      <c r="K33" s="153"/>
      <c r="L33" s="153"/>
      <c r="M33" s="153"/>
      <c r="N33" s="153"/>
      <c r="O33" s="153"/>
      <c r="P33" s="153"/>
      <c r="Q33" s="153"/>
      <c r="R33" s="153"/>
      <c r="S33" s="153"/>
      <c r="T33" s="153"/>
      <c r="U33" s="153"/>
      <c r="V33" s="153"/>
      <c r="W33" s="154"/>
    </row>
    <row r="34" spans="1:23" ht="59.25" customHeight="1">
      <c r="A34" s="77"/>
      <c r="B34" s="152"/>
      <c r="C34" s="153"/>
      <c r="D34" s="153"/>
      <c r="E34" s="153"/>
      <c r="F34" s="153"/>
      <c r="G34" s="153"/>
      <c r="H34" s="153"/>
      <c r="I34" s="153"/>
      <c r="J34" s="153"/>
      <c r="K34" s="153"/>
      <c r="L34" s="153"/>
      <c r="M34" s="153"/>
      <c r="N34" s="153"/>
      <c r="O34" s="153"/>
      <c r="P34" s="153"/>
      <c r="Q34" s="153"/>
      <c r="R34" s="153"/>
      <c r="S34" s="153"/>
      <c r="T34" s="153"/>
      <c r="U34" s="153"/>
      <c r="V34" s="153"/>
      <c r="W34" s="154"/>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E2:W2 D3: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Y188"/>
  <sheetViews>
    <sheetView workbookViewId="0">
      <selection sqref="A1:XFD1048576"/>
    </sheetView>
  </sheetViews>
  <sheetFormatPr defaultColWidth="9" defaultRowHeight="13.5"/>
  <cols>
    <col min="1" max="1" width="13.5" style="72" customWidth="1"/>
    <col min="2" max="2" width="79.125" style="72" customWidth="1"/>
    <col min="3" max="3" width="9.375" style="72" customWidth="1"/>
    <col min="4" max="23" width="4.125" style="72" customWidth="1"/>
    <col min="24" max="16384" width="9" style="72"/>
  </cols>
  <sheetData>
    <row r="1" spans="1:25" ht="85.5" customHeight="1">
      <c r="A1" s="70" t="str">
        <f ca="1">MID(CELL("filename",A1),FIND("[",CELL("filename",A1))+1,3)</f>
        <v>１－２</v>
      </c>
      <c r="B1" s="34" t="str">
        <f ca="1">RIGHT(CELL("filename",B1),LEN(CELL("filename",B1))-FIND("]",CELL("filename",B1)))</f>
        <v>算数</v>
      </c>
      <c r="C1" s="35" t="s">
        <v>26</v>
      </c>
      <c r="D1" s="36" t="str">
        <f>A15</f>
        <v>淺輪 景都</v>
      </c>
      <c r="E1" s="36" t="str">
        <f>A16</f>
        <v>太谷 高志</v>
      </c>
      <c r="F1" s="36" t="str">
        <f>A17</f>
        <v>加藤 裕吾</v>
      </c>
      <c r="G1" s="36" t="str">
        <f>A18</f>
        <v>後藤 朱里</v>
      </c>
      <c r="H1" s="36" t="str">
        <f>A19</f>
        <v>上甲 絃葉</v>
      </c>
      <c r="I1" s="36" t="str">
        <f>A20</f>
        <v>須田 陽貴</v>
      </c>
      <c r="J1" s="36" t="str">
        <f>A21</f>
        <v>高藤 遙舞</v>
      </c>
      <c r="K1" s="36" t="str">
        <f>A22</f>
        <v>立石 結子</v>
      </c>
      <c r="L1" s="36" t="str">
        <f>A23</f>
        <v>月岡 和香</v>
      </c>
      <c r="M1" s="36" t="str">
        <f>A24</f>
        <v>中村 祐香子</v>
      </c>
      <c r="N1" s="36" t="str">
        <f>A25</f>
        <v>藤森 結</v>
      </c>
      <c r="O1" s="36" t="str">
        <f>A26</f>
        <v>吉澤 紘風</v>
      </c>
      <c r="P1" s="36">
        <f>A27</f>
        <v>0</v>
      </c>
      <c r="Q1" s="36">
        <f>A28</f>
        <v>0</v>
      </c>
      <c r="R1" s="36">
        <f>A29</f>
        <v>0</v>
      </c>
      <c r="S1" s="36">
        <f>A30</f>
        <v>0</v>
      </c>
      <c r="T1" s="36">
        <f>A31</f>
        <v>0</v>
      </c>
      <c r="U1" s="36">
        <f>A32</f>
        <v>0</v>
      </c>
      <c r="V1" s="36">
        <f>A33</f>
        <v>0</v>
      </c>
      <c r="W1" s="36">
        <f>A34</f>
        <v>0</v>
      </c>
      <c r="X1" s="71"/>
    </row>
    <row r="2" spans="1:25" ht="22.5" customHeight="1">
      <c r="A2" s="155" t="s">
        <v>162</v>
      </c>
      <c r="B2" s="41" t="s">
        <v>38</v>
      </c>
      <c r="C2" s="38" t="s">
        <v>28</v>
      </c>
      <c r="D2" s="73" t="s">
        <v>163</v>
      </c>
      <c r="E2" s="73" t="s">
        <v>163</v>
      </c>
      <c r="F2" s="73" t="s">
        <v>163</v>
      </c>
      <c r="G2" s="73" t="s">
        <v>163</v>
      </c>
      <c r="H2" s="73" t="s">
        <v>163</v>
      </c>
      <c r="I2" s="73" t="s">
        <v>163</v>
      </c>
      <c r="J2" s="73" t="s">
        <v>164</v>
      </c>
      <c r="K2" s="73" t="s">
        <v>163</v>
      </c>
      <c r="L2" s="73" t="s">
        <v>163</v>
      </c>
      <c r="M2" s="73" t="s">
        <v>158</v>
      </c>
      <c r="N2" s="73" t="s">
        <v>163</v>
      </c>
      <c r="O2" s="73" t="s">
        <v>158</v>
      </c>
      <c r="P2" s="73"/>
      <c r="Q2" s="73"/>
      <c r="R2" s="73"/>
      <c r="S2" s="73"/>
      <c r="T2" s="73"/>
      <c r="U2" s="73"/>
      <c r="V2" s="73"/>
      <c r="W2" s="73"/>
      <c r="X2" s="74" t="s">
        <v>163</v>
      </c>
      <c r="Y2" s="74">
        <v>1</v>
      </c>
    </row>
    <row r="3" spans="1:25" ht="22.5" customHeight="1">
      <c r="A3" s="156"/>
      <c r="B3" s="41" t="s">
        <v>58</v>
      </c>
      <c r="C3" s="38" t="s">
        <v>28</v>
      </c>
      <c r="D3" s="73" t="s">
        <v>163</v>
      </c>
      <c r="E3" s="73" t="s">
        <v>158</v>
      </c>
      <c r="F3" s="73" t="s">
        <v>158</v>
      </c>
      <c r="G3" s="73" t="s">
        <v>163</v>
      </c>
      <c r="H3" s="73" t="s">
        <v>163</v>
      </c>
      <c r="I3" s="73" t="s">
        <v>158</v>
      </c>
      <c r="J3" s="73" t="s">
        <v>158</v>
      </c>
      <c r="K3" s="73" t="s">
        <v>158</v>
      </c>
      <c r="L3" s="73" t="s">
        <v>158</v>
      </c>
      <c r="M3" s="73" t="s">
        <v>158</v>
      </c>
      <c r="N3" s="73" t="s">
        <v>163</v>
      </c>
      <c r="O3" s="73" t="s">
        <v>158</v>
      </c>
      <c r="P3" s="73"/>
      <c r="Q3" s="73"/>
      <c r="R3" s="73"/>
      <c r="S3" s="73"/>
      <c r="T3" s="73"/>
      <c r="U3" s="73"/>
      <c r="V3" s="73"/>
      <c r="W3" s="73"/>
      <c r="X3" s="74" t="s">
        <v>159</v>
      </c>
      <c r="Y3" s="74">
        <v>2</v>
      </c>
    </row>
    <row r="4" spans="1:25" ht="22.5" customHeight="1">
      <c r="A4" s="156"/>
      <c r="B4" s="41" t="s">
        <v>59</v>
      </c>
      <c r="C4" s="38" t="s">
        <v>28</v>
      </c>
      <c r="D4" s="73" t="s">
        <v>163</v>
      </c>
      <c r="E4" s="73" t="s">
        <v>158</v>
      </c>
      <c r="F4" s="73" t="s">
        <v>158</v>
      </c>
      <c r="G4" s="73" t="s">
        <v>159</v>
      </c>
      <c r="H4" s="73" t="s">
        <v>158</v>
      </c>
      <c r="I4" s="73" t="s">
        <v>163</v>
      </c>
      <c r="J4" s="73" t="s">
        <v>158</v>
      </c>
      <c r="K4" s="73" t="s">
        <v>158</v>
      </c>
      <c r="L4" s="73" t="s">
        <v>158</v>
      </c>
      <c r="M4" s="73" t="s">
        <v>158</v>
      </c>
      <c r="N4" s="73" t="s">
        <v>158</v>
      </c>
      <c r="O4" s="73" t="s">
        <v>158</v>
      </c>
      <c r="P4" s="73"/>
      <c r="Q4" s="73"/>
      <c r="R4" s="73"/>
      <c r="S4" s="73"/>
      <c r="T4" s="73"/>
      <c r="U4" s="73"/>
      <c r="V4" s="73"/>
      <c r="W4" s="73"/>
      <c r="X4" s="74" t="s">
        <v>160</v>
      </c>
      <c r="Y4" s="74">
        <v>3</v>
      </c>
    </row>
    <row r="5" spans="1:25" ht="22.5" customHeight="1">
      <c r="A5" s="156"/>
      <c r="B5" s="41" t="s">
        <v>60</v>
      </c>
      <c r="C5" s="38" t="s">
        <v>28</v>
      </c>
      <c r="D5" s="73" t="s">
        <v>158</v>
      </c>
      <c r="E5" s="73" t="s">
        <v>158</v>
      </c>
      <c r="F5" s="73" t="s">
        <v>158</v>
      </c>
      <c r="G5" s="73" t="s">
        <v>158</v>
      </c>
      <c r="H5" s="73" t="s">
        <v>158</v>
      </c>
      <c r="I5" s="73" t="s">
        <v>159</v>
      </c>
      <c r="J5" s="73" t="s">
        <v>159</v>
      </c>
      <c r="K5" s="73" t="s">
        <v>158</v>
      </c>
      <c r="L5" s="73" t="s">
        <v>159</v>
      </c>
      <c r="M5" s="73" t="s">
        <v>158</v>
      </c>
      <c r="N5" s="73" t="s">
        <v>158</v>
      </c>
      <c r="O5" s="73" t="s">
        <v>159</v>
      </c>
      <c r="P5" s="73"/>
      <c r="Q5" s="73"/>
      <c r="R5" s="73"/>
      <c r="S5" s="73"/>
      <c r="T5" s="73"/>
      <c r="U5" s="73"/>
      <c r="V5" s="73"/>
      <c r="W5" s="73"/>
      <c r="X5" s="74" t="s">
        <v>161</v>
      </c>
      <c r="Y5" s="74">
        <v>4</v>
      </c>
    </row>
    <row r="6" spans="1:25" ht="22.5" customHeight="1">
      <c r="A6" s="156"/>
      <c r="B6" s="41" t="s">
        <v>39</v>
      </c>
      <c r="C6" s="38" t="s">
        <v>28</v>
      </c>
      <c r="D6" s="73" t="s">
        <v>159</v>
      </c>
      <c r="E6" s="73" t="s">
        <v>159</v>
      </c>
      <c r="F6" s="73" t="s">
        <v>159</v>
      </c>
      <c r="G6" s="73" t="s">
        <v>159</v>
      </c>
      <c r="H6" s="73" t="s">
        <v>158</v>
      </c>
      <c r="I6" s="73" t="s">
        <v>164</v>
      </c>
      <c r="J6" s="73" t="s">
        <v>159</v>
      </c>
      <c r="K6" s="73" t="s">
        <v>159</v>
      </c>
      <c r="L6" s="73" t="s">
        <v>159</v>
      </c>
      <c r="M6" s="73" t="s">
        <v>159</v>
      </c>
      <c r="N6" s="73" t="s">
        <v>158</v>
      </c>
      <c r="O6" s="73" t="s">
        <v>164</v>
      </c>
      <c r="P6" s="73"/>
      <c r="Q6" s="73"/>
      <c r="R6" s="73"/>
      <c r="S6" s="73"/>
      <c r="T6" s="73"/>
      <c r="U6" s="73"/>
      <c r="V6" s="73"/>
      <c r="W6" s="73"/>
      <c r="X6" s="74"/>
      <c r="Y6" s="74">
        <v>5</v>
      </c>
    </row>
    <row r="7" spans="1:25" ht="22.5" customHeight="1">
      <c r="A7" s="156"/>
      <c r="B7" s="41"/>
      <c r="C7" s="38" t="s">
        <v>28</v>
      </c>
      <c r="D7" s="73"/>
      <c r="E7" s="73"/>
      <c r="F7" s="73"/>
      <c r="G7" s="73"/>
      <c r="H7" s="73"/>
      <c r="I7" s="73"/>
      <c r="J7" s="73"/>
      <c r="K7" s="73"/>
      <c r="L7" s="73"/>
      <c r="M7" s="73"/>
      <c r="N7" s="73"/>
      <c r="O7" s="73"/>
      <c r="P7" s="73"/>
      <c r="Q7" s="73"/>
      <c r="R7" s="73"/>
      <c r="S7" s="73"/>
      <c r="T7" s="73"/>
      <c r="U7" s="73"/>
      <c r="V7" s="73"/>
      <c r="W7" s="73"/>
      <c r="X7" s="74"/>
      <c r="Y7" s="74" t="s">
        <v>165</v>
      </c>
    </row>
    <row r="8" spans="1:25" ht="22.5" customHeight="1">
      <c r="A8" s="156"/>
      <c r="B8" s="41"/>
      <c r="C8" s="38" t="s">
        <v>28</v>
      </c>
      <c r="D8" s="73"/>
      <c r="E8" s="73"/>
      <c r="F8" s="73"/>
      <c r="G8" s="73"/>
      <c r="H8" s="73"/>
      <c r="I8" s="73"/>
      <c r="J8" s="73"/>
      <c r="K8" s="73"/>
      <c r="L8" s="73"/>
      <c r="M8" s="73"/>
      <c r="N8" s="73"/>
      <c r="O8" s="73"/>
      <c r="P8" s="73"/>
      <c r="Q8" s="73"/>
      <c r="R8" s="73"/>
      <c r="S8" s="73"/>
      <c r="T8" s="73"/>
      <c r="U8" s="73"/>
      <c r="V8" s="73"/>
      <c r="W8" s="73"/>
    </row>
    <row r="9" spans="1:25" ht="22.5" customHeight="1">
      <c r="A9" s="156"/>
      <c r="B9" s="41"/>
      <c r="C9" s="38" t="s">
        <v>28</v>
      </c>
      <c r="D9" s="73"/>
      <c r="E9" s="73"/>
      <c r="F9" s="73"/>
      <c r="G9" s="73"/>
      <c r="H9" s="73"/>
      <c r="I9" s="73"/>
      <c r="J9" s="73"/>
      <c r="K9" s="73"/>
      <c r="L9" s="73"/>
      <c r="M9" s="73"/>
      <c r="N9" s="73"/>
      <c r="O9" s="73"/>
      <c r="P9" s="73"/>
      <c r="Q9" s="73"/>
      <c r="R9" s="73"/>
      <c r="S9" s="73"/>
      <c r="T9" s="73"/>
      <c r="U9" s="73"/>
      <c r="V9" s="73"/>
      <c r="W9" s="73"/>
    </row>
    <row r="10" spans="1:25" ht="22.5" customHeight="1">
      <c r="A10" s="156"/>
      <c r="B10" s="41"/>
      <c r="C10" s="38" t="s">
        <v>28</v>
      </c>
      <c r="D10" s="73"/>
      <c r="E10" s="73"/>
      <c r="F10" s="73"/>
      <c r="G10" s="73"/>
      <c r="H10" s="73"/>
      <c r="I10" s="73"/>
      <c r="J10" s="73"/>
      <c r="K10" s="73"/>
      <c r="L10" s="73"/>
      <c r="M10" s="73"/>
      <c r="N10" s="73"/>
      <c r="O10" s="73"/>
      <c r="P10" s="73"/>
      <c r="Q10" s="73"/>
      <c r="R10" s="73"/>
      <c r="S10" s="73"/>
      <c r="T10" s="73"/>
      <c r="U10" s="73"/>
      <c r="V10" s="73"/>
      <c r="W10" s="73"/>
    </row>
    <row r="11" spans="1:25" ht="22.5" customHeight="1">
      <c r="A11" s="156"/>
      <c r="B11" s="41"/>
      <c r="C11" s="38" t="s">
        <v>28</v>
      </c>
      <c r="D11" s="73"/>
      <c r="E11" s="73"/>
      <c r="F11" s="73"/>
      <c r="G11" s="73"/>
      <c r="H11" s="73"/>
      <c r="I11" s="73"/>
      <c r="J11" s="73"/>
      <c r="K11" s="73"/>
      <c r="L11" s="73"/>
      <c r="M11" s="73"/>
      <c r="N11" s="73"/>
      <c r="O11" s="73"/>
      <c r="P11" s="73"/>
      <c r="Q11" s="73"/>
      <c r="R11" s="73"/>
      <c r="S11" s="73"/>
      <c r="T11" s="73"/>
      <c r="U11" s="73"/>
      <c r="V11" s="73"/>
      <c r="W11" s="73"/>
    </row>
    <row r="12" spans="1:25" ht="30" customHeight="1">
      <c r="A12" s="157"/>
      <c r="B12" s="42"/>
      <c r="C12" s="43" t="s">
        <v>35</v>
      </c>
      <c r="D12" s="73">
        <v>5</v>
      </c>
      <c r="E12" s="73">
        <v>5</v>
      </c>
      <c r="F12" s="73">
        <v>5</v>
      </c>
      <c r="G12" s="73">
        <v>4</v>
      </c>
      <c r="H12" s="73">
        <v>5</v>
      </c>
      <c r="I12" s="73">
        <v>4</v>
      </c>
      <c r="J12" s="73">
        <v>4</v>
      </c>
      <c r="K12" s="73">
        <v>5</v>
      </c>
      <c r="L12" s="73">
        <v>4</v>
      </c>
      <c r="M12" s="73">
        <v>5</v>
      </c>
      <c r="N12" s="73">
        <v>5</v>
      </c>
      <c r="O12" s="73">
        <v>4</v>
      </c>
      <c r="P12" s="73"/>
      <c r="Q12" s="73"/>
      <c r="R12" s="73"/>
      <c r="S12" s="73"/>
      <c r="T12" s="73"/>
      <c r="U12" s="73"/>
      <c r="V12" s="73"/>
      <c r="W12" s="73"/>
    </row>
    <row r="13" spans="1:25" ht="26.25" customHeight="1">
      <c r="A13" s="75"/>
      <c r="B13" s="75"/>
      <c r="C13" s="68" t="s">
        <v>64</v>
      </c>
      <c r="D13" s="76"/>
      <c r="E13" s="76"/>
      <c r="F13" s="76"/>
      <c r="G13" s="76"/>
      <c r="H13" s="76"/>
      <c r="I13" s="76"/>
      <c r="J13" s="76"/>
      <c r="K13" s="76"/>
      <c r="L13" s="76"/>
      <c r="M13" s="76"/>
      <c r="N13" s="76"/>
      <c r="O13" s="76"/>
      <c r="P13" s="76"/>
      <c r="Q13" s="76"/>
      <c r="R13" s="76"/>
      <c r="S13" s="76"/>
      <c r="T13" s="76"/>
      <c r="U13" s="76"/>
      <c r="V13" s="76"/>
      <c r="W13" s="76"/>
    </row>
    <row r="14" spans="1:25" ht="22.5" customHeight="1">
      <c r="A14" s="45" t="s">
        <v>36</v>
      </c>
      <c r="B14" s="158" t="s">
        <v>37</v>
      </c>
      <c r="C14" s="159"/>
      <c r="D14" s="159"/>
      <c r="E14" s="159"/>
      <c r="F14" s="159"/>
      <c r="G14" s="159"/>
      <c r="H14" s="159"/>
      <c r="I14" s="159"/>
      <c r="J14" s="159"/>
      <c r="K14" s="159"/>
      <c r="L14" s="159"/>
      <c r="M14" s="159"/>
      <c r="N14" s="159"/>
      <c r="O14" s="159"/>
      <c r="P14" s="159"/>
      <c r="Q14" s="159"/>
      <c r="R14" s="159"/>
      <c r="S14" s="159"/>
      <c r="T14" s="159"/>
      <c r="U14" s="159"/>
      <c r="V14" s="159"/>
      <c r="W14" s="160"/>
    </row>
    <row r="15" spans="1:25" ht="59.25" customHeight="1">
      <c r="A15" s="77" t="s">
        <v>84</v>
      </c>
      <c r="B15" s="152"/>
      <c r="C15" s="153"/>
      <c r="D15" s="153"/>
      <c r="E15" s="153"/>
      <c r="F15" s="153"/>
      <c r="G15" s="153"/>
      <c r="H15" s="153"/>
      <c r="I15" s="153"/>
      <c r="J15" s="153"/>
      <c r="K15" s="153"/>
      <c r="L15" s="153"/>
      <c r="M15" s="153"/>
      <c r="N15" s="153"/>
      <c r="O15" s="153"/>
      <c r="P15" s="153"/>
      <c r="Q15" s="153"/>
      <c r="R15" s="153"/>
      <c r="S15" s="153"/>
      <c r="T15" s="153"/>
      <c r="U15" s="153"/>
      <c r="V15" s="153"/>
      <c r="W15" s="154"/>
    </row>
    <row r="16" spans="1:25" ht="59.25" customHeight="1">
      <c r="A16" s="77" t="s">
        <v>85</v>
      </c>
      <c r="B16" s="152"/>
      <c r="C16" s="153"/>
      <c r="D16" s="153"/>
      <c r="E16" s="153"/>
      <c r="F16" s="153"/>
      <c r="G16" s="153"/>
      <c r="H16" s="153"/>
      <c r="I16" s="153"/>
      <c r="J16" s="153"/>
      <c r="K16" s="153"/>
      <c r="L16" s="153"/>
      <c r="M16" s="153"/>
      <c r="N16" s="153"/>
      <c r="O16" s="153"/>
      <c r="P16" s="153"/>
      <c r="Q16" s="153"/>
      <c r="R16" s="153"/>
      <c r="S16" s="153"/>
      <c r="T16" s="153"/>
      <c r="U16" s="153"/>
      <c r="V16" s="153"/>
      <c r="W16" s="154"/>
    </row>
    <row r="17" spans="1:23" ht="59.25" customHeight="1">
      <c r="A17" s="77" t="s">
        <v>86</v>
      </c>
      <c r="B17" s="152"/>
      <c r="C17" s="153"/>
      <c r="D17" s="153"/>
      <c r="E17" s="153"/>
      <c r="F17" s="153"/>
      <c r="G17" s="153"/>
      <c r="H17" s="153"/>
      <c r="I17" s="153"/>
      <c r="J17" s="153"/>
      <c r="K17" s="153"/>
      <c r="L17" s="153"/>
      <c r="M17" s="153"/>
      <c r="N17" s="153"/>
      <c r="O17" s="153"/>
      <c r="P17" s="153"/>
      <c r="Q17" s="153"/>
      <c r="R17" s="153"/>
      <c r="S17" s="153"/>
      <c r="T17" s="153"/>
      <c r="U17" s="153"/>
      <c r="V17" s="153"/>
      <c r="W17" s="154"/>
    </row>
    <row r="18" spans="1:23" ht="59.25" customHeight="1">
      <c r="A18" s="77" t="s">
        <v>87</v>
      </c>
      <c r="B18" s="152"/>
      <c r="C18" s="153"/>
      <c r="D18" s="153"/>
      <c r="E18" s="153"/>
      <c r="F18" s="153"/>
      <c r="G18" s="153"/>
      <c r="H18" s="153"/>
      <c r="I18" s="153"/>
      <c r="J18" s="153"/>
      <c r="K18" s="153"/>
      <c r="L18" s="153"/>
      <c r="M18" s="153"/>
      <c r="N18" s="153"/>
      <c r="O18" s="153"/>
      <c r="P18" s="153"/>
      <c r="Q18" s="153"/>
      <c r="R18" s="153"/>
      <c r="S18" s="153"/>
      <c r="T18" s="153"/>
      <c r="U18" s="153"/>
      <c r="V18" s="153"/>
      <c r="W18" s="154"/>
    </row>
    <row r="19" spans="1:23" ht="59.25" customHeight="1">
      <c r="A19" s="77" t="s">
        <v>88</v>
      </c>
      <c r="B19" s="152"/>
      <c r="C19" s="153"/>
      <c r="D19" s="153"/>
      <c r="E19" s="153"/>
      <c r="F19" s="153"/>
      <c r="G19" s="153"/>
      <c r="H19" s="153"/>
      <c r="I19" s="153"/>
      <c r="J19" s="153"/>
      <c r="K19" s="153"/>
      <c r="L19" s="153"/>
      <c r="M19" s="153"/>
      <c r="N19" s="153"/>
      <c r="O19" s="153"/>
      <c r="P19" s="153"/>
      <c r="Q19" s="153"/>
      <c r="R19" s="153"/>
      <c r="S19" s="153"/>
      <c r="T19" s="153"/>
      <c r="U19" s="153"/>
      <c r="V19" s="153"/>
      <c r="W19" s="154"/>
    </row>
    <row r="20" spans="1:23" ht="59.25" customHeight="1">
      <c r="A20" s="77" t="s">
        <v>89</v>
      </c>
      <c r="B20" s="152"/>
      <c r="C20" s="153"/>
      <c r="D20" s="153"/>
      <c r="E20" s="153"/>
      <c r="F20" s="153"/>
      <c r="G20" s="153"/>
      <c r="H20" s="153"/>
      <c r="I20" s="153"/>
      <c r="J20" s="153"/>
      <c r="K20" s="153"/>
      <c r="L20" s="153"/>
      <c r="M20" s="153"/>
      <c r="N20" s="153"/>
      <c r="O20" s="153"/>
      <c r="P20" s="153"/>
      <c r="Q20" s="153"/>
      <c r="R20" s="153"/>
      <c r="S20" s="153"/>
      <c r="T20" s="153"/>
      <c r="U20" s="153"/>
      <c r="V20" s="153"/>
      <c r="W20" s="154"/>
    </row>
    <row r="21" spans="1:23" ht="59.25" customHeight="1">
      <c r="A21" s="77" t="s">
        <v>90</v>
      </c>
      <c r="B21" s="152"/>
      <c r="C21" s="153"/>
      <c r="D21" s="153"/>
      <c r="E21" s="153"/>
      <c r="F21" s="153"/>
      <c r="G21" s="153"/>
      <c r="H21" s="153"/>
      <c r="I21" s="153"/>
      <c r="J21" s="153"/>
      <c r="K21" s="153"/>
      <c r="L21" s="153"/>
      <c r="M21" s="153"/>
      <c r="N21" s="153"/>
      <c r="O21" s="153"/>
      <c r="P21" s="153"/>
      <c r="Q21" s="153"/>
      <c r="R21" s="153"/>
      <c r="S21" s="153"/>
      <c r="T21" s="153"/>
      <c r="U21" s="153"/>
      <c r="V21" s="153"/>
      <c r="W21" s="154"/>
    </row>
    <row r="22" spans="1:23" ht="59.25" customHeight="1">
      <c r="A22" s="77" t="s">
        <v>91</v>
      </c>
      <c r="B22" s="152"/>
      <c r="C22" s="153"/>
      <c r="D22" s="153"/>
      <c r="E22" s="153"/>
      <c r="F22" s="153"/>
      <c r="G22" s="153"/>
      <c r="H22" s="153"/>
      <c r="I22" s="153"/>
      <c r="J22" s="153"/>
      <c r="K22" s="153"/>
      <c r="L22" s="153"/>
      <c r="M22" s="153"/>
      <c r="N22" s="153"/>
      <c r="O22" s="153"/>
      <c r="P22" s="153"/>
      <c r="Q22" s="153"/>
      <c r="R22" s="153"/>
      <c r="S22" s="153"/>
      <c r="T22" s="153"/>
      <c r="U22" s="153"/>
      <c r="V22" s="153"/>
      <c r="W22" s="154"/>
    </row>
    <row r="23" spans="1:23" ht="59.25" customHeight="1">
      <c r="A23" s="77" t="s">
        <v>92</v>
      </c>
      <c r="B23" s="152"/>
      <c r="C23" s="153"/>
      <c r="D23" s="153"/>
      <c r="E23" s="153"/>
      <c r="F23" s="153"/>
      <c r="G23" s="153"/>
      <c r="H23" s="153"/>
      <c r="I23" s="153"/>
      <c r="J23" s="153"/>
      <c r="K23" s="153"/>
      <c r="L23" s="153"/>
      <c r="M23" s="153"/>
      <c r="N23" s="153"/>
      <c r="O23" s="153"/>
      <c r="P23" s="153"/>
      <c r="Q23" s="153"/>
      <c r="R23" s="153"/>
      <c r="S23" s="153"/>
      <c r="T23" s="153"/>
      <c r="U23" s="153"/>
      <c r="V23" s="153"/>
      <c r="W23" s="154"/>
    </row>
    <row r="24" spans="1:23" ht="59.25" customHeight="1">
      <c r="A24" s="77" t="s">
        <v>93</v>
      </c>
      <c r="B24" s="152"/>
      <c r="C24" s="153"/>
      <c r="D24" s="153"/>
      <c r="E24" s="153"/>
      <c r="F24" s="153"/>
      <c r="G24" s="153"/>
      <c r="H24" s="153"/>
      <c r="I24" s="153"/>
      <c r="J24" s="153"/>
      <c r="K24" s="153"/>
      <c r="L24" s="153"/>
      <c r="M24" s="153"/>
      <c r="N24" s="153"/>
      <c r="O24" s="153"/>
      <c r="P24" s="153"/>
      <c r="Q24" s="153"/>
      <c r="R24" s="153"/>
      <c r="S24" s="153"/>
      <c r="T24" s="153"/>
      <c r="U24" s="153"/>
      <c r="V24" s="153"/>
      <c r="W24" s="154"/>
    </row>
    <row r="25" spans="1:23" ht="59.25" customHeight="1">
      <c r="A25" s="77" t="s">
        <v>94</v>
      </c>
      <c r="B25" s="152"/>
      <c r="C25" s="153"/>
      <c r="D25" s="153"/>
      <c r="E25" s="153"/>
      <c r="F25" s="153"/>
      <c r="G25" s="153"/>
      <c r="H25" s="153"/>
      <c r="I25" s="153"/>
      <c r="J25" s="153"/>
      <c r="K25" s="153"/>
      <c r="L25" s="153"/>
      <c r="M25" s="153"/>
      <c r="N25" s="153"/>
      <c r="O25" s="153"/>
      <c r="P25" s="153"/>
      <c r="Q25" s="153"/>
      <c r="R25" s="153"/>
      <c r="S25" s="153"/>
      <c r="T25" s="153"/>
      <c r="U25" s="153"/>
      <c r="V25" s="153"/>
      <c r="W25" s="154"/>
    </row>
    <row r="26" spans="1:23" ht="59.25" customHeight="1">
      <c r="A26" s="77" t="s">
        <v>95</v>
      </c>
      <c r="B26" s="152"/>
      <c r="C26" s="153"/>
      <c r="D26" s="153"/>
      <c r="E26" s="153"/>
      <c r="F26" s="153"/>
      <c r="G26" s="153"/>
      <c r="H26" s="153"/>
      <c r="I26" s="153"/>
      <c r="J26" s="153"/>
      <c r="K26" s="153"/>
      <c r="L26" s="153"/>
      <c r="M26" s="153"/>
      <c r="N26" s="153"/>
      <c r="O26" s="153"/>
      <c r="P26" s="153"/>
      <c r="Q26" s="153"/>
      <c r="R26" s="153"/>
      <c r="S26" s="153"/>
      <c r="T26" s="153"/>
      <c r="U26" s="153"/>
      <c r="V26" s="153"/>
      <c r="W26" s="154"/>
    </row>
    <row r="27" spans="1:23" ht="59.25" customHeight="1">
      <c r="A27" s="77"/>
      <c r="B27" s="152"/>
      <c r="C27" s="153"/>
      <c r="D27" s="153"/>
      <c r="E27" s="153"/>
      <c r="F27" s="153"/>
      <c r="G27" s="153"/>
      <c r="H27" s="153"/>
      <c r="I27" s="153"/>
      <c r="J27" s="153"/>
      <c r="K27" s="153"/>
      <c r="L27" s="153"/>
      <c r="M27" s="153"/>
      <c r="N27" s="153"/>
      <c r="O27" s="153"/>
      <c r="P27" s="153"/>
      <c r="Q27" s="153"/>
      <c r="R27" s="153"/>
      <c r="S27" s="153"/>
      <c r="T27" s="153"/>
      <c r="U27" s="153"/>
      <c r="V27" s="153"/>
      <c r="W27" s="154"/>
    </row>
    <row r="28" spans="1:23" ht="59.25" customHeight="1">
      <c r="A28" s="77"/>
      <c r="B28" s="152"/>
      <c r="C28" s="153"/>
      <c r="D28" s="153"/>
      <c r="E28" s="153"/>
      <c r="F28" s="153"/>
      <c r="G28" s="153"/>
      <c r="H28" s="153"/>
      <c r="I28" s="153"/>
      <c r="J28" s="153"/>
      <c r="K28" s="153"/>
      <c r="L28" s="153"/>
      <c r="M28" s="153"/>
      <c r="N28" s="153"/>
      <c r="O28" s="153"/>
      <c r="P28" s="153"/>
      <c r="Q28" s="153"/>
      <c r="R28" s="153"/>
      <c r="S28" s="153"/>
      <c r="T28" s="153"/>
      <c r="U28" s="153"/>
      <c r="V28" s="153"/>
      <c r="W28" s="154"/>
    </row>
    <row r="29" spans="1:23" ht="59.25" customHeight="1">
      <c r="A29" s="77"/>
      <c r="B29" s="152"/>
      <c r="C29" s="153"/>
      <c r="D29" s="153"/>
      <c r="E29" s="153"/>
      <c r="F29" s="153"/>
      <c r="G29" s="153"/>
      <c r="H29" s="153"/>
      <c r="I29" s="153"/>
      <c r="J29" s="153"/>
      <c r="K29" s="153"/>
      <c r="L29" s="153"/>
      <c r="M29" s="153"/>
      <c r="N29" s="153"/>
      <c r="O29" s="153"/>
      <c r="P29" s="153"/>
      <c r="Q29" s="153"/>
      <c r="R29" s="153"/>
      <c r="S29" s="153"/>
      <c r="T29" s="153"/>
      <c r="U29" s="153"/>
      <c r="V29" s="153"/>
      <c r="W29" s="154"/>
    </row>
    <row r="30" spans="1:23" ht="59.25" customHeight="1">
      <c r="A30" s="77"/>
      <c r="B30" s="152"/>
      <c r="C30" s="153"/>
      <c r="D30" s="153"/>
      <c r="E30" s="153"/>
      <c r="F30" s="153"/>
      <c r="G30" s="153"/>
      <c r="H30" s="153"/>
      <c r="I30" s="153"/>
      <c r="J30" s="153"/>
      <c r="K30" s="153"/>
      <c r="L30" s="153"/>
      <c r="M30" s="153"/>
      <c r="N30" s="153"/>
      <c r="O30" s="153"/>
      <c r="P30" s="153"/>
      <c r="Q30" s="153"/>
      <c r="R30" s="153"/>
      <c r="S30" s="153"/>
      <c r="T30" s="153"/>
      <c r="U30" s="153"/>
      <c r="V30" s="153"/>
      <c r="W30" s="154"/>
    </row>
    <row r="31" spans="1:23" ht="59.25" customHeight="1">
      <c r="A31" s="77"/>
      <c r="B31" s="152"/>
      <c r="C31" s="153"/>
      <c r="D31" s="153"/>
      <c r="E31" s="153"/>
      <c r="F31" s="153"/>
      <c r="G31" s="153"/>
      <c r="H31" s="153"/>
      <c r="I31" s="153"/>
      <c r="J31" s="153"/>
      <c r="K31" s="153"/>
      <c r="L31" s="153"/>
      <c r="M31" s="153"/>
      <c r="N31" s="153"/>
      <c r="O31" s="153"/>
      <c r="P31" s="153"/>
      <c r="Q31" s="153"/>
      <c r="R31" s="153"/>
      <c r="S31" s="153"/>
      <c r="T31" s="153"/>
      <c r="U31" s="153"/>
      <c r="V31" s="153"/>
      <c r="W31" s="154"/>
    </row>
    <row r="32" spans="1:23" ht="59.25" customHeight="1">
      <c r="A32" s="77"/>
      <c r="B32" s="152"/>
      <c r="C32" s="153"/>
      <c r="D32" s="153"/>
      <c r="E32" s="153"/>
      <c r="F32" s="153"/>
      <c r="G32" s="153"/>
      <c r="H32" s="153"/>
      <c r="I32" s="153"/>
      <c r="J32" s="153"/>
      <c r="K32" s="153"/>
      <c r="L32" s="153"/>
      <c r="M32" s="153"/>
      <c r="N32" s="153"/>
      <c r="O32" s="153"/>
      <c r="P32" s="153"/>
      <c r="Q32" s="153"/>
      <c r="R32" s="153"/>
      <c r="S32" s="153"/>
      <c r="T32" s="153"/>
      <c r="U32" s="153"/>
      <c r="V32" s="153"/>
      <c r="W32" s="154"/>
    </row>
    <row r="33" spans="1:23" ht="59.25" customHeight="1">
      <c r="A33" s="77"/>
      <c r="B33" s="152"/>
      <c r="C33" s="153"/>
      <c r="D33" s="153"/>
      <c r="E33" s="153"/>
      <c r="F33" s="153"/>
      <c r="G33" s="153"/>
      <c r="H33" s="153"/>
      <c r="I33" s="153"/>
      <c r="J33" s="153"/>
      <c r="K33" s="153"/>
      <c r="L33" s="153"/>
      <c r="M33" s="153"/>
      <c r="N33" s="153"/>
      <c r="O33" s="153"/>
      <c r="P33" s="153"/>
      <c r="Q33" s="153"/>
      <c r="R33" s="153"/>
      <c r="S33" s="153"/>
      <c r="T33" s="153"/>
      <c r="U33" s="153"/>
      <c r="V33" s="153"/>
      <c r="W33" s="154"/>
    </row>
    <row r="34" spans="1:23" ht="59.25" customHeight="1">
      <c r="A34" s="77"/>
      <c r="B34" s="152"/>
      <c r="C34" s="153"/>
      <c r="D34" s="153"/>
      <c r="E34" s="153"/>
      <c r="F34" s="153"/>
      <c r="G34" s="153"/>
      <c r="H34" s="153"/>
      <c r="I34" s="153"/>
      <c r="J34" s="153"/>
      <c r="K34" s="153"/>
      <c r="L34" s="153"/>
      <c r="M34" s="153"/>
      <c r="N34" s="153"/>
      <c r="O34" s="153"/>
      <c r="P34" s="153"/>
      <c r="Q34" s="153"/>
      <c r="R34" s="153"/>
      <c r="S34" s="153"/>
      <c r="T34" s="153"/>
      <c r="U34" s="153"/>
      <c r="V34" s="153"/>
      <c r="W34" s="154"/>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 type="list" allowBlank="1" showDropDown="1" showInputMessage="1" showErrorMessage="1" sqref="D12:W12">
      <formula1>$Y$2:$Y$7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Y188"/>
  <sheetViews>
    <sheetView workbookViewId="0">
      <selection sqref="A1:XFD1048576"/>
    </sheetView>
  </sheetViews>
  <sheetFormatPr defaultRowHeight="13.5"/>
  <cols>
    <col min="1" max="1" width="13.5" style="72" customWidth="1"/>
    <col min="2" max="2" width="79.125" style="72" customWidth="1"/>
    <col min="3" max="3" width="9.375" style="72" customWidth="1"/>
    <col min="4" max="23" width="4.125" style="72" customWidth="1"/>
    <col min="24" max="16384" width="9" style="72"/>
  </cols>
  <sheetData>
    <row r="1" spans="1:25" ht="85.5" customHeight="1">
      <c r="A1" s="70" t="str">
        <f ca="1">MID(CELL("filename",A1),FIND("[",CELL("filename",A1))+1,3)</f>
        <v>１－２</v>
      </c>
      <c r="B1" s="34" t="str">
        <f ca="1">RIGHT(CELL("filename",B1),LEN(CELL("filename",B1))-FIND("]",CELL("filename",B1)))</f>
        <v>生活</v>
      </c>
      <c r="C1" s="35" t="s">
        <v>26</v>
      </c>
      <c r="D1" s="36" t="str">
        <f>A15</f>
        <v>淺輪 景都</v>
      </c>
      <c r="E1" s="36" t="str">
        <f>A16</f>
        <v>太谷 高志</v>
      </c>
      <c r="F1" s="36" t="str">
        <f>A17</f>
        <v>加藤 裕吾</v>
      </c>
      <c r="G1" s="36" t="str">
        <f>A18</f>
        <v>後藤 朱里</v>
      </c>
      <c r="H1" s="36" t="str">
        <f>A19</f>
        <v>上甲 絃葉</v>
      </c>
      <c r="I1" s="36" t="str">
        <f>A20</f>
        <v>須田 陽貴</v>
      </c>
      <c r="J1" s="36" t="str">
        <f>A21</f>
        <v>高藤 遙舞</v>
      </c>
      <c r="K1" s="36" t="str">
        <f>A22</f>
        <v>立石 結子</v>
      </c>
      <c r="L1" s="36" t="str">
        <f>A23</f>
        <v>月岡 和香</v>
      </c>
      <c r="M1" s="36" t="str">
        <f>A24</f>
        <v>中村 祐香子</v>
      </c>
      <c r="N1" s="36" t="str">
        <f>A25</f>
        <v>藤森 結</v>
      </c>
      <c r="O1" s="36" t="str">
        <f>A26</f>
        <v>吉澤 紘風</v>
      </c>
      <c r="P1" s="36">
        <f>A27</f>
        <v>0</v>
      </c>
      <c r="Q1" s="36">
        <f>A28</f>
        <v>0</v>
      </c>
      <c r="R1" s="36">
        <f>A29</f>
        <v>0</v>
      </c>
      <c r="S1" s="36">
        <f>A30</f>
        <v>0</v>
      </c>
      <c r="T1" s="36">
        <f>A31</f>
        <v>0</v>
      </c>
      <c r="U1" s="36">
        <f>A32</f>
        <v>0</v>
      </c>
      <c r="V1" s="36">
        <f>A33</f>
        <v>0</v>
      </c>
      <c r="W1" s="36">
        <f>A34</f>
        <v>0</v>
      </c>
      <c r="X1" s="71"/>
    </row>
    <row r="2" spans="1:25" ht="22.5" customHeight="1">
      <c r="A2" s="155" t="s">
        <v>166</v>
      </c>
      <c r="B2" s="41" t="s">
        <v>61</v>
      </c>
      <c r="C2" s="38" t="s">
        <v>28</v>
      </c>
      <c r="D2" s="73" t="s">
        <v>167</v>
      </c>
      <c r="E2" s="73" t="s">
        <v>167</v>
      </c>
      <c r="F2" s="73" t="s">
        <v>158</v>
      </c>
      <c r="G2" s="73" t="s">
        <v>167</v>
      </c>
      <c r="H2" s="73" t="s">
        <v>167</v>
      </c>
      <c r="I2" s="73" t="s">
        <v>167</v>
      </c>
      <c r="J2" s="73" t="s">
        <v>167</v>
      </c>
      <c r="K2" s="73" t="s">
        <v>167</v>
      </c>
      <c r="L2" s="73" t="s">
        <v>167</v>
      </c>
      <c r="M2" s="73" t="s">
        <v>167</v>
      </c>
      <c r="N2" s="73" t="s">
        <v>158</v>
      </c>
      <c r="O2" s="73" t="s">
        <v>167</v>
      </c>
      <c r="P2" s="73"/>
      <c r="Q2" s="73"/>
      <c r="R2" s="73"/>
      <c r="S2" s="73"/>
      <c r="T2" s="73"/>
      <c r="U2" s="73"/>
      <c r="V2" s="73"/>
      <c r="W2" s="73"/>
      <c r="X2" s="74" t="s">
        <v>167</v>
      </c>
      <c r="Y2" s="74">
        <v>1</v>
      </c>
    </row>
    <row r="3" spans="1:25" ht="22.5" customHeight="1">
      <c r="A3" s="156"/>
      <c r="B3" s="41" t="s">
        <v>62</v>
      </c>
      <c r="C3" s="38" t="s">
        <v>28</v>
      </c>
      <c r="D3" s="73" t="s">
        <v>167</v>
      </c>
      <c r="E3" s="73" t="s">
        <v>167</v>
      </c>
      <c r="F3" s="73" t="s">
        <v>167</v>
      </c>
      <c r="G3" s="73" t="s">
        <v>167</v>
      </c>
      <c r="H3" s="73" t="s">
        <v>158</v>
      </c>
      <c r="I3" s="73" t="s">
        <v>167</v>
      </c>
      <c r="J3" s="73" t="s">
        <v>158</v>
      </c>
      <c r="K3" s="73" t="s">
        <v>167</v>
      </c>
      <c r="L3" s="73" t="s">
        <v>158</v>
      </c>
      <c r="M3" s="73" t="s">
        <v>167</v>
      </c>
      <c r="N3" s="73" t="s">
        <v>167</v>
      </c>
      <c r="O3" s="73" t="s">
        <v>167</v>
      </c>
      <c r="P3" s="73"/>
      <c r="Q3" s="73"/>
      <c r="R3" s="73"/>
      <c r="S3" s="73"/>
      <c r="T3" s="73"/>
      <c r="U3" s="73"/>
      <c r="V3" s="73"/>
      <c r="W3" s="73"/>
      <c r="X3" s="74" t="s">
        <v>168</v>
      </c>
      <c r="Y3" s="74">
        <v>2</v>
      </c>
    </row>
    <row r="4" spans="1:25" ht="22.5" customHeight="1">
      <c r="A4" s="156"/>
      <c r="B4" s="41" t="s">
        <v>63</v>
      </c>
      <c r="C4" s="38" t="s">
        <v>28</v>
      </c>
      <c r="D4" s="73" t="s">
        <v>168</v>
      </c>
      <c r="E4" s="73" t="s">
        <v>168</v>
      </c>
      <c r="F4" s="73" t="s">
        <v>158</v>
      </c>
      <c r="G4" s="73" t="s">
        <v>159</v>
      </c>
      <c r="H4" s="73" t="s">
        <v>158</v>
      </c>
      <c r="I4" s="73" t="s">
        <v>167</v>
      </c>
      <c r="J4" s="73" t="s">
        <v>168</v>
      </c>
      <c r="K4" s="73" t="s">
        <v>158</v>
      </c>
      <c r="L4" s="73" t="s">
        <v>167</v>
      </c>
      <c r="M4" s="73" t="s">
        <v>167</v>
      </c>
      <c r="N4" s="73" t="s">
        <v>167</v>
      </c>
      <c r="O4" s="73" t="s">
        <v>158</v>
      </c>
      <c r="P4" s="73"/>
      <c r="Q4" s="73"/>
      <c r="R4" s="73"/>
      <c r="S4" s="73"/>
      <c r="T4" s="73"/>
      <c r="U4" s="73"/>
      <c r="V4" s="73"/>
      <c r="W4" s="73"/>
      <c r="X4" s="74" t="s">
        <v>160</v>
      </c>
      <c r="Y4" s="74">
        <v>3</v>
      </c>
    </row>
    <row r="5" spans="1:25" ht="22.5" customHeight="1">
      <c r="A5" s="156"/>
      <c r="B5" s="41"/>
      <c r="C5" s="38" t="s">
        <v>28</v>
      </c>
      <c r="D5" s="73"/>
      <c r="E5" s="73"/>
      <c r="F5" s="73"/>
      <c r="G5" s="73"/>
      <c r="H5" s="73"/>
      <c r="I5" s="73"/>
      <c r="J5" s="73"/>
      <c r="K5" s="73"/>
      <c r="L5" s="73"/>
      <c r="M5" s="73"/>
      <c r="N5" s="73"/>
      <c r="O5" s="73"/>
      <c r="P5" s="73"/>
      <c r="Q5" s="73"/>
      <c r="R5" s="73"/>
      <c r="S5" s="73"/>
      <c r="T5" s="73"/>
      <c r="U5" s="73"/>
      <c r="V5" s="73"/>
      <c r="W5" s="73"/>
      <c r="X5" s="74" t="s">
        <v>169</v>
      </c>
      <c r="Y5" s="74">
        <v>4</v>
      </c>
    </row>
    <row r="6" spans="1:25" ht="22.5" customHeight="1">
      <c r="A6" s="156"/>
      <c r="B6" s="41"/>
      <c r="C6" s="38" t="s">
        <v>28</v>
      </c>
      <c r="D6" s="73"/>
      <c r="E6" s="73"/>
      <c r="F6" s="73"/>
      <c r="G6" s="73"/>
      <c r="H6" s="73"/>
      <c r="I6" s="73"/>
      <c r="J6" s="73"/>
      <c r="K6" s="73"/>
      <c r="L6" s="73"/>
      <c r="M6" s="73"/>
      <c r="N6" s="73"/>
      <c r="O6" s="73"/>
      <c r="P6" s="73"/>
      <c r="Q6" s="73"/>
      <c r="R6" s="73"/>
      <c r="S6" s="73"/>
      <c r="T6" s="73"/>
      <c r="U6" s="73"/>
      <c r="V6" s="73"/>
      <c r="W6" s="73"/>
      <c r="X6" s="74"/>
      <c r="Y6" s="74">
        <v>5</v>
      </c>
    </row>
    <row r="7" spans="1:25" ht="22.5" customHeight="1">
      <c r="A7" s="156"/>
      <c r="B7" s="41"/>
      <c r="C7" s="38" t="s">
        <v>28</v>
      </c>
      <c r="D7" s="73"/>
      <c r="E7" s="73"/>
      <c r="F7" s="73"/>
      <c r="G7" s="73"/>
      <c r="H7" s="73"/>
      <c r="I7" s="73"/>
      <c r="J7" s="73"/>
      <c r="K7" s="73"/>
      <c r="L7" s="73"/>
      <c r="M7" s="73"/>
      <c r="N7" s="73"/>
      <c r="O7" s="73"/>
      <c r="P7" s="73"/>
      <c r="Q7" s="73"/>
      <c r="R7" s="73"/>
      <c r="S7" s="73"/>
      <c r="T7" s="73"/>
      <c r="U7" s="73"/>
      <c r="V7" s="73"/>
      <c r="W7" s="73"/>
      <c r="X7" s="74"/>
      <c r="Y7" s="74" t="s">
        <v>169</v>
      </c>
    </row>
    <row r="8" spans="1:25" ht="22.5" customHeight="1">
      <c r="A8" s="156"/>
      <c r="B8" s="41"/>
      <c r="C8" s="38" t="s">
        <v>28</v>
      </c>
      <c r="D8" s="73"/>
      <c r="E8" s="73"/>
      <c r="F8" s="73"/>
      <c r="G8" s="73"/>
      <c r="H8" s="73"/>
      <c r="I8" s="73"/>
      <c r="J8" s="73"/>
      <c r="K8" s="73"/>
      <c r="L8" s="73"/>
      <c r="M8" s="73"/>
      <c r="N8" s="73"/>
      <c r="O8" s="73"/>
      <c r="P8" s="73"/>
      <c r="Q8" s="73"/>
      <c r="R8" s="73"/>
      <c r="S8" s="73"/>
      <c r="T8" s="73"/>
      <c r="U8" s="73"/>
      <c r="V8" s="73"/>
      <c r="W8" s="73"/>
    </row>
    <row r="9" spans="1:25" ht="22.5" customHeight="1">
      <c r="A9" s="156"/>
      <c r="B9" s="41"/>
      <c r="C9" s="38" t="s">
        <v>28</v>
      </c>
      <c r="D9" s="73"/>
      <c r="E9" s="73"/>
      <c r="F9" s="73"/>
      <c r="G9" s="73"/>
      <c r="H9" s="73"/>
      <c r="I9" s="73"/>
      <c r="J9" s="73"/>
      <c r="K9" s="73"/>
      <c r="L9" s="73"/>
      <c r="M9" s="73"/>
      <c r="N9" s="73"/>
      <c r="O9" s="73"/>
      <c r="P9" s="73"/>
      <c r="Q9" s="73"/>
      <c r="R9" s="73"/>
      <c r="S9" s="73"/>
      <c r="T9" s="73"/>
      <c r="U9" s="73"/>
      <c r="V9" s="73"/>
      <c r="W9" s="73"/>
    </row>
    <row r="10" spans="1:25" ht="22.5" customHeight="1">
      <c r="A10" s="156"/>
      <c r="B10" s="41"/>
      <c r="C10" s="38" t="s">
        <v>28</v>
      </c>
      <c r="D10" s="73"/>
      <c r="E10" s="73"/>
      <c r="F10" s="73"/>
      <c r="G10" s="73"/>
      <c r="H10" s="73"/>
      <c r="I10" s="73"/>
      <c r="J10" s="73"/>
      <c r="K10" s="73"/>
      <c r="L10" s="73"/>
      <c r="M10" s="73"/>
      <c r="N10" s="73"/>
      <c r="O10" s="73"/>
      <c r="P10" s="73"/>
      <c r="Q10" s="73"/>
      <c r="R10" s="73"/>
      <c r="S10" s="73"/>
      <c r="T10" s="73"/>
      <c r="U10" s="73"/>
      <c r="V10" s="73"/>
      <c r="W10" s="73"/>
    </row>
    <row r="11" spans="1:25" ht="22.5" customHeight="1">
      <c r="A11" s="156"/>
      <c r="B11" s="41"/>
      <c r="C11" s="38" t="s">
        <v>28</v>
      </c>
      <c r="D11" s="73"/>
      <c r="E11" s="73"/>
      <c r="F11" s="73"/>
      <c r="G11" s="73"/>
      <c r="H11" s="73"/>
      <c r="I11" s="73"/>
      <c r="J11" s="73"/>
      <c r="K11" s="73"/>
      <c r="L11" s="73"/>
      <c r="M11" s="73"/>
      <c r="N11" s="73"/>
      <c r="O11" s="73"/>
      <c r="P11" s="73"/>
      <c r="Q11" s="73"/>
      <c r="R11" s="73"/>
      <c r="S11" s="73"/>
      <c r="T11" s="73"/>
      <c r="U11" s="73"/>
      <c r="V11" s="73"/>
      <c r="W11" s="73"/>
    </row>
    <row r="12" spans="1:25" ht="30" customHeight="1">
      <c r="A12" s="157"/>
      <c r="B12" s="42"/>
      <c r="C12" s="43" t="s">
        <v>35</v>
      </c>
      <c r="D12" s="73">
        <v>4</v>
      </c>
      <c r="E12" s="73">
        <v>4</v>
      </c>
      <c r="F12" s="73">
        <v>5</v>
      </c>
      <c r="G12" s="73">
        <v>4</v>
      </c>
      <c r="H12" s="73">
        <v>5</v>
      </c>
      <c r="I12" s="73">
        <v>5</v>
      </c>
      <c r="J12" s="73">
        <v>4</v>
      </c>
      <c r="K12" s="73">
        <v>5</v>
      </c>
      <c r="L12" s="73">
        <v>5</v>
      </c>
      <c r="M12" s="73">
        <v>5</v>
      </c>
      <c r="N12" s="73">
        <v>5</v>
      </c>
      <c r="O12" s="73">
        <v>5</v>
      </c>
      <c r="P12" s="73"/>
      <c r="Q12" s="73"/>
      <c r="R12" s="73"/>
      <c r="S12" s="73"/>
      <c r="T12" s="73"/>
      <c r="U12" s="73"/>
      <c r="V12" s="73"/>
      <c r="W12" s="73"/>
    </row>
    <row r="13" spans="1:25" ht="26.25" customHeight="1">
      <c r="A13" s="75"/>
      <c r="B13" s="75"/>
      <c r="C13" s="68" t="s">
        <v>64</v>
      </c>
      <c r="D13" s="76"/>
      <c r="E13" s="76"/>
      <c r="F13" s="76"/>
      <c r="G13" s="76"/>
      <c r="H13" s="76"/>
      <c r="I13" s="76"/>
      <c r="J13" s="76"/>
      <c r="K13" s="76"/>
      <c r="L13" s="76"/>
      <c r="M13" s="76"/>
      <c r="N13" s="76"/>
      <c r="O13" s="76"/>
      <c r="P13" s="76"/>
      <c r="Q13" s="76"/>
      <c r="R13" s="76"/>
      <c r="S13" s="76"/>
      <c r="T13" s="76"/>
      <c r="U13" s="76"/>
      <c r="V13" s="76"/>
      <c r="W13" s="76"/>
    </row>
    <row r="14" spans="1:25" ht="22.5" customHeight="1">
      <c r="A14" s="45" t="s">
        <v>36</v>
      </c>
      <c r="B14" s="158" t="s">
        <v>37</v>
      </c>
      <c r="C14" s="159"/>
      <c r="D14" s="159"/>
      <c r="E14" s="159"/>
      <c r="F14" s="159"/>
      <c r="G14" s="159"/>
      <c r="H14" s="159"/>
      <c r="I14" s="159"/>
      <c r="J14" s="159"/>
      <c r="K14" s="159"/>
      <c r="L14" s="159"/>
      <c r="M14" s="159"/>
      <c r="N14" s="159"/>
      <c r="O14" s="159"/>
      <c r="P14" s="159"/>
      <c r="Q14" s="159"/>
      <c r="R14" s="159"/>
      <c r="S14" s="159"/>
      <c r="T14" s="159"/>
      <c r="U14" s="159"/>
      <c r="V14" s="159"/>
      <c r="W14" s="160"/>
    </row>
    <row r="15" spans="1:25" ht="59.25" customHeight="1">
      <c r="A15" s="77" t="s">
        <v>84</v>
      </c>
      <c r="B15" s="152" t="s">
        <v>96</v>
      </c>
      <c r="C15" s="153"/>
      <c r="D15" s="153"/>
      <c r="E15" s="153"/>
      <c r="F15" s="153"/>
      <c r="G15" s="153"/>
      <c r="H15" s="153"/>
      <c r="I15" s="153"/>
      <c r="J15" s="153"/>
      <c r="K15" s="153"/>
      <c r="L15" s="153"/>
      <c r="M15" s="153"/>
      <c r="N15" s="153"/>
      <c r="O15" s="153"/>
      <c r="P15" s="153"/>
      <c r="Q15" s="153"/>
      <c r="R15" s="153"/>
      <c r="S15" s="153"/>
      <c r="T15" s="153"/>
      <c r="U15" s="153"/>
      <c r="V15" s="153"/>
      <c r="W15" s="154"/>
    </row>
    <row r="16" spans="1:25" ht="59.25" customHeight="1">
      <c r="A16" s="77" t="s">
        <v>85</v>
      </c>
      <c r="B16" s="152" t="s">
        <v>97</v>
      </c>
      <c r="C16" s="153"/>
      <c r="D16" s="153"/>
      <c r="E16" s="153"/>
      <c r="F16" s="153"/>
      <c r="G16" s="153"/>
      <c r="H16" s="153"/>
      <c r="I16" s="153"/>
      <c r="J16" s="153"/>
      <c r="K16" s="153"/>
      <c r="L16" s="153"/>
      <c r="M16" s="153"/>
      <c r="N16" s="153"/>
      <c r="O16" s="153"/>
      <c r="P16" s="153"/>
      <c r="Q16" s="153"/>
      <c r="R16" s="153"/>
      <c r="S16" s="153"/>
      <c r="T16" s="153"/>
      <c r="U16" s="153"/>
      <c r="V16" s="153"/>
      <c r="W16" s="154"/>
    </row>
    <row r="17" spans="1:23" ht="59.25" customHeight="1">
      <c r="A17" s="77" t="s">
        <v>86</v>
      </c>
      <c r="B17" s="152" t="s">
        <v>98</v>
      </c>
      <c r="C17" s="153"/>
      <c r="D17" s="153"/>
      <c r="E17" s="153"/>
      <c r="F17" s="153"/>
      <c r="G17" s="153"/>
      <c r="H17" s="153"/>
      <c r="I17" s="153"/>
      <c r="J17" s="153"/>
      <c r="K17" s="153"/>
      <c r="L17" s="153"/>
      <c r="M17" s="153"/>
      <c r="N17" s="153"/>
      <c r="O17" s="153"/>
      <c r="P17" s="153"/>
      <c r="Q17" s="153"/>
      <c r="R17" s="153"/>
      <c r="S17" s="153"/>
      <c r="T17" s="153"/>
      <c r="U17" s="153"/>
      <c r="V17" s="153"/>
      <c r="W17" s="154"/>
    </row>
    <row r="18" spans="1:23" ht="59.25" customHeight="1">
      <c r="A18" s="77" t="s">
        <v>87</v>
      </c>
      <c r="B18" s="152" t="s">
        <v>99</v>
      </c>
      <c r="C18" s="153"/>
      <c r="D18" s="153"/>
      <c r="E18" s="153"/>
      <c r="F18" s="153"/>
      <c r="G18" s="153"/>
      <c r="H18" s="153"/>
      <c r="I18" s="153"/>
      <c r="J18" s="153"/>
      <c r="K18" s="153"/>
      <c r="L18" s="153"/>
      <c r="M18" s="153"/>
      <c r="N18" s="153"/>
      <c r="O18" s="153"/>
      <c r="P18" s="153"/>
      <c r="Q18" s="153"/>
      <c r="R18" s="153"/>
      <c r="S18" s="153"/>
      <c r="T18" s="153"/>
      <c r="U18" s="153"/>
      <c r="V18" s="153"/>
      <c r="W18" s="154"/>
    </row>
    <row r="19" spans="1:23" ht="59.25" customHeight="1">
      <c r="A19" s="77" t="s">
        <v>88</v>
      </c>
      <c r="B19" s="152" t="s">
        <v>100</v>
      </c>
      <c r="C19" s="153"/>
      <c r="D19" s="153"/>
      <c r="E19" s="153"/>
      <c r="F19" s="153"/>
      <c r="G19" s="153"/>
      <c r="H19" s="153"/>
      <c r="I19" s="153"/>
      <c r="J19" s="153"/>
      <c r="K19" s="153"/>
      <c r="L19" s="153"/>
      <c r="M19" s="153"/>
      <c r="N19" s="153"/>
      <c r="O19" s="153"/>
      <c r="P19" s="153"/>
      <c r="Q19" s="153"/>
      <c r="R19" s="153"/>
      <c r="S19" s="153"/>
      <c r="T19" s="153"/>
      <c r="U19" s="153"/>
      <c r="V19" s="153"/>
      <c r="W19" s="154"/>
    </row>
    <row r="20" spans="1:23" ht="59.25" customHeight="1">
      <c r="A20" s="77" t="s">
        <v>89</v>
      </c>
      <c r="B20" s="152" t="s">
        <v>101</v>
      </c>
      <c r="C20" s="153"/>
      <c r="D20" s="153"/>
      <c r="E20" s="153"/>
      <c r="F20" s="153"/>
      <c r="G20" s="153"/>
      <c r="H20" s="153"/>
      <c r="I20" s="153"/>
      <c r="J20" s="153"/>
      <c r="K20" s="153"/>
      <c r="L20" s="153"/>
      <c r="M20" s="153"/>
      <c r="N20" s="153"/>
      <c r="O20" s="153"/>
      <c r="P20" s="153"/>
      <c r="Q20" s="153"/>
      <c r="R20" s="153"/>
      <c r="S20" s="153"/>
      <c r="T20" s="153"/>
      <c r="U20" s="153"/>
      <c r="V20" s="153"/>
      <c r="W20" s="154"/>
    </row>
    <row r="21" spans="1:23" ht="59.25" customHeight="1">
      <c r="A21" s="77" t="s">
        <v>170</v>
      </c>
      <c r="B21" s="152" t="s">
        <v>102</v>
      </c>
      <c r="C21" s="153"/>
      <c r="D21" s="153"/>
      <c r="E21" s="153"/>
      <c r="F21" s="153"/>
      <c r="G21" s="153"/>
      <c r="H21" s="153"/>
      <c r="I21" s="153"/>
      <c r="J21" s="153"/>
      <c r="K21" s="153"/>
      <c r="L21" s="153"/>
      <c r="M21" s="153"/>
      <c r="N21" s="153"/>
      <c r="O21" s="153"/>
      <c r="P21" s="153"/>
      <c r="Q21" s="153"/>
      <c r="R21" s="153"/>
      <c r="S21" s="153"/>
      <c r="T21" s="153"/>
      <c r="U21" s="153"/>
      <c r="V21" s="153"/>
      <c r="W21" s="154"/>
    </row>
    <row r="22" spans="1:23" ht="59.25" customHeight="1">
      <c r="A22" s="77" t="s">
        <v>91</v>
      </c>
      <c r="B22" s="152" t="s">
        <v>103</v>
      </c>
      <c r="C22" s="153"/>
      <c r="D22" s="153"/>
      <c r="E22" s="153"/>
      <c r="F22" s="153"/>
      <c r="G22" s="153"/>
      <c r="H22" s="153"/>
      <c r="I22" s="153"/>
      <c r="J22" s="153"/>
      <c r="K22" s="153"/>
      <c r="L22" s="153"/>
      <c r="M22" s="153"/>
      <c r="N22" s="153"/>
      <c r="O22" s="153"/>
      <c r="P22" s="153"/>
      <c r="Q22" s="153"/>
      <c r="R22" s="153"/>
      <c r="S22" s="153"/>
      <c r="T22" s="153"/>
      <c r="U22" s="153"/>
      <c r="V22" s="153"/>
      <c r="W22" s="154"/>
    </row>
    <row r="23" spans="1:23" ht="59.25" customHeight="1">
      <c r="A23" s="77" t="s">
        <v>92</v>
      </c>
      <c r="B23" s="152" t="s">
        <v>104</v>
      </c>
      <c r="C23" s="153"/>
      <c r="D23" s="153"/>
      <c r="E23" s="153"/>
      <c r="F23" s="153"/>
      <c r="G23" s="153"/>
      <c r="H23" s="153"/>
      <c r="I23" s="153"/>
      <c r="J23" s="153"/>
      <c r="K23" s="153"/>
      <c r="L23" s="153"/>
      <c r="M23" s="153"/>
      <c r="N23" s="153"/>
      <c r="O23" s="153"/>
      <c r="P23" s="153"/>
      <c r="Q23" s="153"/>
      <c r="R23" s="153"/>
      <c r="S23" s="153"/>
      <c r="T23" s="153"/>
      <c r="U23" s="153"/>
      <c r="V23" s="153"/>
      <c r="W23" s="154"/>
    </row>
    <row r="24" spans="1:23" ht="59.25" customHeight="1">
      <c r="A24" s="77" t="s">
        <v>93</v>
      </c>
      <c r="B24" s="152" t="s">
        <v>105</v>
      </c>
      <c r="C24" s="153"/>
      <c r="D24" s="153"/>
      <c r="E24" s="153"/>
      <c r="F24" s="153"/>
      <c r="G24" s="153"/>
      <c r="H24" s="153"/>
      <c r="I24" s="153"/>
      <c r="J24" s="153"/>
      <c r="K24" s="153"/>
      <c r="L24" s="153"/>
      <c r="M24" s="153"/>
      <c r="N24" s="153"/>
      <c r="O24" s="153"/>
      <c r="P24" s="153"/>
      <c r="Q24" s="153"/>
      <c r="R24" s="153"/>
      <c r="S24" s="153"/>
      <c r="T24" s="153"/>
      <c r="U24" s="153"/>
      <c r="V24" s="153"/>
      <c r="W24" s="154"/>
    </row>
    <row r="25" spans="1:23" ht="59.25" customHeight="1">
      <c r="A25" s="77" t="s">
        <v>94</v>
      </c>
      <c r="B25" s="152" t="s">
        <v>171</v>
      </c>
      <c r="C25" s="153"/>
      <c r="D25" s="153"/>
      <c r="E25" s="153"/>
      <c r="F25" s="153"/>
      <c r="G25" s="153"/>
      <c r="H25" s="153"/>
      <c r="I25" s="153"/>
      <c r="J25" s="153"/>
      <c r="K25" s="153"/>
      <c r="L25" s="153"/>
      <c r="M25" s="153"/>
      <c r="N25" s="153"/>
      <c r="O25" s="153"/>
      <c r="P25" s="153"/>
      <c r="Q25" s="153"/>
      <c r="R25" s="153"/>
      <c r="S25" s="153"/>
      <c r="T25" s="153"/>
      <c r="U25" s="153"/>
      <c r="V25" s="153"/>
      <c r="W25" s="154"/>
    </row>
    <row r="26" spans="1:23" ht="59.25" customHeight="1">
      <c r="A26" s="77" t="s">
        <v>95</v>
      </c>
      <c r="B26" s="152" t="s">
        <v>106</v>
      </c>
      <c r="C26" s="153"/>
      <c r="D26" s="153"/>
      <c r="E26" s="153"/>
      <c r="F26" s="153"/>
      <c r="G26" s="153"/>
      <c r="H26" s="153"/>
      <c r="I26" s="153"/>
      <c r="J26" s="153"/>
      <c r="K26" s="153"/>
      <c r="L26" s="153"/>
      <c r="M26" s="153"/>
      <c r="N26" s="153"/>
      <c r="O26" s="153"/>
      <c r="P26" s="153"/>
      <c r="Q26" s="153"/>
      <c r="R26" s="153"/>
      <c r="S26" s="153"/>
      <c r="T26" s="153"/>
      <c r="U26" s="153"/>
      <c r="V26" s="153"/>
      <c r="W26" s="154"/>
    </row>
    <row r="27" spans="1:23" ht="59.25" customHeight="1">
      <c r="A27" s="77"/>
      <c r="B27" s="152"/>
      <c r="C27" s="153"/>
      <c r="D27" s="153"/>
      <c r="E27" s="153"/>
      <c r="F27" s="153"/>
      <c r="G27" s="153"/>
      <c r="H27" s="153"/>
      <c r="I27" s="153"/>
      <c r="J27" s="153"/>
      <c r="K27" s="153"/>
      <c r="L27" s="153"/>
      <c r="M27" s="153"/>
      <c r="N27" s="153"/>
      <c r="O27" s="153"/>
      <c r="P27" s="153"/>
      <c r="Q27" s="153"/>
      <c r="R27" s="153"/>
      <c r="S27" s="153"/>
      <c r="T27" s="153"/>
      <c r="U27" s="153"/>
      <c r="V27" s="153"/>
      <c r="W27" s="154"/>
    </row>
    <row r="28" spans="1:23" ht="59.25" customHeight="1">
      <c r="A28" s="77"/>
      <c r="B28" s="152"/>
      <c r="C28" s="153"/>
      <c r="D28" s="153"/>
      <c r="E28" s="153"/>
      <c r="F28" s="153"/>
      <c r="G28" s="153"/>
      <c r="H28" s="153"/>
      <c r="I28" s="153"/>
      <c r="J28" s="153"/>
      <c r="K28" s="153"/>
      <c r="L28" s="153"/>
      <c r="M28" s="153"/>
      <c r="N28" s="153"/>
      <c r="O28" s="153"/>
      <c r="P28" s="153"/>
      <c r="Q28" s="153"/>
      <c r="R28" s="153"/>
      <c r="S28" s="153"/>
      <c r="T28" s="153"/>
      <c r="U28" s="153"/>
      <c r="V28" s="153"/>
      <c r="W28" s="154"/>
    </row>
    <row r="29" spans="1:23" ht="59.25" customHeight="1">
      <c r="A29" s="77"/>
      <c r="B29" s="152"/>
      <c r="C29" s="153"/>
      <c r="D29" s="153"/>
      <c r="E29" s="153"/>
      <c r="F29" s="153"/>
      <c r="G29" s="153"/>
      <c r="H29" s="153"/>
      <c r="I29" s="153"/>
      <c r="J29" s="153"/>
      <c r="K29" s="153"/>
      <c r="L29" s="153"/>
      <c r="M29" s="153"/>
      <c r="N29" s="153"/>
      <c r="O29" s="153"/>
      <c r="P29" s="153"/>
      <c r="Q29" s="153"/>
      <c r="R29" s="153"/>
      <c r="S29" s="153"/>
      <c r="T29" s="153"/>
      <c r="U29" s="153"/>
      <c r="V29" s="153"/>
      <c r="W29" s="154"/>
    </row>
    <row r="30" spans="1:23" ht="59.25" customHeight="1">
      <c r="A30" s="77"/>
      <c r="B30" s="152"/>
      <c r="C30" s="153"/>
      <c r="D30" s="153"/>
      <c r="E30" s="153"/>
      <c r="F30" s="153"/>
      <c r="G30" s="153"/>
      <c r="H30" s="153"/>
      <c r="I30" s="153"/>
      <c r="J30" s="153"/>
      <c r="K30" s="153"/>
      <c r="L30" s="153"/>
      <c r="M30" s="153"/>
      <c r="N30" s="153"/>
      <c r="O30" s="153"/>
      <c r="P30" s="153"/>
      <c r="Q30" s="153"/>
      <c r="R30" s="153"/>
      <c r="S30" s="153"/>
      <c r="T30" s="153"/>
      <c r="U30" s="153"/>
      <c r="V30" s="153"/>
      <c r="W30" s="154"/>
    </row>
    <row r="31" spans="1:23" ht="59.25" customHeight="1">
      <c r="A31" s="77"/>
      <c r="B31" s="152"/>
      <c r="C31" s="153"/>
      <c r="D31" s="153"/>
      <c r="E31" s="153"/>
      <c r="F31" s="153"/>
      <c r="G31" s="153"/>
      <c r="H31" s="153"/>
      <c r="I31" s="153"/>
      <c r="J31" s="153"/>
      <c r="K31" s="153"/>
      <c r="L31" s="153"/>
      <c r="M31" s="153"/>
      <c r="N31" s="153"/>
      <c r="O31" s="153"/>
      <c r="P31" s="153"/>
      <c r="Q31" s="153"/>
      <c r="R31" s="153"/>
      <c r="S31" s="153"/>
      <c r="T31" s="153"/>
      <c r="U31" s="153"/>
      <c r="V31" s="153"/>
      <c r="W31" s="154"/>
    </row>
    <row r="32" spans="1:23" ht="59.25" customHeight="1">
      <c r="A32" s="77"/>
      <c r="B32" s="152"/>
      <c r="C32" s="153"/>
      <c r="D32" s="153"/>
      <c r="E32" s="153"/>
      <c r="F32" s="153"/>
      <c r="G32" s="153"/>
      <c r="H32" s="153"/>
      <c r="I32" s="153"/>
      <c r="J32" s="153"/>
      <c r="K32" s="153"/>
      <c r="L32" s="153"/>
      <c r="M32" s="153"/>
      <c r="N32" s="153"/>
      <c r="O32" s="153"/>
      <c r="P32" s="153"/>
      <c r="Q32" s="153"/>
      <c r="R32" s="153"/>
      <c r="S32" s="153"/>
      <c r="T32" s="153"/>
      <c r="U32" s="153"/>
      <c r="V32" s="153"/>
      <c r="W32" s="154"/>
    </row>
    <row r="33" spans="1:23" ht="59.25" customHeight="1">
      <c r="A33" s="77"/>
      <c r="B33" s="152"/>
      <c r="C33" s="153"/>
      <c r="D33" s="153"/>
      <c r="E33" s="153"/>
      <c r="F33" s="153"/>
      <c r="G33" s="153"/>
      <c r="H33" s="153"/>
      <c r="I33" s="153"/>
      <c r="J33" s="153"/>
      <c r="K33" s="153"/>
      <c r="L33" s="153"/>
      <c r="M33" s="153"/>
      <c r="N33" s="153"/>
      <c r="O33" s="153"/>
      <c r="P33" s="153"/>
      <c r="Q33" s="153"/>
      <c r="R33" s="153"/>
      <c r="S33" s="153"/>
      <c r="T33" s="153"/>
      <c r="U33" s="153"/>
      <c r="V33" s="153"/>
      <c r="W33" s="154"/>
    </row>
    <row r="34" spans="1:23" ht="59.25" customHeight="1">
      <c r="A34" s="77"/>
      <c r="B34" s="152"/>
      <c r="C34" s="153"/>
      <c r="D34" s="153"/>
      <c r="E34" s="153"/>
      <c r="F34" s="153"/>
      <c r="G34" s="153"/>
      <c r="H34" s="153"/>
      <c r="I34" s="153"/>
      <c r="J34" s="153"/>
      <c r="K34" s="153"/>
      <c r="L34" s="153"/>
      <c r="M34" s="153"/>
      <c r="N34" s="153"/>
      <c r="O34" s="153"/>
      <c r="P34" s="153"/>
      <c r="Q34" s="153"/>
      <c r="R34" s="153"/>
      <c r="S34" s="153"/>
      <c r="T34" s="153"/>
      <c r="U34" s="153"/>
      <c r="V34" s="153"/>
      <c r="W34" s="154"/>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Y188"/>
  <sheetViews>
    <sheetView workbookViewId="0">
      <selection sqref="A1:XFD1048576"/>
    </sheetView>
  </sheetViews>
  <sheetFormatPr defaultColWidth="9" defaultRowHeight="13.5"/>
  <cols>
    <col min="1" max="1" width="13.5" style="72" customWidth="1"/>
    <col min="2" max="2" width="79.125" style="72" customWidth="1"/>
    <col min="3" max="3" width="9.375" style="72" customWidth="1"/>
    <col min="4" max="23" width="4.125" style="72" customWidth="1"/>
    <col min="24" max="16384" width="9" style="72"/>
  </cols>
  <sheetData>
    <row r="1" spans="1:25" ht="85.5" customHeight="1">
      <c r="A1" s="70" t="str">
        <f ca="1">MID(CELL("filename",A1),FIND("[",CELL("filename",A1))+1,3)</f>
        <v>１－２</v>
      </c>
      <c r="B1" s="34" t="str">
        <f ca="1">RIGHT(CELL("filename",B1),LEN(CELL("filename",B1))-FIND("]",CELL("filename",B1)))</f>
        <v>英語</v>
      </c>
      <c r="C1" s="35" t="s">
        <v>26</v>
      </c>
      <c r="D1" s="36" t="str">
        <f>A15</f>
        <v>淺輪 景都</v>
      </c>
      <c r="E1" s="36" t="str">
        <f>A16</f>
        <v>太谷 高志</v>
      </c>
      <c r="F1" s="36" t="str">
        <f>A17</f>
        <v>加藤 裕吾</v>
      </c>
      <c r="G1" s="36" t="str">
        <f>A18</f>
        <v>後藤 朱里</v>
      </c>
      <c r="H1" s="36" t="str">
        <f>A19</f>
        <v>上甲 絃葉</v>
      </c>
      <c r="I1" s="36" t="str">
        <f>A20</f>
        <v>須田 陽貴</v>
      </c>
      <c r="J1" s="36" t="str">
        <f>A21</f>
        <v>高藤 遙舞</v>
      </c>
      <c r="K1" s="36" t="str">
        <f>A22</f>
        <v>立石 結子</v>
      </c>
      <c r="L1" s="36" t="str">
        <f>A23</f>
        <v>月岡 和香</v>
      </c>
      <c r="M1" s="36" t="str">
        <f>A24</f>
        <v>中村 祐香子</v>
      </c>
      <c r="N1" s="36" t="str">
        <f>A25</f>
        <v>藤森 結</v>
      </c>
      <c r="O1" s="36" t="str">
        <f>A26</f>
        <v>吉澤 紘風</v>
      </c>
      <c r="P1" s="36">
        <f>A27</f>
        <v>0</v>
      </c>
      <c r="Q1" s="36">
        <f>A28</f>
        <v>0</v>
      </c>
      <c r="R1" s="36">
        <f>A29</f>
        <v>0</v>
      </c>
      <c r="S1" s="36">
        <f>A30</f>
        <v>0</v>
      </c>
      <c r="T1" s="36">
        <f>A31</f>
        <v>0</v>
      </c>
      <c r="U1" s="36">
        <f>A32</f>
        <v>0</v>
      </c>
      <c r="V1" s="36">
        <f>A33</f>
        <v>0</v>
      </c>
      <c r="W1" s="36">
        <f>A34</f>
        <v>0</v>
      </c>
      <c r="X1" s="71"/>
    </row>
    <row r="2" spans="1:25" ht="22.5" customHeight="1">
      <c r="A2" s="155" t="s">
        <v>172</v>
      </c>
      <c r="B2" s="41" t="s">
        <v>66</v>
      </c>
      <c r="C2" s="38" t="s">
        <v>28</v>
      </c>
      <c r="D2" s="73" t="s">
        <v>173</v>
      </c>
      <c r="E2" s="73" t="s">
        <v>174</v>
      </c>
      <c r="F2" s="73" t="s">
        <v>174</v>
      </c>
      <c r="G2" s="73" t="s">
        <v>174</v>
      </c>
      <c r="H2" s="73" t="s">
        <v>174</v>
      </c>
      <c r="I2" s="73" t="s">
        <v>174</v>
      </c>
      <c r="J2" s="73" t="s">
        <v>173</v>
      </c>
      <c r="K2" s="73" t="s">
        <v>174</v>
      </c>
      <c r="L2" s="73" t="s">
        <v>173</v>
      </c>
      <c r="M2" s="73" t="s">
        <v>173</v>
      </c>
      <c r="N2" s="73" t="s">
        <v>174</v>
      </c>
      <c r="O2" s="73" t="s">
        <v>173</v>
      </c>
      <c r="P2" s="73"/>
      <c r="Q2" s="73"/>
      <c r="R2" s="73"/>
      <c r="S2" s="73"/>
      <c r="T2" s="73"/>
      <c r="U2" s="73"/>
      <c r="V2" s="73"/>
      <c r="W2" s="73"/>
      <c r="X2" s="74" t="s">
        <v>174</v>
      </c>
      <c r="Y2" s="74">
        <v>1</v>
      </c>
    </row>
    <row r="3" spans="1:25" ht="22.5" customHeight="1">
      <c r="A3" s="156"/>
      <c r="B3" s="41" t="s">
        <v>67</v>
      </c>
      <c r="C3" s="38" t="s">
        <v>28</v>
      </c>
      <c r="D3" s="73" t="s">
        <v>174</v>
      </c>
      <c r="E3" s="73" t="s">
        <v>174</v>
      </c>
      <c r="F3" s="73" t="s">
        <v>158</v>
      </c>
      <c r="G3" s="73" t="s">
        <v>174</v>
      </c>
      <c r="H3" s="73" t="s">
        <v>174</v>
      </c>
      <c r="I3" s="73" t="s">
        <v>174</v>
      </c>
      <c r="J3" s="73" t="s">
        <v>173</v>
      </c>
      <c r="K3" s="73" t="s">
        <v>174</v>
      </c>
      <c r="L3" s="73" t="s">
        <v>174</v>
      </c>
      <c r="M3" s="73" t="s">
        <v>158</v>
      </c>
      <c r="N3" s="73" t="s">
        <v>174</v>
      </c>
      <c r="O3" s="73" t="s">
        <v>173</v>
      </c>
      <c r="P3" s="73"/>
      <c r="Q3" s="73"/>
      <c r="R3" s="73"/>
      <c r="S3" s="73"/>
      <c r="T3" s="73"/>
      <c r="U3" s="73"/>
      <c r="V3" s="73"/>
      <c r="W3" s="73"/>
      <c r="X3" s="74" t="s">
        <v>159</v>
      </c>
      <c r="Y3" s="74">
        <v>2</v>
      </c>
    </row>
    <row r="4" spans="1:25" ht="22.5" customHeight="1">
      <c r="A4" s="156"/>
      <c r="B4" s="41" t="s">
        <v>68</v>
      </c>
      <c r="C4" s="38" t="s">
        <v>28</v>
      </c>
      <c r="D4" s="73" t="s">
        <v>174</v>
      </c>
      <c r="E4" s="73" t="s">
        <v>158</v>
      </c>
      <c r="F4" s="73" t="s">
        <v>174</v>
      </c>
      <c r="G4" s="73" t="s">
        <v>158</v>
      </c>
      <c r="H4" s="73" t="s">
        <v>174</v>
      </c>
      <c r="I4" s="73" t="s">
        <v>174</v>
      </c>
      <c r="J4" s="73" t="s">
        <v>158</v>
      </c>
      <c r="K4" s="73" t="s">
        <v>158</v>
      </c>
      <c r="L4" s="73" t="s">
        <v>158</v>
      </c>
      <c r="M4" s="73" t="s">
        <v>159</v>
      </c>
      <c r="N4" s="73" t="s">
        <v>158</v>
      </c>
      <c r="O4" s="73" t="s">
        <v>174</v>
      </c>
      <c r="P4" s="73"/>
      <c r="Q4" s="73"/>
      <c r="R4" s="73"/>
      <c r="S4" s="73"/>
      <c r="T4" s="73"/>
      <c r="U4" s="73"/>
      <c r="V4" s="73"/>
      <c r="W4" s="73"/>
      <c r="X4" s="74" t="s">
        <v>160</v>
      </c>
      <c r="Y4" s="74">
        <v>3</v>
      </c>
    </row>
    <row r="5" spans="1:25" ht="22.5" customHeight="1">
      <c r="A5" s="156"/>
      <c r="B5" s="41" t="s">
        <v>69</v>
      </c>
      <c r="C5" s="38" t="s">
        <v>28</v>
      </c>
      <c r="D5" s="73" t="s">
        <v>158</v>
      </c>
      <c r="E5" s="73" t="s">
        <v>158</v>
      </c>
      <c r="F5" s="73" t="s">
        <v>174</v>
      </c>
      <c r="G5" s="73" t="s">
        <v>158</v>
      </c>
      <c r="H5" s="73" t="s">
        <v>158</v>
      </c>
      <c r="I5" s="73" t="s">
        <v>158</v>
      </c>
      <c r="J5" s="73" t="s">
        <v>159</v>
      </c>
      <c r="K5" s="73" t="s">
        <v>158</v>
      </c>
      <c r="L5" s="73" t="s">
        <v>159</v>
      </c>
      <c r="M5" s="73" t="s">
        <v>173</v>
      </c>
      <c r="N5" s="73" t="s">
        <v>174</v>
      </c>
      <c r="O5" s="73" t="s">
        <v>173</v>
      </c>
      <c r="P5" s="73"/>
      <c r="Q5" s="73"/>
      <c r="R5" s="73"/>
      <c r="S5" s="73"/>
      <c r="T5" s="73"/>
      <c r="U5" s="73"/>
      <c r="V5" s="73"/>
      <c r="W5" s="73"/>
      <c r="X5" s="74" t="s">
        <v>161</v>
      </c>
      <c r="Y5" s="74">
        <v>4</v>
      </c>
    </row>
    <row r="6" spans="1:25" ht="22.5" customHeight="1">
      <c r="A6" s="156"/>
      <c r="B6" s="41" t="s">
        <v>70</v>
      </c>
      <c r="C6" s="38" t="s">
        <v>28</v>
      </c>
      <c r="D6" s="73" t="s">
        <v>158</v>
      </c>
      <c r="E6" s="73" t="s">
        <v>158</v>
      </c>
      <c r="F6" s="73" t="s">
        <v>158</v>
      </c>
      <c r="G6" s="73" t="s">
        <v>174</v>
      </c>
      <c r="H6" s="73" t="s">
        <v>174</v>
      </c>
      <c r="I6" s="73" t="s">
        <v>158</v>
      </c>
      <c r="J6" s="73" t="s">
        <v>158</v>
      </c>
      <c r="K6" s="73" t="s">
        <v>174</v>
      </c>
      <c r="L6" s="73" t="s">
        <v>158</v>
      </c>
      <c r="M6" s="73" t="s">
        <v>174</v>
      </c>
      <c r="N6" s="73" t="s">
        <v>158</v>
      </c>
      <c r="O6" s="73" t="s">
        <v>174</v>
      </c>
      <c r="P6" s="73"/>
      <c r="Q6" s="73"/>
      <c r="R6" s="73"/>
      <c r="S6" s="73"/>
      <c r="T6" s="73"/>
      <c r="U6" s="73"/>
      <c r="V6" s="73"/>
      <c r="W6" s="73"/>
      <c r="X6" s="74"/>
      <c r="Y6" s="74">
        <v>5</v>
      </c>
    </row>
    <row r="7" spans="1:25" ht="22.5" customHeight="1">
      <c r="A7" s="156"/>
      <c r="B7" s="41"/>
      <c r="C7" s="38" t="s">
        <v>28</v>
      </c>
      <c r="D7" s="73"/>
      <c r="E7" s="73"/>
      <c r="F7" s="73"/>
      <c r="G7" s="73"/>
      <c r="H7" s="73"/>
      <c r="I7" s="73"/>
      <c r="J7" s="73"/>
      <c r="K7" s="73"/>
      <c r="L7" s="73"/>
      <c r="M7" s="73"/>
      <c r="N7" s="73"/>
      <c r="O7" s="73"/>
      <c r="P7" s="73"/>
      <c r="Q7" s="73"/>
      <c r="R7" s="73"/>
      <c r="S7" s="73"/>
      <c r="T7" s="73"/>
      <c r="U7" s="73"/>
      <c r="V7" s="73"/>
      <c r="W7" s="73"/>
      <c r="X7" s="74"/>
      <c r="Y7" s="74" t="s">
        <v>161</v>
      </c>
    </row>
    <row r="8" spans="1:25" ht="22.5" customHeight="1">
      <c r="A8" s="156"/>
      <c r="B8" s="41"/>
      <c r="C8" s="38" t="s">
        <v>28</v>
      </c>
      <c r="D8" s="73"/>
      <c r="E8" s="73"/>
      <c r="F8" s="73"/>
      <c r="G8" s="73"/>
      <c r="H8" s="73"/>
      <c r="I8" s="73"/>
      <c r="J8" s="73"/>
      <c r="K8" s="73"/>
      <c r="L8" s="73"/>
      <c r="M8" s="73"/>
      <c r="N8" s="73"/>
      <c r="O8" s="73"/>
      <c r="P8" s="73"/>
      <c r="Q8" s="73"/>
      <c r="R8" s="73"/>
      <c r="S8" s="73"/>
      <c r="T8" s="73"/>
      <c r="U8" s="73"/>
      <c r="V8" s="73"/>
      <c r="W8" s="73"/>
    </row>
    <row r="9" spans="1:25" ht="22.5" customHeight="1">
      <c r="A9" s="156"/>
      <c r="B9" s="41"/>
      <c r="C9" s="38" t="s">
        <v>28</v>
      </c>
      <c r="D9" s="73"/>
      <c r="E9" s="73"/>
      <c r="F9" s="73"/>
      <c r="G9" s="73"/>
      <c r="H9" s="73"/>
      <c r="I9" s="73"/>
      <c r="J9" s="73"/>
      <c r="K9" s="73"/>
      <c r="L9" s="73"/>
      <c r="M9" s="73"/>
      <c r="N9" s="73"/>
      <c r="O9" s="73"/>
      <c r="P9" s="73"/>
      <c r="Q9" s="73"/>
      <c r="R9" s="73"/>
      <c r="S9" s="73"/>
      <c r="T9" s="73"/>
      <c r="U9" s="73"/>
      <c r="V9" s="73"/>
      <c r="W9" s="73"/>
    </row>
    <row r="10" spans="1:25" ht="22.5" customHeight="1">
      <c r="A10" s="156"/>
      <c r="B10" s="41"/>
      <c r="C10" s="38" t="s">
        <v>28</v>
      </c>
      <c r="D10" s="73"/>
      <c r="E10" s="73"/>
      <c r="F10" s="73"/>
      <c r="G10" s="73"/>
      <c r="H10" s="73"/>
      <c r="I10" s="73"/>
      <c r="J10" s="73"/>
      <c r="K10" s="73"/>
      <c r="L10" s="73"/>
      <c r="M10" s="73"/>
      <c r="N10" s="73"/>
      <c r="O10" s="73"/>
      <c r="P10" s="73"/>
      <c r="Q10" s="73"/>
      <c r="R10" s="73"/>
      <c r="S10" s="73"/>
      <c r="T10" s="73"/>
      <c r="U10" s="73"/>
      <c r="V10" s="73"/>
      <c r="W10" s="73"/>
    </row>
    <row r="11" spans="1:25" ht="22.5" customHeight="1">
      <c r="A11" s="156"/>
      <c r="B11" s="41"/>
      <c r="C11" s="38" t="s">
        <v>28</v>
      </c>
      <c r="D11" s="73"/>
      <c r="E11" s="73"/>
      <c r="F11" s="73"/>
      <c r="G11" s="73"/>
      <c r="H11" s="73"/>
      <c r="I11" s="73"/>
      <c r="J11" s="73"/>
      <c r="K11" s="73"/>
      <c r="L11" s="73"/>
      <c r="M11" s="73"/>
      <c r="N11" s="73"/>
      <c r="O11" s="73"/>
      <c r="P11" s="73"/>
      <c r="Q11" s="73"/>
      <c r="R11" s="73"/>
      <c r="S11" s="73"/>
      <c r="T11" s="73"/>
      <c r="U11" s="73"/>
      <c r="V11" s="73"/>
      <c r="W11" s="73"/>
    </row>
    <row r="12" spans="1:25" ht="30" customHeight="1">
      <c r="A12" s="157"/>
      <c r="B12" s="42"/>
      <c r="C12" s="43" t="s">
        <v>35</v>
      </c>
      <c r="D12" s="73">
        <v>5</v>
      </c>
      <c r="E12" s="73">
        <v>5</v>
      </c>
      <c r="F12" s="73">
        <v>5</v>
      </c>
      <c r="G12" s="73">
        <v>5</v>
      </c>
      <c r="H12" s="73">
        <v>5</v>
      </c>
      <c r="I12" s="73">
        <v>5</v>
      </c>
      <c r="J12" s="73">
        <v>4</v>
      </c>
      <c r="K12" s="73">
        <v>5</v>
      </c>
      <c r="L12" s="73">
        <v>4</v>
      </c>
      <c r="M12" s="73">
        <v>4</v>
      </c>
      <c r="N12" s="73">
        <v>5</v>
      </c>
      <c r="O12" s="73">
        <v>4</v>
      </c>
      <c r="P12" s="73"/>
      <c r="Q12" s="73"/>
      <c r="R12" s="73"/>
      <c r="S12" s="73"/>
      <c r="T12" s="73"/>
      <c r="U12" s="73"/>
      <c r="V12" s="73"/>
      <c r="W12" s="73"/>
    </row>
    <row r="13" spans="1:25" ht="26.25" customHeight="1">
      <c r="A13" s="75"/>
      <c r="B13" s="75"/>
      <c r="C13" s="68" t="s">
        <v>64</v>
      </c>
      <c r="D13" s="76"/>
      <c r="E13" s="76"/>
      <c r="F13" s="76"/>
      <c r="G13" s="76"/>
      <c r="H13" s="76"/>
      <c r="I13" s="76"/>
      <c r="J13" s="76"/>
      <c r="K13" s="76"/>
      <c r="L13" s="76"/>
      <c r="M13" s="76"/>
      <c r="N13" s="76"/>
      <c r="O13" s="76"/>
      <c r="P13" s="76"/>
      <c r="Q13" s="76"/>
      <c r="R13" s="76"/>
      <c r="S13" s="76"/>
      <c r="T13" s="76"/>
      <c r="U13" s="76"/>
      <c r="V13" s="76"/>
      <c r="W13" s="76"/>
    </row>
    <row r="14" spans="1:25" ht="22.5" customHeight="1">
      <c r="A14" s="45" t="s">
        <v>36</v>
      </c>
      <c r="B14" s="158" t="s">
        <v>37</v>
      </c>
      <c r="C14" s="159"/>
      <c r="D14" s="159"/>
      <c r="E14" s="159"/>
      <c r="F14" s="159"/>
      <c r="G14" s="159"/>
      <c r="H14" s="159"/>
      <c r="I14" s="159"/>
      <c r="J14" s="159"/>
      <c r="K14" s="159"/>
      <c r="L14" s="159"/>
      <c r="M14" s="159"/>
      <c r="N14" s="159"/>
      <c r="O14" s="159"/>
      <c r="P14" s="159"/>
      <c r="Q14" s="159"/>
      <c r="R14" s="159"/>
      <c r="S14" s="159"/>
      <c r="T14" s="159"/>
      <c r="U14" s="159"/>
      <c r="V14" s="159"/>
      <c r="W14" s="160"/>
    </row>
    <row r="15" spans="1:25" ht="59.25" customHeight="1">
      <c r="A15" s="77" t="s">
        <v>84</v>
      </c>
      <c r="B15" s="152"/>
      <c r="C15" s="153"/>
      <c r="D15" s="153"/>
      <c r="E15" s="153"/>
      <c r="F15" s="153"/>
      <c r="G15" s="153"/>
      <c r="H15" s="153"/>
      <c r="I15" s="153"/>
      <c r="J15" s="153"/>
      <c r="K15" s="153"/>
      <c r="L15" s="153"/>
      <c r="M15" s="153"/>
      <c r="N15" s="153"/>
      <c r="O15" s="153"/>
      <c r="P15" s="153"/>
      <c r="Q15" s="153"/>
      <c r="R15" s="153"/>
      <c r="S15" s="153"/>
      <c r="T15" s="153"/>
      <c r="U15" s="153"/>
      <c r="V15" s="153"/>
      <c r="W15" s="154"/>
    </row>
    <row r="16" spans="1:25" ht="59.25" customHeight="1">
      <c r="A16" s="77" t="s">
        <v>85</v>
      </c>
      <c r="B16" s="152"/>
      <c r="C16" s="153"/>
      <c r="D16" s="153"/>
      <c r="E16" s="153"/>
      <c r="F16" s="153"/>
      <c r="G16" s="153"/>
      <c r="H16" s="153"/>
      <c r="I16" s="153"/>
      <c r="J16" s="153"/>
      <c r="K16" s="153"/>
      <c r="L16" s="153"/>
      <c r="M16" s="153"/>
      <c r="N16" s="153"/>
      <c r="O16" s="153"/>
      <c r="P16" s="153"/>
      <c r="Q16" s="153"/>
      <c r="R16" s="153"/>
      <c r="S16" s="153"/>
      <c r="T16" s="153"/>
      <c r="U16" s="153"/>
      <c r="V16" s="153"/>
      <c r="W16" s="154"/>
    </row>
    <row r="17" spans="1:23" ht="59.25" customHeight="1">
      <c r="A17" s="77" t="s">
        <v>86</v>
      </c>
      <c r="B17" s="152"/>
      <c r="C17" s="153"/>
      <c r="D17" s="153"/>
      <c r="E17" s="153"/>
      <c r="F17" s="153"/>
      <c r="G17" s="153"/>
      <c r="H17" s="153"/>
      <c r="I17" s="153"/>
      <c r="J17" s="153"/>
      <c r="K17" s="153"/>
      <c r="L17" s="153"/>
      <c r="M17" s="153"/>
      <c r="N17" s="153"/>
      <c r="O17" s="153"/>
      <c r="P17" s="153"/>
      <c r="Q17" s="153"/>
      <c r="R17" s="153"/>
      <c r="S17" s="153"/>
      <c r="T17" s="153"/>
      <c r="U17" s="153"/>
      <c r="V17" s="153"/>
      <c r="W17" s="154"/>
    </row>
    <row r="18" spans="1:23" ht="59.25" customHeight="1">
      <c r="A18" s="77" t="s">
        <v>87</v>
      </c>
      <c r="B18" s="152"/>
      <c r="C18" s="153"/>
      <c r="D18" s="153"/>
      <c r="E18" s="153"/>
      <c r="F18" s="153"/>
      <c r="G18" s="153"/>
      <c r="H18" s="153"/>
      <c r="I18" s="153"/>
      <c r="J18" s="153"/>
      <c r="K18" s="153"/>
      <c r="L18" s="153"/>
      <c r="M18" s="153"/>
      <c r="N18" s="153"/>
      <c r="O18" s="153"/>
      <c r="P18" s="153"/>
      <c r="Q18" s="153"/>
      <c r="R18" s="153"/>
      <c r="S18" s="153"/>
      <c r="T18" s="153"/>
      <c r="U18" s="153"/>
      <c r="V18" s="153"/>
      <c r="W18" s="154"/>
    </row>
    <row r="19" spans="1:23" ht="59.25" customHeight="1">
      <c r="A19" s="77" t="s">
        <v>88</v>
      </c>
      <c r="B19" s="152"/>
      <c r="C19" s="153"/>
      <c r="D19" s="153"/>
      <c r="E19" s="153"/>
      <c r="F19" s="153"/>
      <c r="G19" s="153"/>
      <c r="H19" s="153"/>
      <c r="I19" s="153"/>
      <c r="J19" s="153"/>
      <c r="K19" s="153"/>
      <c r="L19" s="153"/>
      <c r="M19" s="153"/>
      <c r="N19" s="153"/>
      <c r="O19" s="153"/>
      <c r="P19" s="153"/>
      <c r="Q19" s="153"/>
      <c r="R19" s="153"/>
      <c r="S19" s="153"/>
      <c r="T19" s="153"/>
      <c r="U19" s="153"/>
      <c r="V19" s="153"/>
      <c r="W19" s="154"/>
    </row>
    <row r="20" spans="1:23" ht="59.25" customHeight="1">
      <c r="A20" s="77" t="s">
        <v>89</v>
      </c>
      <c r="B20" s="152"/>
      <c r="C20" s="153"/>
      <c r="D20" s="153"/>
      <c r="E20" s="153"/>
      <c r="F20" s="153"/>
      <c r="G20" s="153"/>
      <c r="H20" s="153"/>
      <c r="I20" s="153"/>
      <c r="J20" s="153"/>
      <c r="K20" s="153"/>
      <c r="L20" s="153"/>
      <c r="M20" s="153"/>
      <c r="N20" s="153"/>
      <c r="O20" s="153"/>
      <c r="P20" s="153"/>
      <c r="Q20" s="153"/>
      <c r="R20" s="153"/>
      <c r="S20" s="153"/>
      <c r="T20" s="153"/>
      <c r="U20" s="153"/>
      <c r="V20" s="153"/>
      <c r="W20" s="154"/>
    </row>
    <row r="21" spans="1:23" ht="59.25" customHeight="1">
      <c r="A21" s="77" t="s">
        <v>90</v>
      </c>
      <c r="B21" s="152"/>
      <c r="C21" s="153"/>
      <c r="D21" s="153"/>
      <c r="E21" s="153"/>
      <c r="F21" s="153"/>
      <c r="G21" s="153"/>
      <c r="H21" s="153"/>
      <c r="I21" s="153"/>
      <c r="J21" s="153"/>
      <c r="K21" s="153"/>
      <c r="L21" s="153"/>
      <c r="M21" s="153"/>
      <c r="N21" s="153"/>
      <c r="O21" s="153"/>
      <c r="P21" s="153"/>
      <c r="Q21" s="153"/>
      <c r="R21" s="153"/>
      <c r="S21" s="153"/>
      <c r="T21" s="153"/>
      <c r="U21" s="153"/>
      <c r="V21" s="153"/>
      <c r="W21" s="154"/>
    </row>
    <row r="22" spans="1:23" ht="59.25" customHeight="1">
      <c r="A22" s="77" t="s">
        <v>91</v>
      </c>
      <c r="B22" s="152"/>
      <c r="C22" s="153"/>
      <c r="D22" s="153"/>
      <c r="E22" s="153"/>
      <c r="F22" s="153"/>
      <c r="G22" s="153"/>
      <c r="H22" s="153"/>
      <c r="I22" s="153"/>
      <c r="J22" s="153"/>
      <c r="K22" s="153"/>
      <c r="L22" s="153"/>
      <c r="M22" s="153"/>
      <c r="N22" s="153"/>
      <c r="O22" s="153"/>
      <c r="P22" s="153"/>
      <c r="Q22" s="153"/>
      <c r="R22" s="153"/>
      <c r="S22" s="153"/>
      <c r="T22" s="153"/>
      <c r="U22" s="153"/>
      <c r="V22" s="153"/>
      <c r="W22" s="154"/>
    </row>
    <row r="23" spans="1:23" ht="59.25" customHeight="1">
      <c r="A23" s="77" t="s">
        <v>92</v>
      </c>
      <c r="B23" s="152"/>
      <c r="C23" s="153"/>
      <c r="D23" s="153"/>
      <c r="E23" s="153"/>
      <c r="F23" s="153"/>
      <c r="G23" s="153"/>
      <c r="H23" s="153"/>
      <c r="I23" s="153"/>
      <c r="J23" s="153"/>
      <c r="K23" s="153"/>
      <c r="L23" s="153"/>
      <c r="M23" s="153"/>
      <c r="N23" s="153"/>
      <c r="O23" s="153"/>
      <c r="P23" s="153"/>
      <c r="Q23" s="153"/>
      <c r="R23" s="153"/>
      <c r="S23" s="153"/>
      <c r="T23" s="153"/>
      <c r="U23" s="153"/>
      <c r="V23" s="153"/>
      <c r="W23" s="154"/>
    </row>
    <row r="24" spans="1:23" ht="59.25" customHeight="1">
      <c r="A24" s="77" t="s">
        <v>93</v>
      </c>
      <c r="B24" s="152"/>
      <c r="C24" s="153"/>
      <c r="D24" s="153"/>
      <c r="E24" s="153"/>
      <c r="F24" s="153"/>
      <c r="G24" s="153"/>
      <c r="H24" s="153"/>
      <c r="I24" s="153"/>
      <c r="J24" s="153"/>
      <c r="K24" s="153"/>
      <c r="L24" s="153"/>
      <c r="M24" s="153"/>
      <c r="N24" s="153"/>
      <c r="O24" s="153"/>
      <c r="P24" s="153"/>
      <c r="Q24" s="153"/>
      <c r="R24" s="153"/>
      <c r="S24" s="153"/>
      <c r="T24" s="153"/>
      <c r="U24" s="153"/>
      <c r="V24" s="153"/>
      <c r="W24" s="154"/>
    </row>
    <row r="25" spans="1:23" ht="59.25" customHeight="1">
      <c r="A25" s="77" t="s">
        <v>94</v>
      </c>
      <c r="B25" s="152"/>
      <c r="C25" s="153"/>
      <c r="D25" s="153"/>
      <c r="E25" s="153"/>
      <c r="F25" s="153"/>
      <c r="G25" s="153"/>
      <c r="H25" s="153"/>
      <c r="I25" s="153"/>
      <c r="J25" s="153"/>
      <c r="K25" s="153"/>
      <c r="L25" s="153"/>
      <c r="M25" s="153"/>
      <c r="N25" s="153"/>
      <c r="O25" s="153"/>
      <c r="P25" s="153"/>
      <c r="Q25" s="153"/>
      <c r="R25" s="153"/>
      <c r="S25" s="153"/>
      <c r="T25" s="153"/>
      <c r="U25" s="153"/>
      <c r="V25" s="153"/>
      <c r="W25" s="154"/>
    </row>
    <row r="26" spans="1:23" ht="59.25" customHeight="1">
      <c r="A26" s="77" t="s">
        <v>95</v>
      </c>
      <c r="B26" s="152"/>
      <c r="C26" s="153"/>
      <c r="D26" s="153"/>
      <c r="E26" s="153"/>
      <c r="F26" s="153"/>
      <c r="G26" s="153"/>
      <c r="H26" s="153"/>
      <c r="I26" s="153"/>
      <c r="J26" s="153"/>
      <c r="K26" s="153"/>
      <c r="L26" s="153"/>
      <c r="M26" s="153"/>
      <c r="N26" s="153"/>
      <c r="O26" s="153"/>
      <c r="P26" s="153"/>
      <c r="Q26" s="153"/>
      <c r="R26" s="153"/>
      <c r="S26" s="153"/>
      <c r="T26" s="153"/>
      <c r="U26" s="153"/>
      <c r="V26" s="153"/>
      <c r="W26" s="154"/>
    </row>
    <row r="27" spans="1:23" ht="59.25" customHeight="1">
      <c r="A27" s="77"/>
      <c r="B27" s="152"/>
      <c r="C27" s="153"/>
      <c r="D27" s="153"/>
      <c r="E27" s="153"/>
      <c r="F27" s="153"/>
      <c r="G27" s="153"/>
      <c r="H27" s="153"/>
      <c r="I27" s="153"/>
      <c r="J27" s="153"/>
      <c r="K27" s="153"/>
      <c r="L27" s="153"/>
      <c r="M27" s="153"/>
      <c r="N27" s="153"/>
      <c r="O27" s="153"/>
      <c r="P27" s="153"/>
      <c r="Q27" s="153"/>
      <c r="R27" s="153"/>
      <c r="S27" s="153"/>
      <c r="T27" s="153"/>
      <c r="U27" s="153"/>
      <c r="V27" s="153"/>
      <c r="W27" s="154"/>
    </row>
    <row r="28" spans="1:23" ht="59.25" customHeight="1">
      <c r="A28" s="77"/>
      <c r="B28" s="152"/>
      <c r="C28" s="153"/>
      <c r="D28" s="153"/>
      <c r="E28" s="153"/>
      <c r="F28" s="153"/>
      <c r="G28" s="153"/>
      <c r="H28" s="153"/>
      <c r="I28" s="153"/>
      <c r="J28" s="153"/>
      <c r="K28" s="153"/>
      <c r="L28" s="153"/>
      <c r="M28" s="153"/>
      <c r="N28" s="153"/>
      <c r="O28" s="153"/>
      <c r="P28" s="153"/>
      <c r="Q28" s="153"/>
      <c r="R28" s="153"/>
      <c r="S28" s="153"/>
      <c r="T28" s="153"/>
      <c r="U28" s="153"/>
      <c r="V28" s="153"/>
      <c r="W28" s="154"/>
    </row>
    <row r="29" spans="1:23" ht="59.25" customHeight="1">
      <c r="A29" s="77"/>
      <c r="B29" s="152"/>
      <c r="C29" s="153"/>
      <c r="D29" s="153"/>
      <c r="E29" s="153"/>
      <c r="F29" s="153"/>
      <c r="G29" s="153"/>
      <c r="H29" s="153"/>
      <c r="I29" s="153"/>
      <c r="J29" s="153"/>
      <c r="K29" s="153"/>
      <c r="L29" s="153"/>
      <c r="M29" s="153"/>
      <c r="N29" s="153"/>
      <c r="O29" s="153"/>
      <c r="P29" s="153"/>
      <c r="Q29" s="153"/>
      <c r="R29" s="153"/>
      <c r="S29" s="153"/>
      <c r="T29" s="153"/>
      <c r="U29" s="153"/>
      <c r="V29" s="153"/>
      <c r="W29" s="154"/>
    </row>
    <row r="30" spans="1:23" ht="59.25" customHeight="1">
      <c r="A30" s="77"/>
      <c r="B30" s="152"/>
      <c r="C30" s="153"/>
      <c r="D30" s="153"/>
      <c r="E30" s="153"/>
      <c r="F30" s="153"/>
      <c r="G30" s="153"/>
      <c r="H30" s="153"/>
      <c r="I30" s="153"/>
      <c r="J30" s="153"/>
      <c r="K30" s="153"/>
      <c r="L30" s="153"/>
      <c r="M30" s="153"/>
      <c r="N30" s="153"/>
      <c r="O30" s="153"/>
      <c r="P30" s="153"/>
      <c r="Q30" s="153"/>
      <c r="R30" s="153"/>
      <c r="S30" s="153"/>
      <c r="T30" s="153"/>
      <c r="U30" s="153"/>
      <c r="V30" s="153"/>
      <c r="W30" s="154"/>
    </row>
    <row r="31" spans="1:23" ht="59.25" customHeight="1">
      <c r="A31" s="77"/>
      <c r="B31" s="152"/>
      <c r="C31" s="153"/>
      <c r="D31" s="153"/>
      <c r="E31" s="153"/>
      <c r="F31" s="153"/>
      <c r="G31" s="153"/>
      <c r="H31" s="153"/>
      <c r="I31" s="153"/>
      <c r="J31" s="153"/>
      <c r="K31" s="153"/>
      <c r="L31" s="153"/>
      <c r="M31" s="153"/>
      <c r="N31" s="153"/>
      <c r="O31" s="153"/>
      <c r="P31" s="153"/>
      <c r="Q31" s="153"/>
      <c r="R31" s="153"/>
      <c r="S31" s="153"/>
      <c r="T31" s="153"/>
      <c r="U31" s="153"/>
      <c r="V31" s="153"/>
      <c r="W31" s="154"/>
    </row>
    <row r="32" spans="1:23" ht="59.25" customHeight="1">
      <c r="A32" s="77"/>
      <c r="B32" s="152"/>
      <c r="C32" s="153"/>
      <c r="D32" s="153"/>
      <c r="E32" s="153"/>
      <c r="F32" s="153"/>
      <c r="G32" s="153"/>
      <c r="H32" s="153"/>
      <c r="I32" s="153"/>
      <c r="J32" s="153"/>
      <c r="K32" s="153"/>
      <c r="L32" s="153"/>
      <c r="M32" s="153"/>
      <c r="N32" s="153"/>
      <c r="O32" s="153"/>
      <c r="P32" s="153"/>
      <c r="Q32" s="153"/>
      <c r="R32" s="153"/>
      <c r="S32" s="153"/>
      <c r="T32" s="153"/>
      <c r="U32" s="153"/>
      <c r="V32" s="153"/>
      <c r="W32" s="154"/>
    </row>
    <row r="33" spans="1:23" ht="59.25" customHeight="1">
      <c r="A33" s="77"/>
      <c r="B33" s="152"/>
      <c r="C33" s="153"/>
      <c r="D33" s="153"/>
      <c r="E33" s="153"/>
      <c r="F33" s="153"/>
      <c r="G33" s="153"/>
      <c r="H33" s="153"/>
      <c r="I33" s="153"/>
      <c r="J33" s="153"/>
      <c r="K33" s="153"/>
      <c r="L33" s="153"/>
      <c r="M33" s="153"/>
      <c r="N33" s="153"/>
      <c r="O33" s="153"/>
      <c r="P33" s="153"/>
      <c r="Q33" s="153"/>
      <c r="R33" s="153"/>
      <c r="S33" s="153"/>
      <c r="T33" s="153"/>
      <c r="U33" s="153"/>
      <c r="V33" s="153"/>
      <c r="W33" s="154"/>
    </row>
    <row r="34" spans="1:23" ht="59.25" customHeight="1">
      <c r="A34" s="77"/>
      <c r="B34" s="152"/>
      <c r="C34" s="153"/>
      <c r="D34" s="153"/>
      <c r="E34" s="153"/>
      <c r="F34" s="153"/>
      <c r="G34" s="153"/>
      <c r="H34" s="153"/>
      <c r="I34" s="153"/>
      <c r="J34" s="153"/>
      <c r="K34" s="153"/>
      <c r="L34" s="153"/>
      <c r="M34" s="153"/>
      <c r="N34" s="153"/>
      <c r="O34" s="153"/>
      <c r="P34" s="153"/>
      <c r="Q34" s="153"/>
      <c r="R34" s="153"/>
      <c r="S34" s="153"/>
      <c r="T34" s="153"/>
      <c r="U34" s="153"/>
      <c r="V34" s="153"/>
      <c r="W34" s="154"/>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１－２</v>
      </c>
      <c r="B1" s="34" t="str">
        <f ca="1">RIGHT(CELL("filename",B1),LEN(CELL("filename",B1))-FIND("]",CELL("filename",B1)))</f>
        <v>音楽</v>
      </c>
      <c r="C1" s="35" t="s">
        <v>26</v>
      </c>
      <c r="D1" s="36" t="str">
        <f>A15</f>
        <v>淺輪 景都</v>
      </c>
      <c r="E1" s="36" t="str">
        <f>A16</f>
        <v>太谷 高志</v>
      </c>
      <c r="F1" s="36" t="str">
        <f>A17</f>
        <v>加藤 裕吾</v>
      </c>
      <c r="G1" s="36" t="str">
        <f>A18</f>
        <v>後藤 朱里</v>
      </c>
      <c r="H1" s="36" t="str">
        <f>A19</f>
        <v>上甲 絃葉</v>
      </c>
      <c r="I1" s="36" t="str">
        <f>A20</f>
        <v>須田 陽貴</v>
      </c>
      <c r="J1" s="36" t="str">
        <f>A21</f>
        <v>高藤 遙舞</v>
      </c>
      <c r="K1" s="36" t="str">
        <f>A22</f>
        <v>立石 結子</v>
      </c>
      <c r="L1" s="36" t="str">
        <f>A23</f>
        <v>月岡 和香</v>
      </c>
      <c r="M1" s="36" t="str">
        <f>A24</f>
        <v>中村 祐香子</v>
      </c>
      <c r="N1" s="36" t="str">
        <f>A25</f>
        <v>藤森 結</v>
      </c>
      <c r="O1" s="36" t="str">
        <f>A26</f>
        <v>吉澤 紘風</v>
      </c>
      <c r="P1" s="36">
        <f>A27</f>
        <v>0</v>
      </c>
      <c r="Q1" s="36">
        <f>A28</f>
        <v>0</v>
      </c>
      <c r="R1" s="36">
        <f>A29</f>
        <v>0</v>
      </c>
      <c r="S1" s="36">
        <f>A30</f>
        <v>0</v>
      </c>
      <c r="T1" s="36">
        <f>A31</f>
        <v>0</v>
      </c>
      <c r="U1" s="36">
        <f>A32</f>
        <v>0</v>
      </c>
      <c r="V1" s="36">
        <f>A33</f>
        <v>0</v>
      </c>
      <c r="W1" s="36">
        <f>A34</f>
        <v>0</v>
      </c>
      <c r="X1" s="37"/>
    </row>
    <row r="2" spans="1:25" ht="22.5" customHeight="1">
      <c r="A2" s="155" t="s">
        <v>175</v>
      </c>
      <c r="B2" s="84" t="s">
        <v>107</v>
      </c>
      <c r="C2" s="38" t="s">
        <v>28</v>
      </c>
      <c r="D2" s="39" t="s">
        <v>176</v>
      </c>
      <c r="E2" s="39" t="s">
        <v>158</v>
      </c>
      <c r="F2" s="39" t="s">
        <v>177</v>
      </c>
      <c r="G2" s="39" t="s">
        <v>177</v>
      </c>
      <c r="H2" s="39" t="s">
        <v>158</v>
      </c>
      <c r="I2" s="39" t="s">
        <v>177</v>
      </c>
      <c r="J2" s="39" t="s">
        <v>177</v>
      </c>
      <c r="K2" s="39" t="s">
        <v>158</v>
      </c>
      <c r="L2" s="39" t="s">
        <v>178</v>
      </c>
      <c r="M2" s="39" t="s">
        <v>158</v>
      </c>
      <c r="N2" s="39" t="s">
        <v>65</v>
      </c>
      <c r="O2" s="39" t="s">
        <v>158</v>
      </c>
      <c r="P2" s="39"/>
      <c r="Q2" s="39"/>
      <c r="R2" s="39"/>
      <c r="S2" s="39"/>
      <c r="T2" s="39"/>
      <c r="U2" s="39"/>
      <c r="V2" s="39"/>
      <c r="W2" s="39"/>
      <c r="X2" s="40" t="s">
        <v>158</v>
      </c>
      <c r="Y2" s="40">
        <v>1</v>
      </c>
    </row>
    <row r="3" spans="1:25" ht="22.5" customHeight="1">
      <c r="A3" s="156"/>
      <c r="B3" s="41" t="s">
        <v>108</v>
      </c>
      <c r="C3" s="38" t="s">
        <v>28</v>
      </c>
      <c r="D3" s="39" t="s">
        <v>158</v>
      </c>
      <c r="E3" s="39" t="s">
        <v>65</v>
      </c>
      <c r="F3" s="39" t="s">
        <v>158</v>
      </c>
      <c r="G3" s="39" t="s">
        <v>158</v>
      </c>
      <c r="H3" s="39" t="s">
        <v>158</v>
      </c>
      <c r="I3" s="39" t="s">
        <v>158</v>
      </c>
      <c r="J3" s="39" t="s">
        <v>158</v>
      </c>
      <c r="K3" s="39" t="s">
        <v>158</v>
      </c>
      <c r="L3" s="39" t="s">
        <v>158</v>
      </c>
      <c r="M3" s="39" t="s">
        <v>65</v>
      </c>
      <c r="N3" s="39" t="s">
        <v>158</v>
      </c>
      <c r="O3" s="39" t="s">
        <v>158</v>
      </c>
      <c r="P3" s="39"/>
      <c r="Q3" s="39"/>
      <c r="R3" s="39"/>
      <c r="S3" s="39"/>
      <c r="T3" s="39"/>
      <c r="U3" s="39"/>
      <c r="V3" s="39"/>
      <c r="W3" s="39"/>
      <c r="X3" s="40" t="s">
        <v>159</v>
      </c>
      <c r="Y3" s="40">
        <v>2</v>
      </c>
    </row>
    <row r="4" spans="1:25" ht="22.5" customHeight="1">
      <c r="A4" s="156"/>
      <c r="B4" s="41" t="s">
        <v>109</v>
      </c>
      <c r="C4" s="38" t="s">
        <v>28</v>
      </c>
      <c r="D4" s="39" t="s">
        <v>158</v>
      </c>
      <c r="E4" s="39" t="s">
        <v>159</v>
      </c>
      <c r="F4" s="39" t="s">
        <v>158</v>
      </c>
      <c r="G4" s="39" t="s">
        <v>158</v>
      </c>
      <c r="H4" s="39" t="s">
        <v>158</v>
      </c>
      <c r="I4" s="39" t="s">
        <v>158</v>
      </c>
      <c r="J4" s="39" t="s">
        <v>158</v>
      </c>
      <c r="K4" s="39" t="s">
        <v>158</v>
      </c>
      <c r="L4" s="39" t="s">
        <v>65</v>
      </c>
      <c r="M4" s="39" t="s">
        <v>158</v>
      </c>
      <c r="N4" s="39" t="s">
        <v>65</v>
      </c>
      <c r="O4" s="39" t="s">
        <v>158</v>
      </c>
      <c r="P4" s="39"/>
      <c r="Q4" s="39"/>
      <c r="R4" s="39"/>
      <c r="S4" s="39"/>
      <c r="T4" s="39"/>
      <c r="U4" s="39"/>
      <c r="V4" s="39"/>
      <c r="W4" s="39"/>
      <c r="X4" s="40" t="s">
        <v>154</v>
      </c>
      <c r="Y4" s="40">
        <v>3</v>
      </c>
    </row>
    <row r="5" spans="1:25" ht="22.5" customHeight="1">
      <c r="A5" s="156"/>
      <c r="B5" s="41" t="s">
        <v>110</v>
      </c>
      <c r="C5" s="38" t="s">
        <v>28</v>
      </c>
      <c r="D5" s="39" t="s">
        <v>158</v>
      </c>
      <c r="E5" s="39" t="s">
        <v>158</v>
      </c>
      <c r="F5" s="39" t="s">
        <v>159</v>
      </c>
      <c r="G5" s="39" t="s">
        <v>158</v>
      </c>
      <c r="H5" s="39" t="s">
        <v>158</v>
      </c>
      <c r="I5" s="39" t="s">
        <v>158</v>
      </c>
      <c r="J5" s="39" t="s">
        <v>159</v>
      </c>
      <c r="K5" s="39" t="s">
        <v>158</v>
      </c>
      <c r="L5" s="39" t="s">
        <v>158</v>
      </c>
      <c r="M5" s="39" t="s">
        <v>158</v>
      </c>
      <c r="N5" s="39" t="s">
        <v>158</v>
      </c>
      <c r="O5" s="39" t="s">
        <v>158</v>
      </c>
      <c r="P5" s="39"/>
      <c r="Q5" s="39"/>
      <c r="R5" s="39"/>
      <c r="S5" s="39"/>
      <c r="T5" s="39"/>
      <c r="U5" s="39"/>
      <c r="V5" s="39"/>
      <c r="W5" s="39"/>
      <c r="X5" s="40" t="s">
        <v>161</v>
      </c>
      <c r="Y5" s="40">
        <v>4</v>
      </c>
    </row>
    <row r="6" spans="1:25" ht="22.5" customHeight="1">
      <c r="A6" s="156"/>
      <c r="B6" s="41"/>
      <c r="C6" s="38" t="s">
        <v>28</v>
      </c>
      <c r="D6" s="39"/>
      <c r="E6" s="39"/>
      <c r="F6" s="39"/>
      <c r="G6" s="39"/>
      <c r="H6" s="39"/>
      <c r="I6" s="39"/>
      <c r="J6" s="39"/>
      <c r="K6" s="39"/>
      <c r="L6" s="39"/>
      <c r="M6" s="39"/>
      <c r="N6" s="39"/>
      <c r="O6" s="39"/>
      <c r="P6" s="39"/>
      <c r="Q6" s="39"/>
      <c r="R6" s="39"/>
      <c r="S6" s="39"/>
      <c r="T6" s="39"/>
      <c r="U6" s="39"/>
      <c r="V6" s="39"/>
      <c r="W6" s="39"/>
      <c r="X6" s="40"/>
      <c r="Y6" s="40">
        <v>5</v>
      </c>
    </row>
    <row r="7" spans="1:25" ht="22.5" customHeight="1">
      <c r="A7" s="156"/>
      <c r="B7" s="41"/>
      <c r="C7" s="38" t="s">
        <v>28</v>
      </c>
      <c r="D7" s="39"/>
      <c r="E7" s="39"/>
      <c r="F7" s="39"/>
      <c r="G7" s="39"/>
      <c r="H7" s="39"/>
      <c r="I7" s="39"/>
      <c r="J7" s="39"/>
      <c r="K7" s="39"/>
      <c r="L7" s="39"/>
      <c r="M7" s="39"/>
      <c r="N7" s="39"/>
      <c r="O7" s="39"/>
      <c r="P7" s="39"/>
      <c r="Q7" s="39"/>
      <c r="R7" s="39"/>
      <c r="S7" s="39"/>
      <c r="T7" s="39"/>
      <c r="U7" s="39"/>
      <c r="V7" s="39"/>
      <c r="W7" s="39"/>
      <c r="X7" s="40"/>
      <c r="Y7" s="40" t="s">
        <v>161</v>
      </c>
    </row>
    <row r="8" spans="1:25" ht="22.5" customHeight="1">
      <c r="A8" s="156"/>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6"/>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6"/>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6"/>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57"/>
      <c r="B12" s="42"/>
      <c r="C12" s="43" t="s">
        <v>35</v>
      </c>
      <c r="D12" s="39">
        <v>5</v>
      </c>
      <c r="E12" s="39">
        <v>4</v>
      </c>
      <c r="F12" s="39">
        <v>4</v>
      </c>
      <c r="G12" s="39">
        <v>5</v>
      </c>
      <c r="H12" s="39">
        <v>5</v>
      </c>
      <c r="I12" s="39">
        <v>5</v>
      </c>
      <c r="J12" s="39">
        <v>4</v>
      </c>
      <c r="K12" s="39">
        <v>5</v>
      </c>
      <c r="L12" s="39">
        <v>5</v>
      </c>
      <c r="M12" s="39">
        <v>5</v>
      </c>
      <c r="N12" s="39">
        <v>5</v>
      </c>
      <c r="O12" s="39">
        <v>5</v>
      </c>
      <c r="P12" s="39"/>
      <c r="Q12" s="39"/>
      <c r="R12" s="39"/>
      <c r="S12" s="39"/>
      <c r="T12" s="39"/>
      <c r="U12" s="39"/>
      <c r="V12" s="39"/>
      <c r="W12" s="39"/>
    </row>
    <row r="13" spans="1:25" ht="26.25" customHeight="1">
      <c r="A13" s="44"/>
      <c r="B13" s="44"/>
      <c r="C13" s="68" t="s">
        <v>64</v>
      </c>
      <c r="D13" s="69"/>
      <c r="E13" s="69"/>
      <c r="F13" s="69"/>
      <c r="G13" s="69"/>
      <c r="H13" s="69"/>
      <c r="I13" s="69"/>
      <c r="J13" s="69"/>
      <c r="K13" s="69"/>
      <c r="L13" s="69"/>
      <c r="M13" s="69"/>
      <c r="N13" s="69"/>
      <c r="O13" s="69"/>
      <c r="P13" s="69"/>
      <c r="Q13" s="69"/>
      <c r="R13" s="69"/>
      <c r="S13" s="69"/>
      <c r="T13" s="69"/>
      <c r="U13" s="69"/>
      <c r="V13" s="69"/>
      <c r="W13" s="69"/>
    </row>
    <row r="14" spans="1:25" ht="22.5" customHeight="1">
      <c r="A14" s="45" t="s">
        <v>36</v>
      </c>
      <c r="B14" s="164" t="s">
        <v>37</v>
      </c>
      <c r="C14" s="165"/>
      <c r="D14" s="165"/>
      <c r="E14" s="165"/>
      <c r="F14" s="165"/>
      <c r="G14" s="165"/>
      <c r="H14" s="165"/>
      <c r="I14" s="165"/>
      <c r="J14" s="165"/>
      <c r="K14" s="165"/>
      <c r="L14" s="165"/>
      <c r="M14" s="165"/>
      <c r="N14" s="165"/>
      <c r="O14" s="165"/>
      <c r="P14" s="165"/>
      <c r="Q14" s="165"/>
      <c r="R14" s="165"/>
      <c r="S14" s="165"/>
      <c r="T14" s="165"/>
      <c r="U14" s="165"/>
      <c r="V14" s="165"/>
      <c r="W14" s="166"/>
    </row>
    <row r="15" spans="1:25" ht="59.25" customHeight="1">
      <c r="A15" s="46" t="s">
        <v>84</v>
      </c>
      <c r="B15" s="161"/>
      <c r="C15" s="162"/>
      <c r="D15" s="162"/>
      <c r="E15" s="162"/>
      <c r="F15" s="162"/>
      <c r="G15" s="162"/>
      <c r="H15" s="162"/>
      <c r="I15" s="162"/>
      <c r="J15" s="162"/>
      <c r="K15" s="162"/>
      <c r="L15" s="162"/>
      <c r="M15" s="162"/>
      <c r="N15" s="162"/>
      <c r="O15" s="162"/>
      <c r="P15" s="162"/>
      <c r="Q15" s="162"/>
      <c r="R15" s="162"/>
      <c r="S15" s="162"/>
      <c r="T15" s="162"/>
      <c r="U15" s="162"/>
      <c r="V15" s="162"/>
      <c r="W15" s="163"/>
    </row>
    <row r="16" spans="1:25" ht="59.25" customHeight="1">
      <c r="A16" s="46" t="s">
        <v>85</v>
      </c>
      <c r="B16" s="161" t="s">
        <v>111</v>
      </c>
      <c r="C16" s="162"/>
      <c r="D16" s="162"/>
      <c r="E16" s="162"/>
      <c r="F16" s="162"/>
      <c r="G16" s="162"/>
      <c r="H16" s="162"/>
      <c r="I16" s="162"/>
      <c r="J16" s="162"/>
      <c r="K16" s="162"/>
      <c r="L16" s="162"/>
      <c r="M16" s="162"/>
      <c r="N16" s="162"/>
      <c r="O16" s="162"/>
      <c r="P16" s="162"/>
      <c r="Q16" s="162"/>
      <c r="R16" s="162"/>
      <c r="S16" s="162"/>
      <c r="T16" s="162"/>
      <c r="U16" s="162"/>
      <c r="V16" s="162"/>
      <c r="W16" s="163"/>
    </row>
    <row r="17" spans="1:23" ht="59.25" customHeight="1">
      <c r="A17" s="46" t="s">
        <v>86</v>
      </c>
      <c r="B17" s="161" t="s">
        <v>112</v>
      </c>
      <c r="C17" s="162"/>
      <c r="D17" s="162"/>
      <c r="E17" s="162"/>
      <c r="F17" s="162"/>
      <c r="G17" s="162"/>
      <c r="H17" s="162"/>
      <c r="I17" s="162"/>
      <c r="J17" s="162"/>
      <c r="K17" s="162"/>
      <c r="L17" s="162"/>
      <c r="M17" s="162"/>
      <c r="N17" s="162"/>
      <c r="O17" s="162"/>
      <c r="P17" s="162"/>
      <c r="Q17" s="162"/>
      <c r="R17" s="162"/>
      <c r="S17" s="162"/>
      <c r="T17" s="162"/>
      <c r="U17" s="162"/>
      <c r="V17" s="162"/>
      <c r="W17" s="163"/>
    </row>
    <row r="18" spans="1:23" ht="59.25" customHeight="1">
      <c r="A18" s="46" t="s">
        <v>87</v>
      </c>
      <c r="B18" s="161"/>
      <c r="C18" s="162"/>
      <c r="D18" s="162"/>
      <c r="E18" s="162"/>
      <c r="F18" s="162"/>
      <c r="G18" s="162"/>
      <c r="H18" s="162"/>
      <c r="I18" s="162"/>
      <c r="J18" s="162"/>
      <c r="K18" s="162"/>
      <c r="L18" s="162"/>
      <c r="M18" s="162"/>
      <c r="N18" s="162"/>
      <c r="O18" s="162"/>
      <c r="P18" s="162"/>
      <c r="Q18" s="162"/>
      <c r="R18" s="162"/>
      <c r="S18" s="162"/>
      <c r="T18" s="162"/>
      <c r="U18" s="162"/>
      <c r="V18" s="162"/>
      <c r="W18" s="163"/>
    </row>
    <row r="19" spans="1:23" ht="59.25" customHeight="1">
      <c r="A19" s="46" t="s">
        <v>88</v>
      </c>
      <c r="B19" s="161"/>
      <c r="C19" s="162"/>
      <c r="D19" s="162"/>
      <c r="E19" s="162"/>
      <c r="F19" s="162"/>
      <c r="G19" s="162"/>
      <c r="H19" s="162"/>
      <c r="I19" s="162"/>
      <c r="J19" s="162"/>
      <c r="K19" s="162"/>
      <c r="L19" s="162"/>
      <c r="M19" s="162"/>
      <c r="N19" s="162"/>
      <c r="O19" s="162"/>
      <c r="P19" s="162"/>
      <c r="Q19" s="162"/>
      <c r="R19" s="162"/>
      <c r="S19" s="162"/>
      <c r="T19" s="162"/>
      <c r="U19" s="162"/>
      <c r="V19" s="162"/>
      <c r="W19" s="163"/>
    </row>
    <row r="20" spans="1:23" ht="59.25" customHeight="1">
      <c r="A20" s="46" t="s">
        <v>89</v>
      </c>
      <c r="B20" s="161"/>
      <c r="C20" s="162"/>
      <c r="D20" s="162"/>
      <c r="E20" s="162"/>
      <c r="F20" s="162"/>
      <c r="G20" s="162"/>
      <c r="H20" s="162"/>
      <c r="I20" s="162"/>
      <c r="J20" s="162"/>
      <c r="K20" s="162"/>
      <c r="L20" s="162"/>
      <c r="M20" s="162"/>
      <c r="N20" s="162"/>
      <c r="O20" s="162"/>
      <c r="P20" s="162"/>
      <c r="Q20" s="162"/>
      <c r="R20" s="162"/>
      <c r="S20" s="162"/>
      <c r="T20" s="162"/>
      <c r="U20" s="162"/>
      <c r="V20" s="162"/>
      <c r="W20" s="163"/>
    </row>
    <row r="21" spans="1:23" ht="59.25" customHeight="1">
      <c r="A21" s="46" t="s">
        <v>90</v>
      </c>
      <c r="B21" s="161" t="s">
        <v>113</v>
      </c>
      <c r="C21" s="162"/>
      <c r="D21" s="162"/>
      <c r="E21" s="162"/>
      <c r="F21" s="162"/>
      <c r="G21" s="162"/>
      <c r="H21" s="162"/>
      <c r="I21" s="162"/>
      <c r="J21" s="162"/>
      <c r="K21" s="162"/>
      <c r="L21" s="162"/>
      <c r="M21" s="162"/>
      <c r="N21" s="162"/>
      <c r="O21" s="162"/>
      <c r="P21" s="162"/>
      <c r="Q21" s="162"/>
      <c r="R21" s="162"/>
      <c r="S21" s="162"/>
      <c r="T21" s="162"/>
      <c r="U21" s="162"/>
      <c r="V21" s="162"/>
      <c r="W21" s="163"/>
    </row>
    <row r="22" spans="1:23" ht="59.25" customHeight="1">
      <c r="A22" s="46" t="s">
        <v>91</v>
      </c>
      <c r="B22" s="161"/>
      <c r="C22" s="162"/>
      <c r="D22" s="162"/>
      <c r="E22" s="162"/>
      <c r="F22" s="162"/>
      <c r="G22" s="162"/>
      <c r="H22" s="162"/>
      <c r="I22" s="162"/>
      <c r="J22" s="162"/>
      <c r="K22" s="162"/>
      <c r="L22" s="162"/>
      <c r="M22" s="162"/>
      <c r="N22" s="162"/>
      <c r="O22" s="162"/>
      <c r="P22" s="162"/>
      <c r="Q22" s="162"/>
      <c r="R22" s="162"/>
      <c r="S22" s="162"/>
      <c r="T22" s="162"/>
      <c r="U22" s="162"/>
      <c r="V22" s="162"/>
      <c r="W22" s="163"/>
    </row>
    <row r="23" spans="1:23" ht="59.25" customHeight="1">
      <c r="A23" s="46" t="s">
        <v>92</v>
      </c>
      <c r="B23" s="161"/>
      <c r="C23" s="162"/>
      <c r="D23" s="162"/>
      <c r="E23" s="162"/>
      <c r="F23" s="162"/>
      <c r="G23" s="162"/>
      <c r="H23" s="162"/>
      <c r="I23" s="162"/>
      <c r="J23" s="162"/>
      <c r="K23" s="162"/>
      <c r="L23" s="162"/>
      <c r="M23" s="162"/>
      <c r="N23" s="162"/>
      <c r="O23" s="162"/>
      <c r="P23" s="162"/>
      <c r="Q23" s="162"/>
      <c r="R23" s="162"/>
      <c r="S23" s="162"/>
      <c r="T23" s="162"/>
      <c r="U23" s="162"/>
      <c r="V23" s="162"/>
      <c r="W23" s="163"/>
    </row>
    <row r="24" spans="1:23" ht="59.25" customHeight="1">
      <c r="A24" s="46" t="s">
        <v>93</v>
      </c>
      <c r="B24" s="161"/>
      <c r="C24" s="162"/>
      <c r="D24" s="162"/>
      <c r="E24" s="162"/>
      <c r="F24" s="162"/>
      <c r="G24" s="162"/>
      <c r="H24" s="162"/>
      <c r="I24" s="162"/>
      <c r="J24" s="162"/>
      <c r="K24" s="162"/>
      <c r="L24" s="162"/>
      <c r="M24" s="162"/>
      <c r="N24" s="162"/>
      <c r="O24" s="162"/>
      <c r="P24" s="162"/>
      <c r="Q24" s="162"/>
      <c r="R24" s="162"/>
      <c r="S24" s="162"/>
      <c r="T24" s="162"/>
      <c r="U24" s="162"/>
      <c r="V24" s="162"/>
      <c r="W24" s="163"/>
    </row>
    <row r="25" spans="1:23" ht="59.25" customHeight="1">
      <c r="A25" s="46" t="s">
        <v>94</v>
      </c>
      <c r="B25" s="161"/>
      <c r="C25" s="162"/>
      <c r="D25" s="162"/>
      <c r="E25" s="162"/>
      <c r="F25" s="162"/>
      <c r="G25" s="162"/>
      <c r="H25" s="162"/>
      <c r="I25" s="162"/>
      <c r="J25" s="162"/>
      <c r="K25" s="162"/>
      <c r="L25" s="162"/>
      <c r="M25" s="162"/>
      <c r="N25" s="162"/>
      <c r="O25" s="162"/>
      <c r="P25" s="162"/>
      <c r="Q25" s="162"/>
      <c r="R25" s="162"/>
      <c r="S25" s="162"/>
      <c r="T25" s="162"/>
      <c r="U25" s="162"/>
      <c r="V25" s="162"/>
      <c r="W25" s="163"/>
    </row>
    <row r="26" spans="1:23" ht="59.25" customHeight="1">
      <c r="A26" s="46" t="s">
        <v>95</v>
      </c>
      <c r="B26" s="161"/>
      <c r="C26" s="162"/>
      <c r="D26" s="162"/>
      <c r="E26" s="162"/>
      <c r="F26" s="162"/>
      <c r="G26" s="162"/>
      <c r="H26" s="162"/>
      <c r="I26" s="162"/>
      <c r="J26" s="162"/>
      <c r="K26" s="162"/>
      <c r="L26" s="162"/>
      <c r="M26" s="162"/>
      <c r="N26" s="162"/>
      <c r="O26" s="162"/>
      <c r="P26" s="162"/>
      <c r="Q26" s="162"/>
      <c r="R26" s="162"/>
      <c r="S26" s="162"/>
      <c r="T26" s="162"/>
      <c r="U26" s="162"/>
      <c r="V26" s="162"/>
      <c r="W26" s="163"/>
    </row>
    <row r="27" spans="1:23" ht="59.25" customHeight="1">
      <c r="A27" s="46"/>
      <c r="B27" s="161"/>
      <c r="C27" s="162"/>
      <c r="D27" s="162"/>
      <c r="E27" s="162"/>
      <c r="F27" s="162"/>
      <c r="G27" s="162"/>
      <c r="H27" s="162"/>
      <c r="I27" s="162"/>
      <c r="J27" s="162"/>
      <c r="K27" s="162"/>
      <c r="L27" s="162"/>
      <c r="M27" s="162"/>
      <c r="N27" s="162"/>
      <c r="O27" s="162"/>
      <c r="P27" s="162"/>
      <c r="Q27" s="162"/>
      <c r="R27" s="162"/>
      <c r="S27" s="162"/>
      <c r="T27" s="162"/>
      <c r="U27" s="162"/>
      <c r="V27" s="162"/>
      <c r="W27" s="163"/>
    </row>
    <row r="28" spans="1:23" ht="59.25" customHeight="1">
      <c r="A28" s="46"/>
      <c r="B28" s="161"/>
      <c r="C28" s="162"/>
      <c r="D28" s="162"/>
      <c r="E28" s="162"/>
      <c r="F28" s="162"/>
      <c r="G28" s="162"/>
      <c r="H28" s="162"/>
      <c r="I28" s="162"/>
      <c r="J28" s="162"/>
      <c r="K28" s="162"/>
      <c r="L28" s="162"/>
      <c r="M28" s="162"/>
      <c r="N28" s="162"/>
      <c r="O28" s="162"/>
      <c r="P28" s="162"/>
      <c r="Q28" s="162"/>
      <c r="R28" s="162"/>
      <c r="S28" s="162"/>
      <c r="T28" s="162"/>
      <c r="U28" s="162"/>
      <c r="V28" s="162"/>
      <c r="W28" s="163"/>
    </row>
    <row r="29" spans="1:23" ht="59.25" customHeight="1">
      <c r="A29" s="46"/>
      <c r="B29" s="161"/>
      <c r="C29" s="162"/>
      <c r="D29" s="162"/>
      <c r="E29" s="162"/>
      <c r="F29" s="162"/>
      <c r="G29" s="162"/>
      <c r="H29" s="162"/>
      <c r="I29" s="162"/>
      <c r="J29" s="162"/>
      <c r="K29" s="162"/>
      <c r="L29" s="162"/>
      <c r="M29" s="162"/>
      <c r="N29" s="162"/>
      <c r="O29" s="162"/>
      <c r="P29" s="162"/>
      <c r="Q29" s="162"/>
      <c r="R29" s="162"/>
      <c r="S29" s="162"/>
      <c r="T29" s="162"/>
      <c r="U29" s="162"/>
      <c r="V29" s="162"/>
      <c r="W29" s="163"/>
    </row>
    <row r="30" spans="1:23" ht="59.25" customHeight="1">
      <c r="A30" s="46"/>
      <c r="B30" s="161"/>
      <c r="C30" s="162"/>
      <c r="D30" s="162"/>
      <c r="E30" s="162"/>
      <c r="F30" s="162"/>
      <c r="G30" s="162"/>
      <c r="H30" s="162"/>
      <c r="I30" s="162"/>
      <c r="J30" s="162"/>
      <c r="K30" s="162"/>
      <c r="L30" s="162"/>
      <c r="M30" s="162"/>
      <c r="N30" s="162"/>
      <c r="O30" s="162"/>
      <c r="P30" s="162"/>
      <c r="Q30" s="162"/>
      <c r="R30" s="162"/>
      <c r="S30" s="162"/>
      <c r="T30" s="162"/>
      <c r="U30" s="162"/>
      <c r="V30" s="162"/>
      <c r="W30" s="163"/>
    </row>
    <row r="31" spans="1:23" ht="59.25" customHeight="1">
      <c r="A31" s="46"/>
      <c r="B31" s="161"/>
      <c r="C31" s="162"/>
      <c r="D31" s="162"/>
      <c r="E31" s="162"/>
      <c r="F31" s="162"/>
      <c r="G31" s="162"/>
      <c r="H31" s="162"/>
      <c r="I31" s="162"/>
      <c r="J31" s="162"/>
      <c r="K31" s="162"/>
      <c r="L31" s="162"/>
      <c r="M31" s="162"/>
      <c r="N31" s="162"/>
      <c r="O31" s="162"/>
      <c r="P31" s="162"/>
      <c r="Q31" s="162"/>
      <c r="R31" s="162"/>
      <c r="S31" s="162"/>
      <c r="T31" s="162"/>
      <c r="U31" s="162"/>
      <c r="V31" s="162"/>
      <c r="W31" s="163"/>
    </row>
    <row r="32" spans="1:23" ht="59.25" customHeight="1">
      <c r="A32" s="46"/>
      <c r="B32" s="161"/>
      <c r="C32" s="162"/>
      <c r="D32" s="162"/>
      <c r="E32" s="162"/>
      <c r="F32" s="162"/>
      <c r="G32" s="162"/>
      <c r="H32" s="162"/>
      <c r="I32" s="162"/>
      <c r="J32" s="162"/>
      <c r="K32" s="162"/>
      <c r="L32" s="162"/>
      <c r="M32" s="162"/>
      <c r="N32" s="162"/>
      <c r="O32" s="162"/>
      <c r="P32" s="162"/>
      <c r="Q32" s="162"/>
      <c r="R32" s="162"/>
      <c r="S32" s="162"/>
      <c r="T32" s="162"/>
      <c r="U32" s="162"/>
      <c r="V32" s="162"/>
      <c r="W32" s="163"/>
    </row>
    <row r="33" spans="1:23" ht="59.25" customHeight="1">
      <c r="A33" s="46"/>
      <c r="B33" s="161"/>
      <c r="C33" s="162"/>
      <c r="D33" s="162"/>
      <c r="E33" s="162"/>
      <c r="F33" s="162"/>
      <c r="G33" s="162"/>
      <c r="H33" s="162"/>
      <c r="I33" s="162"/>
      <c r="J33" s="162"/>
      <c r="K33" s="162"/>
      <c r="L33" s="162"/>
      <c r="M33" s="162"/>
      <c r="N33" s="162"/>
      <c r="O33" s="162"/>
      <c r="P33" s="162"/>
      <c r="Q33" s="162"/>
      <c r="R33" s="162"/>
      <c r="S33" s="162"/>
      <c r="T33" s="162"/>
      <c r="U33" s="162"/>
      <c r="V33" s="162"/>
      <c r="W33" s="163"/>
    </row>
    <row r="34" spans="1:23" ht="59.25" customHeight="1">
      <c r="A34" s="46"/>
      <c r="B34" s="161"/>
      <c r="C34" s="162"/>
      <c r="D34" s="162"/>
      <c r="E34" s="162"/>
      <c r="F34" s="162"/>
      <c r="G34" s="162"/>
      <c r="H34" s="162"/>
      <c r="I34" s="162"/>
      <c r="J34" s="162"/>
      <c r="K34" s="162"/>
      <c r="L34" s="162"/>
      <c r="M34" s="162"/>
      <c r="N34" s="162"/>
      <c r="O34" s="162"/>
      <c r="P34" s="162"/>
      <c r="Q34" s="162"/>
      <c r="R34" s="162"/>
      <c r="S34" s="162"/>
      <c r="T34" s="162"/>
      <c r="U34" s="162"/>
      <c r="V34" s="162"/>
      <c r="W34" s="163"/>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１－２</v>
      </c>
      <c r="B1" s="34" t="str">
        <f ca="1">RIGHT(CELL("filename",B1),LEN(CELL("filename",B1))-FIND("]",CELL("filename",B1)))</f>
        <v>図工</v>
      </c>
      <c r="C1" s="35" t="s">
        <v>26</v>
      </c>
      <c r="D1" s="36" t="str">
        <f>A15</f>
        <v>淺輪 景都</v>
      </c>
      <c r="E1" s="36" t="str">
        <f>A16</f>
        <v>太谷 高志</v>
      </c>
      <c r="F1" s="36" t="str">
        <f>A17</f>
        <v>加藤 裕吾</v>
      </c>
      <c r="G1" s="36" t="str">
        <f>A18</f>
        <v>後藤 朱里</v>
      </c>
      <c r="H1" s="36" t="str">
        <f>A19</f>
        <v>上甲 絃葉</v>
      </c>
      <c r="I1" s="36" t="str">
        <f>A20</f>
        <v>須田 陽貴</v>
      </c>
      <c r="J1" s="36" t="str">
        <f>A21</f>
        <v>高藤 遙舞</v>
      </c>
      <c r="K1" s="36" t="str">
        <f>A22</f>
        <v>立石 結子</v>
      </c>
      <c r="L1" s="36" t="str">
        <f>A23</f>
        <v>月岡 和香</v>
      </c>
      <c r="M1" s="36" t="str">
        <f>A24</f>
        <v>中村 祐香子</v>
      </c>
      <c r="N1" s="36" t="str">
        <f>A25</f>
        <v>藤森 結</v>
      </c>
      <c r="O1" s="36" t="str">
        <f>A26</f>
        <v>吉澤 紘風</v>
      </c>
      <c r="P1" s="36">
        <f>A27</f>
        <v>0</v>
      </c>
      <c r="Q1" s="36">
        <f>A28</f>
        <v>0</v>
      </c>
      <c r="R1" s="36">
        <f>A29</f>
        <v>0</v>
      </c>
      <c r="S1" s="36">
        <f>A30</f>
        <v>0</v>
      </c>
      <c r="T1" s="36">
        <f>A31</f>
        <v>0</v>
      </c>
      <c r="U1" s="36">
        <f>A32</f>
        <v>0</v>
      </c>
      <c r="V1" s="36">
        <f>A33</f>
        <v>0</v>
      </c>
      <c r="W1" s="36">
        <f>A34</f>
        <v>0</v>
      </c>
      <c r="X1" s="37"/>
    </row>
    <row r="2" spans="1:25" ht="22.5" customHeight="1">
      <c r="A2" s="155" t="s">
        <v>179</v>
      </c>
      <c r="B2" s="85" t="s">
        <v>180</v>
      </c>
      <c r="C2" s="38" t="s">
        <v>28</v>
      </c>
      <c r="D2" s="39" t="s">
        <v>181</v>
      </c>
      <c r="E2" s="39" t="s">
        <v>181</v>
      </c>
      <c r="F2" s="39" t="s">
        <v>182</v>
      </c>
      <c r="G2" s="39" t="s">
        <v>181</v>
      </c>
      <c r="H2" s="39" t="s">
        <v>181</v>
      </c>
      <c r="I2" s="39" t="s">
        <v>158</v>
      </c>
      <c r="J2" s="39" t="s">
        <v>158</v>
      </c>
      <c r="K2" s="39" t="s">
        <v>181</v>
      </c>
      <c r="L2" s="39" t="s">
        <v>181</v>
      </c>
      <c r="M2" s="39" t="s">
        <v>158</v>
      </c>
      <c r="N2" s="39" t="s">
        <v>158</v>
      </c>
      <c r="O2" s="39" t="s">
        <v>158</v>
      </c>
      <c r="P2" s="39"/>
      <c r="Q2" s="39"/>
      <c r="R2" s="39"/>
      <c r="S2" s="39"/>
      <c r="T2" s="39"/>
      <c r="U2" s="39"/>
      <c r="V2" s="39"/>
      <c r="W2" s="39"/>
      <c r="X2" s="40" t="s">
        <v>158</v>
      </c>
      <c r="Y2" s="40">
        <v>1</v>
      </c>
    </row>
    <row r="3" spans="1:25" ht="22.5" customHeight="1">
      <c r="A3" s="156"/>
      <c r="B3" s="85" t="s">
        <v>183</v>
      </c>
      <c r="C3" s="38" t="s">
        <v>28</v>
      </c>
      <c r="D3" s="39" t="s">
        <v>158</v>
      </c>
      <c r="E3" s="39" t="s">
        <v>158</v>
      </c>
      <c r="F3" s="39" t="s">
        <v>158</v>
      </c>
      <c r="G3" s="39" t="s">
        <v>158</v>
      </c>
      <c r="H3" s="39" t="s">
        <v>158</v>
      </c>
      <c r="I3" s="39" t="s">
        <v>158</v>
      </c>
      <c r="J3" s="39" t="s">
        <v>158</v>
      </c>
      <c r="K3" s="39" t="s">
        <v>158</v>
      </c>
      <c r="L3" s="39" t="s">
        <v>158</v>
      </c>
      <c r="M3" s="39" t="s">
        <v>158</v>
      </c>
      <c r="N3" s="39" t="s">
        <v>158</v>
      </c>
      <c r="O3" s="39" t="s">
        <v>158</v>
      </c>
      <c r="P3" s="39"/>
      <c r="Q3" s="39"/>
      <c r="R3" s="39"/>
      <c r="S3" s="39"/>
      <c r="T3" s="39"/>
      <c r="U3" s="39"/>
      <c r="V3" s="39"/>
      <c r="W3" s="39"/>
      <c r="X3" s="40" t="s">
        <v>159</v>
      </c>
      <c r="Y3" s="40">
        <v>2</v>
      </c>
    </row>
    <row r="4" spans="1:25" ht="22.5" customHeight="1">
      <c r="A4" s="156"/>
      <c r="B4" s="85" t="s">
        <v>184</v>
      </c>
      <c r="C4" s="38" t="s">
        <v>28</v>
      </c>
      <c r="D4" s="39" t="s">
        <v>158</v>
      </c>
      <c r="E4" s="39" t="s">
        <v>158</v>
      </c>
      <c r="F4" s="39" t="s">
        <v>159</v>
      </c>
      <c r="G4" s="39" t="s">
        <v>159</v>
      </c>
      <c r="H4" s="39" t="s">
        <v>158</v>
      </c>
      <c r="I4" s="39" t="s">
        <v>158</v>
      </c>
      <c r="J4" s="39" t="s">
        <v>158</v>
      </c>
      <c r="K4" s="39" t="s">
        <v>158</v>
      </c>
      <c r="L4" s="39" t="s">
        <v>158</v>
      </c>
      <c r="M4" s="39" t="s">
        <v>158</v>
      </c>
      <c r="N4" s="39" t="s">
        <v>158</v>
      </c>
      <c r="O4" s="39" t="s">
        <v>158</v>
      </c>
      <c r="P4" s="39"/>
      <c r="Q4" s="39"/>
      <c r="R4" s="39"/>
      <c r="S4" s="39"/>
      <c r="T4" s="39"/>
      <c r="U4" s="39"/>
      <c r="V4" s="39"/>
      <c r="W4" s="39"/>
      <c r="X4" s="40" t="s">
        <v>160</v>
      </c>
      <c r="Y4" s="40">
        <v>3</v>
      </c>
    </row>
    <row r="5" spans="1:25" ht="22.5" customHeight="1">
      <c r="A5" s="156"/>
      <c r="B5" s="67" t="s">
        <v>185</v>
      </c>
      <c r="C5" s="38" t="s">
        <v>28</v>
      </c>
      <c r="D5" s="39" t="s">
        <v>158</v>
      </c>
      <c r="E5" s="39" t="s">
        <v>158</v>
      </c>
      <c r="F5" s="39" t="s">
        <v>158</v>
      </c>
      <c r="G5" s="39" t="s">
        <v>158</v>
      </c>
      <c r="H5" s="39" t="s">
        <v>158</v>
      </c>
      <c r="I5" s="39" t="s">
        <v>158</v>
      </c>
      <c r="J5" s="39" t="s">
        <v>158</v>
      </c>
      <c r="K5" s="39" t="s">
        <v>158</v>
      </c>
      <c r="L5" s="39" t="s">
        <v>158</v>
      </c>
      <c r="M5" s="39" t="s">
        <v>158</v>
      </c>
      <c r="N5" s="39" t="s">
        <v>158</v>
      </c>
      <c r="O5" s="39" t="s">
        <v>159</v>
      </c>
      <c r="P5" s="39"/>
      <c r="Q5" s="39"/>
      <c r="R5" s="39"/>
      <c r="S5" s="39"/>
      <c r="T5" s="39"/>
      <c r="U5" s="39"/>
      <c r="V5" s="39"/>
      <c r="W5" s="39"/>
      <c r="X5" s="40" t="s">
        <v>161</v>
      </c>
      <c r="Y5" s="40">
        <v>4</v>
      </c>
    </row>
    <row r="6" spans="1:25" ht="22.5" customHeight="1">
      <c r="A6" s="156"/>
      <c r="B6" s="41"/>
      <c r="C6" s="38" t="s">
        <v>28</v>
      </c>
      <c r="D6" s="39"/>
      <c r="E6" s="39"/>
      <c r="F6" s="39"/>
      <c r="G6" s="39"/>
      <c r="H6" s="39"/>
      <c r="I6" s="39"/>
      <c r="J6" s="39"/>
      <c r="K6" s="39"/>
      <c r="L6" s="39"/>
      <c r="M6" s="39"/>
      <c r="N6" s="39"/>
      <c r="O6" s="39"/>
      <c r="P6" s="39"/>
      <c r="Q6" s="39"/>
      <c r="R6" s="39"/>
      <c r="S6" s="39"/>
      <c r="T6" s="39"/>
      <c r="U6" s="39"/>
      <c r="V6" s="39"/>
      <c r="W6" s="39"/>
      <c r="X6" s="40"/>
      <c r="Y6" s="40">
        <v>5</v>
      </c>
    </row>
    <row r="7" spans="1:25" ht="22.5" customHeight="1">
      <c r="A7" s="156"/>
      <c r="B7" s="41"/>
      <c r="C7" s="38" t="s">
        <v>28</v>
      </c>
      <c r="D7" s="39"/>
      <c r="E7" s="39"/>
      <c r="F7" s="39"/>
      <c r="G7" s="39"/>
      <c r="H7" s="39"/>
      <c r="I7" s="39"/>
      <c r="J7" s="39"/>
      <c r="K7" s="39"/>
      <c r="L7" s="39"/>
      <c r="M7" s="39"/>
      <c r="N7" s="39"/>
      <c r="O7" s="39"/>
      <c r="P7" s="39"/>
      <c r="Q7" s="39"/>
      <c r="R7" s="39"/>
      <c r="S7" s="39"/>
      <c r="T7" s="39"/>
      <c r="U7" s="39"/>
      <c r="V7" s="39"/>
      <c r="W7" s="39"/>
      <c r="X7" s="40"/>
      <c r="Y7" s="40" t="s">
        <v>161</v>
      </c>
    </row>
    <row r="8" spans="1:25" ht="22.5" customHeight="1">
      <c r="A8" s="156"/>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6"/>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6"/>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6"/>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57"/>
      <c r="B12" s="42"/>
      <c r="C12" s="43" t="s">
        <v>35</v>
      </c>
      <c r="D12" s="39">
        <v>5</v>
      </c>
      <c r="E12" s="39">
        <v>5</v>
      </c>
      <c r="F12" s="39">
        <v>3</v>
      </c>
      <c r="G12" s="39">
        <v>4</v>
      </c>
      <c r="H12" s="39">
        <v>5</v>
      </c>
      <c r="I12" s="39">
        <v>5</v>
      </c>
      <c r="J12" s="39">
        <v>5</v>
      </c>
      <c r="K12" s="39">
        <v>5</v>
      </c>
      <c r="L12" s="39">
        <v>5</v>
      </c>
      <c r="M12" s="39">
        <v>5</v>
      </c>
      <c r="N12" s="39">
        <v>5</v>
      </c>
      <c r="O12" s="39">
        <v>4</v>
      </c>
      <c r="P12" s="39"/>
      <c r="Q12" s="39"/>
      <c r="R12" s="39"/>
      <c r="S12" s="39"/>
      <c r="T12" s="39"/>
      <c r="U12" s="39"/>
      <c r="V12" s="39"/>
      <c r="W12" s="39"/>
    </row>
    <row r="13" spans="1:25" ht="26.25" customHeight="1">
      <c r="A13" s="44"/>
      <c r="B13" s="44"/>
      <c r="C13" s="68" t="s">
        <v>64</v>
      </c>
      <c r="D13" s="39"/>
      <c r="E13" s="39"/>
      <c r="F13" s="39"/>
      <c r="G13" s="39"/>
      <c r="H13" s="39"/>
      <c r="I13" s="39"/>
      <c r="J13" s="39"/>
      <c r="K13" s="39"/>
      <c r="L13" s="39"/>
      <c r="M13" s="39"/>
      <c r="N13" s="39"/>
      <c r="O13" s="39"/>
      <c r="P13" s="39"/>
      <c r="Q13" s="39"/>
      <c r="R13" s="69"/>
      <c r="S13" s="69"/>
      <c r="T13" s="69"/>
      <c r="U13" s="69"/>
      <c r="V13" s="69"/>
      <c r="W13" s="69"/>
    </row>
    <row r="14" spans="1:25" ht="22.5" customHeight="1">
      <c r="A14" s="45" t="s">
        <v>36</v>
      </c>
      <c r="B14" s="164" t="s">
        <v>37</v>
      </c>
      <c r="C14" s="165"/>
      <c r="D14" s="165"/>
      <c r="E14" s="165"/>
      <c r="F14" s="165"/>
      <c r="G14" s="165"/>
      <c r="H14" s="165"/>
      <c r="I14" s="165"/>
      <c r="J14" s="165"/>
      <c r="K14" s="165"/>
      <c r="L14" s="165"/>
      <c r="M14" s="165"/>
      <c r="N14" s="165"/>
      <c r="O14" s="165"/>
      <c r="P14" s="165"/>
      <c r="Q14" s="165"/>
      <c r="R14" s="165"/>
      <c r="S14" s="165"/>
      <c r="T14" s="165"/>
      <c r="U14" s="165"/>
      <c r="V14" s="165"/>
      <c r="W14" s="166"/>
    </row>
    <row r="15" spans="1:25" ht="59.25" customHeight="1">
      <c r="A15" s="46" t="s">
        <v>84</v>
      </c>
      <c r="B15" s="161" t="s">
        <v>186</v>
      </c>
      <c r="C15" s="162"/>
      <c r="D15" s="162"/>
      <c r="E15" s="162"/>
      <c r="F15" s="162"/>
      <c r="G15" s="162"/>
      <c r="H15" s="162"/>
      <c r="I15" s="162"/>
      <c r="J15" s="162"/>
      <c r="K15" s="162"/>
      <c r="L15" s="162"/>
      <c r="M15" s="162"/>
      <c r="N15" s="162"/>
      <c r="O15" s="162"/>
      <c r="P15" s="162"/>
      <c r="Q15" s="162"/>
      <c r="R15" s="162"/>
      <c r="S15" s="162"/>
      <c r="T15" s="162"/>
      <c r="U15" s="162"/>
      <c r="V15" s="162"/>
      <c r="W15" s="163"/>
    </row>
    <row r="16" spans="1:25" ht="59.25" customHeight="1">
      <c r="A16" s="46" t="s">
        <v>85</v>
      </c>
      <c r="B16" s="161" t="s">
        <v>187</v>
      </c>
      <c r="C16" s="162"/>
      <c r="D16" s="162"/>
      <c r="E16" s="162"/>
      <c r="F16" s="162"/>
      <c r="G16" s="162"/>
      <c r="H16" s="162"/>
      <c r="I16" s="162"/>
      <c r="J16" s="162"/>
      <c r="K16" s="162"/>
      <c r="L16" s="162"/>
      <c r="M16" s="162"/>
      <c r="N16" s="162"/>
      <c r="O16" s="162"/>
      <c r="P16" s="162"/>
      <c r="Q16" s="162"/>
      <c r="R16" s="162"/>
      <c r="S16" s="162"/>
      <c r="T16" s="162"/>
      <c r="U16" s="162"/>
      <c r="V16" s="162"/>
      <c r="W16" s="163"/>
    </row>
    <row r="17" spans="1:23" ht="59.25" customHeight="1">
      <c r="A17" s="46" t="s">
        <v>86</v>
      </c>
      <c r="B17" s="161" t="s">
        <v>188</v>
      </c>
      <c r="C17" s="162"/>
      <c r="D17" s="162"/>
      <c r="E17" s="162"/>
      <c r="F17" s="162"/>
      <c r="G17" s="162"/>
      <c r="H17" s="162"/>
      <c r="I17" s="162"/>
      <c r="J17" s="162"/>
      <c r="K17" s="162"/>
      <c r="L17" s="162"/>
      <c r="M17" s="162"/>
      <c r="N17" s="162"/>
      <c r="O17" s="162"/>
      <c r="P17" s="162"/>
      <c r="Q17" s="162"/>
      <c r="R17" s="162"/>
      <c r="S17" s="162"/>
      <c r="T17" s="162"/>
      <c r="U17" s="162"/>
      <c r="V17" s="162"/>
      <c r="W17" s="163"/>
    </row>
    <row r="18" spans="1:23" ht="59.25" customHeight="1">
      <c r="A18" s="46" t="s">
        <v>87</v>
      </c>
      <c r="B18" s="161" t="s">
        <v>189</v>
      </c>
      <c r="C18" s="162"/>
      <c r="D18" s="162"/>
      <c r="E18" s="162"/>
      <c r="F18" s="162"/>
      <c r="G18" s="162"/>
      <c r="H18" s="162"/>
      <c r="I18" s="162"/>
      <c r="J18" s="162"/>
      <c r="K18" s="162"/>
      <c r="L18" s="162"/>
      <c r="M18" s="162"/>
      <c r="N18" s="162"/>
      <c r="O18" s="162"/>
      <c r="P18" s="162"/>
      <c r="Q18" s="162"/>
      <c r="R18" s="162"/>
      <c r="S18" s="162"/>
      <c r="T18" s="162"/>
      <c r="U18" s="162"/>
      <c r="V18" s="162"/>
      <c r="W18" s="163"/>
    </row>
    <row r="19" spans="1:23" ht="59.25" customHeight="1">
      <c r="A19" s="46" t="s">
        <v>88</v>
      </c>
      <c r="B19" s="161" t="s">
        <v>190</v>
      </c>
      <c r="C19" s="162"/>
      <c r="D19" s="162"/>
      <c r="E19" s="162"/>
      <c r="F19" s="162"/>
      <c r="G19" s="162"/>
      <c r="H19" s="162"/>
      <c r="I19" s="162"/>
      <c r="J19" s="162"/>
      <c r="K19" s="162"/>
      <c r="L19" s="162"/>
      <c r="M19" s="162"/>
      <c r="N19" s="162"/>
      <c r="O19" s="162"/>
      <c r="P19" s="162"/>
      <c r="Q19" s="162"/>
      <c r="R19" s="162"/>
      <c r="S19" s="162"/>
      <c r="T19" s="162"/>
      <c r="U19" s="162"/>
      <c r="V19" s="162"/>
      <c r="W19" s="163"/>
    </row>
    <row r="20" spans="1:23" ht="59.25" customHeight="1">
      <c r="A20" s="46" t="s">
        <v>89</v>
      </c>
      <c r="B20" s="161" t="s">
        <v>191</v>
      </c>
      <c r="C20" s="162"/>
      <c r="D20" s="162"/>
      <c r="E20" s="162"/>
      <c r="F20" s="162"/>
      <c r="G20" s="162"/>
      <c r="H20" s="162"/>
      <c r="I20" s="162"/>
      <c r="J20" s="162"/>
      <c r="K20" s="162"/>
      <c r="L20" s="162"/>
      <c r="M20" s="162"/>
      <c r="N20" s="162"/>
      <c r="O20" s="162"/>
      <c r="P20" s="162"/>
      <c r="Q20" s="162"/>
      <c r="R20" s="162"/>
      <c r="S20" s="162"/>
      <c r="T20" s="162"/>
      <c r="U20" s="162"/>
      <c r="V20" s="162"/>
      <c r="W20" s="163"/>
    </row>
    <row r="21" spans="1:23" ht="59.25" customHeight="1">
      <c r="A21" s="46" t="s">
        <v>90</v>
      </c>
      <c r="B21" s="161" t="s">
        <v>192</v>
      </c>
      <c r="C21" s="162"/>
      <c r="D21" s="162"/>
      <c r="E21" s="162"/>
      <c r="F21" s="162"/>
      <c r="G21" s="162"/>
      <c r="H21" s="162"/>
      <c r="I21" s="162"/>
      <c r="J21" s="162"/>
      <c r="K21" s="162"/>
      <c r="L21" s="162"/>
      <c r="M21" s="162"/>
      <c r="N21" s="162"/>
      <c r="O21" s="162"/>
      <c r="P21" s="162"/>
      <c r="Q21" s="162"/>
      <c r="R21" s="162"/>
      <c r="S21" s="162"/>
      <c r="T21" s="162"/>
      <c r="U21" s="162"/>
      <c r="V21" s="162"/>
      <c r="W21" s="163"/>
    </row>
    <row r="22" spans="1:23" ht="59.25" customHeight="1">
      <c r="A22" s="46" t="s">
        <v>91</v>
      </c>
      <c r="B22" s="161" t="s">
        <v>193</v>
      </c>
      <c r="C22" s="162"/>
      <c r="D22" s="162"/>
      <c r="E22" s="162"/>
      <c r="F22" s="162"/>
      <c r="G22" s="162"/>
      <c r="H22" s="162"/>
      <c r="I22" s="162"/>
      <c r="J22" s="162"/>
      <c r="K22" s="162"/>
      <c r="L22" s="162"/>
      <c r="M22" s="162"/>
      <c r="N22" s="162"/>
      <c r="O22" s="162"/>
      <c r="P22" s="162"/>
      <c r="Q22" s="162"/>
      <c r="R22" s="162"/>
      <c r="S22" s="162"/>
      <c r="T22" s="162"/>
      <c r="U22" s="162"/>
      <c r="V22" s="162"/>
      <c r="W22" s="163"/>
    </row>
    <row r="23" spans="1:23" ht="59.25" customHeight="1">
      <c r="A23" s="46" t="s">
        <v>92</v>
      </c>
      <c r="B23" s="161" t="s">
        <v>194</v>
      </c>
      <c r="C23" s="162"/>
      <c r="D23" s="162"/>
      <c r="E23" s="162"/>
      <c r="F23" s="162"/>
      <c r="G23" s="162"/>
      <c r="H23" s="162"/>
      <c r="I23" s="162"/>
      <c r="J23" s="162"/>
      <c r="K23" s="162"/>
      <c r="L23" s="162"/>
      <c r="M23" s="162"/>
      <c r="N23" s="162"/>
      <c r="O23" s="162"/>
      <c r="P23" s="162"/>
      <c r="Q23" s="162"/>
      <c r="R23" s="162"/>
      <c r="S23" s="162"/>
      <c r="T23" s="162"/>
      <c r="U23" s="162"/>
      <c r="V23" s="162"/>
      <c r="W23" s="163"/>
    </row>
    <row r="24" spans="1:23" ht="59.25" customHeight="1">
      <c r="A24" s="46" t="s">
        <v>93</v>
      </c>
      <c r="B24" s="161" t="s">
        <v>195</v>
      </c>
      <c r="C24" s="162"/>
      <c r="D24" s="162"/>
      <c r="E24" s="162"/>
      <c r="F24" s="162"/>
      <c r="G24" s="162"/>
      <c r="H24" s="162"/>
      <c r="I24" s="162"/>
      <c r="J24" s="162"/>
      <c r="K24" s="162"/>
      <c r="L24" s="162"/>
      <c r="M24" s="162"/>
      <c r="N24" s="162"/>
      <c r="O24" s="162"/>
      <c r="P24" s="162"/>
      <c r="Q24" s="162"/>
      <c r="R24" s="162"/>
      <c r="S24" s="162"/>
      <c r="T24" s="162"/>
      <c r="U24" s="162"/>
      <c r="V24" s="162"/>
      <c r="W24" s="163"/>
    </row>
    <row r="25" spans="1:23" ht="59.25" customHeight="1">
      <c r="A25" s="46" t="s">
        <v>94</v>
      </c>
      <c r="B25" s="161" t="s">
        <v>196</v>
      </c>
      <c r="C25" s="162"/>
      <c r="D25" s="162"/>
      <c r="E25" s="162"/>
      <c r="F25" s="162"/>
      <c r="G25" s="162"/>
      <c r="H25" s="162"/>
      <c r="I25" s="162"/>
      <c r="J25" s="162"/>
      <c r="K25" s="162"/>
      <c r="L25" s="162"/>
      <c r="M25" s="162"/>
      <c r="N25" s="162"/>
      <c r="O25" s="162"/>
      <c r="P25" s="162"/>
      <c r="Q25" s="162"/>
      <c r="R25" s="162"/>
      <c r="S25" s="162"/>
      <c r="T25" s="162"/>
      <c r="U25" s="162"/>
      <c r="V25" s="162"/>
      <c r="W25" s="163"/>
    </row>
    <row r="26" spans="1:23" ht="59.25" customHeight="1">
      <c r="A26" s="46" t="s">
        <v>95</v>
      </c>
      <c r="B26" s="161" t="s">
        <v>197</v>
      </c>
      <c r="C26" s="162"/>
      <c r="D26" s="162"/>
      <c r="E26" s="162"/>
      <c r="F26" s="162"/>
      <c r="G26" s="162"/>
      <c r="H26" s="162"/>
      <c r="I26" s="162"/>
      <c r="J26" s="162"/>
      <c r="K26" s="162"/>
      <c r="L26" s="162"/>
      <c r="M26" s="162"/>
      <c r="N26" s="162"/>
      <c r="O26" s="162"/>
      <c r="P26" s="162"/>
      <c r="Q26" s="162"/>
      <c r="R26" s="162"/>
      <c r="S26" s="162"/>
      <c r="T26" s="162"/>
      <c r="U26" s="162"/>
      <c r="V26" s="162"/>
      <c r="W26" s="163"/>
    </row>
    <row r="27" spans="1:23" ht="59.25" customHeight="1">
      <c r="A27" s="46"/>
      <c r="B27" s="161"/>
      <c r="C27" s="162"/>
      <c r="D27" s="162"/>
      <c r="E27" s="162"/>
      <c r="F27" s="162"/>
      <c r="G27" s="162"/>
      <c r="H27" s="162"/>
      <c r="I27" s="162"/>
      <c r="J27" s="162"/>
      <c r="K27" s="162"/>
      <c r="L27" s="162"/>
      <c r="M27" s="162"/>
      <c r="N27" s="162"/>
      <c r="O27" s="162"/>
      <c r="P27" s="162"/>
      <c r="Q27" s="162"/>
      <c r="R27" s="162"/>
      <c r="S27" s="162"/>
      <c r="T27" s="162"/>
      <c r="U27" s="162"/>
      <c r="V27" s="162"/>
      <c r="W27" s="163"/>
    </row>
    <row r="28" spans="1:23" ht="59.25" customHeight="1">
      <c r="A28" s="46"/>
      <c r="B28" s="161"/>
      <c r="C28" s="162"/>
      <c r="D28" s="162"/>
      <c r="E28" s="162"/>
      <c r="F28" s="162"/>
      <c r="G28" s="162"/>
      <c r="H28" s="162"/>
      <c r="I28" s="162"/>
      <c r="J28" s="162"/>
      <c r="K28" s="162"/>
      <c r="L28" s="162"/>
      <c r="M28" s="162"/>
      <c r="N28" s="162"/>
      <c r="O28" s="162"/>
      <c r="P28" s="162"/>
      <c r="Q28" s="162"/>
      <c r="R28" s="162"/>
      <c r="S28" s="162"/>
      <c r="T28" s="162"/>
      <c r="U28" s="162"/>
      <c r="V28" s="162"/>
      <c r="W28" s="163"/>
    </row>
    <row r="29" spans="1:23" ht="59.25" customHeight="1">
      <c r="A29" s="46"/>
      <c r="B29" s="161"/>
      <c r="C29" s="162"/>
      <c r="D29" s="162"/>
      <c r="E29" s="162"/>
      <c r="F29" s="162"/>
      <c r="G29" s="162"/>
      <c r="H29" s="162"/>
      <c r="I29" s="162"/>
      <c r="J29" s="162"/>
      <c r="K29" s="162"/>
      <c r="L29" s="162"/>
      <c r="M29" s="162"/>
      <c r="N29" s="162"/>
      <c r="O29" s="162"/>
      <c r="P29" s="162"/>
      <c r="Q29" s="162"/>
      <c r="R29" s="162"/>
      <c r="S29" s="162"/>
      <c r="T29" s="162"/>
      <c r="U29" s="162"/>
      <c r="V29" s="162"/>
      <c r="W29" s="163"/>
    </row>
    <row r="30" spans="1:23" ht="59.25" customHeight="1">
      <c r="A30" s="46"/>
      <c r="B30" s="161"/>
      <c r="C30" s="162"/>
      <c r="D30" s="162"/>
      <c r="E30" s="162"/>
      <c r="F30" s="162"/>
      <c r="G30" s="162"/>
      <c r="H30" s="162"/>
      <c r="I30" s="162"/>
      <c r="J30" s="162"/>
      <c r="K30" s="162"/>
      <c r="L30" s="162"/>
      <c r="M30" s="162"/>
      <c r="N30" s="162"/>
      <c r="O30" s="162"/>
      <c r="P30" s="162"/>
      <c r="Q30" s="162"/>
      <c r="R30" s="162"/>
      <c r="S30" s="162"/>
      <c r="T30" s="162"/>
      <c r="U30" s="162"/>
      <c r="V30" s="162"/>
      <c r="W30" s="163"/>
    </row>
    <row r="31" spans="1:23" ht="59.25" customHeight="1">
      <c r="A31" s="46"/>
      <c r="B31" s="161"/>
      <c r="C31" s="162"/>
      <c r="D31" s="162"/>
      <c r="E31" s="162"/>
      <c r="F31" s="162"/>
      <c r="G31" s="162"/>
      <c r="H31" s="162"/>
      <c r="I31" s="162"/>
      <c r="J31" s="162"/>
      <c r="K31" s="162"/>
      <c r="L31" s="162"/>
      <c r="M31" s="162"/>
      <c r="N31" s="162"/>
      <c r="O31" s="162"/>
      <c r="P31" s="162"/>
      <c r="Q31" s="162"/>
      <c r="R31" s="162"/>
      <c r="S31" s="162"/>
      <c r="T31" s="162"/>
      <c r="U31" s="162"/>
      <c r="V31" s="162"/>
      <c r="W31" s="163"/>
    </row>
    <row r="32" spans="1:23" ht="59.25" customHeight="1">
      <c r="A32" s="46"/>
      <c r="B32" s="161"/>
      <c r="C32" s="162"/>
      <c r="D32" s="162"/>
      <c r="E32" s="162"/>
      <c r="F32" s="162"/>
      <c r="G32" s="162"/>
      <c r="H32" s="162"/>
      <c r="I32" s="162"/>
      <c r="J32" s="162"/>
      <c r="K32" s="162"/>
      <c r="L32" s="162"/>
      <c r="M32" s="162"/>
      <c r="N32" s="162"/>
      <c r="O32" s="162"/>
      <c r="P32" s="162"/>
      <c r="Q32" s="162"/>
      <c r="R32" s="162"/>
      <c r="S32" s="162"/>
      <c r="T32" s="162"/>
      <c r="U32" s="162"/>
      <c r="V32" s="162"/>
      <c r="W32" s="163"/>
    </row>
    <row r="33" spans="1:23" ht="59.25" customHeight="1">
      <c r="A33" s="46"/>
      <c r="B33" s="161"/>
      <c r="C33" s="162"/>
      <c r="D33" s="162"/>
      <c r="E33" s="162"/>
      <c r="F33" s="162"/>
      <c r="G33" s="162"/>
      <c r="H33" s="162"/>
      <c r="I33" s="162"/>
      <c r="J33" s="162"/>
      <c r="K33" s="162"/>
      <c r="L33" s="162"/>
      <c r="M33" s="162"/>
      <c r="N33" s="162"/>
      <c r="O33" s="162"/>
      <c r="P33" s="162"/>
      <c r="Q33" s="162"/>
      <c r="R33" s="162"/>
      <c r="S33" s="162"/>
      <c r="T33" s="162"/>
      <c r="U33" s="162"/>
      <c r="V33" s="162"/>
      <c r="W33" s="163"/>
    </row>
    <row r="34" spans="1:23" ht="59.25" customHeight="1">
      <c r="A34" s="46"/>
      <c r="B34" s="161"/>
      <c r="C34" s="162"/>
      <c r="D34" s="162"/>
      <c r="E34" s="162"/>
      <c r="F34" s="162"/>
      <c r="G34" s="162"/>
      <c r="H34" s="162"/>
      <c r="I34" s="162"/>
      <c r="J34" s="162"/>
      <c r="K34" s="162"/>
      <c r="L34" s="162"/>
      <c r="M34" s="162"/>
      <c r="N34" s="162"/>
      <c r="O34" s="162"/>
      <c r="P34" s="162"/>
      <c r="Q34" s="162"/>
      <c r="R34" s="162"/>
      <c r="S34" s="162"/>
      <c r="T34" s="162"/>
      <c r="U34" s="162"/>
      <c r="V34" s="162"/>
      <c r="W34" s="163"/>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4">
    <dataValidation type="list" allowBlank="1" showDropDown="1" showInputMessage="1" showErrorMessage="1" errorTitle="文字エラー" error="半角数字1～5を入れて下さい。_x000a_文字列ではなく数値で入力して下さい。" sqref="D13:W13">
      <formula1>$Y$2:$Y$7</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全角文字エラー" error="半角ABCを入れて下さい" sqref="V2:W11">
      <formula1>$X$2:$X$5</formula1>
    </dataValidation>
    <dataValidation type="list" allowBlank="1" showDropDown="1" showInputMessage="1" showErrorMessage="1" errorTitle="全角文字エラー" error="半角ABCを入れて下さい" sqref="D2:U11">
      <formula1>$X$2:$X$4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１－２</v>
      </c>
      <c r="B1" s="34" t="str">
        <f ca="1">RIGHT(CELL("filename",B1),LEN(CELL("filename",B1))-FIND("]",CELL("filename",B1)))</f>
        <v>体育</v>
      </c>
      <c r="C1" s="35" t="s">
        <v>26</v>
      </c>
      <c r="D1" s="36" t="str">
        <f>A15</f>
        <v>淺輪 景都</v>
      </c>
      <c r="E1" s="36" t="str">
        <f>A16</f>
        <v>太谷 高志</v>
      </c>
      <c r="F1" s="36" t="str">
        <f>A17</f>
        <v>加藤 裕吾</v>
      </c>
      <c r="G1" s="36" t="str">
        <f>A18</f>
        <v>後藤 朱里</v>
      </c>
      <c r="H1" s="36" t="str">
        <f>A19</f>
        <v>上甲 絃葉</v>
      </c>
      <c r="I1" s="36" t="str">
        <f>A20</f>
        <v>須田 陽貴</v>
      </c>
      <c r="J1" s="36" t="str">
        <f>A21</f>
        <v>高藤 遙舞</v>
      </c>
      <c r="K1" s="36" t="str">
        <f>A22</f>
        <v>立石 結子</v>
      </c>
      <c r="L1" s="36" t="str">
        <f>A23</f>
        <v>月岡 和香</v>
      </c>
      <c r="M1" s="36" t="str">
        <f>A24</f>
        <v>中村 祐香子</v>
      </c>
      <c r="N1" s="36" t="str">
        <f>A25</f>
        <v>藤森 結</v>
      </c>
      <c r="O1" s="36" t="str">
        <f>A26</f>
        <v>吉澤 紘風</v>
      </c>
      <c r="P1" s="36">
        <f>A27</f>
        <v>0</v>
      </c>
      <c r="Q1" s="36">
        <f>A28</f>
        <v>0</v>
      </c>
      <c r="R1" s="36">
        <f>A29</f>
        <v>0</v>
      </c>
      <c r="S1" s="36">
        <f>A30</f>
        <v>0</v>
      </c>
      <c r="T1" s="36">
        <f>A31</f>
        <v>0</v>
      </c>
      <c r="U1" s="36">
        <f>A32</f>
        <v>0</v>
      </c>
      <c r="V1" s="36">
        <f>A33</f>
        <v>0</v>
      </c>
      <c r="W1" s="36">
        <f>A34</f>
        <v>0</v>
      </c>
      <c r="X1" s="37"/>
    </row>
    <row r="2" spans="1:25" ht="22.5" customHeight="1">
      <c r="A2" s="155" t="s">
        <v>153</v>
      </c>
      <c r="B2" s="86" t="s">
        <v>114</v>
      </c>
      <c r="C2" s="38" t="s">
        <v>28</v>
      </c>
      <c r="D2" s="39" t="s">
        <v>198</v>
      </c>
      <c r="E2" s="39" t="s">
        <v>199</v>
      </c>
      <c r="F2" s="39" t="s">
        <v>174</v>
      </c>
      <c r="G2" s="39" t="s">
        <v>65</v>
      </c>
      <c r="H2" s="39" t="s">
        <v>199</v>
      </c>
      <c r="I2" s="39" t="s">
        <v>158</v>
      </c>
      <c r="J2" s="39" t="s">
        <v>158</v>
      </c>
      <c r="K2" s="39" t="s">
        <v>200</v>
      </c>
      <c r="L2" s="39" t="s">
        <v>174</v>
      </c>
      <c r="M2" s="39" t="s">
        <v>159</v>
      </c>
      <c r="N2" s="39" t="s">
        <v>158</v>
      </c>
      <c r="O2" s="39" t="s">
        <v>200</v>
      </c>
      <c r="P2" s="39"/>
      <c r="Q2" s="39"/>
      <c r="R2" s="39"/>
      <c r="S2" s="39"/>
      <c r="T2" s="39"/>
      <c r="U2" s="39"/>
      <c r="V2" s="39"/>
      <c r="W2" s="39"/>
      <c r="X2" s="40" t="s">
        <v>174</v>
      </c>
      <c r="Y2" s="40">
        <v>1</v>
      </c>
    </row>
    <row r="3" spans="1:25" ht="22.5" customHeight="1">
      <c r="A3" s="156"/>
      <c r="B3" s="41" t="s">
        <v>115</v>
      </c>
      <c r="C3" s="38" t="s">
        <v>28</v>
      </c>
      <c r="D3" s="39" t="s">
        <v>158</v>
      </c>
      <c r="E3" s="39" t="s">
        <v>158</v>
      </c>
      <c r="F3" s="39" t="s">
        <v>159</v>
      </c>
      <c r="G3" s="39" t="s">
        <v>158</v>
      </c>
      <c r="H3" s="39" t="s">
        <v>158</v>
      </c>
      <c r="I3" s="39" t="s">
        <v>159</v>
      </c>
      <c r="J3" s="39" t="s">
        <v>174</v>
      </c>
      <c r="K3" s="39" t="s">
        <v>158</v>
      </c>
      <c r="L3" s="39" t="s">
        <v>158</v>
      </c>
      <c r="M3" s="39" t="s">
        <v>158</v>
      </c>
      <c r="N3" s="39" t="s">
        <v>158</v>
      </c>
      <c r="O3" s="39" t="s">
        <v>159</v>
      </c>
      <c r="P3" s="39"/>
      <c r="Q3" s="39"/>
      <c r="R3" s="39"/>
      <c r="S3" s="39"/>
      <c r="T3" s="39"/>
      <c r="U3" s="39"/>
      <c r="V3" s="39"/>
      <c r="W3" s="39"/>
      <c r="X3" s="40" t="s">
        <v>159</v>
      </c>
      <c r="Y3" s="40">
        <v>2</v>
      </c>
    </row>
    <row r="4" spans="1:25" ht="22.5" customHeight="1">
      <c r="A4" s="156"/>
      <c r="B4" s="41" t="s">
        <v>116</v>
      </c>
      <c r="C4" s="38" t="s">
        <v>28</v>
      </c>
      <c r="D4" s="39" t="s">
        <v>174</v>
      </c>
      <c r="E4" s="39" t="s">
        <v>158</v>
      </c>
      <c r="F4" s="39" t="s">
        <v>158</v>
      </c>
      <c r="G4" s="39" t="s">
        <v>158</v>
      </c>
      <c r="H4" s="39" t="s">
        <v>158</v>
      </c>
      <c r="I4" s="39" t="s">
        <v>158</v>
      </c>
      <c r="J4" s="39" t="s">
        <v>158</v>
      </c>
      <c r="K4" s="39" t="s">
        <v>158</v>
      </c>
      <c r="L4" s="39" t="s">
        <v>158</v>
      </c>
      <c r="M4" s="39" t="s">
        <v>158</v>
      </c>
      <c r="N4" s="39" t="s">
        <v>158</v>
      </c>
      <c r="O4" s="39" t="s">
        <v>159</v>
      </c>
      <c r="P4" s="39"/>
      <c r="Q4" s="39"/>
      <c r="R4" s="39"/>
      <c r="S4" s="39"/>
      <c r="T4" s="39"/>
      <c r="U4" s="39"/>
      <c r="V4" s="39"/>
      <c r="W4" s="39"/>
      <c r="X4" s="40" t="s">
        <v>160</v>
      </c>
      <c r="Y4" s="40">
        <v>3</v>
      </c>
    </row>
    <row r="5" spans="1:25" ht="22.5" customHeight="1">
      <c r="A5" s="156"/>
      <c r="B5" s="86" t="s">
        <v>117</v>
      </c>
      <c r="C5" s="38" t="s">
        <v>28</v>
      </c>
      <c r="D5" s="39" t="s">
        <v>158</v>
      </c>
      <c r="E5" s="39" t="s">
        <v>158</v>
      </c>
      <c r="F5" s="39" t="s">
        <v>158</v>
      </c>
      <c r="G5" s="39" t="s">
        <v>201</v>
      </c>
      <c r="H5" s="39" t="s">
        <v>158</v>
      </c>
      <c r="I5" s="39" t="s">
        <v>201</v>
      </c>
      <c r="J5" s="39" t="s">
        <v>202</v>
      </c>
      <c r="K5" s="39" t="s">
        <v>158</v>
      </c>
      <c r="L5" s="39" t="s">
        <v>158</v>
      </c>
      <c r="M5" s="39" t="s">
        <v>158</v>
      </c>
      <c r="N5" s="39" t="s">
        <v>158</v>
      </c>
      <c r="O5" s="39" t="s">
        <v>159</v>
      </c>
      <c r="P5" s="39"/>
      <c r="Q5" s="39"/>
      <c r="R5" s="39"/>
      <c r="S5" s="39"/>
      <c r="T5" s="39"/>
      <c r="U5" s="39"/>
      <c r="V5" s="39"/>
      <c r="W5" s="39"/>
      <c r="X5" s="40" t="s">
        <v>161</v>
      </c>
      <c r="Y5" s="40">
        <v>4</v>
      </c>
    </row>
    <row r="6" spans="1:25" ht="22.5" customHeight="1">
      <c r="A6" s="156"/>
      <c r="B6" s="41" t="s">
        <v>118</v>
      </c>
      <c r="C6" s="38" t="s">
        <v>28</v>
      </c>
      <c r="D6" s="39" t="s">
        <v>158</v>
      </c>
      <c r="E6" s="39" t="s">
        <v>158</v>
      </c>
      <c r="F6" s="39" t="s">
        <v>158</v>
      </c>
      <c r="G6" s="39" t="s">
        <v>159</v>
      </c>
      <c r="H6" s="39" t="s">
        <v>158</v>
      </c>
      <c r="I6" s="39" t="s">
        <v>158</v>
      </c>
      <c r="J6" s="39" t="s">
        <v>158</v>
      </c>
      <c r="K6" s="39" t="s">
        <v>159</v>
      </c>
      <c r="L6" s="39" t="s">
        <v>158</v>
      </c>
      <c r="M6" s="39" t="s">
        <v>158</v>
      </c>
      <c r="N6" s="39" t="s">
        <v>158</v>
      </c>
      <c r="O6" s="39" t="s">
        <v>159</v>
      </c>
      <c r="P6" s="39"/>
      <c r="Q6" s="39"/>
      <c r="R6" s="39"/>
      <c r="S6" s="39"/>
      <c r="T6" s="39"/>
      <c r="U6" s="39"/>
      <c r="V6" s="39"/>
      <c r="W6" s="39"/>
      <c r="X6" s="40"/>
      <c r="Y6" s="40">
        <v>5</v>
      </c>
    </row>
    <row r="7" spans="1:25" ht="22.5" customHeight="1">
      <c r="A7" s="156"/>
      <c r="B7" s="41"/>
      <c r="C7" s="38" t="s">
        <v>28</v>
      </c>
      <c r="D7" s="39"/>
      <c r="E7" s="39"/>
      <c r="F7" s="39"/>
      <c r="G7" s="39"/>
      <c r="H7" s="39"/>
      <c r="I7" s="39"/>
      <c r="J7" s="39"/>
      <c r="K7" s="39"/>
      <c r="L7" s="39"/>
      <c r="M7" s="39"/>
      <c r="N7" s="39"/>
      <c r="O7" s="39"/>
      <c r="P7" s="39"/>
      <c r="Q7" s="39"/>
      <c r="R7" s="39"/>
      <c r="S7" s="39"/>
      <c r="T7" s="39"/>
      <c r="U7" s="39"/>
      <c r="V7" s="39"/>
      <c r="W7" s="39"/>
      <c r="X7" s="40"/>
      <c r="Y7" s="40" t="s">
        <v>161</v>
      </c>
    </row>
    <row r="8" spans="1:25" ht="22.5" customHeight="1">
      <c r="A8" s="156"/>
      <c r="B8" s="41"/>
      <c r="C8" s="38" t="s">
        <v>28</v>
      </c>
      <c r="D8" s="39"/>
      <c r="E8" s="39"/>
      <c r="F8" s="39"/>
      <c r="G8" s="39"/>
      <c r="H8" s="39"/>
      <c r="I8" s="39"/>
      <c r="J8" s="39"/>
      <c r="K8" s="39"/>
      <c r="L8" s="39"/>
      <c r="M8" s="39"/>
      <c r="N8" s="39"/>
      <c r="O8" s="39"/>
      <c r="P8" s="39"/>
      <c r="Q8" s="39"/>
      <c r="R8" s="39"/>
      <c r="S8" s="39"/>
      <c r="T8" s="39"/>
      <c r="U8" s="39"/>
      <c r="V8" s="39"/>
      <c r="W8" s="39"/>
    </row>
    <row r="9" spans="1:25" ht="22.5" customHeight="1">
      <c r="A9" s="156"/>
      <c r="B9" s="41"/>
      <c r="C9" s="38" t="s">
        <v>28</v>
      </c>
      <c r="D9" s="39"/>
      <c r="E9" s="39"/>
      <c r="F9" s="39"/>
      <c r="G9" s="39"/>
      <c r="H9" s="39"/>
      <c r="I9" s="39"/>
      <c r="J9" s="39"/>
      <c r="K9" s="39"/>
      <c r="L9" s="39"/>
      <c r="M9" s="39"/>
      <c r="N9" s="39"/>
      <c r="O9" s="39"/>
      <c r="P9" s="39"/>
      <c r="Q9" s="39"/>
      <c r="R9" s="39"/>
      <c r="S9" s="39"/>
      <c r="T9" s="39"/>
      <c r="U9" s="39"/>
      <c r="V9" s="39"/>
      <c r="W9" s="39"/>
    </row>
    <row r="10" spans="1:25" ht="22.5" customHeight="1">
      <c r="A10" s="156"/>
      <c r="B10" s="41"/>
      <c r="C10" s="38" t="s">
        <v>28</v>
      </c>
      <c r="D10" s="39"/>
      <c r="E10" s="39"/>
      <c r="F10" s="39"/>
      <c r="G10" s="39"/>
      <c r="H10" s="39"/>
      <c r="I10" s="39"/>
      <c r="J10" s="39"/>
      <c r="K10" s="39"/>
      <c r="L10" s="39"/>
      <c r="M10" s="39"/>
      <c r="N10" s="39"/>
      <c r="O10" s="39"/>
      <c r="P10" s="39"/>
      <c r="Q10" s="39"/>
      <c r="R10" s="39"/>
      <c r="S10" s="39"/>
      <c r="T10" s="39"/>
      <c r="U10" s="39"/>
      <c r="V10" s="39"/>
      <c r="W10" s="39"/>
    </row>
    <row r="11" spans="1:25" ht="22.5" customHeight="1">
      <c r="A11" s="156"/>
      <c r="B11" s="41"/>
      <c r="C11" s="38" t="s">
        <v>28</v>
      </c>
      <c r="D11" s="39"/>
      <c r="E11" s="39"/>
      <c r="F11" s="39"/>
      <c r="G11" s="39"/>
      <c r="H11" s="39"/>
      <c r="I11" s="39"/>
      <c r="J11" s="39"/>
      <c r="K11" s="39"/>
      <c r="L11" s="39"/>
      <c r="M11" s="39"/>
      <c r="N11" s="39"/>
      <c r="O11" s="39"/>
      <c r="P11" s="39"/>
      <c r="Q11" s="39"/>
      <c r="R11" s="39"/>
      <c r="S11" s="39"/>
      <c r="T11" s="39"/>
      <c r="U11" s="39"/>
      <c r="V11" s="39"/>
      <c r="W11" s="39"/>
    </row>
    <row r="12" spans="1:25" ht="30" customHeight="1">
      <c r="A12" s="157"/>
      <c r="B12" s="42"/>
      <c r="C12" s="43" t="s">
        <v>35</v>
      </c>
      <c r="D12" s="39">
        <v>5</v>
      </c>
      <c r="E12" s="39">
        <v>5</v>
      </c>
      <c r="F12" s="39">
        <v>5</v>
      </c>
      <c r="G12" s="39">
        <v>5</v>
      </c>
      <c r="H12" s="39">
        <v>5</v>
      </c>
      <c r="I12" s="39">
        <v>5</v>
      </c>
      <c r="J12" s="39">
        <v>5</v>
      </c>
      <c r="K12" s="39">
        <v>4</v>
      </c>
      <c r="L12" s="39">
        <v>5</v>
      </c>
      <c r="M12" s="39">
        <v>5</v>
      </c>
      <c r="N12" s="39">
        <v>5</v>
      </c>
      <c r="O12" s="39">
        <v>3</v>
      </c>
      <c r="P12" s="39"/>
      <c r="Q12" s="39"/>
      <c r="R12" s="39"/>
      <c r="S12" s="39"/>
      <c r="T12" s="39"/>
      <c r="U12" s="39"/>
      <c r="V12" s="39"/>
      <c r="W12" s="39"/>
    </row>
    <row r="13" spans="1:25" ht="26.25" customHeight="1">
      <c r="A13" s="44"/>
      <c r="B13" s="44"/>
      <c r="C13" s="68" t="s">
        <v>64</v>
      </c>
      <c r="D13" s="69"/>
      <c r="E13" s="69"/>
      <c r="F13" s="69"/>
      <c r="G13" s="69"/>
      <c r="H13" s="69"/>
      <c r="I13" s="69"/>
      <c r="J13" s="69"/>
      <c r="K13" s="69"/>
      <c r="L13" s="69"/>
      <c r="M13" s="69"/>
      <c r="N13" s="69"/>
      <c r="O13" s="69"/>
      <c r="P13" s="69"/>
      <c r="Q13" s="69"/>
      <c r="R13" s="69"/>
      <c r="S13" s="69"/>
      <c r="T13" s="69"/>
      <c r="U13" s="69"/>
      <c r="V13" s="69"/>
      <c r="W13" s="69"/>
    </row>
    <row r="14" spans="1:25" ht="22.5" customHeight="1">
      <c r="A14" s="45" t="s">
        <v>36</v>
      </c>
      <c r="B14" s="164" t="s">
        <v>37</v>
      </c>
      <c r="C14" s="165"/>
      <c r="D14" s="165"/>
      <c r="E14" s="165"/>
      <c r="F14" s="165"/>
      <c r="G14" s="165"/>
      <c r="H14" s="165"/>
      <c r="I14" s="165"/>
      <c r="J14" s="165"/>
      <c r="K14" s="165"/>
      <c r="L14" s="165"/>
      <c r="M14" s="165"/>
      <c r="N14" s="165"/>
      <c r="O14" s="165"/>
      <c r="P14" s="165"/>
      <c r="Q14" s="165"/>
      <c r="R14" s="165"/>
      <c r="S14" s="165"/>
      <c r="T14" s="165"/>
      <c r="U14" s="165"/>
      <c r="V14" s="165"/>
      <c r="W14" s="166"/>
    </row>
    <row r="15" spans="1:25" ht="59.25" customHeight="1">
      <c r="A15" s="46" t="s">
        <v>84</v>
      </c>
      <c r="B15" s="161"/>
      <c r="C15" s="162"/>
      <c r="D15" s="162"/>
      <c r="E15" s="162"/>
      <c r="F15" s="162"/>
      <c r="G15" s="162"/>
      <c r="H15" s="162"/>
      <c r="I15" s="162"/>
      <c r="J15" s="162"/>
      <c r="K15" s="162"/>
      <c r="L15" s="162"/>
      <c r="M15" s="162"/>
      <c r="N15" s="162"/>
      <c r="O15" s="162"/>
      <c r="P15" s="162"/>
      <c r="Q15" s="162"/>
      <c r="R15" s="162"/>
      <c r="S15" s="162"/>
      <c r="T15" s="162"/>
      <c r="U15" s="162"/>
      <c r="V15" s="162"/>
      <c r="W15" s="163"/>
    </row>
    <row r="16" spans="1:25" ht="59.25" customHeight="1">
      <c r="A16" s="46" t="s">
        <v>85</v>
      </c>
      <c r="B16" s="161"/>
      <c r="C16" s="162"/>
      <c r="D16" s="162"/>
      <c r="E16" s="162"/>
      <c r="F16" s="162"/>
      <c r="G16" s="162"/>
      <c r="H16" s="162"/>
      <c r="I16" s="162"/>
      <c r="J16" s="162"/>
      <c r="K16" s="162"/>
      <c r="L16" s="162"/>
      <c r="M16" s="162"/>
      <c r="N16" s="162"/>
      <c r="O16" s="162"/>
      <c r="P16" s="162"/>
      <c r="Q16" s="162"/>
      <c r="R16" s="162"/>
      <c r="S16" s="162"/>
      <c r="T16" s="162"/>
      <c r="U16" s="162"/>
      <c r="V16" s="162"/>
      <c r="W16" s="163"/>
    </row>
    <row r="17" spans="1:23" ht="59.25" customHeight="1">
      <c r="A17" s="46" t="s">
        <v>86</v>
      </c>
      <c r="B17" s="161"/>
      <c r="C17" s="162"/>
      <c r="D17" s="162"/>
      <c r="E17" s="162"/>
      <c r="F17" s="162"/>
      <c r="G17" s="162"/>
      <c r="H17" s="162"/>
      <c r="I17" s="162"/>
      <c r="J17" s="162"/>
      <c r="K17" s="162"/>
      <c r="L17" s="162"/>
      <c r="M17" s="162"/>
      <c r="N17" s="162"/>
      <c r="O17" s="162"/>
      <c r="P17" s="162"/>
      <c r="Q17" s="162"/>
      <c r="R17" s="162"/>
      <c r="S17" s="162"/>
      <c r="T17" s="162"/>
      <c r="U17" s="162"/>
      <c r="V17" s="162"/>
      <c r="W17" s="163"/>
    </row>
    <row r="18" spans="1:23" ht="59.25" customHeight="1">
      <c r="A18" s="46" t="s">
        <v>87</v>
      </c>
      <c r="B18" s="161"/>
      <c r="C18" s="162"/>
      <c r="D18" s="162"/>
      <c r="E18" s="162"/>
      <c r="F18" s="162"/>
      <c r="G18" s="162"/>
      <c r="H18" s="162"/>
      <c r="I18" s="162"/>
      <c r="J18" s="162"/>
      <c r="K18" s="162"/>
      <c r="L18" s="162"/>
      <c r="M18" s="162"/>
      <c r="N18" s="162"/>
      <c r="O18" s="162"/>
      <c r="P18" s="162"/>
      <c r="Q18" s="162"/>
      <c r="R18" s="162"/>
      <c r="S18" s="162"/>
      <c r="T18" s="162"/>
      <c r="U18" s="162"/>
      <c r="V18" s="162"/>
      <c r="W18" s="163"/>
    </row>
    <row r="19" spans="1:23" ht="59.25" customHeight="1">
      <c r="A19" s="46" t="s">
        <v>88</v>
      </c>
      <c r="B19" s="161"/>
      <c r="C19" s="162"/>
      <c r="D19" s="162"/>
      <c r="E19" s="162"/>
      <c r="F19" s="162"/>
      <c r="G19" s="162"/>
      <c r="H19" s="162"/>
      <c r="I19" s="162"/>
      <c r="J19" s="162"/>
      <c r="K19" s="162"/>
      <c r="L19" s="162"/>
      <c r="M19" s="162"/>
      <c r="N19" s="162"/>
      <c r="O19" s="162"/>
      <c r="P19" s="162"/>
      <c r="Q19" s="162"/>
      <c r="R19" s="162"/>
      <c r="S19" s="162"/>
      <c r="T19" s="162"/>
      <c r="U19" s="162"/>
      <c r="V19" s="162"/>
      <c r="W19" s="163"/>
    </row>
    <row r="20" spans="1:23" ht="59.25" customHeight="1">
      <c r="A20" s="46" t="s">
        <v>89</v>
      </c>
      <c r="B20" s="161"/>
      <c r="C20" s="162"/>
      <c r="D20" s="162"/>
      <c r="E20" s="162"/>
      <c r="F20" s="162"/>
      <c r="G20" s="162"/>
      <c r="H20" s="162"/>
      <c r="I20" s="162"/>
      <c r="J20" s="162"/>
      <c r="K20" s="162"/>
      <c r="L20" s="162"/>
      <c r="M20" s="162"/>
      <c r="N20" s="162"/>
      <c r="O20" s="162"/>
      <c r="P20" s="162"/>
      <c r="Q20" s="162"/>
      <c r="R20" s="162"/>
      <c r="S20" s="162"/>
      <c r="T20" s="162"/>
      <c r="U20" s="162"/>
      <c r="V20" s="162"/>
      <c r="W20" s="163"/>
    </row>
    <row r="21" spans="1:23" ht="59.25" customHeight="1">
      <c r="A21" s="46" t="s">
        <v>90</v>
      </c>
      <c r="B21" s="161"/>
      <c r="C21" s="162"/>
      <c r="D21" s="162"/>
      <c r="E21" s="162"/>
      <c r="F21" s="162"/>
      <c r="G21" s="162"/>
      <c r="H21" s="162"/>
      <c r="I21" s="162"/>
      <c r="J21" s="162"/>
      <c r="K21" s="162"/>
      <c r="L21" s="162"/>
      <c r="M21" s="162"/>
      <c r="N21" s="162"/>
      <c r="O21" s="162"/>
      <c r="P21" s="162"/>
      <c r="Q21" s="162"/>
      <c r="R21" s="162"/>
      <c r="S21" s="162"/>
      <c r="T21" s="162"/>
      <c r="U21" s="162"/>
      <c r="V21" s="162"/>
      <c r="W21" s="163"/>
    </row>
    <row r="22" spans="1:23" ht="59.25" customHeight="1">
      <c r="A22" s="46" t="s">
        <v>91</v>
      </c>
      <c r="B22" s="161"/>
      <c r="C22" s="162"/>
      <c r="D22" s="162"/>
      <c r="E22" s="162"/>
      <c r="F22" s="162"/>
      <c r="G22" s="162"/>
      <c r="H22" s="162"/>
      <c r="I22" s="162"/>
      <c r="J22" s="162"/>
      <c r="K22" s="162"/>
      <c r="L22" s="162"/>
      <c r="M22" s="162"/>
      <c r="N22" s="162"/>
      <c r="O22" s="162"/>
      <c r="P22" s="162"/>
      <c r="Q22" s="162"/>
      <c r="R22" s="162"/>
      <c r="S22" s="162"/>
      <c r="T22" s="162"/>
      <c r="U22" s="162"/>
      <c r="V22" s="162"/>
      <c r="W22" s="163"/>
    </row>
    <row r="23" spans="1:23" ht="59.25" customHeight="1">
      <c r="A23" s="46" t="s">
        <v>92</v>
      </c>
      <c r="B23" s="161"/>
      <c r="C23" s="162"/>
      <c r="D23" s="162"/>
      <c r="E23" s="162"/>
      <c r="F23" s="162"/>
      <c r="G23" s="162"/>
      <c r="H23" s="162"/>
      <c r="I23" s="162"/>
      <c r="J23" s="162"/>
      <c r="K23" s="162"/>
      <c r="L23" s="162"/>
      <c r="M23" s="162"/>
      <c r="N23" s="162"/>
      <c r="O23" s="162"/>
      <c r="P23" s="162"/>
      <c r="Q23" s="162"/>
      <c r="R23" s="162"/>
      <c r="S23" s="162"/>
      <c r="T23" s="162"/>
      <c r="U23" s="162"/>
      <c r="V23" s="162"/>
      <c r="W23" s="163"/>
    </row>
    <row r="24" spans="1:23" ht="59.25" customHeight="1">
      <c r="A24" s="46" t="s">
        <v>93</v>
      </c>
      <c r="B24" s="161"/>
      <c r="C24" s="162"/>
      <c r="D24" s="162"/>
      <c r="E24" s="162"/>
      <c r="F24" s="162"/>
      <c r="G24" s="162"/>
      <c r="H24" s="162"/>
      <c r="I24" s="162"/>
      <c r="J24" s="162"/>
      <c r="K24" s="162"/>
      <c r="L24" s="162"/>
      <c r="M24" s="162"/>
      <c r="N24" s="162"/>
      <c r="O24" s="162"/>
      <c r="P24" s="162"/>
      <c r="Q24" s="162"/>
      <c r="R24" s="162"/>
      <c r="S24" s="162"/>
      <c r="T24" s="162"/>
      <c r="U24" s="162"/>
      <c r="V24" s="162"/>
      <c r="W24" s="163"/>
    </row>
    <row r="25" spans="1:23" ht="59.25" customHeight="1">
      <c r="A25" s="46" t="s">
        <v>94</v>
      </c>
      <c r="B25" s="161"/>
      <c r="C25" s="162"/>
      <c r="D25" s="162"/>
      <c r="E25" s="162"/>
      <c r="F25" s="162"/>
      <c r="G25" s="162"/>
      <c r="H25" s="162"/>
      <c r="I25" s="162"/>
      <c r="J25" s="162"/>
      <c r="K25" s="162"/>
      <c r="L25" s="162"/>
      <c r="M25" s="162"/>
      <c r="N25" s="162"/>
      <c r="O25" s="162"/>
      <c r="P25" s="162"/>
      <c r="Q25" s="162"/>
      <c r="R25" s="162"/>
      <c r="S25" s="162"/>
      <c r="T25" s="162"/>
      <c r="U25" s="162"/>
      <c r="V25" s="162"/>
      <c r="W25" s="163"/>
    </row>
    <row r="26" spans="1:23" ht="59.25" customHeight="1">
      <c r="A26" s="46" t="s">
        <v>95</v>
      </c>
      <c r="B26" s="161" t="s">
        <v>119</v>
      </c>
      <c r="C26" s="162"/>
      <c r="D26" s="162"/>
      <c r="E26" s="162"/>
      <c r="F26" s="162"/>
      <c r="G26" s="162"/>
      <c r="H26" s="162"/>
      <c r="I26" s="162"/>
      <c r="J26" s="162"/>
      <c r="K26" s="162"/>
      <c r="L26" s="162"/>
      <c r="M26" s="162"/>
      <c r="N26" s="162"/>
      <c r="O26" s="162"/>
      <c r="P26" s="162"/>
      <c r="Q26" s="162"/>
      <c r="R26" s="162"/>
      <c r="S26" s="162"/>
      <c r="T26" s="162"/>
      <c r="U26" s="162"/>
      <c r="V26" s="162"/>
      <c r="W26" s="163"/>
    </row>
    <row r="27" spans="1:23" ht="59.25" customHeight="1">
      <c r="A27" s="46"/>
      <c r="B27" s="161"/>
      <c r="C27" s="162"/>
      <c r="D27" s="162"/>
      <c r="E27" s="162"/>
      <c r="F27" s="162"/>
      <c r="G27" s="162"/>
      <c r="H27" s="162"/>
      <c r="I27" s="162"/>
      <c r="J27" s="162"/>
      <c r="K27" s="162"/>
      <c r="L27" s="162"/>
      <c r="M27" s="162"/>
      <c r="N27" s="162"/>
      <c r="O27" s="162"/>
      <c r="P27" s="162"/>
      <c r="Q27" s="162"/>
      <c r="R27" s="162"/>
      <c r="S27" s="162"/>
      <c r="T27" s="162"/>
      <c r="U27" s="162"/>
      <c r="V27" s="162"/>
      <c r="W27" s="163"/>
    </row>
    <row r="28" spans="1:23" ht="59.25" customHeight="1">
      <c r="A28" s="46"/>
      <c r="B28" s="161"/>
      <c r="C28" s="162"/>
      <c r="D28" s="162"/>
      <c r="E28" s="162"/>
      <c r="F28" s="162"/>
      <c r="G28" s="162"/>
      <c r="H28" s="162"/>
      <c r="I28" s="162"/>
      <c r="J28" s="162"/>
      <c r="K28" s="162"/>
      <c r="L28" s="162"/>
      <c r="M28" s="162"/>
      <c r="N28" s="162"/>
      <c r="O28" s="162"/>
      <c r="P28" s="162"/>
      <c r="Q28" s="162"/>
      <c r="R28" s="162"/>
      <c r="S28" s="162"/>
      <c r="T28" s="162"/>
      <c r="U28" s="162"/>
      <c r="V28" s="162"/>
      <c r="W28" s="163"/>
    </row>
    <row r="29" spans="1:23" ht="59.25" customHeight="1">
      <c r="A29" s="46"/>
      <c r="B29" s="161"/>
      <c r="C29" s="162"/>
      <c r="D29" s="162"/>
      <c r="E29" s="162"/>
      <c r="F29" s="162"/>
      <c r="G29" s="162"/>
      <c r="H29" s="162"/>
      <c r="I29" s="162"/>
      <c r="J29" s="162"/>
      <c r="K29" s="162"/>
      <c r="L29" s="162"/>
      <c r="M29" s="162"/>
      <c r="N29" s="162"/>
      <c r="O29" s="162"/>
      <c r="P29" s="162"/>
      <c r="Q29" s="162"/>
      <c r="R29" s="162"/>
      <c r="S29" s="162"/>
      <c r="T29" s="162"/>
      <c r="U29" s="162"/>
      <c r="V29" s="162"/>
      <c r="W29" s="163"/>
    </row>
    <row r="30" spans="1:23" ht="59.25" customHeight="1">
      <c r="A30" s="46"/>
      <c r="B30" s="161"/>
      <c r="C30" s="162"/>
      <c r="D30" s="162"/>
      <c r="E30" s="162"/>
      <c r="F30" s="162"/>
      <c r="G30" s="162"/>
      <c r="H30" s="162"/>
      <c r="I30" s="162"/>
      <c r="J30" s="162"/>
      <c r="K30" s="162"/>
      <c r="L30" s="162"/>
      <c r="M30" s="162"/>
      <c r="N30" s="162"/>
      <c r="O30" s="162"/>
      <c r="P30" s="162"/>
      <c r="Q30" s="162"/>
      <c r="R30" s="162"/>
      <c r="S30" s="162"/>
      <c r="T30" s="162"/>
      <c r="U30" s="162"/>
      <c r="V30" s="162"/>
      <c r="W30" s="163"/>
    </row>
    <row r="31" spans="1:23" ht="59.25" customHeight="1">
      <c r="A31" s="46"/>
      <c r="B31" s="161"/>
      <c r="C31" s="162"/>
      <c r="D31" s="162"/>
      <c r="E31" s="162"/>
      <c r="F31" s="162"/>
      <c r="G31" s="162"/>
      <c r="H31" s="162"/>
      <c r="I31" s="162"/>
      <c r="J31" s="162"/>
      <c r="K31" s="162"/>
      <c r="L31" s="162"/>
      <c r="M31" s="162"/>
      <c r="N31" s="162"/>
      <c r="O31" s="162"/>
      <c r="P31" s="162"/>
      <c r="Q31" s="162"/>
      <c r="R31" s="162"/>
      <c r="S31" s="162"/>
      <c r="T31" s="162"/>
      <c r="U31" s="162"/>
      <c r="V31" s="162"/>
      <c r="W31" s="163"/>
    </row>
    <row r="32" spans="1:23" ht="59.25" customHeight="1">
      <c r="A32" s="46"/>
      <c r="B32" s="161"/>
      <c r="C32" s="162"/>
      <c r="D32" s="162"/>
      <c r="E32" s="162"/>
      <c r="F32" s="162"/>
      <c r="G32" s="162"/>
      <c r="H32" s="162"/>
      <c r="I32" s="162"/>
      <c r="J32" s="162"/>
      <c r="K32" s="162"/>
      <c r="L32" s="162"/>
      <c r="M32" s="162"/>
      <c r="N32" s="162"/>
      <c r="O32" s="162"/>
      <c r="P32" s="162"/>
      <c r="Q32" s="162"/>
      <c r="R32" s="162"/>
      <c r="S32" s="162"/>
      <c r="T32" s="162"/>
      <c r="U32" s="162"/>
      <c r="V32" s="162"/>
      <c r="W32" s="163"/>
    </row>
    <row r="33" spans="1:23" ht="59.25" customHeight="1">
      <c r="A33" s="46"/>
      <c r="B33" s="161"/>
      <c r="C33" s="162"/>
      <c r="D33" s="162"/>
      <c r="E33" s="162"/>
      <c r="F33" s="162"/>
      <c r="G33" s="162"/>
      <c r="H33" s="162"/>
      <c r="I33" s="162"/>
      <c r="J33" s="162"/>
      <c r="K33" s="162"/>
      <c r="L33" s="162"/>
      <c r="M33" s="162"/>
      <c r="N33" s="162"/>
      <c r="O33" s="162"/>
      <c r="P33" s="162"/>
      <c r="Q33" s="162"/>
      <c r="R33" s="162"/>
      <c r="S33" s="162"/>
      <c r="T33" s="162"/>
      <c r="U33" s="162"/>
      <c r="V33" s="162"/>
      <c r="W33" s="163"/>
    </row>
    <row r="34" spans="1:23" ht="59.25" customHeight="1">
      <c r="A34" s="46"/>
      <c r="B34" s="161"/>
      <c r="C34" s="162"/>
      <c r="D34" s="162"/>
      <c r="E34" s="162"/>
      <c r="F34" s="162"/>
      <c r="G34" s="162"/>
      <c r="H34" s="162"/>
      <c r="I34" s="162"/>
      <c r="J34" s="162"/>
      <c r="K34" s="162"/>
      <c r="L34" s="162"/>
      <c r="M34" s="162"/>
      <c r="N34" s="162"/>
      <c r="O34" s="162"/>
      <c r="P34" s="162"/>
      <c r="Q34" s="162"/>
      <c r="R34" s="162"/>
      <c r="S34" s="162"/>
      <c r="T34" s="162"/>
      <c r="U34" s="162"/>
      <c r="V34" s="162"/>
      <c r="W34" s="163"/>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6"/>
  <sheetViews>
    <sheetView workbookViewId="0">
      <selection sqref="A1:XFD1048576"/>
    </sheetView>
  </sheetViews>
  <sheetFormatPr defaultColWidth="9" defaultRowHeight="13.5"/>
  <cols>
    <col min="1" max="1" width="13.5" style="72" customWidth="1"/>
    <col min="2" max="2" width="147.75" style="72" customWidth="1"/>
    <col min="3" max="16384" width="9" style="72"/>
  </cols>
  <sheetData>
    <row r="1" spans="1:3" ht="27.75" customHeight="1">
      <c r="A1" s="70" t="str">
        <f ca="1">MID(CELL("filename",A1),FIND("[",CELL("filename",A1))+1,3)</f>
        <v>１－２</v>
      </c>
      <c r="B1" s="34" t="str">
        <f ca="1">RIGHT(CELL("filename",B1),LEN(CELL("filename",B1))-FIND("]",CELL("filename",B1)))</f>
        <v>道徳</v>
      </c>
      <c r="C1" s="78" t="s">
        <v>40</v>
      </c>
    </row>
    <row r="2" spans="1:3" ht="22.5" customHeight="1">
      <c r="A2" s="45" t="s">
        <v>36</v>
      </c>
      <c r="B2" s="45" t="s">
        <v>7</v>
      </c>
      <c r="C2" s="72" t="s">
        <v>156</v>
      </c>
    </row>
    <row r="3" spans="1:3" ht="59.25" customHeight="1">
      <c r="A3" s="77" t="s">
        <v>84</v>
      </c>
      <c r="B3" s="87" t="s">
        <v>120</v>
      </c>
      <c r="C3" s="72">
        <f>LEN(B3)</f>
        <v>176</v>
      </c>
    </row>
    <row r="4" spans="1:3" ht="59.25" customHeight="1">
      <c r="A4" s="77" t="s">
        <v>85</v>
      </c>
      <c r="B4" s="88" t="s">
        <v>121</v>
      </c>
      <c r="C4" s="72">
        <f t="shared" ref="C4:C22" si="0">LEN(B4)</f>
        <v>172</v>
      </c>
    </row>
    <row r="5" spans="1:3" ht="59.25" customHeight="1">
      <c r="A5" s="77" t="s">
        <v>86</v>
      </c>
      <c r="B5" s="87" t="s">
        <v>122</v>
      </c>
      <c r="C5" s="72">
        <f t="shared" si="0"/>
        <v>195</v>
      </c>
    </row>
    <row r="6" spans="1:3" ht="59.25" customHeight="1">
      <c r="A6" s="77" t="s">
        <v>87</v>
      </c>
      <c r="B6" s="87" t="s">
        <v>123</v>
      </c>
      <c r="C6" s="72">
        <f t="shared" si="0"/>
        <v>179</v>
      </c>
    </row>
    <row r="7" spans="1:3" ht="59.25" customHeight="1">
      <c r="A7" s="77" t="s">
        <v>88</v>
      </c>
      <c r="B7" s="88" t="s">
        <v>124</v>
      </c>
      <c r="C7" s="72">
        <f t="shared" si="0"/>
        <v>206</v>
      </c>
    </row>
    <row r="8" spans="1:3" ht="59.25" customHeight="1">
      <c r="A8" s="77" t="s">
        <v>89</v>
      </c>
      <c r="B8" s="88" t="s">
        <v>125</v>
      </c>
      <c r="C8" s="72">
        <f t="shared" si="0"/>
        <v>187</v>
      </c>
    </row>
    <row r="9" spans="1:3" ht="59.25" customHeight="1">
      <c r="A9" s="77" t="s">
        <v>90</v>
      </c>
      <c r="B9" s="87" t="s">
        <v>126</v>
      </c>
      <c r="C9" s="72">
        <f t="shared" si="0"/>
        <v>170</v>
      </c>
    </row>
    <row r="10" spans="1:3" ht="59.25" customHeight="1">
      <c r="A10" s="77" t="s">
        <v>91</v>
      </c>
      <c r="B10" s="87" t="s">
        <v>127</v>
      </c>
      <c r="C10" s="72">
        <f t="shared" si="0"/>
        <v>176</v>
      </c>
    </row>
    <row r="11" spans="1:3" ht="59.25" customHeight="1">
      <c r="A11" s="77" t="s">
        <v>92</v>
      </c>
      <c r="B11" s="88" t="s">
        <v>128</v>
      </c>
      <c r="C11" s="72">
        <f t="shared" si="0"/>
        <v>177</v>
      </c>
    </row>
    <row r="12" spans="1:3" ht="59.25" customHeight="1">
      <c r="A12" s="77" t="s">
        <v>93</v>
      </c>
      <c r="B12" s="87" t="s">
        <v>129</v>
      </c>
      <c r="C12" s="72">
        <f t="shared" si="0"/>
        <v>185</v>
      </c>
    </row>
    <row r="13" spans="1:3" ht="59.25" customHeight="1">
      <c r="A13" s="77" t="s">
        <v>94</v>
      </c>
      <c r="B13" s="87" t="s">
        <v>130</v>
      </c>
      <c r="C13" s="72">
        <f t="shared" si="0"/>
        <v>207</v>
      </c>
    </row>
    <row r="14" spans="1:3" ht="59.25" customHeight="1">
      <c r="A14" s="77" t="s">
        <v>95</v>
      </c>
      <c r="B14" s="88" t="s">
        <v>131</v>
      </c>
      <c r="C14" s="72">
        <f t="shared" si="0"/>
        <v>189</v>
      </c>
    </row>
    <row r="15" spans="1:3" ht="59.25" customHeight="1">
      <c r="A15" s="77"/>
      <c r="B15" s="88"/>
      <c r="C15" s="72">
        <f t="shared" si="0"/>
        <v>0</v>
      </c>
    </row>
    <row r="16" spans="1:3" ht="59.25" customHeight="1">
      <c r="A16" s="77"/>
      <c r="B16" s="88"/>
      <c r="C16" s="72">
        <f t="shared" si="0"/>
        <v>0</v>
      </c>
    </row>
    <row r="17" spans="1:3" ht="59.25" customHeight="1">
      <c r="A17" s="77"/>
      <c r="B17" s="79"/>
      <c r="C17" s="72">
        <f t="shared" si="0"/>
        <v>0</v>
      </c>
    </row>
    <row r="18" spans="1:3" ht="59.25" customHeight="1">
      <c r="A18" s="77"/>
      <c r="B18" s="79"/>
      <c r="C18" s="72">
        <f t="shared" si="0"/>
        <v>0</v>
      </c>
    </row>
    <row r="19" spans="1:3" ht="59.25" customHeight="1">
      <c r="A19" s="77"/>
      <c r="B19" s="79"/>
      <c r="C19" s="72">
        <f t="shared" si="0"/>
        <v>0</v>
      </c>
    </row>
    <row r="20" spans="1:3" ht="59.25" customHeight="1">
      <c r="A20" s="77"/>
      <c r="B20" s="79"/>
      <c r="C20" s="72">
        <f t="shared" si="0"/>
        <v>0</v>
      </c>
    </row>
    <row r="21" spans="1:3" ht="59.25" customHeight="1">
      <c r="A21" s="77"/>
      <c r="B21" s="79"/>
      <c r="C21" s="72">
        <f t="shared" si="0"/>
        <v>0</v>
      </c>
    </row>
    <row r="22" spans="1:3" ht="59.25" customHeight="1">
      <c r="A22" s="77"/>
      <c r="B22" s="79"/>
      <c r="C22" s="72">
        <f t="shared" si="0"/>
        <v>0</v>
      </c>
    </row>
    <row r="23" spans="1:3" ht="22.5" customHeight="1"/>
    <row r="24" spans="1:3" ht="22.5" customHeight="1"/>
    <row r="25" spans="1:3" ht="22.5" customHeight="1"/>
    <row r="26" spans="1:3" ht="22.5" customHeight="1"/>
    <row r="27" spans="1:3" ht="17.25" customHeight="1"/>
    <row r="28" spans="1:3" ht="17.25" customHeight="1"/>
    <row r="29" spans="1:3" ht="17.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sheetData>
  <phoneticPr fontId="1"/>
  <conditionalFormatting sqref="C3:C22">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X192"/>
  <sheetViews>
    <sheetView workbookViewId="0">
      <selection sqref="A1:XFD1048576"/>
    </sheetView>
  </sheetViews>
  <sheetFormatPr defaultColWidth="9" defaultRowHeight="13.5"/>
  <cols>
    <col min="1" max="1" width="13.5" style="72" customWidth="1"/>
    <col min="2" max="2" width="79.125" style="72" customWidth="1"/>
    <col min="3" max="3" width="9.375" style="72" customWidth="1"/>
    <col min="4" max="23" width="4.125" style="72" customWidth="1"/>
    <col min="24" max="24" width="6" style="72" customWidth="1"/>
    <col min="25" max="16384" width="9" style="72"/>
  </cols>
  <sheetData>
    <row r="1" spans="1:24" ht="85.5" customHeight="1">
      <c r="A1" s="47" t="str">
        <f ca="1">MID(CELL("filename",A1),FIND("[",CELL("filename",A1))+1,3)</f>
        <v>１－２</v>
      </c>
      <c r="B1" s="47" t="s">
        <v>41</v>
      </c>
      <c r="C1" s="48" t="s">
        <v>26</v>
      </c>
      <c r="D1" s="36" t="str">
        <f>A13</f>
        <v>淺輪 景都</v>
      </c>
      <c r="E1" s="36" t="str">
        <f>A14</f>
        <v>太谷 高志</v>
      </c>
      <c r="F1" s="36" t="str">
        <f>A15</f>
        <v>加藤 裕吾</v>
      </c>
      <c r="G1" s="36" t="str">
        <f>A16</f>
        <v>後藤 朱里</v>
      </c>
      <c r="H1" s="36" t="str">
        <f>A17</f>
        <v>上甲 絃葉</v>
      </c>
      <c r="I1" s="36" t="str">
        <f>A18</f>
        <v>須田 陽貴</v>
      </c>
      <c r="J1" s="36" t="str">
        <f>A19</f>
        <v>高藤 遙舞</v>
      </c>
      <c r="K1" s="36" t="str">
        <f>A20</f>
        <v>立石 結子</v>
      </c>
      <c r="L1" s="36" t="str">
        <f>A21</f>
        <v>月岡 和香</v>
      </c>
      <c r="M1" s="36" t="str">
        <f>A22</f>
        <v>中村 祐香子</v>
      </c>
      <c r="N1" s="36" t="str">
        <f>A23</f>
        <v>藤森 結</v>
      </c>
      <c r="O1" s="36" t="str">
        <f>A24</f>
        <v>吉澤 紘風</v>
      </c>
      <c r="P1" s="36">
        <f>A25</f>
        <v>0</v>
      </c>
      <c r="Q1" s="36">
        <f>A26</f>
        <v>0</v>
      </c>
      <c r="R1" s="36">
        <f>A27</f>
        <v>0</v>
      </c>
      <c r="S1" s="36">
        <f>A28</f>
        <v>0</v>
      </c>
      <c r="T1" s="36">
        <f>A29</f>
        <v>0</v>
      </c>
      <c r="U1" s="36">
        <f>A30</f>
        <v>0</v>
      </c>
      <c r="V1" s="36">
        <f>A31</f>
        <v>0</v>
      </c>
      <c r="W1" s="36">
        <f>A32</f>
        <v>0</v>
      </c>
      <c r="X1" s="71"/>
    </row>
    <row r="2" spans="1:24" ht="22.5" customHeight="1">
      <c r="A2" s="167" t="s">
        <v>42</v>
      </c>
      <c r="B2" s="67" t="s">
        <v>72</v>
      </c>
      <c r="C2" s="38" t="s">
        <v>28</v>
      </c>
      <c r="D2" s="73" t="s">
        <v>203</v>
      </c>
      <c r="E2" s="73" t="s">
        <v>204</v>
      </c>
      <c r="F2" s="73" t="s">
        <v>203</v>
      </c>
      <c r="G2" s="73" t="s">
        <v>203</v>
      </c>
      <c r="H2" s="73" t="s">
        <v>203</v>
      </c>
      <c r="I2" s="73" t="s">
        <v>204</v>
      </c>
      <c r="J2" s="73" t="s">
        <v>203</v>
      </c>
      <c r="K2" s="73" t="s">
        <v>205</v>
      </c>
      <c r="L2" s="73" t="s">
        <v>203</v>
      </c>
      <c r="M2" s="73" t="s">
        <v>204</v>
      </c>
      <c r="N2" s="73" t="s">
        <v>203</v>
      </c>
      <c r="O2" s="73" t="s">
        <v>204</v>
      </c>
      <c r="P2" s="73"/>
      <c r="Q2" s="73"/>
      <c r="R2" s="73"/>
      <c r="S2" s="73"/>
      <c r="T2" s="73"/>
      <c r="U2" s="73"/>
      <c r="V2" s="73"/>
      <c r="W2" s="73"/>
      <c r="X2" s="74" t="s">
        <v>206</v>
      </c>
    </row>
    <row r="3" spans="1:24" ht="22.5" customHeight="1">
      <c r="A3" s="168"/>
      <c r="B3" s="67" t="s">
        <v>73</v>
      </c>
      <c r="C3" s="38" t="s">
        <v>28</v>
      </c>
      <c r="D3" s="73" t="s">
        <v>203</v>
      </c>
      <c r="E3" s="73" t="s">
        <v>203</v>
      </c>
      <c r="F3" s="73" t="s">
        <v>204</v>
      </c>
      <c r="G3" s="73" t="s">
        <v>204</v>
      </c>
      <c r="H3" s="73" t="s">
        <v>205</v>
      </c>
      <c r="I3" s="73" t="s">
        <v>207</v>
      </c>
      <c r="J3" s="73" t="s">
        <v>207</v>
      </c>
      <c r="K3" s="73" t="s">
        <v>204</v>
      </c>
      <c r="L3" s="73" t="s">
        <v>204</v>
      </c>
      <c r="M3" s="73" t="s">
        <v>204</v>
      </c>
      <c r="N3" s="73" t="s">
        <v>203</v>
      </c>
      <c r="O3" s="73" t="s">
        <v>204</v>
      </c>
      <c r="P3" s="73"/>
      <c r="Q3" s="73"/>
      <c r="R3" s="73"/>
      <c r="S3" s="73"/>
      <c r="T3" s="73"/>
      <c r="U3" s="73"/>
      <c r="V3" s="73"/>
      <c r="W3" s="73"/>
      <c r="X3" s="74" t="s">
        <v>159</v>
      </c>
    </row>
    <row r="4" spans="1:24" ht="22.5" customHeight="1">
      <c r="A4" s="168"/>
      <c r="B4" s="67" t="s">
        <v>74</v>
      </c>
      <c r="C4" s="38" t="s">
        <v>28</v>
      </c>
      <c r="D4" s="73" t="s">
        <v>205</v>
      </c>
      <c r="E4" s="73" t="s">
        <v>203</v>
      </c>
      <c r="F4" s="73" t="s">
        <v>207</v>
      </c>
      <c r="G4" s="73" t="s">
        <v>207</v>
      </c>
      <c r="H4" s="73" t="s">
        <v>205</v>
      </c>
      <c r="I4" s="73" t="s">
        <v>203</v>
      </c>
      <c r="J4" s="73" t="s">
        <v>203</v>
      </c>
      <c r="K4" s="73" t="s">
        <v>205</v>
      </c>
      <c r="L4" s="73" t="s">
        <v>204</v>
      </c>
      <c r="M4" s="73" t="s">
        <v>203</v>
      </c>
      <c r="N4" s="73" t="s">
        <v>203</v>
      </c>
      <c r="O4" s="73" t="s">
        <v>204</v>
      </c>
      <c r="P4" s="73"/>
      <c r="Q4" s="73"/>
      <c r="R4" s="73"/>
      <c r="S4" s="73"/>
      <c r="T4" s="73"/>
      <c r="U4" s="73"/>
      <c r="V4" s="73"/>
      <c r="W4" s="73"/>
      <c r="X4" s="74" t="s">
        <v>160</v>
      </c>
    </row>
    <row r="5" spans="1:24" ht="22.5" customHeight="1">
      <c r="A5" s="168"/>
      <c r="B5" s="67" t="s">
        <v>75</v>
      </c>
      <c r="C5" s="38" t="s">
        <v>28</v>
      </c>
      <c r="D5" s="73" t="s">
        <v>205</v>
      </c>
      <c r="E5" s="73" t="s">
        <v>205</v>
      </c>
      <c r="F5" s="73" t="s">
        <v>203</v>
      </c>
      <c r="G5" s="73" t="s">
        <v>203</v>
      </c>
      <c r="H5" s="73" t="s">
        <v>205</v>
      </c>
      <c r="I5" s="73" t="s">
        <v>205</v>
      </c>
      <c r="J5" s="73" t="s">
        <v>205</v>
      </c>
      <c r="K5" s="73" t="s">
        <v>203</v>
      </c>
      <c r="L5" s="73" t="s">
        <v>205</v>
      </c>
      <c r="M5" s="73" t="s">
        <v>203</v>
      </c>
      <c r="N5" s="73" t="s">
        <v>203</v>
      </c>
      <c r="O5" s="73" t="s">
        <v>203</v>
      </c>
      <c r="P5" s="73"/>
      <c r="Q5" s="73"/>
      <c r="R5" s="73"/>
      <c r="S5" s="73"/>
      <c r="T5" s="73"/>
      <c r="U5" s="73"/>
      <c r="V5" s="73"/>
      <c r="W5" s="73"/>
      <c r="X5" s="74" t="s">
        <v>208</v>
      </c>
    </row>
    <row r="6" spans="1:24" ht="22.5" customHeight="1">
      <c r="A6" s="168"/>
      <c r="B6" s="67" t="s">
        <v>76</v>
      </c>
      <c r="C6" s="38" t="s">
        <v>28</v>
      </c>
      <c r="D6" s="73" t="s">
        <v>205</v>
      </c>
      <c r="E6" s="73" t="s">
        <v>205</v>
      </c>
      <c r="F6" s="73" t="s">
        <v>205</v>
      </c>
      <c r="G6" s="73" t="s">
        <v>203</v>
      </c>
      <c r="H6" s="73" t="s">
        <v>205</v>
      </c>
      <c r="I6" s="73" t="s">
        <v>205</v>
      </c>
      <c r="J6" s="73" t="s">
        <v>203</v>
      </c>
      <c r="K6" s="73" t="s">
        <v>205</v>
      </c>
      <c r="L6" s="73" t="s">
        <v>205</v>
      </c>
      <c r="M6" s="73" t="s">
        <v>205</v>
      </c>
      <c r="N6" s="73" t="s">
        <v>205</v>
      </c>
      <c r="O6" s="73" t="s">
        <v>205</v>
      </c>
      <c r="P6" s="73"/>
      <c r="Q6" s="73"/>
      <c r="R6" s="73"/>
      <c r="S6" s="73"/>
      <c r="T6" s="73"/>
      <c r="U6" s="73"/>
      <c r="V6" s="73"/>
      <c r="W6" s="73"/>
    </row>
    <row r="7" spans="1:24" ht="22.5" customHeight="1">
      <c r="A7" s="168"/>
      <c r="B7" s="67" t="s">
        <v>77</v>
      </c>
      <c r="C7" s="38" t="s">
        <v>28</v>
      </c>
      <c r="D7" s="73" t="s">
        <v>205</v>
      </c>
      <c r="E7" s="73" t="s">
        <v>203</v>
      </c>
      <c r="F7" s="73" t="s">
        <v>204</v>
      </c>
      <c r="G7" s="73" t="s">
        <v>204</v>
      </c>
      <c r="H7" s="73" t="s">
        <v>205</v>
      </c>
      <c r="I7" s="73" t="s">
        <v>205</v>
      </c>
      <c r="J7" s="73" t="s">
        <v>204</v>
      </c>
      <c r="K7" s="73" t="s">
        <v>205</v>
      </c>
      <c r="L7" s="73" t="s">
        <v>207</v>
      </c>
      <c r="M7" s="73" t="s">
        <v>205</v>
      </c>
      <c r="N7" s="73" t="s">
        <v>203</v>
      </c>
      <c r="O7" s="73" t="s">
        <v>207</v>
      </c>
      <c r="P7" s="73"/>
      <c r="Q7" s="73"/>
      <c r="R7" s="73"/>
      <c r="S7" s="73"/>
      <c r="T7" s="73"/>
      <c r="U7" s="73"/>
      <c r="V7" s="73"/>
      <c r="W7" s="73"/>
    </row>
    <row r="8" spans="1:24" ht="22.5" customHeight="1">
      <c r="A8" s="168"/>
      <c r="B8" s="67" t="s">
        <v>78</v>
      </c>
      <c r="C8" s="38" t="s">
        <v>28</v>
      </c>
      <c r="D8" s="73" t="s">
        <v>207</v>
      </c>
      <c r="E8" s="73" t="s">
        <v>207</v>
      </c>
      <c r="F8" s="73" t="s">
        <v>207</v>
      </c>
      <c r="G8" s="73" t="s">
        <v>207</v>
      </c>
      <c r="H8" s="73" t="s">
        <v>205</v>
      </c>
      <c r="I8" s="73" t="s">
        <v>205</v>
      </c>
      <c r="J8" s="73" t="s">
        <v>204</v>
      </c>
      <c r="K8" s="73" t="s">
        <v>203</v>
      </c>
      <c r="L8" s="73" t="s">
        <v>205</v>
      </c>
      <c r="M8" s="73" t="s">
        <v>205</v>
      </c>
      <c r="N8" s="73" t="s">
        <v>205</v>
      </c>
      <c r="O8" s="73" t="s">
        <v>203</v>
      </c>
      <c r="P8" s="73"/>
      <c r="Q8" s="73"/>
      <c r="R8" s="73"/>
      <c r="S8" s="73"/>
      <c r="T8" s="73"/>
      <c r="U8" s="73"/>
      <c r="V8" s="73"/>
      <c r="W8" s="73"/>
    </row>
    <row r="9" spans="1:24" ht="22.5" customHeight="1">
      <c r="A9" s="168"/>
      <c r="B9" s="67" t="s">
        <v>79</v>
      </c>
      <c r="C9" s="38" t="s">
        <v>28</v>
      </c>
      <c r="D9" s="73" t="s">
        <v>207</v>
      </c>
      <c r="E9" s="73" t="s">
        <v>204</v>
      </c>
      <c r="F9" s="73" t="s">
        <v>207</v>
      </c>
      <c r="G9" s="73" t="s">
        <v>205</v>
      </c>
      <c r="H9" s="73" t="s">
        <v>205</v>
      </c>
      <c r="I9" s="73" t="s">
        <v>207</v>
      </c>
      <c r="J9" s="73" t="s">
        <v>207</v>
      </c>
      <c r="K9" s="73" t="s">
        <v>205</v>
      </c>
      <c r="L9" s="73" t="s">
        <v>203</v>
      </c>
      <c r="M9" s="73" t="s">
        <v>205</v>
      </c>
      <c r="N9" s="73" t="s">
        <v>205</v>
      </c>
      <c r="O9" s="73" t="s">
        <v>204</v>
      </c>
      <c r="P9" s="73"/>
      <c r="Q9" s="73"/>
      <c r="R9" s="73"/>
      <c r="S9" s="73"/>
      <c r="T9" s="73"/>
      <c r="U9" s="73"/>
      <c r="V9" s="73"/>
      <c r="W9" s="73"/>
    </row>
    <row r="10" spans="1:24" ht="22.5" customHeight="1">
      <c r="A10" s="80"/>
      <c r="B10" s="67" t="s">
        <v>80</v>
      </c>
      <c r="C10" s="38" t="s">
        <v>28</v>
      </c>
      <c r="D10" s="73" t="s">
        <v>203</v>
      </c>
      <c r="E10" s="73" t="s">
        <v>205</v>
      </c>
      <c r="F10" s="73" t="s">
        <v>203</v>
      </c>
      <c r="G10" s="73" t="s">
        <v>205</v>
      </c>
      <c r="H10" s="73" t="s">
        <v>205</v>
      </c>
      <c r="I10" s="73" t="s">
        <v>205</v>
      </c>
      <c r="J10" s="73" t="s">
        <v>203</v>
      </c>
      <c r="K10" s="73" t="s">
        <v>205</v>
      </c>
      <c r="L10" s="73" t="s">
        <v>205</v>
      </c>
      <c r="M10" s="73" t="s">
        <v>203</v>
      </c>
      <c r="N10" s="73" t="s">
        <v>205</v>
      </c>
      <c r="O10" s="73" t="s">
        <v>205</v>
      </c>
      <c r="P10" s="73"/>
      <c r="Q10" s="73"/>
      <c r="R10" s="73"/>
      <c r="S10" s="73"/>
      <c r="T10" s="73"/>
      <c r="U10" s="73"/>
      <c r="V10" s="73"/>
      <c r="W10" s="73"/>
    </row>
    <row r="11" spans="1:24" ht="22.5" customHeight="1">
      <c r="A11" s="80"/>
      <c r="B11" s="67" t="s">
        <v>81</v>
      </c>
      <c r="C11" s="38" t="s">
        <v>28</v>
      </c>
      <c r="D11" s="73" t="s">
        <v>205</v>
      </c>
      <c r="E11" s="73" t="s">
        <v>205</v>
      </c>
      <c r="F11" s="73" t="s">
        <v>205</v>
      </c>
      <c r="G11" s="73" t="s">
        <v>203</v>
      </c>
      <c r="H11" s="73" t="s">
        <v>205</v>
      </c>
      <c r="I11" s="73" t="s">
        <v>205</v>
      </c>
      <c r="J11" s="73" t="s">
        <v>205</v>
      </c>
      <c r="K11" s="73" t="s">
        <v>205</v>
      </c>
      <c r="L11" s="73" t="s">
        <v>205</v>
      </c>
      <c r="M11" s="73" t="s">
        <v>205</v>
      </c>
      <c r="N11" s="73" t="s">
        <v>203</v>
      </c>
      <c r="O11" s="73" t="s">
        <v>205</v>
      </c>
      <c r="P11" s="73"/>
      <c r="Q11" s="73"/>
      <c r="R11" s="73"/>
      <c r="S11" s="73"/>
      <c r="T11" s="73"/>
      <c r="U11" s="73"/>
      <c r="V11" s="73"/>
      <c r="W11" s="73"/>
    </row>
    <row r="12" spans="1:24" ht="22.5" customHeight="1">
      <c r="A12" s="169" t="s">
        <v>43</v>
      </c>
      <c r="B12" s="170"/>
      <c r="C12" s="170"/>
      <c r="D12" s="170"/>
      <c r="E12" s="170"/>
      <c r="F12" s="170"/>
      <c r="G12" s="170"/>
      <c r="H12" s="170"/>
      <c r="I12" s="170"/>
      <c r="J12" s="170"/>
      <c r="K12" s="170"/>
      <c r="L12" s="170"/>
      <c r="M12" s="170"/>
      <c r="N12" s="170"/>
      <c r="O12" s="170"/>
      <c r="P12" s="170"/>
      <c r="Q12" s="170"/>
      <c r="R12" s="170"/>
      <c r="S12" s="170"/>
      <c r="T12" s="170"/>
      <c r="U12" s="170"/>
      <c r="V12" s="170"/>
      <c r="W12" s="171"/>
    </row>
    <row r="13" spans="1:24" ht="22.5" customHeight="1">
      <c r="A13" s="81" t="s">
        <v>84</v>
      </c>
      <c r="B13" s="152" t="s">
        <v>56</v>
      </c>
      <c r="C13" s="153"/>
      <c r="D13" s="153"/>
      <c r="E13" s="153"/>
      <c r="F13" s="153"/>
      <c r="G13" s="153"/>
      <c r="H13" s="153"/>
      <c r="I13" s="153"/>
      <c r="J13" s="153"/>
      <c r="K13" s="153"/>
      <c r="L13" s="153"/>
      <c r="M13" s="153"/>
      <c r="N13" s="153"/>
      <c r="O13" s="153"/>
      <c r="P13" s="153"/>
      <c r="Q13" s="153"/>
      <c r="R13" s="153"/>
      <c r="S13" s="153"/>
      <c r="T13" s="153"/>
      <c r="U13" s="153"/>
      <c r="V13" s="153"/>
      <c r="W13" s="154"/>
    </row>
    <row r="14" spans="1:24" ht="22.5" customHeight="1">
      <c r="A14" s="81" t="s">
        <v>85</v>
      </c>
      <c r="B14" s="152" t="s">
        <v>132</v>
      </c>
      <c r="C14" s="153"/>
      <c r="D14" s="153"/>
      <c r="E14" s="153"/>
      <c r="F14" s="153"/>
      <c r="G14" s="153"/>
      <c r="H14" s="153"/>
      <c r="I14" s="153"/>
      <c r="J14" s="153"/>
      <c r="K14" s="153"/>
      <c r="L14" s="153"/>
      <c r="M14" s="153"/>
      <c r="N14" s="153"/>
      <c r="O14" s="153"/>
      <c r="P14" s="153"/>
      <c r="Q14" s="153"/>
      <c r="R14" s="153"/>
      <c r="S14" s="153"/>
      <c r="T14" s="153"/>
      <c r="U14" s="153"/>
      <c r="V14" s="153"/>
      <c r="W14" s="154"/>
    </row>
    <row r="15" spans="1:24" ht="22.5" customHeight="1">
      <c r="A15" s="81" t="s">
        <v>86</v>
      </c>
      <c r="B15" s="152" t="s">
        <v>71</v>
      </c>
      <c r="C15" s="153"/>
      <c r="D15" s="153"/>
      <c r="E15" s="153"/>
      <c r="F15" s="153"/>
      <c r="G15" s="153"/>
      <c r="H15" s="153"/>
      <c r="I15" s="153"/>
      <c r="J15" s="153"/>
      <c r="K15" s="153"/>
      <c r="L15" s="153"/>
      <c r="M15" s="153"/>
      <c r="N15" s="153"/>
      <c r="O15" s="153"/>
      <c r="P15" s="153"/>
      <c r="Q15" s="153"/>
      <c r="R15" s="153"/>
      <c r="S15" s="153"/>
      <c r="T15" s="153"/>
      <c r="U15" s="153"/>
      <c r="V15" s="153"/>
      <c r="W15" s="154"/>
    </row>
    <row r="16" spans="1:24" ht="22.5" customHeight="1">
      <c r="A16" s="81" t="s">
        <v>87</v>
      </c>
      <c r="B16" s="152" t="s">
        <v>133</v>
      </c>
      <c r="C16" s="153"/>
      <c r="D16" s="153"/>
      <c r="E16" s="153"/>
      <c r="F16" s="153"/>
      <c r="G16" s="153"/>
      <c r="H16" s="153"/>
      <c r="I16" s="153"/>
      <c r="J16" s="153"/>
      <c r="K16" s="153"/>
      <c r="L16" s="153"/>
      <c r="M16" s="153"/>
      <c r="N16" s="153"/>
      <c r="O16" s="153"/>
      <c r="P16" s="153"/>
      <c r="Q16" s="153"/>
      <c r="R16" s="153"/>
      <c r="S16" s="153"/>
      <c r="T16" s="153"/>
      <c r="U16" s="153"/>
      <c r="V16" s="153"/>
      <c r="W16" s="154"/>
    </row>
    <row r="17" spans="1:24" ht="22.5" customHeight="1">
      <c r="A17" s="81" t="s">
        <v>88</v>
      </c>
      <c r="B17" s="152" t="s">
        <v>132</v>
      </c>
      <c r="C17" s="153"/>
      <c r="D17" s="153"/>
      <c r="E17" s="153"/>
      <c r="F17" s="153"/>
      <c r="G17" s="153"/>
      <c r="H17" s="153"/>
      <c r="I17" s="153"/>
      <c r="J17" s="153"/>
      <c r="K17" s="153"/>
      <c r="L17" s="153"/>
      <c r="M17" s="153"/>
      <c r="N17" s="153"/>
      <c r="O17" s="153"/>
      <c r="P17" s="153"/>
      <c r="Q17" s="153"/>
      <c r="R17" s="153"/>
      <c r="S17" s="153"/>
      <c r="T17" s="153"/>
      <c r="U17" s="153"/>
      <c r="V17" s="153"/>
      <c r="W17" s="154"/>
    </row>
    <row r="18" spans="1:24" ht="22.5" customHeight="1">
      <c r="A18" s="81" t="s">
        <v>89</v>
      </c>
      <c r="B18" s="152" t="s">
        <v>134</v>
      </c>
      <c r="C18" s="153"/>
      <c r="D18" s="153"/>
      <c r="E18" s="153"/>
      <c r="F18" s="153"/>
      <c r="G18" s="153"/>
      <c r="H18" s="153"/>
      <c r="I18" s="153"/>
      <c r="J18" s="153"/>
      <c r="K18" s="153"/>
      <c r="L18" s="153"/>
      <c r="M18" s="153"/>
      <c r="N18" s="153"/>
      <c r="O18" s="153"/>
      <c r="P18" s="153"/>
      <c r="Q18" s="153"/>
      <c r="R18" s="153"/>
      <c r="S18" s="153"/>
      <c r="T18" s="153"/>
      <c r="U18" s="153"/>
      <c r="V18" s="153"/>
      <c r="W18" s="154"/>
    </row>
    <row r="19" spans="1:24" ht="22.5" customHeight="1">
      <c r="A19" s="81" t="s">
        <v>90</v>
      </c>
      <c r="B19" s="152" t="s">
        <v>133</v>
      </c>
      <c r="C19" s="153"/>
      <c r="D19" s="153"/>
      <c r="E19" s="153"/>
      <c r="F19" s="153"/>
      <c r="G19" s="153"/>
      <c r="H19" s="153"/>
      <c r="I19" s="153"/>
      <c r="J19" s="153"/>
      <c r="K19" s="153"/>
      <c r="L19" s="153"/>
      <c r="M19" s="153"/>
      <c r="N19" s="153"/>
      <c r="O19" s="153"/>
      <c r="P19" s="153"/>
      <c r="Q19" s="153"/>
      <c r="R19" s="153"/>
      <c r="S19" s="153"/>
      <c r="T19" s="153"/>
      <c r="U19" s="153"/>
      <c r="V19" s="153"/>
      <c r="W19" s="154"/>
    </row>
    <row r="20" spans="1:24" ht="22.5" customHeight="1">
      <c r="A20" s="81" t="s">
        <v>91</v>
      </c>
      <c r="B20" s="152" t="s">
        <v>71</v>
      </c>
      <c r="C20" s="153"/>
      <c r="D20" s="153"/>
      <c r="E20" s="153"/>
      <c r="F20" s="153"/>
      <c r="G20" s="153"/>
      <c r="H20" s="153"/>
      <c r="I20" s="153"/>
      <c r="J20" s="153"/>
      <c r="K20" s="153"/>
      <c r="L20" s="153"/>
      <c r="M20" s="153"/>
      <c r="N20" s="153"/>
      <c r="O20" s="153"/>
      <c r="P20" s="153"/>
      <c r="Q20" s="153"/>
      <c r="R20" s="153"/>
      <c r="S20" s="153"/>
      <c r="T20" s="153"/>
      <c r="U20" s="153"/>
      <c r="V20" s="153"/>
      <c r="W20" s="154"/>
    </row>
    <row r="21" spans="1:24" ht="22.5" customHeight="1">
      <c r="A21" s="81" t="s">
        <v>92</v>
      </c>
      <c r="B21" s="152" t="s">
        <v>56</v>
      </c>
      <c r="C21" s="153"/>
      <c r="D21" s="153"/>
      <c r="E21" s="153"/>
      <c r="F21" s="153"/>
      <c r="G21" s="153"/>
      <c r="H21" s="153"/>
      <c r="I21" s="153"/>
      <c r="J21" s="153"/>
      <c r="K21" s="153"/>
      <c r="L21" s="153"/>
      <c r="M21" s="153"/>
      <c r="N21" s="153"/>
      <c r="O21" s="153"/>
      <c r="P21" s="153"/>
      <c r="Q21" s="153"/>
      <c r="R21" s="153"/>
      <c r="S21" s="153"/>
      <c r="T21" s="153"/>
      <c r="U21" s="153"/>
      <c r="V21" s="153"/>
      <c r="W21" s="154"/>
    </row>
    <row r="22" spans="1:24" ht="22.5" customHeight="1">
      <c r="A22" s="81" t="s">
        <v>93</v>
      </c>
      <c r="B22" s="152" t="s">
        <v>134</v>
      </c>
      <c r="C22" s="153"/>
      <c r="D22" s="153"/>
      <c r="E22" s="153"/>
      <c r="F22" s="153"/>
      <c r="G22" s="153"/>
      <c r="H22" s="153"/>
      <c r="I22" s="153"/>
      <c r="J22" s="153"/>
      <c r="K22" s="153"/>
      <c r="L22" s="153"/>
      <c r="M22" s="153"/>
      <c r="N22" s="153"/>
      <c r="O22" s="153"/>
      <c r="P22" s="153"/>
      <c r="Q22" s="153"/>
      <c r="R22" s="153"/>
      <c r="S22" s="153"/>
      <c r="T22" s="153"/>
      <c r="U22" s="153"/>
      <c r="V22" s="153"/>
      <c r="W22" s="154"/>
    </row>
    <row r="23" spans="1:24" ht="22.5" customHeight="1">
      <c r="A23" s="81" t="s">
        <v>94</v>
      </c>
      <c r="B23" s="152" t="s">
        <v>135</v>
      </c>
      <c r="C23" s="153"/>
      <c r="D23" s="153"/>
      <c r="E23" s="153"/>
      <c r="F23" s="153"/>
      <c r="G23" s="153"/>
      <c r="H23" s="153"/>
      <c r="I23" s="153"/>
      <c r="J23" s="153"/>
      <c r="K23" s="153"/>
      <c r="L23" s="153"/>
      <c r="M23" s="153"/>
      <c r="N23" s="153"/>
      <c r="O23" s="153"/>
      <c r="P23" s="153"/>
      <c r="Q23" s="153"/>
      <c r="R23" s="153"/>
      <c r="S23" s="153"/>
      <c r="T23" s="153"/>
      <c r="U23" s="153"/>
      <c r="V23" s="153"/>
      <c r="W23" s="154"/>
    </row>
    <row r="24" spans="1:24" ht="22.5" customHeight="1">
      <c r="A24" s="81" t="s">
        <v>95</v>
      </c>
      <c r="B24" s="152" t="s">
        <v>135</v>
      </c>
      <c r="C24" s="153"/>
      <c r="D24" s="153"/>
      <c r="E24" s="153"/>
      <c r="F24" s="153"/>
      <c r="G24" s="153"/>
      <c r="H24" s="153"/>
      <c r="I24" s="153"/>
      <c r="J24" s="153"/>
      <c r="K24" s="153"/>
      <c r="L24" s="153"/>
      <c r="M24" s="153"/>
      <c r="N24" s="153"/>
      <c r="O24" s="153"/>
      <c r="P24" s="153"/>
      <c r="Q24" s="153"/>
      <c r="R24" s="153"/>
      <c r="S24" s="153"/>
      <c r="T24" s="153"/>
      <c r="U24" s="153"/>
      <c r="V24" s="153"/>
      <c r="W24" s="154"/>
    </row>
    <row r="25" spans="1:24" ht="22.5" customHeight="1">
      <c r="A25" s="81"/>
      <c r="B25" s="152"/>
      <c r="C25" s="153"/>
      <c r="D25" s="153"/>
      <c r="E25" s="153"/>
      <c r="F25" s="153"/>
      <c r="G25" s="153"/>
      <c r="H25" s="153"/>
      <c r="I25" s="153"/>
      <c r="J25" s="153"/>
      <c r="K25" s="153"/>
      <c r="L25" s="153"/>
      <c r="M25" s="153"/>
      <c r="N25" s="153"/>
      <c r="O25" s="153"/>
      <c r="P25" s="153"/>
      <c r="Q25" s="153"/>
      <c r="R25" s="153"/>
      <c r="S25" s="153"/>
      <c r="T25" s="153"/>
      <c r="U25" s="153"/>
      <c r="V25" s="153"/>
      <c r="W25" s="154"/>
    </row>
    <row r="26" spans="1:24" ht="22.5" customHeight="1">
      <c r="A26" s="81"/>
      <c r="B26" s="152"/>
      <c r="C26" s="153"/>
      <c r="D26" s="153"/>
      <c r="E26" s="153"/>
      <c r="F26" s="153"/>
      <c r="G26" s="153"/>
      <c r="H26" s="153"/>
      <c r="I26" s="153"/>
      <c r="J26" s="153"/>
      <c r="K26" s="153"/>
      <c r="L26" s="153"/>
      <c r="M26" s="153"/>
      <c r="N26" s="153"/>
      <c r="O26" s="153"/>
      <c r="P26" s="153"/>
      <c r="Q26" s="153"/>
      <c r="R26" s="153"/>
      <c r="S26" s="153"/>
      <c r="T26" s="153"/>
      <c r="U26" s="153"/>
      <c r="V26" s="153"/>
      <c r="W26" s="154"/>
    </row>
    <row r="27" spans="1:24" ht="22.5" customHeight="1">
      <c r="A27" s="81"/>
      <c r="B27" s="152"/>
      <c r="C27" s="153"/>
      <c r="D27" s="153"/>
      <c r="E27" s="153"/>
      <c r="F27" s="153"/>
      <c r="G27" s="153"/>
      <c r="H27" s="153"/>
      <c r="I27" s="153"/>
      <c r="J27" s="153"/>
      <c r="K27" s="153"/>
      <c r="L27" s="153"/>
      <c r="M27" s="153"/>
      <c r="N27" s="153"/>
      <c r="O27" s="153"/>
      <c r="P27" s="153"/>
      <c r="Q27" s="153"/>
      <c r="R27" s="153"/>
      <c r="S27" s="153"/>
      <c r="T27" s="153"/>
      <c r="U27" s="153"/>
      <c r="V27" s="153"/>
      <c r="W27" s="154"/>
    </row>
    <row r="28" spans="1:24" ht="22.5" customHeight="1">
      <c r="A28" s="81"/>
      <c r="B28" s="152"/>
      <c r="C28" s="153"/>
      <c r="D28" s="153"/>
      <c r="E28" s="153"/>
      <c r="F28" s="153"/>
      <c r="G28" s="153"/>
      <c r="H28" s="153"/>
      <c r="I28" s="153"/>
      <c r="J28" s="153"/>
      <c r="K28" s="153"/>
      <c r="L28" s="153"/>
      <c r="M28" s="153"/>
      <c r="N28" s="153"/>
      <c r="O28" s="153"/>
      <c r="P28" s="153"/>
      <c r="Q28" s="153"/>
      <c r="R28" s="153"/>
      <c r="S28" s="153"/>
      <c r="T28" s="153"/>
      <c r="U28" s="153"/>
      <c r="V28" s="153"/>
      <c r="W28" s="154"/>
    </row>
    <row r="29" spans="1:24" ht="22.5" customHeight="1">
      <c r="A29" s="81"/>
      <c r="B29" s="152"/>
      <c r="C29" s="153"/>
      <c r="D29" s="153"/>
      <c r="E29" s="153"/>
      <c r="F29" s="153"/>
      <c r="G29" s="153"/>
      <c r="H29" s="153"/>
      <c r="I29" s="153"/>
      <c r="J29" s="153"/>
      <c r="K29" s="153"/>
      <c r="L29" s="153"/>
      <c r="M29" s="153"/>
      <c r="N29" s="153"/>
      <c r="O29" s="153"/>
      <c r="P29" s="153"/>
      <c r="Q29" s="153"/>
      <c r="R29" s="153"/>
      <c r="S29" s="153"/>
      <c r="T29" s="153"/>
      <c r="U29" s="153"/>
      <c r="V29" s="153"/>
      <c r="W29" s="154"/>
    </row>
    <row r="30" spans="1:24" ht="22.5" customHeight="1">
      <c r="A30" s="81"/>
      <c r="B30" s="152"/>
      <c r="C30" s="153"/>
      <c r="D30" s="153"/>
      <c r="E30" s="153"/>
      <c r="F30" s="153"/>
      <c r="G30" s="153"/>
      <c r="H30" s="153"/>
      <c r="I30" s="153"/>
      <c r="J30" s="153"/>
      <c r="K30" s="153"/>
      <c r="L30" s="153"/>
      <c r="M30" s="153"/>
      <c r="N30" s="153"/>
      <c r="O30" s="153"/>
      <c r="P30" s="153"/>
      <c r="Q30" s="153"/>
      <c r="R30" s="153"/>
      <c r="S30" s="153"/>
      <c r="T30" s="153"/>
      <c r="U30" s="153"/>
      <c r="V30" s="153"/>
      <c r="W30" s="154"/>
    </row>
    <row r="31" spans="1:24" ht="22.5" customHeight="1">
      <c r="A31" s="81"/>
      <c r="B31" s="152"/>
      <c r="C31" s="153"/>
      <c r="D31" s="153"/>
      <c r="E31" s="153"/>
      <c r="F31" s="153"/>
      <c r="G31" s="153"/>
      <c r="H31" s="153"/>
      <c r="I31" s="153"/>
      <c r="J31" s="153"/>
      <c r="K31" s="153"/>
      <c r="L31" s="153"/>
      <c r="M31" s="153"/>
      <c r="N31" s="153"/>
      <c r="O31" s="153"/>
      <c r="P31" s="153"/>
      <c r="Q31" s="153"/>
      <c r="R31" s="153"/>
      <c r="S31" s="153"/>
      <c r="T31" s="153"/>
      <c r="U31" s="153"/>
      <c r="V31" s="153"/>
      <c r="W31" s="154"/>
    </row>
    <row r="32" spans="1:24" ht="22.5" customHeight="1">
      <c r="A32" s="81"/>
      <c r="B32" s="152"/>
      <c r="C32" s="153"/>
      <c r="D32" s="153"/>
      <c r="E32" s="153"/>
      <c r="F32" s="153"/>
      <c r="G32" s="153"/>
      <c r="H32" s="153"/>
      <c r="I32" s="153"/>
      <c r="J32" s="153"/>
      <c r="K32" s="153"/>
      <c r="L32" s="153"/>
      <c r="M32" s="153"/>
      <c r="N32" s="153"/>
      <c r="O32" s="153"/>
      <c r="P32" s="153"/>
      <c r="Q32" s="153"/>
      <c r="R32" s="153"/>
      <c r="S32" s="153"/>
      <c r="T32" s="153"/>
      <c r="U32" s="153"/>
      <c r="V32" s="153"/>
      <c r="W32" s="154"/>
      <c r="X32" s="78" t="s">
        <v>40</v>
      </c>
    </row>
    <row r="33" spans="1:24" ht="22.5" customHeight="1">
      <c r="A33" s="175" t="s">
        <v>209</v>
      </c>
      <c r="B33" s="176"/>
      <c r="C33" s="176"/>
      <c r="D33" s="176"/>
      <c r="E33" s="176"/>
      <c r="F33" s="176"/>
      <c r="G33" s="176"/>
      <c r="H33" s="176"/>
      <c r="I33" s="176"/>
      <c r="J33" s="176"/>
      <c r="K33" s="176"/>
      <c r="L33" s="176"/>
      <c r="M33" s="176"/>
      <c r="N33" s="176"/>
      <c r="O33" s="176"/>
      <c r="P33" s="176"/>
      <c r="Q33" s="176"/>
      <c r="R33" s="176"/>
      <c r="S33" s="176"/>
      <c r="T33" s="176"/>
      <c r="U33" s="176"/>
      <c r="V33" s="176"/>
      <c r="W33" s="177"/>
      <c r="X33" s="72" t="s">
        <v>210</v>
      </c>
    </row>
    <row r="34" spans="1:24" ht="76.5" customHeight="1">
      <c r="A34" s="82" t="str">
        <f>A13</f>
        <v>淺輪 景都</v>
      </c>
      <c r="B34" s="172" t="s">
        <v>145</v>
      </c>
      <c r="C34" s="173"/>
      <c r="D34" s="173"/>
      <c r="E34" s="173"/>
      <c r="F34" s="173"/>
      <c r="G34" s="173"/>
      <c r="H34" s="173"/>
      <c r="I34" s="173"/>
      <c r="J34" s="173"/>
      <c r="K34" s="173"/>
      <c r="L34" s="173"/>
      <c r="M34" s="173"/>
      <c r="N34" s="173"/>
      <c r="O34" s="173"/>
      <c r="P34" s="173"/>
      <c r="Q34" s="173"/>
      <c r="R34" s="173"/>
      <c r="S34" s="173"/>
      <c r="T34" s="173"/>
      <c r="U34" s="173"/>
      <c r="V34" s="173"/>
      <c r="W34" s="174"/>
      <c r="X34" s="72">
        <f>LEN(B34)</f>
        <v>432</v>
      </c>
    </row>
    <row r="35" spans="1:24" ht="76.5" customHeight="1">
      <c r="A35" s="82" t="str">
        <f t="shared" ref="A35:A53" si="0">A14</f>
        <v>太谷 高志</v>
      </c>
      <c r="B35" s="172" t="s">
        <v>136</v>
      </c>
      <c r="C35" s="173"/>
      <c r="D35" s="173"/>
      <c r="E35" s="173"/>
      <c r="F35" s="173"/>
      <c r="G35" s="173"/>
      <c r="H35" s="173"/>
      <c r="I35" s="173"/>
      <c r="J35" s="173"/>
      <c r="K35" s="173"/>
      <c r="L35" s="173"/>
      <c r="M35" s="173"/>
      <c r="N35" s="173"/>
      <c r="O35" s="173"/>
      <c r="P35" s="173"/>
      <c r="Q35" s="173"/>
      <c r="R35" s="173"/>
      <c r="S35" s="173"/>
      <c r="T35" s="173"/>
      <c r="U35" s="173"/>
      <c r="V35" s="173"/>
      <c r="W35" s="174"/>
      <c r="X35" s="72">
        <f t="shared" ref="X35:X53" si="1">LEN(B35)</f>
        <v>450</v>
      </c>
    </row>
    <row r="36" spans="1:24" ht="76.5" customHeight="1">
      <c r="A36" s="82" t="str">
        <f t="shared" si="0"/>
        <v>加藤 裕吾</v>
      </c>
      <c r="B36" s="172" t="s">
        <v>137</v>
      </c>
      <c r="C36" s="173"/>
      <c r="D36" s="173"/>
      <c r="E36" s="173"/>
      <c r="F36" s="173"/>
      <c r="G36" s="173"/>
      <c r="H36" s="173"/>
      <c r="I36" s="173"/>
      <c r="J36" s="173"/>
      <c r="K36" s="173"/>
      <c r="L36" s="173"/>
      <c r="M36" s="173"/>
      <c r="N36" s="173"/>
      <c r="O36" s="173"/>
      <c r="P36" s="173"/>
      <c r="Q36" s="173"/>
      <c r="R36" s="173"/>
      <c r="S36" s="173"/>
      <c r="T36" s="173"/>
      <c r="U36" s="173"/>
      <c r="V36" s="173"/>
      <c r="W36" s="174"/>
      <c r="X36" s="72">
        <f t="shared" si="1"/>
        <v>444</v>
      </c>
    </row>
    <row r="37" spans="1:24" ht="76.5" customHeight="1">
      <c r="A37" s="82" t="str">
        <f t="shared" si="0"/>
        <v>後藤 朱里</v>
      </c>
      <c r="B37" s="172" t="s">
        <v>138</v>
      </c>
      <c r="C37" s="173"/>
      <c r="D37" s="173"/>
      <c r="E37" s="173"/>
      <c r="F37" s="173"/>
      <c r="G37" s="173"/>
      <c r="H37" s="173"/>
      <c r="I37" s="173"/>
      <c r="J37" s="173"/>
      <c r="K37" s="173"/>
      <c r="L37" s="173"/>
      <c r="M37" s="173"/>
      <c r="N37" s="173"/>
      <c r="O37" s="173"/>
      <c r="P37" s="173"/>
      <c r="Q37" s="173"/>
      <c r="R37" s="173"/>
      <c r="S37" s="173"/>
      <c r="T37" s="173"/>
      <c r="U37" s="173"/>
      <c r="V37" s="173"/>
      <c r="W37" s="174"/>
      <c r="X37" s="72">
        <f t="shared" si="1"/>
        <v>458</v>
      </c>
    </row>
    <row r="38" spans="1:24" ht="76.5" customHeight="1">
      <c r="A38" s="82" t="str">
        <f t="shared" si="0"/>
        <v>上甲 絃葉</v>
      </c>
      <c r="B38" s="172" t="s">
        <v>139</v>
      </c>
      <c r="C38" s="173"/>
      <c r="D38" s="173"/>
      <c r="E38" s="173"/>
      <c r="F38" s="173"/>
      <c r="G38" s="173"/>
      <c r="H38" s="173"/>
      <c r="I38" s="173"/>
      <c r="J38" s="173"/>
      <c r="K38" s="173"/>
      <c r="L38" s="173"/>
      <c r="M38" s="173"/>
      <c r="N38" s="173"/>
      <c r="O38" s="173"/>
      <c r="P38" s="173"/>
      <c r="Q38" s="173"/>
      <c r="R38" s="173"/>
      <c r="S38" s="173"/>
      <c r="T38" s="173"/>
      <c r="U38" s="173"/>
      <c r="V38" s="173"/>
      <c r="W38" s="174"/>
      <c r="X38" s="72">
        <f t="shared" si="1"/>
        <v>442</v>
      </c>
    </row>
    <row r="39" spans="1:24" ht="76.5" customHeight="1">
      <c r="A39" s="82" t="str">
        <f t="shared" si="0"/>
        <v>須田 陽貴</v>
      </c>
      <c r="B39" s="172" t="s">
        <v>146</v>
      </c>
      <c r="C39" s="173"/>
      <c r="D39" s="173"/>
      <c r="E39" s="173"/>
      <c r="F39" s="173"/>
      <c r="G39" s="173"/>
      <c r="H39" s="173"/>
      <c r="I39" s="173"/>
      <c r="J39" s="173"/>
      <c r="K39" s="173"/>
      <c r="L39" s="173"/>
      <c r="M39" s="173"/>
      <c r="N39" s="173"/>
      <c r="O39" s="173"/>
      <c r="P39" s="173"/>
      <c r="Q39" s="173"/>
      <c r="R39" s="173"/>
      <c r="S39" s="173"/>
      <c r="T39" s="173"/>
      <c r="U39" s="173"/>
      <c r="V39" s="173"/>
      <c r="W39" s="174"/>
      <c r="X39" s="72">
        <f t="shared" si="1"/>
        <v>456</v>
      </c>
    </row>
    <row r="40" spans="1:24" ht="76.5" customHeight="1">
      <c r="A40" s="82" t="str">
        <f t="shared" si="0"/>
        <v>高藤 遙舞</v>
      </c>
      <c r="B40" s="172" t="s">
        <v>147</v>
      </c>
      <c r="C40" s="173"/>
      <c r="D40" s="173"/>
      <c r="E40" s="173"/>
      <c r="F40" s="173"/>
      <c r="G40" s="173"/>
      <c r="H40" s="173"/>
      <c r="I40" s="173"/>
      <c r="J40" s="173"/>
      <c r="K40" s="173"/>
      <c r="L40" s="173"/>
      <c r="M40" s="173"/>
      <c r="N40" s="173"/>
      <c r="O40" s="173"/>
      <c r="P40" s="173"/>
      <c r="Q40" s="173"/>
      <c r="R40" s="173"/>
      <c r="S40" s="173"/>
      <c r="T40" s="173"/>
      <c r="U40" s="173"/>
      <c r="V40" s="173"/>
      <c r="W40" s="174"/>
      <c r="X40" s="72">
        <f t="shared" si="1"/>
        <v>465</v>
      </c>
    </row>
    <row r="41" spans="1:24" ht="76.5" customHeight="1">
      <c r="A41" s="82" t="str">
        <f t="shared" si="0"/>
        <v>立石 結子</v>
      </c>
      <c r="B41" s="172" t="s">
        <v>148</v>
      </c>
      <c r="C41" s="173"/>
      <c r="D41" s="173"/>
      <c r="E41" s="173"/>
      <c r="F41" s="173"/>
      <c r="G41" s="173"/>
      <c r="H41" s="173"/>
      <c r="I41" s="173"/>
      <c r="J41" s="173"/>
      <c r="K41" s="173"/>
      <c r="L41" s="173"/>
      <c r="M41" s="173"/>
      <c r="N41" s="173"/>
      <c r="O41" s="173"/>
      <c r="P41" s="173"/>
      <c r="Q41" s="173"/>
      <c r="R41" s="173"/>
      <c r="S41" s="173"/>
      <c r="T41" s="173"/>
      <c r="U41" s="173"/>
      <c r="V41" s="173"/>
      <c r="W41" s="174"/>
      <c r="X41" s="72">
        <f t="shared" si="1"/>
        <v>443</v>
      </c>
    </row>
    <row r="42" spans="1:24" ht="76.5" customHeight="1">
      <c r="A42" s="82" t="str">
        <f t="shared" si="0"/>
        <v>月岡 和香</v>
      </c>
      <c r="B42" s="172" t="s">
        <v>149</v>
      </c>
      <c r="C42" s="173"/>
      <c r="D42" s="173"/>
      <c r="E42" s="173"/>
      <c r="F42" s="173"/>
      <c r="G42" s="173"/>
      <c r="H42" s="173"/>
      <c r="I42" s="173"/>
      <c r="J42" s="173"/>
      <c r="K42" s="173"/>
      <c r="L42" s="173"/>
      <c r="M42" s="173"/>
      <c r="N42" s="173"/>
      <c r="O42" s="173"/>
      <c r="P42" s="173"/>
      <c r="Q42" s="173"/>
      <c r="R42" s="173"/>
      <c r="S42" s="173"/>
      <c r="T42" s="173"/>
      <c r="U42" s="173"/>
      <c r="V42" s="173"/>
      <c r="W42" s="174"/>
      <c r="X42" s="72">
        <f t="shared" si="1"/>
        <v>487</v>
      </c>
    </row>
    <row r="43" spans="1:24" ht="76.5" customHeight="1">
      <c r="A43" s="82" t="str">
        <f t="shared" si="0"/>
        <v>中村 祐香子</v>
      </c>
      <c r="B43" s="172" t="s">
        <v>140</v>
      </c>
      <c r="C43" s="173"/>
      <c r="D43" s="173"/>
      <c r="E43" s="173"/>
      <c r="F43" s="173"/>
      <c r="G43" s="173"/>
      <c r="H43" s="173"/>
      <c r="I43" s="173"/>
      <c r="J43" s="173"/>
      <c r="K43" s="173"/>
      <c r="L43" s="173"/>
      <c r="M43" s="173"/>
      <c r="N43" s="173"/>
      <c r="O43" s="173"/>
      <c r="P43" s="173"/>
      <c r="Q43" s="173"/>
      <c r="R43" s="173"/>
      <c r="S43" s="173"/>
      <c r="T43" s="173"/>
      <c r="U43" s="173"/>
      <c r="V43" s="173"/>
      <c r="W43" s="174"/>
      <c r="X43" s="72">
        <f t="shared" si="1"/>
        <v>444</v>
      </c>
    </row>
    <row r="44" spans="1:24" ht="76.5" customHeight="1">
      <c r="A44" s="82" t="str">
        <f t="shared" si="0"/>
        <v>藤森 結</v>
      </c>
      <c r="B44" s="172" t="s">
        <v>150</v>
      </c>
      <c r="C44" s="173"/>
      <c r="D44" s="173"/>
      <c r="E44" s="173"/>
      <c r="F44" s="173"/>
      <c r="G44" s="173"/>
      <c r="H44" s="173"/>
      <c r="I44" s="173"/>
      <c r="J44" s="173"/>
      <c r="K44" s="173"/>
      <c r="L44" s="173"/>
      <c r="M44" s="173"/>
      <c r="N44" s="173"/>
      <c r="O44" s="173"/>
      <c r="P44" s="173"/>
      <c r="Q44" s="173"/>
      <c r="R44" s="173"/>
      <c r="S44" s="173"/>
      <c r="T44" s="173"/>
      <c r="U44" s="173"/>
      <c r="V44" s="173"/>
      <c r="W44" s="174"/>
      <c r="X44" s="72">
        <f t="shared" si="1"/>
        <v>473</v>
      </c>
    </row>
    <row r="45" spans="1:24" ht="76.5" customHeight="1">
      <c r="A45" s="82" t="str">
        <f t="shared" si="0"/>
        <v>吉澤 紘風</v>
      </c>
      <c r="B45" s="172" t="s">
        <v>141</v>
      </c>
      <c r="C45" s="173"/>
      <c r="D45" s="173"/>
      <c r="E45" s="173"/>
      <c r="F45" s="173"/>
      <c r="G45" s="173"/>
      <c r="H45" s="173"/>
      <c r="I45" s="173"/>
      <c r="J45" s="173"/>
      <c r="K45" s="173"/>
      <c r="L45" s="173"/>
      <c r="M45" s="173"/>
      <c r="N45" s="173"/>
      <c r="O45" s="173"/>
      <c r="P45" s="173"/>
      <c r="Q45" s="173"/>
      <c r="R45" s="173"/>
      <c r="S45" s="173"/>
      <c r="T45" s="173"/>
      <c r="U45" s="173"/>
      <c r="V45" s="173"/>
      <c r="W45" s="174"/>
      <c r="X45" s="72">
        <f t="shared" si="1"/>
        <v>440</v>
      </c>
    </row>
    <row r="46" spans="1:24" ht="76.5" customHeight="1">
      <c r="A46" s="82">
        <f t="shared" si="0"/>
        <v>0</v>
      </c>
      <c r="B46" s="172"/>
      <c r="C46" s="173"/>
      <c r="D46" s="173"/>
      <c r="E46" s="173"/>
      <c r="F46" s="173"/>
      <c r="G46" s="173"/>
      <c r="H46" s="173"/>
      <c r="I46" s="173"/>
      <c r="J46" s="173"/>
      <c r="K46" s="173"/>
      <c r="L46" s="173"/>
      <c r="M46" s="173"/>
      <c r="N46" s="173"/>
      <c r="O46" s="173"/>
      <c r="P46" s="173"/>
      <c r="Q46" s="173"/>
      <c r="R46" s="173"/>
      <c r="S46" s="173"/>
      <c r="T46" s="173"/>
      <c r="U46" s="173"/>
      <c r="V46" s="173"/>
      <c r="W46" s="174"/>
      <c r="X46" s="72">
        <f t="shared" si="1"/>
        <v>0</v>
      </c>
    </row>
    <row r="47" spans="1:24" ht="76.5" customHeight="1">
      <c r="A47" s="82">
        <f t="shared" si="0"/>
        <v>0</v>
      </c>
      <c r="B47" s="172"/>
      <c r="C47" s="173"/>
      <c r="D47" s="173"/>
      <c r="E47" s="173"/>
      <c r="F47" s="173"/>
      <c r="G47" s="173"/>
      <c r="H47" s="173"/>
      <c r="I47" s="173"/>
      <c r="J47" s="173"/>
      <c r="K47" s="173"/>
      <c r="L47" s="173"/>
      <c r="M47" s="173"/>
      <c r="N47" s="173"/>
      <c r="O47" s="173"/>
      <c r="P47" s="173"/>
      <c r="Q47" s="173"/>
      <c r="R47" s="173"/>
      <c r="S47" s="173"/>
      <c r="T47" s="173"/>
      <c r="U47" s="173"/>
      <c r="V47" s="173"/>
      <c r="W47" s="174"/>
      <c r="X47" s="72">
        <f t="shared" si="1"/>
        <v>0</v>
      </c>
    </row>
    <row r="48" spans="1:24" ht="76.5" customHeight="1">
      <c r="A48" s="82">
        <f t="shared" si="0"/>
        <v>0</v>
      </c>
      <c r="B48" s="172"/>
      <c r="C48" s="173"/>
      <c r="D48" s="173"/>
      <c r="E48" s="173"/>
      <c r="F48" s="173"/>
      <c r="G48" s="173"/>
      <c r="H48" s="173"/>
      <c r="I48" s="173"/>
      <c r="J48" s="173"/>
      <c r="K48" s="173"/>
      <c r="L48" s="173"/>
      <c r="M48" s="173"/>
      <c r="N48" s="173"/>
      <c r="O48" s="173"/>
      <c r="P48" s="173"/>
      <c r="Q48" s="173"/>
      <c r="R48" s="173"/>
      <c r="S48" s="173"/>
      <c r="T48" s="173"/>
      <c r="U48" s="173"/>
      <c r="V48" s="173"/>
      <c r="W48" s="174"/>
      <c r="X48" s="72">
        <f t="shared" si="1"/>
        <v>0</v>
      </c>
    </row>
    <row r="49" spans="1:24" ht="76.5" customHeight="1">
      <c r="A49" s="82">
        <f t="shared" si="0"/>
        <v>0</v>
      </c>
      <c r="B49" s="172"/>
      <c r="C49" s="173"/>
      <c r="D49" s="173"/>
      <c r="E49" s="173"/>
      <c r="F49" s="173"/>
      <c r="G49" s="173"/>
      <c r="H49" s="173"/>
      <c r="I49" s="173"/>
      <c r="J49" s="173"/>
      <c r="K49" s="173"/>
      <c r="L49" s="173"/>
      <c r="M49" s="173"/>
      <c r="N49" s="173"/>
      <c r="O49" s="173"/>
      <c r="P49" s="173"/>
      <c r="Q49" s="173"/>
      <c r="R49" s="173"/>
      <c r="S49" s="173"/>
      <c r="T49" s="173"/>
      <c r="U49" s="173"/>
      <c r="V49" s="173"/>
      <c r="W49" s="174"/>
      <c r="X49" s="72">
        <f t="shared" si="1"/>
        <v>0</v>
      </c>
    </row>
    <row r="50" spans="1:24" ht="76.5" customHeight="1">
      <c r="A50" s="82">
        <f t="shared" si="0"/>
        <v>0</v>
      </c>
      <c r="B50" s="172"/>
      <c r="C50" s="173"/>
      <c r="D50" s="173"/>
      <c r="E50" s="173"/>
      <c r="F50" s="173"/>
      <c r="G50" s="173"/>
      <c r="H50" s="173"/>
      <c r="I50" s="173"/>
      <c r="J50" s="173"/>
      <c r="K50" s="173"/>
      <c r="L50" s="173"/>
      <c r="M50" s="173"/>
      <c r="N50" s="173"/>
      <c r="O50" s="173"/>
      <c r="P50" s="173"/>
      <c r="Q50" s="173"/>
      <c r="R50" s="173"/>
      <c r="S50" s="173"/>
      <c r="T50" s="173"/>
      <c r="U50" s="173"/>
      <c r="V50" s="173"/>
      <c r="W50" s="174"/>
      <c r="X50" s="72">
        <f t="shared" si="1"/>
        <v>0</v>
      </c>
    </row>
    <row r="51" spans="1:24" ht="76.5" customHeight="1">
      <c r="A51" s="82">
        <f t="shared" si="0"/>
        <v>0</v>
      </c>
      <c r="B51" s="172"/>
      <c r="C51" s="173"/>
      <c r="D51" s="173"/>
      <c r="E51" s="173"/>
      <c r="F51" s="173"/>
      <c r="G51" s="173"/>
      <c r="H51" s="173"/>
      <c r="I51" s="173"/>
      <c r="J51" s="173"/>
      <c r="K51" s="173"/>
      <c r="L51" s="173"/>
      <c r="M51" s="173"/>
      <c r="N51" s="173"/>
      <c r="O51" s="173"/>
      <c r="P51" s="173"/>
      <c r="Q51" s="173"/>
      <c r="R51" s="173"/>
      <c r="S51" s="173"/>
      <c r="T51" s="173"/>
      <c r="U51" s="173"/>
      <c r="V51" s="173"/>
      <c r="W51" s="174"/>
      <c r="X51" s="72">
        <f t="shared" si="1"/>
        <v>0</v>
      </c>
    </row>
    <row r="52" spans="1:24" ht="76.5" customHeight="1">
      <c r="A52" s="82">
        <f t="shared" si="0"/>
        <v>0</v>
      </c>
      <c r="B52" s="172"/>
      <c r="C52" s="173"/>
      <c r="D52" s="173"/>
      <c r="E52" s="173"/>
      <c r="F52" s="173"/>
      <c r="G52" s="173"/>
      <c r="H52" s="173"/>
      <c r="I52" s="173"/>
      <c r="J52" s="173"/>
      <c r="K52" s="173"/>
      <c r="L52" s="173"/>
      <c r="M52" s="173"/>
      <c r="N52" s="173"/>
      <c r="O52" s="173"/>
      <c r="P52" s="173"/>
      <c r="Q52" s="173"/>
      <c r="R52" s="173"/>
      <c r="S52" s="173"/>
      <c r="T52" s="173"/>
      <c r="U52" s="173"/>
      <c r="V52" s="173"/>
      <c r="W52" s="174"/>
      <c r="X52" s="72">
        <f t="shared" si="1"/>
        <v>0</v>
      </c>
    </row>
    <row r="53" spans="1:24" ht="76.5" customHeight="1">
      <c r="A53" s="82">
        <f t="shared" si="0"/>
        <v>0</v>
      </c>
      <c r="B53" s="172"/>
      <c r="C53" s="173"/>
      <c r="D53" s="173"/>
      <c r="E53" s="173"/>
      <c r="F53" s="173"/>
      <c r="G53" s="173"/>
      <c r="H53" s="173"/>
      <c r="I53" s="173"/>
      <c r="J53" s="173"/>
      <c r="K53" s="173"/>
      <c r="L53" s="173"/>
      <c r="M53" s="173"/>
      <c r="N53" s="173"/>
      <c r="O53" s="173"/>
      <c r="P53" s="173"/>
      <c r="Q53" s="173"/>
      <c r="R53" s="173"/>
      <c r="S53" s="173"/>
      <c r="T53" s="173"/>
      <c r="U53" s="173"/>
      <c r="V53" s="173"/>
      <c r="W53" s="174"/>
      <c r="X53" s="72">
        <f t="shared" si="1"/>
        <v>0</v>
      </c>
    </row>
    <row r="54" spans="1:24" ht="17.25" customHeight="1"/>
    <row r="55" spans="1:24" ht="17.25" customHeight="1"/>
    <row r="56" spans="1:24" ht="17.25" customHeight="1"/>
    <row r="57" spans="1:24" ht="17.25" customHeight="1"/>
    <row r="58" spans="1:24" ht="17.25" customHeight="1"/>
    <row r="59" spans="1:24" ht="17.25" customHeight="1"/>
    <row r="60" spans="1:24" ht="17.25" customHeight="1"/>
    <row r="61" spans="1:24" ht="17.25" customHeight="1"/>
    <row r="62" spans="1:24" ht="17.25" customHeight="1"/>
    <row r="63" spans="1:24" ht="17.25" customHeight="1"/>
    <row r="64" spans="1:2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sheetData>
  <mergeCells count="43">
    <mergeCell ref="B53:W53"/>
    <mergeCell ref="B47:W47"/>
    <mergeCell ref="B48:W48"/>
    <mergeCell ref="B49:W49"/>
    <mergeCell ref="B50:W50"/>
    <mergeCell ref="B51:W51"/>
    <mergeCell ref="B52:W52"/>
    <mergeCell ref="B46:W46"/>
    <mergeCell ref="B35:W35"/>
    <mergeCell ref="B36:W36"/>
    <mergeCell ref="B37:W37"/>
    <mergeCell ref="B38:W38"/>
    <mergeCell ref="B39:W39"/>
    <mergeCell ref="B40:W40"/>
    <mergeCell ref="B41:W41"/>
    <mergeCell ref="B42:W42"/>
    <mergeCell ref="B43:W43"/>
    <mergeCell ref="B44:W44"/>
    <mergeCell ref="B45:W45"/>
    <mergeCell ref="B34:W34"/>
    <mergeCell ref="B23:W23"/>
    <mergeCell ref="B24:W24"/>
    <mergeCell ref="B25:W25"/>
    <mergeCell ref="B27:W27"/>
    <mergeCell ref="B28:W28"/>
    <mergeCell ref="B29:W29"/>
    <mergeCell ref="B30:W30"/>
    <mergeCell ref="B31:W31"/>
    <mergeCell ref="B32:W32"/>
    <mergeCell ref="A33:W33"/>
    <mergeCell ref="B26:W26"/>
    <mergeCell ref="B22:W22"/>
    <mergeCell ref="A2:A9"/>
    <mergeCell ref="A12:W12"/>
    <mergeCell ref="B13:W13"/>
    <mergeCell ref="B14:W14"/>
    <mergeCell ref="B15:W15"/>
    <mergeCell ref="B16:W16"/>
    <mergeCell ref="B17:W17"/>
    <mergeCell ref="B18:W18"/>
    <mergeCell ref="B19:W19"/>
    <mergeCell ref="B20:W20"/>
    <mergeCell ref="B21:W21"/>
  </mergeCells>
  <phoneticPr fontId="1"/>
  <conditionalFormatting sqref="X34:X53">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allowBlank="1" showDropDown="1" showInputMessage="1" showErrorMessage="1" errorTitle="全角文字エラー" error="半角ABC-を入れて下さい" sqref="D2:W11">
      <formula1>$X$2:$X$5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X154"/>
  <sheetViews>
    <sheetView workbookViewId="0">
      <selection sqref="A1:XFD1048576"/>
    </sheetView>
  </sheetViews>
  <sheetFormatPr defaultColWidth="9" defaultRowHeight="13.5"/>
  <cols>
    <col min="1" max="1" width="13.5" style="72" customWidth="1"/>
    <col min="2" max="2" width="7.5" style="72" customWidth="1"/>
    <col min="3" max="3" width="9.375" style="72" customWidth="1"/>
    <col min="4" max="23" width="6.875" style="72" customWidth="1"/>
    <col min="24" max="16384" width="9" style="72"/>
  </cols>
  <sheetData>
    <row r="1" spans="1:24" ht="85.5" customHeight="1">
      <c r="A1" s="178" t="str">
        <f ca="1">MID(CELL("filename",A1),FIND("[",CELL("filename",A1))+1,3)</f>
        <v>１－２</v>
      </c>
      <c r="B1" s="179"/>
      <c r="C1" s="180"/>
      <c r="D1" s="36" t="str">
        <f>A10</f>
        <v>淺輪 景都</v>
      </c>
      <c r="E1" s="36" t="str">
        <f>A11</f>
        <v>太谷 高志</v>
      </c>
      <c r="F1" s="36" t="str">
        <f>A12</f>
        <v>加藤 裕吾</v>
      </c>
      <c r="G1" s="36" t="str">
        <f>A13</f>
        <v>後藤 朱里</v>
      </c>
      <c r="H1" s="36" t="str">
        <f>A14</f>
        <v>上甲 絃葉</v>
      </c>
      <c r="I1" s="36" t="str">
        <f>A15</f>
        <v>須田 陽貴</v>
      </c>
      <c r="J1" s="36" t="str">
        <f>A16</f>
        <v>高藤 遙舞</v>
      </c>
      <c r="K1" s="36" t="str">
        <f>A17</f>
        <v>立石 結子</v>
      </c>
      <c r="L1" s="36" t="str">
        <f>A18</f>
        <v>月岡 和香</v>
      </c>
      <c r="M1" s="36" t="str">
        <f>A19</f>
        <v>中村 祐香子</v>
      </c>
      <c r="N1" s="36" t="str">
        <f>A20</f>
        <v>藤森 結</v>
      </c>
      <c r="O1" s="36" t="str">
        <f>A21</f>
        <v>吉澤 紘風</v>
      </c>
      <c r="P1" s="36">
        <f>A22</f>
        <v>0</v>
      </c>
      <c r="Q1" s="36">
        <f>A23</f>
        <v>0</v>
      </c>
      <c r="R1" s="36">
        <f>A24</f>
        <v>0</v>
      </c>
      <c r="S1" s="36">
        <f>A25</f>
        <v>0</v>
      </c>
      <c r="T1" s="36">
        <f>A26</f>
        <v>0</v>
      </c>
      <c r="U1" s="36">
        <f>A27</f>
        <v>0</v>
      </c>
      <c r="V1" s="36">
        <f>A28</f>
        <v>0</v>
      </c>
      <c r="W1" s="36">
        <f>A29</f>
        <v>0</v>
      </c>
      <c r="X1" s="71"/>
    </row>
    <row r="2" spans="1:24" ht="22.5" customHeight="1">
      <c r="A2" s="181" t="s">
        <v>44</v>
      </c>
      <c r="B2" s="181"/>
      <c r="C2" s="181"/>
      <c r="D2" s="83">
        <v>70</v>
      </c>
      <c r="E2" s="83">
        <v>70</v>
      </c>
      <c r="F2" s="83">
        <v>70</v>
      </c>
      <c r="G2" s="83">
        <v>70</v>
      </c>
      <c r="H2" s="83">
        <v>70</v>
      </c>
      <c r="I2" s="83">
        <v>70</v>
      </c>
      <c r="J2" s="83">
        <v>70</v>
      </c>
      <c r="K2" s="83">
        <v>70</v>
      </c>
      <c r="L2" s="83">
        <v>70</v>
      </c>
      <c r="M2" s="83">
        <v>70</v>
      </c>
      <c r="N2" s="83">
        <v>70</v>
      </c>
      <c r="O2" s="83">
        <v>70</v>
      </c>
      <c r="P2" s="83"/>
      <c r="Q2" s="83"/>
      <c r="R2" s="83"/>
      <c r="S2" s="83"/>
      <c r="T2" s="83"/>
      <c r="U2" s="83"/>
      <c r="V2" s="83"/>
      <c r="W2" s="83"/>
    </row>
    <row r="3" spans="1:24" ht="22.5" customHeight="1">
      <c r="A3" s="181" t="s">
        <v>45</v>
      </c>
      <c r="B3" s="181"/>
      <c r="C3" s="181"/>
      <c r="D3" s="83">
        <v>0</v>
      </c>
      <c r="E3" s="83">
        <v>0</v>
      </c>
      <c r="F3" s="83">
        <v>2</v>
      </c>
      <c r="G3" s="83">
        <v>0</v>
      </c>
      <c r="H3" s="83">
        <v>0</v>
      </c>
      <c r="I3" s="83">
        <v>0</v>
      </c>
      <c r="J3" s="83">
        <v>0</v>
      </c>
      <c r="K3" s="83">
        <v>0</v>
      </c>
      <c r="L3" s="83">
        <v>0</v>
      </c>
      <c r="M3" s="83">
        <v>2</v>
      </c>
      <c r="N3" s="83">
        <v>0</v>
      </c>
      <c r="O3" s="83">
        <v>0</v>
      </c>
      <c r="P3" s="83"/>
      <c r="Q3" s="83"/>
      <c r="R3" s="83"/>
      <c r="S3" s="83"/>
      <c r="T3" s="83"/>
      <c r="U3" s="83"/>
      <c r="V3" s="83"/>
      <c r="W3" s="83"/>
    </row>
    <row r="4" spans="1:24" ht="22.5" customHeight="1">
      <c r="A4" s="181" t="s">
        <v>46</v>
      </c>
      <c r="B4" s="181"/>
      <c r="C4" s="181"/>
      <c r="D4" s="49">
        <f t="shared" ref="D4:W4" si="0">D2-D3</f>
        <v>70</v>
      </c>
      <c r="E4" s="49">
        <f t="shared" si="0"/>
        <v>70</v>
      </c>
      <c r="F4" s="49">
        <f t="shared" si="0"/>
        <v>68</v>
      </c>
      <c r="G4" s="49">
        <f t="shared" si="0"/>
        <v>70</v>
      </c>
      <c r="H4" s="49">
        <f t="shared" si="0"/>
        <v>70</v>
      </c>
      <c r="I4" s="49">
        <f t="shared" si="0"/>
        <v>70</v>
      </c>
      <c r="J4" s="49">
        <f t="shared" si="0"/>
        <v>70</v>
      </c>
      <c r="K4" s="49">
        <f t="shared" si="0"/>
        <v>70</v>
      </c>
      <c r="L4" s="49">
        <f t="shared" si="0"/>
        <v>70</v>
      </c>
      <c r="M4" s="49">
        <f t="shared" si="0"/>
        <v>68</v>
      </c>
      <c r="N4" s="49">
        <f t="shared" si="0"/>
        <v>70</v>
      </c>
      <c r="O4" s="49">
        <f t="shared" si="0"/>
        <v>70</v>
      </c>
      <c r="P4" s="49">
        <f t="shared" si="0"/>
        <v>0</v>
      </c>
      <c r="Q4" s="49">
        <f t="shared" si="0"/>
        <v>0</v>
      </c>
      <c r="R4" s="49">
        <f t="shared" si="0"/>
        <v>0</v>
      </c>
      <c r="S4" s="49">
        <f t="shared" si="0"/>
        <v>0</v>
      </c>
      <c r="T4" s="49">
        <f t="shared" si="0"/>
        <v>0</v>
      </c>
      <c r="U4" s="49">
        <f t="shared" si="0"/>
        <v>0</v>
      </c>
      <c r="V4" s="49">
        <f t="shared" si="0"/>
        <v>0</v>
      </c>
      <c r="W4" s="49">
        <f t="shared" si="0"/>
        <v>0</v>
      </c>
    </row>
    <row r="5" spans="1:24" ht="22.5" customHeight="1">
      <c r="A5" s="182" t="s">
        <v>157</v>
      </c>
      <c r="B5" s="183"/>
      <c r="C5" s="184"/>
      <c r="D5" s="49">
        <f t="shared" ref="D5:W5" si="1">D4-D6</f>
        <v>69</v>
      </c>
      <c r="E5" s="49">
        <f t="shared" si="1"/>
        <v>70</v>
      </c>
      <c r="F5" s="49">
        <f t="shared" si="1"/>
        <v>66</v>
      </c>
      <c r="G5" s="49">
        <f t="shared" si="1"/>
        <v>70</v>
      </c>
      <c r="H5" s="49">
        <f t="shared" si="1"/>
        <v>69</v>
      </c>
      <c r="I5" s="49">
        <f t="shared" si="1"/>
        <v>69</v>
      </c>
      <c r="J5" s="49">
        <f t="shared" si="1"/>
        <v>67</v>
      </c>
      <c r="K5" s="49">
        <f t="shared" si="1"/>
        <v>70</v>
      </c>
      <c r="L5" s="49">
        <f t="shared" si="1"/>
        <v>70</v>
      </c>
      <c r="M5" s="49">
        <f t="shared" si="1"/>
        <v>68</v>
      </c>
      <c r="N5" s="49">
        <f t="shared" si="1"/>
        <v>70</v>
      </c>
      <c r="O5" s="49">
        <f t="shared" si="1"/>
        <v>68</v>
      </c>
      <c r="P5" s="49">
        <f t="shared" si="1"/>
        <v>0</v>
      </c>
      <c r="Q5" s="49">
        <f t="shared" si="1"/>
        <v>0</v>
      </c>
      <c r="R5" s="49">
        <f t="shared" si="1"/>
        <v>0</v>
      </c>
      <c r="S5" s="49">
        <f t="shared" si="1"/>
        <v>0</v>
      </c>
      <c r="T5" s="49">
        <f t="shared" si="1"/>
        <v>0</v>
      </c>
      <c r="U5" s="49">
        <f t="shared" si="1"/>
        <v>0</v>
      </c>
      <c r="V5" s="49">
        <f t="shared" si="1"/>
        <v>0</v>
      </c>
      <c r="W5" s="49">
        <f t="shared" si="1"/>
        <v>0</v>
      </c>
    </row>
    <row r="6" spans="1:24" ht="22.5" customHeight="1">
      <c r="A6" s="185" t="s">
        <v>211</v>
      </c>
      <c r="B6" s="186"/>
      <c r="C6" s="187"/>
      <c r="D6" s="83">
        <v>1</v>
      </c>
      <c r="E6" s="83">
        <v>0</v>
      </c>
      <c r="F6" s="83">
        <v>2</v>
      </c>
      <c r="G6" s="83">
        <v>0</v>
      </c>
      <c r="H6" s="83">
        <v>1</v>
      </c>
      <c r="I6" s="83">
        <v>1</v>
      </c>
      <c r="J6" s="83">
        <v>3</v>
      </c>
      <c r="K6" s="83">
        <v>0</v>
      </c>
      <c r="L6" s="83">
        <v>0</v>
      </c>
      <c r="M6" s="83">
        <v>0</v>
      </c>
      <c r="N6" s="83">
        <v>0</v>
      </c>
      <c r="O6" s="83">
        <v>2</v>
      </c>
      <c r="P6" s="83"/>
      <c r="Q6" s="83"/>
      <c r="R6" s="83"/>
      <c r="S6" s="83"/>
      <c r="T6" s="83"/>
      <c r="U6" s="83"/>
      <c r="V6" s="83"/>
      <c r="W6" s="83"/>
    </row>
    <row r="7" spans="1:24" ht="22.5" customHeight="1">
      <c r="A7" s="181" t="s">
        <v>47</v>
      </c>
      <c r="B7" s="181"/>
      <c r="C7" s="181"/>
      <c r="D7" s="83">
        <v>0</v>
      </c>
      <c r="E7" s="83">
        <v>0</v>
      </c>
      <c r="F7" s="83">
        <v>2</v>
      </c>
      <c r="G7" s="83">
        <v>1</v>
      </c>
      <c r="H7" s="83">
        <v>0</v>
      </c>
      <c r="I7" s="83">
        <v>3</v>
      </c>
      <c r="J7" s="83">
        <v>0</v>
      </c>
      <c r="K7" s="83">
        <v>0</v>
      </c>
      <c r="L7" s="83">
        <v>0</v>
      </c>
      <c r="M7" s="83">
        <v>0</v>
      </c>
      <c r="N7" s="83">
        <v>0</v>
      </c>
      <c r="O7" s="83">
        <v>0</v>
      </c>
      <c r="P7" s="83"/>
      <c r="Q7" s="83"/>
      <c r="R7" s="83"/>
      <c r="S7" s="83"/>
      <c r="T7" s="83"/>
      <c r="U7" s="83"/>
      <c r="V7" s="83"/>
      <c r="W7" s="83"/>
    </row>
    <row r="8" spans="1:24" ht="22.5" customHeight="1">
      <c r="A8" s="181" t="s">
        <v>48</v>
      </c>
      <c r="B8" s="181"/>
      <c r="C8" s="181"/>
      <c r="D8" s="83">
        <v>1</v>
      </c>
      <c r="E8" s="83">
        <v>0</v>
      </c>
      <c r="F8" s="83">
        <v>0</v>
      </c>
      <c r="G8" s="83">
        <v>1</v>
      </c>
      <c r="H8" s="83">
        <v>0</v>
      </c>
      <c r="I8" s="83">
        <v>1</v>
      </c>
      <c r="J8" s="83">
        <v>0</v>
      </c>
      <c r="K8" s="83">
        <v>0</v>
      </c>
      <c r="L8" s="83">
        <v>0</v>
      </c>
      <c r="M8" s="83">
        <v>0</v>
      </c>
      <c r="N8" s="83">
        <v>0</v>
      </c>
      <c r="O8" s="83">
        <v>0</v>
      </c>
      <c r="P8" s="83"/>
      <c r="Q8" s="83"/>
      <c r="R8" s="83"/>
      <c r="S8" s="83"/>
      <c r="T8" s="83"/>
      <c r="U8" s="83"/>
      <c r="V8" s="83"/>
      <c r="W8" s="83"/>
    </row>
    <row r="9" spans="1:24" ht="22.5" customHeight="1">
      <c r="A9" s="169" t="s">
        <v>49</v>
      </c>
      <c r="B9" s="170"/>
      <c r="C9" s="170"/>
      <c r="D9" s="170"/>
      <c r="E9" s="170"/>
      <c r="F9" s="170"/>
      <c r="G9" s="170"/>
      <c r="H9" s="170"/>
      <c r="I9" s="170"/>
      <c r="J9" s="170"/>
      <c r="K9" s="170"/>
      <c r="L9" s="170"/>
      <c r="M9" s="170"/>
      <c r="N9" s="170"/>
      <c r="O9" s="170"/>
      <c r="P9" s="170"/>
      <c r="Q9" s="170"/>
      <c r="R9" s="170"/>
      <c r="S9" s="170"/>
      <c r="T9" s="170"/>
      <c r="U9" s="170"/>
      <c r="V9" s="170"/>
      <c r="W9" s="171"/>
    </row>
    <row r="10" spans="1:24" ht="22.5" customHeight="1">
      <c r="A10" s="81" t="s">
        <v>84</v>
      </c>
      <c r="B10" s="152" t="s">
        <v>151</v>
      </c>
      <c r="C10" s="153"/>
      <c r="D10" s="153"/>
      <c r="E10" s="153"/>
      <c r="F10" s="153"/>
      <c r="G10" s="153"/>
      <c r="H10" s="153"/>
      <c r="I10" s="153"/>
      <c r="J10" s="153"/>
      <c r="K10" s="153"/>
      <c r="L10" s="153"/>
      <c r="M10" s="153"/>
      <c r="N10" s="153"/>
      <c r="O10" s="153"/>
      <c r="P10" s="153"/>
      <c r="Q10" s="153"/>
      <c r="R10" s="153"/>
      <c r="S10" s="153"/>
      <c r="T10" s="153"/>
      <c r="U10" s="153"/>
      <c r="V10" s="153"/>
      <c r="W10" s="154"/>
    </row>
    <row r="11" spans="1:24" ht="22.5" customHeight="1">
      <c r="A11" s="81" t="s">
        <v>85</v>
      </c>
      <c r="B11" s="152"/>
      <c r="C11" s="153"/>
      <c r="D11" s="153"/>
      <c r="E11" s="153"/>
      <c r="F11" s="153"/>
      <c r="G11" s="153"/>
      <c r="H11" s="153"/>
      <c r="I11" s="153"/>
      <c r="J11" s="153"/>
      <c r="K11" s="153"/>
      <c r="L11" s="153"/>
      <c r="M11" s="153"/>
      <c r="N11" s="153"/>
      <c r="O11" s="153"/>
      <c r="P11" s="153"/>
      <c r="Q11" s="153"/>
      <c r="R11" s="153"/>
      <c r="S11" s="153"/>
      <c r="T11" s="153"/>
      <c r="U11" s="153"/>
      <c r="V11" s="153"/>
      <c r="W11" s="154"/>
    </row>
    <row r="12" spans="1:24" ht="22.5" customHeight="1">
      <c r="A12" s="81" t="s">
        <v>86</v>
      </c>
      <c r="B12" s="152" t="s">
        <v>142</v>
      </c>
      <c r="C12" s="153"/>
      <c r="D12" s="153"/>
      <c r="E12" s="153"/>
      <c r="F12" s="153"/>
      <c r="G12" s="153"/>
      <c r="H12" s="153"/>
      <c r="I12" s="153"/>
      <c r="J12" s="153"/>
      <c r="K12" s="153"/>
      <c r="L12" s="153"/>
      <c r="M12" s="153"/>
      <c r="N12" s="153"/>
      <c r="O12" s="153"/>
      <c r="P12" s="153"/>
      <c r="Q12" s="153"/>
      <c r="R12" s="153"/>
      <c r="S12" s="153"/>
      <c r="T12" s="153"/>
      <c r="U12" s="153"/>
      <c r="V12" s="153"/>
      <c r="W12" s="154"/>
    </row>
    <row r="13" spans="1:24" ht="22.5" customHeight="1">
      <c r="A13" s="81" t="s">
        <v>87</v>
      </c>
      <c r="B13" s="152" t="s">
        <v>152</v>
      </c>
      <c r="C13" s="153"/>
      <c r="D13" s="153"/>
      <c r="E13" s="153"/>
      <c r="F13" s="153"/>
      <c r="G13" s="153"/>
      <c r="H13" s="153"/>
      <c r="I13" s="153"/>
      <c r="J13" s="153"/>
      <c r="K13" s="153"/>
      <c r="L13" s="153"/>
      <c r="M13" s="153"/>
      <c r="N13" s="153"/>
      <c r="O13" s="153"/>
      <c r="P13" s="153"/>
      <c r="Q13" s="153"/>
      <c r="R13" s="153"/>
      <c r="S13" s="153"/>
      <c r="T13" s="153"/>
      <c r="U13" s="153"/>
      <c r="V13" s="153"/>
      <c r="W13" s="154"/>
    </row>
    <row r="14" spans="1:24" ht="22.5" customHeight="1">
      <c r="A14" s="81" t="s">
        <v>88</v>
      </c>
      <c r="B14" s="152" t="s">
        <v>82</v>
      </c>
      <c r="C14" s="153"/>
      <c r="D14" s="153"/>
      <c r="E14" s="153"/>
      <c r="F14" s="153"/>
      <c r="G14" s="153"/>
      <c r="H14" s="153"/>
      <c r="I14" s="153"/>
      <c r="J14" s="153"/>
      <c r="K14" s="153"/>
      <c r="L14" s="153"/>
      <c r="M14" s="153"/>
      <c r="N14" s="153"/>
      <c r="O14" s="153"/>
      <c r="P14" s="153"/>
      <c r="Q14" s="153"/>
      <c r="R14" s="153"/>
      <c r="S14" s="153"/>
      <c r="T14" s="153"/>
      <c r="U14" s="153"/>
      <c r="V14" s="153"/>
      <c r="W14" s="154"/>
    </row>
    <row r="15" spans="1:24" ht="22.5" customHeight="1">
      <c r="A15" s="81" t="s">
        <v>89</v>
      </c>
      <c r="B15" s="152" t="s">
        <v>155</v>
      </c>
      <c r="C15" s="153"/>
      <c r="D15" s="153"/>
      <c r="E15" s="153"/>
      <c r="F15" s="153"/>
      <c r="G15" s="153"/>
      <c r="H15" s="153"/>
      <c r="I15" s="153"/>
      <c r="J15" s="153"/>
      <c r="K15" s="153"/>
      <c r="L15" s="153"/>
      <c r="M15" s="153"/>
      <c r="N15" s="153"/>
      <c r="O15" s="153"/>
      <c r="P15" s="153"/>
      <c r="Q15" s="153"/>
      <c r="R15" s="153"/>
      <c r="S15" s="153"/>
      <c r="T15" s="153"/>
      <c r="U15" s="153"/>
      <c r="V15" s="153"/>
      <c r="W15" s="154"/>
    </row>
    <row r="16" spans="1:24" ht="22.5" customHeight="1">
      <c r="A16" s="81" t="s">
        <v>90</v>
      </c>
      <c r="B16" s="152" t="s">
        <v>212</v>
      </c>
      <c r="C16" s="153"/>
      <c r="D16" s="153"/>
      <c r="E16" s="153"/>
      <c r="F16" s="153"/>
      <c r="G16" s="153"/>
      <c r="H16" s="153"/>
      <c r="I16" s="153"/>
      <c r="J16" s="153"/>
      <c r="K16" s="153"/>
      <c r="L16" s="153"/>
      <c r="M16" s="153"/>
      <c r="N16" s="153"/>
      <c r="O16" s="153"/>
      <c r="P16" s="153"/>
      <c r="Q16" s="153"/>
      <c r="R16" s="153"/>
      <c r="S16" s="153"/>
      <c r="T16" s="153"/>
      <c r="U16" s="153"/>
      <c r="V16" s="153"/>
      <c r="W16" s="154"/>
    </row>
    <row r="17" spans="1:23" ht="22.5" customHeight="1">
      <c r="A17" s="81" t="s">
        <v>91</v>
      </c>
      <c r="B17" s="152"/>
      <c r="C17" s="153"/>
      <c r="D17" s="153"/>
      <c r="E17" s="153"/>
      <c r="F17" s="153"/>
      <c r="G17" s="153"/>
      <c r="H17" s="153"/>
      <c r="I17" s="153"/>
      <c r="J17" s="153"/>
      <c r="K17" s="153"/>
      <c r="L17" s="153"/>
      <c r="M17" s="153"/>
      <c r="N17" s="153"/>
      <c r="O17" s="153"/>
      <c r="P17" s="153"/>
      <c r="Q17" s="153"/>
      <c r="R17" s="153"/>
      <c r="S17" s="153"/>
      <c r="T17" s="153"/>
      <c r="U17" s="153"/>
      <c r="V17" s="153"/>
      <c r="W17" s="154"/>
    </row>
    <row r="18" spans="1:23" ht="22.5" customHeight="1">
      <c r="A18" s="81" t="s">
        <v>92</v>
      </c>
      <c r="B18" s="152"/>
      <c r="C18" s="153"/>
      <c r="D18" s="153"/>
      <c r="E18" s="153"/>
      <c r="F18" s="153"/>
      <c r="G18" s="153"/>
      <c r="H18" s="153"/>
      <c r="I18" s="153"/>
      <c r="J18" s="153"/>
      <c r="K18" s="153"/>
      <c r="L18" s="153"/>
      <c r="M18" s="153"/>
      <c r="N18" s="153"/>
      <c r="O18" s="153"/>
      <c r="P18" s="153"/>
      <c r="Q18" s="153"/>
      <c r="R18" s="153"/>
      <c r="S18" s="153"/>
      <c r="T18" s="153"/>
      <c r="U18" s="153"/>
      <c r="V18" s="153"/>
      <c r="W18" s="154"/>
    </row>
    <row r="19" spans="1:23" ht="22.5" customHeight="1">
      <c r="A19" s="81" t="s">
        <v>93</v>
      </c>
      <c r="B19" s="152" t="s">
        <v>143</v>
      </c>
      <c r="C19" s="153"/>
      <c r="D19" s="153"/>
      <c r="E19" s="153"/>
      <c r="F19" s="153"/>
      <c r="G19" s="153"/>
      <c r="H19" s="153"/>
      <c r="I19" s="153"/>
      <c r="J19" s="153"/>
      <c r="K19" s="153"/>
      <c r="L19" s="153"/>
      <c r="M19" s="153"/>
      <c r="N19" s="153"/>
      <c r="O19" s="153"/>
      <c r="P19" s="153"/>
      <c r="Q19" s="153"/>
      <c r="R19" s="153"/>
      <c r="S19" s="153"/>
      <c r="T19" s="153"/>
      <c r="U19" s="153"/>
      <c r="V19" s="153"/>
      <c r="W19" s="154"/>
    </row>
    <row r="20" spans="1:23" ht="22.5" customHeight="1">
      <c r="A20" s="81" t="s">
        <v>94</v>
      </c>
      <c r="B20" s="152"/>
      <c r="C20" s="153"/>
      <c r="D20" s="153"/>
      <c r="E20" s="153"/>
      <c r="F20" s="153"/>
      <c r="G20" s="153"/>
      <c r="H20" s="153"/>
      <c r="I20" s="153"/>
      <c r="J20" s="153"/>
      <c r="K20" s="153"/>
      <c r="L20" s="153"/>
      <c r="M20" s="153"/>
      <c r="N20" s="153"/>
      <c r="O20" s="153"/>
      <c r="P20" s="153"/>
      <c r="Q20" s="153"/>
      <c r="R20" s="153"/>
      <c r="S20" s="153"/>
      <c r="T20" s="153"/>
      <c r="U20" s="153"/>
      <c r="V20" s="153"/>
      <c r="W20" s="154"/>
    </row>
    <row r="21" spans="1:23" ht="22.5" customHeight="1">
      <c r="A21" s="81" t="s">
        <v>95</v>
      </c>
      <c r="B21" s="152" t="s">
        <v>144</v>
      </c>
      <c r="C21" s="153"/>
      <c r="D21" s="153"/>
      <c r="E21" s="153"/>
      <c r="F21" s="153"/>
      <c r="G21" s="153"/>
      <c r="H21" s="153"/>
      <c r="I21" s="153"/>
      <c r="J21" s="153"/>
      <c r="K21" s="153"/>
      <c r="L21" s="153"/>
      <c r="M21" s="153"/>
      <c r="N21" s="153"/>
      <c r="O21" s="153"/>
      <c r="P21" s="153"/>
      <c r="Q21" s="153"/>
      <c r="R21" s="153"/>
      <c r="S21" s="153"/>
      <c r="T21" s="153"/>
      <c r="U21" s="153"/>
      <c r="V21" s="153"/>
      <c r="W21" s="154"/>
    </row>
    <row r="22" spans="1:23" ht="22.5" customHeight="1">
      <c r="A22" s="81"/>
      <c r="B22" s="152"/>
      <c r="C22" s="153"/>
      <c r="D22" s="153"/>
      <c r="E22" s="153"/>
      <c r="F22" s="153"/>
      <c r="G22" s="153"/>
      <c r="H22" s="153"/>
      <c r="I22" s="153"/>
      <c r="J22" s="153"/>
      <c r="K22" s="153"/>
      <c r="L22" s="153"/>
      <c r="M22" s="153"/>
      <c r="N22" s="153"/>
      <c r="O22" s="153"/>
      <c r="P22" s="153"/>
      <c r="Q22" s="153"/>
      <c r="R22" s="153"/>
      <c r="S22" s="153"/>
      <c r="T22" s="153"/>
      <c r="U22" s="153"/>
      <c r="V22" s="153"/>
      <c r="W22" s="154"/>
    </row>
    <row r="23" spans="1:23" ht="22.5" customHeight="1">
      <c r="A23" s="81"/>
      <c r="B23" s="152"/>
      <c r="C23" s="153"/>
      <c r="D23" s="153"/>
      <c r="E23" s="153"/>
      <c r="F23" s="153"/>
      <c r="G23" s="153"/>
      <c r="H23" s="153"/>
      <c r="I23" s="153"/>
      <c r="J23" s="153"/>
      <c r="K23" s="153"/>
      <c r="L23" s="153"/>
      <c r="M23" s="153"/>
      <c r="N23" s="153"/>
      <c r="O23" s="153"/>
      <c r="P23" s="153"/>
      <c r="Q23" s="153"/>
      <c r="R23" s="153"/>
      <c r="S23" s="153"/>
      <c r="T23" s="153"/>
      <c r="U23" s="153"/>
      <c r="V23" s="153"/>
      <c r="W23" s="154"/>
    </row>
    <row r="24" spans="1:23" ht="22.5" customHeight="1">
      <c r="A24" s="81"/>
      <c r="B24" s="152"/>
      <c r="C24" s="153"/>
      <c r="D24" s="153"/>
      <c r="E24" s="153"/>
      <c r="F24" s="153"/>
      <c r="G24" s="153"/>
      <c r="H24" s="153"/>
      <c r="I24" s="153"/>
      <c r="J24" s="153"/>
      <c r="K24" s="153"/>
      <c r="L24" s="153"/>
      <c r="M24" s="153"/>
      <c r="N24" s="153"/>
      <c r="O24" s="153"/>
      <c r="P24" s="153"/>
      <c r="Q24" s="153"/>
      <c r="R24" s="153"/>
      <c r="S24" s="153"/>
      <c r="T24" s="153"/>
      <c r="U24" s="153"/>
      <c r="V24" s="153"/>
      <c r="W24" s="154"/>
    </row>
    <row r="25" spans="1:23" ht="22.5" customHeight="1">
      <c r="A25" s="81"/>
      <c r="B25" s="152"/>
      <c r="C25" s="153"/>
      <c r="D25" s="153"/>
      <c r="E25" s="153"/>
      <c r="F25" s="153"/>
      <c r="G25" s="153"/>
      <c r="H25" s="153"/>
      <c r="I25" s="153"/>
      <c r="J25" s="153"/>
      <c r="K25" s="153"/>
      <c r="L25" s="153"/>
      <c r="M25" s="153"/>
      <c r="N25" s="153"/>
      <c r="O25" s="153"/>
      <c r="P25" s="153"/>
      <c r="Q25" s="153"/>
      <c r="R25" s="153"/>
      <c r="S25" s="153"/>
      <c r="T25" s="153"/>
      <c r="U25" s="153"/>
      <c r="V25" s="153"/>
      <c r="W25" s="154"/>
    </row>
    <row r="26" spans="1:23" ht="22.5" customHeight="1">
      <c r="A26" s="81"/>
      <c r="B26" s="152"/>
      <c r="C26" s="153"/>
      <c r="D26" s="153"/>
      <c r="E26" s="153"/>
      <c r="F26" s="153"/>
      <c r="G26" s="153"/>
      <c r="H26" s="153"/>
      <c r="I26" s="153"/>
      <c r="J26" s="153"/>
      <c r="K26" s="153"/>
      <c r="L26" s="153"/>
      <c r="M26" s="153"/>
      <c r="N26" s="153"/>
      <c r="O26" s="153"/>
      <c r="P26" s="153"/>
      <c r="Q26" s="153"/>
      <c r="R26" s="153"/>
      <c r="S26" s="153"/>
      <c r="T26" s="153"/>
      <c r="U26" s="153"/>
      <c r="V26" s="153"/>
      <c r="W26" s="154"/>
    </row>
    <row r="27" spans="1:23" ht="22.5" customHeight="1">
      <c r="A27" s="81"/>
      <c r="B27" s="152"/>
      <c r="C27" s="153"/>
      <c r="D27" s="153"/>
      <c r="E27" s="153"/>
      <c r="F27" s="153"/>
      <c r="G27" s="153"/>
      <c r="H27" s="153"/>
      <c r="I27" s="153"/>
      <c r="J27" s="153"/>
      <c r="K27" s="153"/>
      <c r="L27" s="153"/>
      <c r="M27" s="153"/>
      <c r="N27" s="153"/>
      <c r="O27" s="153"/>
      <c r="P27" s="153"/>
      <c r="Q27" s="153"/>
      <c r="R27" s="153"/>
      <c r="S27" s="153"/>
      <c r="T27" s="153"/>
      <c r="U27" s="153"/>
      <c r="V27" s="153"/>
      <c r="W27" s="154"/>
    </row>
    <row r="28" spans="1:23" ht="22.5" customHeight="1">
      <c r="A28" s="81"/>
      <c r="B28" s="152"/>
      <c r="C28" s="153"/>
      <c r="D28" s="153"/>
      <c r="E28" s="153"/>
      <c r="F28" s="153"/>
      <c r="G28" s="153"/>
      <c r="H28" s="153"/>
      <c r="I28" s="153"/>
      <c r="J28" s="153"/>
      <c r="K28" s="153"/>
      <c r="L28" s="153"/>
      <c r="M28" s="153"/>
      <c r="N28" s="153"/>
      <c r="O28" s="153"/>
      <c r="P28" s="153"/>
      <c r="Q28" s="153"/>
      <c r="R28" s="153"/>
      <c r="S28" s="153"/>
      <c r="T28" s="153"/>
      <c r="U28" s="153"/>
      <c r="V28" s="153"/>
      <c r="W28" s="154"/>
    </row>
    <row r="29" spans="1:23" ht="22.5" customHeight="1">
      <c r="A29" s="81"/>
      <c r="B29" s="152"/>
      <c r="C29" s="153"/>
      <c r="D29" s="153"/>
      <c r="E29" s="153"/>
      <c r="F29" s="153"/>
      <c r="G29" s="153"/>
      <c r="H29" s="153"/>
      <c r="I29" s="153"/>
      <c r="J29" s="153"/>
      <c r="K29" s="153"/>
      <c r="L29" s="153"/>
      <c r="M29" s="153"/>
      <c r="N29" s="153"/>
      <c r="O29" s="153"/>
      <c r="P29" s="153"/>
      <c r="Q29" s="153"/>
      <c r="R29" s="153"/>
      <c r="S29" s="153"/>
      <c r="T29" s="153"/>
      <c r="U29" s="153"/>
      <c r="V29" s="153"/>
      <c r="W29" s="154"/>
    </row>
    <row r="30" spans="1:23" ht="17.25" customHeight="1"/>
    <row r="31" spans="1:23" ht="17.25" customHeight="1"/>
    <row r="32" spans="1:2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sheetData>
  <mergeCells count="29">
    <mergeCell ref="B25:W25"/>
    <mergeCell ref="B26:W26"/>
    <mergeCell ref="B27:W27"/>
    <mergeCell ref="B28:W28"/>
    <mergeCell ref="B29:W29"/>
    <mergeCell ref="B24:W24"/>
    <mergeCell ref="B13:W13"/>
    <mergeCell ref="B14:W14"/>
    <mergeCell ref="B15:W15"/>
    <mergeCell ref="B16:W16"/>
    <mergeCell ref="B17:W17"/>
    <mergeCell ref="B18:W18"/>
    <mergeCell ref="B19:W19"/>
    <mergeCell ref="B20:W20"/>
    <mergeCell ref="B21:W21"/>
    <mergeCell ref="B22:W22"/>
    <mergeCell ref="B23:W23"/>
    <mergeCell ref="B12:W12"/>
    <mergeCell ref="A1:C1"/>
    <mergeCell ref="A2:C2"/>
    <mergeCell ref="A3:C3"/>
    <mergeCell ref="A4:C4"/>
    <mergeCell ref="A5:C5"/>
    <mergeCell ref="A6:C6"/>
    <mergeCell ref="A7:C7"/>
    <mergeCell ref="A8:C8"/>
    <mergeCell ref="A9:W9"/>
    <mergeCell ref="B10:W10"/>
    <mergeCell ref="B11:W11"/>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6</vt:i4>
      </vt:variant>
    </vt:vector>
  </HeadingPairs>
  <TitlesOfParts>
    <vt:vector size="18" baseType="lpstr">
      <vt:lpstr>通知票</vt:lpstr>
      <vt:lpstr>所見集</vt:lpstr>
      <vt:lpstr>国語</vt:lpstr>
      <vt:lpstr>算数</vt:lpstr>
      <vt:lpstr>生活</vt:lpstr>
      <vt:lpstr>英語</vt:lpstr>
      <vt:lpstr>音楽</vt:lpstr>
      <vt:lpstr>図工</vt:lpstr>
      <vt:lpstr>体育</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2024-07-18T04:06:07Z</cp:lastPrinted>
  <dcterms:created xsi:type="dcterms:W3CDTF">2005-07-21T09:07:06Z</dcterms:created>
  <dcterms:modified xsi:type="dcterms:W3CDTF">2024-07-18T04:06:12Z</dcterms:modified>
</cp:coreProperties>
</file>