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240" yWindow="60" windowWidth="14940" windowHeight="8550" tabRatio="783"/>
  </bookViews>
  <sheets>
    <sheet name="通知票" sheetId="1" r:id="rId1"/>
    <sheet name="所見集" sheetId="46" r:id="rId2"/>
    <sheet name="国語" sheetId="36" r:id="rId3"/>
    <sheet name="算数" sheetId="37" r:id="rId4"/>
    <sheet name="生活" sheetId="38" r:id="rId5"/>
    <sheet name="英語" sheetId="39" r:id="rId6"/>
    <sheet name="音楽" sheetId="40" r:id="rId7"/>
    <sheet name="図工" sheetId="41" r:id="rId8"/>
    <sheet name="体育" sheetId="42" r:id="rId9"/>
    <sheet name="道徳" sheetId="43" r:id="rId10"/>
    <sheet name="所見" sheetId="44" r:id="rId11"/>
    <sheet name="出欠" sheetId="45" r:id="rId12"/>
  </sheets>
  <definedNames>
    <definedName name="_xlnm.Print_Area" localSheetId="2">国語!$A$1:$W$12</definedName>
    <definedName name="_xlnm.Print_Area" localSheetId="3">算数!$A$1:$Q$12</definedName>
    <definedName name="_xlnm.Print_Area" localSheetId="1">所見集!$A$1:$C$14</definedName>
    <definedName name="_xlnm.Print_Area" localSheetId="0">通知票!$A$1:$I$91</definedName>
    <definedName name="至">通知票!$L$9</definedName>
    <definedName name="自">通知票!$K$9</definedName>
    <definedName name="番号">通知票!$B$2</definedName>
    <definedName name="番号2">所見集!$B$2</definedName>
  </definedNames>
  <calcPr calcId="152511"/>
</workbook>
</file>

<file path=xl/calcChain.xml><?xml version="1.0" encoding="utf-8"?>
<calcChain xmlns="http://schemas.openxmlformats.org/spreadsheetml/2006/main">
  <c r="S5" i="45" l="1"/>
  <c r="R5" i="45"/>
  <c r="Q5" i="45"/>
  <c r="P5" i="45"/>
  <c r="K5" i="45"/>
  <c r="J5" i="45"/>
  <c r="I5" i="45"/>
  <c r="H5" i="45"/>
  <c r="W4" i="45"/>
  <c r="W5" i="45" s="1"/>
  <c r="V4" i="45"/>
  <c r="V5" i="45" s="1"/>
  <c r="U4" i="45"/>
  <c r="U5" i="45" s="1"/>
  <c r="T4" i="45"/>
  <c r="T5" i="45" s="1"/>
  <c r="S4" i="45"/>
  <c r="R4" i="45"/>
  <c r="Q4" i="45"/>
  <c r="P4" i="45"/>
  <c r="O4" i="45"/>
  <c r="O5" i="45" s="1"/>
  <c r="N4" i="45"/>
  <c r="N5" i="45" s="1"/>
  <c r="M4" i="45"/>
  <c r="M5" i="45" s="1"/>
  <c r="L4" i="45"/>
  <c r="L5" i="45" s="1"/>
  <c r="K4" i="45"/>
  <c r="J4" i="45"/>
  <c r="I4" i="45"/>
  <c r="H4" i="45"/>
  <c r="G4" i="45"/>
  <c r="G5" i="45" s="1"/>
  <c r="F4" i="45"/>
  <c r="F5" i="45" s="1"/>
  <c r="E4" i="45"/>
  <c r="E5" i="45" s="1"/>
  <c r="D4" i="45"/>
  <c r="D5" i="45" s="1"/>
  <c r="W1" i="45"/>
  <c r="V1" i="45"/>
  <c r="U1" i="45"/>
  <c r="T1" i="45"/>
  <c r="S1" i="45"/>
  <c r="R1" i="45"/>
  <c r="Q1" i="45"/>
  <c r="P1" i="45"/>
  <c r="O1" i="45"/>
  <c r="N1" i="45"/>
  <c r="M1" i="45"/>
  <c r="L1" i="45"/>
  <c r="K1" i="45"/>
  <c r="J1" i="45"/>
  <c r="I1" i="45"/>
  <c r="H1" i="45"/>
  <c r="G1" i="45"/>
  <c r="F1" i="45"/>
  <c r="E1" i="45"/>
  <c r="D1" i="45"/>
  <c r="A1" i="45"/>
  <c r="X53" i="44" l="1"/>
  <c r="A53" i="44"/>
  <c r="X52" i="44"/>
  <c r="A52" i="44"/>
  <c r="X51" i="44"/>
  <c r="A51" i="44"/>
  <c r="X50" i="44"/>
  <c r="A50" i="44"/>
  <c r="X49" i="44"/>
  <c r="A49" i="44"/>
  <c r="X48" i="44"/>
  <c r="A48" i="44"/>
  <c r="X47" i="44"/>
  <c r="A47" i="44"/>
  <c r="X46" i="44"/>
  <c r="A46" i="44"/>
  <c r="X45" i="44"/>
  <c r="A45" i="44"/>
  <c r="X44" i="44"/>
  <c r="A44" i="44"/>
  <c r="X43" i="44"/>
  <c r="A43" i="44"/>
  <c r="X42" i="44"/>
  <c r="A42" i="44"/>
  <c r="X41" i="44"/>
  <c r="A41" i="44"/>
  <c r="X40" i="44"/>
  <c r="A40" i="44"/>
  <c r="X39" i="44"/>
  <c r="A39" i="44"/>
  <c r="X38" i="44"/>
  <c r="A38" i="44"/>
  <c r="X37" i="44"/>
  <c r="A37" i="44"/>
  <c r="X36" i="44"/>
  <c r="A36" i="44"/>
  <c r="X35" i="44"/>
  <c r="A35" i="44"/>
  <c r="X34" i="44"/>
  <c r="A34" i="44"/>
  <c r="W1" i="44"/>
  <c r="V1" i="44"/>
  <c r="U1" i="44"/>
  <c r="T1" i="44"/>
  <c r="S1" i="44"/>
  <c r="R1" i="44"/>
  <c r="Q1" i="44"/>
  <c r="P1" i="44"/>
  <c r="O1" i="44"/>
  <c r="N1" i="44"/>
  <c r="M1" i="44"/>
  <c r="L1" i="44"/>
  <c r="K1" i="44"/>
  <c r="J1" i="44"/>
  <c r="I1" i="44"/>
  <c r="H1" i="44"/>
  <c r="G1" i="44"/>
  <c r="F1" i="44"/>
  <c r="E1" i="44"/>
  <c r="D1" i="44"/>
  <c r="A1" i="44"/>
  <c r="C22" i="43" l="1"/>
  <c r="C21" i="43"/>
  <c r="C20" i="43"/>
  <c r="C19" i="43"/>
  <c r="C18" i="43"/>
  <c r="C17" i="43"/>
  <c r="C16" i="43"/>
  <c r="C15" i="43"/>
  <c r="C14" i="43"/>
  <c r="C13" i="43"/>
  <c r="C12" i="43"/>
  <c r="C11" i="43"/>
  <c r="C10" i="43"/>
  <c r="C9" i="43"/>
  <c r="C8" i="43"/>
  <c r="C7" i="43"/>
  <c r="C6" i="43"/>
  <c r="C5" i="43"/>
  <c r="C4" i="43"/>
  <c r="C3" i="43"/>
  <c r="B1" i="43"/>
  <c r="A1" i="43"/>
  <c r="W1" i="42" l="1"/>
  <c r="V1" i="42"/>
  <c r="U1" i="42"/>
  <c r="T1" i="42"/>
  <c r="S1" i="42"/>
  <c r="R1" i="42"/>
  <c r="Q1" i="42"/>
  <c r="P1" i="42"/>
  <c r="O1" i="42"/>
  <c r="N1" i="42"/>
  <c r="M1" i="42"/>
  <c r="L1" i="42"/>
  <c r="K1" i="42"/>
  <c r="J1" i="42"/>
  <c r="I1" i="42"/>
  <c r="H1" i="42"/>
  <c r="G1" i="42"/>
  <c r="F1" i="42"/>
  <c r="E1" i="42"/>
  <c r="D1" i="42"/>
  <c r="B1" i="42"/>
  <c r="A1" i="42"/>
  <c r="W1" i="41" l="1"/>
  <c r="V1" i="41"/>
  <c r="U1" i="41"/>
  <c r="T1" i="41"/>
  <c r="S1" i="41"/>
  <c r="R1" i="41"/>
  <c r="Q1" i="41"/>
  <c r="P1" i="41"/>
  <c r="O1" i="41"/>
  <c r="N1" i="41"/>
  <c r="M1" i="41"/>
  <c r="L1" i="41"/>
  <c r="K1" i="41"/>
  <c r="J1" i="41"/>
  <c r="I1" i="41"/>
  <c r="H1" i="41"/>
  <c r="G1" i="41"/>
  <c r="F1" i="41"/>
  <c r="E1" i="41"/>
  <c r="D1" i="41"/>
  <c r="B1" i="41"/>
  <c r="A1" i="41"/>
  <c r="W1" i="40" l="1"/>
  <c r="V1" i="40"/>
  <c r="U1" i="40"/>
  <c r="T1" i="40"/>
  <c r="S1" i="40"/>
  <c r="R1" i="40"/>
  <c r="Q1" i="40"/>
  <c r="P1" i="40"/>
  <c r="O1" i="40"/>
  <c r="N1" i="40"/>
  <c r="M1" i="40"/>
  <c r="L1" i="40"/>
  <c r="K1" i="40"/>
  <c r="J1" i="40"/>
  <c r="I1" i="40"/>
  <c r="H1" i="40"/>
  <c r="G1" i="40"/>
  <c r="F1" i="40"/>
  <c r="E1" i="40"/>
  <c r="D1" i="40"/>
  <c r="B1" i="40"/>
  <c r="A1" i="40"/>
  <c r="W1" i="39" l="1"/>
  <c r="V1" i="39"/>
  <c r="U1" i="39"/>
  <c r="T1" i="39"/>
  <c r="S1" i="39"/>
  <c r="R1" i="39"/>
  <c r="Q1" i="39"/>
  <c r="P1" i="39"/>
  <c r="O1" i="39"/>
  <c r="N1" i="39"/>
  <c r="M1" i="39"/>
  <c r="L1" i="39"/>
  <c r="K1" i="39"/>
  <c r="J1" i="39"/>
  <c r="I1" i="39"/>
  <c r="H1" i="39"/>
  <c r="G1" i="39"/>
  <c r="F1" i="39"/>
  <c r="E1" i="39"/>
  <c r="D1" i="39"/>
  <c r="B1" i="39"/>
  <c r="A1" i="39"/>
  <c r="W1" i="38" l="1"/>
  <c r="V1" i="38"/>
  <c r="U1" i="38"/>
  <c r="T1" i="38"/>
  <c r="S1" i="38"/>
  <c r="R1" i="38"/>
  <c r="Q1" i="38"/>
  <c r="P1" i="38"/>
  <c r="O1" i="38"/>
  <c r="N1" i="38"/>
  <c r="M1" i="38"/>
  <c r="L1" i="38"/>
  <c r="K1" i="38"/>
  <c r="J1" i="38"/>
  <c r="I1" i="38"/>
  <c r="H1" i="38"/>
  <c r="G1" i="38"/>
  <c r="F1" i="38"/>
  <c r="E1" i="38"/>
  <c r="D1" i="38"/>
  <c r="B1" i="38"/>
  <c r="A1" i="38"/>
  <c r="W1" i="37" l="1"/>
  <c r="V1" i="37"/>
  <c r="U1" i="37"/>
  <c r="T1" i="37"/>
  <c r="S1" i="37"/>
  <c r="R1" i="37"/>
  <c r="Q1" i="37"/>
  <c r="P1" i="37"/>
  <c r="O1" i="37"/>
  <c r="N1" i="37"/>
  <c r="M1" i="37"/>
  <c r="L1" i="37"/>
  <c r="K1" i="37"/>
  <c r="J1" i="37"/>
  <c r="I1" i="37"/>
  <c r="H1" i="37"/>
  <c r="G1" i="37"/>
  <c r="F1" i="37"/>
  <c r="E1" i="37"/>
  <c r="D1" i="37"/>
  <c r="B1" i="37"/>
  <c r="A1" i="37"/>
  <c r="W1" i="36" l="1"/>
  <c r="V1" i="36"/>
  <c r="U1" i="36"/>
  <c r="T1" i="36"/>
  <c r="S1" i="36"/>
  <c r="R1" i="36"/>
  <c r="Q1" i="36"/>
  <c r="P1" i="36"/>
  <c r="O1" i="36"/>
  <c r="N1" i="36"/>
  <c r="M1" i="36"/>
  <c r="L1" i="36"/>
  <c r="K1" i="36"/>
  <c r="J1" i="36"/>
  <c r="I1" i="36"/>
  <c r="H1" i="36"/>
  <c r="G1" i="36"/>
  <c r="F1" i="36"/>
  <c r="E1" i="36"/>
  <c r="D1" i="36"/>
  <c r="B1" i="36"/>
  <c r="A1" i="36"/>
  <c r="L19" i="1" l="1"/>
  <c r="L85" i="1"/>
  <c r="P12" i="1"/>
  <c r="P30" i="1"/>
  <c r="P28" i="1"/>
  <c r="P26" i="1"/>
  <c r="P7" i="1"/>
  <c r="P24" i="1"/>
  <c r="P17" i="1"/>
  <c r="P9" i="1"/>
  <c r="P14" i="1"/>
  <c r="P23" i="1"/>
  <c r="P29" i="1"/>
  <c r="P16" i="1"/>
  <c r="P13" i="1"/>
  <c r="P25" i="1"/>
  <c r="P20" i="1"/>
  <c r="P18" i="1"/>
  <c r="P21" i="1"/>
  <c r="G2" i="1"/>
  <c r="P11" i="1"/>
  <c r="P10" i="1"/>
  <c r="P22" i="1"/>
  <c r="P19" i="1"/>
  <c r="P6" i="1"/>
  <c r="B91" i="1"/>
  <c r="P15" i="1"/>
  <c r="P8" i="1"/>
  <c r="C14" i="46"/>
  <c r="P27" i="1"/>
  <c r="A1" i="1" l="1"/>
  <c r="B6" i="46" l="1"/>
  <c r="C6" i="46"/>
  <c r="C1" i="1" l="1"/>
  <c r="B11" i="46" l="1"/>
  <c r="B10" i="46"/>
  <c r="B9" i="46"/>
  <c r="B8" i="46"/>
  <c r="B7" i="46"/>
  <c r="B5" i="46"/>
  <c r="A1" i="46"/>
  <c r="C11" i="46"/>
  <c r="C9" i="46"/>
  <c r="C5" i="46"/>
  <c r="C10" i="46"/>
  <c r="B12" i="46"/>
  <c r="C8" i="46"/>
  <c r="C7" i="46"/>
  <c r="C2" i="46"/>
  <c r="C1" i="46" l="1"/>
  <c r="G74" i="1" l="1"/>
  <c r="G73" i="1"/>
  <c r="G72" i="1"/>
  <c r="G71" i="1"/>
  <c r="G70" i="1"/>
  <c r="G69" i="1"/>
  <c r="G68" i="1"/>
  <c r="G67" i="1"/>
  <c r="G66" i="1"/>
  <c r="H65" i="1"/>
  <c r="G65" i="1"/>
  <c r="G64" i="1"/>
  <c r="G63" i="1"/>
  <c r="G62" i="1"/>
  <c r="G61" i="1"/>
  <c r="G60" i="1"/>
  <c r="G59" i="1"/>
  <c r="G58" i="1"/>
  <c r="G57" i="1"/>
  <c r="G56" i="1"/>
  <c r="H55" i="1"/>
  <c r="G55" i="1"/>
  <c r="G52" i="1"/>
  <c r="G51" i="1"/>
  <c r="G50" i="1"/>
  <c r="G49" i="1"/>
  <c r="G48" i="1"/>
  <c r="G47" i="1"/>
  <c r="G46" i="1"/>
  <c r="G45" i="1"/>
  <c r="G44" i="1"/>
  <c r="H43" i="1"/>
  <c r="G43" i="1"/>
  <c r="G42" i="1"/>
  <c r="G41" i="1"/>
  <c r="G40" i="1"/>
  <c r="G39" i="1"/>
  <c r="G38" i="1"/>
  <c r="G37" i="1"/>
  <c r="G36" i="1"/>
  <c r="G35" i="1"/>
  <c r="H34" i="1"/>
  <c r="G34" i="1"/>
  <c r="G33" i="1"/>
  <c r="G32" i="1"/>
  <c r="G31" i="1"/>
  <c r="G30" i="1"/>
  <c r="G29" i="1"/>
  <c r="G28" i="1"/>
  <c r="G27" i="1"/>
  <c r="H26" i="1"/>
  <c r="G26" i="1"/>
  <c r="G25" i="1"/>
  <c r="G24" i="1"/>
  <c r="G23" i="1"/>
  <c r="G22" i="1"/>
  <c r="G21" i="1"/>
  <c r="G20" i="1"/>
  <c r="G19" i="1"/>
  <c r="G18" i="1"/>
  <c r="G17" i="1"/>
  <c r="H16" i="1"/>
  <c r="G16" i="1"/>
  <c r="I84" i="1"/>
  <c r="I83" i="1"/>
  <c r="I82" i="1"/>
  <c r="I81" i="1"/>
  <c r="I80" i="1"/>
  <c r="I79" i="1"/>
  <c r="I78" i="1"/>
  <c r="D87" i="1"/>
  <c r="D86" i="1"/>
  <c r="D85" i="1"/>
  <c r="D84" i="1"/>
  <c r="D83" i="1"/>
  <c r="D82" i="1"/>
  <c r="D81" i="1"/>
  <c r="D80" i="1"/>
  <c r="D79" i="1"/>
  <c r="D78" i="1"/>
  <c r="H6" i="1"/>
  <c r="G15" i="1"/>
  <c r="G14" i="1"/>
  <c r="G13" i="1"/>
  <c r="G12" i="1"/>
  <c r="G11" i="1"/>
  <c r="G10" i="1"/>
  <c r="G9" i="1"/>
  <c r="G8" i="1"/>
  <c r="G7" i="1"/>
  <c r="G6" i="1"/>
  <c r="C89" i="1"/>
  <c r="F85" i="1"/>
  <c r="B75" i="1"/>
  <c r="A87" i="1" l="1"/>
  <c r="A86" i="1"/>
  <c r="A85" i="1"/>
  <c r="A84" i="1"/>
  <c r="A83" i="1"/>
  <c r="A82" i="1"/>
  <c r="A81" i="1"/>
  <c r="A80" i="1"/>
  <c r="A79" i="1"/>
  <c r="A78" i="1"/>
  <c r="B74" i="1"/>
  <c r="B73" i="1"/>
  <c r="B72" i="1"/>
  <c r="B71" i="1"/>
  <c r="B70" i="1"/>
  <c r="B69" i="1"/>
  <c r="B68" i="1"/>
  <c r="B67" i="1"/>
  <c r="B66" i="1"/>
  <c r="B65" i="1"/>
  <c r="B64" i="1"/>
  <c r="B63" i="1"/>
  <c r="B62" i="1"/>
  <c r="B61" i="1"/>
  <c r="B60" i="1"/>
  <c r="B59" i="1"/>
  <c r="B58" i="1"/>
  <c r="B57" i="1"/>
  <c r="B56" i="1"/>
  <c r="B55"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alcChain>
</file>

<file path=xl/sharedStrings.xml><?xml version="1.0" encoding="utf-8"?>
<sst xmlns="http://schemas.openxmlformats.org/spreadsheetml/2006/main" count="919" uniqueCount="206">
  <si>
    <t>生活</t>
    <phoneticPr fontId="1"/>
  </si>
  <si>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</si>
  <si>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</si>
  <si>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</si>
  <si>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</si>
  <si>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</si>
  <si>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</si>
  <si>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</si>
  <si>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</si>
  <si>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</si>
  <si>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</si>
  <si>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</si>
  <si>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</si>
  <si>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</si>
  <si>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</si>
  <si>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</si>
  <si>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</si>
  <si>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</si>
  <si>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</si>
  <si>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</si>
  <si>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</si>
  <si>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</si>
  <si>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</si>
  <si>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</si>
  <si>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</si>
  <si>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</si>
  <si>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</si>
  <si>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国語に関心を持ち、進んで読んだり書いたりすることができる</t>
  </si>
  <si>
    <t>A～C</t>
  </si>
  <si>
    <t>聞く人が分かるように、はっきりと話すことができる</t>
  </si>
  <si>
    <t>大事なところに気をつけて、話を聞くことができる</t>
  </si>
  <si>
    <t>言葉のまとまりに気をつけて、音読や発表をすることができる</t>
  </si>
  <si>
    <t>物語文を読んで、場面の様子を想像したり、内容を読み取ったりすることができる</t>
  </si>
  <si>
    <t>説明文において、内容を読み比べながら、理解することができる</t>
  </si>
  <si>
    <t>気がついたことや想像したことを書いたり、話したりすることができる</t>
  </si>
  <si>
    <t>１～５</t>
  </si>
  <si>
    <t>氏名</t>
  </si>
  <si>
    <t>今学期の様子（教科担任から学級担任へ）</t>
  </si>
  <si>
    <t>算数に関心を持ち、進んで学習に取り組むことができる</t>
  </si>
  <si>
    <t>文章で書かれた問題から、加減のしくみをとらえて解くことができる</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</si>
  <si>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</si>
  <si>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</si>
  <si>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</si>
  <si>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</si>
  <si>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</si>
  <si>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</si>
  <si>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</si>
  <si>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</si>
  <si>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</si>
  <si>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</si>
  <si>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</si>
  <si>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</si>
  <si>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</si>
  <si>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</si>
  <si>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</si>
  <si>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生活</t>
    <phoneticPr fontId="1"/>
  </si>
  <si>
    <t>学習した平仮名を形に注意しながら、正しく表記することができる</t>
  </si>
  <si>
    <t>１０までの数を数えたり、数字を読んだり、書いたりすることができる</t>
  </si>
  <si>
    <t>前後・左右・上下などの言葉を使って、ものの位置を正しく表すことができる</t>
  </si>
  <si>
    <t>１０までの合成分解ができ、10までのたし算・ひき算ができる</t>
  </si>
  <si>
    <t>学校の様子や、先生･友だちのことがわかり、楽しく安全に生活できる</t>
  </si>
  <si>
    <t>動植物にふれ合い、生き物への親しみを持ち、それらを大切にできる</t>
  </si>
  <si>
    <t>動植物を観察し、気付いたことを絵や文に表すことができる</t>
  </si>
  <si>
    <r>
      <t xml:space="preserve">学年
</t>
    </r>
    <r>
      <rPr>
        <sz val="9"/>
        <rFont val="ＭＳ Ｐ明朝"/>
        <family val="1"/>
        <charset val="128"/>
      </rPr>
      <t>(3学期)</t>
    </r>
    <rPh sb="5" eb="7">
      <t>ガッキ</t>
    </rPh>
    <phoneticPr fontId="1"/>
  </si>
  <si>
    <t>英語学習に楽しみを感じ、意欲的に学習に励むことができる</t>
  </si>
  <si>
    <t>「なぜ」「いつ」「どこで」などと、踏み込んだ会話をすることができる</t>
  </si>
  <si>
    <t>身の回りにあるもの（名詞）、日常生活の動作（動詞）、人や物を説明する言葉（形容詞）を習得することができる</t>
  </si>
  <si>
    <t>単語の発音を予想して読むことができる</t>
  </si>
  <si>
    <t>単語の音を聞いて、つづりを予想して書くことができる</t>
  </si>
  <si>
    <t>大きな声ではっきりとあいさつや返事をすることができる</t>
  </si>
  <si>
    <t>時間やきまりを守り、規則正しい生活をすることができる</t>
  </si>
  <si>
    <t>物を大切にし、整理整頓に心がけ、忘れ物をしないように気をつけることができる</t>
  </si>
  <si>
    <t>心身の健康に気をつけ、進んで運動をし、元気に生活することができる</t>
  </si>
  <si>
    <t>良いと思うことは進んで行い、最後まで頑張ることができる</t>
  </si>
  <si>
    <t>自分でやらなければならないことは、しっかりと行うことができる</t>
  </si>
  <si>
    <t>自分で進んで考え、工夫しながら取り組むことができる</t>
  </si>
  <si>
    <t>身近にいる人々に親切にし、誰とでも助け合うことができる</t>
  </si>
  <si>
    <t>自然に親しみ、生きているものに優しく接することができる</t>
  </si>
  <si>
    <t>手伝いや仕事を進んで行うことができる</t>
  </si>
  <si>
    <t>A</t>
    <phoneticPr fontId="1"/>
  </si>
  <si>
    <t>B</t>
    <phoneticPr fontId="1"/>
  </si>
  <si>
    <t>伊藤 志桜</t>
  </si>
  <si>
    <t>大滝 園乃</t>
  </si>
  <si>
    <t>片桐 生登</t>
  </si>
  <si>
    <t>上條 矢真人</t>
  </si>
  <si>
    <t>長澤 航真</t>
  </si>
  <si>
    <t>濱 凪咲</t>
  </si>
  <si>
    <t>藤井 日汰</t>
  </si>
  <si>
    <t>増澤 悠生</t>
  </si>
  <si>
    <t>松山 新</t>
  </si>
  <si>
    <t>務䑓 理紗</t>
  </si>
  <si>
    <t>綿貫 凰河</t>
  </si>
  <si>
    <t>発言は活発ですが、考えがまとまっておらず、長いこと喋っています。指示が聞けていない時があります。朝顔の観察では、様子を絵に表すことに苦戦していました。</t>
    <rPh sb="0" eb="2">
      <t>ハツゲン</t>
    </rPh>
    <rPh sb="3" eb="5">
      <t>カッパツ</t>
    </rPh>
    <rPh sb="9" eb="10">
      <t>カンガ</t>
    </rPh>
    <rPh sb="21" eb="22">
      <t>ナガ</t>
    </rPh>
    <rPh sb="25" eb="26">
      <t>シャベ</t>
    </rPh>
    <rPh sb="32" eb="34">
      <t>シジ</t>
    </rPh>
    <rPh sb="35" eb="36">
      <t>キ</t>
    </rPh>
    <rPh sb="41" eb="42">
      <t>トキ</t>
    </rPh>
    <rPh sb="48" eb="50">
      <t>アサガオ</t>
    </rPh>
    <rPh sb="51" eb="53">
      <t>カンサツ</t>
    </rPh>
    <rPh sb="56" eb="58">
      <t>ヨウス</t>
    </rPh>
    <rPh sb="59" eb="60">
      <t>エ</t>
    </rPh>
    <rPh sb="61" eb="62">
      <t>アラワ</t>
    </rPh>
    <rPh sb="66" eb="68">
      <t>クセン</t>
    </rPh>
    <phoneticPr fontId="1"/>
  </si>
  <si>
    <t>じっくりと考えてから作業に取り掛かります。</t>
    <rPh sb="5" eb="6">
      <t>カンガ</t>
    </rPh>
    <rPh sb="10" eb="12">
      <t>サギョウ</t>
    </rPh>
    <rPh sb="13" eb="14">
      <t>ト</t>
    </rPh>
    <rPh sb="15" eb="16">
      <t>カ</t>
    </rPh>
    <phoneticPr fontId="1"/>
  </si>
  <si>
    <t>指示が通りづらく、説明と違うことをする時があります。朝顔の観察では、様子を絵や文で表すことに苦戦していました。</t>
    <rPh sb="0" eb="2">
      <t>シジ</t>
    </rPh>
    <rPh sb="3" eb="4">
      <t>トオ</t>
    </rPh>
    <rPh sb="9" eb="11">
      <t>セツメイ</t>
    </rPh>
    <rPh sb="12" eb="13">
      <t>チガ</t>
    </rPh>
    <rPh sb="19" eb="20">
      <t>トキ</t>
    </rPh>
    <rPh sb="26" eb="28">
      <t>アサガオ</t>
    </rPh>
    <rPh sb="29" eb="31">
      <t>カンサツ</t>
    </rPh>
    <rPh sb="34" eb="36">
      <t>ヨウス</t>
    </rPh>
    <rPh sb="37" eb="38">
      <t>エ</t>
    </rPh>
    <rPh sb="39" eb="40">
      <t>ブン</t>
    </rPh>
    <rPh sb="41" eb="42">
      <t>アラワ</t>
    </rPh>
    <rPh sb="46" eb="48">
      <t>クセン</t>
    </rPh>
    <phoneticPr fontId="1"/>
  </si>
  <si>
    <t>朝顔の観察記録を書くのにとても時間が掛かり、未提出です。</t>
    <rPh sb="0" eb="2">
      <t>アサガオ</t>
    </rPh>
    <rPh sb="3" eb="7">
      <t>カンサツキロク</t>
    </rPh>
    <rPh sb="8" eb="9">
      <t>カ</t>
    </rPh>
    <rPh sb="15" eb="17">
      <t>ジカン</t>
    </rPh>
    <rPh sb="18" eb="19">
      <t>カ</t>
    </rPh>
    <rPh sb="22" eb="25">
      <t>ミテイシュツ</t>
    </rPh>
    <phoneticPr fontId="1"/>
  </si>
  <si>
    <t>理解は良く、発言内容も的確です。負けん気が強く、友だちに注意したり言い返したりする時があります。</t>
    <rPh sb="0" eb="2">
      <t>リカイ</t>
    </rPh>
    <rPh sb="3" eb="4">
      <t>ヨ</t>
    </rPh>
    <rPh sb="6" eb="10">
      <t>ハツゲンナイヨウ</t>
    </rPh>
    <rPh sb="11" eb="13">
      <t>テキカク</t>
    </rPh>
    <rPh sb="16" eb="17">
      <t>マ</t>
    </rPh>
    <rPh sb="19" eb="20">
      <t>キ</t>
    </rPh>
    <rPh sb="21" eb="22">
      <t>ツヨ</t>
    </rPh>
    <rPh sb="24" eb="25">
      <t>トモ</t>
    </rPh>
    <rPh sb="28" eb="30">
      <t>チュウイ</t>
    </rPh>
    <rPh sb="33" eb="34">
      <t>イ</t>
    </rPh>
    <rPh sb="35" eb="36">
      <t>カエ</t>
    </rPh>
    <rPh sb="41" eb="42">
      <t>トキ</t>
    </rPh>
    <phoneticPr fontId="1"/>
  </si>
  <si>
    <t>正義感を振りかざして大声でしゃべり出します。「こうしなきゃいけないんだよ～！」など。</t>
    <rPh sb="0" eb="3">
      <t>セイギカン</t>
    </rPh>
    <rPh sb="4" eb="5">
      <t>フ</t>
    </rPh>
    <rPh sb="10" eb="12">
      <t>オオゴエ</t>
    </rPh>
    <rPh sb="17" eb="18">
      <t>ダ</t>
    </rPh>
    <phoneticPr fontId="1"/>
  </si>
  <si>
    <t>授業の活動に積極的に取り組むことができる</t>
    <rPh sb="0" eb="2">
      <t>ジュギョウ</t>
    </rPh>
    <rPh sb="3" eb="5">
      <t>カツドウ</t>
    </rPh>
    <rPh sb="6" eb="9">
      <t>セッキョクテキ</t>
    </rPh>
    <rPh sb="10" eb="11">
      <t>ト</t>
    </rPh>
    <rPh sb="12" eb="13">
      <t>ク</t>
    </rPh>
    <phoneticPr fontId="1"/>
  </si>
  <si>
    <t>メロディーに合った音程でのびのびと歌うことができる</t>
    <rPh sb="6" eb="7">
      <t>ア</t>
    </rPh>
    <rPh sb="9" eb="11">
      <t>オンテイ</t>
    </rPh>
    <rPh sb="17" eb="18">
      <t>ウタ</t>
    </rPh>
    <phoneticPr fontId="1"/>
  </si>
  <si>
    <t>鍵盤ハーモニカで正しい指使いやリズムで楽曲を奏でることができる</t>
    <rPh sb="0" eb="2">
      <t>ケンバン</t>
    </rPh>
    <rPh sb="8" eb="9">
      <t>タダ</t>
    </rPh>
    <rPh sb="11" eb="12">
      <t>ユビ</t>
    </rPh>
    <rPh sb="12" eb="13">
      <t>ヅカ</t>
    </rPh>
    <rPh sb="19" eb="21">
      <t>ガッキョク</t>
    </rPh>
    <rPh sb="22" eb="23">
      <t>カナ</t>
    </rPh>
    <phoneticPr fontId="1"/>
  </si>
  <si>
    <t>提示した音を正しく聴き取ることができる</t>
    <rPh sb="0" eb="2">
      <t>テイジ</t>
    </rPh>
    <rPh sb="4" eb="5">
      <t>オト</t>
    </rPh>
    <rPh sb="6" eb="7">
      <t>タダ</t>
    </rPh>
    <rPh sb="9" eb="10">
      <t>キ</t>
    </rPh>
    <rPh sb="11" eb="12">
      <t>ト</t>
    </rPh>
    <phoneticPr fontId="1"/>
  </si>
  <si>
    <t>授業に集中して取り組んでいます。音の聴きとりは、たくさん聴いて音名を聴き分けられるように頑張っていきましょう。</t>
    <rPh sb="0" eb="2">
      <t>ジュギョウ</t>
    </rPh>
    <rPh sb="3" eb="5">
      <t>シュウチュウ</t>
    </rPh>
    <rPh sb="7" eb="8">
      <t>ト</t>
    </rPh>
    <rPh sb="9" eb="10">
      <t>ク</t>
    </rPh>
    <rPh sb="16" eb="17">
      <t>オト</t>
    </rPh>
    <rPh sb="18" eb="19">
      <t>キ</t>
    </rPh>
    <rPh sb="28" eb="29">
      <t>キ</t>
    </rPh>
    <rPh sb="31" eb="33">
      <t>オンメイ</t>
    </rPh>
    <rPh sb="34" eb="35">
      <t>キ</t>
    </rPh>
    <rPh sb="36" eb="37">
      <t>ワ</t>
    </rPh>
    <rPh sb="44" eb="46">
      <t>ガンバ</t>
    </rPh>
    <phoneticPr fontId="1"/>
  </si>
  <si>
    <t>鍵盤ハーモニカは懸命に頑張っているので、上達出来るようにたくさん練習を重ねましょう。</t>
    <rPh sb="0" eb="2">
      <t>ケンバン</t>
    </rPh>
    <rPh sb="8" eb="10">
      <t>ケンメイ</t>
    </rPh>
    <rPh sb="11" eb="13">
      <t>ガンバ</t>
    </rPh>
    <rPh sb="20" eb="22">
      <t>ジョウタツ</t>
    </rPh>
    <rPh sb="22" eb="24">
      <t>デキ</t>
    </rPh>
    <rPh sb="32" eb="34">
      <t>レンシュウ</t>
    </rPh>
    <rPh sb="35" eb="36">
      <t>カサ</t>
    </rPh>
    <phoneticPr fontId="1"/>
  </si>
  <si>
    <t>運動遊びの行い方を工夫するとともに、考えたことを他者に伝えることができる</t>
    <rPh sb="0" eb="3">
      <t>ウンドウアソ</t>
    </rPh>
    <rPh sb="5" eb="6">
      <t>オコナ</t>
    </rPh>
    <rPh sb="7" eb="8">
      <t>カタ</t>
    </rPh>
    <rPh sb="9" eb="11">
      <t>クフウ</t>
    </rPh>
    <rPh sb="18" eb="19">
      <t>カンガ</t>
    </rPh>
    <rPh sb="24" eb="26">
      <t>タシャ</t>
    </rPh>
    <rPh sb="27" eb="28">
      <t>ツタ</t>
    </rPh>
    <phoneticPr fontId="1"/>
  </si>
  <si>
    <t>決まりを守り、誰とでも仲良く意欲的に運動ができる</t>
    <rPh sb="0" eb="1">
      <t>キ</t>
    </rPh>
    <rPh sb="4" eb="5">
      <t>マモ</t>
    </rPh>
    <rPh sb="7" eb="8">
      <t>ダレ</t>
    </rPh>
    <rPh sb="11" eb="13">
      <t>ナカヨ</t>
    </rPh>
    <rPh sb="14" eb="17">
      <t>イヨクテキ</t>
    </rPh>
    <rPh sb="18" eb="20">
      <t>ウンドウ</t>
    </rPh>
    <phoneticPr fontId="1"/>
  </si>
  <si>
    <t>全身を使って、色々な走り方ができる（かけっこ、走の運動遊び）</t>
    <rPh sb="0" eb="2">
      <t>ゼンシン</t>
    </rPh>
    <rPh sb="3" eb="4">
      <t>ツカ</t>
    </rPh>
    <rPh sb="7" eb="13">
      <t>イロイロナハシリカタ</t>
    </rPh>
    <rPh sb="23" eb="24">
      <t>ソウ</t>
    </rPh>
    <rPh sb="25" eb="28">
      <t>ウンドウアソ</t>
    </rPh>
    <phoneticPr fontId="1"/>
  </si>
  <si>
    <t>タイミングを合わせたバトンパスができる（リレー）</t>
    <rPh sb="6" eb="7">
      <t>ア</t>
    </rPh>
    <phoneticPr fontId="1"/>
  </si>
  <si>
    <t>簡単なボール操作と力強くボールを投げることができる（ボールゲーム）</t>
    <rPh sb="0" eb="2">
      <t>カンタン</t>
    </rPh>
    <rPh sb="6" eb="8">
      <t>ソウサ</t>
    </rPh>
    <rPh sb="9" eb="11">
      <t>チカラツヨ</t>
    </rPh>
    <rPh sb="16" eb="17">
      <t>ナ</t>
    </rPh>
    <phoneticPr fontId="1"/>
  </si>
  <si>
    <t>今学期は体育係として、授業のあいさつや整列、体操時に大きな声で全体に声を掛けることができました。実技については、一生懸命に取り組むことができていますが、思うような成果が出ませんでした。２学期以降もいろいろな運動を行うので、長期休みは体を使った運動を少しでも取り入れてみましょう。</t>
    <rPh sb="0" eb="3">
      <t>コンガッキ</t>
    </rPh>
    <rPh sb="4" eb="7">
      <t>タイイクガカリ</t>
    </rPh>
    <rPh sb="11" eb="13">
      <t>ジュギョウ</t>
    </rPh>
    <rPh sb="19" eb="21">
      <t>セイレツ</t>
    </rPh>
    <rPh sb="22" eb="24">
      <t>タイソウ</t>
    </rPh>
    <rPh sb="24" eb="25">
      <t>トキ</t>
    </rPh>
    <rPh sb="26" eb="27">
      <t>オオ</t>
    </rPh>
    <rPh sb="29" eb="30">
      <t>コエ</t>
    </rPh>
    <rPh sb="31" eb="33">
      <t>ゼンタイ</t>
    </rPh>
    <rPh sb="34" eb="35">
      <t>コエ</t>
    </rPh>
    <rPh sb="36" eb="37">
      <t>カ</t>
    </rPh>
    <rPh sb="48" eb="50">
      <t>ジツギ</t>
    </rPh>
    <rPh sb="56" eb="60">
      <t>イッショウケンメイ</t>
    </rPh>
    <rPh sb="61" eb="62">
      <t>ト</t>
    </rPh>
    <rPh sb="63" eb="64">
      <t>ク</t>
    </rPh>
    <rPh sb="76" eb="77">
      <t>オモ</t>
    </rPh>
    <rPh sb="81" eb="83">
      <t>セイカ</t>
    </rPh>
    <rPh sb="84" eb="85">
      <t>デ</t>
    </rPh>
    <rPh sb="93" eb="97">
      <t>ガッキイコウ</t>
    </rPh>
    <rPh sb="103" eb="105">
      <t>ウンドウ</t>
    </rPh>
    <rPh sb="106" eb="107">
      <t>オコナ</t>
    </rPh>
    <rPh sb="111" eb="114">
      <t>チョウキヤス</t>
    </rPh>
    <rPh sb="116" eb="117">
      <t>カラダ</t>
    </rPh>
    <rPh sb="118" eb="119">
      <t>ツカ</t>
    </rPh>
    <rPh sb="121" eb="123">
      <t>ウンドウ</t>
    </rPh>
    <rPh sb="124" eb="125">
      <t>スコ</t>
    </rPh>
    <rPh sb="128" eb="129">
      <t>ト</t>
    </rPh>
    <rPh sb="130" eb="131">
      <t>イ</t>
    </rPh>
    <phoneticPr fontId="1"/>
  </si>
  <si>
    <t>教科書の内容を自分のこととして捉え、自分の生活を振り返ることができました。「どうしてこうなるのかな」という単元では、廊下を走ったり、トイレを汚したり、掃除の時間に遊んだりしている子どもたちのイラストを見て、決まりを守ることの大切さを感じ、「授業中や掃除中、バスの中では静かにする。」という感想を持ちました。学習が活かされ、これからも決まりを守って生活できるよう願っています。</t>
    <rPh sb="120" eb="123">
      <t>ジュギョウチュウ</t>
    </rPh>
    <rPh sb="124" eb="126">
      <t>ソウジ</t>
    </rPh>
    <rPh sb="126" eb="127">
      <t>チュウ</t>
    </rPh>
    <rPh sb="131" eb="132">
      <t>ナカ</t>
    </rPh>
    <rPh sb="134" eb="135">
      <t>シズ</t>
    </rPh>
    <phoneticPr fontId="1"/>
  </si>
  <si>
    <t>教科書の内容を自分のこととして捉え、自分の生活を振り返ることができました。「あしたはえんそく」という単元では、わがままを言って、周りの友だちを傷つけてしまった主人公の気持ちを「あんなこと言わなければよかった。言われた友だちは、どんなにかなしかっただろう。」と想像し、ワークシートに記入していました。学習が活かされ、友だちへの思いやりを忘れずに過ごせるよう願っています。</t>
    <rPh sb="93" eb="94">
      <t>イ</t>
    </rPh>
    <rPh sb="104" eb="105">
      <t>イ</t>
    </rPh>
    <phoneticPr fontId="1"/>
  </si>
  <si>
    <t>友だちの意見を聞く中で、自分の生活を振り返ることができました。「はしのうえのおおかみ」という単元では、周りの動物に意地悪をしていたおおかみが、くまに親切にされたことに感動し、自分も動物たちに親切にしてみたときの気持ちを想像し、「前よりすごくいい気持ち。心がぽかぽかする。」という考えを記入することができました。これからも、友だちに親切にできるよう願っています。</t>
    <rPh sb="114" eb="115">
      <t>マエ</t>
    </rPh>
    <rPh sb="126" eb="127">
      <t>ココロ</t>
    </rPh>
    <phoneticPr fontId="1"/>
  </si>
  <si>
    <t>情報モラルの学習を通して、iPadを正しく使おうという意識を高めることができました。タブレットを使い過ぎることで、生活習慣が乱れ、健康にまで被害が及ぶ可能性があることを知り、「使いすぎない。お家の人に内緒で動画を見ない。」と、気持ちを新たにすることができました。学習が活かされ、これからもiPadを正しく活用していかれるよう願っています。</t>
    <rPh sb="88" eb="89">
      <t>ツカ</t>
    </rPh>
    <rPh sb="96" eb="97">
      <t>ウチ</t>
    </rPh>
    <rPh sb="98" eb="99">
      <t>ヒト</t>
    </rPh>
    <rPh sb="100" eb="102">
      <t>ナイショ</t>
    </rPh>
    <rPh sb="103" eb="105">
      <t>ドウガ</t>
    </rPh>
    <rPh sb="106" eb="107">
      <t>ミ</t>
    </rPh>
    <phoneticPr fontId="1"/>
  </si>
  <si>
    <t>情報モラルの学習を通して、iPadを正しく使おうという意識を高めることができました。タブレットを使い過ぎることで、生活習慣が乱れ、健康にまで被害が及ぶ可能性があることを知り、「お家の人と決めた約束をやぶらないようにする。」と、気持ちを新たにすることができました。学習が活かされ、これからもiPadを正しく活用していかれるよう願っています。</t>
    <rPh sb="96" eb="98">
      <t>ヤクソク</t>
    </rPh>
    <phoneticPr fontId="1"/>
  </si>
  <si>
    <t>教科書の内容から、登場人物の気持ちを想像し考えを深めることができました。「みんなじょうず」という単元では、「仲直り上手」「友だち作り上手」など、友だちの良いところを見つけ、ワークシートに記入していました。また、自分の良いところをたくさん見つけることもできました。学習が活かされ、これからも友だちの良いところをたくさん見つけて、みんなと仲良く過ごせるよう願っています。</t>
    <rPh sb="54" eb="56">
      <t>ナカナオ</t>
    </rPh>
    <phoneticPr fontId="1"/>
  </si>
  <si>
    <t>教科書の内容から、登場人物の気持ちを想像し考えを深めることができました。「かぼちゃのつる」という単元では、友だちの言葉に耳を傾けず、わがままばかりを言っていた主人公が、最後に反省した時の気持ちを「みんなのことを考えればよかった。みんな、ごめんなさい。」と想像し、ワークシートに記入していました。学習が活かされ、友だちへの思いやりを忘れずに過ごせるよう願っています。</t>
    <rPh sb="105" eb="106">
      <t>カンガ</t>
    </rPh>
    <phoneticPr fontId="1"/>
  </si>
  <si>
    <t>B</t>
  </si>
  <si>
    <t>A</t>
  </si>
  <si>
    <t>整列係</t>
    <rPh sb="0" eb="2">
      <t>セイレツ</t>
    </rPh>
    <rPh sb="2" eb="3">
      <t>カカリ</t>
    </rPh>
    <phoneticPr fontId="1"/>
  </si>
  <si>
    <t>体育係</t>
    <rPh sb="0" eb="2">
      <t>タイイク</t>
    </rPh>
    <rPh sb="2" eb="3">
      <t>カカリ</t>
    </rPh>
    <phoneticPr fontId="1"/>
  </si>
  <si>
    <t>時刻係</t>
    <rPh sb="0" eb="2">
      <t>ジコク</t>
    </rPh>
    <rPh sb="2" eb="3">
      <t>カカリ</t>
    </rPh>
    <phoneticPr fontId="1"/>
  </si>
  <si>
    <t>掃除係</t>
    <rPh sb="0" eb="2">
      <t>ソウジ</t>
    </rPh>
    <rPh sb="2" eb="3">
      <t>カカリ</t>
    </rPh>
    <phoneticPr fontId="1"/>
  </si>
  <si>
    <t>整頓係</t>
    <rPh sb="0" eb="2">
      <t>セイトン</t>
    </rPh>
    <rPh sb="2" eb="3">
      <t>カカリ</t>
    </rPh>
    <phoneticPr fontId="1"/>
  </si>
  <si>
    <t>プリント係</t>
    <rPh sb="4" eb="5">
      <t>カカリ</t>
    </rPh>
    <phoneticPr fontId="1"/>
  </si>
  <si>
    <t>給食係</t>
    <rPh sb="0" eb="2">
      <t>キュウショク</t>
    </rPh>
    <rPh sb="2" eb="3">
      <t>カカリ</t>
    </rPh>
    <phoneticPr fontId="1"/>
  </si>
  <si>
    <t>学習面では、真面目な態度で学習に取り組み、ノートや課題の仕上げも丁寧に行うことができました。字形に気を付けて、平仮名や片仮名を書くことができ、ノートや連絡帳の文字も整っています。算数では、じっくりと考えて計算したり、答えを導き出したりすることができました。やや心配性なところがあり、課題やワークシートなどへの取り掛かりに、時間のかかることがあります。また、発言の際に声が小さくなってしまうこともありました。自分の考えに自信を持ち、それを表現できるよう学習を続けましょう。生活面では、整列係の仕事に責任を持ち、整列の号令を掛けることができました。また、教室移動の際には、こまめに後ろを振り返り、みんながしっかりと並んでいるのかを気遣ったり、足音に注意して歩くように声掛けをしたりすることができました。志桜さんは、友だちに対して、いつでも優しく接することができるので、友人関係は良好です。時間を意識して、クラスのみんなに呼びかけてくれる姿も見られました。志桜さんの２学期での更なる成長に期待しています。</t>
    <rPh sb="349" eb="350">
      <t>ココロザシ</t>
    </rPh>
    <rPh sb="350" eb="351">
      <t>サクラ</t>
    </rPh>
    <rPh sb="435" eb="436">
      <t>サラ</t>
    </rPh>
    <phoneticPr fontId="1"/>
  </si>
  <si>
    <t>学習面では、積極的に挙手をして、発言にも意欲的でした。好奇心が旺盛で、様々なことに興味を持って行動する姿も見られました。国語の「うたにあわせてあいうえお」や「はなのみち」では、時間を掛けて課題に取り組み、最後には素敵な作品を完成させることができました。一方で、文章を書く場面では、「は」と「わ」の使い分け、促音や長音の表記などでミスが見られました。学習内容を復習し、徐々に身に付けていきましょう。また、授業中は集中力が切れやすく、姿勢が崩れたり、よそ見をしていたりする場面が見られます。目の前の課題に集中し、じっくりと取り組むことで、更に成長できると感じます。生活面では、毎日を明るく元気に過ごすことができました。また、帰りの会では、友だちに感謝の気持ちを伝えることができました。一方で、友だちとの話に夢中になり、着替えやランドセルの片付けなどに時間が掛かっています。優先順位を考え、てきぱきと行動できると良いでしょう。航真君の２学期での更なる成長に期待しています。</t>
    <rPh sb="0" eb="3">
      <t>ガクシュウメン</t>
    </rPh>
    <rPh sb="60" eb="62">
      <t>コクゴ</t>
    </rPh>
    <rPh sb="156" eb="157">
      <t>ナガ</t>
    </rPh>
    <rPh sb="280" eb="283">
      <t>セイカツメン</t>
    </rPh>
    <rPh sb="340" eb="342">
      <t>イッポウ</t>
    </rPh>
    <rPh sb="367" eb="369">
      <t>カタヅ</t>
    </rPh>
    <rPh sb="413" eb="414">
      <t>コウ</t>
    </rPh>
    <rPh sb="414" eb="415">
      <t>マ</t>
    </rPh>
    <phoneticPr fontId="1"/>
  </si>
  <si>
    <t>学習面では、繰り返しの練習や学習の中で、新しいことを少しずつ身に付けていきました。授業中は、慎重に、落ち着いて課題に取り組んでいました。また、ノートや連絡帳を含め、文字を書く時には、字形を意識して丁寧に書くよう心掛けることができました。算数では、「いくつといくつ」の学習に時間が掛かり、心配していましたが、徐々にスピードアップしてきました。図工では、どの作品も、とても丁寧に仕上げることができました。一方、国語では、文章の読み取りに苦戦していました。「読み・書き・計算」は、積み重ねによって身に付いていくものです。繰り返し学習を続けましょう。生活面では、毎日明るく元気に生活を送ることができました。係や当番の仕事にも張り切って取り組み、いつも大きな声で号令を掛けることができました。また、感謝の気持ちを忘れず、帰りの会では、いつも「ありがとう」を友だちに伝えることができました。今後、より深く信頼し合えるような友人関係が築いていけると良いでしょう。凪咲さんの２学期での活躍に期待しています。</t>
    <rPh sb="170" eb="172">
      <t>ずこう</t>
    </rPh>
    <rPh sb="177" eb="179">
      <t>さくひん</t>
    </rPh>
    <phoneticPr fontId="10" type="Hiragana" alignment="distributed"/>
  </si>
  <si>
    <t>学習面では、どの教科においても、真面目な取り組みができ、文字も丁寧に書くことができました。家庭学習への取り組みも丁寧で、あらゆる教科で確実に力を付けることができました。授業中は姿勢よく話を聞いたり、挙手をしたりすることができます。テストでは、簡単な計算ミスや問題の読み違えが見られました。その結果、あと一歩というところで満点を逃すことが度々あります。見直しに力を入れ、本来の実力が発揮されるようにしましょう。基本を押さえた学習を積み重ねながら、２学期も更に良い成績が残せるよう期待しています。生活面では、友だちに対していつも朗らかで、にこにこと笑って過ごしているので、日汰君の周りの友だちはみんな笑顔に包まれて過ごしています。整列係の仕事には、責任を持ち、整列の号令を掛けることができました。自分から行動することに緊張している場面もありますが、思い切りの良さが出てくると、学校生活の色々な場面で活躍の機会が増えると思います。まずは、小さなことでも挑戦してみるということを意識してみましょう。２学期での成長に期待しています。</t>
    <rPh sb="228" eb="229">
      <t>ヨ</t>
    </rPh>
    <phoneticPr fontId="1"/>
  </si>
  <si>
    <t>入学当初は、不安な面持ちで登校していましたが、今では、伸び伸びと笑顔で過ごせるようになりました。学習面では、前向きに取り組み、頑張ろうという姿が見られます。国語の「うたにあわせてあいうえお」では、自分で作った歌に合う、可愛らしい絵を描き、納得のいく作品を完成させることができました。算数では、たし算やひき算の計算問題を、速く正確に解くことができました。初めての体育祭には、全力で取り組み、難しい演舞もしっかりと覚え、本番では、かっこいい姿を見せることができました。一方で、授業中の私語が目立つことが残念です。授業中に必要なことかどうかを考え、挙手をして、指名されてから話すようにしましょう。生活面では、友人関係も良好で、放課後には、友だちと仲良く過ごしています。プリント係の仕事にも責任を持ち、毎日欠かさず職員室へお便りを取りに行くことができました。一方で、友だちとの話に夢中になり、着替えやランドセルの片づけなどが遅くなってしまうことがあります。優先順位を考えて行動できると良いでしょう。悠生さんの２学期での更なる成長に期待しています。</t>
    <rPh sb="347" eb="349">
      <t>マイニチ</t>
    </rPh>
    <rPh sb="375" eb="377">
      <t>イッポウ</t>
    </rPh>
    <rPh sb="402" eb="403">
      <t>カタ</t>
    </rPh>
    <rPh sb="408" eb="409">
      <t>オソ</t>
    </rPh>
    <rPh sb="445" eb="446">
      <t>ユウ</t>
    </rPh>
    <rPh sb="446" eb="447">
      <t>ウ</t>
    </rPh>
    <phoneticPr fontId="1"/>
  </si>
  <si>
    <t>学習面では、どの学習にも意欲的に取り組み、発言も多く積極的です。学習内容の理解も良く、集中して取り組むので、課題を素早くやり終えることができます。また、難しい問題でも、自分で考えて解くことができ、６月の全国模試においても、算数で満点という、優秀な成績を収めることができました。国語では、物語の主人公の気持ちや、説明文の大切なところを、しっかりと読み取ることができました。一方で、指示が出る前に行動したり、思ったことをつい口にしてしまったりすることがありました。学習意欲の表れでもありますが、授業のルールを守り、姿勢を正して、教師や友だちの話に耳を傾けることができると良いでしょう。生活面では、明るい性格で、毎日元気に友だちと過ごすことができました。一方で、友だちとの話に夢中になって、着替えや朝のランドセルの片づけなどに時間が掛かっています。優先順位を考えて行動できると良いでしょう。理紗さんの２学期での更なる成長に期待しています。</t>
    <rPh sb="303" eb="305">
      <t>マイニチ</t>
    </rPh>
    <phoneticPr fontId="1"/>
  </si>
  <si>
    <t>欠席２（発熱１、風邪１）</t>
    <rPh sb="8" eb="10">
      <t>カゼ</t>
    </rPh>
    <phoneticPr fontId="1"/>
  </si>
  <si>
    <t>学習面では、落ち着いて授業に取り組み、どの活動も丁寧に取り組むことができました。授業中は姿勢を正して、一生懸命に教師の話に耳を傾けることもできました。また、腕を真っ直ぐに伸ばして挙手をし、はきはきと発言する姿や、どんな時も丁寧に文字を書く姿は、とても素晴らしかったです。一方で、丁寧過ぎて、課題が時間内に終わらないことが多々ありました。また、板書をノートに書き写す場面でも、時間がかかるようでした。丁寧さは大切にしつつ、速くできるように努力しましょう。生活面では、いつも元気に挨拶や返事をすることができ、気持ちが良いです。係や当番の仕事にも張り切って取り組み、いつも大きな声で号令を掛けることができました。また、先達に学ぶ発表会では、担当になったことわざの意味をしっかりと調べ、大きな声で堂々と発表することができました。休み時間には、友だちと笑顔で過ごしていました。一方で、時折、会話の中で口調が強くなってしまうことがあるので気をつけましょう。生登君が、２学期に更に活躍することを期待しています。</t>
    <rPh sb="0" eb="3">
      <t>ガクシュウメン</t>
    </rPh>
    <rPh sb="80" eb="81">
      <t>マ</t>
    </rPh>
    <rPh sb="82" eb="83">
      <t>ス</t>
    </rPh>
    <rPh sb="135" eb="137">
      <t>イッポウ</t>
    </rPh>
    <rPh sb="226" eb="229">
      <t>セイカツメン</t>
    </rPh>
    <rPh sb="339" eb="340">
      <t>オオ</t>
    </rPh>
    <rPh sb="342" eb="343">
      <t>コエ</t>
    </rPh>
    <rPh sb="344" eb="346">
      <t>ドウドウ</t>
    </rPh>
    <rPh sb="383" eb="385">
      <t>イッポウ</t>
    </rPh>
    <rPh sb="387" eb="389">
      <t>トキオリ</t>
    </rPh>
    <rPh sb="390" eb="392">
      <t>カイワ</t>
    </rPh>
    <rPh sb="393" eb="394">
      <t>ナカ</t>
    </rPh>
    <rPh sb="395" eb="397">
      <t>クチョウ</t>
    </rPh>
    <rPh sb="422" eb="423">
      <t>イ</t>
    </rPh>
    <rPh sb="423" eb="424">
      <t>ノボル</t>
    </rPh>
    <phoneticPr fontId="1"/>
  </si>
  <si>
    <t>学習面では、一つひとつの課題に、丁寧に取り組んでいました。４月に比べて、授業中の挙手が少しずつ増えており、成長を感じます。６月の全国模試においては、算数で満点という、優秀な成績を収めることができました。一方で、全体への指示を聞き逃してしまい、課題に取り掛かれなかったり、違うことをしていたりすることがあります。また、板書をノートに書き写す場面でも、時間が掛かるようでした。丁寧さは大切にしたまま、目の前のことに集中して取り組むことを心掛けましょう。生活面では、毎日元気に登校し、学校生活を送ることができました。係や当番の仕事に張り切って取り組み、大きな声で号令を掛けることもできました。一方で、楽しいことに夢中になってしまい、時間を意識して生活できていないことがあります。また、整列の時に、集中せずに横や後ろを見ていることで、みんなと列を揃えることに時間がかかっています。みんなに合わせて行動することは、集団の中で生活する上でとても大切です。周りをよく見て、行動できるようになりましょう。矢真人君の２学期での更なる成長に期待しています。</t>
    <rPh sb="6" eb="7">
      <t>ヒト</t>
    </rPh>
    <rPh sb="16" eb="18">
      <t>テイネイ</t>
    </rPh>
    <rPh sb="112" eb="113">
      <t>キ</t>
    </rPh>
    <rPh sb="114" eb="115">
      <t>ノガ</t>
    </rPh>
    <rPh sb="177" eb="178">
      <t>カ</t>
    </rPh>
    <phoneticPr fontId="1"/>
  </si>
  <si>
    <t>学習面では、基礎的な力をしっかりと身に付け、真面目に学習に取り組むことができました。自分の考えを表現する力が備わっており、国語や道徳の時間には、積極的に発言し、自分の思いや考えを発表することができました。算数では、理解が速く、たし算や引き算の計算や文章問題では、間違いなく答えを導き出せるようになりました。英語が堪能で、流暢に発音したり、会話をしたりすることもできました。一方で、全般的に、うっかりとしたミスが見られるので、落ち着いてじっくりと取り組み、見直しをすることを心掛けましょう。また、平仮名や数字などの文字が乱れてしまうことがあるので、いつでも丁寧に書けるようにしましょう。生活面では、物腰が柔らかく、言葉も優しいため、友だちとも穏やかに過ごすことができました。給食係として責任を持ち、毎日友だちと協力しながら仕事を行うことができました。教師の話をよく聞いて覚えており、やるべきことを考えたり、それをみんなに伝えたりすることもできました。新君の２学期での更なる成長に期待しています。</t>
    <rPh sb="0" eb="3">
      <t>ガクシュウメン</t>
    </rPh>
    <rPh sb="115" eb="116">
      <t>ザン</t>
    </rPh>
    <rPh sb="117" eb="118">
      <t>ヒ</t>
    </rPh>
    <rPh sb="119" eb="120">
      <t>ザン</t>
    </rPh>
    <rPh sb="126" eb="128">
      <t>モンダイ</t>
    </rPh>
    <rPh sb="186" eb="188">
      <t>イッポウ</t>
    </rPh>
    <rPh sb="190" eb="193">
      <t>ゼンパンテキ</t>
    </rPh>
    <rPh sb="212" eb="213">
      <t>オ</t>
    </rPh>
    <rPh sb="214" eb="215">
      <t>ツ</t>
    </rPh>
    <rPh sb="237" eb="238">
      <t>カ</t>
    </rPh>
    <rPh sb="259" eb="260">
      <t>ミダ</t>
    </rPh>
    <rPh sb="292" eb="295">
      <t>セイカツメン</t>
    </rPh>
    <rPh sb="381" eb="382">
      <t>キ</t>
    </rPh>
    <rPh sb="424" eb="425">
      <t>アラタ</t>
    </rPh>
    <phoneticPr fontId="1"/>
  </si>
  <si>
    <t>学習面では、落ち着いて授業に取り組み、どの活動も丁寧に取り組むことができました。積極的に挙手をして、発言にも意欲的でした。また、書くことに対して抵抗がなく、ノートや連絡帳の文字も、丁寧さを大切にしていました。自主学習にも取り組んでおり、学習への意欲が窺えます。そういった凰河君の態度が、学習面での成果に結びついていると感じます。６月の全国模試においては、算数で満点という、優秀な成績を収めることもできました。生活面では、掃除係の仕事に責任を持ち、大きな声で号令を掛けることができました。給食の時間には、食わず嫌いな一面が幾度となく見られました。まずは、様々な食材を食べてみましょう。そして、少しずつ食べられる物を増やしていきましょう。時折、自分の気持ちを優先し過ぎて、友だちと言い争いになってしまうことがありましたが、自分から「ごめんね。」と言い、仲直りができていました。これからも、相手の言葉にも耳を傾け、お互いを認め合うことを大切にしていきましょう。２学期での更なる成長に期待しています。</t>
    <rPh sb="260" eb="262">
      <t>イクド</t>
    </rPh>
    <phoneticPr fontId="1"/>
  </si>
  <si>
    <t>出席停止5（コロナ罹患のため5）</t>
    <rPh sb="9" eb="11">
      <t>リカン</t>
    </rPh>
    <phoneticPr fontId="1"/>
  </si>
  <si>
    <t>欠席１（家事都合１）</t>
    <rPh sb="4" eb="8">
      <t>カジツゴウ</t>
    </rPh>
    <phoneticPr fontId="1"/>
  </si>
  <si>
    <t>この項目は適宜変更して下さい。
※注意※
ただし、項目数は１０個まで。仮に少ない場合も行の削除は絶対に行わないで下さい。</t>
    <phoneticPr fontId="1"/>
  </si>
  <si>
    <t>自分や友達の作品から良さや面白さ、美しさを感じとることができる</t>
    <phoneticPr fontId="1"/>
  </si>
  <si>
    <t>150～200</t>
    <phoneticPr fontId="10" type="Hiragana" alignment="distributed"/>
  </si>
  <si>
    <t>この項目は適宜変更して下さい。
※注意※
ただし、項目数は１０個まで。仮に少ない場合も行の削除は絶対に行わないで下さい。</t>
    <phoneticPr fontId="1"/>
  </si>
  <si>
    <t>A</t>
    <phoneticPr fontId="1"/>
  </si>
  <si>
    <t>B</t>
    <phoneticPr fontId="1"/>
  </si>
  <si>
    <t>B</t>
    <phoneticPr fontId="1"/>
  </si>
  <si>
    <t>A</t>
    <phoneticPr fontId="1"/>
  </si>
  <si>
    <t>C</t>
    <phoneticPr fontId="1"/>
  </si>
  <si>
    <t>-</t>
    <phoneticPr fontId="1"/>
  </si>
  <si>
    <t>-</t>
    <phoneticPr fontId="1"/>
  </si>
  <si>
    <t>この項目は適宜変更して下さい。
※注意※
ただし、項目数は１０個まで。仮に少ない場合も行の削除は絶対に行わないで下さい。</t>
    <phoneticPr fontId="1"/>
  </si>
  <si>
    <t>B</t>
    <phoneticPr fontId="1"/>
  </si>
  <si>
    <t>A</t>
    <phoneticPr fontId="1"/>
  </si>
  <si>
    <t>C</t>
    <phoneticPr fontId="1"/>
  </si>
  <si>
    <t>-</t>
    <phoneticPr fontId="1"/>
  </si>
  <si>
    <t>A</t>
    <phoneticPr fontId="1"/>
  </si>
  <si>
    <t>A</t>
    <phoneticPr fontId="1"/>
  </si>
  <si>
    <t>この項目は適宜変更して下さい。
※注意※
ただし、項目数は１０個まで。仮に少ない場合も行の削除は絶対に行わないで下さい。</t>
    <phoneticPr fontId="1"/>
  </si>
  <si>
    <t>A</t>
    <phoneticPr fontId="1"/>
  </si>
  <si>
    <t>B</t>
    <phoneticPr fontId="1"/>
  </si>
  <si>
    <t>-</t>
    <phoneticPr fontId="1"/>
  </si>
  <si>
    <t>この項目は適宜変更して下さい。
※注意※
ただし、項目数は１０個まで。仮に少ない場合も行の削除は絶対に行わないで下さい。</t>
    <phoneticPr fontId="1"/>
  </si>
  <si>
    <t>A</t>
    <phoneticPr fontId="1"/>
  </si>
  <si>
    <t>図工への関心を持ち、楽しく制作に取り組んでいる</t>
    <phoneticPr fontId="1"/>
  </si>
  <si>
    <t>A</t>
    <phoneticPr fontId="1"/>
  </si>
  <si>
    <t>A</t>
    <phoneticPr fontId="1"/>
  </si>
  <si>
    <t>A</t>
    <phoneticPr fontId="1"/>
  </si>
  <si>
    <t>A</t>
    <phoneticPr fontId="1"/>
  </si>
  <si>
    <t>豊かな発想を持ち自由に表現することができる</t>
    <phoneticPr fontId="1"/>
  </si>
  <si>
    <t>B</t>
    <phoneticPr fontId="1"/>
  </si>
  <si>
    <t>B</t>
    <phoneticPr fontId="1"/>
  </si>
  <si>
    <t>A</t>
    <phoneticPr fontId="1"/>
  </si>
  <si>
    <t>A</t>
    <phoneticPr fontId="1"/>
  </si>
  <si>
    <t>A</t>
    <phoneticPr fontId="1"/>
  </si>
  <si>
    <t>つくりたいもののイメージを持ち、それに向かって制作することができる</t>
    <phoneticPr fontId="1"/>
  </si>
  <si>
    <t>B</t>
    <phoneticPr fontId="1"/>
  </si>
  <si>
    <t>楽しく授業に取り組んでいます。【さくらにじゃんぷ！】では、桜吹雪を頑張って描いていました。どの題材もスムーズに製作しています。</t>
    <phoneticPr fontId="1"/>
  </si>
  <si>
    <t>楽しく活動しています。４月の段階から比較すると、指先をたくさん使った分、経験値が上がってきたのではないかと思います。周りの進度を見ながら、製作を進めていました。</t>
    <phoneticPr fontId="1"/>
  </si>
  <si>
    <t>ゆっくりですが丁寧に作品を仕上げていました。手順もしっかりと確認しながら進めることができました。【あみあみばっぐ】も完成度が高い作品を仕上げていました。</t>
    <phoneticPr fontId="1"/>
  </si>
  <si>
    <t>はさみや糊の使い方が慣れてきました。【あじさいとかたつむり】では、大きなあじさいの花に色画用紙をちぎり、しっかりと糊で貼ることができました。集中力も出てきました。</t>
    <phoneticPr fontId="1"/>
  </si>
  <si>
    <t>スタートがゆっくり目ですが、最後まで丁寧に仕上げることができます。【あじさいとかたつむり】では、鳥が傘をさして飛んでいるところを描いていました。素敵な発想です。</t>
    <phoneticPr fontId="1"/>
  </si>
  <si>
    <t>とても丁寧に作品を仕上げることができます。【さくらにじゃんぷ！】では、手を高く伸ばしたり、足を曲げたりと、人の動きをしっかりと表現することができました。</t>
    <phoneticPr fontId="1"/>
  </si>
  <si>
    <t>技能のレベルが高く、完成度の高い作品をつくることができます。【あじさいとかたつむり】では、画面いっぱいに大きなあじさいをつくることができました。カエルもかたつむりも丁寧に切って、貼ることができました。</t>
    <phoneticPr fontId="1"/>
  </si>
  <si>
    <t>意欲的に授業に取り組んでいます。どの作品も丁寧につくりあげることができます。自分なりに考えた工夫をしっかりと表現することができます。【あじさいとかたつむり】では、どのあじさいも淡い色を組み合わせてつくっていました。</t>
    <phoneticPr fontId="1"/>
  </si>
  <si>
    <t>しっかりと手順を確認しながら製作を進めています。友達が困っていると「こうすれば上手くいったよ」などとアドバイスをする姿も見られました。特にあじさいの作品は、完成度高く仕上げることができました。</t>
    <phoneticPr fontId="1"/>
  </si>
  <si>
    <t>色々なことに興味があり、意欲が高いです。もう少し集中力が継続できると、授業の最終段階で急がなくてもすむのではないかと思います。友達の作品の良さをたくさん見つけることができました。</t>
    <phoneticPr fontId="1"/>
  </si>
  <si>
    <t>【あみあみばっぐ】では、とても意欲的に取り組む姿が見られました。自分なりに作品のテーマをもち、集中して製作していました。持ち手も、３本編みをしたものを取り付けていました。</t>
    <phoneticPr fontId="1"/>
  </si>
  <si>
    <t>A</t>
    <phoneticPr fontId="1"/>
  </si>
  <si>
    <t>B</t>
    <phoneticPr fontId="1"/>
  </si>
  <si>
    <t>A</t>
    <phoneticPr fontId="1"/>
  </si>
  <si>
    <t>友だちの意見を聞く中で、自分の生活を振り返ることができました。「あしたはえんそく」という単元では、わがままを言って、周りの友だちを傷つけてしまった主人公の気持ちを「やさしくしたらよかったな。」と想像し、ワークシートに記入していました。学習が活かされ、友だちへの思いやりを忘れずに過ごせるよう願っています。</t>
    <phoneticPr fontId="1"/>
  </si>
  <si>
    <t>教科書の内容を自分のこととして捉え、自分の生活を振り返ることができました。「あしたはえんそく」という単元では、わがままを言って、周りの友だちを傷つけてしまった主人公の気持ちを「あんなこと言わなければよかった。」と想像し、ワークシートに記入していました。学習が活かされ、友だちへの思いやりを忘れずに過ごせるよう願っています。</t>
    <phoneticPr fontId="1"/>
  </si>
  <si>
    <t>友だちの意見を聞く中で、自分の生活を振り返ることができました。「みんなじょうず」という単元では、「ひらがな上手」「さんすう上手」など、友だちの良いところを見つけ、ワークシートに記入していました。また、自分の良いところをたくさん見つけることもできました。学習が活かされ、これからも友だちの良いところをたくさん見つけて、みんなと仲良く過ごせるよう願っています。</t>
    <phoneticPr fontId="1"/>
  </si>
  <si>
    <t>どの単元においても、登場人物の気持ちや自分の学習のまとめをワークシートいっぱいに書くことができました。「あしたはえんそく」という単元では、わがままを言って、周りの友だちを傷つけてしまった主人公の気持ちを「あんなこと言わなければよかった。嫌われてしまったかな。」と想像し、ワークシートに記入していました。学習が活かされ、これからも、友だちへの思いやりを忘れずに過ごせるよう願っています。</t>
    <phoneticPr fontId="1"/>
  </si>
  <si>
    <t>A</t>
    <phoneticPr fontId="1"/>
  </si>
  <si>
    <t>B</t>
    <phoneticPr fontId="1"/>
  </si>
  <si>
    <t>C</t>
    <phoneticPr fontId="1"/>
  </si>
  <si>
    <t>-</t>
    <phoneticPr fontId="1"/>
  </si>
  <si>
    <t>総合所見</t>
    <phoneticPr fontId="1"/>
  </si>
  <si>
    <t>400～450</t>
    <phoneticPr fontId="10" type="Hiragana" alignment="distributed"/>
  </si>
  <si>
    <t>学習面では、意欲的に学習に取り組み、進んで挙手をして、自分の考えを発表することができました。理解が良く、どの教科でも、１学期の学習内容を着実に身に付けることができました。体育祭や遠足の作文を書く際には、自分の思いを伸び伸びと文章にすることができました。英語では、流暢に発音したり会話をしたりすることができました。一方で、ノートや連絡帳を書く時に、文字が乱れてしまうことがあります。また、授業には集中しているものの、姿勢が崩れやすいです。普段から、文字を丁寧に書くことと、姿勢を意識して学習に取り組むよう心掛けましょう。生活面では、体育係の仕事に責任を持ち、みんなを整列させたり、号令を掛けたりすることができました。また、注意や呼びかけをして、みんなの気持ちを引き締めていました。これからも、その積極性は大切にしてほしいです。一方で、正義感の強さから、友だちに対して厳しく注意をする姿が見られました。みんなと気持ちよく過ごせるよう、相手の気持ちを考えた言動を心掛けましょう。園乃さんの２学期での更なる成長に期待しています。</t>
    <phoneticPr fontId="1"/>
  </si>
  <si>
    <t xml:space="preserve"> 出席日数（自動計算）</t>
    <phoneticPr fontId="1"/>
  </si>
  <si>
    <t xml:space="preserve"> 欠席日数</t>
    <phoneticPr fontId="1"/>
  </si>
  <si>
    <t>出席停止3（コロナ罹患のため3）、欠席3（発熱3）、早退１(通院１)、欠席１(家事都合１)</t>
    <rPh sb="42" eb="44">
      <t>ソウタイツウインケッセキカジツゴウ</t>
    </rPh>
    <phoneticPr fontId="1"/>
  </si>
  <si>
    <t>欠席１（発熱１）</t>
    <rPh sb="4" eb="6">
      <t>ハツネツ</t>
    </rPh>
    <phoneticPr fontId="1"/>
  </si>
  <si>
    <t>欠席２（体調不良１、腹痛１）、早退１(通院１)</t>
    <rPh sb="4" eb="8">
      <t>タイチョウフリョウ</t>
    </rPh>
    <rPh sb="10" eb="12">
      <t>フクツウ</t>
    </rPh>
    <rPh sb="15" eb="17">
      <t>ソウタイ</t>
    </rPh>
    <rPh sb="19" eb="21">
      <t>ツウイン</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</si>
</sst>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sz val="11"/>
      <color theme="1"/>
      <name val="ＭＳ Ｐ明朝"/>
      <family val="1"/>
      <charset val="128"/>
    </font>
    <font>
      <sz val="11"/>
      <color rgb="FF222222"/>
      <name val="ＭＳ 明朝"/>
      <family val="1"/>
      <charset val="128"/>
    </font>
    <font>
      <b/>
      <sz val="12"/>
      <color theme="0"/>
      <name val="ＭＳ Ｐ明朝"/>
      <family val="1"/>
      <charset val="128"/>
    </font>
    <font>
      <sz val="11"/>
      <color rgb="FF222222"/>
      <name val="ＭＳ Ｐ明朝"/>
      <family val="1"/>
      <charset val="128"/>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1">
    <xf numFmtId="0" fontId="0" fillId="0" borderId="0">
      <alignment vertical="center"/>
    </xf>
  </cellStyleXfs>
  <cellXfs count="193">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3" fillId="0" borderId="0" xfId="0" applyFont="1" applyFill="1" applyAlignment="1">
      <alignment horizontal="center" vertical="center"/>
    </xf>
    <xf numFmtId="0" fontId="3" fillId="6" borderId="14" xfId="0" applyNumberFormat="1" applyFont="1" applyFill="1" applyBorder="1" applyAlignment="1">
      <alignment horizontal="center" vertical="center" wrapText="1"/>
    </xf>
    <xf numFmtId="0" fontId="3" fillId="0" borderId="14" xfId="0" applyNumberFormat="1" applyFont="1" applyFill="1" applyBorder="1" applyAlignment="1" applyProtection="1">
      <alignment horizontal="left" vertical="center" wrapText="1"/>
      <protection locked="0"/>
    </xf>
    <xf numFmtId="0" fontId="11" fillId="7" borderId="14" xfId="0" applyNumberFormat="1" applyFont="1" applyFill="1" applyBorder="1" applyAlignment="1">
      <alignment horizontal="center" vertical="center"/>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3" fillId="8" borderId="0" xfId="0" applyFont="1" applyFill="1" applyBorder="1" applyAlignment="1">
      <alignment horizontal="left" vertical="center" wrapText="1"/>
    </xf>
    <xf numFmtId="0" fontId="3" fillId="3" borderId="14" xfId="0" applyFont="1" applyFill="1" applyBorder="1" applyAlignment="1" applyProtection="1">
      <alignment vertical="center"/>
      <protection locked="0"/>
    </xf>
    <xf numFmtId="0" fontId="3" fillId="3" borderId="14" xfId="0" applyFont="1" applyFill="1" applyBorder="1" applyAlignment="1" applyProtection="1">
      <alignment horizontal="left" vertical="center"/>
    </xf>
    <xf numFmtId="0" fontId="2" fillId="0" borderId="14" xfId="0" applyFont="1" applyFill="1" applyBorder="1" applyProtection="1">
      <alignment vertical="center"/>
      <protection locked="0"/>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15" fillId="0" borderId="14" xfId="0" applyFont="1" applyBorder="1" applyProtection="1">
      <alignment vertical="center"/>
      <protection locked="0"/>
    </xf>
    <xf numFmtId="0" fontId="16" fillId="0" borderId="14" xfId="0" applyFont="1" applyBorder="1" applyAlignment="1" applyProtection="1">
      <alignment horizontal="left" vertical="center" wrapText="1"/>
      <protection locked="0"/>
    </xf>
    <xf numFmtId="0" fontId="16" fillId="0" borderId="14" xfId="0" applyFont="1" applyBorder="1" applyAlignment="1" applyProtection="1">
      <alignment vertical="center" wrapText="1"/>
      <protection locked="0"/>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3" fillId="0" borderId="14" xfId="0" applyFont="1" applyFill="1" applyBorder="1" applyAlignment="1">
      <alignment horizontal="right" vertical="center"/>
    </xf>
    <xf numFmtId="0" fontId="17"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3" fillId="0" borderId="14" xfId="0" applyFont="1" applyFill="1" applyBorder="1" applyAlignment="1" applyProtection="1">
      <alignment horizontal="center" vertical="center"/>
      <protection locked="0"/>
    </xf>
    <xf numFmtId="0" fontId="8"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2" fillId="0" borderId="14" xfId="0" applyFont="1" applyBorder="1" applyAlignment="1" applyProtection="1">
      <alignment horizontal="center" vertical="center"/>
      <protection locked="0"/>
    </xf>
    <xf numFmtId="0" fontId="9" fillId="0" borderId="0" xfId="0" applyFont="1">
      <alignment vertical="center"/>
    </xf>
    <xf numFmtId="0" fontId="3" fillId="0" borderId="31" xfId="0" applyFont="1" applyBorder="1" applyAlignment="1">
      <alignment horizontal="left" vertical="center" wrapText="1"/>
    </xf>
    <xf numFmtId="0" fontId="3" fillId="0" borderId="14" xfId="0" applyFont="1" applyBorder="1" applyAlignment="1" applyProtection="1">
      <alignment horizontal="center" vertical="center"/>
      <protection locked="0"/>
    </xf>
    <xf numFmtId="0" fontId="2" fillId="3" borderId="14" xfId="0" applyFont="1" applyFill="1" applyBorder="1" applyProtection="1">
      <alignment vertical="center"/>
      <protection locked="0"/>
    </xf>
    <xf numFmtId="0" fontId="15" fillId="0" borderId="14" xfId="0" applyFont="1" applyBorder="1" applyAlignment="1" applyProtection="1">
      <alignment vertical="center" wrapText="1"/>
      <protection locked="0"/>
    </xf>
    <xf numFmtId="0" fontId="3" fillId="0" borderId="30" xfId="0" applyFont="1" applyBorder="1" applyAlignment="1" applyProtection="1">
      <alignment vertical="center" wrapText="1" shrinkToFit="1"/>
      <protection locked="0"/>
    </xf>
    <xf numFmtId="0" fontId="18" fillId="0" borderId="14" xfId="0" applyFont="1" applyBorder="1" applyAlignment="1" applyProtection="1">
      <alignment vertical="center" wrapText="1"/>
      <protection locked="0"/>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6" fillId="0" borderId="42" xfId="0" applyFont="1" applyFill="1" applyBorder="1" applyAlignment="1">
      <alignment horizontal="left" vertical="top" wrapText="1"/>
    </xf>
    <xf numFmtId="0" fontId="6" fillId="0" borderId="31" xfId="0" applyFont="1" applyFill="1" applyBorder="1" applyAlignment="1">
      <alignment horizontal="left" vertical="top" wrapText="1"/>
    </xf>
    <xf numFmtId="0" fontId="6" fillId="0" borderId="32" xfId="0" applyFont="1" applyFill="1" applyBorder="1" applyAlignment="1">
      <alignment horizontal="left" vertical="top" wrapTex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3" fillId="0" borderId="24"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6" fillId="0" borderId="8" xfId="0" applyFont="1" applyFill="1" applyBorder="1" applyAlignment="1">
      <alignment horizontal="left" vertical="top" wrapText="1" shrinkToFit="1"/>
    </xf>
    <xf numFmtId="0" fontId="6" fillId="0" borderId="39" xfId="0" applyFont="1" applyFill="1" applyBorder="1" applyAlignment="1">
      <alignment horizontal="left" vertical="top" wrapText="1"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16" xfId="0" applyFont="1" applyFill="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0" borderId="14" xfId="0" applyFont="1" applyBorder="1" applyAlignment="1" applyProtection="1">
      <alignment horizontal="left" vertical="center" wrapText="1"/>
      <protection locked="0"/>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3" fillId="0" borderId="14" xfId="0" applyFont="1" applyBorder="1" applyAlignment="1" applyProtection="1">
      <alignment horizontal="left" vertical="top" wrapText="1"/>
      <protection locked="0"/>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3" fillId="0" borderId="30" xfId="0" applyNumberFormat="1" applyFont="1" applyFill="1" applyBorder="1" applyAlignment="1" applyProtection="1">
      <alignment horizontal="left" vertical="top" wrapText="1"/>
      <protection locked="0"/>
    </xf>
    <xf numFmtId="0" fontId="3" fillId="0" borderId="31" xfId="0" applyNumberFormat="1" applyFont="1" applyFill="1" applyBorder="1" applyAlignment="1" applyProtection="1">
      <alignment horizontal="left" vertical="top" wrapText="1"/>
      <protection locked="0"/>
    </xf>
    <xf numFmtId="0" fontId="3" fillId="0" borderId="32" xfId="0" applyNumberFormat="1" applyFont="1" applyFill="1" applyBorder="1" applyAlignment="1" applyProtection="1">
      <alignment horizontal="left" vertical="top" wrapText="1"/>
      <protection locked="0"/>
    </xf>
    <xf numFmtId="0" fontId="11" fillId="7" borderId="30" xfId="0" applyNumberFormat="1" applyFont="1" applyFill="1" applyBorder="1" applyAlignment="1">
      <alignment horizontal="center" vertical="center"/>
    </xf>
    <xf numFmtId="0" fontId="11" fillId="7" borderId="31" xfId="0" applyNumberFormat="1" applyFont="1" applyFill="1" applyBorder="1" applyAlignment="1">
      <alignment horizontal="center" vertical="center"/>
    </xf>
    <xf numFmtId="0" fontId="11" fillId="7" borderId="32" xfId="0" applyNumberFormat="1" applyFont="1" applyFill="1" applyBorder="1" applyAlignment="1">
      <alignment horizontal="center" vertical="center"/>
    </xf>
    <xf numFmtId="0" fontId="3" fillId="8" borderId="14" xfId="0" applyFont="1" applyFill="1" applyBorder="1" applyAlignment="1">
      <alignment horizontal="left"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cellXfs>
  <cellStyles count="1">
    <cellStyle name="標準" xfId="0" builtinId="0"/>
  </cellStyles>
  <dxfs count="15">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16</xdr:col>
      <xdr:colOff>104776</xdr:colOff>
      <xdr:row>5</xdr:row>
      <xdr:rowOff>66675</xdr:rowOff>
    </xdr:from>
    <xdr:to>
      <xdr:col>17</xdr:col>
      <xdr:colOff>561976</xdr:colOff>
      <xdr:row>7</xdr:row>
      <xdr:rowOff>114300</xdr:rowOff>
    </xdr:to>
    <xdr:sp macro="" textlink="">
      <xdr:nvSpPr>
        <xdr:cNvPr id="7" name="テキスト ボックス 6"/>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8" name="テキスト ボックス 7"/>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9" name="テキスト ボックス 8"/>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0" name="テキスト ボックス 9"/>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1" name="テキスト ボックス 10"/>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15</xdr:col>
      <xdr:colOff>1247776</xdr:colOff>
      <xdr:row>5</xdr:row>
      <xdr:rowOff>76200</xdr:rowOff>
    </xdr:from>
    <xdr:to>
      <xdr:col>17</xdr:col>
      <xdr:colOff>666750</xdr:colOff>
      <xdr:row>10</xdr:row>
      <xdr:rowOff>171451</xdr:rowOff>
    </xdr:to>
    <xdr:sp macro="" textlink="">
      <xdr:nvSpPr>
        <xdr:cNvPr id="12" name="テキスト ボックス 11"/>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1"/>
  <sheetViews>
    <sheetView tabSelected="1" view="pageBreakPreview" zoomScaleNormal="85" zoomScaleSheetLayoutView="100" workbookViewId="0">
      <selection activeCell="N10" sqref="N10"/>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19" t="str">
        <f ca="1">MID(CELL("filename",A1),FIND("[",CELL("filename",A1))+1,3)</f>
        <v>１－１</v>
      </c>
      <c r="B1" s="119"/>
      <c r="C1" s="120" t="str">
        <f ca="1">RIGHT(LEFT(CELL("filename",A1),FIND("[",CELL("filename",A1))-2),3)</f>
        <v>1学期</v>
      </c>
      <c r="D1" s="120"/>
      <c r="E1" s="120"/>
      <c r="F1" s="120"/>
      <c r="G1" s="120"/>
      <c r="H1" s="5"/>
      <c r="I1" s="5"/>
    </row>
    <row r="2" spans="1:17" ht="18.75" customHeight="1">
      <c r="A2" s="2" t="s">
        <v>19</v>
      </c>
      <c r="B2" s="1">
        <v>10</v>
      </c>
      <c r="F2" s="4" t="s">
        <v>18</v>
      </c>
      <c r="G2" s="121" t="str">
        <f ca="1">INDIRECT("'所見'!A"&amp;12+$B$2)</f>
        <v>務䑓 理紗</v>
      </c>
      <c r="H2" s="121"/>
      <c r="I2" s="121"/>
    </row>
    <row r="3" spans="1:17" ht="12" customHeight="1">
      <c r="C3" s="9"/>
      <c r="D3" s="9"/>
      <c r="E3" s="9"/>
      <c r="F3" s="9"/>
      <c r="G3" s="9"/>
      <c r="H3" s="9"/>
      <c r="I3" s="9"/>
    </row>
    <row r="4" spans="1:17" ht="18.75" customHeight="1">
      <c r="A4" s="97" t="s">
        <v>20</v>
      </c>
      <c r="B4" s="98"/>
      <c r="C4" s="98"/>
      <c r="D4" s="98"/>
      <c r="E4" s="98"/>
      <c r="F4" s="98"/>
      <c r="G4" s="98"/>
      <c r="H4" s="98"/>
      <c r="I4" s="99"/>
    </row>
    <row r="5" spans="1:17" ht="18.75" customHeight="1">
      <c r="A5" s="19" t="s">
        <v>5</v>
      </c>
      <c r="B5" s="106" t="s">
        <v>6</v>
      </c>
      <c r="C5" s="106"/>
      <c r="D5" s="106"/>
      <c r="E5" s="106"/>
      <c r="F5" s="106"/>
      <c r="G5" s="20" t="s">
        <v>7</v>
      </c>
      <c r="H5" s="106" t="s">
        <v>8</v>
      </c>
      <c r="I5" s="107"/>
      <c r="Q5" s="77">
        <v>33</v>
      </c>
    </row>
    <row r="6" spans="1:17" ht="18.75" customHeight="1" thickBot="1">
      <c r="A6" s="116" t="s">
        <v>9</v>
      </c>
      <c r="B6" s="100" t="str">
        <f>国語!B2</f>
        <v>国語に関心を持ち、進んで読んだり書いたりすることができる</v>
      </c>
      <c r="C6" s="101"/>
      <c r="D6" s="101"/>
      <c r="E6" s="101"/>
      <c r="F6" s="102"/>
      <c r="G6" s="21" t="str">
        <f ca="1">OFFSET(国語!C2,0,$B$2)</f>
        <v>A</v>
      </c>
      <c r="H6" s="110">
        <f ca="1">OFFSET(国語!C12,0,$B$2)</f>
        <v>5</v>
      </c>
      <c r="I6" s="111"/>
      <c r="O6" s="8">
        <v>1</v>
      </c>
      <c r="P6" s="60" t="str">
        <f ca="1">INDIRECT("'出欠'!A"&amp;9+O6)</f>
        <v>伊藤 志桜</v>
      </c>
    </row>
    <row r="7" spans="1:17" ht="18.75" customHeight="1" thickBot="1">
      <c r="A7" s="117"/>
      <c r="B7" s="103" t="str">
        <f>国語!B3</f>
        <v>聞く人が分かるように、はっきりと話すことができる</v>
      </c>
      <c r="C7" s="104"/>
      <c r="D7" s="104"/>
      <c r="E7" s="104"/>
      <c r="F7" s="105"/>
      <c r="G7" s="17" t="str">
        <f ca="1">OFFSET(国語!C3,0,$B$2)</f>
        <v>A</v>
      </c>
      <c r="H7" s="112"/>
      <c r="I7" s="113"/>
      <c r="K7" s="92" t="s">
        <v>50</v>
      </c>
      <c r="L7" s="93"/>
      <c r="O7" s="8">
        <v>2</v>
      </c>
      <c r="P7" s="60" t="str">
        <f t="shared" ref="P7:P30" ca="1" si="0">INDIRECT("'出欠'!A"&amp;9+O7)</f>
        <v>大滝 園乃</v>
      </c>
    </row>
    <row r="8" spans="1:17" ht="18.75" customHeight="1" thickBot="1">
      <c r="A8" s="117"/>
      <c r="B8" s="103" t="str">
        <f>国語!B4</f>
        <v>大事なところに気をつけて、話を聞くことができる</v>
      </c>
      <c r="C8" s="104"/>
      <c r="D8" s="104"/>
      <c r="E8" s="104"/>
      <c r="F8" s="105"/>
      <c r="G8" s="17" t="str">
        <f ca="1">OFFSET(国語!C4,0,$B$2)</f>
        <v>B</v>
      </c>
      <c r="H8" s="112"/>
      <c r="I8" s="113"/>
      <c r="K8" s="59" t="s">
        <v>51</v>
      </c>
      <c r="L8" s="59" t="s">
        <v>52</v>
      </c>
      <c r="O8" s="8">
        <v>3</v>
      </c>
      <c r="P8" s="60" t="str">
        <f t="shared" ca="1" si="0"/>
        <v>片桐 生登</v>
      </c>
    </row>
    <row r="9" spans="1:17" ht="18.75" customHeight="1" thickBot="1">
      <c r="A9" s="117"/>
      <c r="B9" s="103" t="str">
        <f>国語!B5</f>
        <v>言葉のまとまりに気をつけて、音読や発表をすることができる</v>
      </c>
      <c r="C9" s="104"/>
      <c r="D9" s="104"/>
      <c r="E9" s="104"/>
      <c r="F9" s="105"/>
      <c r="G9" s="17" t="str">
        <f ca="1">OFFSET(国語!C5,0,$B$2)</f>
        <v>A</v>
      </c>
      <c r="H9" s="112"/>
      <c r="I9" s="113"/>
      <c r="K9" s="58">
        <v>8</v>
      </c>
      <c r="L9" s="58">
        <v>9</v>
      </c>
      <c r="O9" s="8">
        <v>4</v>
      </c>
      <c r="P9" s="60" t="str">
        <f t="shared" ca="1" si="0"/>
        <v>上條 矢真人</v>
      </c>
    </row>
    <row r="10" spans="1:17" ht="18.75" customHeight="1">
      <c r="A10" s="117"/>
      <c r="B10" s="103" t="str">
        <f>国語!B6</f>
        <v>気がついたことや想像したことを書いたり、話したりすることができる</v>
      </c>
      <c r="C10" s="104"/>
      <c r="D10" s="104"/>
      <c r="E10" s="104"/>
      <c r="F10" s="105"/>
      <c r="G10" s="17" t="str">
        <f ca="1">OFFSET(国語!C6,0,$B$2)</f>
        <v>A</v>
      </c>
      <c r="H10" s="112"/>
      <c r="I10" s="113"/>
      <c r="O10" s="8">
        <v>5</v>
      </c>
      <c r="P10" s="60" t="str">
        <f t="shared" ca="1" si="0"/>
        <v>長澤 航真</v>
      </c>
    </row>
    <row r="11" spans="1:17" ht="18.75" customHeight="1">
      <c r="A11" s="117"/>
      <c r="B11" s="103" t="str">
        <f>国語!B7</f>
        <v>物語文を読んで、場面の様子を想像したり、内容を読み取ったりすることができる</v>
      </c>
      <c r="C11" s="104"/>
      <c r="D11" s="104"/>
      <c r="E11" s="104"/>
      <c r="F11" s="105"/>
      <c r="G11" s="17" t="str">
        <f ca="1">OFFSET(国語!C7,0,$B$2)</f>
        <v>A</v>
      </c>
      <c r="H11" s="112"/>
      <c r="I11" s="113"/>
      <c r="O11" s="8">
        <v>6</v>
      </c>
      <c r="P11" s="60" t="str">
        <f t="shared" ca="1" si="0"/>
        <v>濱 凪咲</v>
      </c>
    </row>
    <row r="12" spans="1:17" ht="18.75" customHeight="1">
      <c r="A12" s="117"/>
      <c r="B12" s="103" t="str">
        <f>国語!B8</f>
        <v>説明文において、内容を読み比べながら、理解することができる</v>
      </c>
      <c r="C12" s="104"/>
      <c r="D12" s="104"/>
      <c r="E12" s="104"/>
      <c r="F12" s="105"/>
      <c r="G12" s="17" t="str">
        <f ca="1">OFFSET(国語!C8,0,$B$2)</f>
        <v>A</v>
      </c>
      <c r="H12" s="112"/>
      <c r="I12" s="113"/>
      <c r="O12" s="8">
        <v>7</v>
      </c>
      <c r="P12" s="60" t="str">
        <f t="shared" ca="1" si="0"/>
        <v>藤井 日汰</v>
      </c>
    </row>
    <row r="13" spans="1:17" ht="18.75" customHeight="1">
      <c r="A13" s="117"/>
      <c r="B13" s="103" t="str">
        <f>国語!B9</f>
        <v>学習した平仮名を形に注意しながら、正しく表記することができる</v>
      </c>
      <c r="C13" s="104"/>
      <c r="D13" s="104"/>
      <c r="E13" s="104"/>
      <c r="F13" s="105"/>
      <c r="G13" s="17" t="str">
        <f ca="1">OFFSET(国語!C9,0,$B$2)</f>
        <v>A</v>
      </c>
      <c r="H13" s="112"/>
      <c r="I13" s="113"/>
      <c r="O13" s="8">
        <v>8</v>
      </c>
      <c r="P13" s="60" t="str">
        <f t="shared" ca="1" si="0"/>
        <v>増澤 悠生</v>
      </c>
    </row>
    <row r="14" spans="1:17" ht="18.75" customHeight="1">
      <c r="A14" s="117"/>
      <c r="B14" s="103">
        <f>国語!B10</f>
        <v>0</v>
      </c>
      <c r="C14" s="104"/>
      <c r="D14" s="104"/>
      <c r="E14" s="104"/>
      <c r="F14" s="105"/>
      <c r="G14" s="17">
        <f ca="1">OFFSET(国語!C10,0,$B$2)</f>
        <v>0</v>
      </c>
      <c r="H14" s="112"/>
      <c r="I14" s="113"/>
      <c r="O14" s="8">
        <v>9</v>
      </c>
      <c r="P14" s="60" t="str">
        <f t="shared" ca="1" si="0"/>
        <v>松山 新</v>
      </c>
    </row>
    <row r="15" spans="1:17" ht="18.75" customHeight="1">
      <c r="A15" s="118"/>
      <c r="B15" s="103">
        <f>国語!B11</f>
        <v>0</v>
      </c>
      <c r="C15" s="104"/>
      <c r="D15" s="104"/>
      <c r="E15" s="104"/>
      <c r="F15" s="105"/>
      <c r="G15" s="18">
        <f ca="1">OFFSET(国語!C11,0,$B$2)</f>
        <v>0</v>
      </c>
      <c r="H15" s="112"/>
      <c r="I15" s="113"/>
      <c r="O15" s="8">
        <v>10</v>
      </c>
      <c r="P15" s="60" t="str">
        <f t="shared" ca="1" si="0"/>
        <v>務䑓 理紗</v>
      </c>
    </row>
    <row r="16" spans="1:17" ht="18.75" customHeight="1">
      <c r="A16" s="116" t="s">
        <v>1</v>
      </c>
      <c r="B16" s="100" t="str">
        <f>算数!B2</f>
        <v>算数に関心を持ち、進んで学習に取り組むことができる</v>
      </c>
      <c r="C16" s="101"/>
      <c r="D16" s="101"/>
      <c r="E16" s="101"/>
      <c r="F16" s="102"/>
      <c r="G16" s="21" t="str">
        <f ca="1">OFFSET(算数!C2,0,$B$2)</f>
        <v>A</v>
      </c>
      <c r="H16" s="110">
        <f ca="1">OFFSET(算数!C12,0,$B$2)</f>
        <v>5</v>
      </c>
      <c r="I16" s="111"/>
      <c r="O16" s="8">
        <v>11</v>
      </c>
      <c r="P16" s="60" t="str">
        <f t="shared" ca="1" si="0"/>
        <v>綿貫 凰河</v>
      </c>
    </row>
    <row r="17" spans="1:16" ht="18.75" customHeight="1">
      <c r="A17" s="117"/>
      <c r="B17" s="103" t="str">
        <f>算数!B3</f>
        <v>１０までの数を数えたり、数字を読んだり、書いたりすることができる</v>
      </c>
      <c r="C17" s="104"/>
      <c r="D17" s="104"/>
      <c r="E17" s="104"/>
      <c r="F17" s="105"/>
      <c r="G17" s="17" t="str">
        <f ca="1">OFFSET(算数!C3,0,$B$2)</f>
        <v>A</v>
      </c>
      <c r="H17" s="112"/>
      <c r="I17" s="113"/>
      <c r="L17" s="30"/>
      <c r="M17" s="30"/>
      <c r="O17" s="8">
        <v>12</v>
      </c>
      <c r="P17" s="60">
        <f t="shared" ca="1" si="0"/>
        <v>0</v>
      </c>
    </row>
    <row r="18" spans="1:16" ht="18.75" customHeight="1">
      <c r="A18" s="117"/>
      <c r="B18" s="103" t="str">
        <f>算数!B4</f>
        <v>前後・左右・上下などの言葉を使って、ものの位置を正しく表すことができる</v>
      </c>
      <c r="C18" s="104"/>
      <c r="D18" s="104"/>
      <c r="E18" s="104"/>
      <c r="F18" s="105"/>
      <c r="G18" s="17" t="str">
        <f ca="1">OFFSET(算数!C4,0,$B$2)</f>
        <v>A</v>
      </c>
      <c r="H18" s="112"/>
      <c r="I18" s="113"/>
      <c r="L18" s="30"/>
      <c r="M18" s="30"/>
      <c r="O18" s="8">
        <v>13</v>
      </c>
      <c r="P18" s="60">
        <f t="shared" ca="1" si="0"/>
        <v>0</v>
      </c>
    </row>
    <row r="19" spans="1:16" ht="18.75" customHeight="1">
      <c r="A19" s="117"/>
      <c r="B19" s="103" t="str">
        <f>算数!B5</f>
        <v>１０までの合成分解ができ、10までのたし算・ひき算ができる</v>
      </c>
      <c r="C19" s="104"/>
      <c r="D19" s="104"/>
      <c r="E19" s="104"/>
      <c r="F19" s="105"/>
      <c r="G19" s="17" t="str">
        <f ca="1">OFFSET(算数!C5,0,$B$2)</f>
        <v>A</v>
      </c>
      <c r="H19" s="112"/>
      <c r="I19" s="113"/>
      <c r="L19" s="78">
        <f>番号</f>
        <v>10</v>
      </c>
      <c r="M19" s="30"/>
      <c r="O19" s="8">
        <v>14</v>
      </c>
      <c r="P19" s="60">
        <f t="shared" ca="1" si="0"/>
        <v>0</v>
      </c>
    </row>
    <row r="20" spans="1:16" ht="18.75" customHeight="1">
      <c r="A20" s="117"/>
      <c r="B20" s="103" t="str">
        <f>算数!B6</f>
        <v>文章で書かれた問題から、加減のしくみをとらえて解くことができる</v>
      </c>
      <c r="C20" s="104"/>
      <c r="D20" s="104"/>
      <c r="E20" s="104"/>
      <c r="F20" s="105"/>
      <c r="G20" s="17" t="str">
        <f ca="1">OFFSET(算数!C6,0,$B$2)</f>
        <v>A</v>
      </c>
      <c r="H20" s="112"/>
      <c r="I20" s="113"/>
      <c r="L20" s="30"/>
      <c r="M20" s="30"/>
      <c r="O20" s="8">
        <v>15</v>
      </c>
      <c r="P20" s="60">
        <f t="shared" ca="1" si="0"/>
        <v>0</v>
      </c>
    </row>
    <row r="21" spans="1:16" ht="18.75" customHeight="1">
      <c r="A21" s="117"/>
      <c r="B21" s="103">
        <f>算数!B7</f>
        <v>0</v>
      </c>
      <c r="C21" s="104"/>
      <c r="D21" s="104"/>
      <c r="E21" s="104"/>
      <c r="F21" s="105"/>
      <c r="G21" s="17">
        <f ca="1">OFFSET(算数!C7,0,$B$2)</f>
        <v>0</v>
      </c>
      <c r="H21" s="112"/>
      <c r="I21" s="113"/>
      <c r="O21" s="8">
        <v>16</v>
      </c>
      <c r="P21" s="60">
        <f t="shared" ca="1" si="0"/>
        <v>0</v>
      </c>
    </row>
    <row r="22" spans="1:16" ht="18.75" customHeight="1">
      <c r="A22" s="117"/>
      <c r="B22" s="103">
        <f>算数!B8</f>
        <v>0</v>
      </c>
      <c r="C22" s="104"/>
      <c r="D22" s="104"/>
      <c r="E22" s="104"/>
      <c r="F22" s="105"/>
      <c r="G22" s="17">
        <f ca="1">OFFSET(算数!C8,0,$B$2)</f>
        <v>0</v>
      </c>
      <c r="H22" s="112"/>
      <c r="I22" s="113"/>
      <c r="O22" s="8">
        <v>17</v>
      </c>
      <c r="P22" s="60">
        <f t="shared" ca="1" si="0"/>
        <v>0</v>
      </c>
    </row>
    <row r="23" spans="1:16" ht="18.75" customHeight="1">
      <c r="A23" s="117"/>
      <c r="B23" s="103">
        <f>算数!B9</f>
        <v>0</v>
      </c>
      <c r="C23" s="104"/>
      <c r="D23" s="104"/>
      <c r="E23" s="104"/>
      <c r="F23" s="105"/>
      <c r="G23" s="17">
        <f ca="1">OFFSET(算数!C9,0,$B$2)</f>
        <v>0</v>
      </c>
      <c r="H23" s="112"/>
      <c r="I23" s="113"/>
      <c r="O23" s="8">
        <v>18</v>
      </c>
      <c r="P23" s="60">
        <f t="shared" ca="1" si="0"/>
        <v>0</v>
      </c>
    </row>
    <row r="24" spans="1:16" ht="18.75" customHeight="1">
      <c r="A24" s="117"/>
      <c r="B24" s="103">
        <f>算数!B10</f>
        <v>0</v>
      </c>
      <c r="C24" s="104"/>
      <c r="D24" s="104"/>
      <c r="E24" s="104"/>
      <c r="F24" s="105"/>
      <c r="G24" s="17">
        <f ca="1">OFFSET(算数!C10,0,$B$2)</f>
        <v>0</v>
      </c>
      <c r="H24" s="112"/>
      <c r="I24" s="113"/>
      <c r="O24" s="8">
        <v>19</v>
      </c>
      <c r="P24" s="60">
        <f t="shared" ca="1" si="0"/>
        <v>0</v>
      </c>
    </row>
    <row r="25" spans="1:16" ht="18.75" customHeight="1">
      <c r="A25" s="118"/>
      <c r="B25" s="103">
        <f>算数!B11</f>
        <v>0</v>
      </c>
      <c r="C25" s="104"/>
      <c r="D25" s="104"/>
      <c r="E25" s="104"/>
      <c r="F25" s="105"/>
      <c r="G25" s="18">
        <f ca="1">OFFSET(算数!C11,0,$B$2)</f>
        <v>0</v>
      </c>
      <c r="H25" s="112"/>
      <c r="I25" s="113"/>
      <c r="O25" s="8">
        <v>20</v>
      </c>
      <c r="P25" s="60">
        <f t="shared" ca="1" si="0"/>
        <v>0</v>
      </c>
    </row>
    <row r="26" spans="1:16" ht="18.75" customHeight="1">
      <c r="A26" s="116" t="s">
        <v>0</v>
      </c>
      <c r="B26" s="100" t="str">
        <f>生活!B2</f>
        <v>学校の様子や、先生･友だちのことがわかり、楽しく安全に生活できる</v>
      </c>
      <c r="C26" s="101"/>
      <c r="D26" s="101"/>
      <c r="E26" s="101"/>
      <c r="F26" s="102"/>
      <c r="G26" s="21" t="str">
        <f ca="1">OFFSET(生活!C2,0,$B$2)</f>
        <v>A</v>
      </c>
      <c r="H26" s="110">
        <f ca="1">OFFSET(生活!C12,0,$B$2)</f>
        <v>5</v>
      </c>
      <c r="I26" s="111"/>
      <c r="O26" s="8">
        <v>21</v>
      </c>
      <c r="P26" s="60">
        <f t="shared" ca="1" si="0"/>
        <v>0</v>
      </c>
    </row>
    <row r="27" spans="1:16" ht="18.75" customHeight="1">
      <c r="A27" s="117"/>
      <c r="B27" s="103" t="str">
        <f>生活!B3</f>
        <v>動植物にふれ合い、生き物への親しみを持ち、それらを大切にできる</v>
      </c>
      <c r="C27" s="104"/>
      <c r="D27" s="104"/>
      <c r="E27" s="104"/>
      <c r="F27" s="105"/>
      <c r="G27" s="17" t="str">
        <f ca="1">OFFSET(生活!C3,0,$B$2)</f>
        <v>A</v>
      </c>
      <c r="H27" s="112"/>
      <c r="I27" s="113"/>
      <c r="O27" s="8">
        <v>22</v>
      </c>
      <c r="P27" s="60">
        <f t="shared" ca="1" si="0"/>
        <v>0</v>
      </c>
    </row>
    <row r="28" spans="1:16" ht="18.75" customHeight="1">
      <c r="A28" s="117"/>
      <c r="B28" s="103" t="str">
        <f>生活!B4</f>
        <v>動植物を観察し、気付いたことを絵や文に表すことができる</v>
      </c>
      <c r="C28" s="104"/>
      <c r="D28" s="104"/>
      <c r="E28" s="104"/>
      <c r="F28" s="105"/>
      <c r="G28" s="17" t="str">
        <f ca="1">OFFSET(生活!C4,0,$B$2)</f>
        <v>A</v>
      </c>
      <c r="H28" s="112"/>
      <c r="I28" s="113"/>
      <c r="O28" s="8">
        <v>23</v>
      </c>
      <c r="P28" s="60">
        <f t="shared" ca="1" si="0"/>
        <v>0</v>
      </c>
    </row>
    <row r="29" spans="1:16" ht="18.75" customHeight="1">
      <c r="A29" s="117"/>
      <c r="B29" s="103">
        <f>生活!B5</f>
        <v>0</v>
      </c>
      <c r="C29" s="104"/>
      <c r="D29" s="104"/>
      <c r="E29" s="104"/>
      <c r="F29" s="105"/>
      <c r="G29" s="17">
        <f ca="1">OFFSET(生活!C5,0,$B$2)</f>
        <v>0</v>
      </c>
      <c r="H29" s="112"/>
      <c r="I29" s="113"/>
      <c r="O29" s="8">
        <v>24</v>
      </c>
      <c r="P29" s="60">
        <f t="shared" ca="1" si="0"/>
        <v>0</v>
      </c>
    </row>
    <row r="30" spans="1:16" ht="18.75" customHeight="1">
      <c r="A30" s="117"/>
      <c r="B30" s="103">
        <f>生活!B6</f>
        <v>0</v>
      </c>
      <c r="C30" s="104"/>
      <c r="D30" s="104"/>
      <c r="E30" s="104"/>
      <c r="F30" s="105"/>
      <c r="G30" s="17">
        <f ca="1">OFFSET(生活!C6,0,$B$2)</f>
        <v>0</v>
      </c>
      <c r="H30" s="112"/>
      <c r="I30" s="113"/>
      <c r="O30" s="8">
        <v>25</v>
      </c>
      <c r="P30" s="60">
        <f t="shared" ca="1" si="0"/>
        <v>0</v>
      </c>
    </row>
    <row r="31" spans="1:16" ht="18.75" customHeight="1">
      <c r="A31" s="117"/>
      <c r="B31" s="103">
        <f>生活!B7</f>
        <v>0</v>
      </c>
      <c r="C31" s="104"/>
      <c r="D31" s="104"/>
      <c r="E31" s="104"/>
      <c r="F31" s="105"/>
      <c r="G31" s="17">
        <f ca="1">OFFSET(生活!C7,0,$B$2)</f>
        <v>0</v>
      </c>
      <c r="H31" s="112"/>
      <c r="I31" s="113"/>
    </row>
    <row r="32" spans="1:16" ht="18.75" customHeight="1">
      <c r="A32" s="117"/>
      <c r="B32" s="103">
        <f>生活!B8</f>
        <v>0</v>
      </c>
      <c r="C32" s="104"/>
      <c r="D32" s="104"/>
      <c r="E32" s="104"/>
      <c r="F32" s="105"/>
      <c r="G32" s="17">
        <f ca="1">OFFSET(生活!C8,0,$B$2)</f>
        <v>0</v>
      </c>
      <c r="H32" s="112"/>
      <c r="I32" s="113"/>
    </row>
    <row r="33" spans="1:9" ht="18.75" customHeight="1">
      <c r="A33" s="118"/>
      <c r="B33" s="103">
        <f>生活!B9</f>
        <v>0</v>
      </c>
      <c r="C33" s="104"/>
      <c r="D33" s="104"/>
      <c r="E33" s="104"/>
      <c r="F33" s="105"/>
      <c r="G33" s="18">
        <f ca="1">OFFSET(生活!C9,0,$B$2)</f>
        <v>0</v>
      </c>
      <c r="H33" s="112"/>
      <c r="I33" s="113"/>
    </row>
    <row r="34" spans="1:9" ht="18.75" customHeight="1">
      <c r="A34" s="116" t="s">
        <v>10</v>
      </c>
      <c r="B34" s="100" t="str">
        <f>英語!B2</f>
        <v>英語学習に楽しみを感じ、意欲的に学習に励むことができる</v>
      </c>
      <c r="C34" s="101"/>
      <c r="D34" s="101"/>
      <c r="E34" s="101"/>
      <c r="F34" s="102"/>
      <c r="G34" s="21" t="str">
        <f ca="1">OFFSET(英語!C2,0,$B$2)</f>
        <v>A</v>
      </c>
      <c r="H34" s="110">
        <f ca="1">OFFSET(英語!C12,0,$B$2)</f>
        <v>5</v>
      </c>
      <c r="I34" s="111"/>
    </row>
    <row r="35" spans="1:9" ht="18.75" customHeight="1">
      <c r="A35" s="117"/>
      <c r="B35" s="103" t="str">
        <f>英語!B3</f>
        <v>「なぜ」「いつ」「どこで」などと、踏み込んだ会話をすることができる</v>
      </c>
      <c r="C35" s="104"/>
      <c r="D35" s="104"/>
      <c r="E35" s="104"/>
      <c r="F35" s="105"/>
      <c r="G35" s="17" t="str">
        <f ca="1">OFFSET(英語!C3,0,$B$2)</f>
        <v>A</v>
      </c>
      <c r="H35" s="112"/>
      <c r="I35" s="113"/>
    </row>
    <row r="36" spans="1:9" ht="18.75" customHeight="1">
      <c r="A36" s="117"/>
      <c r="B36" s="103" t="str">
        <f>英語!B4</f>
        <v>身の回りにあるもの（名詞）、日常生活の動作（動詞）、人や物を説明する言葉（形容詞）を習得することができる</v>
      </c>
      <c r="C36" s="104"/>
      <c r="D36" s="104"/>
      <c r="E36" s="104"/>
      <c r="F36" s="105"/>
      <c r="G36" s="17" t="str">
        <f ca="1">OFFSET(英語!C4,0,$B$2)</f>
        <v>A</v>
      </c>
      <c r="H36" s="112"/>
      <c r="I36" s="113"/>
    </row>
    <row r="37" spans="1:9" ht="18.75" customHeight="1">
      <c r="A37" s="117"/>
      <c r="B37" s="103" t="str">
        <f>英語!B5</f>
        <v>単語の発音を予想して読むことができる</v>
      </c>
      <c r="C37" s="104"/>
      <c r="D37" s="104"/>
      <c r="E37" s="104"/>
      <c r="F37" s="105"/>
      <c r="G37" s="17" t="str">
        <f ca="1">OFFSET(英語!C5,0,$B$2)</f>
        <v>A</v>
      </c>
      <c r="H37" s="112"/>
      <c r="I37" s="113"/>
    </row>
    <row r="38" spans="1:9" ht="18.75" customHeight="1">
      <c r="A38" s="117"/>
      <c r="B38" s="103" t="str">
        <f>英語!B6</f>
        <v>単語の音を聞いて、つづりを予想して書くことができる</v>
      </c>
      <c r="C38" s="104"/>
      <c r="D38" s="104"/>
      <c r="E38" s="104"/>
      <c r="F38" s="105"/>
      <c r="G38" s="17" t="str">
        <f ca="1">OFFSET(英語!C6,0,$B$2)</f>
        <v>A</v>
      </c>
      <c r="H38" s="112"/>
      <c r="I38" s="113"/>
    </row>
    <row r="39" spans="1:9" ht="18.75" customHeight="1">
      <c r="A39" s="117"/>
      <c r="B39" s="103">
        <f>英語!B7</f>
        <v>0</v>
      </c>
      <c r="C39" s="104"/>
      <c r="D39" s="104"/>
      <c r="E39" s="104"/>
      <c r="F39" s="105"/>
      <c r="G39" s="17">
        <f ca="1">OFFSET(英語!C7,0,$B$2)</f>
        <v>0</v>
      </c>
      <c r="H39" s="112"/>
      <c r="I39" s="113"/>
    </row>
    <row r="40" spans="1:9" ht="18.75" customHeight="1">
      <c r="A40" s="117"/>
      <c r="B40" s="103">
        <f>英語!B8</f>
        <v>0</v>
      </c>
      <c r="C40" s="104"/>
      <c r="D40" s="104"/>
      <c r="E40" s="104"/>
      <c r="F40" s="105"/>
      <c r="G40" s="17">
        <f ca="1">OFFSET(英語!C8,0,$B$2)</f>
        <v>0</v>
      </c>
      <c r="H40" s="112"/>
      <c r="I40" s="113"/>
    </row>
    <row r="41" spans="1:9" ht="18.75" customHeight="1">
      <c r="A41" s="117"/>
      <c r="B41" s="103">
        <f>英語!B9</f>
        <v>0</v>
      </c>
      <c r="C41" s="104"/>
      <c r="D41" s="104"/>
      <c r="E41" s="104"/>
      <c r="F41" s="105"/>
      <c r="G41" s="17">
        <f ca="1">OFFSET(英語!C9,0,$B$2)</f>
        <v>0</v>
      </c>
      <c r="H41" s="112"/>
      <c r="I41" s="113"/>
    </row>
    <row r="42" spans="1:9" ht="18.75" customHeight="1">
      <c r="A42" s="118"/>
      <c r="B42" s="103">
        <f>英語!B10</f>
        <v>0</v>
      </c>
      <c r="C42" s="104"/>
      <c r="D42" s="104"/>
      <c r="E42" s="104"/>
      <c r="F42" s="105"/>
      <c r="G42" s="18">
        <f ca="1">OFFSET(英語!C10,0,$B$2)</f>
        <v>0</v>
      </c>
      <c r="H42" s="112"/>
      <c r="I42" s="113"/>
    </row>
    <row r="43" spans="1:9" ht="18.75" customHeight="1">
      <c r="A43" s="116" t="s">
        <v>4</v>
      </c>
      <c r="B43" s="100" t="str">
        <f>音楽!B2</f>
        <v>授業の活動に積極的に取り組むことができる</v>
      </c>
      <c r="C43" s="101"/>
      <c r="D43" s="101"/>
      <c r="E43" s="101"/>
      <c r="F43" s="102"/>
      <c r="G43" s="21" t="str">
        <f ca="1">OFFSET(音楽!C2,0,$B$2)</f>
        <v>A</v>
      </c>
      <c r="H43" s="110">
        <f ca="1">OFFSET(音楽!C12,0,$B$2)</f>
        <v>5</v>
      </c>
      <c r="I43" s="111"/>
    </row>
    <row r="44" spans="1:9" ht="18.75" customHeight="1">
      <c r="A44" s="117"/>
      <c r="B44" s="103" t="str">
        <f>音楽!B3</f>
        <v>メロディーに合った音程でのびのびと歌うことができる</v>
      </c>
      <c r="C44" s="104"/>
      <c r="D44" s="104"/>
      <c r="E44" s="104"/>
      <c r="F44" s="105"/>
      <c r="G44" s="17" t="str">
        <f ca="1">OFFSET(音楽!C3,0,$B$2)</f>
        <v>A</v>
      </c>
      <c r="H44" s="112"/>
      <c r="I44" s="113"/>
    </row>
    <row r="45" spans="1:9" ht="18.75" customHeight="1">
      <c r="A45" s="117"/>
      <c r="B45" s="103" t="str">
        <f>音楽!B4</f>
        <v>鍵盤ハーモニカで正しい指使いやリズムで楽曲を奏でることができる</v>
      </c>
      <c r="C45" s="104"/>
      <c r="D45" s="104"/>
      <c r="E45" s="104"/>
      <c r="F45" s="105"/>
      <c r="G45" s="17" t="str">
        <f ca="1">OFFSET(音楽!C4,0,$B$2)</f>
        <v>A</v>
      </c>
      <c r="H45" s="112"/>
      <c r="I45" s="113"/>
    </row>
    <row r="46" spans="1:9" ht="18.75" customHeight="1">
      <c r="A46" s="117"/>
      <c r="B46" s="103" t="str">
        <f>音楽!B5</f>
        <v>提示した音を正しく聴き取ることができる</v>
      </c>
      <c r="C46" s="104"/>
      <c r="D46" s="104"/>
      <c r="E46" s="104"/>
      <c r="F46" s="105"/>
      <c r="G46" s="17" t="str">
        <f ca="1">OFFSET(音楽!C5,0,$B$2)</f>
        <v>A</v>
      </c>
      <c r="H46" s="112"/>
      <c r="I46" s="113"/>
    </row>
    <row r="47" spans="1:9" ht="18.75" customHeight="1">
      <c r="A47" s="117"/>
      <c r="B47" s="103">
        <f>音楽!B6</f>
        <v>0</v>
      </c>
      <c r="C47" s="104"/>
      <c r="D47" s="104"/>
      <c r="E47" s="104"/>
      <c r="F47" s="105"/>
      <c r="G47" s="17">
        <f ca="1">OFFSET(音楽!C6,0,$B$2)</f>
        <v>0</v>
      </c>
      <c r="H47" s="112"/>
      <c r="I47" s="113"/>
    </row>
    <row r="48" spans="1:9" ht="18.75" customHeight="1">
      <c r="A48" s="117"/>
      <c r="B48" s="103">
        <f>音楽!B7</f>
        <v>0</v>
      </c>
      <c r="C48" s="104"/>
      <c r="D48" s="104"/>
      <c r="E48" s="104"/>
      <c r="F48" s="105"/>
      <c r="G48" s="17">
        <f ca="1">OFFSET(音楽!C7,0,$B$2)</f>
        <v>0</v>
      </c>
      <c r="H48" s="112"/>
      <c r="I48" s="113"/>
    </row>
    <row r="49" spans="1:9" ht="18.75" customHeight="1">
      <c r="A49" s="117"/>
      <c r="B49" s="103">
        <f>音楽!B8</f>
        <v>0</v>
      </c>
      <c r="C49" s="104"/>
      <c r="D49" s="104"/>
      <c r="E49" s="104"/>
      <c r="F49" s="105"/>
      <c r="G49" s="17">
        <f ca="1">OFFSET(音楽!C8,0,$B$2)</f>
        <v>0</v>
      </c>
      <c r="H49" s="112"/>
      <c r="I49" s="113"/>
    </row>
    <row r="50" spans="1:9" ht="18.75" customHeight="1">
      <c r="A50" s="117"/>
      <c r="B50" s="103">
        <f>音楽!B9</f>
        <v>0</v>
      </c>
      <c r="C50" s="104"/>
      <c r="D50" s="104"/>
      <c r="E50" s="104"/>
      <c r="F50" s="105"/>
      <c r="G50" s="17">
        <f ca="1">OFFSET(音楽!C9,0,$B$2)</f>
        <v>0</v>
      </c>
      <c r="H50" s="112"/>
      <c r="I50" s="113"/>
    </row>
    <row r="51" spans="1:9" ht="18.75" customHeight="1">
      <c r="A51" s="117"/>
      <c r="B51" s="103">
        <f>音楽!B10</f>
        <v>0</v>
      </c>
      <c r="C51" s="104"/>
      <c r="D51" s="104"/>
      <c r="E51" s="104"/>
      <c r="F51" s="105"/>
      <c r="G51" s="17">
        <f ca="1">OFFSET(音楽!C10,0,$B$2)</f>
        <v>0</v>
      </c>
      <c r="H51" s="112"/>
      <c r="I51" s="113"/>
    </row>
    <row r="52" spans="1:9" ht="18.75" customHeight="1">
      <c r="A52" s="118"/>
      <c r="B52" s="103">
        <f>音楽!B11</f>
        <v>0</v>
      </c>
      <c r="C52" s="104"/>
      <c r="D52" s="104"/>
      <c r="E52" s="104"/>
      <c r="F52" s="105"/>
      <c r="G52" s="18">
        <f ca="1">OFFSET(音楽!C11,0,$B$2)</f>
        <v>0</v>
      </c>
      <c r="H52" s="112"/>
      <c r="I52" s="113"/>
    </row>
    <row r="53" spans="1:9" ht="18.75" customHeight="1">
      <c r="A53" s="6"/>
      <c r="B53" s="31"/>
      <c r="C53" s="10"/>
      <c r="D53" s="10"/>
      <c r="E53" s="10"/>
      <c r="F53" s="10"/>
      <c r="G53" s="6"/>
      <c r="H53" s="7"/>
      <c r="I53" s="7"/>
    </row>
    <row r="54" spans="1:9" ht="18.75" customHeight="1">
      <c r="A54" s="1"/>
      <c r="B54" s="32"/>
      <c r="C54" s="11"/>
      <c r="D54" s="11"/>
      <c r="E54" s="11"/>
      <c r="F54" s="11"/>
      <c r="G54" s="1"/>
      <c r="H54" s="3"/>
      <c r="I54" s="3"/>
    </row>
    <row r="55" spans="1:9" ht="18.75" customHeight="1">
      <c r="A55" s="116" t="s">
        <v>2</v>
      </c>
      <c r="B55" s="100" t="str">
        <f>図工!B2</f>
        <v>図工への関心を持ち、楽しく制作に取り組んでいる</v>
      </c>
      <c r="C55" s="101"/>
      <c r="D55" s="101"/>
      <c r="E55" s="101"/>
      <c r="F55" s="102"/>
      <c r="G55" s="21" t="str">
        <f ca="1">OFFSET(図工!C2,0,$B$2)</f>
        <v>A</v>
      </c>
      <c r="H55" s="110">
        <f ca="1">OFFSET(図工!C12,0,$B$2)</f>
        <v>5</v>
      </c>
      <c r="I55" s="111"/>
    </row>
    <row r="56" spans="1:9" ht="18.75" customHeight="1">
      <c r="A56" s="117"/>
      <c r="B56" s="103" t="str">
        <f>図工!B3</f>
        <v>豊かな発想を持ち自由に表現することができる</v>
      </c>
      <c r="C56" s="104"/>
      <c r="D56" s="104"/>
      <c r="E56" s="104"/>
      <c r="F56" s="105"/>
      <c r="G56" s="17" t="str">
        <f ca="1">OFFSET(図工!C3,0,$B$2)</f>
        <v>A</v>
      </c>
      <c r="H56" s="112"/>
      <c r="I56" s="113"/>
    </row>
    <row r="57" spans="1:9" ht="18.75" customHeight="1">
      <c r="A57" s="117"/>
      <c r="B57" s="103" t="str">
        <f>図工!B4</f>
        <v>つくりたいもののイメージを持ち、それに向かって制作することができる</v>
      </c>
      <c r="C57" s="104"/>
      <c r="D57" s="104"/>
      <c r="E57" s="104"/>
      <c r="F57" s="105"/>
      <c r="G57" s="17" t="str">
        <f ca="1">OFFSET(図工!C4,0,$B$2)</f>
        <v>A</v>
      </c>
      <c r="H57" s="112"/>
      <c r="I57" s="113"/>
    </row>
    <row r="58" spans="1:9" ht="18.75" customHeight="1">
      <c r="A58" s="117"/>
      <c r="B58" s="103" t="str">
        <f>図工!B5</f>
        <v>自分や友達の作品から良さや面白さ、美しさを感じとることができる</v>
      </c>
      <c r="C58" s="104"/>
      <c r="D58" s="104"/>
      <c r="E58" s="104"/>
      <c r="F58" s="105"/>
      <c r="G58" s="17" t="str">
        <f ca="1">OFFSET(図工!C5,0,$B$2)</f>
        <v>A</v>
      </c>
      <c r="H58" s="112"/>
      <c r="I58" s="113"/>
    </row>
    <row r="59" spans="1:9" ht="18.75" customHeight="1">
      <c r="A59" s="117"/>
      <c r="B59" s="103">
        <f>図工!B6</f>
        <v>0</v>
      </c>
      <c r="C59" s="104"/>
      <c r="D59" s="104"/>
      <c r="E59" s="104"/>
      <c r="F59" s="105"/>
      <c r="G59" s="17">
        <f ca="1">OFFSET(図工!C6,0,$B$2)</f>
        <v>0</v>
      </c>
      <c r="H59" s="112"/>
      <c r="I59" s="113"/>
    </row>
    <row r="60" spans="1:9" ht="18.75" customHeight="1">
      <c r="A60" s="117"/>
      <c r="B60" s="103">
        <f>図工!B7</f>
        <v>0</v>
      </c>
      <c r="C60" s="104"/>
      <c r="D60" s="104"/>
      <c r="E60" s="104"/>
      <c r="F60" s="105"/>
      <c r="G60" s="17">
        <f ca="1">OFFSET(図工!C7,0,$B$2)</f>
        <v>0</v>
      </c>
      <c r="H60" s="112"/>
      <c r="I60" s="113"/>
    </row>
    <row r="61" spans="1:9" ht="18.75" customHeight="1">
      <c r="A61" s="117"/>
      <c r="B61" s="103">
        <f>図工!B8</f>
        <v>0</v>
      </c>
      <c r="C61" s="104"/>
      <c r="D61" s="104"/>
      <c r="E61" s="104"/>
      <c r="F61" s="105"/>
      <c r="G61" s="17">
        <f ca="1">OFFSET(図工!C8,0,$B$2)</f>
        <v>0</v>
      </c>
      <c r="H61" s="112"/>
      <c r="I61" s="113"/>
    </row>
    <row r="62" spans="1:9" ht="18.75" customHeight="1">
      <c r="A62" s="117"/>
      <c r="B62" s="103">
        <f>図工!B9</f>
        <v>0</v>
      </c>
      <c r="C62" s="104"/>
      <c r="D62" s="104"/>
      <c r="E62" s="104"/>
      <c r="F62" s="105"/>
      <c r="G62" s="17">
        <f ca="1">OFFSET(図工!C9,0,$B$2)</f>
        <v>0</v>
      </c>
      <c r="H62" s="112"/>
      <c r="I62" s="113"/>
    </row>
    <row r="63" spans="1:9" ht="18.75" customHeight="1">
      <c r="A63" s="117"/>
      <c r="B63" s="103">
        <f>図工!B10</f>
        <v>0</v>
      </c>
      <c r="C63" s="104"/>
      <c r="D63" s="104"/>
      <c r="E63" s="104"/>
      <c r="F63" s="105"/>
      <c r="G63" s="17">
        <f ca="1">OFFSET(図工!C10,0,$B$2)</f>
        <v>0</v>
      </c>
      <c r="H63" s="112"/>
      <c r="I63" s="113"/>
    </row>
    <row r="64" spans="1:9" ht="18.75" customHeight="1">
      <c r="A64" s="118"/>
      <c r="B64" s="103">
        <f>図工!B11</f>
        <v>0</v>
      </c>
      <c r="C64" s="104"/>
      <c r="D64" s="104"/>
      <c r="E64" s="104"/>
      <c r="F64" s="105"/>
      <c r="G64" s="18">
        <f ca="1">OFFSET(図工!C11,0,$B$2)</f>
        <v>0</v>
      </c>
      <c r="H64" s="112"/>
      <c r="I64" s="113"/>
    </row>
    <row r="65" spans="1:14" ht="18.75" customHeight="1">
      <c r="A65" s="116" t="s">
        <v>3</v>
      </c>
      <c r="B65" s="100" t="str">
        <f>体育!B2</f>
        <v>運動遊びの行い方を工夫するとともに、考えたことを他者に伝えることができる</v>
      </c>
      <c r="C65" s="101"/>
      <c r="D65" s="101"/>
      <c r="E65" s="101"/>
      <c r="F65" s="102"/>
      <c r="G65" s="21" t="str">
        <f ca="1">OFFSET(体育!C2,0,$B$2)</f>
        <v>A</v>
      </c>
      <c r="H65" s="110">
        <f ca="1">OFFSET(体育!C12,0,$B$2)</f>
        <v>5</v>
      </c>
      <c r="I65" s="111"/>
    </row>
    <row r="66" spans="1:14" ht="18.75" customHeight="1">
      <c r="A66" s="117"/>
      <c r="B66" s="103" t="str">
        <f>体育!B3</f>
        <v>決まりを守り、誰とでも仲良く意欲的に運動ができる</v>
      </c>
      <c r="C66" s="104"/>
      <c r="D66" s="104"/>
      <c r="E66" s="104"/>
      <c r="F66" s="105"/>
      <c r="G66" s="17" t="str">
        <f ca="1">OFFSET(体育!C3,0,$B$2)</f>
        <v>B</v>
      </c>
      <c r="H66" s="112"/>
      <c r="I66" s="113"/>
    </row>
    <row r="67" spans="1:14" ht="18.75" customHeight="1">
      <c r="A67" s="117"/>
      <c r="B67" s="103" t="str">
        <f>体育!B4</f>
        <v>全身を使って、色々な走り方ができる（かけっこ、走の運動遊び）</v>
      </c>
      <c r="C67" s="104"/>
      <c r="D67" s="104"/>
      <c r="E67" s="104"/>
      <c r="F67" s="105"/>
      <c r="G67" s="17" t="str">
        <f ca="1">OFFSET(体育!C4,0,$B$2)</f>
        <v>A</v>
      </c>
      <c r="H67" s="112"/>
      <c r="I67" s="113"/>
    </row>
    <row r="68" spans="1:14" ht="18.75" customHeight="1">
      <c r="A68" s="117"/>
      <c r="B68" s="103" t="str">
        <f>体育!B5</f>
        <v>タイミングを合わせたバトンパスができる（リレー）</v>
      </c>
      <c r="C68" s="104"/>
      <c r="D68" s="104"/>
      <c r="E68" s="104"/>
      <c r="F68" s="105"/>
      <c r="G68" s="17" t="str">
        <f ca="1">OFFSET(体育!C5,0,$B$2)</f>
        <v>A</v>
      </c>
      <c r="H68" s="112"/>
      <c r="I68" s="113"/>
    </row>
    <row r="69" spans="1:14" ht="18.75" customHeight="1">
      <c r="A69" s="117"/>
      <c r="B69" s="103" t="str">
        <f>体育!B6</f>
        <v>簡単なボール操作と力強くボールを投げることができる（ボールゲーム）</v>
      </c>
      <c r="C69" s="104"/>
      <c r="D69" s="104"/>
      <c r="E69" s="104"/>
      <c r="F69" s="105"/>
      <c r="G69" s="17" t="str">
        <f ca="1">OFFSET(体育!C6,0,$B$2)</f>
        <v>A</v>
      </c>
      <c r="H69" s="112"/>
      <c r="I69" s="113"/>
    </row>
    <row r="70" spans="1:14" ht="18.75" customHeight="1">
      <c r="A70" s="117"/>
      <c r="B70" s="103">
        <f>体育!B7</f>
        <v>0</v>
      </c>
      <c r="C70" s="104"/>
      <c r="D70" s="104"/>
      <c r="E70" s="104"/>
      <c r="F70" s="105"/>
      <c r="G70" s="17">
        <f ca="1">OFFSET(体育!C7,0,$B$2)</f>
        <v>0</v>
      </c>
      <c r="H70" s="112"/>
      <c r="I70" s="113"/>
    </row>
    <row r="71" spans="1:14" ht="18.75" customHeight="1">
      <c r="A71" s="117"/>
      <c r="B71" s="103">
        <f>体育!B8</f>
        <v>0</v>
      </c>
      <c r="C71" s="104"/>
      <c r="D71" s="104"/>
      <c r="E71" s="104"/>
      <c r="F71" s="105"/>
      <c r="G71" s="17">
        <f ca="1">OFFSET(体育!C8,0,$B$2)</f>
        <v>0</v>
      </c>
      <c r="H71" s="112"/>
      <c r="I71" s="113"/>
    </row>
    <row r="72" spans="1:14" ht="18.75" customHeight="1">
      <c r="A72" s="117"/>
      <c r="B72" s="103">
        <f>体育!B9</f>
        <v>0</v>
      </c>
      <c r="C72" s="104"/>
      <c r="D72" s="104"/>
      <c r="E72" s="104"/>
      <c r="F72" s="105"/>
      <c r="G72" s="17">
        <f ca="1">OFFSET(体育!C9,0,$B$2)</f>
        <v>0</v>
      </c>
      <c r="H72" s="112"/>
      <c r="I72" s="113"/>
    </row>
    <row r="73" spans="1:14" ht="18.75" customHeight="1">
      <c r="A73" s="117"/>
      <c r="B73" s="103">
        <f>体育!B10</f>
        <v>0</v>
      </c>
      <c r="C73" s="104"/>
      <c r="D73" s="104"/>
      <c r="E73" s="104"/>
      <c r="F73" s="105"/>
      <c r="G73" s="17">
        <f ca="1">OFFSET(体育!C10,0,$B$2)</f>
        <v>0</v>
      </c>
      <c r="H73" s="112"/>
      <c r="I73" s="113"/>
    </row>
    <row r="74" spans="1:14" ht="18.75" customHeight="1">
      <c r="A74" s="118"/>
      <c r="B74" s="130">
        <f>体育!B11</f>
        <v>0</v>
      </c>
      <c r="C74" s="131"/>
      <c r="D74" s="131"/>
      <c r="E74" s="131"/>
      <c r="F74" s="132"/>
      <c r="G74" s="18">
        <f ca="1">OFFSET(体育!C11,0,$B$2)</f>
        <v>0</v>
      </c>
      <c r="H74" s="122"/>
      <c r="I74" s="123"/>
    </row>
    <row r="75" spans="1:14" ht="92.25" customHeight="1">
      <c r="A75" s="23" t="s">
        <v>25</v>
      </c>
      <c r="B75" s="114" t="str">
        <f ca="1">INDIRECT("'道徳'!B"&amp;2+$B$2)</f>
        <v>教科書の内容から、登場人物の気持ちを想像し考えを深めることができました。「みんなじょうず」という単元では、「仲直り上手」「友だち作り上手」など、友だちの良いところを見つけ、ワークシートに記入していました。また、自分の良いところをたくさん見つけることもできました。学習が活かされ、これからも友だちの良いところをたくさん見つけて、みんなと仲良く過ごせるよう願っています。</v>
      </c>
      <c r="C75" s="114"/>
      <c r="D75" s="114"/>
      <c r="E75" s="114"/>
      <c r="F75" s="114"/>
      <c r="G75" s="114"/>
      <c r="H75" s="114"/>
      <c r="I75" s="115"/>
    </row>
    <row r="76" spans="1:14" ht="18.75" customHeight="1">
      <c r="D76" s="14"/>
      <c r="E76" s="12"/>
      <c r="N76" s="12"/>
    </row>
    <row r="77" spans="1:14" ht="18.75" customHeight="1">
      <c r="A77" s="97" t="s">
        <v>23</v>
      </c>
      <c r="B77" s="98"/>
      <c r="C77" s="98"/>
      <c r="D77" s="99"/>
      <c r="F77" s="97" t="s">
        <v>11</v>
      </c>
      <c r="G77" s="98"/>
      <c r="H77" s="98"/>
      <c r="I77" s="99"/>
      <c r="L77" s="14"/>
      <c r="M77" s="12"/>
      <c r="N77" s="30"/>
    </row>
    <row r="78" spans="1:14" ht="19.5" customHeight="1">
      <c r="A78" s="124" t="str">
        <f>所見!B2</f>
        <v>大きな声ではっきりとあいさつや返事をすることができる</v>
      </c>
      <c r="B78" s="125"/>
      <c r="C78" s="126"/>
      <c r="D78" s="27" t="str">
        <f ca="1">OFFSET(所見!C2,0,$B$2)</f>
        <v>A</v>
      </c>
      <c r="F78" s="133" t="s">
        <v>13</v>
      </c>
      <c r="G78" s="134"/>
      <c r="H78" s="134"/>
      <c r="I78" s="22">
        <f ca="1">OFFSET(出欠!C2,0,$B$2)</f>
        <v>70</v>
      </c>
      <c r="L78" s="14"/>
      <c r="M78" s="30"/>
      <c r="N78" s="30"/>
    </row>
    <row r="79" spans="1:14" ht="19.5" customHeight="1">
      <c r="A79" s="127" t="str">
        <f>所見!B3</f>
        <v>時間やきまりを守り、規則正しい生活をすることができる</v>
      </c>
      <c r="B79" s="128"/>
      <c r="C79" s="129"/>
      <c r="D79" s="13" t="str">
        <f ca="1">OFFSET(所見!C3,0,$B$2)</f>
        <v>B</v>
      </c>
      <c r="F79" s="108" t="s">
        <v>14</v>
      </c>
      <c r="G79" s="109"/>
      <c r="H79" s="109"/>
      <c r="I79" s="13">
        <f ca="1">OFFSET(出欠!C3,0,$B$2)</f>
        <v>0</v>
      </c>
      <c r="L79" s="30"/>
      <c r="M79" s="30"/>
      <c r="N79" s="30"/>
    </row>
    <row r="80" spans="1:14" ht="19.5" customHeight="1">
      <c r="A80" s="127" t="str">
        <f>所見!B4</f>
        <v>物を大切にし、整理整頓に心がけ、忘れ物をしないように気をつけることができる</v>
      </c>
      <c r="B80" s="128"/>
      <c r="C80" s="129"/>
      <c r="D80" s="13" t="str">
        <f ca="1">OFFSET(所見!C4,0,$B$2)</f>
        <v>B</v>
      </c>
      <c r="F80" s="151" t="s">
        <v>21</v>
      </c>
      <c r="G80" s="104"/>
      <c r="H80" s="105"/>
      <c r="I80" s="13">
        <f ca="1">OFFSET(出欠!C4,0,$B$2)</f>
        <v>70</v>
      </c>
      <c r="L80" s="30"/>
      <c r="M80" s="30"/>
      <c r="N80" s="30"/>
    </row>
    <row r="81" spans="1:14" ht="19.5" customHeight="1">
      <c r="A81" s="127" t="str">
        <f>所見!B5</f>
        <v>心身の健康に気をつけ、進んで運動をし、元気に生活することができる</v>
      </c>
      <c r="B81" s="128"/>
      <c r="C81" s="129"/>
      <c r="D81" s="13" t="str">
        <f ca="1">OFFSET(所見!C5,0,$B$2)</f>
        <v>A</v>
      </c>
      <c r="F81" s="108" t="s">
        <v>15</v>
      </c>
      <c r="G81" s="109"/>
      <c r="H81" s="109"/>
      <c r="I81" s="13">
        <f ca="1">OFFSET(出欠!C5,0,$B$2)</f>
        <v>70</v>
      </c>
      <c r="L81" s="30"/>
      <c r="M81" s="30"/>
      <c r="N81" s="30"/>
    </row>
    <row r="82" spans="1:14" ht="19.5" customHeight="1">
      <c r="A82" s="127" t="str">
        <f>所見!B6</f>
        <v>良いと思うことは進んで行い、最後まで頑張ることができる</v>
      </c>
      <c r="B82" s="128"/>
      <c r="C82" s="129"/>
      <c r="D82" s="13" t="str">
        <f ca="1">OFFSET(所見!C6,0,$B$2)</f>
        <v>A</v>
      </c>
      <c r="F82" s="108" t="s">
        <v>22</v>
      </c>
      <c r="G82" s="109"/>
      <c r="H82" s="109"/>
      <c r="I82" s="13">
        <f ca="1">OFFSET(出欠!C6,0,$B$2)</f>
        <v>0</v>
      </c>
      <c r="L82" s="30"/>
      <c r="M82" s="30"/>
      <c r="N82" s="30"/>
    </row>
    <row r="83" spans="1:14" ht="19.5" customHeight="1">
      <c r="A83" s="127" t="str">
        <f>所見!B7</f>
        <v>自分でやらなければならないことは、しっかりと行うことができる</v>
      </c>
      <c r="B83" s="128"/>
      <c r="C83" s="129"/>
      <c r="D83" s="13" t="str">
        <f ca="1">OFFSET(所見!C7,0,$B$2)</f>
        <v>A</v>
      </c>
      <c r="F83" s="108" t="s">
        <v>16</v>
      </c>
      <c r="G83" s="109"/>
      <c r="H83" s="109"/>
      <c r="I83" s="13">
        <f ca="1">OFFSET(出欠!C7,0,$B$2)</f>
        <v>0</v>
      </c>
      <c r="L83" s="30"/>
      <c r="M83" s="30"/>
      <c r="N83" s="30"/>
    </row>
    <row r="84" spans="1:14" ht="19.5" customHeight="1">
      <c r="A84" s="127" t="str">
        <f>所見!B8</f>
        <v>自分で進んで考え、工夫しながら取り組むことができる</v>
      </c>
      <c r="B84" s="128"/>
      <c r="C84" s="129"/>
      <c r="D84" s="13" t="str">
        <f ca="1">OFFSET(所見!C8,0,$B$2)</f>
        <v>A</v>
      </c>
      <c r="F84" s="108" t="s">
        <v>17</v>
      </c>
      <c r="G84" s="109"/>
      <c r="H84" s="109"/>
      <c r="I84" s="13">
        <f ca="1">OFFSET(出欠!C8,0,$B$2)</f>
        <v>0</v>
      </c>
      <c r="L84" s="30"/>
      <c r="M84" s="30"/>
      <c r="N84" s="30"/>
    </row>
    <row r="85" spans="1:14" ht="19.5" customHeight="1">
      <c r="A85" s="127" t="str">
        <f>所見!B9</f>
        <v>身近にいる人々に親切にし、誰とでも助け合うことができる</v>
      </c>
      <c r="B85" s="128"/>
      <c r="C85" s="129"/>
      <c r="D85" s="15" t="str">
        <f ca="1">OFFSET(所見!C9,0,$B$2)</f>
        <v>B</v>
      </c>
      <c r="F85" s="139" t="str">
        <f ca="1">"備考： "&amp;INDIRECT("'出欠'!B"&amp;9+$B$2)</f>
        <v xml:space="preserve">備考： </v>
      </c>
      <c r="G85" s="140"/>
      <c r="H85" s="140"/>
      <c r="I85" s="141"/>
      <c r="L85" s="78">
        <f>番号</f>
        <v>10</v>
      </c>
      <c r="M85" s="30"/>
      <c r="N85" s="30"/>
    </row>
    <row r="86" spans="1:14" ht="19.5" customHeight="1">
      <c r="A86" s="127" t="str">
        <f>所見!B10</f>
        <v>自然に親しみ、生きているものに優しく接することができる</v>
      </c>
      <c r="B86" s="128"/>
      <c r="C86" s="129"/>
      <c r="D86" s="15" t="str">
        <f ca="1">OFFSET(所見!C10,0,$B$2)</f>
        <v>A</v>
      </c>
      <c r="F86" s="142"/>
      <c r="G86" s="143"/>
      <c r="H86" s="143"/>
      <c r="I86" s="144"/>
      <c r="L86" s="30"/>
      <c r="M86" s="30"/>
      <c r="N86" s="30"/>
    </row>
    <row r="87" spans="1:14" ht="19.5" customHeight="1">
      <c r="A87" s="148" t="str">
        <f>所見!B11</f>
        <v>手伝いや仕事を進んで行うことができる</v>
      </c>
      <c r="B87" s="149"/>
      <c r="C87" s="150"/>
      <c r="D87" s="16" t="str">
        <f ca="1">OFFSET(所見!C11,0,$B$2)</f>
        <v>A</v>
      </c>
      <c r="F87" s="145"/>
      <c r="G87" s="146"/>
      <c r="H87" s="146"/>
      <c r="I87" s="147"/>
      <c r="L87" s="30"/>
      <c r="M87" s="30"/>
      <c r="N87" s="25"/>
    </row>
    <row r="88" spans="1:14" ht="18.75" customHeight="1">
      <c r="A88" s="26"/>
      <c r="B88" s="28"/>
      <c r="C88" s="28"/>
      <c r="D88" s="29"/>
      <c r="F88" s="24"/>
      <c r="G88" s="24"/>
      <c r="H88" s="24"/>
      <c r="I88" s="24"/>
      <c r="L88" s="25"/>
      <c r="M88" s="25"/>
      <c r="N88" s="25"/>
    </row>
    <row r="89" spans="1:14" ht="39" customHeight="1">
      <c r="A89" s="135" t="s">
        <v>24</v>
      </c>
      <c r="B89" s="136"/>
      <c r="C89" s="137" t="str">
        <f ca="1">INDIRECT("'所見'!B"&amp;12+$B$2)</f>
        <v>給食係</v>
      </c>
      <c r="D89" s="137"/>
      <c r="E89" s="137"/>
      <c r="F89" s="137"/>
      <c r="G89" s="137"/>
      <c r="H89" s="137"/>
      <c r="I89" s="138"/>
      <c r="L89" s="25"/>
      <c r="M89" s="25"/>
    </row>
    <row r="90" spans="1:14" ht="18.75" customHeight="1">
      <c r="C90" s="14"/>
    </row>
    <row r="91" spans="1:14" ht="183" customHeight="1">
      <c r="A91" s="23" t="s">
        <v>12</v>
      </c>
      <c r="B91" s="94" t="str">
        <f ca="1">INDIRECT("'所見'!B"&amp;$Q$5+$B$2)</f>
        <v>学習面では、どの学習にも意欲的に取り組み、発言も多く積極的です。学習内容の理解も良く、集中して取り組むので、課題を素早くやり終えることができます。また、難しい問題でも、自分で考えて解くことができ、６月の全国模試においても、算数で満点という、優秀な成績を収めることができました。国語では、物語の主人公の気持ちや、説明文の大切なところを、しっかりと読み取ることができました。一方で、指示が出る前に行動したり、思ったことをつい口にしてしまったりすることがありました。学習意欲の表れでもありますが、授業のルールを守り、姿勢を正して、教師や友だちの話に耳を傾けることができると良いでしょう。生活面では、明るい性格で、毎日元気に友だちと過ごすことができました。一方で、友だちとの話に夢中になって、着替えや朝のランドセルの片づけなどに時間が掛かっています。優先順位を考えて行動できると良いでしょう。理紗さんの２学期での更なる成長に期待しています。</v>
      </c>
      <c r="C91" s="95"/>
      <c r="D91" s="95"/>
      <c r="E91" s="95"/>
      <c r="F91" s="95"/>
      <c r="G91" s="95"/>
      <c r="H91" s="95"/>
      <c r="I91" s="96"/>
    </row>
  </sheetData>
  <mergeCells count="112">
    <mergeCell ref="A89:B89"/>
    <mergeCell ref="C89:I89"/>
    <mergeCell ref="F85:I87"/>
    <mergeCell ref="A85:C85"/>
    <mergeCell ref="A86:C86"/>
    <mergeCell ref="A87:C87"/>
    <mergeCell ref="A77:D77"/>
    <mergeCell ref="F80:H80"/>
    <mergeCell ref="F79:H79"/>
    <mergeCell ref="F83:H83"/>
    <mergeCell ref="F84:H84"/>
    <mergeCell ref="F77:I77"/>
    <mergeCell ref="F81:H81"/>
    <mergeCell ref="B62:F62"/>
    <mergeCell ref="B63:F63"/>
    <mergeCell ref="A43:A52"/>
    <mergeCell ref="B43:F43"/>
    <mergeCell ref="B44:F44"/>
    <mergeCell ref="B45:F45"/>
    <mergeCell ref="B46:F46"/>
    <mergeCell ref="B64:F64"/>
    <mergeCell ref="B73:F73"/>
    <mergeCell ref="A55:A64"/>
    <mergeCell ref="B61:F61"/>
    <mergeCell ref="B55:F55"/>
    <mergeCell ref="B56:F56"/>
    <mergeCell ref="B57:F57"/>
    <mergeCell ref="A65:A74"/>
    <mergeCell ref="B68:F68"/>
    <mergeCell ref="B69:F69"/>
    <mergeCell ref="B70:F70"/>
    <mergeCell ref="B71:F71"/>
    <mergeCell ref="B59:F59"/>
    <mergeCell ref="B60:F60"/>
    <mergeCell ref="B9:F9"/>
    <mergeCell ref="B10:F10"/>
    <mergeCell ref="B11:F11"/>
    <mergeCell ref="B12:F12"/>
    <mergeCell ref="B13:F13"/>
    <mergeCell ref="B58:F58"/>
    <mergeCell ref="B23:F23"/>
    <mergeCell ref="B16:F16"/>
    <mergeCell ref="B17:F17"/>
    <mergeCell ref="B18:F18"/>
    <mergeCell ref="B19:F19"/>
    <mergeCell ref="B20:F20"/>
    <mergeCell ref="B21:F21"/>
    <mergeCell ref="B22:F22"/>
    <mergeCell ref="B41:F41"/>
    <mergeCell ref="B24:F24"/>
    <mergeCell ref="H65:I74"/>
    <mergeCell ref="A78:C78"/>
    <mergeCell ref="A79:C79"/>
    <mergeCell ref="A80:C80"/>
    <mergeCell ref="A81:C81"/>
    <mergeCell ref="A82:C82"/>
    <mergeCell ref="A83:C83"/>
    <mergeCell ref="A84:C84"/>
    <mergeCell ref="B72:F72"/>
    <mergeCell ref="B74:F74"/>
    <mergeCell ref="B65:F65"/>
    <mergeCell ref="B66:F66"/>
    <mergeCell ref="B67:F67"/>
    <mergeCell ref="F78:H78"/>
    <mergeCell ref="A16:A25"/>
    <mergeCell ref="A1:B1"/>
    <mergeCell ref="C1:G1"/>
    <mergeCell ref="G2:I2"/>
    <mergeCell ref="H6:I15"/>
    <mergeCell ref="A6:A15"/>
    <mergeCell ref="B38:F38"/>
    <mergeCell ref="B39:F39"/>
    <mergeCell ref="H34:I42"/>
    <mergeCell ref="H16:I25"/>
    <mergeCell ref="H26:I33"/>
    <mergeCell ref="B14:F14"/>
    <mergeCell ref="B15:F15"/>
    <mergeCell ref="B25:F25"/>
    <mergeCell ref="A26:A33"/>
    <mergeCell ref="B26:F26"/>
    <mergeCell ref="B27:F27"/>
    <mergeCell ref="B28:F28"/>
    <mergeCell ref="B29:F29"/>
    <mergeCell ref="A34:A42"/>
    <mergeCell ref="B34:F34"/>
    <mergeCell ref="B35:F35"/>
    <mergeCell ref="B36:F36"/>
    <mergeCell ref="B37:F37"/>
    <mergeCell ref="K7:L7"/>
    <mergeCell ref="B91:I91"/>
    <mergeCell ref="A4:I4"/>
    <mergeCell ref="B6:F6"/>
    <mergeCell ref="B7:F7"/>
    <mergeCell ref="B8:F8"/>
    <mergeCell ref="H5:I5"/>
    <mergeCell ref="F82:H82"/>
    <mergeCell ref="H55:I64"/>
    <mergeCell ref="H43:I52"/>
    <mergeCell ref="B32:F32"/>
    <mergeCell ref="B40:F40"/>
    <mergeCell ref="B49:F49"/>
    <mergeCell ref="B30:F30"/>
    <mergeCell ref="B31:F31"/>
    <mergeCell ref="B33:F33"/>
    <mergeCell ref="B42:F42"/>
    <mergeCell ref="B47:F47"/>
    <mergeCell ref="B48:F48"/>
    <mergeCell ref="B50:F50"/>
    <mergeCell ref="B51:F51"/>
    <mergeCell ref="B52:F52"/>
    <mergeCell ref="B5:F5"/>
    <mergeCell ref="B75:I75"/>
  </mergeCells>
  <phoneticPr fontId="1"/>
  <conditionalFormatting sqref="F85 B91 B55:B75 D78:D88 A78:A88 C89 B6:B52 C53:F54 G6:G74 L79:M89 M78 N77:N88">
    <cfRule type="cellIs" dxfId="14" priority="2" stopIfTrue="1" operator="equal">
      <formula>0</formula>
    </cfRule>
  </conditionalFormatting>
  <conditionalFormatting sqref="L17:M20">
    <cfRule type="cellIs" dxfId="13"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4" fitToHeight="2"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前">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4"/>
  <sheetViews>
    <sheetView view="pageBreakPreview" zoomScaleNormal="70" zoomScaleSheetLayoutView="100" workbookViewId="0">
      <selection activeCell="E5" sqref="E5"/>
    </sheetView>
  </sheetViews>
  <sheetFormatPr defaultRowHeight="13.5"/>
  <cols>
    <col min="1" max="2" width="4.25" style="8" customWidth="1"/>
    <col min="3" max="3" width="95" style="8" customWidth="1"/>
    <col min="4" max="16384" width="9" style="8"/>
  </cols>
  <sheetData>
    <row r="1" spans="1:3" ht="18.75" customHeight="1">
      <c r="A1" s="152" t="str">
        <f ca="1">通知票!A1</f>
        <v>１－１</v>
      </c>
      <c r="B1" s="119"/>
      <c r="C1" s="64" t="str">
        <f ca="1">通知票!C1</f>
        <v>1学期</v>
      </c>
    </row>
    <row r="2" spans="1:3" ht="18.75" customHeight="1">
      <c r="A2" s="65" t="s">
        <v>53</v>
      </c>
      <c r="B2" s="64">
        <v>12</v>
      </c>
      <c r="C2" s="76">
        <f ca="1">INDIRECT("'所見'!A"&amp;12+$B$2)</f>
        <v>0</v>
      </c>
    </row>
    <row r="3" spans="1:3" ht="12" customHeight="1">
      <c r="C3" s="9"/>
    </row>
    <row r="4" spans="1:3" ht="18.75" customHeight="1">
      <c r="A4" s="66" t="s">
        <v>5</v>
      </c>
      <c r="B4" s="67" t="s">
        <v>7</v>
      </c>
      <c r="C4" s="22" t="s">
        <v>54</v>
      </c>
    </row>
    <row r="5" spans="1:3" ht="75" customHeight="1">
      <c r="A5" s="68" t="s">
        <v>9</v>
      </c>
      <c r="B5" s="69">
        <f ca="1">OFFSET(国語!C12,0,$B$2)</f>
        <v>0</v>
      </c>
      <c r="C5" s="70">
        <f ca="1">INDIRECT("'国語'!B"&amp;14+$B$2)</f>
        <v>0</v>
      </c>
    </row>
    <row r="6" spans="1:3" ht="75" customHeight="1">
      <c r="A6" s="71" t="s">
        <v>1</v>
      </c>
      <c r="B6" s="72">
        <f ca="1">OFFSET(算数!C12,0,$B$2)</f>
        <v>0</v>
      </c>
      <c r="C6" s="73">
        <f ca="1">INDIRECT("'算数'!B"&amp;14+$B$2)</f>
        <v>0</v>
      </c>
    </row>
    <row r="7" spans="1:3" ht="75" customHeight="1">
      <c r="A7" s="68" t="s">
        <v>55</v>
      </c>
      <c r="B7" s="69">
        <f ca="1">OFFSET(生活!C12,0,$B$2)</f>
        <v>0</v>
      </c>
      <c r="C7" s="70">
        <f ca="1">INDIRECT("'生活'!B"&amp;14+$B$2)</f>
        <v>0</v>
      </c>
    </row>
    <row r="8" spans="1:3" ht="75" customHeight="1">
      <c r="A8" s="71" t="s">
        <v>10</v>
      </c>
      <c r="B8" s="72">
        <f ca="1">OFFSET(英語!C12,0,$B$2)</f>
        <v>0</v>
      </c>
      <c r="C8" s="73">
        <f ca="1">INDIRECT("'英語'!B"&amp;14+$B$2)</f>
        <v>0</v>
      </c>
    </row>
    <row r="9" spans="1:3" ht="75" customHeight="1">
      <c r="A9" s="68" t="s">
        <v>4</v>
      </c>
      <c r="B9" s="69">
        <f ca="1">OFFSET(音楽!C12,0,$B$2)</f>
        <v>0</v>
      </c>
      <c r="C9" s="70">
        <f ca="1">INDIRECT("'音楽'!B"&amp;14+$B$2)</f>
        <v>0</v>
      </c>
    </row>
    <row r="10" spans="1:3" ht="75" customHeight="1">
      <c r="A10" s="71" t="s">
        <v>2</v>
      </c>
      <c r="B10" s="72">
        <f ca="1">OFFSET(図工!C12,0,$B$2)</f>
        <v>0</v>
      </c>
      <c r="C10" s="73">
        <f ca="1">INDIRECT("'図工'!B"&amp;14+$B$2)</f>
        <v>0</v>
      </c>
    </row>
    <row r="11" spans="1:3" ht="75" customHeight="1">
      <c r="A11" s="68" t="s">
        <v>3</v>
      </c>
      <c r="B11" s="69">
        <f ca="1">OFFSET(体育!C12,0,$B$2)</f>
        <v>0</v>
      </c>
      <c r="C11" s="70">
        <f ca="1">INDIRECT("'体育'!B"&amp;14+$B$2)</f>
        <v>0</v>
      </c>
    </row>
    <row r="12" spans="1:3" ht="75" customHeight="1">
      <c r="A12" s="68" t="s">
        <v>25</v>
      </c>
      <c r="B12" s="153">
        <f ca="1">INDIRECT("'道徳'!B"&amp;2+$B$2)</f>
        <v>0</v>
      </c>
      <c r="C12" s="154"/>
    </row>
    <row r="13" spans="1:3" ht="18.75" customHeight="1">
      <c r="C13" s="74"/>
    </row>
    <row r="14" spans="1:3" ht="225" customHeight="1">
      <c r="A14" s="23" t="s">
        <v>12</v>
      </c>
      <c r="B14" s="75"/>
      <c r="C14" s="70">
        <f ca="1">INDIRECT("'所見'!B"&amp;通知票!$Q$5+$B$2)</f>
        <v>0</v>
      </c>
    </row>
  </sheetData>
  <mergeCells count="2">
    <mergeCell ref="A1:B1"/>
    <mergeCell ref="B12:C12"/>
  </mergeCells>
  <phoneticPr fontId="1"/>
  <conditionalFormatting sqref="C14 C5:C11">
    <cfRule type="cellIs" dxfId="12"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2"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pageSetUpPr fitToPag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１－１</v>
      </c>
      <c r="B1" s="34" t="str">
        <f ca="1">RIGHT(CELL("filename",B1),LEN(CELL("filename",B1))-FIND("]",CELL("filename",B1)))</f>
        <v>国語</v>
      </c>
      <c r="C1" s="35" t="s">
        <v>26</v>
      </c>
      <c r="D1" s="36" t="str">
        <f>A15</f>
        <v>伊藤 志桜</v>
      </c>
      <c r="E1" s="36" t="str">
        <f>A16</f>
        <v>大滝 園乃</v>
      </c>
      <c r="F1" s="36" t="str">
        <f>A17</f>
        <v>片桐 生登</v>
      </c>
      <c r="G1" s="36" t="str">
        <f>A18</f>
        <v>上條 矢真人</v>
      </c>
      <c r="H1" s="36" t="str">
        <f>A19</f>
        <v>長澤 航真</v>
      </c>
      <c r="I1" s="36" t="str">
        <f>A20</f>
        <v>濱 凪咲</v>
      </c>
      <c r="J1" s="36" t="str">
        <f>A21</f>
        <v>藤井 日汰</v>
      </c>
      <c r="K1" s="36" t="str">
        <f>A22</f>
        <v>増澤 悠生</v>
      </c>
      <c r="L1" s="36" t="str">
        <f>A23</f>
        <v>松山 新</v>
      </c>
      <c r="M1" s="36" t="str">
        <f>A24</f>
        <v>務䑓 理紗</v>
      </c>
      <c r="N1" s="36" t="str">
        <f>A25</f>
        <v>綿貫 凰河</v>
      </c>
      <c r="O1" s="36">
        <f>A26</f>
        <v>0</v>
      </c>
      <c r="P1" s="36">
        <f>A27</f>
        <v>0</v>
      </c>
      <c r="Q1" s="36">
        <f>A28</f>
        <v>0</v>
      </c>
      <c r="R1" s="36">
        <f>A29</f>
        <v>0</v>
      </c>
      <c r="S1" s="36">
        <f>A30</f>
        <v>0</v>
      </c>
      <c r="T1" s="36">
        <f>A31</f>
        <v>0</v>
      </c>
      <c r="U1" s="36">
        <f>A32</f>
        <v>0</v>
      </c>
      <c r="V1" s="36">
        <f>A33</f>
        <v>0</v>
      </c>
      <c r="W1" s="36">
        <f>A34</f>
        <v>0</v>
      </c>
      <c r="X1" s="37"/>
    </row>
    <row r="2" spans="1:25" ht="22.5" customHeight="1">
      <c r="A2" s="158" t="s">
        <v>142</v>
      </c>
      <c r="B2" s="61" t="s">
        <v>27</v>
      </c>
      <c r="C2" s="38" t="s">
        <v>28</v>
      </c>
      <c r="D2" s="39" t="s">
        <v>143</v>
      </c>
      <c r="E2" s="39" t="s">
        <v>144</v>
      </c>
      <c r="F2" s="39" t="s">
        <v>144</v>
      </c>
      <c r="G2" s="39" t="s">
        <v>144</v>
      </c>
      <c r="H2" s="39" t="s">
        <v>144</v>
      </c>
      <c r="I2" s="39" t="s">
        <v>144</v>
      </c>
      <c r="J2" s="39" t="s">
        <v>143</v>
      </c>
      <c r="K2" s="39" t="s">
        <v>143</v>
      </c>
      <c r="L2" s="39" t="s">
        <v>143</v>
      </c>
      <c r="M2" s="39" t="s">
        <v>143</v>
      </c>
      <c r="N2" s="39" t="s">
        <v>143</v>
      </c>
      <c r="O2" s="39"/>
      <c r="P2" s="39"/>
      <c r="Q2" s="39"/>
      <c r="R2" s="39"/>
      <c r="S2" s="39"/>
      <c r="T2" s="39"/>
      <c r="U2" s="39"/>
      <c r="V2" s="39"/>
      <c r="W2" s="39"/>
      <c r="X2" s="40" t="s">
        <v>143</v>
      </c>
      <c r="Y2" s="40">
        <v>1</v>
      </c>
    </row>
    <row r="3" spans="1:25" ht="22.5" customHeight="1">
      <c r="A3" s="159"/>
      <c r="B3" s="61" t="s">
        <v>29</v>
      </c>
      <c r="C3" s="38" t="s">
        <v>28</v>
      </c>
      <c r="D3" s="39" t="s">
        <v>145</v>
      </c>
      <c r="E3" s="39" t="s">
        <v>144</v>
      </c>
      <c r="F3" s="39" t="s">
        <v>146</v>
      </c>
      <c r="G3" s="39" t="s">
        <v>143</v>
      </c>
      <c r="H3" s="39" t="s">
        <v>145</v>
      </c>
      <c r="I3" s="39" t="s">
        <v>143</v>
      </c>
      <c r="J3" s="39" t="s">
        <v>144</v>
      </c>
      <c r="K3" s="39" t="s">
        <v>146</v>
      </c>
      <c r="L3" s="39" t="s">
        <v>143</v>
      </c>
      <c r="M3" s="39" t="s">
        <v>143</v>
      </c>
      <c r="N3" s="39" t="s">
        <v>143</v>
      </c>
      <c r="O3" s="39"/>
      <c r="P3" s="39"/>
      <c r="Q3" s="39"/>
      <c r="R3" s="39"/>
      <c r="S3" s="39"/>
      <c r="T3" s="39"/>
      <c r="U3" s="39"/>
      <c r="V3" s="39"/>
      <c r="W3" s="39"/>
      <c r="X3" s="40" t="s">
        <v>144</v>
      </c>
      <c r="Y3" s="40">
        <v>2</v>
      </c>
    </row>
    <row r="4" spans="1:25" ht="22.5" customHeight="1">
      <c r="A4" s="159"/>
      <c r="B4" s="61" t="s">
        <v>30</v>
      </c>
      <c r="C4" s="38" t="s">
        <v>28</v>
      </c>
      <c r="D4" s="39" t="s">
        <v>143</v>
      </c>
      <c r="E4" s="39" t="s">
        <v>145</v>
      </c>
      <c r="F4" s="39" t="s">
        <v>146</v>
      </c>
      <c r="G4" s="39" t="s">
        <v>144</v>
      </c>
      <c r="H4" s="39" t="s">
        <v>144</v>
      </c>
      <c r="I4" s="39" t="s">
        <v>143</v>
      </c>
      <c r="J4" s="39" t="s">
        <v>143</v>
      </c>
      <c r="K4" s="39" t="s">
        <v>144</v>
      </c>
      <c r="L4" s="39" t="s">
        <v>143</v>
      </c>
      <c r="M4" s="39" t="s">
        <v>144</v>
      </c>
      <c r="N4" s="39" t="s">
        <v>144</v>
      </c>
      <c r="O4" s="39"/>
      <c r="P4" s="39"/>
      <c r="Q4" s="39"/>
      <c r="R4" s="39"/>
      <c r="S4" s="39"/>
      <c r="T4" s="39"/>
      <c r="U4" s="39"/>
      <c r="V4" s="39"/>
      <c r="W4" s="39"/>
      <c r="X4" s="40" t="s">
        <v>147</v>
      </c>
      <c r="Y4" s="40">
        <v>3</v>
      </c>
    </row>
    <row r="5" spans="1:25" ht="22.5" customHeight="1">
      <c r="A5" s="159"/>
      <c r="B5" s="61" t="s">
        <v>31</v>
      </c>
      <c r="C5" s="38" t="s">
        <v>28</v>
      </c>
      <c r="D5" s="39" t="s">
        <v>146</v>
      </c>
      <c r="E5" s="39" t="s">
        <v>146</v>
      </c>
      <c r="F5" s="39" t="s">
        <v>143</v>
      </c>
      <c r="G5" s="39" t="s">
        <v>145</v>
      </c>
      <c r="H5" s="39" t="s">
        <v>145</v>
      </c>
      <c r="I5" s="39" t="s">
        <v>146</v>
      </c>
      <c r="J5" s="39" t="s">
        <v>146</v>
      </c>
      <c r="K5" s="39" t="s">
        <v>146</v>
      </c>
      <c r="L5" s="39" t="s">
        <v>143</v>
      </c>
      <c r="M5" s="39" t="s">
        <v>146</v>
      </c>
      <c r="N5" s="39" t="s">
        <v>145</v>
      </c>
      <c r="O5" s="39"/>
      <c r="P5" s="39"/>
      <c r="Q5" s="39"/>
      <c r="R5" s="39"/>
      <c r="S5" s="39"/>
      <c r="T5" s="39"/>
      <c r="U5" s="39"/>
      <c r="V5" s="39"/>
      <c r="W5" s="39"/>
      <c r="X5" s="40" t="s">
        <v>148</v>
      </c>
      <c r="Y5" s="40">
        <v>4</v>
      </c>
    </row>
    <row r="6" spans="1:25" ht="22.5" customHeight="1">
      <c r="A6" s="159"/>
      <c r="B6" s="61" t="s">
        <v>34</v>
      </c>
      <c r="C6" s="38" t="s">
        <v>28</v>
      </c>
      <c r="D6" s="39" t="s">
        <v>143</v>
      </c>
      <c r="E6" s="39" t="s">
        <v>146</v>
      </c>
      <c r="F6" s="39" t="s">
        <v>146</v>
      </c>
      <c r="G6" s="39" t="s">
        <v>145</v>
      </c>
      <c r="H6" s="39" t="s">
        <v>146</v>
      </c>
      <c r="I6" s="39" t="s">
        <v>145</v>
      </c>
      <c r="J6" s="39" t="s">
        <v>146</v>
      </c>
      <c r="K6" s="39" t="s">
        <v>146</v>
      </c>
      <c r="L6" s="39" t="s">
        <v>146</v>
      </c>
      <c r="M6" s="39" t="s">
        <v>146</v>
      </c>
      <c r="N6" s="39" t="s">
        <v>143</v>
      </c>
      <c r="O6" s="39"/>
      <c r="P6" s="39"/>
      <c r="Q6" s="39"/>
      <c r="R6" s="39"/>
      <c r="S6" s="39"/>
      <c r="T6" s="39"/>
      <c r="U6" s="39"/>
      <c r="V6" s="39"/>
      <c r="W6" s="39"/>
      <c r="X6" s="40"/>
      <c r="Y6" s="40">
        <v>5</v>
      </c>
    </row>
    <row r="7" spans="1:25" ht="22.5" customHeight="1">
      <c r="A7" s="159"/>
      <c r="B7" s="61" t="s">
        <v>32</v>
      </c>
      <c r="C7" s="38" t="s">
        <v>28</v>
      </c>
      <c r="D7" s="39" t="s">
        <v>146</v>
      </c>
      <c r="E7" s="39" t="s">
        <v>143</v>
      </c>
      <c r="F7" s="39" t="s">
        <v>144</v>
      </c>
      <c r="G7" s="39" t="s">
        <v>144</v>
      </c>
      <c r="H7" s="39" t="s">
        <v>145</v>
      </c>
      <c r="I7" s="39" t="s">
        <v>145</v>
      </c>
      <c r="J7" s="39" t="s">
        <v>146</v>
      </c>
      <c r="K7" s="39" t="s">
        <v>146</v>
      </c>
      <c r="L7" s="39" t="s">
        <v>145</v>
      </c>
      <c r="M7" s="39" t="s">
        <v>146</v>
      </c>
      <c r="N7" s="39" t="s">
        <v>144</v>
      </c>
      <c r="O7" s="39"/>
      <c r="P7" s="39"/>
      <c r="Q7" s="39"/>
      <c r="R7" s="39"/>
      <c r="S7" s="39"/>
      <c r="T7" s="39"/>
      <c r="U7" s="39"/>
      <c r="V7" s="39"/>
      <c r="W7" s="39"/>
      <c r="X7" s="40"/>
      <c r="Y7" s="40" t="s">
        <v>149</v>
      </c>
    </row>
    <row r="8" spans="1:25" ht="22.5" customHeight="1">
      <c r="A8" s="159"/>
      <c r="B8" s="61" t="s">
        <v>33</v>
      </c>
      <c r="C8" s="38" t="s">
        <v>28</v>
      </c>
      <c r="D8" s="39" t="s">
        <v>145</v>
      </c>
      <c r="E8" s="39" t="s">
        <v>146</v>
      </c>
      <c r="F8" s="39" t="s">
        <v>145</v>
      </c>
      <c r="G8" s="39" t="s">
        <v>146</v>
      </c>
      <c r="H8" s="39" t="s">
        <v>145</v>
      </c>
      <c r="I8" s="39" t="s">
        <v>145</v>
      </c>
      <c r="J8" s="39" t="s">
        <v>146</v>
      </c>
      <c r="K8" s="39" t="s">
        <v>146</v>
      </c>
      <c r="L8" s="39" t="s">
        <v>143</v>
      </c>
      <c r="M8" s="39" t="s">
        <v>146</v>
      </c>
      <c r="N8" s="39" t="s">
        <v>145</v>
      </c>
      <c r="O8" s="39"/>
      <c r="P8" s="39"/>
      <c r="Q8" s="39"/>
      <c r="R8" s="39"/>
      <c r="S8" s="39"/>
      <c r="T8" s="39"/>
      <c r="U8" s="39"/>
      <c r="V8" s="39"/>
      <c r="W8" s="39"/>
    </row>
    <row r="9" spans="1:25" ht="22.5" customHeight="1">
      <c r="A9" s="159"/>
      <c r="B9" s="61" t="s">
        <v>56</v>
      </c>
      <c r="C9" s="38" t="s">
        <v>28</v>
      </c>
      <c r="D9" s="39" t="s">
        <v>146</v>
      </c>
      <c r="E9" s="39" t="s">
        <v>144</v>
      </c>
      <c r="F9" s="39" t="s">
        <v>145</v>
      </c>
      <c r="G9" s="39" t="s">
        <v>145</v>
      </c>
      <c r="H9" s="39" t="s">
        <v>145</v>
      </c>
      <c r="I9" s="39" t="s">
        <v>145</v>
      </c>
      <c r="J9" s="39" t="s">
        <v>146</v>
      </c>
      <c r="K9" s="39" t="s">
        <v>146</v>
      </c>
      <c r="L9" s="39" t="s">
        <v>146</v>
      </c>
      <c r="M9" s="39" t="s">
        <v>146</v>
      </c>
      <c r="N9" s="39" t="s">
        <v>146</v>
      </c>
      <c r="O9" s="39"/>
      <c r="P9" s="39"/>
      <c r="Q9" s="39"/>
      <c r="R9" s="39"/>
      <c r="S9" s="39"/>
      <c r="T9" s="39"/>
      <c r="U9" s="39"/>
      <c r="V9" s="39"/>
      <c r="W9" s="39"/>
    </row>
    <row r="10" spans="1:25" ht="22.5" customHeight="1">
      <c r="A10" s="159"/>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9"/>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60"/>
      <c r="B12" s="42"/>
      <c r="C12" s="43" t="s">
        <v>35</v>
      </c>
      <c r="D12" s="39">
        <v>5</v>
      </c>
      <c r="E12" s="39">
        <v>4</v>
      </c>
      <c r="F12" s="39">
        <v>4</v>
      </c>
      <c r="G12" s="39">
        <v>3</v>
      </c>
      <c r="H12" s="39">
        <v>3</v>
      </c>
      <c r="I12" s="39">
        <v>4</v>
      </c>
      <c r="J12" s="39">
        <v>5</v>
      </c>
      <c r="K12" s="39">
        <v>5</v>
      </c>
      <c r="L12" s="39">
        <v>5</v>
      </c>
      <c r="M12" s="39">
        <v>5</v>
      </c>
      <c r="N12" s="39">
        <v>4</v>
      </c>
      <c r="O12" s="39"/>
      <c r="P12" s="39"/>
      <c r="Q12" s="39"/>
      <c r="R12" s="39"/>
      <c r="S12" s="39"/>
      <c r="T12" s="39"/>
      <c r="U12" s="39"/>
      <c r="V12" s="39"/>
      <c r="W12" s="39"/>
    </row>
    <row r="13" spans="1:25" ht="26.25" customHeight="1">
      <c r="A13" s="44"/>
      <c r="B13" s="44"/>
      <c r="C13" s="79" t="s">
        <v>63</v>
      </c>
      <c r="D13" s="80"/>
      <c r="E13" s="80"/>
      <c r="F13" s="80"/>
      <c r="G13" s="80"/>
      <c r="H13" s="80"/>
      <c r="I13" s="80"/>
      <c r="J13" s="80"/>
      <c r="K13" s="80"/>
      <c r="L13" s="80"/>
      <c r="M13" s="80"/>
      <c r="N13" s="80"/>
      <c r="O13" s="80"/>
      <c r="P13" s="80"/>
      <c r="Q13" s="80"/>
      <c r="R13" s="80"/>
      <c r="S13" s="80"/>
      <c r="T13" s="80"/>
      <c r="U13" s="80"/>
      <c r="V13" s="80"/>
      <c r="W13" s="80"/>
    </row>
    <row r="14" spans="1:25" ht="22.5" customHeight="1">
      <c r="A14" s="45" t="s">
        <v>36</v>
      </c>
      <c r="B14" s="161" t="s">
        <v>37</v>
      </c>
      <c r="C14" s="162"/>
      <c r="D14" s="162"/>
      <c r="E14" s="162"/>
      <c r="F14" s="162"/>
      <c r="G14" s="162"/>
      <c r="H14" s="162"/>
      <c r="I14" s="162"/>
      <c r="J14" s="162"/>
      <c r="K14" s="162"/>
      <c r="L14" s="162"/>
      <c r="M14" s="162"/>
      <c r="N14" s="162"/>
      <c r="O14" s="162"/>
      <c r="P14" s="162"/>
      <c r="Q14" s="162"/>
      <c r="R14" s="162"/>
      <c r="S14" s="162"/>
      <c r="T14" s="162"/>
      <c r="U14" s="162"/>
      <c r="V14" s="162"/>
      <c r="W14" s="163"/>
    </row>
    <row r="15" spans="1:25" ht="59.25" customHeight="1">
      <c r="A15" s="46" t="s">
        <v>81</v>
      </c>
      <c r="B15" s="155"/>
      <c r="C15" s="156"/>
      <c r="D15" s="156"/>
      <c r="E15" s="156"/>
      <c r="F15" s="156"/>
      <c r="G15" s="156"/>
      <c r="H15" s="156"/>
      <c r="I15" s="156"/>
      <c r="J15" s="156"/>
      <c r="K15" s="156"/>
      <c r="L15" s="156"/>
      <c r="M15" s="156"/>
      <c r="N15" s="156"/>
      <c r="O15" s="156"/>
      <c r="P15" s="156"/>
      <c r="Q15" s="156"/>
      <c r="R15" s="156"/>
      <c r="S15" s="156"/>
      <c r="T15" s="156"/>
      <c r="U15" s="156"/>
      <c r="V15" s="156"/>
      <c r="W15" s="157"/>
    </row>
    <row r="16" spans="1:25" ht="59.25" customHeight="1">
      <c r="A16" s="46" t="s">
        <v>82</v>
      </c>
      <c r="B16" s="155"/>
      <c r="C16" s="156"/>
      <c r="D16" s="156"/>
      <c r="E16" s="156"/>
      <c r="F16" s="156"/>
      <c r="G16" s="156"/>
      <c r="H16" s="156"/>
      <c r="I16" s="156"/>
      <c r="J16" s="156"/>
      <c r="K16" s="156"/>
      <c r="L16" s="156"/>
      <c r="M16" s="156"/>
      <c r="N16" s="156"/>
      <c r="O16" s="156"/>
      <c r="P16" s="156"/>
      <c r="Q16" s="156"/>
      <c r="R16" s="156"/>
      <c r="S16" s="156"/>
      <c r="T16" s="156"/>
      <c r="U16" s="156"/>
      <c r="V16" s="156"/>
      <c r="W16" s="157"/>
    </row>
    <row r="17" spans="1:23" ht="59.25" customHeight="1">
      <c r="A17" s="46" t="s">
        <v>83</v>
      </c>
      <c r="B17" s="155"/>
      <c r="C17" s="156"/>
      <c r="D17" s="156"/>
      <c r="E17" s="156"/>
      <c r="F17" s="156"/>
      <c r="G17" s="156"/>
      <c r="H17" s="156"/>
      <c r="I17" s="156"/>
      <c r="J17" s="156"/>
      <c r="K17" s="156"/>
      <c r="L17" s="156"/>
      <c r="M17" s="156"/>
      <c r="N17" s="156"/>
      <c r="O17" s="156"/>
      <c r="P17" s="156"/>
      <c r="Q17" s="156"/>
      <c r="R17" s="156"/>
      <c r="S17" s="156"/>
      <c r="T17" s="156"/>
      <c r="U17" s="156"/>
      <c r="V17" s="156"/>
      <c r="W17" s="157"/>
    </row>
    <row r="18" spans="1:23" ht="59.25" customHeight="1">
      <c r="A18" s="46" t="s">
        <v>84</v>
      </c>
      <c r="B18" s="155"/>
      <c r="C18" s="156"/>
      <c r="D18" s="156"/>
      <c r="E18" s="156"/>
      <c r="F18" s="156"/>
      <c r="G18" s="156"/>
      <c r="H18" s="156"/>
      <c r="I18" s="156"/>
      <c r="J18" s="156"/>
      <c r="K18" s="156"/>
      <c r="L18" s="156"/>
      <c r="M18" s="156"/>
      <c r="N18" s="156"/>
      <c r="O18" s="156"/>
      <c r="P18" s="156"/>
      <c r="Q18" s="156"/>
      <c r="R18" s="156"/>
      <c r="S18" s="156"/>
      <c r="T18" s="156"/>
      <c r="U18" s="156"/>
      <c r="V18" s="156"/>
      <c r="W18" s="157"/>
    </row>
    <row r="19" spans="1:23" ht="59.25" customHeight="1">
      <c r="A19" s="46" t="s">
        <v>85</v>
      </c>
      <c r="B19" s="155"/>
      <c r="C19" s="156"/>
      <c r="D19" s="156"/>
      <c r="E19" s="156"/>
      <c r="F19" s="156"/>
      <c r="G19" s="156"/>
      <c r="H19" s="156"/>
      <c r="I19" s="156"/>
      <c r="J19" s="156"/>
      <c r="K19" s="156"/>
      <c r="L19" s="156"/>
      <c r="M19" s="156"/>
      <c r="N19" s="156"/>
      <c r="O19" s="156"/>
      <c r="P19" s="156"/>
      <c r="Q19" s="156"/>
      <c r="R19" s="156"/>
      <c r="S19" s="156"/>
      <c r="T19" s="156"/>
      <c r="U19" s="156"/>
      <c r="V19" s="156"/>
      <c r="W19" s="157"/>
    </row>
    <row r="20" spans="1:23" ht="59.25" customHeight="1">
      <c r="A20" s="46" t="s">
        <v>86</v>
      </c>
      <c r="B20" s="155"/>
      <c r="C20" s="156"/>
      <c r="D20" s="156"/>
      <c r="E20" s="156"/>
      <c r="F20" s="156"/>
      <c r="G20" s="156"/>
      <c r="H20" s="156"/>
      <c r="I20" s="156"/>
      <c r="J20" s="156"/>
      <c r="K20" s="156"/>
      <c r="L20" s="156"/>
      <c r="M20" s="156"/>
      <c r="N20" s="156"/>
      <c r="O20" s="156"/>
      <c r="P20" s="156"/>
      <c r="Q20" s="156"/>
      <c r="R20" s="156"/>
      <c r="S20" s="156"/>
      <c r="T20" s="156"/>
      <c r="U20" s="156"/>
      <c r="V20" s="156"/>
      <c r="W20" s="157"/>
    </row>
    <row r="21" spans="1:23" ht="59.25" customHeight="1">
      <c r="A21" s="46" t="s">
        <v>87</v>
      </c>
      <c r="B21" s="155"/>
      <c r="C21" s="156"/>
      <c r="D21" s="156"/>
      <c r="E21" s="156"/>
      <c r="F21" s="156"/>
      <c r="G21" s="156"/>
      <c r="H21" s="156"/>
      <c r="I21" s="156"/>
      <c r="J21" s="156"/>
      <c r="K21" s="156"/>
      <c r="L21" s="156"/>
      <c r="M21" s="156"/>
      <c r="N21" s="156"/>
      <c r="O21" s="156"/>
      <c r="P21" s="156"/>
      <c r="Q21" s="156"/>
      <c r="R21" s="156"/>
      <c r="S21" s="156"/>
      <c r="T21" s="156"/>
      <c r="U21" s="156"/>
      <c r="V21" s="156"/>
      <c r="W21" s="157"/>
    </row>
    <row r="22" spans="1:23" ht="59.25" customHeight="1">
      <c r="A22" s="46" t="s">
        <v>88</v>
      </c>
      <c r="B22" s="155"/>
      <c r="C22" s="156"/>
      <c r="D22" s="156"/>
      <c r="E22" s="156"/>
      <c r="F22" s="156"/>
      <c r="G22" s="156"/>
      <c r="H22" s="156"/>
      <c r="I22" s="156"/>
      <c r="J22" s="156"/>
      <c r="K22" s="156"/>
      <c r="L22" s="156"/>
      <c r="M22" s="156"/>
      <c r="N22" s="156"/>
      <c r="O22" s="156"/>
      <c r="P22" s="156"/>
      <c r="Q22" s="156"/>
      <c r="R22" s="156"/>
      <c r="S22" s="156"/>
      <c r="T22" s="156"/>
      <c r="U22" s="156"/>
      <c r="V22" s="156"/>
      <c r="W22" s="157"/>
    </row>
    <row r="23" spans="1:23" ht="59.25" customHeight="1">
      <c r="A23" s="46" t="s">
        <v>89</v>
      </c>
      <c r="B23" s="155"/>
      <c r="C23" s="156"/>
      <c r="D23" s="156"/>
      <c r="E23" s="156"/>
      <c r="F23" s="156"/>
      <c r="G23" s="156"/>
      <c r="H23" s="156"/>
      <c r="I23" s="156"/>
      <c r="J23" s="156"/>
      <c r="K23" s="156"/>
      <c r="L23" s="156"/>
      <c r="M23" s="156"/>
      <c r="N23" s="156"/>
      <c r="O23" s="156"/>
      <c r="P23" s="156"/>
      <c r="Q23" s="156"/>
      <c r="R23" s="156"/>
      <c r="S23" s="156"/>
      <c r="T23" s="156"/>
      <c r="U23" s="156"/>
      <c r="V23" s="156"/>
      <c r="W23" s="157"/>
    </row>
    <row r="24" spans="1:23" ht="59.25" customHeight="1">
      <c r="A24" s="46" t="s">
        <v>90</v>
      </c>
      <c r="B24" s="155"/>
      <c r="C24" s="156"/>
      <c r="D24" s="156"/>
      <c r="E24" s="156"/>
      <c r="F24" s="156"/>
      <c r="G24" s="156"/>
      <c r="H24" s="156"/>
      <c r="I24" s="156"/>
      <c r="J24" s="156"/>
      <c r="K24" s="156"/>
      <c r="L24" s="156"/>
      <c r="M24" s="156"/>
      <c r="N24" s="156"/>
      <c r="O24" s="156"/>
      <c r="P24" s="156"/>
      <c r="Q24" s="156"/>
      <c r="R24" s="156"/>
      <c r="S24" s="156"/>
      <c r="T24" s="156"/>
      <c r="U24" s="156"/>
      <c r="V24" s="156"/>
      <c r="W24" s="157"/>
    </row>
    <row r="25" spans="1:23" ht="59.25" customHeight="1">
      <c r="A25" s="46" t="s">
        <v>91</v>
      </c>
      <c r="B25" s="155"/>
      <c r="C25" s="156"/>
      <c r="D25" s="156"/>
      <c r="E25" s="156"/>
      <c r="F25" s="156"/>
      <c r="G25" s="156"/>
      <c r="H25" s="156"/>
      <c r="I25" s="156"/>
      <c r="J25" s="156"/>
      <c r="K25" s="156"/>
      <c r="L25" s="156"/>
      <c r="M25" s="156"/>
      <c r="N25" s="156"/>
      <c r="O25" s="156"/>
      <c r="P25" s="156"/>
      <c r="Q25" s="156"/>
      <c r="R25" s="156"/>
      <c r="S25" s="156"/>
      <c r="T25" s="156"/>
      <c r="U25" s="156"/>
      <c r="V25" s="156"/>
      <c r="W25" s="157"/>
    </row>
    <row r="26" spans="1:23" ht="59.25" customHeight="1">
      <c r="A26" s="46"/>
      <c r="B26" s="155"/>
      <c r="C26" s="156"/>
      <c r="D26" s="156"/>
      <c r="E26" s="156"/>
      <c r="F26" s="156"/>
      <c r="G26" s="156"/>
      <c r="H26" s="156"/>
      <c r="I26" s="156"/>
      <c r="J26" s="156"/>
      <c r="K26" s="156"/>
      <c r="L26" s="156"/>
      <c r="M26" s="156"/>
      <c r="N26" s="156"/>
      <c r="O26" s="156"/>
      <c r="P26" s="156"/>
      <c r="Q26" s="156"/>
      <c r="R26" s="156"/>
      <c r="S26" s="156"/>
      <c r="T26" s="156"/>
      <c r="U26" s="156"/>
      <c r="V26" s="156"/>
      <c r="W26" s="157"/>
    </row>
    <row r="27" spans="1:23" ht="59.25" customHeight="1">
      <c r="A27" s="46"/>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3" ht="59.25" customHeight="1">
      <c r="A28" s="46"/>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3" ht="59.25" customHeight="1">
      <c r="A29" s="46"/>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3" ht="59.25" customHeight="1">
      <c r="A30" s="46"/>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3" ht="59.25" customHeight="1">
      <c r="A31" s="46"/>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3" ht="59.25" customHeight="1">
      <c r="A32" s="46"/>
      <c r="B32" s="155"/>
      <c r="C32" s="156"/>
      <c r="D32" s="156"/>
      <c r="E32" s="156"/>
      <c r="F32" s="156"/>
      <c r="G32" s="156"/>
      <c r="H32" s="156"/>
      <c r="I32" s="156"/>
      <c r="J32" s="156"/>
      <c r="K32" s="156"/>
      <c r="L32" s="156"/>
      <c r="M32" s="156"/>
      <c r="N32" s="156"/>
      <c r="O32" s="156"/>
      <c r="P32" s="156"/>
      <c r="Q32" s="156"/>
      <c r="R32" s="156"/>
      <c r="S32" s="156"/>
      <c r="T32" s="156"/>
      <c r="U32" s="156"/>
      <c r="V32" s="156"/>
      <c r="W32" s="157"/>
    </row>
    <row r="33" spans="1:23" ht="59.25" customHeight="1">
      <c r="A33" s="46"/>
      <c r="B33" s="155"/>
      <c r="C33" s="156"/>
      <c r="D33" s="156"/>
      <c r="E33" s="156"/>
      <c r="F33" s="156"/>
      <c r="G33" s="156"/>
      <c r="H33" s="156"/>
      <c r="I33" s="156"/>
      <c r="J33" s="156"/>
      <c r="K33" s="156"/>
      <c r="L33" s="156"/>
      <c r="M33" s="156"/>
      <c r="N33" s="156"/>
      <c r="O33" s="156"/>
      <c r="P33" s="156"/>
      <c r="Q33" s="156"/>
      <c r="R33" s="156"/>
      <c r="S33" s="156"/>
      <c r="T33" s="156"/>
      <c r="U33" s="156"/>
      <c r="V33" s="156"/>
      <c r="W33" s="157"/>
    </row>
    <row r="34" spans="1:23" ht="59.25" customHeight="1">
      <c r="A34" s="46"/>
      <c r="B34" s="155"/>
      <c r="C34" s="156"/>
      <c r="D34" s="156"/>
      <c r="E34" s="156"/>
      <c r="F34" s="156"/>
      <c r="G34" s="156"/>
      <c r="H34" s="156"/>
      <c r="I34" s="156"/>
      <c r="J34" s="156"/>
      <c r="K34" s="156"/>
      <c r="L34" s="156"/>
      <c r="M34" s="156"/>
      <c r="N34" s="156"/>
      <c r="O34" s="156"/>
      <c r="P34" s="156"/>
      <c r="Q34" s="156"/>
      <c r="R34" s="156"/>
      <c r="S34" s="156"/>
      <c r="T34" s="156"/>
      <c r="U34" s="156"/>
      <c r="V34" s="156"/>
      <c r="W34" s="157"/>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0866141732283472" right="0.70866141732283472" top="0.74803149606299213" bottom="0.74803149606299213" header="0.31496062992125984" footer="0.31496062992125984"/>
  <pageSetup paperSize="9" scale="7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pageSetUpPr fitToPag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１－１</v>
      </c>
      <c r="B1" s="34" t="str">
        <f ca="1">RIGHT(CELL("filename",B1),LEN(CELL("filename",B1))-FIND("]",CELL("filename",B1)))</f>
        <v>算数</v>
      </c>
      <c r="C1" s="35" t="s">
        <v>26</v>
      </c>
      <c r="D1" s="36" t="str">
        <f>A15</f>
        <v>伊藤 志桜</v>
      </c>
      <c r="E1" s="36" t="str">
        <f>A16</f>
        <v>大滝 園乃</v>
      </c>
      <c r="F1" s="36" t="str">
        <f>A17</f>
        <v>片桐 生登</v>
      </c>
      <c r="G1" s="36" t="str">
        <f>A18</f>
        <v>上條 矢真人</v>
      </c>
      <c r="H1" s="36" t="str">
        <f>A19</f>
        <v>長澤 航真</v>
      </c>
      <c r="I1" s="36" t="str">
        <f>A20</f>
        <v>濱 凪咲</v>
      </c>
      <c r="J1" s="36" t="str">
        <f>A21</f>
        <v>藤井 日汰</v>
      </c>
      <c r="K1" s="36" t="str">
        <f>A22</f>
        <v>増澤 悠生</v>
      </c>
      <c r="L1" s="36" t="str">
        <f>A23</f>
        <v>松山 新</v>
      </c>
      <c r="M1" s="36" t="str">
        <f>A24</f>
        <v>務䑓 理紗</v>
      </c>
      <c r="N1" s="36" t="str">
        <f>A25</f>
        <v>綿貫 凰河</v>
      </c>
      <c r="O1" s="36">
        <f>A26</f>
        <v>0</v>
      </c>
      <c r="P1" s="36">
        <f>A27</f>
        <v>0</v>
      </c>
      <c r="Q1" s="36">
        <f>A28</f>
        <v>0</v>
      </c>
      <c r="R1" s="36">
        <f>A29</f>
        <v>0</v>
      </c>
      <c r="S1" s="36">
        <f>A30</f>
        <v>0</v>
      </c>
      <c r="T1" s="36">
        <f>A31</f>
        <v>0</v>
      </c>
      <c r="U1" s="36">
        <f>A32</f>
        <v>0</v>
      </c>
      <c r="V1" s="36">
        <f>A33</f>
        <v>0</v>
      </c>
      <c r="W1" s="36">
        <f>A34</f>
        <v>0</v>
      </c>
      <c r="X1" s="37"/>
    </row>
    <row r="2" spans="1:25" ht="22.5" customHeight="1">
      <c r="A2" s="158" t="s">
        <v>150</v>
      </c>
      <c r="B2" s="41" t="s">
        <v>38</v>
      </c>
      <c r="C2" s="38" t="s">
        <v>28</v>
      </c>
      <c r="D2" s="39" t="s">
        <v>151</v>
      </c>
      <c r="E2" s="39" t="s">
        <v>152</v>
      </c>
      <c r="F2" s="39" t="s">
        <v>152</v>
      </c>
      <c r="G2" s="39" t="s">
        <v>151</v>
      </c>
      <c r="H2" s="39" t="s">
        <v>151</v>
      </c>
      <c r="I2" s="39" t="s">
        <v>151</v>
      </c>
      <c r="J2" s="39" t="s">
        <v>152</v>
      </c>
      <c r="K2" s="39" t="s">
        <v>152</v>
      </c>
      <c r="L2" s="39" t="s">
        <v>152</v>
      </c>
      <c r="M2" s="39" t="s">
        <v>152</v>
      </c>
      <c r="N2" s="39" t="s">
        <v>152</v>
      </c>
      <c r="O2" s="39"/>
      <c r="P2" s="39"/>
      <c r="Q2" s="39"/>
      <c r="R2" s="39"/>
      <c r="S2" s="39"/>
      <c r="T2" s="39"/>
      <c r="U2" s="39"/>
      <c r="V2" s="39"/>
      <c r="W2" s="39"/>
      <c r="X2" s="40" t="s">
        <v>152</v>
      </c>
      <c r="Y2" s="40">
        <v>1</v>
      </c>
    </row>
    <row r="3" spans="1:25" ht="22.5" customHeight="1">
      <c r="A3" s="159"/>
      <c r="B3" s="41" t="s">
        <v>57</v>
      </c>
      <c r="C3" s="38" t="s">
        <v>28</v>
      </c>
      <c r="D3" s="39" t="s">
        <v>152</v>
      </c>
      <c r="E3" s="39" t="s">
        <v>152</v>
      </c>
      <c r="F3" s="39" t="s">
        <v>152</v>
      </c>
      <c r="G3" s="39" t="s">
        <v>152</v>
      </c>
      <c r="H3" s="39" t="s">
        <v>152</v>
      </c>
      <c r="I3" s="39" t="s">
        <v>152</v>
      </c>
      <c r="J3" s="39" t="s">
        <v>152</v>
      </c>
      <c r="K3" s="39" t="s">
        <v>152</v>
      </c>
      <c r="L3" s="39" t="s">
        <v>152</v>
      </c>
      <c r="M3" s="39" t="s">
        <v>152</v>
      </c>
      <c r="N3" s="39" t="s">
        <v>152</v>
      </c>
      <c r="O3" s="39"/>
      <c r="P3" s="39"/>
      <c r="Q3" s="39"/>
      <c r="R3" s="39"/>
      <c r="S3" s="39"/>
      <c r="T3" s="39"/>
      <c r="U3" s="39"/>
      <c r="V3" s="39"/>
      <c r="W3" s="39"/>
      <c r="X3" s="40" t="s">
        <v>151</v>
      </c>
      <c r="Y3" s="40">
        <v>2</v>
      </c>
    </row>
    <row r="4" spans="1:25" ht="22.5" customHeight="1">
      <c r="A4" s="159"/>
      <c r="B4" s="41" t="s">
        <v>58</v>
      </c>
      <c r="C4" s="38" t="s">
        <v>28</v>
      </c>
      <c r="D4" s="39" t="s">
        <v>152</v>
      </c>
      <c r="E4" s="39" t="s">
        <v>152</v>
      </c>
      <c r="F4" s="39" t="s">
        <v>152</v>
      </c>
      <c r="G4" s="39" t="s">
        <v>152</v>
      </c>
      <c r="H4" s="39" t="s">
        <v>152</v>
      </c>
      <c r="I4" s="39" t="s">
        <v>151</v>
      </c>
      <c r="J4" s="39" t="s">
        <v>152</v>
      </c>
      <c r="K4" s="39" t="s">
        <v>152</v>
      </c>
      <c r="L4" s="39" t="s">
        <v>152</v>
      </c>
      <c r="M4" s="39" t="s">
        <v>152</v>
      </c>
      <c r="N4" s="39" t="s">
        <v>152</v>
      </c>
      <c r="O4" s="39"/>
      <c r="P4" s="39"/>
      <c r="Q4" s="39"/>
      <c r="R4" s="39"/>
      <c r="S4" s="39"/>
      <c r="T4" s="39"/>
      <c r="U4" s="39"/>
      <c r="V4" s="39"/>
      <c r="W4" s="39"/>
      <c r="X4" s="40" t="s">
        <v>153</v>
      </c>
      <c r="Y4" s="40">
        <v>3</v>
      </c>
    </row>
    <row r="5" spans="1:25" ht="22.5" customHeight="1">
      <c r="A5" s="159"/>
      <c r="B5" s="41" t="s">
        <v>59</v>
      </c>
      <c r="C5" s="38" t="s">
        <v>28</v>
      </c>
      <c r="D5" s="39" t="s">
        <v>152</v>
      </c>
      <c r="E5" s="39" t="s">
        <v>152</v>
      </c>
      <c r="F5" s="39" t="s">
        <v>152</v>
      </c>
      <c r="G5" s="39" t="s">
        <v>152</v>
      </c>
      <c r="H5" s="39" t="s">
        <v>152</v>
      </c>
      <c r="I5" s="39" t="s">
        <v>151</v>
      </c>
      <c r="J5" s="39" t="s">
        <v>152</v>
      </c>
      <c r="K5" s="39" t="s">
        <v>152</v>
      </c>
      <c r="L5" s="39" t="s">
        <v>152</v>
      </c>
      <c r="M5" s="39" t="s">
        <v>152</v>
      </c>
      <c r="N5" s="39" t="s">
        <v>152</v>
      </c>
      <c r="O5" s="39"/>
      <c r="P5" s="39"/>
      <c r="Q5" s="39"/>
      <c r="R5" s="39"/>
      <c r="S5" s="39"/>
      <c r="T5" s="39"/>
      <c r="U5" s="39"/>
      <c r="V5" s="39"/>
      <c r="W5" s="39"/>
      <c r="X5" s="40" t="s">
        <v>154</v>
      </c>
      <c r="Y5" s="40">
        <v>4</v>
      </c>
    </row>
    <row r="6" spans="1:25" ht="22.5" customHeight="1">
      <c r="A6" s="159"/>
      <c r="B6" s="41" t="s">
        <v>39</v>
      </c>
      <c r="C6" s="38" t="s">
        <v>28</v>
      </c>
      <c r="D6" s="39" t="s">
        <v>152</v>
      </c>
      <c r="E6" s="39" t="s">
        <v>151</v>
      </c>
      <c r="F6" s="39" t="s">
        <v>151</v>
      </c>
      <c r="G6" s="39" t="s">
        <v>152</v>
      </c>
      <c r="H6" s="39" t="s">
        <v>151</v>
      </c>
      <c r="I6" s="39" t="s">
        <v>151</v>
      </c>
      <c r="J6" s="39" t="s">
        <v>152</v>
      </c>
      <c r="K6" s="39" t="s">
        <v>152</v>
      </c>
      <c r="L6" s="39" t="s">
        <v>152</v>
      </c>
      <c r="M6" s="39" t="s">
        <v>152</v>
      </c>
      <c r="N6" s="39" t="s">
        <v>151</v>
      </c>
      <c r="O6" s="39"/>
      <c r="P6" s="39"/>
      <c r="Q6" s="39"/>
      <c r="R6" s="39"/>
      <c r="S6" s="39"/>
      <c r="T6" s="39"/>
      <c r="U6" s="39"/>
      <c r="V6" s="39"/>
      <c r="W6" s="39"/>
      <c r="X6" s="40"/>
      <c r="Y6" s="40">
        <v>5</v>
      </c>
    </row>
    <row r="7" spans="1:25" ht="22.5" customHeight="1">
      <c r="A7" s="159"/>
      <c r="B7" s="41"/>
      <c r="C7" s="38" t="s">
        <v>28</v>
      </c>
      <c r="D7" s="39"/>
      <c r="E7" s="39"/>
      <c r="F7" s="39"/>
      <c r="G7" s="39"/>
      <c r="H7" s="39"/>
      <c r="I7" s="39"/>
      <c r="J7" s="39"/>
      <c r="K7" s="39"/>
      <c r="L7" s="39"/>
      <c r="M7" s="39"/>
      <c r="N7" s="39"/>
      <c r="O7" s="39"/>
      <c r="P7" s="39"/>
      <c r="Q7" s="39"/>
      <c r="R7" s="39"/>
      <c r="S7" s="39"/>
      <c r="T7" s="39"/>
      <c r="U7" s="39"/>
      <c r="V7" s="39"/>
      <c r="W7" s="39"/>
      <c r="X7" s="40"/>
      <c r="Y7" s="40" t="s">
        <v>154</v>
      </c>
    </row>
    <row r="8" spans="1:25" ht="22.5" customHeight="1">
      <c r="A8" s="159"/>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9"/>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9"/>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9"/>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60"/>
      <c r="B12" s="42"/>
      <c r="C12" s="43" t="s">
        <v>35</v>
      </c>
      <c r="D12" s="39">
        <v>5</v>
      </c>
      <c r="E12" s="39">
        <v>5</v>
      </c>
      <c r="F12" s="39">
        <v>5</v>
      </c>
      <c r="G12" s="39">
        <v>5</v>
      </c>
      <c r="H12" s="39">
        <v>4</v>
      </c>
      <c r="I12" s="39">
        <v>3</v>
      </c>
      <c r="J12" s="39">
        <v>5</v>
      </c>
      <c r="K12" s="39">
        <v>5</v>
      </c>
      <c r="L12" s="39">
        <v>5</v>
      </c>
      <c r="M12" s="39">
        <v>5</v>
      </c>
      <c r="N12" s="39">
        <v>5</v>
      </c>
      <c r="O12" s="39"/>
      <c r="P12" s="39"/>
      <c r="Q12" s="39"/>
      <c r="R12" s="39"/>
      <c r="S12" s="39"/>
      <c r="T12" s="39"/>
      <c r="U12" s="39"/>
      <c r="V12" s="39"/>
      <c r="W12" s="39"/>
    </row>
    <row r="13" spans="1:25" ht="26.25" customHeight="1">
      <c r="A13" s="44"/>
      <c r="B13" s="44"/>
      <c r="C13" s="79" t="s">
        <v>63</v>
      </c>
      <c r="D13" s="80"/>
      <c r="E13" s="80"/>
      <c r="F13" s="80"/>
      <c r="G13" s="80"/>
      <c r="H13" s="80"/>
      <c r="I13" s="80"/>
      <c r="J13" s="80"/>
      <c r="K13" s="80"/>
      <c r="L13" s="80"/>
      <c r="M13" s="80"/>
      <c r="N13" s="80"/>
      <c r="O13" s="80"/>
      <c r="P13" s="80"/>
      <c r="Q13" s="80"/>
      <c r="R13" s="80"/>
      <c r="S13" s="80"/>
      <c r="T13" s="80"/>
      <c r="U13" s="80"/>
      <c r="V13" s="80"/>
      <c r="W13" s="80"/>
    </row>
    <row r="14" spans="1:25" ht="22.5" customHeight="1">
      <c r="A14" s="45" t="s">
        <v>36</v>
      </c>
      <c r="B14" s="161" t="s">
        <v>37</v>
      </c>
      <c r="C14" s="162"/>
      <c r="D14" s="162"/>
      <c r="E14" s="162"/>
      <c r="F14" s="162"/>
      <c r="G14" s="162"/>
      <c r="H14" s="162"/>
      <c r="I14" s="162"/>
      <c r="J14" s="162"/>
      <c r="K14" s="162"/>
      <c r="L14" s="162"/>
      <c r="M14" s="162"/>
      <c r="N14" s="162"/>
      <c r="O14" s="162"/>
      <c r="P14" s="162"/>
      <c r="Q14" s="162"/>
      <c r="R14" s="162"/>
      <c r="S14" s="162"/>
      <c r="T14" s="162"/>
      <c r="U14" s="162"/>
      <c r="V14" s="162"/>
      <c r="W14" s="163"/>
    </row>
    <row r="15" spans="1:25" ht="59.25" customHeight="1">
      <c r="A15" s="46" t="s">
        <v>81</v>
      </c>
      <c r="B15" s="155"/>
      <c r="C15" s="156"/>
      <c r="D15" s="156"/>
      <c r="E15" s="156"/>
      <c r="F15" s="156"/>
      <c r="G15" s="156"/>
      <c r="H15" s="156"/>
      <c r="I15" s="156"/>
      <c r="J15" s="156"/>
      <c r="K15" s="156"/>
      <c r="L15" s="156"/>
      <c r="M15" s="156"/>
      <c r="N15" s="156"/>
      <c r="O15" s="156"/>
      <c r="P15" s="156"/>
      <c r="Q15" s="156"/>
      <c r="R15" s="156"/>
      <c r="S15" s="156"/>
      <c r="T15" s="156"/>
      <c r="U15" s="156"/>
      <c r="V15" s="156"/>
      <c r="W15" s="157"/>
    </row>
    <row r="16" spans="1:25" ht="59.25" customHeight="1">
      <c r="A16" s="46" t="s">
        <v>82</v>
      </c>
      <c r="B16" s="155"/>
      <c r="C16" s="156"/>
      <c r="D16" s="156"/>
      <c r="E16" s="156"/>
      <c r="F16" s="156"/>
      <c r="G16" s="156"/>
      <c r="H16" s="156"/>
      <c r="I16" s="156"/>
      <c r="J16" s="156"/>
      <c r="K16" s="156"/>
      <c r="L16" s="156"/>
      <c r="M16" s="156"/>
      <c r="N16" s="156"/>
      <c r="O16" s="156"/>
      <c r="P16" s="156"/>
      <c r="Q16" s="156"/>
      <c r="R16" s="156"/>
      <c r="S16" s="156"/>
      <c r="T16" s="156"/>
      <c r="U16" s="156"/>
      <c r="V16" s="156"/>
      <c r="W16" s="157"/>
    </row>
    <row r="17" spans="1:23" ht="59.25" customHeight="1">
      <c r="A17" s="46" t="s">
        <v>83</v>
      </c>
      <c r="B17" s="155"/>
      <c r="C17" s="156"/>
      <c r="D17" s="156"/>
      <c r="E17" s="156"/>
      <c r="F17" s="156"/>
      <c r="G17" s="156"/>
      <c r="H17" s="156"/>
      <c r="I17" s="156"/>
      <c r="J17" s="156"/>
      <c r="K17" s="156"/>
      <c r="L17" s="156"/>
      <c r="M17" s="156"/>
      <c r="N17" s="156"/>
      <c r="O17" s="156"/>
      <c r="P17" s="156"/>
      <c r="Q17" s="156"/>
      <c r="R17" s="156"/>
      <c r="S17" s="156"/>
      <c r="T17" s="156"/>
      <c r="U17" s="156"/>
      <c r="V17" s="156"/>
      <c r="W17" s="157"/>
    </row>
    <row r="18" spans="1:23" ht="59.25" customHeight="1">
      <c r="A18" s="46" t="s">
        <v>84</v>
      </c>
      <c r="B18" s="155"/>
      <c r="C18" s="156"/>
      <c r="D18" s="156"/>
      <c r="E18" s="156"/>
      <c r="F18" s="156"/>
      <c r="G18" s="156"/>
      <c r="H18" s="156"/>
      <c r="I18" s="156"/>
      <c r="J18" s="156"/>
      <c r="K18" s="156"/>
      <c r="L18" s="156"/>
      <c r="M18" s="156"/>
      <c r="N18" s="156"/>
      <c r="O18" s="156"/>
      <c r="P18" s="156"/>
      <c r="Q18" s="156"/>
      <c r="R18" s="156"/>
      <c r="S18" s="156"/>
      <c r="T18" s="156"/>
      <c r="U18" s="156"/>
      <c r="V18" s="156"/>
      <c r="W18" s="157"/>
    </row>
    <row r="19" spans="1:23" ht="59.25" customHeight="1">
      <c r="A19" s="46" t="s">
        <v>85</v>
      </c>
      <c r="B19" s="155"/>
      <c r="C19" s="156"/>
      <c r="D19" s="156"/>
      <c r="E19" s="156"/>
      <c r="F19" s="156"/>
      <c r="G19" s="156"/>
      <c r="H19" s="156"/>
      <c r="I19" s="156"/>
      <c r="J19" s="156"/>
      <c r="K19" s="156"/>
      <c r="L19" s="156"/>
      <c r="M19" s="156"/>
      <c r="N19" s="156"/>
      <c r="O19" s="156"/>
      <c r="P19" s="156"/>
      <c r="Q19" s="156"/>
      <c r="R19" s="156"/>
      <c r="S19" s="156"/>
      <c r="T19" s="156"/>
      <c r="U19" s="156"/>
      <c r="V19" s="156"/>
      <c r="W19" s="157"/>
    </row>
    <row r="20" spans="1:23" ht="59.25" customHeight="1">
      <c r="A20" s="46" t="s">
        <v>86</v>
      </c>
      <c r="B20" s="155"/>
      <c r="C20" s="156"/>
      <c r="D20" s="156"/>
      <c r="E20" s="156"/>
      <c r="F20" s="156"/>
      <c r="G20" s="156"/>
      <c r="H20" s="156"/>
      <c r="I20" s="156"/>
      <c r="J20" s="156"/>
      <c r="K20" s="156"/>
      <c r="L20" s="156"/>
      <c r="M20" s="156"/>
      <c r="N20" s="156"/>
      <c r="O20" s="156"/>
      <c r="P20" s="156"/>
      <c r="Q20" s="156"/>
      <c r="R20" s="156"/>
      <c r="S20" s="156"/>
      <c r="T20" s="156"/>
      <c r="U20" s="156"/>
      <c r="V20" s="156"/>
      <c r="W20" s="157"/>
    </row>
    <row r="21" spans="1:23" ht="59.25" customHeight="1">
      <c r="A21" s="46" t="s">
        <v>87</v>
      </c>
      <c r="B21" s="155"/>
      <c r="C21" s="156"/>
      <c r="D21" s="156"/>
      <c r="E21" s="156"/>
      <c r="F21" s="156"/>
      <c r="G21" s="156"/>
      <c r="H21" s="156"/>
      <c r="I21" s="156"/>
      <c r="J21" s="156"/>
      <c r="K21" s="156"/>
      <c r="L21" s="156"/>
      <c r="M21" s="156"/>
      <c r="N21" s="156"/>
      <c r="O21" s="156"/>
      <c r="P21" s="156"/>
      <c r="Q21" s="156"/>
      <c r="R21" s="156"/>
      <c r="S21" s="156"/>
      <c r="T21" s="156"/>
      <c r="U21" s="156"/>
      <c r="V21" s="156"/>
      <c r="W21" s="157"/>
    </row>
    <row r="22" spans="1:23" ht="59.25" customHeight="1">
      <c r="A22" s="46" t="s">
        <v>88</v>
      </c>
      <c r="B22" s="155"/>
      <c r="C22" s="156"/>
      <c r="D22" s="156"/>
      <c r="E22" s="156"/>
      <c r="F22" s="156"/>
      <c r="G22" s="156"/>
      <c r="H22" s="156"/>
      <c r="I22" s="156"/>
      <c r="J22" s="156"/>
      <c r="K22" s="156"/>
      <c r="L22" s="156"/>
      <c r="M22" s="156"/>
      <c r="N22" s="156"/>
      <c r="O22" s="156"/>
      <c r="P22" s="156"/>
      <c r="Q22" s="156"/>
      <c r="R22" s="156"/>
      <c r="S22" s="156"/>
      <c r="T22" s="156"/>
      <c r="U22" s="156"/>
      <c r="V22" s="156"/>
      <c r="W22" s="157"/>
    </row>
    <row r="23" spans="1:23" ht="59.25" customHeight="1">
      <c r="A23" s="46" t="s">
        <v>89</v>
      </c>
      <c r="B23" s="155"/>
      <c r="C23" s="156"/>
      <c r="D23" s="156"/>
      <c r="E23" s="156"/>
      <c r="F23" s="156"/>
      <c r="G23" s="156"/>
      <c r="H23" s="156"/>
      <c r="I23" s="156"/>
      <c r="J23" s="156"/>
      <c r="K23" s="156"/>
      <c r="L23" s="156"/>
      <c r="M23" s="156"/>
      <c r="N23" s="156"/>
      <c r="O23" s="156"/>
      <c r="P23" s="156"/>
      <c r="Q23" s="156"/>
      <c r="R23" s="156"/>
      <c r="S23" s="156"/>
      <c r="T23" s="156"/>
      <c r="U23" s="156"/>
      <c r="V23" s="156"/>
      <c r="W23" s="157"/>
    </row>
    <row r="24" spans="1:23" ht="59.25" customHeight="1">
      <c r="A24" s="46" t="s">
        <v>90</v>
      </c>
      <c r="B24" s="155"/>
      <c r="C24" s="156"/>
      <c r="D24" s="156"/>
      <c r="E24" s="156"/>
      <c r="F24" s="156"/>
      <c r="G24" s="156"/>
      <c r="H24" s="156"/>
      <c r="I24" s="156"/>
      <c r="J24" s="156"/>
      <c r="K24" s="156"/>
      <c r="L24" s="156"/>
      <c r="M24" s="156"/>
      <c r="N24" s="156"/>
      <c r="O24" s="156"/>
      <c r="P24" s="156"/>
      <c r="Q24" s="156"/>
      <c r="R24" s="156"/>
      <c r="S24" s="156"/>
      <c r="T24" s="156"/>
      <c r="U24" s="156"/>
      <c r="V24" s="156"/>
      <c r="W24" s="157"/>
    </row>
    <row r="25" spans="1:23" ht="59.25" customHeight="1">
      <c r="A25" s="46" t="s">
        <v>91</v>
      </c>
      <c r="B25" s="155"/>
      <c r="C25" s="156"/>
      <c r="D25" s="156"/>
      <c r="E25" s="156"/>
      <c r="F25" s="156"/>
      <c r="G25" s="156"/>
      <c r="H25" s="156"/>
      <c r="I25" s="156"/>
      <c r="J25" s="156"/>
      <c r="K25" s="156"/>
      <c r="L25" s="156"/>
      <c r="M25" s="156"/>
      <c r="N25" s="156"/>
      <c r="O25" s="156"/>
      <c r="P25" s="156"/>
      <c r="Q25" s="156"/>
      <c r="R25" s="156"/>
      <c r="S25" s="156"/>
      <c r="T25" s="156"/>
      <c r="U25" s="156"/>
      <c r="V25" s="156"/>
      <c r="W25" s="157"/>
    </row>
    <row r="26" spans="1:23" ht="59.25" customHeight="1">
      <c r="A26" s="46"/>
      <c r="B26" s="155"/>
      <c r="C26" s="156"/>
      <c r="D26" s="156"/>
      <c r="E26" s="156"/>
      <c r="F26" s="156"/>
      <c r="G26" s="156"/>
      <c r="H26" s="156"/>
      <c r="I26" s="156"/>
      <c r="J26" s="156"/>
      <c r="K26" s="156"/>
      <c r="L26" s="156"/>
      <c r="M26" s="156"/>
      <c r="N26" s="156"/>
      <c r="O26" s="156"/>
      <c r="P26" s="156"/>
      <c r="Q26" s="156"/>
      <c r="R26" s="156"/>
      <c r="S26" s="156"/>
      <c r="T26" s="156"/>
      <c r="U26" s="156"/>
      <c r="V26" s="156"/>
      <c r="W26" s="157"/>
    </row>
    <row r="27" spans="1:23" ht="59.25" customHeight="1">
      <c r="A27" s="46"/>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3" ht="59.25" customHeight="1">
      <c r="A28" s="46"/>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3" ht="59.25" customHeight="1">
      <c r="A29" s="46"/>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3" ht="59.25" customHeight="1">
      <c r="A30" s="46"/>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3" ht="59.25" customHeight="1">
      <c r="A31" s="46"/>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3" ht="59.25" customHeight="1">
      <c r="A32" s="46"/>
      <c r="B32" s="155"/>
      <c r="C32" s="156"/>
      <c r="D32" s="156"/>
      <c r="E32" s="156"/>
      <c r="F32" s="156"/>
      <c r="G32" s="156"/>
      <c r="H32" s="156"/>
      <c r="I32" s="156"/>
      <c r="J32" s="156"/>
      <c r="K32" s="156"/>
      <c r="L32" s="156"/>
      <c r="M32" s="156"/>
      <c r="N32" s="156"/>
      <c r="O32" s="156"/>
      <c r="P32" s="156"/>
      <c r="Q32" s="156"/>
      <c r="R32" s="156"/>
      <c r="S32" s="156"/>
      <c r="T32" s="156"/>
      <c r="U32" s="156"/>
      <c r="V32" s="156"/>
      <c r="W32" s="157"/>
    </row>
    <row r="33" spans="1:23" ht="59.25" customHeight="1">
      <c r="A33" s="46"/>
      <c r="B33" s="155"/>
      <c r="C33" s="156"/>
      <c r="D33" s="156"/>
      <c r="E33" s="156"/>
      <c r="F33" s="156"/>
      <c r="G33" s="156"/>
      <c r="H33" s="156"/>
      <c r="I33" s="156"/>
      <c r="J33" s="156"/>
      <c r="K33" s="156"/>
      <c r="L33" s="156"/>
      <c r="M33" s="156"/>
      <c r="N33" s="156"/>
      <c r="O33" s="156"/>
      <c r="P33" s="156"/>
      <c r="Q33" s="156"/>
      <c r="R33" s="156"/>
      <c r="S33" s="156"/>
      <c r="T33" s="156"/>
      <c r="U33" s="156"/>
      <c r="V33" s="156"/>
      <c r="W33" s="157"/>
    </row>
    <row r="34" spans="1:23" ht="59.25" customHeight="1">
      <c r="A34" s="46"/>
      <c r="B34" s="155"/>
      <c r="C34" s="156"/>
      <c r="D34" s="156"/>
      <c r="E34" s="156"/>
      <c r="F34" s="156"/>
      <c r="G34" s="156"/>
      <c r="H34" s="156"/>
      <c r="I34" s="156"/>
      <c r="J34" s="156"/>
      <c r="K34" s="156"/>
      <c r="L34" s="156"/>
      <c r="M34" s="156"/>
      <c r="N34" s="156"/>
      <c r="O34" s="156"/>
      <c r="P34" s="156"/>
      <c r="Q34" s="156"/>
      <c r="R34" s="156"/>
      <c r="S34" s="156"/>
      <c r="T34" s="156"/>
      <c r="U34" s="156"/>
      <c r="V34" s="156"/>
      <c r="W34" s="157"/>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0866141732283472" right="0.70866141732283472" top="0.74803149606299213" bottom="0.74803149606299213" header="0.31496062992125984" footer="0.31496062992125984"/>
  <pageSetup paperSize="9" scale="83" orientation="landscape"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Y188"/>
  <sheetViews>
    <sheetView workbookViewId="0">
      <selection sqref="A1:XFD1048576"/>
    </sheetView>
  </sheetViews>
  <sheetFormatPr defaultRowHeight="13.5"/>
  <cols>
    <col min="1" max="1" width="13.5" style="83" customWidth="1"/>
    <col min="2" max="2" width="79.125" style="83" customWidth="1"/>
    <col min="3" max="3" width="9.375" style="83" customWidth="1"/>
    <col min="4" max="23" width="4.125" style="83" customWidth="1"/>
    <col min="24" max="16384" width="9" style="83"/>
  </cols>
  <sheetData>
    <row r="1" spans="1:25" ht="85.5" customHeight="1">
      <c r="A1" s="81" t="str">
        <f ca="1">MID(CELL("filename",A1),FIND("[",CELL("filename",A1))+1,3)</f>
        <v>１－１</v>
      </c>
      <c r="B1" s="34" t="str">
        <f ca="1">RIGHT(CELL("filename",B1),LEN(CELL("filename",B1))-FIND("]",CELL("filename",B1)))</f>
        <v>生活</v>
      </c>
      <c r="C1" s="35" t="s">
        <v>26</v>
      </c>
      <c r="D1" s="36" t="str">
        <f>A15</f>
        <v>伊藤 志桜</v>
      </c>
      <c r="E1" s="36" t="str">
        <f>A16</f>
        <v>大滝 園乃</v>
      </c>
      <c r="F1" s="36" t="str">
        <f>A17</f>
        <v>片桐 生登</v>
      </c>
      <c r="G1" s="36" t="str">
        <f>A18</f>
        <v>上條 矢真人</v>
      </c>
      <c r="H1" s="36" t="str">
        <f>A19</f>
        <v>長澤 航真</v>
      </c>
      <c r="I1" s="36" t="str">
        <f>A20</f>
        <v>濱 凪咲</v>
      </c>
      <c r="J1" s="36" t="str">
        <f>A21</f>
        <v>藤井 日汰</v>
      </c>
      <c r="K1" s="36" t="str">
        <f>A22</f>
        <v>増澤 悠生</v>
      </c>
      <c r="L1" s="36" t="str">
        <f>A23</f>
        <v>松山 新</v>
      </c>
      <c r="M1" s="36" t="str">
        <f>A24</f>
        <v>務䑓 理紗</v>
      </c>
      <c r="N1" s="36" t="str">
        <f>A25</f>
        <v>綿貫 凰河</v>
      </c>
      <c r="O1" s="36">
        <f>A26</f>
        <v>0</v>
      </c>
      <c r="P1" s="36">
        <f>A27</f>
        <v>0</v>
      </c>
      <c r="Q1" s="36">
        <f>A28</f>
        <v>0</v>
      </c>
      <c r="R1" s="36">
        <f>A29</f>
        <v>0</v>
      </c>
      <c r="S1" s="36">
        <f>A30</f>
        <v>0</v>
      </c>
      <c r="T1" s="36">
        <f>A31</f>
        <v>0</v>
      </c>
      <c r="U1" s="36">
        <f>A32</f>
        <v>0</v>
      </c>
      <c r="V1" s="36">
        <f>A33</f>
        <v>0</v>
      </c>
      <c r="W1" s="36">
        <f>A34</f>
        <v>0</v>
      </c>
      <c r="X1" s="82"/>
    </row>
    <row r="2" spans="1:25" ht="22.5" customHeight="1">
      <c r="A2" s="158" t="s">
        <v>150</v>
      </c>
      <c r="B2" s="41" t="s">
        <v>60</v>
      </c>
      <c r="C2" s="38" t="s">
        <v>28</v>
      </c>
      <c r="D2" s="84" t="s">
        <v>152</v>
      </c>
      <c r="E2" s="84" t="s">
        <v>152</v>
      </c>
      <c r="F2" s="84" t="s">
        <v>79</v>
      </c>
      <c r="G2" s="84" t="s">
        <v>152</v>
      </c>
      <c r="H2" s="84" t="s">
        <v>155</v>
      </c>
      <c r="I2" s="84" t="s">
        <v>152</v>
      </c>
      <c r="J2" s="84" t="s">
        <v>152</v>
      </c>
      <c r="K2" s="84" t="s">
        <v>152</v>
      </c>
      <c r="L2" s="84" t="s">
        <v>155</v>
      </c>
      <c r="M2" s="84" t="s">
        <v>152</v>
      </c>
      <c r="N2" s="84" t="s">
        <v>152</v>
      </c>
      <c r="O2" s="84"/>
      <c r="P2" s="84"/>
      <c r="Q2" s="84"/>
      <c r="R2" s="84"/>
      <c r="S2" s="84"/>
      <c r="T2" s="84"/>
      <c r="U2" s="84"/>
      <c r="V2" s="84"/>
      <c r="W2" s="84"/>
      <c r="X2" s="85" t="s">
        <v>152</v>
      </c>
      <c r="Y2" s="85">
        <v>1</v>
      </c>
    </row>
    <row r="3" spans="1:25" ht="22.5" customHeight="1">
      <c r="A3" s="159"/>
      <c r="B3" s="41" t="s">
        <v>61</v>
      </c>
      <c r="C3" s="38" t="s">
        <v>28</v>
      </c>
      <c r="D3" s="84" t="s">
        <v>152</v>
      </c>
      <c r="E3" s="84" t="s">
        <v>156</v>
      </c>
      <c r="F3" s="84" t="s">
        <v>152</v>
      </c>
      <c r="G3" s="84" t="s">
        <v>152</v>
      </c>
      <c r="H3" s="84" t="s">
        <v>152</v>
      </c>
      <c r="I3" s="84" t="s">
        <v>152</v>
      </c>
      <c r="J3" s="84" t="s">
        <v>156</v>
      </c>
      <c r="K3" s="84" t="s">
        <v>146</v>
      </c>
      <c r="L3" s="84" t="s">
        <v>146</v>
      </c>
      <c r="M3" s="84" t="s">
        <v>152</v>
      </c>
      <c r="N3" s="84" t="s">
        <v>152</v>
      </c>
      <c r="O3" s="84"/>
      <c r="P3" s="84"/>
      <c r="Q3" s="84"/>
      <c r="R3" s="84"/>
      <c r="S3" s="84"/>
      <c r="T3" s="84"/>
      <c r="U3" s="84"/>
      <c r="V3" s="84"/>
      <c r="W3" s="84"/>
      <c r="X3" s="85" t="s">
        <v>145</v>
      </c>
      <c r="Y3" s="85">
        <v>2</v>
      </c>
    </row>
    <row r="4" spans="1:25" ht="22.5" customHeight="1">
      <c r="A4" s="159"/>
      <c r="B4" s="41" t="s">
        <v>62</v>
      </c>
      <c r="C4" s="38" t="s">
        <v>28</v>
      </c>
      <c r="D4" s="84" t="s">
        <v>146</v>
      </c>
      <c r="E4" s="84" t="s">
        <v>151</v>
      </c>
      <c r="F4" s="84" t="s">
        <v>152</v>
      </c>
      <c r="G4" s="84" t="s">
        <v>151</v>
      </c>
      <c r="H4" s="84" t="s">
        <v>152</v>
      </c>
      <c r="I4" s="84" t="s">
        <v>152</v>
      </c>
      <c r="J4" s="84" t="s">
        <v>155</v>
      </c>
      <c r="K4" s="84" t="s">
        <v>146</v>
      </c>
      <c r="L4" s="84" t="s">
        <v>152</v>
      </c>
      <c r="M4" s="84" t="s">
        <v>146</v>
      </c>
      <c r="N4" s="84" t="s">
        <v>146</v>
      </c>
      <c r="O4" s="84"/>
      <c r="P4" s="84"/>
      <c r="Q4" s="84"/>
      <c r="R4" s="84"/>
      <c r="S4" s="84"/>
      <c r="T4" s="84"/>
      <c r="U4" s="84"/>
      <c r="V4" s="84"/>
      <c r="W4" s="84"/>
      <c r="X4" s="85" t="s">
        <v>153</v>
      </c>
      <c r="Y4" s="85">
        <v>3</v>
      </c>
    </row>
    <row r="5" spans="1:25" ht="22.5" customHeight="1">
      <c r="A5" s="159"/>
      <c r="B5" s="41"/>
      <c r="C5" s="38" t="s">
        <v>28</v>
      </c>
      <c r="D5" s="84"/>
      <c r="E5" s="84"/>
      <c r="F5" s="84"/>
      <c r="G5" s="84"/>
      <c r="H5" s="84"/>
      <c r="I5" s="84"/>
      <c r="J5" s="84"/>
      <c r="K5" s="84"/>
      <c r="L5" s="84"/>
      <c r="M5" s="84"/>
      <c r="N5" s="84"/>
      <c r="O5" s="84"/>
      <c r="P5" s="84"/>
      <c r="Q5" s="84"/>
      <c r="R5" s="84"/>
      <c r="S5" s="84"/>
      <c r="T5" s="84"/>
      <c r="U5" s="84"/>
      <c r="V5" s="84"/>
      <c r="W5" s="84"/>
      <c r="X5" s="85" t="s">
        <v>148</v>
      </c>
      <c r="Y5" s="85">
        <v>4</v>
      </c>
    </row>
    <row r="6" spans="1:25" ht="22.5" customHeight="1">
      <c r="A6" s="159"/>
      <c r="B6" s="41"/>
      <c r="C6" s="38" t="s">
        <v>28</v>
      </c>
      <c r="D6" s="84"/>
      <c r="E6" s="84"/>
      <c r="F6" s="84"/>
      <c r="G6" s="84"/>
      <c r="H6" s="84"/>
      <c r="I6" s="84"/>
      <c r="J6" s="84"/>
      <c r="K6" s="84"/>
      <c r="L6" s="84"/>
      <c r="M6" s="84"/>
      <c r="N6" s="84"/>
      <c r="O6" s="84"/>
      <c r="P6" s="84"/>
      <c r="Q6" s="84"/>
      <c r="R6" s="84"/>
      <c r="S6" s="84"/>
      <c r="T6" s="84"/>
      <c r="U6" s="84"/>
      <c r="V6" s="84"/>
      <c r="W6" s="84"/>
      <c r="X6" s="85"/>
      <c r="Y6" s="85">
        <v>5</v>
      </c>
    </row>
    <row r="7" spans="1:25" ht="22.5" customHeight="1">
      <c r="A7" s="159"/>
      <c r="B7" s="41"/>
      <c r="C7" s="38" t="s">
        <v>28</v>
      </c>
      <c r="D7" s="84"/>
      <c r="E7" s="84"/>
      <c r="F7" s="84"/>
      <c r="G7" s="84"/>
      <c r="H7" s="84"/>
      <c r="I7" s="84"/>
      <c r="J7" s="84"/>
      <c r="K7" s="84"/>
      <c r="L7" s="84"/>
      <c r="M7" s="84"/>
      <c r="N7" s="84"/>
      <c r="O7" s="84"/>
      <c r="P7" s="84"/>
      <c r="Q7" s="84"/>
      <c r="R7" s="84"/>
      <c r="S7" s="84"/>
      <c r="T7" s="84"/>
      <c r="U7" s="84"/>
      <c r="V7" s="84"/>
      <c r="W7" s="84"/>
      <c r="X7" s="85"/>
      <c r="Y7" s="85" t="s">
        <v>148</v>
      </c>
    </row>
    <row r="8" spans="1:25" ht="22.5" customHeight="1">
      <c r="A8" s="159"/>
      <c r="B8" s="41"/>
      <c r="C8" s="38" t="s">
        <v>28</v>
      </c>
      <c r="D8" s="84"/>
      <c r="E8" s="84"/>
      <c r="F8" s="84"/>
      <c r="G8" s="84"/>
      <c r="H8" s="84"/>
      <c r="I8" s="84"/>
      <c r="J8" s="84"/>
      <c r="K8" s="84"/>
      <c r="L8" s="84"/>
      <c r="M8" s="84"/>
      <c r="N8" s="84"/>
      <c r="O8" s="84"/>
      <c r="P8" s="84"/>
      <c r="Q8" s="84"/>
      <c r="R8" s="84"/>
      <c r="S8" s="84"/>
      <c r="T8" s="84"/>
      <c r="U8" s="84"/>
      <c r="V8" s="84"/>
      <c r="W8" s="84"/>
    </row>
    <row r="9" spans="1:25" ht="22.5" customHeight="1">
      <c r="A9" s="159"/>
      <c r="B9" s="41"/>
      <c r="C9" s="38" t="s">
        <v>28</v>
      </c>
      <c r="D9" s="84"/>
      <c r="E9" s="84"/>
      <c r="F9" s="84"/>
      <c r="G9" s="84"/>
      <c r="H9" s="84"/>
      <c r="I9" s="84"/>
      <c r="J9" s="84"/>
      <c r="K9" s="84"/>
      <c r="L9" s="84"/>
      <c r="M9" s="84"/>
      <c r="N9" s="84"/>
      <c r="O9" s="84"/>
      <c r="P9" s="84"/>
      <c r="Q9" s="84"/>
      <c r="R9" s="84"/>
      <c r="S9" s="84"/>
      <c r="T9" s="84"/>
      <c r="U9" s="84"/>
      <c r="V9" s="84"/>
      <c r="W9" s="84"/>
    </row>
    <row r="10" spans="1:25" ht="22.5" customHeight="1">
      <c r="A10" s="159"/>
      <c r="B10" s="41"/>
      <c r="C10" s="38" t="s">
        <v>28</v>
      </c>
      <c r="D10" s="84"/>
      <c r="E10" s="84"/>
      <c r="F10" s="84"/>
      <c r="G10" s="84"/>
      <c r="H10" s="84"/>
      <c r="I10" s="84"/>
      <c r="J10" s="84"/>
      <c r="K10" s="84"/>
      <c r="L10" s="84"/>
      <c r="M10" s="84"/>
      <c r="N10" s="84"/>
      <c r="O10" s="84"/>
      <c r="P10" s="84"/>
      <c r="Q10" s="84"/>
      <c r="R10" s="84"/>
      <c r="S10" s="84"/>
      <c r="T10" s="84"/>
      <c r="U10" s="84"/>
      <c r="V10" s="84"/>
      <c r="W10" s="84"/>
    </row>
    <row r="11" spans="1:25" ht="22.5" customHeight="1">
      <c r="A11" s="159"/>
      <c r="B11" s="41"/>
      <c r="C11" s="38" t="s">
        <v>28</v>
      </c>
      <c r="D11" s="84"/>
      <c r="E11" s="84"/>
      <c r="F11" s="84"/>
      <c r="G11" s="84"/>
      <c r="H11" s="84"/>
      <c r="I11" s="84"/>
      <c r="J11" s="84"/>
      <c r="K11" s="84"/>
      <c r="L11" s="84"/>
      <c r="M11" s="84"/>
      <c r="N11" s="84"/>
      <c r="O11" s="84"/>
      <c r="P11" s="84"/>
      <c r="Q11" s="84"/>
      <c r="R11" s="84"/>
      <c r="S11" s="84"/>
      <c r="T11" s="84"/>
      <c r="U11" s="84"/>
      <c r="V11" s="84"/>
      <c r="W11" s="84"/>
    </row>
    <row r="12" spans="1:25" ht="30" customHeight="1">
      <c r="A12" s="160"/>
      <c r="B12" s="42"/>
      <c r="C12" s="43" t="s">
        <v>35</v>
      </c>
      <c r="D12" s="84">
        <v>5</v>
      </c>
      <c r="E12" s="84">
        <v>4</v>
      </c>
      <c r="F12" s="84">
        <v>5</v>
      </c>
      <c r="G12" s="84">
        <v>4</v>
      </c>
      <c r="H12" s="84">
        <v>5</v>
      </c>
      <c r="I12" s="84">
        <v>5</v>
      </c>
      <c r="J12" s="84">
        <v>5</v>
      </c>
      <c r="K12" s="84">
        <v>5</v>
      </c>
      <c r="L12" s="84">
        <v>5</v>
      </c>
      <c r="M12" s="84">
        <v>5</v>
      </c>
      <c r="N12" s="84">
        <v>5</v>
      </c>
      <c r="O12" s="84"/>
      <c r="P12" s="84"/>
      <c r="Q12" s="84"/>
      <c r="R12" s="84"/>
      <c r="S12" s="84"/>
      <c r="T12" s="84"/>
      <c r="U12" s="84"/>
      <c r="V12" s="84"/>
      <c r="W12" s="84"/>
    </row>
    <row r="13" spans="1:25" ht="26.25" customHeight="1">
      <c r="A13" s="86"/>
      <c r="B13" s="86"/>
      <c r="C13" s="79" t="s">
        <v>63</v>
      </c>
      <c r="D13" s="87"/>
      <c r="E13" s="87"/>
      <c r="F13" s="87"/>
      <c r="G13" s="87"/>
      <c r="H13" s="87"/>
      <c r="I13" s="87"/>
      <c r="J13" s="87"/>
      <c r="K13" s="87"/>
      <c r="L13" s="87"/>
      <c r="M13" s="87"/>
      <c r="N13" s="87"/>
      <c r="O13" s="87"/>
      <c r="P13" s="87"/>
      <c r="Q13" s="87"/>
      <c r="R13" s="87"/>
      <c r="S13" s="87"/>
      <c r="T13" s="87"/>
      <c r="U13" s="87"/>
      <c r="V13" s="87"/>
      <c r="W13" s="87"/>
    </row>
    <row r="14" spans="1:25" ht="22.5" customHeight="1">
      <c r="A14" s="45" t="s">
        <v>36</v>
      </c>
      <c r="B14" s="167" t="s">
        <v>37</v>
      </c>
      <c r="C14" s="168"/>
      <c r="D14" s="168"/>
      <c r="E14" s="168"/>
      <c r="F14" s="168"/>
      <c r="G14" s="168"/>
      <c r="H14" s="168"/>
      <c r="I14" s="168"/>
      <c r="J14" s="168"/>
      <c r="K14" s="168"/>
      <c r="L14" s="168"/>
      <c r="M14" s="168"/>
      <c r="N14" s="168"/>
      <c r="O14" s="168"/>
      <c r="P14" s="168"/>
      <c r="Q14" s="168"/>
      <c r="R14" s="168"/>
      <c r="S14" s="168"/>
      <c r="T14" s="168"/>
      <c r="U14" s="168"/>
      <c r="V14" s="168"/>
      <c r="W14" s="169"/>
    </row>
    <row r="15" spans="1:25" ht="59.25" customHeight="1">
      <c r="A15" s="88" t="s">
        <v>81</v>
      </c>
      <c r="B15" s="164"/>
      <c r="C15" s="165"/>
      <c r="D15" s="165"/>
      <c r="E15" s="165"/>
      <c r="F15" s="165"/>
      <c r="G15" s="165"/>
      <c r="H15" s="165"/>
      <c r="I15" s="165"/>
      <c r="J15" s="165"/>
      <c r="K15" s="165"/>
      <c r="L15" s="165"/>
      <c r="M15" s="165"/>
      <c r="N15" s="165"/>
      <c r="O15" s="165"/>
      <c r="P15" s="165"/>
      <c r="Q15" s="165"/>
      <c r="R15" s="165"/>
      <c r="S15" s="165"/>
      <c r="T15" s="165"/>
      <c r="U15" s="165"/>
      <c r="V15" s="165"/>
      <c r="W15" s="166"/>
    </row>
    <row r="16" spans="1:25" ht="59.25" customHeight="1">
      <c r="A16" s="88" t="s">
        <v>82</v>
      </c>
      <c r="B16" s="164" t="s">
        <v>92</v>
      </c>
      <c r="C16" s="165"/>
      <c r="D16" s="165"/>
      <c r="E16" s="165"/>
      <c r="F16" s="165"/>
      <c r="G16" s="165"/>
      <c r="H16" s="165"/>
      <c r="I16" s="165"/>
      <c r="J16" s="165"/>
      <c r="K16" s="165"/>
      <c r="L16" s="165"/>
      <c r="M16" s="165"/>
      <c r="N16" s="165"/>
      <c r="O16" s="165"/>
      <c r="P16" s="165"/>
      <c r="Q16" s="165"/>
      <c r="R16" s="165"/>
      <c r="S16" s="165"/>
      <c r="T16" s="165"/>
      <c r="U16" s="165"/>
      <c r="V16" s="165"/>
      <c r="W16" s="166"/>
    </row>
    <row r="17" spans="1:23" ht="59.25" customHeight="1">
      <c r="A17" s="88" t="s">
        <v>83</v>
      </c>
      <c r="B17" s="164" t="s">
        <v>93</v>
      </c>
      <c r="C17" s="165"/>
      <c r="D17" s="165"/>
      <c r="E17" s="165"/>
      <c r="F17" s="165"/>
      <c r="G17" s="165"/>
      <c r="H17" s="165"/>
      <c r="I17" s="165"/>
      <c r="J17" s="165"/>
      <c r="K17" s="165"/>
      <c r="L17" s="165"/>
      <c r="M17" s="165"/>
      <c r="N17" s="165"/>
      <c r="O17" s="165"/>
      <c r="P17" s="165"/>
      <c r="Q17" s="165"/>
      <c r="R17" s="165"/>
      <c r="S17" s="165"/>
      <c r="T17" s="165"/>
      <c r="U17" s="165"/>
      <c r="V17" s="165"/>
      <c r="W17" s="166"/>
    </row>
    <row r="18" spans="1:23" ht="59.25" customHeight="1">
      <c r="A18" s="88" t="s">
        <v>84</v>
      </c>
      <c r="B18" s="164" t="s">
        <v>94</v>
      </c>
      <c r="C18" s="165"/>
      <c r="D18" s="165"/>
      <c r="E18" s="165"/>
      <c r="F18" s="165"/>
      <c r="G18" s="165"/>
      <c r="H18" s="165"/>
      <c r="I18" s="165"/>
      <c r="J18" s="165"/>
      <c r="K18" s="165"/>
      <c r="L18" s="165"/>
      <c r="M18" s="165"/>
      <c r="N18" s="165"/>
      <c r="O18" s="165"/>
      <c r="P18" s="165"/>
      <c r="Q18" s="165"/>
      <c r="R18" s="165"/>
      <c r="S18" s="165"/>
      <c r="T18" s="165"/>
      <c r="U18" s="165"/>
      <c r="V18" s="165"/>
      <c r="W18" s="166"/>
    </row>
    <row r="19" spans="1:23" ht="59.25" customHeight="1">
      <c r="A19" s="88" t="s">
        <v>85</v>
      </c>
      <c r="B19" s="164"/>
      <c r="C19" s="165"/>
      <c r="D19" s="165"/>
      <c r="E19" s="165"/>
      <c r="F19" s="165"/>
      <c r="G19" s="165"/>
      <c r="H19" s="165"/>
      <c r="I19" s="165"/>
      <c r="J19" s="165"/>
      <c r="K19" s="165"/>
      <c r="L19" s="165"/>
      <c r="M19" s="165"/>
      <c r="N19" s="165"/>
      <c r="O19" s="165"/>
      <c r="P19" s="165"/>
      <c r="Q19" s="165"/>
      <c r="R19" s="165"/>
      <c r="S19" s="165"/>
      <c r="T19" s="165"/>
      <c r="U19" s="165"/>
      <c r="V19" s="165"/>
      <c r="W19" s="166"/>
    </row>
    <row r="20" spans="1:23" ht="59.25" customHeight="1">
      <c r="A20" s="88" t="s">
        <v>86</v>
      </c>
      <c r="B20" s="164" t="s">
        <v>95</v>
      </c>
      <c r="C20" s="165"/>
      <c r="D20" s="165"/>
      <c r="E20" s="165"/>
      <c r="F20" s="165"/>
      <c r="G20" s="165"/>
      <c r="H20" s="165"/>
      <c r="I20" s="165"/>
      <c r="J20" s="165"/>
      <c r="K20" s="165"/>
      <c r="L20" s="165"/>
      <c r="M20" s="165"/>
      <c r="N20" s="165"/>
      <c r="O20" s="165"/>
      <c r="P20" s="165"/>
      <c r="Q20" s="165"/>
      <c r="R20" s="165"/>
      <c r="S20" s="165"/>
      <c r="T20" s="165"/>
      <c r="U20" s="165"/>
      <c r="V20" s="165"/>
      <c r="W20" s="166"/>
    </row>
    <row r="21" spans="1:23" ht="59.25" customHeight="1">
      <c r="A21" s="88" t="s">
        <v>87</v>
      </c>
      <c r="B21" s="164"/>
      <c r="C21" s="165"/>
      <c r="D21" s="165"/>
      <c r="E21" s="165"/>
      <c r="F21" s="165"/>
      <c r="G21" s="165"/>
      <c r="H21" s="165"/>
      <c r="I21" s="165"/>
      <c r="J21" s="165"/>
      <c r="K21" s="165"/>
      <c r="L21" s="165"/>
      <c r="M21" s="165"/>
      <c r="N21" s="165"/>
      <c r="O21" s="165"/>
      <c r="P21" s="165"/>
      <c r="Q21" s="165"/>
      <c r="R21" s="165"/>
      <c r="S21" s="165"/>
      <c r="T21" s="165"/>
      <c r="U21" s="165"/>
      <c r="V21" s="165"/>
      <c r="W21" s="166"/>
    </row>
    <row r="22" spans="1:23" ht="59.25" customHeight="1">
      <c r="A22" s="88" t="s">
        <v>88</v>
      </c>
      <c r="B22" s="164"/>
      <c r="C22" s="165"/>
      <c r="D22" s="165"/>
      <c r="E22" s="165"/>
      <c r="F22" s="165"/>
      <c r="G22" s="165"/>
      <c r="H22" s="165"/>
      <c r="I22" s="165"/>
      <c r="J22" s="165"/>
      <c r="K22" s="165"/>
      <c r="L22" s="165"/>
      <c r="M22" s="165"/>
      <c r="N22" s="165"/>
      <c r="O22" s="165"/>
      <c r="P22" s="165"/>
      <c r="Q22" s="165"/>
      <c r="R22" s="165"/>
      <c r="S22" s="165"/>
      <c r="T22" s="165"/>
      <c r="U22" s="165"/>
      <c r="V22" s="165"/>
      <c r="W22" s="166"/>
    </row>
    <row r="23" spans="1:23" ht="59.25" customHeight="1">
      <c r="A23" s="88" t="s">
        <v>89</v>
      </c>
      <c r="B23" s="164"/>
      <c r="C23" s="165"/>
      <c r="D23" s="165"/>
      <c r="E23" s="165"/>
      <c r="F23" s="165"/>
      <c r="G23" s="165"/>
      <c r="H23" s="165"/>
      <c r="I23" s="165"/>
      <c r="J23" s="165"/>
      <c r="K23" s="165"/>
      <c r="L23" s="165"/>
      <c r="M23" s="165"/>
      <c r="N23" s="165"/>
      <c r="O23" s="165"/>
      <c r="P23" s="165"/>
      <c r="Q23" s="165"/>
      <c r="R23" s="165"/>
      <c r="S23" s="165"/>
      <c r="T23" s="165"/>
      <c r="U23" s="165"/>
      <c r="V23" s="165"/>
      <c r="W23" s="166"/>
    </row>
    <row r="24" spans="1:23" ht="59.25" customHeight="1">
      <c r="A24" s="88" t="s">
        <v>90</v>
      </c>
      <c r="B24" s="164" t="s">
        <v>96</v>
      </c>
      <c r="C24" s="165"/>
      <c r="D24" s="165"/>
      <c r="E24" s="165"/>
      <c r="F24" s="165"/>
      <c r="G24" s="165"/>
      <c r="H24" s="165"/>
      <c r="I24" s="165"/>
      <c r="J24" s="165"/>
      <c r="K24" s="165"/>
      <c r="L24" s="165"/>
      <c r="M24" s="165"/>
      <c r="N24" s="165"/>
      <c r="O24" s="165"/>
      <c r="P24" s="165"/>
      <c r="Q24" s="165"/>
      <c r="R24" s="165"/>
      <c r="S24" s="165"/>
      <c r="T24" s="165"/>
      <c r="U24" s="165"/>
      <c r="V24" s="165"/>
      <c r="W24" s="166"/>
    </row>
    <row r="25" spans="1:23" ht="59.25" customHeight="1">
      <c r="A25" s="88" t="s">
        <v>91</v>
      </c>
      <c r="B25" s="164" t="s">
        <v>97</v>
      </c>
      <c r="C25" s="165"/>
      <c r="D25" s="165"/>
      <c r="E25" s="165"/>
      <c r="F25" s="165"/>
      <c r="G25" s="165"/>
      <c r="H25" s="165"/>
      <c r="I25" s="165"/>
      <c r="J25" s="165"/>
      <c r="K25" s="165"/>
      <c r="L25" s="165"/>
      <c r="M25" s="165"/>
      <c r="N25" s="165"/>
      <c r="O25" s="165"/>
      <c r="P25" s="165"/>
      <c r="Q25" s="165"/>
      <c r="R25" s="165"/>
      <c r="S25" s="165"/>
      <c r="T25" s="165"/>
      <c r="U25" s="165"/>
      <c r="V25" s="165"/>
      <c r="W25" s="166"/>
    </row>
    <row r="26" spans="1:23" ht="59.25" customHeight="1">
      <c r="A26" s="88"/>
      <c r="B26" s="164"/>
      <c r="C26" s="165"/>
      <c r="D26" s="165"/>
      <c r="E26" s="165"/>
      <c r="F26" s="165"/>
      <c r="G26" s="165"/>
      <c r="H26" s="165"/>
      <c r="I26" s="165"/>
      <c r="J26" s="165"/>
      <c r="K26" s="165"/>
      <c r="L26" s="165"/>
      <c r="M26" s="165"/>
      <c r="N26" s="165"/>
      <c r="O26" s="165"/>
      <c r="P26" s="165"/>
      <c r="Q26" s="165"/>
      <c r="R26" s="165"/>
      <c r="S26" s="165"/>
      <c r="T26" s="165"/>
      <c r="U26" s="165"/>
      <c r="V26" s="165"/>
      <c r="W26" s="166"/>
    </row>
    <row r="27" spans="1:23" ht="59.25" customHeight="1">
      <c r="A27" s="88"/>
      <c r="B27" s="164"/>
      <c r="C27" s="165"/>
      <c r="D27" s="165"/>
      <c r="E27" s="165"/>
      <c r="F27" s="165"/>
      <c r="G27" s="165"/>
      <c r="H27" s="165"/>
      <c r="I27" s="165"/>
      <c r="J27" s="165"/>
      <c r="K27" s="165"/>
      <c r="L27" s="165"/>
      <c r="M27" s="165"/>
      <c r="N27" s="165"/>
      <c r="O27" s="165"/>
      <c r="P27" s="165"/>
      <c r="Q27" s="165"/>
      <c r="R27" s="165"/>
      <c r="S27" s="165"/>
      <c r="T27" s="165"/>
      <c r="U27" s="165"/>
      <c r="V27" s="165"/>
      <c r="W27" s="166"/>
    </row>
    <row r="28" spans="1:23" ht="59.25" customHeight="1">
      <c r="A28" s="88"/>
      <c r="B28" s="164"/>
      <c r="C28" s="165"/>
      <c r="D28" s="165"/>
      <c r="E28" s="165"/>
      <c r="F28" s="165"/>
      <c r="G28" s="165"/>
      <c r="H28" s="165"/>
      <c r="I28" s="165"/>
      <c r="J28" s="165"/>
      <c r="K28" s="165"/>
      <c r="L28" s="165"/>
      <c r="M28" s="165"/>
      <c r="N28" s="165"/>
      <c r="O28" s="165"/>
      <c r="P28" s="165"/>
      <c r="Q28" s="165"/>
      <c r="R28" s="165"/>
      <c r="S28" s="165"/>
      <c r="T28" s="165"/>
      <c r="U28" s="165"/>
      <c r="V28" s="165"/>
      <c r="W28" s="166"/>
    </row>
    <row r="29" spans="1:23" ht="59.25" customHeight="1">
      <c r="A29" s="88"/>
      <c r="B29" s="164"/>
      <c r="C29" s="165"/>
      <c r="D29" s="165"/>
      <c r="E29" s="165"/>
      <c r="F29" s="165"/>
      <c r="G29" s="165"/>
      <c r="H29" s="165"/>
      <c r="I29" s="165"/>
      <c r="J29" s="165"/>
      <c r="K29" s="165"/>
      <c r="L29" s="165"/>
      <c r="M29" s="165"/>
      <c r="N29" s="165"/>
      <c r="O29" s="165"/>
      <c r="P29" s="165"/>
      <c r="Q29" s="165"/>
      <c r="R29" s="165"/>
      <c r="S29" s="165"/>
      <c r="T29" s="165"/>
      <c r="U29" s="165"/>
      <c r="V29" s="165"/>
      <c r="W29" s="166"/>
    </row>
    <row r="30" spans="1:23" ht="59.25" customHeight="1">
      <c r="A30" s="88"/>
      <c r="B30" s="164"/>
      <c r="C30" s="165"/>
      <c r="D30" s="165"/>
      <c r="E30" s="165"/>
      <c r="F30" s="165"/>
      <c r="G30" s="165"/>
      <c r="H30" s="165"/>
      <c r="I30" s="165"/>
      <c r="J30" s="165"/>
      <c r="K30" s="165"/>
      <c r="L30" s="165"/>
      <c r="M30" s="165"/>
      <c r="N30" s="165"/>
      <c r="O30" s="165"/>
      <c r="P30" s="165"/>
      <c r="Q30" s="165"/>
      <c r="R30" s="165"/>
      <c r="S30" s="165"/>
      <c r="T30" s="165"/>
      <c r="U30" s="165"/>
      <c r="V30" s="165"/>
      <c r="W30" s="166"/>
    </row>
    <row r="31" spans="1:23" ht="59.25" customHeight="1">
      <c r="A31" s="88"/>
      <c r="B31" s="164"/>
      <c r="C31" s="165"/>
      <c r="D31" s="165"/>
      <c r="E31" s="165"/>
      <c r="F31" s="165"/>
      <c r="G31" s="165"/>
      <c r="H31" s="165"/>
      <c r="I31" s="165"/>
      <c r="J31" s="165"/>
      <c r="K31" s="165"/>
      <c r="L31" s="165"/>
      <c r="M31" s="165"/>
      <c r="N31" s="165"/>
      <c r="O31" s="165"/>
      <c r="P31" s="165"/>
      <c r="Q31" s="165"/>
      <c r="R31" s="165"/>
      <c r="S31" s="165"/>
      <c r="T31" s="165"/>
      <c r="U31" s="165"/>
      <c r="V31" s="165"/>
      <c r="W31" s="166"/>
    </row>
    <row r="32" spans="1:23" ht="59.25" customHeight="1">
      <c r="A32" s="88"/>
      <c r="B32" s="164"/>
      <c r="C32" s="165"/>
      <c r="D32" s="165"/>
      <c r="E32" s="165"/>
      <c r="F32" s="165"/>
      <c r="G32" s="165"/>
      <c r="H32" s="165"/>
      <c r="I32" s="165"/>
      <c r="J32" s="165"/>
      <c r="K32" s="165"/>
      <c r="L32" s="165"/>
      <c r="M32" s="165"/>
      <c r="N32" s="165"/>
      <c r="O32" s="165"/>
      <c r="P32" s="165"/>
      <c r="Q32" s="165"/>
      <c r="R32" s="165"/>
      <c r="S32" s="165"/>
      <c r="T32" s="165"/>
      <c r="U32" s="165"/>
      <c r="V32" s="165"/>
      <c r="W32" s="166"/>
    </row>
    <row r="33" spans="1:23" ht="59.25" customHeight="1">
      <c r="A33" s="88"/>
      <c r="B33" s="164"/>
      <c r="C33" s="165"/>
      <c r="D33" s="165"/>
      <c r="E33" s="165"/>
      <c r="F33" s="165"/>
      <c r="G33" s="165"/>
      <c r="H33" s="165"/>
      <c r="I33" s="165"/>
      <c r="J33" s="165"/>
      <c r="K33" s="165"/>
      <c r="L33" s="165"/>
      <c r="M33" s="165"/>
      <c r="N33" s="165"/>
      <c r="O33" s="165"/>
      <c r="P33" s="165"/>
      <c r="Q33" s="165"/>
      <c r="R33" s="165"/>
      <c r="S33" s="165"/>
      <c r="T33" s="165"/>
      <c r="U33" s="165"/>
      <c r="V33" s="165"/>
      <c r="W33" s="166"/>
    </row>
    <row r="34" spans="1:23" ht="59.25" customHeight="1">
      <c r="A34" s="88"/>
      <c r="B34" s="164"/>
      <c r="C34" s="165"/>
      <c r="D34" s="165"/>
      <c r="E34" s="165"/>
      <c r="F34" s="165"/>
      <c r="G34" s="165"/>
      <c r="H34" s="165"/>
      <c r="I34" s="165"/>
      <c r="J34" s="165"/>
      <c r="K34" s="165"/>
      <c r="L34" s="165"/>
      <c r="M34" s="165"/>
      <c r="N34" s="165"/>
      <c r="O34" s="165"/>
      <c r="P34" s="165"/>
      <c r="Q34" s="165"/>
      <c r="R34" s="165"/>
      <c r="S34" s="165"/>
      <c r="T34" s="165"/>
      <c r="U34" s="165"/>
      <c r="V34" s="165"/>
      <c r="W34" s="166"/>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１－１</v>
      </c>
      <c r="B1" s="34" t="str">
        <f ca="1">RIGHT(CELL("filename",B1),LEN(CELL("filename",B1))-FIND("]",CELL("filename",B1)))</f>
        <v>英語</v>
      </c>
      <c r="C1" s="35" t="s">
        <v>26</v>
      </c>
      <c r="D1" s="36" t="str">
        <f>A15</f>
        <v>伊藤 志桜</v>
      </c>
      <c r="E1" s="36" t="str">
        <f>A16</f>
        <v>大滝 園乃</v>
      </c>
      <c r="F1" s="36" t="str">
        <f>A17</f>
        <v>片桐 生登</v>
      </c>
      <c r="G1" s="36" t="str">
        <f>A18</f>
        <v>上條 矢真人</v>
      </c>
      <c r="H1" s="36" t="str">
        <f>A19</f>
        <v>長澤 航真</v>
      </c>
      <c r="I1" s="36" t="str">
        <f>A20</f>
        <v>濱 凪咲</v>
      </c>
      <c r="J1" s="36" t="str">
        <f>A21</f>
        <v>藤井 日汰</v>
      </c>
      <c r="K1" s="36" t="str">
        <f>A22</f>
        <v>増澤 悠生</v>
      </c>
      <c r="L1" s="36" t="str">
        <f>A23</f>
        <v>松山 新</v>
      </c>
      <c r="M1" s="36" t="str">
        <f>A24</f>
        <v>務䑓 理紗</v>
      </c>
      <c r="N1" s="36" t="str">
        <f>A25</f>
        <v>綿貫 凰河</v>
      </c>
      <c r="O1" s="36">
        <f>A26</f>
        <v>0</v>
      </c>
      <c r="P1" s="36">
        <f>A27</f>
        <v>0</v>
      </c>
      <c r="Q1" s="36">
        <f>A28</f>
        <v>0</v>
      </c>
      <c r="R1" s="36">
        <f>A29</f>
        <v>0</v>
      </c>
      <c r="S1" s="36">
        <f>A30</f>
        <v>0</v>
      </c>
      <c r="T1" s="36">
        <f>A31</f>
        <v>0</v>
      </c>
      <c r="U1" s="36">
        <f>A32</f>
        <v>0</v>
      </c>
      <c r="V1" s="36">
        <f>A33</f>
        <v>0</v>
      </c>
      <c r="W1" s="36">
        <f>A34</f>
        <v>0</v>
      </c>
      <c r="X1" s="37"/>
    </row>
    <row r="2" spans="1:25" ht="22.5" customHeight="1">
      <c r="A2" s="158" t="s">
        <v>157</v>
      </c>
      <c r="B2" s="41" t="s">
        <v>64</v>
      </c>
      <c r="C2" s="38" t="s">
        <v>28</v>
      </c>
      <c r="D2" s="39" t="s">
        <v>158</v>
      </c>
      <c r="E2" s="39" t="s">
        <v>158</v>
      </c>
      <c r="F2" s="39" t="s">
        <v>158</v>
      </c>
      <c r="G2" s="39" t="s">
        <v>158</v>
      </c>
      <c r="H2" s="39" t="s">
        <v>159</v>
      </c>
      <c r="I2" s="39" t="s">
        <v>159</v>
      </c>
      <c r="J2" s="39" t="s">
        <v>158</v>
      </c>
      <c r="K2" s="39" t="s">
        <v>158</v>
      </c>
      <c r="L2" s="39" t="s">
        <v>158</v>
      </c>
      <c r="M2" s="39" t="s">
        <v>158</v>
      </c>
      <c r="N2" s="39" t="s">
        <v>146</v>
      </c>
      <c r="O2" s="39"/>
      <c r="P2" s="39"/>
      <c r="Q2" s="39"/>
      <c r="R2" s="39"/>
      <c r="S2" s="39"/>
      <c r="T2" s="39"/>
      <c r="U2" s="39"/>
      <c r="V2" s="39"/>
      <c r="W2" s="39"/>
      <c r="X2" s="40" t="s">
        <v>146</v>
      </c>
      <c r="Y2" s="40">
        <v>1</v>
      </c>
    </row>
    <row r="3" spans="1:25" ht="22.5" customHeight="1">
      <c r="A3" s="159"/>
      <c r="B3" s="41" t="s">
        <v>65</v>
      </c>
      <c r="C3" s="38" t="s">
        <v>28</v>
      </c>
      <c r="D3" s="39" t="s">
        <v>158</v>
      </c>
      <c r="E3" s="39" t="s">
        <v>158</v>
      </c>
      <c r="F3" s="39" t="s">
        <v>158</v>
      </c>
      <c r="G3" s="39" t="s">
        <v>146</v>
      </c>
      <c r="H3" s="39" t="s">
        <v>159</v>
      </c>
      <c r="I3" s="39" t="s">
        <v>146</v>
      </c>
      <c r="J3" s="39" t="s">
        <v>146</v>
      </c>
      <c r="K3" s="39" t="s">
        <v>146</v>
      </c>
      <c r="L3" s="39" t="s">
        <v>146</v>
      </c>
      <c r="M3" s="39" t="s">
        <v>158</v>
      </c>
      <c r="N3" s="39" t="s">
        <v>145</v>
      </c>
      <c r="O3" s="39"/>
      <c r="P3" s="39"/>
      <c r="Q3" s="39"/>
      <c r="R3" s="39"/>
      <c r="S3" s="39"/>
      <c r="T3" s="39"/>
      <c r="U3" s="39"/>
      <c r="V3" s="39"/>
      <c r="W3" s="39"/>
      <c r="X3" s="40" t="s">
        <v>145</v>
      </c>
      <c r="Y3" s="40">
        <v>2</v>
      </c>
    </row>
    <row r="4" spans="1:25" ht="22.5" customHeight="1">
      <c r="A4" s="159"/>
      <c r="B4" s="41" t="s">
        <v>66</v>
      </c>
      <c r="C4" s="38" t="s">
        <v>28</v>
      </c>
      <c r="D4" s="39" t="s">
        <v>158</v>
      </c>
      <c r="E4" s="39" t="s">
        <v>146</v>
      </c>
      <c r="F4" s="39" t="s">
        <v>158</v>
      </c>
      <c r="G4" s="39" t="s">
        <v>146</v>
      </c>
      <c r="H4" s="39" t="s">
        <v>145</v>
      </c>
      <c r="I4" s="39" t="s">
        <v>146</v>
      </c>
      <c r="J4" s="39" t="s">
        <v>158</v>
      </c>
      <c r="K4" s="39" t="s">
        <v>158</v>
      </c>
      <c r="L4" s="39" t="s">
        <v>146</v>
      </c>
      <c r="M4" s="39" t="s">
        <v>158</v>
      </c>
      <c r="N4" s="39" t="s">
        <v>159</v>
      </c>
      <c r="O4" s="39"/>
      <c r="P4" s="39"/>
      <c r="Q4" s="39"/>
      <c r="R4" s="39"/>
      <c r="S4" s="39"/>
      <c r="T4" s="39"/>
      <c r="U4" s="39"/>
      <c r="V4" s="39"/>
      <c r="W4" s="39"/>
      <c r="X4" s="40" t="s">
        <v>147</v>
      </c>
      <c r="Y4" s="40">
        <v>3</v>
      </c>
    </row>
    <row r="5" spans="1:25" ht="22.5" customHeight="1">
      <c r="A5" s="159"/>
      <c r="B5" s="41" t="s">
        <v>67</v>
      </c>
      <c r="C5" s="38" t="s">
        <v>28</v>
      </c>
      <c r="D5" s="39" t="s">
        <v>146</v>
      </c>
      <c r="E5" s="39" t="s">
        <v>146</v>
      </c>
      <c r="F5" s="39" t="s">
        <v>146</v>
      </c>
      <c r="G5" s="39" t="s">
        <v>146</v>
      </c>
      <c r="H5" s="39" t="s">
        <v>145</v>
      </c>
      <c r="I5" s="39" t="s">
        <v>145</v>
      </c>
      <c r="J5" s="39" t="s">
        <v>158</v>
      </c>
      <c r="K5" s="39" t="s">
        <v>158</v>
      </c>
      <c r="L5" s="39" t="s">
        <v>158</v>
      </c>
      <c r="M5" s="39" t="s">
        <v>146</v>
      </c>
      <c r="N5" s="39" t="s">
        <v>146</v>
      </c>
      <c r="O5" s="39"/>
      <c r="P5" s="39"/>
      <c r="Q5" s="39"/>
      <c r="R5" s="39"/>
      <c r="S5" s="39"/>
      <c r="T5" s="39"/>
      <c r="U5" s="39"/>
      <c r="V5" s="39"/>
      <c r="W5" s="39"/>
      <c r="X5" s="40" t="s">
        <v>160</v>
      </c>
      <c r="Y5" s="40">
        <v>4</v>
      </c>
    </row>
    <row r="6" spans="1:25" ht="22.5" customHeight="1">
      <c r="A6" s="159"/>
      <c r="B6" s="41" t="s">
        <v>68</v>
      </c>
      <c r="C6" s="38" t="s">
        <v>28</v>
      </c>
      <c r="D6" s="39" t="s">
        <v>146</v>
      </c>
      <c r="E6" s="39" t="s">
        <v>146</v>
      </c>
      <c r="F6" s="39" t="s">
        <v>158</v>
      </c>
      <c r="G6" s="39" t="s">
        <v>146</v>
      </c>
      <c r="H6" s="39" t="s">
        <v>146</v>
      </c>
      <c r="I6" s="39" t="s">
        <v>158</v>
      </c>
      <c r="J6" s="39" t="s">
        <v>146</v>
      </c>
      <c r="K6" s="39" t="s">
        <v>146</v>
      </c>
      <c r="L6" s="39" t="s">
        <v>146</v>
      </c>
      <c r="M6" s="39" t="s">
        <v>146</v>
      </c>
      <c r="N6" s="39" t="s">
        <v>146</v>
      </c>
      <c r="O6" s="39"/>
      <c r="P6" s="39"/>
      <c r="Q6" s="39"/>
      <c r="R6" s="39"/>
      <c r="S6" s="39"/>
      <c r="T6" s="39"/>
      <c r="U6" s="39"/>
      <c r="V6" s="39"/>
      <c r="W6" s="39"/>
      <c r="X6" s="40"/>
      <c r="Y6" s="40">
        <v>5</v>
      </c>
    </row>
    <row r="7" spans="1:25" ht="22.5" customHeight="1">
      <c r="A7" s="159"/>
      <c r="B7" s="41"/>
      <c r="C7" s="38" t="s">
        <v>28</v>
      </c>
      <c r="D7" s="39"/>
      <c r="E7" s="39"/>
      <c r="F7" s="39"/>
      <c r="G7" s="39"/>
      <c r="H7" s="39"/>
      <c r="I7" s="39"/>
      <c r="J7" s="39"/>
      <c r="K7" s="39"/>
      <c r="L7" s="39"/>
      <c r="M7" s="39"/>
      <c r="N7" s="39"/>
      <c r="O7" s="39"/>
      <c r="P7" s="39"/>
      <c r="Q7" s="39"/>
      <c r="R7" s="39"/>
      <c r="S7" s="39"/>
      <c r="T7" s="39"/>
      <c r="U7" s="39"/>
      <c r="V7" s="39"/>
      <c r="W7" s="39"/>
      <c r="X7" s="40"/>
      <c r="Y7" s="40" t="s">
        <v>148</v>
      </c>
    </row>
    <row r="8" spans="1:25" ht="22.5" customHeight="1">
      <c r="A8" s="159"/>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9"/>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9"/>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9"/>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60"/>
      <c r="B12" s="42"/>
      <c r="C12" s="43" t="s">
        <v>35</v>
      </c>
      <c r="D12" s="39">
        <v>5</v>
      </c>
      <c r="E12" s="39">
        <v>5</v>
      </c>
      <c r="F12" s="39">
        <v>5</v>
      </c>
      <c r="G12" s="39">
        <v>5</v>
      </c>
      <c r="H12" s="39">
        <v>3</v>
      </c>
      <c r="I12" s="39">
        <v>4</v>
      </c>
      <c r="J12" s="39">
        <v>5</v>
      </c>
      <c r="K12" s="39">
        <v>5</v>
      </c>
      <c r="L12" s="39">
        <v>5</v>
      </c>
      <c r="M12" s="39">
        <v>5</v>
      </c>
      <c r="N12" s="39">
        <v>4</v>
      </c>
      <c r="O12" s="39"/>
      <c r="P12" s="39"/>
      <c r="Q12" s="39"/>
      <c r="R12" s="39"/>
      <c r="S12" s="39"/>
      <c r="T12" s="39"/>
      <c r="U12" s="39"/>
      <c r="V12" s="39"/>
      <c r="W12" s="39"/>
    </row>
    <row r="13" spans="1:25" ht="26.25" customHeight="1">
      <c r="A13" s="44"/>
      <c r="B13" s="44"/>
      <c r="C13" s="79" t="s">
        <v>63</v>
      </c>
      <c r="D13" s="80"/>
      <c r="E13" s="80"/>
      <c r="F13" s="80"/>
      <c r="G13" s="80"/>
      <c r="H13" s="80"/>
      <c r="I13" s="80"/>
      <c r="J13" s="80"/>
      <c r="K13" s="80"/>
      <c r="L13" s="80"/>
      <c r="M13" s="80"/>
      <c r="N13" s="80"/>
      <c r="O13" s="80"/>
      <c r="P13" s="80"/>
      <c r="Q13" s="80"/>
      <c r="R13" s="80"/>
      <c r="S13" s="80"/>
      <c r="T13" s="80"/>
      <c r="U13" s="80"/>
      <c r="V13" s="80"/>
      <c r="W13" s="80"/>
    </row>
    <row r="14" spans="1:25" ht="22.5" customHeight="1">
      <c r="A14" s="45" t="s">
        <v>36</v>
      </c>
      <c r="B14" s="161" t="s">
        <v>37</v>
      </c>
      <c r="C14" s="162"/>
      <c r="D14" s="162"/>
      <c r="E14" s="162"/>
      <c r="F14" s="162"/>
      <c r="G14" s="162"/>
      <c r="H14" s="162"/>
      <c r="I14" s="162"/>
      <c r="J14" s="162"/>
      <c r="K14" s="162"/>
      <c r="L14" s="162"/>
      <c r="M14" s="162"/>
      <c r="N14" s="162"/>
      <c r="O14" s="162"/>
      <c r="P14" s="162"/>
      <c r="Q14" s="162"/>
      <c r="R14" s="162"/>
      <c r="S14" s="162"/>
      <c r="T14" s="162"/>
      <c r="U14" s="162"/>
      <c r="V14" s="162"/>
      <c r="W14" s="163"/>
    </row>
    <row r="15" spans="1:25" ht="59.25" customHeight="1">
      <c r="A15" s="46" t="s">
        <v>81</v>
      </c>
      <c r="B15" s="155"/>
      <c r="C15" s="156"/>
      <c r="D15" s="156"/>
      <c r="E15" s="156"/>
      <c r="F15" s="156"/>
      <c r="G15" s="156"/>
      <c r="H15" s="156"/>
      <c r="I15" s="156"/>
      <c r="J15" s="156"/>
      <c r="K15" s="156"/>
      <c r="L15" s="156"/>
      <c r="M15" s="156"/>
      <c r="N15" s="156"/>
      <c r="O15" s="156"/>
      <c r="P15" s="156"/>
      <c r="Q15" s="156"/>
      <c r="R15" s="156"/>
      <c r="S15" s="156"/>
      <c r="T15" s="156"/>
      <c r="U15" s="156"/>
      <c r="V15" s="156"/>
      <c r="W15" s="157"/>
    </row>
    <row r="16" spans="1:25" ht="59.25" customHeight="1">
      <c r="A16" s="46" t="s">
        <v>82</v>
      </c>
      <c r="B16" s="155"/>
      <c r="C16" s="156"/>
      <c r="D16" s="156"/>
      <c r="E16" s="156"/>
      <c r="F16" s="156"/>
      <c r="G16" s="156"/>
      <c r="H16" s="156"/>
      <c r="I16" s="156"/>
      <c r="J16" s="156"/>
      <c r="K16" s="156"/>
      <c r="L16" s="156"/>
      <c r="M16" s="156"/>
      <c r="N16" s="156"/>
      <c r="O16" s="156"/>
      <c r="P16" s="156"/>
      <c r="Q16" s="156"/>
      <c r="R16" s="156"/>
      <c r="S16" s="156"/>
      <c r="T16" s="156"/>
      <c r="U16" s="156"/>
      <c r="V16" s="156"/>
      <c r="W16" s="157"/>
    </row>
    <row r="17" spans="1:23" ht="59.25" customHeight="1">
      <c r="A17" s="46" t="s">
        <v>83</v>
      </c>
      <c r="B17" s="155"/>
      <c r="C17" s="156"/>
      <c r="D17" s="156"/>
      <c r="E17" s="156"/>
      <c r="F17" s="156"/>
      <c r="G17" s="156"/>
      <c r="H17" s="156"/>
      <c r="I17" s="156"/>
      <c r="J17" s="156"/>
      <c r="K17" s="156"/>
      <c r="L17" s="156"/>
      <c r="M17" s="156"/>
      <c r="N17" s="156"/>
      <c r="O17" s="156"/>
      <c r="P17" s="156"/>
      <c r="Q17" s="156"/>
      <c r="R17" s="156"/>
      <c r="S17" s="156"/>
      <c r="T17" s="156"/>
      <c r="U17" s="156"/>
      <c r="V17" s="156"/>
      <c r="W17" s="157"/>
    </row>
    <row r="18" spans="1:23" ht="59.25" customHeight="1">
      <c r="A18" s="46" t="s">
        <v>84</v>
      </c>
      <c r="B18" s="155"/>
      <c r="C18" s="156"/>
      <c r="D18" s="156"/>
      <c r="E18" s="156"/>
      <c r="F18" s="156"/>
      <c r="G18" s="156"/>
      <c r="H18" s="156"/>
      <c r="I18" s="156"/>
      <c r="J18" s="156"/>
      <c r="K18" s="156"/>
      <c r="L18" s="156"/>
      <c r="M18" s="156"/>
      <c r="N18" s="156"/>
      <c r="O18" s="156"/>
      <c r="P18" s="156"/>
      <c r="Q18" s="156"/>
      <c r="R18" s="156"/>
      <c r="S18" s="156"/>
      <c r="T18" s="156"/>
      <c r="U18" s="156"/>
      <c r="V18" s="156"/>
      <c r="W18" s="157"/>
    </row>
    <row r="19" spans="1:23" ht="59.25" customHeight="1">
      <c r="A19" s="46" t="s">
        <v>85</v>
      </c>
      <c r="B19" s="155"/>
      <c r="C19" s="156"/>
      <c r="D19" s="156"/>
      <c r="E19" s="156"/>
      <c r="F19" s="156"/>
      <c r="G19" s="156"/>
      <c r="H19" s="156"/>
      <c r="I19" s="156"/>
      <c r="J19" s="156"/>
      <c r="K19" s="156"/>
      <c r="L19" s="156"/>
      <c r="M19" s="156"/>
      <c r="N19" s="156"/>
      <c r="O19" s="156"/>
      <c r="P19" s="156"/>
      <c r="Q19" s="156"/>
      <c r="R19" s="156"/>
      <c r="S19" s="156"/>
      <c r="T19" s="156"/>
      <c r="U19" s="156"/>
      <c r="V19" s="156"/>
      <c r="W19" s="157"/>
    </row>
    <row r="20" spans="1:23" ht="59.25" customHeight="1">
      <c r="A20" s="46" t="s">
        <v>86</v>
      </c>
      <c r="B20" s="155"/>
      <c r="C20" s="156"/>
      <c r="D20" s="156"/>
      <c r="E20" s="156"/>
      <c r="F20" s="156"/>
      <c r="G20" s="156"/>
      <c r="H20" s="156"/>
      <c r="I20" s="156"/>
      <c r="J20" s="156"/>
      <c r="K20" s="156"/>
      <c r="L20" s="156"/>
      <c r="M20" s="156"/>
      <c r="N20" s="156"/>
      <c r="O20" s="156"/>
      <c r="P20" s="156"/>
      <c r="Q20" s="156"/>
      <c r="R20" s="156"/>
      <c r="S20" s="156"/>
      <c r="T20" s="156"/>
      <c r="U20" s="156"/>
      <c r="V20" s="156"/>
      <c r="W20" s="157"/>
    </row>
    <row r="21" spans="1:23" ht="59.25" customHeight="1">
      <c r="A21" s="46" t="s">
        <v>87</v>
      </c>
      <c r="B21" s="155"/>
      <c r="C21" s="156"/>
      <c r="D21" s="156"/>
      <c r="E21" s="156"/>
      <c r="F21" s="156"/>
      <c r="G21" s="156"/>
      <c r="H21" s="156"/>
      <c r="I21" s="156"/>
      <c r="J21" s="156"/>
      <c r="K21" s="156"/>
      <c r="L21" s="156"/>
      <c r="M21" s="156"/>
      <c r="N21" s="156"/>
      <c r="O21" s="156"/>
      <c r="P21" s="156"/>
      <c r="Q21" s="156"/>
      <c r="R21" s="156"/>
      <c r="S21" s="156"/>
      <c r="T21" s="156"/>
      <c r="U21" s="156"/>
      <c r="V21" s="156"/>
      <c r="W21" s="157"/>
    </row>
    <row r="22" spans="1:23" ht="59.25" customHeight="1">
      <c r="A22" s="46" t="s">
        <v>88</v>
      </c>
      <c r="B22" s="155"/>
      <c r="C22" s="156"/>
      <c r="D22" s="156"/>
      <c r="E22" s="156"/>
      <c r="F22" s="156"/>
      <c r="G22" s="156"/>
      <c r="H22" s="156"/>
      <c r="I22" s="156"/>
      <c r="J22" s="156"/>
      <c r="K22" s="156"/>
      <c r="L22" s="156"/>
      <c r="M22" s="156"/>
      <c r="N22" s="156"/>
      <c r="O22" s="156"/>
      <c r="P22" s="156"/>
      <c r="Q22" s="156"/>
      <c r="R22" s="156"/>
      <c r="S22" s="156"/>
      <c r="T22" s="156"/>
      <c r="U22" s="156"/>
      <c r="V22" s="156"/>
      <c r="W22" s="157"/>
    </row>
    <row r="23" spans="1:23" ht="59.25" customHeight="1">
      <c r="A23" s="46" t="s">
        <v>89</v>
      </c>
      <c r="B23" s="155"/>
      <c r="C23" s="156"/>
      <c r="D23" s="156"/>
      <c r="E23" s="156"/>
      <c r="F23" s="156"/>
      <c r="G23" s="156"/>
      <c r="H23" s="156"/>
      <c r="I23" s="156"/>
      <c r="J23" s="156"/>
      <c r="K23" s="156"/>
      <c r="L23" s="156"/>
      <c r="M23" s="156"/>
      <c r="N23" s="156"/>
      <c r="O23" s="156"/>
      <c r="P23" s="156"/>
      <c r="Q23" s="156"/>
      <c r="R23" s="156"/>
      <c r="S23" s="156"/>
      <c r="T23" s="156"/>
      <c r="U23" s="156"/>
      <c r="V23" s="156"/>
      <c r="W23" s="157"/>
    </row>
    <row r="24" spans="1:23" ht="59.25" customHeight="1">
      <c r="A24" s="46" t="s">
        <v>90</v>
      </c>
      <c r="B24" s="155"/>
      <c r="C24" s="156"/>
      <c r="D24" s="156"/>
      <c r="E24" s="156"/>
      <c r="F24" s="156"/>
      <c r="G24" s="156"/>
      <c r="H24" s="156"/>
      <c r="I24" s="156"/>
      <c r="J24" s="156"/>
      <c r="K24" s="156"/>
      <c r="L24" s="156"/>
      <c r="M24" s="156"/>
      <c r="N24" s="156"/>
      <c r="O24" s="156"/>
      <c r="P24" s="156"/>
      <c r="Q24" s="156"/>
      <c r="R24" s="156"/>
      <c r="S24" s="156"/>
      <c r="T24" s="156"/>
      <c r="U24" s="156"/>
      <c r="V24" s="156"/>
      <c r="W24" s="157"/>
    </row>
    <row r="25" spans="1:23" ht="59.25" customHeight="1">
      <c r="A25" s="46" t="s">
        <v>91</v>
      </c>
      <c r="B25" s="155"/>
      <c r="C25" s="156"/>
      <c r="D25" s="156"/>
      <c r="E25" s="156"/>
      <c r="F25" s="156"/>
      <c r="G25" s="156"/>
      <c r="H25" s="156"/>
      <c r="I25" s="156"/>
      <c r="J25" s="156"/>
      <c r="K25" s="156"/>
      <c r="L25" s="156"/>
      <c r="M25" s="156"/>
      <c r="N25" s="156"/>
      <c r="O25" s="156"/>
      <c r="P25" s="156"/>
      <c r="Q25" s="156"/>
      <c r="R25" s="156"/>
      <c r="S25" s="156"/>
      <c r="T25" s="156"/>
      <c r="U25" s="156"/>
      <c r="V25" s="156"/>
      <c r="W25" s="157"/>
    </row>
    <row r="26" spans="1:23" ht="59.25" customHeight="1">
      <c r="A26" s="46"/>
      <c r="B26" s="155"/>
      <c r="C26" s="156"/>
      <c r="D26" s="156"/>
      <c r="E26" s="156"/>
      <c r="F26" s="156"/>
      <c r="G26" s="156"/>
      <c r="H26" s="156"/>
      <c r="I26" s="156"/>
      <c r="J26" s="156"/>
      <c r="K26" s="156"/>
      <c r="L26" s="156"/>
      <c r="M26" s="156"/>
      <c r="N26" s="156"/>
      <c r="O26" s="156"/>
      <c r="P26" s="156"/>
      <c r="Q26" s="156"/>
      <c r="R26" s="156"/>
      <c r="S26" s="156"/>
      <c r="T26" s="156"/>
      <c r="U26" s="156"/>
      <c r="V26" s="156"/>
      <c r="W26" s="157"/>
    </row>
    <row r="27" spans="1:23" ht="59.25" customHeight="1">
      <c r="A27" s="46"/>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3" ht="59.25" customHeight="1">
      <c r="A28" s="46"/>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3" ht="59.25" customHeight="1">
      <c r="A29" s="46"/>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3" ht="59.25" customHeight="1">
      <c r="A30" s="46"/>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3" ht="59.25" customHeight="1">
      <c r="A31" s="46"/>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3" ht="59.25" customHeight="1">
      <c r="A32" s="46"/>
      <c r="B32" s="155"/>
      <c r="C32" s="156"/>
      <c r="D32" s="156"/>
      <c r="E32" s="156"/>
      <c r="F32" s="156"/>
      <c r="G32" s="156"/>
      <c r="H32" s="156"/>
      <c r="I32" s="156"/>
      <c r="J32" s="156"/>
      <c r="K32" s="156"/>
      <c r="L32" s="156"/>
      <c r="M32" s="156"/>
      <c r="N32" s="156"/>
      <c r="O32" s="156"/>
      <c r="P32" s="156"/>
      <c r="Q32" s="156"/>
      <c r="R32" s="156"/>
      <c r="S32" s="156"/>
      <c r="T32" s="156"/>
      <c r="U32" s="156"/>
      <c r="V32" s="156"/>
      <c r="W32" s="157"/>
    </row>
    <row r="33" spans="1:23" ht="59.25" customHeight="1">
      <c r="A33" s="46"/>
      <c r="B33" s="155"/>
      <c r="C33" s="156"/>
      <c r="D33" s="156"/>
      <c r="E33" s="156"/>
      <c r="F33" s="156"/>
      <c r="G33" s="156"/>
      <c r="H33" s="156"/>
      <c r="I33" s="156"/>
      <c r="J33" s="156"/>
      <c r="K33" s="156"/>
      <c r="L33" s="156"/>
      <c r="M33" s="156"/>
      <c r="N33" s="156"/>
      <c r="O33" s="156"/>
      <c r="P33" s="156"/>
      <c r="Q33" s="156"/>
      <c r="R33" s="156"/>
      <c r="S33" s="156"/>
      <c r="T33" s="156"/>
      <c r="U33" s="156"/>
      <c r="V33" s="156"/>
      <c r="W33" s="157"/>
    </row>
    <row r="34" spans="1:23" ht="59.25" customHeight="1">
      <c r="A34" s="46"/>
      <c r="B34" s="155"/>
      <c r="C34" s="156"/>
      <c r="D34" s="156"/>
      <c r="E34" s="156"/>
      <c r="F34" s="156"/>
      <c r="G34" s="156"/>
      <c r="H34" s="156"/>
      <c r="I34" s="156"/>
      <c r="J34" s="156"/>
      <c r="K34" s="156"/>
      <c r="L34" s="156"/>
      <c r="M34" s="156"/>
      <c r="N34" s="156"/>
      <c r="O34" s="156"/>
      <c r="P34" s="156"/>
      <c r="Q34" s="156"/>
      <c r="R34" s="156"/>
      <c r="S34" s="156"/>
      <c r="T34" s="156"/>
      <c r="U34" s="156"/>
      <c r="V34" s="156"/>
      <c r="W34" s="157"/>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3 D4:L4 N4:W4 D5: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１－１</v>
      </c>
      <c r="B1" s="34" t="str">
        <f ca="1">RIGHT(CELL("filename",B1),LEN(CELL("filename",B1))-FIND("]",CELL("filename",B1)))</f>
        <v>音楽</v>
      </c>
      <c r="C1" s="35" t="s">
        <v>26</v>
      </c>
      <c r="D1" s="36" t="str">
        <f>A15</f>
        <v>伊藤 志桜</v>
      </c>
      <c r="E1" s="36" t="str">
        <f>A16</f>
        <v>大滝 園乃</v>
      </c>
      <c r="F1" s="36" t="str">
        <f>A17</f>
        <v>片桐 生登</v>
      </c>
      <c r="G1" s="36" t="str">
        <f>A18</f>
        <v>上條 矢真人</v>
      </c>
      <c r="H1" s="36" t="str">
        <f>A19</f>
        <v>長澤 航真</v>
      </c>
      <c r="I1" s="36" t="str">
        <f>A20</f>
        <v>濱 凪咲</v>
      </c>
      <c r="J1" s="36" t="str">
        <f>A21</f>
        <v>藤井 日汰</v>
      </c>
      <c r="K1" s="36" t="str">
        <f>A22</f>
        <v>増澤 悠生</v>
      </c>
      <c r="L1" s="36" t="str">
        <f>A23</f>
        <v>松山 新</v>
      </c>
      <c r="M1" s="36" t="str">
        <f>A24</f>
        <v>務䑓 理紗</v>
      </c>
      <c r="N1" s="36" t="str">
        <f>A25</f>
        <v>綿貫 凰河</v>
      </c>
      <c r="O1" s="36">
        <f>A26</f>
        <v>0</v>
      </c>
      <c r="P1" s="36">
        <f>A27</f>
        <v>0</v>
      </c>
      <c r="Q1" s="36">
        <f>A28</f>
        <v>0</v>
      </c>
      <c r="R1" s="36">
        <f>A29</f>
        <v>0</v>
      </c>
      <c r="S1" s="36">
        <f>A30</f>
        <v>0</v>
      </c>
      <c r="T1" s="36">
        <f>A31</f>
        <v>0</v>
      </c>
      <c r="U1" s="36">
        <f>A32</f>
        <v>0</v>
      </c>
      <c r="V1" s="36">
        <f>A33</f>
        <v>0</v>
      </c>
      <c r="W1" s="36">
        <f>A34</f>
        <v>0</v>
      </c>
      <c r="X1" s="37"/>
    </row>
    <row r="2" spans="1:25" ht="22.5" customHeight="1">
      <c r="A2" s="158" t="s">
        <v>161</v>
      </c>
      <c r="B2" s="41" t="s">
        <v>98</v>
      </c>
      <c r="C2" s="38" t="s">
        <v>28</v>
      </c>
      <c r="D2" s="39" t="s">
        <v>162</v>
      </c>
      <c r="E2" s="39" t="s">
        <v>162</v>
      </c>
      <c r="F2" s="39" t="s">
        <v>162</v>
      </c>
      <c r="G2" s="39" t="s">
        <v>162</v>
      </c>
      <c r="H2" s="39" t="s">
        <v>162</v>
      </c>
      <c r="I2" s="39" t="s">
        <v>146</v>
      </c>
      <c r="J2" s="39" t="s">
        <v>143</v>
      </c>
      <c r="K2" s="39" t="s">
        <v>146</v>
      </c>
      <c r="L2" s="39" t="s">
        <v>143</v>
      </c>
      <c r="M2" s="39" t="s">
        <v>162</v>
      </c>
      <c r="N2" s="39" t="s">
        <v>143</v>
      </c>
      <c r="O2" s="39"/>
      <c r="P2" s="39"/>
      <c r="Q2" s="39"/>
      <c r="R2" s="39"/>
      <c r="S2" s="39"/>
      <c r="T2" s="39"/>
      <c r="U2" s="39"/>
      <c r="V2" s="39"/>
      <c r="W2" s="39"/>
      <c r="X2" s="40" t="s">
        <v>143</v>
      </c>
      <c r="Y2" s="40">
        <v>1</v>
      </c>
    </row>
    <row r="3" spans="1:25" ht="22.5" customHeight="1">
      <c r="A3" s="159"/>
      <c r="B3" s="41" t="s">
        <v>99</v>
      </c>
      <c r="C3" s="38" t="s">
        <v>28</v>
      </c>
      <c r="D3" s="39" t="s">
        <v>146</v>
      </c>
      <c r="E3" s="39" t="s">
        <v>162</v>
      </c>
      <c r="F3" s="39" t="s">
        <v>162</v>
      </c>
      <c r="G3" s="39" t="s">
        <v>162</v>
      </c>
      <c r="H3" s="39" t="s">
        <v>146</v>
      </c>
      <c r="I3" s="39" t="s">
        <v>146</v>
      </c>
      <c r="J3" s="39" t="s">
        <v>146</v>
      </c>
      <c r="K3" s="39" t="s">
        <v>146</v>
      </c>
      <c r="L3" s="39" t="s">
        <v>146</v>
      </c>
      <c r="M3" s="39" t="s">
        <v>146</v>
      </c>
      <c r="N3" s="39" t="s">
        <v>162</v>
      </c>
      <c r="O3" s="39"/>
      <c r="P3" s="39"/>
      <c r="Q3" s="39"/>
      <c r="R3" s="39"/>
      <c r="S3" s="39"/>
      <c r="T3" s="39"/>
      <c r="U3" s="39"/>
      <c r="V3" s="39"/>
      <c r="W3" s="39"/>
      <c r="X3" s="40" t="s">
        <v>145</v>
      </c>
      <c r="Y3" s="40">
        <v>2</v>
      </c>
    </row>
    <row r="4" spans="1:25" ht="22.5" customHeight="1">
      <c r="A4" s="159"/>
      <c r="B4" s="41" t="s">
        <v>100</v>
      </c>
      <c r="C4" s="38" t="s">
        <v>28</v>
      </c>
      <c r="D4" s="39" t="s">
        <v>146</v>
      </c>
      <c r="E4" s="39" t="s">
        <v>146</v>
      </c>
      <c r="F4" s="39" t="s">
        <v>146</v>
      </c>
      <c r="G4" s="39" t="s">
        <v>146</v>
      </c>
      <c r="H4" s="39" t="s">
        <v>146</v>
      </c>
      <c r="I4" s="39" t="s">
        <v>146</v>
      </c>
      <c r="J4" s="39" t="s">
        <v>146</v>
      </c>
      <c r="K4" s="39" t="s">
        <v>146</v>
      </c>
      <c r="L4" s="39" t="s">
        <v>146</v>
      </c>
      <c r="M4" s="39" t="s">
        <v>146</v>
      </c>
      <c r="N4" s="39" t="s">
        <v>145</v>
      </c>
      <c r="O4" s="39"/>
      <c r="P4" s="39"/>
      <c r="Q4" s="39"/>
      <c r="R4" s="39"/>
      <c r="S4" s="39"/>
      <c r="T4" s="39"/>
      <c r="U4" s="39"/>
      <c r="V4" s="39"/>
      <c r="W4" s="39"/>
      <c r="X4" s="40" t="s">
        <v>147</v>
      </c>
      <c r="Y4" s="40">
        <v>3</v>
      </c>
    </row>
    <row r="5" spans="1:25" ht="22.5" customHeight="1">
      <c r="A5" s="159"/>
      <c r="B5" s="41" t="s">
        <v>101</v>
      </c>
      <c r="C5" s="38" t="s">
        <v>28</v>
      </c>
      <c r="D5" s="39" t="s">
        <v>146</v>
      </c>
      <c r="E5" s="39" t="s">
        <v>146</v>
      </c>
      <c r="F5" s="39" t="s">
        <v>146</v>
      </c>
      <c r="G5" s="39" t="s">
        <v>146</v>
      </c>
      <c r="H5" s="39" t="s">
        <v>145</v>
      </c>
      <c r="I5" s="39" t="s">
        <v>146</v>
      </c>
      <c r="J5" s="39" t="s">
        <v>146</v>
      </c>
      <c r="K5" s="39" t="s">
        <v>146</v>
      </c>
      <c r="L5" s="39" t="s">
        <v>146</v>
      </c>
      <c r="M5" s="39" t="s">
        <v>146</v>
      </c>
      <c r="N5" s="39" t="s">
        <v>146</v>
      </c>
      <c r="O5" s="39"/>
      <c r="P5" s="39"/>
      <c r="Q5" s="39"/>
      <c r="R5" s="39"/>
      <c r="S5" s="39"/>
      <c r="T5" s="39"/>
      <c r="U5" s="39"/>
      <c r="V5" s="39"/>
      <c r="W5" s="39"/>
      <c r="X5" s="40" t="s">
        <v>148</v>
      </c>
      <c r="Y5" s="40">
        <v>4</v>
      </c>
    </row>
    <row r="6" spans="1:25" ht="22.5" customHeight="1">
      <c r="A6" s="159"/>
      <c r="B6" s="41"/>
      <c r="C6" s="38" t="s">
        <v>28</v>
      </c>
      <c r="D6" s="39"/>
      <c r="E6" s="39"/>
      <c r="F6" s="39"/>
      <c r="G6" s="39"/>
      <c r="H6" s="39"/>
      <c r="I6" s="39"/>
      <c r="J6" s="39"/>
      <c r="K6" s="39"/>
      <c r="L6" s="39"/>
      <c r="M6" s="39"/>
      <c r="N6" s="39"/>
      <c r="O6" s="39"/>
      <c r="P6" s="39"/>
      <c r="Q6" s="39"/>
      <c r="R6" s="39"/>
      <c r="S6" s="39"/>
      <c r="T6" s="39"/>
      <c r="U6" s="39"/>
      <c r="V6" s="39"/>
      <c r="W6" s="39"/>
      <c r="X6" s="40"/>
      <c r="Y6" s="40">
        <v>5</v>
      </c>
    </row>
    <row r="7" spans="1:25" ht="22.5" customHeight="1">
      <c r="A7" s="159"/>
      <c r="B7" s="41"/>
      <c r="C7" s="38" t="s">
        <v>28</v>
      </c>
      <c r="D7" s="39"/>
      <c r="E7" s="39"/>
      <c r="F7" s="39"/>
      <c r="G7" s="39"/>
      <c r="H7" s="39"/>
      <c r="I7" s="39"/>
      <c r="J7" s="39"/>
      <c r="K7" s="39"/>
      <c r="L7" s="39"/>
      <c r="M7" s="39"/>
      <c r="N7" s="39"/>
      <c r="O7" s="39"/>
      <c r="P7" s="39"/>
      <c r="Q7" s="39"/>
      <c r="R7" s="39"/>
      <c r="S7" s="39"/>
      <c r="T7" s="39"/>
      <c r="U7" s="39"/>
      <c r="V7" s="39"/>
      <c r="W7" s="39"/>
      <c r="X7" s="40"/>
      <c r="Y7" s="40" t="s">
        <v>148</v>
      </c>
    </row>
    <row r="8" spans="1:25" ht="22.5" customHeight="1">
      <c r="A8" s="159"/>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9"/>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9"/>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9"/>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60"/>
      <c r="B12" s="42"/>
      <c r="C12" s="43" t="s">
        <v>35</v>
      </c>
      <c r="D12" s="39">
        <v>5</v>
      </c>
      <c r="E12" s="39">
        <v>5</v>
      </c>
      <c r="F12" s="39">
        <v>5</v>
      </c>
      <c r="G12" s="39">
        <v>5</v>
      </c>
      <c r="H12" s="39">
        <v>4</v>
      </c>
      <c r="I12" s="39">
        <v>5</v>
      </c>
      <c r="J12" s="39">
        <v>5</v>
      </c>
      <c r="K12" s="39">
        <v>5</v>
      </c>
      <c r="L12" s="39">
        <v>5</v>
      </c>
      <c r="M12" s="39">
        <v>5</v>
      </c>
      <c r="N12" s="39">
        <v>4</v>
      </c>
      <c r="O12" s="39"/>
      <c r="P12" s="39"/>
      <c r="Q12" s="39"/>
      <c r="R12" s="39"/>
      <c r="S12" s="39"/>
      <c r="T12" s="39"/>
      <c r="U12" s="39"/>
      <c r="V12" s="39"/>
      <c r="W12" s="39"/>
    </row>
    <row r="13" spans="1:25" ht="26.25" customHeight="1">
      <c r="A13" s="44"/>
      <c r="B13" s="44"/>
      <c r="C13" s="79" t="s">
        <v>63</v>
      </c>
      <c r="D13" s="80"/>
      <c r="E13" s="80"/>
      <c r="F13" s="80"/>
      <c r="G13" s="80"/>
      <c r="H13" s="80"/>
      <c r="I13" s="80"/>
      <c r="J13" s="80"/>
      <c r="K13" s="80"/>
      <c r="L13" s="80"/>
      <c r="M13" s="80"/>
      <c r="N13" s="80"/>
      <c r="O13" s="80"/>
      <c r="P13" s="80"/>
      <c r="Q13" s="80"/>
      <c r="R13" s="80"/>
      <c r="S13" s="80"/>
      <c r="T13" s="80"/>
      <c r="U13" s="80"/>
      <c r="V13" s="80"/>
      <c r="W13" s="80"/>
    </row>
    <row r="14" spans="1:25" ht="22.5" customHeight="1">
      <c r="A14" s="45" t="s">
        <v>36</v>
      </c>
      <c r="B14" s="161" t="s">
        <v>37</v>
      </c>
      <c r="C14" s="162"/>
      <c r="D14" s="162"/>
      <c r="E14" s="162"/>
      <c r="F14" s="162"/>
      <c r="G14" s="162"/>
      <c r="H14" s="162"/>
      <c r="I14" s="162"/>
      <c r="J14" s="162"/>
      <c r="K14" s="162"/>
      <c r="L14" s="162"/>
      <c r="M14" s="162"/>
      <c r="N14" s="162"/>
      <c r="O14" s="162"/>
      <c r="P14" s="162"/>
      <c r="Q14" s="162"/>
      <c r="R14" s="162"/>
      <c r="S14" s="162"/>
      <c r="T14" s="162"/>
      <c r="U14" s="162"/>
      <c r="V14" s="162"/>
      <c r="W14" s="163"/>
    </row>
    <row r="15" spans="1:25" ht="59.25" customHeight="1">
      <c r="A15" s="46" t="s">
        <v>81</v>
      </c>
      <c r="B15" s="155"/>
      <c r="C15" s="156"/>
      <c r="D15" s="156"/>
      <c r="E15" s="156"/>
      <c r="F15" s="156"/>
      <c r="G15" s="156"/>
      <c r="H15" s="156"/>
      <c r="I15" s="156"/>
      <c r="J15" s="156"/>
      <c r="K15" s="156"/>
      <c r="L15" s="156"/>
      <c r="M15" s="156"/>
      <c r="N15" s="156"/>
      <c r="O15" s="156"/>
      <c r="P15" s="156"/>
      <c r="Q15" s="156"/>
      <c r="R15" s="156"/>
      <c r="S15" s="156"/>
      <c r="T15" s="156"/>
      <c r="U15" s="156"/>
      <c r="V15" s="156"/>
      <c r="W15" s="157"/>
    </row>
    <row r="16" spans="1:25" ht="59.25" customHeight="1">
      <c r="A16" s="46" t="s">
        <v>82</v>
      </c>
      <c r="B16" s="155"/>
      <c r="C16" s="156"/>
      <c r="D16" s="156"/>
      <c r="E16" s="156"/>
      <c r="F16" s="156"/>
      <c r="G16" s="156"/>
      <c r="H16" s="156"/>
      <c r="I16" s="156"/>
      <c r="J16" s="156"/>
      <c r="K16" s="156"/>
      <c r="L16" s="156"/>
      <c r="M16" s="156"/>
      <c r="N16" s="156"/>
      <c r="O16" s="156"/>
      <c r="P16" s="156"/>
      <c r="Q16" s="156"/>
      <c r="R16" s="156"/>
      <c r="S16" s="156"/>
      <c r="T16" s="156"/>
      <c r="U16" s="156"/>
      <c r="V16" s="156"/>
      <c r="W16" s="157"/>
    </row>
    <row r="17" spans="1:23" ht="59.25" customHeight="1">
      <c r="A17" s="46" t="s">
        <v>83</v>
      </c>
      <c r="B17" s="155"/>
      <c r="C17" s="156"/>
      <c r="D17" s="156"/>
      <c r="E17" s="156"/>
      <c r="F17" s="156"/>
      <c r="G17" s="156"/>
      <c r="H17" s="156"/>
      <c r="I17" s="156"/>
      <c r="J17" s="156"/>
      <c r="K17" s="156"/>
      <c r="L17" s="156"/>
      <c r="M17" s="156"/>
      <c r="N17" s="156"/>
      <c r="O17" s="156"/>
      <c r="P17" s="156"/>
      <c r="Q17" s="156"/>
      <c r="R17" s="156"/>
      <c r="S17" s="156"/>
      <c r="T17" s="156"/>
      <c r="U17" s="156"/>
      <c r="V17" s="156"/>
      <c r="W17" s="157"/>
    </row>
    <row r="18" spans="1:23" ht="59.25" customHeight="1">
      <c r="A18" s="46" t="s">
        <v>84</v>
      </c>
      <c r="B18" s="155"/>
      <c r="C18" s="156"/>
      <c r="D18" s="156"/>
      <c r="E18" s="156"/>
      <c r="F18" s="156"/>
      <c r="G18" s="156"/>
      <c r="H18" s="156"/>
      <c r="I18" s="156"/>
      <c r="J18" s="156"/>
      <c r="K18" s="156"/>
      <c r="L18" s="156"/>
      <c r="M18" s="156"/>
      <c r="N18" s="156"/>
      <c r="O18" s="156"/>
      <c r="P18" s="156"/>
      <c r="Q18" s="156"/>
      <c r="R18" s="156"/>
      <c r="S18" s="156"/>
      <c r="T18" s="156"/>
      <c r="U18" s="156"/>
      <c r="V18" s="156"/>
      <c r="W18" s="157"/>
    </row>
    <row r="19" spans="1:23" ht="59.25" customHeight="1">
      <c r="A19" s="46" t="s">
        <v>85</v>
      </c>
      <c r="B19" s="155" t="s">
        <v>102</v>
      </c>
      <c r="C19" s="156"/>
      <c r="D19" s="156"/>
      <c r="E19" s="156"/>
      <c r="F19" s="156"/>
      <c r="G19" s="156"/>
      <c r="H19" s="156"/>
      <c r="I19" s="156"/>
      <c r="J19" s="156"/>
      <c r="K19" s="156"/>
      <c r="L19" s="156"/>
      <c r="M19" s="156"/>
      <c r="N19" s="156"/>
      <c r="O19" s="156"/>
      <c r="P19" s="156"/>
      <c r="Q19" s="156"/>
      <c r="R19" s="156"/>
      <c r="S19" s="156"/>
      <c r="T19" s="156"/>
      <c r="U19" s="156"/>
      <c r="V19" s="156"/>
      <c r="W19" s="157"/>
    </row>
    <row r="20" spans="1:23" ht="59.25" customHeight="1">
      <c r="A20" s="46" t="s">
        <v>86</v>
      </c>
      <c r="B20" s="155"/>
      <c r="C20" s="156"/>
      <c r="D20" s="156"/>
      <c r="E20" s="156"/>
      <c r="F20" s="156"/>
      <c r="G20" s="156"/>
      <c r="H20" s="156"/>
      <c r="I20" s="156"/>
      <c r="J20" s="156"/>
      <c r="K20" s="156"/>
      <c r="L20" s="156"/>
      <c r="M20" s="156"/>
      <c r="N20" s="156"/>
      <c r="O20" s="156"/>
      <c r="P20" s="156"/>
      <c r="Q20" s="156"/>
      <c r="R20" s="156"/>
      <c r="S20" s="156"/>
      <c r="T20" s="156"/>
      <c r="U20" s="156"/>
      <c r="V20" s="156"/>
      <c r="W20" s="157"/>
    </row>
    <row r="21" spans="1:23" ht="59.25" customHeight="1">
      <c r="A21" s="46" t="s">
        <v>87</v>
      </c>
      <c r="B21" s="155"/>
      <c r="C21" s="156"/>
      <c r="D21" s="156"/>
      <c r="E21" s="156"/>
      <c r="F21" s="156"/>
      <c r="G21" s="156"/>
      <c r="H21" s="156"/>
      <c r="I21" s="156"/>
      <c r="J21" s="156"/>
      <c r="K21" s="156"/>
      <c r="L21" s="156"/>
      <c r="M21" s="156"/>
      <c r="N21" s="156"/>
      <c r="O21" s="156"/>
      <c r="P21" s="156"/>
      <c r="Q21" s="156"/>
      <c r="R21" s="156"/>
      <c r="S21" s="156"/>
      <c r="T21" s="156"/>
      <c r="U21" s="156"/>
      <c r="V21" s="156"/>
      <c r="W21" s="157"/>
    </row>
    <row r="22" spans="1:23" ht="59.25" customHeight="1">
      <c r="A22" s="46" t="s">
        <v>88</v>
      </c>
      <c r="B22" s="155"/>
      <c r="C22" s="156"/>
      <c r="D22" s="156"/>
      <c r="E22" s="156"/>
      <c r="F22" s="156"/>
      <c r="G22" s="156"/>
      <c r="H22" s="156"/>
      <c r="I22" s="156"/>
      <c r="J22" s="156"/>
      <c r="K22" s="156"/>
      <c r="L22" s="156"/>
      <c r="M22" s="156"/>
      <c r="N22" s="156"/>
      <c r="O22" s="156"/>
      <c r="P22" s="156"/>
      <c r="Q22" s="156"/>
      <c r="R22" s="156"/>
      <c r="S22" s="156"/>
      <c r="T22" s="156"/>
      <c r="U22" s="156"/>
      <c r="V22" s="156"/>
      <c r="W22" s="157"/>
    </row>
    <row r="23" spans="1:23" ht="59.25" customHeight="1">
      <c r="A23" s="46" t="s">
        <v>89</v>
      </c>
      <c r="B23" s="155"/>
      <c r="C23" s="156"/>
      <c r="D23" s="156"/>
      <c r="E23" s="156"/>
      <c r="F23" s="156"/>
      <c r="G23" s="156"/>
      <c r="H23" s="156"/>
      <c r="I23" s="156"/>
      <c r="J23" s="156"/>
      <c r="K23" s="156"/>
      <c r="L23" s="156"/>
      <c r="M23" s="156"/>
      <c r="N23" s="156"/>
      <c r="O23" s="156"/>
      <c r="P23" s="156"/>
      <c r="Q23" s="156"/>
      <c r="R23" s="156"/>
      <c r="S23" s="156"/>
      <c r="T23" s="156"/>
      <c r="U23" s="156"/>
      <c r="V23" s="156"/>
      <c r="W23" s="157"/>
    </row>
    <row r="24" spans="1:23" ht="59.25" customHeight="1">
      <c r="A24" s="46" t="s">
        <v>90</v>
      </c>
      <c r="B24" s="155"/>
      <c r="C24" s="156"/>
      <c r="D24" s="156"/>
      <c r="E24" s="156"/>
      <c r="F24" s="156"/>
      <c r="G24" s="156"/>
      <c r="H24" s="156"/>
      <c r="I24" s="156"/>
      <c r="J24" s="156"/>
      <c r="K24" s="156"/>
      <c r="L24" s="156"/>
      <c r="M24" s="156"/>
      <c r="N24" s="156"/>
      <c r="O24" s="156"/>
      <c r="P24" s="156"/>
      <c r="Q24" s="156"/>
      <c r="R24" s="156"/>
      <c r="S24" s="156"/>
      <c r="T24" s="156"/>
      <c r="U24" s="156"/>
      <c r="V24" s="156"/>
      <c r="W24" s="157"/>
    </row>
    <row r="25" spans="1:23" ht="59.25" customHeight="1">
      <c r="A25" s="46" t="s">
        <v>91</v>
      </c>
      <c r="B25" s="155" t="s">
        <v>103</v>
      </c>
      <c r="C25" s="156"/>
      <c r="D25" s="156"/>
      <c r="E25" s="156"/>
      <c r="F25" s="156"/>
      <c r="G25" s="156"/>
      <c r="H25" s="156"/>
      <c r="I25" s="156"/>
      <c r="J25" s="156"/>
      <c r="K25" s="156"/>
      <c r="L25" s="156"/>
      <c r="M25" s="156"/>
      <c r="N25" s="156"/>
      <c r="O25" s="156"/>
      <c r="P25" s="156"/>
      <c r="Q25" s="156"/>
      <c r="R25" s="156"/>
      <c r="S25" s="156"/>
      <c r="T25" s="156"/>
      <c r="U25" s="156"/>
      <c r="V25" s="156"/>
      <c r="W25" s="157"/>
    </row>
    <row r="26" spans="1:23" ht="59.25" customHeight="1">
      <c r="A26" s="46"/>
      <c r="B26" s="155"/>
      <c r="C26" s="156"/>
      <c r="D26" s="156"/>
      <c r="E26" s="156"/>
      <c r="F26" s="156"/>
      <c r="G26" s="156"/>
      <c r="H26" s="156"/>
      <c r="I26" s="156"/>
      <c r="J26" s="156"/>
      <c r="K26" s="156"/>
      <c r="L26" s="156"/>
      <c r="M26" s="156"/>
      <c r="N26" s="156"/>
      <c r="O26" s="156"/>
      <c r="P26" s="156"/>
      <c r="Q26" s="156"/>
      <c r="R26" s="156"/>
      <c r="S26" s="156"/>
      <c r="T26" s="156"/>
      <c r="U26" s="156"/>
      <c r="V26" s="156"/>
      <c r="W26" s="157"/>
    </row>
    <row r="27" spans="1:23" ht="59.25" customHeight="1">
      <c r="A27" s="46"/>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3" ht="59.25" customHeight="1">
      <c r="A28" s="46"/>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3" ht="59.25" customHeight="1">
      <c r="A29" s="46"/>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3" ht="59.25" customHeight="1">
      <c r="A30" s="46"/>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3" ht="59.25" customHeight="1">
      <c r="A31" s="46"/>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3" ht="59.25" customHeight="1">
      <c r="A32" s="46"/>
      <c r="B32" s="155"/>
      <c r="C32" s="156"/>
      <c r="D32" s="156"/>
      <c r="E32" s="156"/>
      <c r="F32" s="156"/>
      <c r="G32" s="156"/>
      <c r="H32" s="156"/>
      <c r="I32" s="156"/>
      <c r="J32" s="156"/>
      <c r="K32" s="156"/>
      <c r="L32" s="156"/>
      <c r="M32" s="156"/>
      <c r="N32" s="156"/>
      <c r="O32" s="156"/>
      <c r="P32" s="156"/>
      <c r="Q32" s="156"/>
      <c r="R32" s="156"/>
      <c r="S32" s="156"/>
      <c r="T32" s="156"/>
      <c r="U32" s="156"/>
      <c r="V32" s="156"/>
      <c r="W32" s="157"/>
    </row>
    <row r="33" spans="1:23" ht="59.25" customHeight="1">
      <c r="A33" s="46"/>
      <c r="B33" s="155"/>
      <c r="C33" s="156"/>
      <c r="D33" s="156"/>
      <c r="E33" s="156"/>
      <c r="F33" s="156"/>
      <c r="G33" s="156"/>
      <c r="H33" s="156"/>
      <c r="I33" s="156"/>
      <c r="J33" s="156"/>
      <c r="K33" s="156"/>
      <c r="L33" s="156"/>
      <c r="M33" s="156"/>
      <c r="N33" s="156"/>
      <c r="O33" s="156"/>
      <c r="P33" s="156"/>
      <c r="Q33" s="156"/>
      <c r="R33" s="156"/>
      <c r="S33" s="156"/>
      <c r="T33" s="156"/>
      <c r="U33" s="156"/>
      <c r="V33" s="156"/>
      <c r="W33" s="157"/>
    </row>
    <row r="34" spans="1:23" ht="59.25" customHeight="1">
      <c r="A34" s="46"/>
      <c r="B34" s="155"/>
      <c r="C34" s="156"/>
      <c r="D34" s="156"/>
      <c r="E34" s="156"/>
      <c r="F34" s="156"/>
      <c r="G34" s="156"/>
      <c r="H34" s="156"/>
      <c r="I34" s="156"/>
      <c r="J34" s="156"/>
      <c r="K34" s="156"/>
      <c r="L34" s="156"/>
      <c r="M34" s="156"/>
      <c r="N34" s="156"/>
      <c r="O34" s="156"/>
      <c r="P34" s="156"/>
      <c r="Q34" s="156"/>
      <c r="R34" s="156"/>
      <c r="S34" s="156"/>
      <c r="T34" s="156"/>
      <c r="U34" s="156"/>
      <c r="V34" s="156"/>
      <c r="W34" s="157"/>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１－１</v>
      </c>
      <c r="B1" s="34" t="str">
        <f ca="1">RIGHT(CELL("filename",B1),LEN(CELL("filename",B1))-FIND("]",CELL("filename",B1)))</f>
        <v>図工</v>
      </c>
      <c r="C1" s="35" t="s">
        <v>26</v>
      </c>
      <c r="D1" s="36" t="str">
        <f>A15</f>
        <v>伊藤 志桜</v>
      </c>
      <c r="E1" s="36" t="str">
        <f>A16</f>
        <v>大滝 園乃</v>
      </c>
      <c r="F1" s="36" t="str">
        <f>A17</f>
        <v>片桐 生登</v>
      </c>
      <c r="G1" s="36" t="str">
        <f>A18</f>
        <v>上條 矢真人</v>
      </c>
      <c r="H1" s="36" t="str">
        <f>A19</f>
        <v>長澤 航真</v>
      </c>
      <c r="I1" s="36" t="str">
        <f>A20</f>
        <v>濱 凪咲</v>
      </c>
      <c r="J1" s="36" t="str">
        <f>A21</f>
        <v>藤井 日汰</v>
      </c>
      <c r="K1" s="36" t="str">
        <f>A22</f>
        <v>増澤 悠生</v>
      </c>
      <c r="L1" s="36" t="str">
        <f>A23</f>
        <v>松山 新</v>
      </c>
      <c r="M1" s="36" t="str">
        <f>A24</f>
        <v>務䑓 理紗</v>
      </c>
      <c r="N1" s="36" t="str">
        <f>A25</f>
        <v>綿貫 凰河</v>
      </c>
      <c r="O1" s="36">
        <f>A26</f>
        <v>0</v>
      </c>
      <c r="P1" s="36">
        <f>A27</f>
        <v>0</v>
      </c>
      <c r="Q1" s="36">
        <f>A28</f>
        <v>0</v>
      </c>
      <c r="R1" s="36">
        <f>A29</f>
        <v>0</v>
      </c>
      <c r="S1" s="36">
        <f>A30</f>
        <v>0</v>
      </c>
      <c r="T1" s="36">
        <f>A31</f>
        <v>0</v>
      </c>
      <c r="U1" s="36">
        <f>A32</f>
        <v>0</v>
      </c>
      <c r="V1" s="36">
        <f>A33</f>
        <v>0</v>
      </c>
      <c r="W1" s="36">
        <f>A34</f>
        <v>0</v>
      </c>
      <c r="X1" s="37"/>
    </row>
    <row r="2" spans="1:25" ht="22.5" customHeight="1">
      <c r="A2" s="158" t="s">
        <v>142</v>
      </c>
      <c r="B2" s="89" t="s">
        <v>163</v>
      </c>
      <c r="C2" s="38" t="s">
        <v>28</v>
      </c>
      <c r="D2" s="39" t="s">
        <v>164</v>
      </c>
      <c r="E2" s="39" t="s">
        <v>165</v>
      </c>
      <c r="F2" s="39" t="s">
        <v>143</v>
      </c>
      <c r="G2" s="39" t="s">
        <v>79</v>
      </c>
      <c r="H2" s="39" t="s">
        <v>166</v>
      </c>
      <c r="I2" s="39" t="s">
        <v>165</v>
      </c>
      <c r="J2" s="39" t="s">
        <v>143</v>
      </c>
      <c r="K2" s="39" t="s">
        <v>143</v>
      </c>
      <c r="L2" s="39" t="s">
        <v>79</v>
      </c>
      <c r="M2" s="39" t="s">
        <v>146</v>
      </c>
      <c r="N2" s="39" t="s">
        <v>167</v>
      </c>
      <c r="O2" s="39"/>
      <c r="P2" s="39"/>
      <c r="Q2" s="39"/>
      <c r="R2" s="39"/>
      <c r="S2" s="39"/>
      <c r="T2" s="39"/>
      <c r="U2" s="39"/>
      <c r="V2" s="39"/>
      <c r="W2" s="39"/>
      <c r="X2" s="40" t="s">
        <v>79</v>
      </c>
      <c r="Y2" s="40">
        <v>1</v>
      </c>
    </row>
    <row r="3" spans="1:25" ht="22.5" customHeight="1">
      <c r="A3" s="159"/>
      <c r="B3" s="89" t="s">
        <v>168</v>
      </c>
      <c r="C3" s="38" t="s">
        <v>28</v>
      </c>
      <c r="D3" s="39" t="s">
        <v>143</v>
      </c>
      <c r="E3" s="39" t="s">
        <v>146</v>
      </c>
      <c r="F3" s="39" t="s">
        <v>169</v>
      </c>
      <c r="G3" s="39" t="s">
        <v>146</v>
      </c>
      <c r="H3" s="39" t="s">
        <v>170</v>
      </c>
      <c r="I3" s="39" t="s">
        <v>171</v>
      </c>
      <c r="J3" s="39" t="s">
        <v>143</v>
      </c>
      <c r="K3" s="39" t="s">
        <v>172</v>
      </c>
      <c r="L3" s="39" t="s">
        <v>79</v>
      </c>
      <c r="M3" s="39" t="s">
        <v>143</v>
      </c>
      <c r="N3" s="39" t="s">
        <v>173</v>
      </c>
      <c r="O3" s="39"/>
      <c r="P3" s="39"/>
      <c r="Q3" s="39"/>
      <c r="R3" s="39"/>
      <c r="S3" s="39"/>
      <c r="T3" s="39"/>
      <c r="U3" s="39"/>
      <c r="V3" s="39"/>
      <c r="W3" s="39"/>
      <c r="X3" s="40" t="s">
        <v>80</v>
      </c>
      <c r="Y3" s="40">
        <v>2</v>
      </c>
    </row>
    <row r="4" spans="1:25" ht="22.5" customHeight="1">
      <c r="A4" s="159"/>
      <c r="B4" s="89" t="s">
        <v>174</v>
      </c>
      <c r="C4" s="38" t="s">
        <v>28</v>
      </c>
      <c r="D4" s="39" t="s">
        <v>143</v>
      </c>
      <c r="E4" s="39" t="s">
        <v>175</v>
      </c>
      <c r="F4" s="39" t="s">
        <v>143</v>
      </c>
      <c r="G4" s="39" t="s">
        <v>144</v>
      </c>
      <c r="H4" s="39" t="s">
        <v>146</v>
      </c>
      <c r="I4" s="39" t="s">
        <v>165</v>
      </c>
      <c r="J4" s="39" t="s">
        <v>79</v>
      </c>
      <c r="K4" s="39" t="s">
        <v>79</v>
      </c>
      <c r="L4" s="39" t="s">
        <v>146</v>
      </c>
      <c r="M4" s="39" t="s">
        <v>146</v>
      </c>
      <c r="N4" s="39" t="s">
        <v>146</v>
      </c>
      <c r="O4" s="39"/>
      <c r="P4" s="39"/>
      <c r="Q4" s="39"/>
      <c r="R4" s="39"/>
      <c r="S4" s="39"/>
      <c r="T4" s="39"/>
      <c r="U4" s="39"/>
      <c r="V4" s="39"/>
      <c r="W4" s="39"/>
      <c r="X4" s="40" t="s">
        <v>147</v>
      </c>
      <c r="Y4" s="40">
        <v>3</v>
      </c>
    </row>
    <row r="5" spans="1:25" ht="22.5" customHeight="1">
      <c r="A5" s="159"/>
      <c r="B5" s="61" t="s">
        <v>140</v>
      </c>
      <c r="C5" s="38" t="s">
        <v>28</v>
      </c>
      <c r="D5" s="39" t="s">
        <v>143</v>
      </c>
      <c r="E5" s="39" t="s">
        <v>146</v>
      </c>
      <c r="F5" s="39" t="s">
        <v>146</v>
      </c>
      <c r="G5" s="39" t="s">
        <v>165</v>
      </c>
      <c r="H5" s="39" t="s">
        <v>146</v>
      </c>
      <c r="I5" s="39" t="s">
        <v>146</v>
      </c>
      <c r="J5" s="39" t="s">
        <v>146</v>
      </c>
      <c r="K5" s="39" t="s">
        <v>171</v>
      </c>
      <c r="L5" s="39" t="s">
        <v>146</v>
      </c>
      <c r="M5" s="39" t="s">
        <v>79</v>
      </c>
      <c r="N5" s="39" t="s">
        <v>146</v>
      </c>
      <c r="O5" s="39"/>
      <c r="P5" s="39"/>
      <c r="Q5" s="39"/>
      <c r="R5" s="39"/>
      <c r="S5" s="39"/>
      <c r="T5" s="39"/>
      <c r="U5" s="39"/>
      <c r="V5" s="39"/>
      <c r="W5" s="39"/>
      <c r="X5" s="40" t="s">
        <v>148</v>
      </c>
      <c r="Y5" s="40">
        <v>4</v>
      </c>
    </row>
    <row r="6" spans="1:25" ht="22.5" customHeight="1">
      <c r="A6" s="159"/>
      <c r="B6" s="41"/>
      <c r="C6" s="38" t="s">
        <v>28</v>
      </c>
      <c r="D6" s="39"/>
      <c r="E6" s="39"/>
      <c r="F6" s="39"/>
      <c r="G6" s="39"/>
      <c r="H6" s="39"/>
      <c r="I6" s="39"/>
      <c r="J6" s="39"/>
      <c r="K6" s="39"/>
      <c r="L6" s="39"/>
      <c r="M6" s="39"/>
      <c r="N6" s="39"/>
      <c r="O6" s="39"/>
      <c r="P6" s="39"/>
      <c r="Q6" s="39"/>
      <c r="R6" s="39"/>
      <c r="S6" s="39"/>
      <c r="T6" s="39"/>
      <c r="U6" s="39"/>
      <c r="V6" s="39"/>
      <c r="W6" s="39"/>
      <c r="X6" s="40"/>
      <c r="Y6" s="40">
        <v>5</v>
      </c>
    </row>
    <row r="7" spans="1:25" ht="22.5" customHeight="1">
      <c r="A7" s="159"/>
      <c r="B7" s="41"/>
      <c r="C7" s="38" t="s">
        <v>28</v>
      </c>
      <c r="D7" s="39"/>
      <c r="E7" s="39"/>
      <c r="F7" s="39"/>
      <c r="G7" s="39"/>
      <c r="H7" s="39"/>
      <c r="I7" s="39"/>
      <c r="J7" s="39"/>
      <c r="K7" s="39"/>
      <c r="L7" s="39"/>
      <c r="M7" s="39"/>
      <c r="N7" s="39"/>
      <c r="O7" s="39"/>
      <c r="P7" s="39"/>
      <c r="Q7" s="39"/>
      <c r="R7" s="39"/>
      <c r="S7" s="39"/>
      <c r="T7" s="39"/>
      <c r="U7" s="39"/>
      <c r="V7" s="39"/>
      <c r="W7" s="39"/>
      <c r="X7" s="40"/>
      <c r="Y7" s="40" t="s">
        <v>148</v>
      </c>
    </row>
    <row r="8" spans="1:25" ht="22.5" customHeight="1">
      <c r="A8" s="159"/>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9"/>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9"/>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9"/>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60"/>
      <c r="B12" s="42"/>
      <c r="C12" s="43" t="s">
        <v>35</v>
      </c>
      <c r="D12" s="39">
        <v>5</v>
      </c>
      <c r="E12" s="39">
        <v>4</v>
      </c>
      <c r="F12" s="39">
        <v>4</v>
      </c>
      <c r="G12" s="39">
        <v>4</v>
      </c>
      <c r="H12" s="39">
        <v>4</v>
      </c>
      <c r="I12" s="39">
        <v>5</v>
      </c>
      <c r="J12" s="39">
        <v>5</v>
      </c>
      <c r="K12" s="39">
        <v>5</v>
      </c>
      <c r="L12" s="39">
        <v>5</v>
      </c>
      <c r="M12" s="39">
        <v>5</v>
      </c>
      <c r="N12" s="39">
        <v>5</v>
      </c>
      <c r="O12" s="39"/>
      <c r="P12" s="39"/>
      <c r="Q12" s="39"/>
      <c r="R12" s="39"/>
      <c r="S12" s="39"/>
      <c r="T12" s="39"/>
      <c r="U12" s="39"/>
      <c r="V12" s="39"/>
      <c r="W12" s="39"/>
    </row>
    <row r="13" spans="1:25" ht="26.25" customHeight="1">
      <c r="A13" s="44"/>
      <c r="B13" s="44"/>
      <c r="C13" s="79" t="s">
        <v>63</v>
      </c>
      <c r="D13" s="39"/>
      <c r="E13" s="39"/>
      <c r="F13" s="39"/>
      <c r="G13" s="39"/>
      <c r="H13" s="39"/>
      <c r="I13" s="39"/>
      <c r="J13" s="39"/>
      <c r="K13" s="39"/>
      <c r="L13" s="39"/>
      <c r="M13" s="39"/>
      <c r="N13" s="39"/>
      <c r="O13" s="39"/>
      <c r="P13" s="39"/>
      <c r="Q13" s="39"/>
      <c r="R13" s="80"/>
      <c r="S13" s="80"/>
      <c r="T13" s="80"/>
      <c r="U13" s="80"/>
      <c r="V13" s="80"/>
      <c r="W13" s="80"/>
    </row>
    <row r="14" spans="1:25" ht="22.5" customHeight="1">
      <c r="A14" s="45" t="s">
        <v>36</v>
      </c>
      <c r="B14" s="161" t="s">
        <v>37</v>
      </c>
      <c r="C14" s="162"/>
      <c r="D14" s="162"/>
      <c r="E14" s="162"/>
      <c r="F14" s="162"/>
      <c r="G14" s="162"/>
      <c r="H14" s="162"/>
      <c r="I14" s="162"/>
      <c r="J14" s="162"/>
      <c r="K14" s="162"/>
      <c r="L14" s="162"/>
      <c r="M14" s="162"/>
      <c r="N14" s="162"/>
      <c r="O14" s="162"/>
      <c r="P14" s="162"/>
      <c r="Q14" s="162"/>
      <c r="R14" s="162"/>
      <c r="S14" s="162"/>
      <c r="T14" s="162"/>
      <c r="U14" s="162"/>
      <c r="V14" s="162"/>
      <c r="W14" s="163"/>
    </row>
    <row r="15" spans="1:25" ht="59.25" customHeight="1">
      <c r="A15" s="46" t="s">
        <v>81</v>
      </c>
      <c r="B15" s="155" t="s">
        <v>176</v>
      </c>
      <c r="C15" s="156"/>
      <c r="D15" s="156"/>
      <c r="E15" s="156"/>
      <c r="F15" s="156"/>
      <c r="G15" s="156"/>
      <c r="H15" s="156"/>
      <c r="I15" s="156"/>
      <c r="J15" s="156"/>
      <c r="K15" s="156"/>
      <c r="L15" s="156"/>
      <c r="M15" s="156"/>
      <c r="N15" s="156"/>
      <c r="O15" s="156"/>
      <c r="P15" s="156"/>
      <c r="Q15" s="156"/>
      <c r="R15" s="156"/>
      <c r="S15" s="156"/>
      <c r="T15" s="156"/>
      <c r="U15" s="156"/>
      <c r="V15" s="156"/>
      <c r="W15" s="157"/>
    </row>
    <row r="16" spans="1:25" ht="59.25" customHeight="1">
      <c r="A16" s="46" t="s">
        <v>82</v>
      </c>
      <c r="B16" s="155" t="s">
        <v>177</v>
      </c>
      <c r="C16" s="156"/>
      <c r="D16" s="156"/>
      <c r="E16" s="156"/>
      <c r="F16" s="156"/>
      <c r="G16" s="156"/>
      <c r="H16" s="156"/>
      <c r="I16" s="156"/>
      <c r="J16" s="156"/>
      <c r="K16" s="156"/>
      <c r="L16" s="156"/>
      <c r="M16" s="156"/>
      <c r="N16" s="156"/>
      <c r="O16" s="156"/>
      <c r="P16" s="156"/>
      <c r="Q16" s="156"/>
      <c r="R16" s="156"/>
      <c r="S16" s="156"/>
      <c r="T16" s="156"/>
      <c r="U16" s="156"/>
      <c r="V16" s="156"/>
      <c r="W16" s="157"/>
    </row>
    <row r="17" spans="1:23" ht="59.25" customHeight="1">
      <c r="A17" s="46" t="s">
        <v>83</v>
      </c>
      <c r="B17" s="155" t="s">
        <v>178</v>
      </c>
      <c r="C17" s="156"/>
      <c r="D17" s="156"/>
      <c r="E17" s="156"/>
      <c r="F17" s="156"/>
      <c r="G17" s="156"/>
      <c r="H17" s="156"/>
      <c r="I17" s="156"/>
      <c r="J17" s="156"/>
      <c r="K17" s="156"/>
      <c r="L17" s="156"/>
      <c r="M17" s="156"/>
      <c r="N17" s="156"/>
      <c r="O17" s="156"/>
      <c r="P17" s="156"/>
      <c r="Q17" s="156"/>
      <c r="R17" s="156"/>
      <c r="S17" s="156"/>
      <c r="T17" s="156"/>
      <c r="U17" s="156"/>
      <c r="V17" s="156"/>
      <c r="W17" s="157"/>
    </row>
    <row r="18" spans="1:23" ht="59.25" customHeight="1">
      <c r="A18" s="46" t="s">
        <v>84</v>
      </c>
      <c r="B18" s="155" t="s">
        <v>179</v>
      </c>
      <c r="C18" s="156"/>
      <c r="D18" s="156"/>
      <c r="E18" s="156"/>
      <c r="F18" s="156"/>
      <c r="G18" s="156"/>
      <c r="H18" s="156"/>
      <c r="I18" s="156"/>
      <c r="J18" s="156"/>
      <c r="K18" s="156"/>
      <c r="L18" s="156"/>
      <c r="M18" s="156"/>
      <c r="N18" s="156"/>
      <c r="O18" s="156"/>
      <c r="P18" s="156"/>
      <c r="Q18" s="156"/>
      <c r="R18" s="156"/>
      <c r="S18" s="156"/>
      <c r="T18" s="156"/>
      <c r="U18" s="156"/>
      <c r="V18" s="156"/>
      <c r="W18" s="157"/>
    </row>
    <row r="19" spans="1:23" ht="59.25" customHeight="1">
      <c r="A19" s="46" t="s">
        <v>85</v>
      </c>
      <c r="B19" s="155" t="s">
        <v>180</v>
      </c>
      <c r="C19" s="156"/>
      <c r="D19" s="156"/>
      <c r="E19" s="156"/>
      <c r="F19" s="156"/>
      <c r="G19" s="156"/>
      <c r="H19" s="156"/>
      <c r="I19" s="156"/>
      <c r="J19" s="156"/>
      <c r="K19" s="156"/>
      <c r="L19" s="156"/>
      <c r="M19" s="156"/>
      <c r="N19" s="156"/>
      <c r="O19" s="156"/>
      <c r="P19" s="156"/>
      <c r="Q19" s="156"/>
      <c r="R19" s="156"/>
      <c r="S19" s="156"/>
      <c r="T19" s="156"/>
      <c r="U19" s="156"/>
      <c r="V19" s="156"/>
      <c r="W19" s="157"/>
    </row>
    <row r="20" spans="1:23" ht="59.25" customHeight="1">
      <c r="A20" s="46" t="s">
        <v>86</v>
      </c>
      <c r="B20" s="155" t="s">
        <v>181</v>
      </c>
      <c r="C20" s="156"/>
      <c r="D20" s="156"/>
      <c r="E20" s="156"/>
      <c r="F20" s="156"/>
      <c r="G20" s="156"/>
      <c r="H20" s="156"/>
      <c r="I20" s="156"/>
      <c r="J20" s="156"/>
      <c r="K20" s="156"/>
      <c r="L20" s="156"/>
      <c r="M20" s="156"/>
      <c r="N20" s="156"/>
      <c r="O20" s="156"/>
      <c r="P20" s="156"/>
      <c r="Q20" s="156"/>
      <c r="R20" s="156"/>
      <c r="S20" s="156"/>
      <c r="T20" s="156"/>
      <c r="U20" s="156"/>
      <c r="V20" s="156"/>
      <c r="W20" s="157"/>
    </row>
    <row r="21" spans="1:23" ht="59.25" customHeight="1">
      <c r="A21" s="46" t="s">
        <v>87</v>
      </c>
      <c r="B21" s="155" t="s">
        <v>182</v>
      </c>
      <c r="C21" s="156"/>
      <c r="D21" s="156"/>
      <c r="E21" s="156"/>
      <c r="F21" s="156"/>
      <c r="G21" s="156"/>
      <c r="H21" s="156"/>
      <c r="I21" s="156"/>
      <c r="J21" s="156"/>
      <c r="K21" s="156"/>
      <c r="L21" s="156"/>
      <c r="M21" s="156"/>
      <c r="N21" s="156"/>
      <c r="O21" s="156"/>
      <c r="P21" s="156"/>
      <c r="Q21" s="156"/>
      <c r="R21" s="156"/>
      <c r="S21" s="156"/>
      <c r="T21" s="156"/>
      <c r="U21" s="156"/>
      <c r="V21" s="156"/>
      <c r="W21" s="157"/>
    </row>
    <row r="22" spans="1:23" ht="59.25" customHeight="1">
      <c r="A22" s="46" t="s">
        <v>88</v>
      </c>
      <c r="B22" s="155" t="s">
        <v>183</v>
      </c>
      <c r="C22" s="156"/>
      <c r="D22" s="156"/>
      <c r="E22" s="156"/>
      <c r="F22" s="156"/>
      <c r="G22" s="156"/>
      <c r="H22" s="156"/>
      <c r="I22" s="156"/>
      <c r="J22" s="156"/>
      <c r="K22" s="156"/>
      <c r="L22" s="156"/>
      <c r="M22" s="156"/>
      <c r="N22" s="156"/>
      <c r="O22" s="156"/>
      <c r="P22" s="156"/>
      <c r="Q22" s="156"/>
      <c r="R22" s="156"/>
      <c r="S22" s="156"/>
      <c r="T22" s="156"/>
      <c r="U22" s="156"/>
      <c r="V22" s="156"/>
      <c r="W22" s="157"/>
    </row>
    <row r="23" spans="1:23" ht="59.25" customHeight="1">
      <c r="A23" s="46" t="s">
        <v>89</v>
      </c>
      <c r="B23" s="155" t="s">
        <v>184</v>
      </c>
      <c r="C23" s="156"/>
      <c r="D23" s="156"/>
      <c r="E23" s="156"/>
      <c r="F23" s="156"/>
      <c r="G23" s="156"/>
      <c r="H23" s="156"/>
      <c r="I23" s="156"/>
      <c r="J23" s="156"/>
      <c r="K23" s="156"/>
      <c r="L23" s="156"/>
      <c r="M23" s="156"/>
      <c r="N23" s="156"/>
      <c r="O23" s="156"/>
      <c r="P23" s="156"/>
      <c r="Q23" s="156"/>
      <c r="R23" s="156"/>
      <c r="S23" s="156"/>
      <c r="T23" s="156"/>
      <c r="U23" s="156"/>
      <c r="V23" s="156"/>
      <c r="W23" s="157"/>
    </row>
    <row r="24" spans="1:23" ht="59.25" customHeight="1">
      <c r="A24" s="46" t="s">
        <v>90</v>
      </c>
      <c r="B24" s="155" t="s">
        <v>185</v>
      </c>
      <c r="C24" s="156"/>
      <c r="D24" s="156"/>
      <c r="E24" s="156"/>
      <c r="F24" s="156"/>
      <c r="G24" s="156"/>
      <c r="H24" s="156"/>
      <c r="I24" s="156"/>
      <c r="J24" s="156"/>
      <c r="K24" s="156"/>
      <c r="L24" s="156"/>
      <c r="M24" s="156"/>
      <c r="N24" s="156"/>
      <c r="O24" s="156"/>
      <c r="P24" s="156"/>
      <c r="Q24" s="156"/>
      <c r="R24" s="156"/>
      <c r="S24" s="156"/>
      <c r="T24" s="156"/>
      <c r="U24" s="156"/>
      <c r="V24" s="156"/>
      <c r="W24" s="157"/>
    </row>
    <row r="25" spans="1:23" ht="59.25" customHeight="1">
      <c r="A25" s="46" t="s">
        <v>91</v>
      </c>
      <c r="B25" s="155" t="s">
        <v>186</v>
      </c>
      <c r="C25" s="156"/>
      <c r="D25" s="156"/>
      <c r="E25" s="156"/>
      <c r="F25" s="156"/>
      <c r="G25" s="156"/>
      <c r="H25" s="156"/>
      <c r="I25" s="156"/>
      <c r="J25" s="156"/>
      <c r="K25" s="156"/>
      <c r="L25" s="156"/>
      <c r="M25" s="156"/>
      <c r="N25" s="156"/>
      <c r="O25" s="156"/>
      <c r="P25" s="156"/>
      <c r="Q25" s="156"/>
      <c r="R25" s="156"/>
      <c r="S25" s="156"/>
      <c r="T25" s="156"/>
      <c r="U25" s="156"/>
      <c r="V25" s="156"/>
      <c r="W25" s="157"/>
    </row>
    <row r="26" spans="1:23" ht="59.25" customHeight="1">
      <c r="A26" s="46"/>
      <c r="B26" s="155"/>
      <c r="C26" s="156"/>
      <c r="D26" s="156"/>
      <c r="E26" s="156"/>
      <c r="F26" s="156"/>
      <c r="G26" s="156"/>
      <c r="H26" s="156"/>
      <c r="I26" s="156"/>
      <c r="J26" s="156"/>
      <c r="K26" s="156"/>
      <c r="L26" s="156"/>
      <c r="M26" s="156"/>
      <c r="N26" s="156"/>
      <c r="O26" s="156"/>
      <c r="P26" s="156"/>
      <c r="Q26" s="156"/>
      <c r="R26" s="156"/>
      <c r="S26" s="156"/>
      <c r="T26" s="156"/>
      <c r="U26" s="156"/>
      <c r="V26" s="156"/>
      <c r="W26" s="157"/>
    </row>
    <row r="27" spans="1:23" ht="59.25" customHeight="1">
      <c r="A27" s="46"/>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3" ht="59.25" customHeight="1">
      <c r="A28" s="46"/>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3" ht="59.25" customHeight="1">
      <c r="A29" s="46"/>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3" ht="59.25" customHeight="1">
      <c r="A30" s="46"/>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3" ht="59.25" customHeight="1">
      <c r="A31" s="46"/>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3" ht="59.25" customHeight="1">
      <c r="A32" s="46"/>
      <c r="B32" s="155"/>
      <c r="C32" s="156"/>
      <c r="D32" s="156"/>
      <c r="E32" s="156"/>
      <c r="F32" s="156"/>
      <c r="G32" s="156"/>
      <c r="H32" s="156"/>
      <c r="I32" s="156"/>
      <c r="J32" s="156"/>
      <c r="K32" s="156"/>
      <c r="L32" s="156"/>
      <c r="M32" s="156"/>
      <c r="N32" s="156"/>
      <c r="O32" s="156"/>
      <c r="P32" s="156"/>
      <c r="Q32" s="156"/>
      <c r="R32" s="156"/>
      <c r="S32" s="156"/>
      <c r="T32" s="156"/>
      <c r="U32" s="156"/>
      <c r="V32" s="156"/>
      <c r="W32" s="157"/>
    </row>
    <row r="33" spans="1:23" ht="59.25" customHeight="1">
      <c r="A33" s="46"/>
      <c r="B33" s="155"/>
      <c r="C33" s="156"/>
      <c r="D33" s="156"/>
      <c r="E33" s="156"/>
      <c r="F33" s="156"/>
      <c r="G33" s="156"/>
      <c r="H33" s="156"/>
      <c r="I33" s="156"/>
      <c r="J33" s="156"/>
      <c r="K33" s="156"/>
      <c r="L33" s="156"/>
      <c r="M33" s="156"/>
      <c r="N33" s="156"/>
      <c r="O33" s="156"/>
      <c r="P33" s="156"/>
      <c r="Q33" s="156"/>
      <c r="R33" s="156"/>
      <c r="S33" s="156"/>
      <c r="T33" s="156"/>
      <c r="U33" s="156"/>
      <c r="V33" s="156"/>
      <c r="W33" s="157"/>
    </row>
    <row r="34" spans="1:23" ht="59.25" customHeight="1">
      <c r="A34" s="46"/>
      <c r="B34" s="155"/>
      <c r="C34" s="156"/>
      <c r="D34" s="156"/>
      <c r="E34" s="156"/>
      <c r="F34" s="156"/>
      <c r="G34" s="156"/>
      <c r="H34" s="156"/>
      <c r="I34" s="156"/>
      <c r="J34" s="156"/>
      <c r="K34" s="156"/>
      <c r="L34" s="156"/>
      <c r="M34" s="156"/>
      <c r="N34" s="156"/>
      <c r="O34" s="156"/>
      <c r="P34" s="156"/>
      <c r="Q34" s="156"/>
      <c r="R34" s="156"/>
      <c r="S34" s="156"/>
      <c r="T34" s="156"/>
      <c r="U34" s="156"/>
      <c r="V34" s="156"/>
      <c r="W34" s="157"/>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4">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全角文字エラー" error="半角ABCを入れて下さい" sqref="V2:W11">
      <formula1>$X$2:$X$5</formula1>
    </dataValidation>
    <dataValidation type="list" allowBlank="1" showDropDown="1" showInputMessage="1" showErrorMessage="1" errorTitle="全角文字エラー" error="半角ABCを入れて下さい" sqref="D2:U11">
      <formula1>$X$2:$X$4</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１－１</v>
      </c>
      <c r="B1" s="34" t="str">
        <f ca="1">RIGHT(CELL("filename",B1),LEN(CELL("filename",B1))-FIND("]",CELL("filename",B1)))</f>
        <v>体育</v>
      </c>
      <c r="C1" s="35" t="s">
        <v>26</v>
      </c>
      <c r="D1" s="36" t="str">
        <f>A15</f>
        <v>伊藤 志桜</v>
      </c>
      <c r="E1" s="36" t="str">
        <f>A16</f>
        <v>大滝 園乃</v>
      </c>
      <c r="F1" s="36" t="str">
        <f>A17</f>
        <v>片桐 生登</v>
      </c>
      <c r="G1" s="36" t="str">
        <f>A18</f>
        <v>上條 矢真人</v>
      </c>
      <c r="H1" s="36" t="str">
        <f>A19</f>
        <v>長澤 航真</v>
      </c>
      <c r="I1" s="36" t="str">
        <f>A20</f>
        <v>濱 凪咲</v>
      </c>
      <c r="J1" s="36" t="str">
        <f>A21</f>
        <v>藤井 日汰</v>
      </c>
      <c r="K1" s="36" t="str">
        <f>A22</f>
        <v>増澤 悠生</v>
      </c>
      <c r="L1" s="36" t="str">
        <f>A23</f>
        <v>松山 新</v>
      </c>
      <c r="M1" s="36" t="str">
        <f>A24</f>
        <v>務䑓 理紗</v>
      </c>
      <c r="N1" s="36" t="str">
        <f>A25</f>
        <v>綿貫 凰河</v>
      </c>
      <c r="O1" s="36">
        <f>A26</f>
        <v>0</v>
      </c>
      <c r="P1" s="36">
        <f>A27</f>
        <v>0</v>
      </c>
      <c r="Q1" s="36">
        <f>A28</f>
        <v>0</v>
      </c>
      <c r="R1" s="36">
        <f>A29</f>
        <v>0</v>
      </c>
      <c r="S1" s="36">
        <f>A30</f>
        <v>0</v>
      </c>
      <c r="T1" s="36">
        <f>A31</f>
        <v>0</v>
      </c>
      <c r="U1" s="36">
        <f>A32</f>
        <v>0</v>
      </c>
      <c r="V1" s="36">
        <f>A33</f>
        <v>0</v>
      </c>
      <c r="W1" s="36">
        <f>A34</f>
        <v>0</v>
      </c>
      <c r="X1" s="37"/>
    </row>
    <row r="2" spans="1:25" ht="22.5" customHeight="1">
      <c r="A2" s="158" t="s">
        <v>139</v>
      </c>
      <c r="B2" s="90" t="s">
        <v>104</v>
      </c>
      <c r="C2" s="38" t="s">
        <v>28</v>
      </c>
      <c r="D2" s="39" t="s">
        <v>79</v>
      </c>
      <c r="E2" s="39" t="s">
        <v>187</v>
      </c>
      <c r="F2" s="39" t="s">
        <v>187</v>
      </c>
      <c r="G2" s="39" t="s">
        <v>188</v>
      </c>
      <c r="H2" s="39" t="s">
        <v>187</v>
      </c>
      <c r="I2" s="39" t="s">
        <v>187</v>
      </c>
      <c r="J2" s="39" t="s">
        <v>187</v>
      </c>
      <c r="K2" s="39" t="s">
        <v>187</v>
      </c>
      <c r="L2" s="39" t="s">
        <v>187</v>
      </c>
      <c r="M2" s="39" t="s">
        <v>187</v>
      </c>
      <c r="N2" s="39" t="s">
        <v>187</v>
      </c>
      <c r="O2" s="39"/>
      <c r="P2" s="39"/>
      <c r="Q2" s="39"/>
      <c r="R2" s="39"/>
      <c r="S2" s="39"/>
      <c r="T2" s="39"/>
      <c r="U2" s="39"/>
      <c r="V2" s="39"/>
      <c r="W2" s="39"/>
      <c r="X2" s="40" t="s">
        <v>187</v>
      </c>
      <c r="Y2" s="40">
        <v>1</v>
      </c>
    </row>
    <row r="3" spans="1:25" ht="22.5" customHeight="1">
      <c r="A3" s="159"/>
      <c r="B3" s="41" t="s">
        <v>105</v>
      </c>
      <c r="C3" s="38" t="s">
        <v>28</v>
      </c>
      <c r="D3" s="39" t="s">
        <v>187</v>
      </c>
      <c r="E3" s="39" t="s">
        <v>145</v>
      </c>
      <c r="F3" s="39" t="s">
        <v>188</v>
      </c>
      <c r="G3" s="39" t="s">
        <v>188</v>
      </c>
      <c r="H3" s="39" t="s">
        <v>188</v>
      </c>
      <c r="I3" s="39" t="s">
        <v>146</v>
      </c>
      <c r="J3" s="39" t="s">
        <v>146</v>
      </c>
      <c r="K3" s="39" t="s">
        <v>187</v>
      </c>
      <c r="L3" s="39" t="s">
        <v>187</v>
      </c>
      <c r="M3" s="39" t="s">
        <v>188</v>
      </c>
      <c r="N3" s="39" t="s">
        <v>188</v>
      </c>
      <c r="O3" s="39"/>
      <c r="P3" s="39"/>
      <c r="Q3" s="39"/>
      <c r="R3" s="39"/>
      <c r="S3" s="39"/>
      <c r="T3" s="39"/>
      <c r="U3" s="39"/>
      <c r="V3" s="39"/>
      <c r="W3" s="39"/>
      <c r="X3" s="40" t="s">
        <v>145</v>
      </c>
      <c r="Y3" s="40">
        <v>2</v>
      </c>
    </row>
    <row r="4" spans="1:25" ht="22.5" customHeight="1">
      <c r="A4" s="159"/>
      <c r="B4" s="41" t="s">
        <v>106</v>
      </c>
      <c r="C4" s="38" t="s">
        <v>28</v>
      </c>
      <c r="D4" s="39" t="s">
        <v>145</v>
      </c>
      <c r="E4" s="39" t="s">
        <v>188</v>
      </c>
      <c r="F4" s="39" t="s">
        <v>146</v>
      </c>
      <c r="G4" s="39" t="s">
        <v>146</v>
      </c>
      <c r="H4" s="39" t="s">
        <v>146</v>
      </c>
      <c r="I4" s="39" t="s">
        <v>146</v>
      </c>
      <c r="J4" s="39" t="s">
        <v>146</v>
      </c>
      <c r="K4" s="39" t="s">
        <v>146</v>
      </c>
      <c r="L4" s="39" t="s">
        <v>146</v>
      </c>
      <c r="M4" s="39" t="s">
        <v>146</v>
      </c>
      <c r="N4" s="39" t="s">
        <v>146</v>
      </c>
      <c r="O4" s="39"/>
      <c r="P4" s="39"/>
      <c r="Q4" s="39"/>
      <c r="R4" s="39"/>
      <c r="S4" s="39"/>
      <c r="T4" s="39"/>
      <c r="U4" s="39"/>
      <c r="V4" s="39"/>
      <c r="W4" s="39"/>
      <c r="X4" s="40" t="s">
        <v>147</v>
      </c>
      <c r="Y4" s="40">
        <v>3</v>
      </c>
    </row>
    <row r="5" spans="1:25" ht="22.5" customHeight="1">
      <c r="A5" s="159"/>
      <c r="B5" s="90" t="s">
        <v>107</v>
      </c>
      <c r="C5" s="38" t="s">
        <v>28</v>
      </c>
      <c r="D5" s="39" t="s">
        <v>187</v>
      </c>
      <c r="E5" s="39" t="s">
        <v>145</v>
      </c>
      <c r="F5" s="39" t="s">
        <v>146</v>
      </c>
      <c r="G5" s="39" t="s">
        <v>146</v>
      </c>
      <c r="H5" s="39" t="s">
        <v>189</v>
      </c>
      <c r="I5" s="39" t="s">
        <v>189</v>
      </c>
      <c r="J5" s="39" t="s">
        <v>146</v>
      </c>
      <c r="K5" s="39" t="s">
        <v>146</v>
      </c>
      <c r="L5" s="39" t="s">
        <v>187</v>
      </c>
      <c r="M5" s="39" t="s">
        <v>146</v>
      </c>
      <c r="N5" s="39" t="s">
        <v>146</v>
      </c>
      <c r="O5" s="39"/>
      <c r="P5" s="39"/>
      <c r="Q5" s="39"/>
      <c r="R5" s="39"/>
      <c r="S5" s="39"/>
      <c r="T5" s="39"/>
      <c r="U5" s="39"/>
      <c r="V5" s="39"/>
      <c r="W5" s="39"/>
      <c r="X5" s="40" t="s">
        <v>148</v>
      </c>
      <c r="Y5" s="40">
        <v>4</v>
      </c>
    </row>
    <row r="6" spans="1:25" ht="22.5" customHeight="1">
      <c r="A6" s="159"/>
      <c r="B6" s="41" t="s">
        <v>108</v>
      </c>
      <c r="C6" s="38" t="s">
        <v>28</v>
      </c>
      <c r="D6" s="39" t="s">
        <v>146</v>
      </c>
      <c r="E6" s="39" t="s">
        <v>145</v>
      </c>
      <c r="F6" s="39" t="s">
        <v>187</v>
      </c>
      <c r="G6" s="39" t="s">
        <v>146</v>
      </c>
      <c r="H6" s="39" t="s">
        <v>146</v>
      </c>
      <c r="I6" s="39" t="s">
        <v>146</v>
      </c>
      <c r="J6" s="39" t="s">
        <v>146</v>
      </c>
      <c r="K6" s="39" t="s">
        <v>146</v>
      </c>
      <c r="L6" s="39" t="s">
        <v>146</v>
      </c>
      <c r="M6" s="39" t="s">
        <v>146</v>
      </c>
      <c r="N6" s="39" t="s">
        <v>146</v>
      </c>
      <c r="O6" s="39"/>
      <c r="P6" s="39"/>
      <c r="Q6" s="39"/>
      <c r="R6" s="39"/>
      <c r="S6" s="39"/>
      <c r="T6" s="39"/>
      <c r="U6" s="39"/>
      <c r="V6" s="39"/>
      <c r="W6" s="39"/>
      <c r="X6" s="40"/>
      <c r="Y6" s="40">
        <v>5</v>
      </c>
    </row>
    <row r="7" spans="1:25" ht="22.5" customHeight="1">
      <c r="A7" s="159"/>
      <c r="B7" s="41"/>
      <c r="C7" s="38" t="s">
        <v>28</v>
      </c>
      <c r="D7" s="39"/>
      <c r="E7" s="39"/>
      <c r="F7" s="39"/>
      <c r="G7" s="39"/>
      <c r="H7" s="39"/>
      <c r="I7" s="39"/>
      <c r="J7" s="39"/>
      <c r="K7" s="39"/>
      <c r="L7" s="39"/>
      <c r="M7" s="39"/>
      <c r="N7" s="39"/>
      <c r="O7" s="39"/>
      <c r="P7" s="39"/>
      <c r="Q7" s="39"/>
      <c r="R7" s="39"/>
      <c r="S7" s="39"/>
      <c r="T7" s="39"/>
      <c r="U7" s="39"/>
      <c r="V7" s="39"/>
      <c r="W7" s="39"/>
      <c r="X7" s="40"/>
      <c r="Y7" s="40" t="s">
        <v>148</v>
      </c>
    </row>
    <row r="8" spans="1:25" ht="22.5" customHeight="1">
      <c r="A8" s="159"/>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9"/>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9"/>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9"/>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60"/>
      <c r="B12" s="42"/>
      <c r="C12" s="43" t="s">
        <v>35</v>
      </c>
      <c r="D12" s="39">
        <v>5</v>
      </c>
      <c r="E12" s="39">
        <v>3</v>
      </c>
      <c r="F12" s="39">
        <v>5</v>
      </c>
      <c r="G12" s="39">
        <v>4</v>
      </c>
      <c r="H12" s="39">
        <v>5</v>
      </c>
      <c r="I12" s="39">
        <v>5</v>
      </c>
      <c r="J12" s="39">
        <v>5</v>
      </c>
      <c r="K12" s="39">
        <v>5</v>
      </c>
      <c r="L12" s="39">
        <v>5</v>
      </c>
      <c r="M12" s="39">
        <v>5</v>
      </c>
      <c r="N12" s="39">
        <v>5</v>
      </c>
      <c r="O12" s="39"/>
      <c r="P12" s="39"/>
      <c r="Q12" s="39"/>
      <c r="R12" s="39"/>
      <c r="S12" s="39"/>
      <c r="T12" s="39"/>
      <c r="U12" s="39"/>
      <c r="V12" s="39"/>
      <c r="W12" s="39"/>
    </row>
    <row r="13" spans="1:25" ht="26.25" customHeight="1">
      <c r="A13" s="44"/>
      <c r="B13" s="44"/>
      <c r="C13" s="79" t="s">
        <v>63</v>
      </c>
      <c r="D13" s="80"/>
      <c r="E13" s="80"/>
      <c r="F13" s="80"/>
      <c r="G13" s="80"/>
      <c r="H13" s="80"/>
      <c r="I13" s="80"/>
      <c r="J13" s="80"/>
      <c r="K13" s="80"/>
      <c r="L13" s="80"/>
      <c r="M13" s="80"/>
      <c r="N13" s="80"/>
      <c r="O13" s="80"/>
      <c r="P13" s="80"/>
      <c r="Q13" s="80"/>
      <c r="R13" s="80"/>
      <c r="S13" s="80"/>
      <c r="T13" s="80"/>
      <c r="U13" s="80"/>
      <c r="V13" s="80"/>
      <c r="W13" s="80"/>
    </row>
    <row r="14" spans="1:25" ht="22.5" customHeight="1">
      <c r="A14" s="45" t="s">
        <v>36</v>
      </c>
      <c r="B14" s="161" t="s">
        <v>37</v>
      </c>
      <c r="C14" s="162"/>
      <c r="D14" s="162"/>
      <c r="E14" s="162"/>
      <c r="F14" s="162"/>
      <c r="G14" s="162"/>
      <c r="H14" s="162"/>
      <c r="I14" s="162"/>
      <c r="J14" s="162"/>
      <c r="K14" s="162"/>
      <c r="L14" s="162"/>
      <c r="M14" s="162"/>
      <c r="N14" s="162"/>
      <c r="O14" s="162"/>
      <c r="P14" s="162"/>
      <c r="Q14" s="162"/>
      <c r="R14" s="162"/>
      <c r="S14" s="162"/>
      <c r="T14" s="162"/>
      <c r="U14" s="162"/>
      <c r="V14" s="162"/>
      <c r="W14" s="163"/>
    </row>
    <row r="15" spans="1:25" ht="59.25" customHeight="1">
      <c r="A15" s="46" t="s">
        <v>81</v>
      </c>
      <c r="B15" s="155"/>
      <c r="C15" s="156"/>
      <c r="D15" s="156"/>
      <c r="E15" s="156"/>
      <c r="F15" s="156"/>
      <c r="G15" s="156"/>
      <c r="H15" s="156"/>
      <c r="I15" s="156"/>
      <c r="J15" s="156"/>
      <c r="K15" s="156"/>
      <c r="L15" s="156"/>
      <c r="M15" s="156"/>
      <c r="N15" s="156"/>
      <c r="O15" s="156"/>
      <c r="P15" s="156"/>
      <c r="Q15" s="156"/>
      <c r="R15" s="156"/>
      <c r="S15" s="156"/>
      <c r="T15" s="156"/>
      <c r="U15" s="156"/>
      <c r="V15" s="156"/>
      <c r="W15" s="157"/>
    </row>
    <row r="16" spans="1:25" ht="59.25" customHeight="1">
      <c r="A16" s="46" t="s">
        <v>82</v>
      </c>
      <c r="B16" s="155" t="s">
        <v>109</v>
      </c>
      <c r="C16" s="156"/>
      <c r="D16" s="156"/>
      <c r="E16" s="156"/>
      <c r="F16" s="156"/>
      <c r="G16" s="156"/>
      <c r="H16" s="156"/>
      <c r="I16" s="156"/>
      <c r="J16" s="156"/>
      <c r="K16" s="156"/>
      <c r="L16" s="156"/>
      <c r="M16" s="156"/>
      <c r="N16" s="156"/>
      <c r="O16" s="156"/>
      <c r="P16" s="156"/>
      <c r="Q16" s="156"/>
      <c r="R16" s="156"/>
      <c r="S16" s="156"/>
      <c r="T16" s="156"/>
      <c r="U16" s="156"/>
      <c r="V16" s="156"/>
      <c r="W16" s="157"/>
    </row>
    <row r="17" spans="1:23" ht="59.25" customHeight="1">
      <c r="A17" s="46" t="s">
        <v>83</v>
      </c>
      <c r="B17" s="155"/>
      <c r="C17" s="156"/>
      <c r="D17" s="156"/>
      <c r="E17" s="156"/>
      <c r="F17" s="156"/>
      <c r="G17" s="156"/>
      <c r="H17" s="156"/>
      <c r="I17" s="156"/>
      <c r="J17" s="156"/>
      <c r="K17" s="156"/>
      <c r="L17" s="156"/>
      <c r="M17" s="156"/>
      <c r="N17" s="156"/>
      <c r="O17" s="156"/>
      <c r="P17" s="156"/>
      <c r="Q17" s="156"/>
      <c r="R17" s="156"/>
      <c r="S17" s="156"/>
      <c r="T17" s="156"/>
      <c r="U17" s="156"/>
      <c r="V17" s="156"/>
      <c r="W17" s="157"/>
    </row>
    <row r="18" spans="1:23" ht="59.25" customHeight="1">
      <c r="A18" s="46" t="s">
        <v>84</v>
      </c>
      <c r="B18" s="155"/>
      <c r="C18" s="156"/>
      <c r="D18" s="156"/>
      <c r="E18" s="156"/>
      <c r="F18" s="156"/>
      <c r="G18" s="156"/>
      <c r="H18" s="156"/>
      <c r="I18" s="156"/>
      <c r="J18" s="156"/>
      <c r="K18" s="156"/>
      <c r="L18" s="156"/>
      <c r="M18" s="156"/>
      <c r="N18" s="156"/>
      <c r="O18" s="156"/>
      <c r="P18" s="156"/>
      <c r="Q18" s="156"/>
      <c r="R18" s="156"/>
      <c r="S18" s="156"/>
      <c r="T18" s="156"/>
      <c r="U18" s="156"/>
      <c r="V18" s="156"/>
      <c r="W18" s="157"/>
    </row>
    <row r="19" spans="1:23" ht="59.25" customHeight="1">
      <c r="A19" s="46" t="s">
        <v>85</v>
      </c>
      <c r="B19" s="155"/>
      <c r="C19" s="156"/>
      <c r="D19" s="156"/>
      <c r="E19" s="156"/>
      <c r="F19" s="156"/>
      <c r="G19" s="156"/>
      <c r="H19" s="156"/>
      <c r="I19" s="156"/>
      <c r="J19" s="156"/>
      <c r="K19" s="156"/>
      <c r="L19" s="156"/>
      <c r="M19" s="156"/>
      <c r="N19" s="156"/>
      <c r="O19" s="156"/>
      <c r="P19" s="156"/>
      <c r="Q19" s="156"/>
      <c r="R19" s="156"/>
      <c r="S19" s="156"/>
      <c r="T19" s="156"/>
      <c r="U19" s="156"/>
      <c r="V19" s="156"/>
      <c r="W19" s="157"/>
    </row>
    <row r="20" spans="1:23" ht="59.25" customHeight="1">
      <c r="A20" s="46" t="s">
        <v>86</v>
      </c>
      <c r="B20" s="155"/>
      <c r="C20" s="156"/>
      <c r="D20" s="156"/>
      <c r="E20" s="156"/>
      <c r="F20" s="156"/>
      <c r="G20" s="156"/>
      <c r="H20" s="156"/>
      <c r="I20" s="156"/>
      <c r="J20" s="156"/>
      <c r="K20" s="156"/>
      <c r="L20" s="156"/>
      <c r="M20" s="156"/>
      <c r="N20" s="156"/>
      <c r="O20" s="156"/>
      <c r="P20" s="156"/>
      <c r="Q20" s="156"/>
      <c r="R20" s="156"/>
      <c r="S20" s="156"/>
      <c r="T20" s="156"/>
      <c r="U20" s="156"/>
      <c r="V20" s="156"/>
      <c r="W20" s="157"/>
    </row>
    <row r="21" spans="1:23" ht="59.25" customHeight="1">
      <c r="A21" s="46" t="s">
        <v>87</v>
      </c>
      <c r="B21" s="155"/>
      <c r="C21" s="156"/>
      <c r="D21" s="156"/>
      <c r="E21" s="156"/>
      <c r="F21" s="156"/>
      <c r="G21" s="156"/>
      <c r="H21" s="156"/>
      <c r="I21" s="156"/>
      <c r="J21" s="156"/>
      <c r="K21" s="156"/>
      <c r="L21" s="156"/>
      <c r="M21" s="156"/>
      <c r="N21" s="156"/>
      <c r="O21" s="156"/>
      <c r="P21" s="156"/>
      <c r="Q21" s="156"/>
      <c r="R21" s="156"/>
      <c r="S21" s="156"/>
      <c r="T21" s="156"/>
      <c r="U21" s="156"/>
      <c r="V21" s="156"/>
      <c r="W21" s="157"/>
    </row>
    <row r="22" spans="1:23" ht="59.25" customHeight="1">
      <c r="A22" s="46" t="s">
        <v>88</v>
      </c>
      <c r="B22" s="155"/>
      <c r="C22" s="156"/>
      <c r="D22" s="156"/>
      <c r="E22" s="156"/>
      <c r="F22" s="156"/>
      <c r="G22" s="156"/>
      <c r="H22" s="156"/>
      <c r="I22" s="156"/>
      <c r="J22" s="156"/>
      <c r="K22" s="156"/>
      <c r="L22" s="156"/>
      <c r="M22" s="156"/>
      <c r="N22" s="156"/>
      <c r="O22" s="156"/>
      <c r="P22" s="156"/>
      <c r="Q22" s="156"/>
      <c r="R22" s="156"/>
      <c r="S22" s="156"/>
      <c r="T22" s="156"/>
      <c r="U22" s="156"/>
      <c r="V22" s="156"/>
      <c r="W22" s="157"/>
    </row>
    <row r="23" spans="1:23" ht="59.25" customHeight="1">
      <c r="A23" s="46" t="s">
        <v>89</v>
      </c>
      <c r="B23" s="155"/>
      <c r="C23" s="156"/>
      <c r="D23" s="156"/>
      <c r="E23" s="156"/>
      <c r="F23" s="156"/>
      <c r="G23" s="156"/>
      <c r="H23" s="156"/>
      <c r="I23" s="156"/>
      <c r="J23" s="156"/>
      <c r="K23" s="156"/>
      <c r="L23" s="156"/>
      <c r="M23" s="156"/>
      <c r="N23" s="156"/>
      <c r="O23" s="156"/>
      <c r="P23" s="156"/>
      <c r="Q23" s="156"/>
      <c r="R23" s="156"/>
      <c r="S23" s="156"/>
      <c r="T23" s="156"/>
      <c r="U23" s="156"/>
      <c r="V23" s="156"/>
      <c r="W23" s="157"/>
    </row>
    <row r="24" spans="1:23" ht="59.25" customHeight="1">
      <c r="A24" s="46" t="s">
        <v>90</v>
      </c>
      <c r="B24" s="155"/>
      <c r="C24" s="156"/>
      <c r="D24" s="156"/>
      <c r="E24" s="156"/>
      <c r="F24" s="156"/>
      <c r="G24" s="156"/>
      <c r="H24" s="156"/>
      <c r="I24" s="156"/>
      <c r="J24" s="156"/>
      <c r="K24" s="156"/>
      <c r="L24" s="156"/>
      <c r="M24" s="156"/>
      <c r="N24" s="156"/>
      <c r="O24" s="156"/>
      <c r="P24" s="156"/>
      <c r="Q24" s="156"/>
      <c r="R24" s="156"/>
      <c r="S24" s="156"/>
      <c r="T24" s="156"/>
      <c r="U24" s="156"/>
      <c r="V24" s="156"/>
      <c r="W24" s="157"/>
    </row>
    <row r="25" spans="1:23" ht="59.25" customHeight="1">
      <c r="A25" s="46" t="s">
        <v>91</v>
      </c>
      <c r="B25" s="155"/>
      <c r="C25" s="156"/>
      <c r="D25" s="156"/>
      <c r="E25" s="156"/>
      <c r="F25" s="156"/>
      <c r="G25" s="156"/>
      <c r="H25" s="156"/>
      <c r="I25" s="156"/>
      <c r="J25" s="156"/>
      <c r="K25" s="156"/>
      <c r="L25" s="156"/>
      <c r="M25" s="156"/>
      <c r="N25" s="156"/>
      <c r="O25" s="156"/>
      <c r="P25" s="156"/>
      <c r="Q25" s="156"/>
      <c r="R25" s="156"/>
      <c r="S25" s="156"/>
      <c r="T25" s="156"/>
      <c r="U25" s="156"/>
      <c r="V25" s="156"/>
      <c r="W25" s="157"/>
    </row>
    <row r="26" spans="1:23" ht="59.25" customHeight="1">
      <c r="A26" s="46"/>
      <c r="B26" s="155"/>
      <c r="C26" s="156"/>
      <c r="D26" s="156"/>
      <c r="E26" s="156"/>
      <c r="F26" s="156"/>
      <c r="G26" s="156"/>
      <c r="H26" s="156"/>
      <c r="I26" s="156"/>
      <c r="J26" s="156"/>
      <c r="K26" s="156"/>
      <c r="L26" s="156"/>
      <c r="M26" s="156"/>
      <c r="N26" s="156"/>
      <c r="O26" s="156"/>
      <c r="P26" s="156"/>
      <c r="Q26" s="156"/>
      <c r="R26" s="156"/>
      <c r="S26" s="156"/>
      <c r="T26" s="156"/>
      <c r="U26" s="156"/>
      <c r="V26" s="156"/>
      <c r="W26" s="157"/>
    </row>
    <row r="27" spans="1:23" ht="59.25" customHeight="1">
      <c r="A27" s="46"/>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3" ht="59.25" customHeight="1">
      <c r="A28" s="46"/>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3" ht="59.25" customHeight="1">
      <c r="A29" s="46"/>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3" ht="59.25" customHeight="1">
      <c r="A30" s="46"/>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3" ht="59.25" customHeight="1">
      <c r="A31" s="46"/>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3" ht="59.25" customHeight="1">
      <c r="A32" s="46"/>
      <c r="B32" s="155"/>
      <c r="C32" s="156"/>
      <c r="D32" s="156"/>
      <c r="E32" s="156"/>
      <c r="F32" s="156"/>
      <c r="G32" s="156"/>
      <c r="H32" s="156"/>
      <c r="I32" s="156"/>
      <c r="J32" s="156"/>
      <c r="K32" s="156"/>
      <c r="L32" s="156"/>
      <c r="M32" s="156"/>
      <c r="N32" s="156"/>
      <c r="O32" s="156"/>
      <c r="P32" s="156"/>
      <c r="Q32" s="156"/>
      <c r="R32" s="156"/>
      <c r="S32" s="156"/>
      <c r="T32" s="156"/>
      <c r="U32" s="156"/>
      <c r="V32" s="156"/>
      <c r="W32" s="157"/>
    </row>
    <row r="33" spans="1:23" ht="59.25" customHeight="1">
      <c r="A33" s="46"/>
      <c r="B33" s="155"/>
      <c r="C33" s="156"/>
      <c r="D33" s="156"/>
      <c r="E33" s="156"/>
      <c r="F33" s="156"/>
      <c r="G33" s="156"/>
      <c r="H33" s="156"/>
      <c r="I33" s="156"/>
      <c r="J33" s="156"/>
      <c r="K33" s="156"/>
      <c r="L33" s="156"/>
      <c r="M33" s="156"/>
      <c r="N33" s="156"/>
      <c r="O33" s="156"/>
      <c r="P33" s="156"/>
      <c r="Q33" s="156"/>
      <c r="R33" s="156"/>
      <c r="S33" s="156"/>
      <c r="T33" s="156"/>
      <c r="U33" s="156"/>
      <c r="V33" s="156"/>
      <c r="W33" s="157"/>
    </row>
    <row r="34" spans="1:23" ht="59.25" customHeight="1">
      <c r="A34" s="46"/>
      <c r="B34" s="155"/>
      <c r="C34" s="156"/>
      <c r="D34" s="156"/>
      <c r="E34" s="156"/>
      <c r="F34" s="156"/>
      <c r="G34" s="156"/>
      <c r="H34" s="156"/>
      <c r="I34" s="156"/>
      <c r="J34" s="156"/>
      <c r="K34" s="156"/>
      <c r="L34" s="156"/>
      <c r="M34" s="156"/>
      <c r="N34" s="156"/>
      <c r="O34" s="156"/>
      <c r="P34" s="156"/>
      <c r="Q34" s="156"/>
      <c r="R34" s="156"/>
      <c r="S34" s="156"/>
      <c r="T34" s="156"/>
      <c r="U34" s="156"/>
      <c r="V34" s="156"/>
      <c r="W34" s="157"/>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6"/>
  <sheetViews>
    <sheetView workbookViewId="0">
      <selection sqref="A1:XFD1048576"/>
    </sheetView>
  </sheetViews>
  <sheetFormatPr defaultRowHeight="13.5"/>
  <cols>
    <col min="1" max="1" width="13.5" style="8" customWidth="1"/>
    <col min="2" max="2" width="147.75" style="8" customWidth="1"/>
    <col min="3" max="16384" width="9" style="8"/>
  </cols>
  <sheetData>
    <row r="1" spans="1:3" ht="27.75" customHeight="1">
      <c r="A1" s="33" t="str">
        <f ca="1">MID(CELL("filename",A1),FIND("[",CELL("filename",A1))+1,3)</f>
        <v>１－１</v>
      </c>
      <c r="B1" s="34" t="str">
        <f ca="1">RIGHT(CELL("filename",B1),LEN(CELL("filename",B1))-FIND("]",CELL("filename",B1)))</f>
        <v>道徳</v>
      </c>
      <c r="C1" s="47" t="s">
        <v>40</v>
      </c>
    </row>
    <row r="2" spans="1:3" ht="22.5" customHeight="1">
      <c r="A2" s="45" t="s">
        <v>36</v>
      </c>
      <c r="B2" s="48" t="s">
        <v>7</v>
      </c>
      <c r="C2" s="8" t="s">
        <v>141</v>
      </c>
    </row>
    <row r="3" spans="1:3" ht="59.25" customHeight="1">
      <c r="A3" s="46" t="s">
        <v>81</v>
      </c>
      <c r="B3" s="62" t="s">
        <v>110</v>
      </c>
      <c r="C3" s="8">
        <f>LEN(B3)</f>
        <v>187</v>
      </c>
    </row>
    <row r="4" spans="1:3" ht="59.25" customHeight="1">
      <c r="A4" s="46" t="s">
        <v>82</v>
      </c>
      <c r="B4" s="63" t="s">
        <v>111</v>
      </c>
      <c r="C4" s="8">
        <f t="shared" ref="C4:C22" si="0">LEN(B4)</f>
        <v>184</v>
      </c>
    </row>
    <row r="5" spans="1:3" ht="59.25" customHeight="1">
      <c r="A5" s="46" t="s">
        <v>83</v>
      </c>
      <c r="B5" s="62" t="s">
        <v>190</v>
      </c>
      <c r="C5" s="8">
        <f t="shared" si="0"/>
        <v>152</v>
      </c>
    </row>
    <row r="6" spans="1:3" ht="59.25" customHeight="1">
      <c r="A6" s="46" t="s">
        <v>84</v>
      </c>
      <c r="B6" s="62" t="s">
        <v>112</v>
      </c>
      <c r="C6" s="8">
        <f t="shared" si="0"/>
        <v>180</v>
      </c>
    </row>
    <row r="7" spans="1:3" ht="59.25" customHeight="1">
      <c r="A7" s="46" t="s">
        <v>85</v>
      </c>
      <c r="B7" s="63" t="s">
        <v>191</v>
      </c>
      <c r="C7" s="8">
        <f t="shared" si="0"/>
        <v>161</v>
      </c>
    </row>
    <row r="8" spans="1:3" ht="59.25" customHeight="1">
      <c r="A8" s="46" t="s">
        <v>86</v>
      </c>
      <c r="B8" s="63" t="s">
        <v>192</v>
      </c>
      <c r="C8" s="8">
        <f t="shared" si="0"/>
        <v>178</v>
      </c>
    </row>
    <row r="9" spans="1:3" ht="59.25" customHeight="1">
      <c r="A9" s="46" t="s">
        <v>87</v>
      </c>
      <c r="B9" s="62" t="s">
        <v>113</v>
      </c>
      <c r="C9" s="8">
        <f t="shared" si="0"/>
        <v>169</v>
      </c>
    </row>
    <row r="10" spans="1:3" ht="59.25" customHeight="1">
      <c r="A10" s="46" t="s">
        <v>88</v>
      </c>
      <c r="B10" s="62" t="s">
        <v>114</v>
      </c>
      <c r="C10" s="8">
        <f t="shared" si="0"/>
        <v>169</v>
      </c>
    </row>
    <row r="11" spans="1:3" ht="59.25" customHeight="1">
      <c r="A11" s="46" t="s">
        <v>89</v>
      </c>
      <c r="B11" s="91" t="s">
        <v>193</v>
      </c>
      <c r="C11" s="8">
        <f t="shared" si="0"/>
        <v>192</v>
      </c>
    </row>
    <row r="12" spans="1:3" ht="59.25" customHeight="1">
      <c r="A12" s="46" t="s">
        <v>90</v>
      </c>
      <c r="B12" s="62" t="s">
        <v>115</v>
      </c>
      <c r="C12" s="8">
        <f t="shared" si="0"/>
        <v>183</v>
      </c>
    </row>
    <row r="13" spans="1:3" ht="59.25" customHeight="1">
      <c r="A13" s="46" t="s">
        <v>91</v>
      </c>
      <c r="B13" s="62" t="s">
        <v>116</v>
      </c>
      <c r="C13" s="8">
        <f t="shared" si="0"/>
        <v>182</v>
      </c>
    </row>
    <row r="14" spans="1:3" ht="59.25" customHeight="1">
      <c r="A14" s="46"/>
      <c r="B14" s="63"/>
      <c r="C14" s="8">
        <f t="shared" si="0"/>
        <v>0</v>
      </c>
    </row>
    <row r="15" spans="1:3" ht="59.25" customHeight="1">
      <c r="A15" s="46"/>
      <c r="B15" s="63"/>
      <c r="C15" s="8">
        <f t="shared" si="0"/>
        <v>0</v>
      </c>
    </row>
    <row r="16" spans="1:3" ht="59.25" customHeight="1">
      <c r="A16" s="46"/>
      <c r="B16" s="63"/>
      <c r="C16" s="8">
        <f t="shared" si="0"/>
        <v>0</v>
      </c>
    </row>
    <row r="17" spans="1:3" ht="59.25" customHeight="1">
      <c r="A17" s="46"/>
      <c r="B17" s="49"/>
      <c r="C17" s="8">
        <f t="shared" si="0"/>
        <v>0</v>
      </c>
    </row>
    <row r="18" spans="1:3" ht="59.25" customHeight="1">
      <c r="A18" s="46"/>
      <c r="B18" s="49"/>
      <c r="C18" s="8">
        <f t="shared" si="0"/>
        <v>0</v>
      </c>
    </row>
    <row r="19" spans="1:3" ht="59.25" customHeight="1">
      <c r="A19" s="46"/>
      <c r="B19" s="49"/>
      <c r="C19" s="8">
        <f t="shared" si="0"/>
        <v>0</v>
      </c>
    </row>
    <row r="20" spans="1:3" ht="59.25" customHeight="1">
      <c r="A20" s="46"/>
      <c r="B20" s="49"/>
      <c r="C20" s="8">
        <f t="shared" si="0"/>
        <v>0</v>
      </c>
    </row>
    <row r="21" spans="1:3" ht="59.25" customHeight="1">
      <c r="A21" s="46"/>
      <c r="B21" s="49"/>
      <c r="C21" s="8">
        <f t="shared" si="0"/>
        <v>0</v>
      </c>
    </row>
    <row r="22" spans="1:3" ht="59.25" customHeight="1">
      <c r="A22" s="46"/>
      <c r="B22" s="49"/>
      <c r="C22" s="8">
        <f t="shared" si="0"/>
        <v>0</v>
      </c>
    </row>
    <row r="23" spans="1:3" ht="22.5" customHeight="1"/>
    <row r="24" spans="1:3" ht="22.5" customHeight="1"/>
    <row r="25" spans="1:3" ht="22.5" customHeight="1"/>
    <row r="26" spans="1:3" ht="22.5" customHeight="1"/>
    <row r="27" spans="1:3" ht="17.25" customHeight="1"/>
    <row r="28" spans="1:3" ht="17.25" customHeight="1"/>
    <row r="29" spans="1:3" ht="17.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sheetData>
  <phoneticPr fontId="1"/>
  <conditionalFormatting sqref="C3:C22">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X192"/>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24" width="6" style="8" customWidth="1"/>
    <col min="25" max="16384" width="9" style="8"/>
  </cols>
  <sheetData>
    <row r="1" spans="1:24" ht="85.5" customHeight="1">
      <c r="A1" s="50" t="str">
        <f ca="1">MID(CELL("filename",A1),FIND("[",CELL("filename",A1))+1,3)</f>
        <v>１－１</v>
      </c>
      <c r="B1" s="51" t="s">
        <v>41</v>
      </c>
      <c r="C1" s="52" t="s">
        <v>26</v>
      </c>
      <c r="D1" s="36" t="str">
        <f>A13</f>
        <v>伊藤 志桜</v>
      </c>
      <c r="E1" s="36" t="str">
        <f>A14</f>
        <v>大滝 園乃</v>
      </c>
      <c r="F1" s="36" t="str">
        <f>A15</f>
        <v>片桐 生登</v>
      </c>
      <c r="G1" s="36" t="str">
        <f>A16</f>
        <v>上條 矢真人</v>
      </c>
      <c r="H1" s="36" t="str">
        <f>A17</f>
        <v>長澤 航真</v>
      </c>
      <c r="I1" s="36" t="str">
        <f>A18</f>
        <v>濱 凪咲</v>
      </c>
      <c r="J1" s="36" t="str">
        <f>A19</f>
        <v>藤井 日汰</v>
      </c>
      <c r="K1" s="36" t="str">
        <f>A20</f>
        <v>増澤 悠生</v>
      </c>
      <c r="L1" s="36" t="str">
        <f>A21</f>
        <v>松山 新</v>
      </c>
      <c r="M1" s="36" t="str">
        <f>A22</f>
        <v>務䑓 理紗</v>
      </c>
      <c r="N1" s="36" t="str">
        <f>A23</f>
        <v>綿貫 凰河</v>
      </c>
      <c r="O1" s="36">
        <f>A24</f>
        <v>0</v>
      </c>
      <c r="P1" s="36">
        <f>A25</f>
        <v>0</v>
      </c>
      <c r="Q1" s="36">
        <f>A26</f>
        <v>0</v>
      </c>
      <c r="R1" s="36">
        <f>A27</f>
        <v>0</v>
      </c>
      <c r="S1" s="36">
        <f>A28</f>
        <v>0</v>
      </c>
      <c r="T1" s="36">
        <f>A29</f>
        <v>0</v>
      </c>
      <c r="U1" s="36">
        <f>A30</f>
        <v>0</v>
      </c>
      <c r="V1" s="36">
        <f>A31</f>
        <v>0</v>
      </c>
      <c r="W1" s="36">
        <f>A32</f>
        <v>0</v>
      </c>
      <c r="X1" s="37"/>
    </row>
    <row r="2" spans="1:24" ht="22.5" customHeight="1">
      <c r="A2" s="171" t="s">
        <v>42</v>
      </c>
      <c r="B2" s="61" t="s">
        <v>69</v>
      </c>
      <c r="C2" s="38" t="s">
        <v>28</v>
      </c>
      <c r="D2" s="84" t="s">
        <v>117</v>
      </c>
      <c r="E2" s="84" t="s">
        <v>117</v>
      </c>
      <c r="F2" s="84" t="s">
        <v>118</v>
      </c>
      <c r="G2" s="84" t="s">
        <v>118</v>
      </c>
      <c r="H2" s="84" t="s">
        <v>117</v>
      </c>
      <c r="I2" s="84" t="s">
        <v>118</v>
      </c>
      <c r="J2" s="84" t="s">
        <v>117</v>
      </c>
      <c r="K2" s="84" t="s">
        <v>117</v>
      </c>
      <c r="L2" s="84" t="s">
        <v>118</v>
      </c>
      <c r="M2" s="84" t="s">
        <v>118</v>
      </c>
      <c r="N2" s="84" t="s">
        <v>118</v>
      </c>
      <c r="O2" s="39"/>
      <c r="P2" s="39"/>
      <c r="Q2" s="39"/>
      <c r="R2" s="39"/>
      <c r="S2" s="39"/>
      <c r="T2" s="39"/>
      <c r="U2" s="39"/>
      <c r="V2" s="39"/>
      <c r="W2" s="39"/>
      <c r="X2" s="40" t="s">
        <v>194</v>
      </c>
    </row>
    <row r="3" spans="1:24" ht="22.5" customHeight="1">
      <c r="A3" s="172"/>
      <c r="B3" s="61" t="s">
        <v>70</v>
      </c>
      <c r="C3" s="38" t="s">
        <v>28</v>
      </c>
      <c r="D3" s="84" t="s">
        <v>117</v>
      </c>
      <c r="E3" s="84" t="s">
        <v>117</v>
      </c>
      <c r="F3" s="84" t="s">
        <v>117</v>
      </c>
      <c r="G3" s="84" t="s">
        <v>117</v>
      </c>
      <c r="H3" s="84" t="s">
        <v>117</v>
      </c>
      <c r="I3" s="84" t="s">
        <v>117</v>
      </c>
      <c r="J3" s="84" t="s">
        <v>118</v>
      </c>
      <c r="K3" s="84" t="s">
        <v>117</v>
      </c>
      <c r="L3" s="84" t="s">
        <v>118</v>
      </c>
      <c r="M3" s="84" t="s">
        <v>117</v>
      </c>
      <c r="N3" s="84" t="s">
        <v>117</v>
      </c>
      <c r="O3" s="39"/>
      <c r="P3" s="39"/>
      <c r="Q3" s="39"/>
      <c r="R3" s="39"/>
      <c r="S3" s="39"/>
      <c r="T3" s="39"/>
      <c r="U3" s="39"/>
      <c r="V3" s="39"/>
      <c r="W3" s="39"/>
      <c r="X3" s="40" t="s">
        <v>195</v>
      </c>
    </row>
    <row r="4" spans="1:24" ht="22.5" customHeight="1">
      <c r="A4" s="172"/>
      <c r="B4" s="61" t="s">
        <v>71</v>
      </c>
      <c r="C4" s="38" t="s">
        <v>28</v>
      </c>
      <c r="D4" s="84" t="s">
        <v>145</v>
      </c>
      <c r="E4" s="84" t="s">
        <v>195</v>
      </c>
      <c r="F4" s="84" t="s">
        <v>195</v>
      </c>
      <c r="G4" s="84" t="s">
        <v>195</v>
      </c>
      <c r="H4" s="84" t="s">
        <v>117</v>
      </c>
      <c r="I4" s="84" t="s">
        <v>195</v>
      </c>
      <c r="J4" s="84" t="s">
        <v>195</v>
      </c>
      <c r="K4" s="84" t="s">
        <v>146</v>
      </c>
      <c r="L4" s="84" t="s">
        <v>195</v>
      </c>
      <c r="M4" s="84" t="s">
        <v>195</v>
      </c>
      <c r="N4" s="84" t="s">
        <v>117</v>
      </c>
      <c r="O4" s="39"/>
      <c r="P4" s="39"/>
      <c r="Q4" s="39"/>
      <c r="R4" s="39"/>
      <c r="S4" s="39"/>
      <c r="T4" s="39"/>
      <c r="U4" s="39"/>
      <c r="V4" s="39"/>
      <c r="W4" s="39"/>
      <c r="X4" s="40" t="s">
        <v>196</v>
      </c>
    </row>
    <row r="5" spans="1:24" ht="22.5" customHeight="1">
      <c r="A5" s="172"/>
      <c r="B5" s="61" t="s">
        <v>72</v>
      </c>
      <c r="C5" s="38" t="s">
        <v>28</v>
      </c>
      <c r="D5" s="84" t="s">
        <v>118</v>
      </c>
      <c r="E5" s="84" t="s">
        <v>118</v>
      </c>
      <c r="F5" s="84" t="s">
        <v>118</v>
      </c>
      <c r="G5" s="84" t="s">
        <v>118</v>
      </c>
      <c r="H5" s="84" t="s">
        <v>118</v>
      </c>
      <c r="I5" s="84" t="s">
        <v>118</v>
      </c>
      <c r="J5" s="84" t="s">
        <v>118</v>
      </c>
      <c r="K5" s="84" t="s">
        <v>118</v>
      </c>
      <c r="L5" s="84" t="s">
        <v>118</v>
      </c>
      <c r="M5" s="84" t="s">
        <v>118</v>
      </c>
      <c r="N5" s="84" t="s">
        <v>118</v>
      </c>
      <c r="O5" s="39"/>
      <c r="P5" s="39"/>
      <c r="Q5" s="39"/>
      <c r="R5" s="39"/>
      <c r="S5" s="39"/>
      <c r="T5" s="39"/>
      <c r="U5" s="39"/>
      <c r="V5" s="39"/>
      <c r="W5" s="39"/>
      <c r="X5" s="40" t="s">
        <v>197</v>
      </c>
    </row>
    <row r="6" spans="1:24" ht="22.5" customHeight="1">
      <c r="A6" s="172"/>
      <c r="B6" s="61" t="s">
        <v>73</v>
      </c>
      <c r="C6" s="38" t="s">
        <v>28</v>
      </c>
      <c r="D6" s="84" t="s">
        <v>194</v>
      </c>
      <c r="E6" s="84" t="s">
        <v>118</v>
      </c>
      <c r="F6" s="84" t="s">
        <v>195</v>
      </c>
      <c r="G6" s="84" t="s">
        <v>195</v>
      </c>
      <c r="H6" s="84" t="s">
        <v>195</v>
      </c>
      <c r="I6" s="84" t="s">
        <v>118</v>
      </c>
      <c r="J6" s="84" t="s">
        <v>195</v>
      </c>
      <c r="K6" s="84" t="s">
        <v>195</v>
      </c>
      <c r="L6" s="84" t="s">
        <v>145</v>
      </c>
      <c r="M6" s="84" t="s">
        <v>146</v>
      </c>
      <c r="N6" s="84" t="s">
        <v>118</v>
      </c>
      <c r="O6" s="39"/>
      <c r="P6" s="39"/>
      <c r="Q6" s="39"/>
      <c r="R6" s="39"/>
      <c r="S6" s="39"/>
      <c r="T6" s="39"/>
      <c r="U6" s="39"/>
      <c r="V6" s="39"/>
      <c r="W6" s="39"/>
    </row>
    <row r="7" spans="1:24" ht="22.5" customHeight="1">
      <c r="A7" s="172"/>
      <c r="B7" s="61" t="s">
        <v>74</v>
      </c>
      <c r="C7" s="38" t="s">
        <v>28</v>
      </c>
      <c r="D7" s="84" t="s">
        <v>118</v>
      </c>
      <c r="E7" s="84" t="s">
        <v>118</v>
      </c>
      <c r="F7" s="84" t="s">
        <v>118</v>
      </c>
      <c r="G7" s="84" t="s">
        <v>117</v>
      </c>
      <c r="H7" s="84" t="s">
        <v>117</v>
      </c>
      <c r="I7" s="84" t="s">
        <v>118</v>
      </c>
      <c r="J7" s="84" t="s">
        <v>118</v>
      </c>
      <c r="K7" s="84" t="s">
        <v>118</v>
      </c>
      <c r="L7" s="84" t="s">
        <v>118</v>
      </c>
      <c r="M7" s="84" t="s">
        <v>118</v>
      </c>
      <c r="N7" s="84" t="s">
        <v>118</v>
      </c>
      <c r="O7" s="39"/>
      <c r="P7" s="39"/>
      <c r="Q7" s="39"/>
      <c r="R7" s="39"/>
      <c r="S7" s="39"/>
      <c r="T7" s="39"/>
      <c r="U7" s="39"/>
      <c r="V7" s="39"/>
      <c r="W7" s="39"/>
    </row>
    <row r="8" spans="1:24" ht="22.5" customHeight="1">
      <c r="A8" s="172"/>
      <c r="B8" s="61" t="s">
        <v>75</v>
      </c>
      <c r="C8" s="38" t="s">
        <v>28</v>
      </c>
      <c r="D8" s="84" t="s">
        <v>118</v>
      </c>
      <c r="E8" s="84" t="s">
        <v>118</v>
      </c>
      <c r="F8" s="84" t="s">
        <v>117</v>
      </c>
      <c r="G8" s="84" t="s">
        <v>117</v>
      </c>
      <c r="H8" s="84" t="s">
        <v>117</v>
      </c>
      <c r="I8" s="84" t="s">
        <v>117</v>
      </c>
      <c r="J8" s="84" t="s">
        <v>118</v>
      </c>
      <c r="K8" s="84" t="s">
        <v>117</v>
      </c>
      <c r="L8" s="84" t="s">
        <v>118</v>
      </c>
      <c r="M8" s="84" t="s">
        <v>118</v>
      </c>
      <c r="N8" s="84" t="s">
        <v>117</v>
      </c>
      <c r="O8" s="39"/>
      <c r="P8" s="39"/>
      <c r="Q8" s="39"/>
      <c r="R8" s="39"/>
      <c r="S8" s="39"/>
      <c r="T8" s="39"/>
      <c r="U8" s="39"/>
      <c r="V8" s="39"/>
      <c r="W8" s="39"/>
    </row>
    <row r="9" spans="1:24" ht="22.5" customHeight="1">
      <c r="A9" s="172"/>
      <c r="B9" s="61" t="s">
        <v>76</v>
      </c>
      <c r="C9" s="38" t="s">
        <v>28</v>
      </c>
      <c r="D9" s="84" t="s">
        <v>118</v>
      </c>
      <c r="E9" s="84" t="s">
        <v>117</v>
      </c>
      <c r="F9" s="84" t="s">
        <v>117</v>
      </c>
      <c r="G9" s="84" t="s">
        <v>117</v>
      </c>
      <c r="H9" s="84" t="s">
        <v>117</v>
      </c>
      <c r="I9" s="84" t="s">
        <v>117</v>
      </c>
      <c r="J9" s="84" t="s">
        <v>118</v>
      </c>
      <c r="K9" s="84" t="s">
        <v>117</v>
      </c>
      <c r="L9" s="84" t="s">
        <v>118</v>
      </c>
      <c r="M9" s="84" t="s">
        <v>117</v>
      </c>
      <c r="N9" s="84" t="s">
        <v>117</v>
      </c>
      <c r="O9" s="39"/>
      <c r="P9" s="39"/>
      <c r="Q9" s="39"/>
      <c r="R9" s="39"/>
      <c r="S9" s="39"/>
      <c r="T9" s="39"/>
      <c r="U9" s="39"/>
      <c r="V9" s="39"/>
      <c r="W9" s="39"/>
    </row>
    <row r="10" spans="1:24" ht="22.5" customHeight="1">
      <c r="A10" s="53"/>
      <c r="B10" s="61" t="s">
        <v>77</v>
      </c>
      <c r="C10" s="38" t="s">
        <v>28</v>
      </c>
      <c r="D10" s="84" t="s">
        <v>118</v>
      </c>
      <c r="E10" s="84" t="s">
        <v>118</v>
      </c>
      <c r="F10" s="84" t="s">
        <v>118</v>
      </c>
      <c r="G10" s="84" t="s">
        <v>118</v>
      </c>
      <c r="H10" s="84" t="s">
        <v>118</v>
      </c>
      <c r="I10" s="84" t="s">
        <v>118</v>
      </c>
      <c r="J10" s="84" t="s">
        <v>118</v>
      </c>
      <c r="K10" s="84" t="s">
        <v>118</v>
      </c>
      <c r="L10" s="84" t="s">
        <v>118</v>
      </c>
      <c r="M10" s="84" t="s">
        <v>118</v>
      </c>
      <c r="N10" s="84" t="s">
        <v>118</v>
      </c>
      <c r="O10" s="39"/>
      <c r="P10" s="39"/>
      <c r="Q10" s="39"/>
      <c r="R10" s="39"/>
      <c r="S10" s="39"/>
      <c r="T10" s="39"/>
      <c r="U10" s="39"/>
      <c r="V10" s="39"/>
      <c r="W10" s="39"/>
    </row>
    <row r="11" spans="1:24" ht="22.5" customHeight="1">
      <c r="A11" s="53"/>
      <c r="B11" s="61" t="s">
        <v>78</v>
      </c>
      <c r="C11" s="38" t="s">
        <v>28</v>
      </c>
      <c r="D11" s="84" t="s">
        <v>118</v>
      </c>
      <c r="E11" s="84" t="s">
        <v>118</v>
      </c>
      <c r="F11" s="84" t="s">
        <v>195</v>
      </c>
      <c r="G11" s="84" t="s">
        <v>195</v>
      </c>
      <c r="H11" s="84" t="s">
        <v>195</v>
      </c>
      <c r="I11" s="84" t="s">
        <v>118</v>
      </c>
      <c r="J11" s="84" t="s">
        <v>145</v>
      </c>
      <c r="K11" s="84" t="s">
        <v>194</v>
      </c>
      <c r="L11" s="84" t="s">
        <v>194</v>
      </c>
      <c r="M11" s="84" t="s">
        <v>194</v>
      </c>
      <c r="N11" s="84" t="s">
        <v>145</v>
      </c>
      <c r="O11" s="39"/>
      <c r="P11" s="39"/>
      <c r="Q11" s="39"/>
      <c r="R11" s="39"/>
      <c r="S11" s="39"/>
      <c r="T11" s="39"/>
      <c r="U11" s="39"/>
      <c r="V11" s="39"/>
      <c r="W11" s="39"/>
    </row>
    <row r="12" spans="1:24" ht="22.5" customHeight="1">
      <c r="A12" s="173" t="s">
        <v>43</v>
      </c>
      <c r="B12" s="174"/>
      <c r="C12" s="174"/>
      <c r="D12" s="174"/>
      <c r="E12" s="174"/>
      <c r="F12" s="174"/>
      <c r="G12" s="174"/>
      <c r="H12" s="174"/>
      <c r="I12" s="174"/>
      <c r="J12" s="174"/>
      <c r="K12" s="174"/>
      <c r="L12" s="174"/>
      <c r="M12" s="174"/>
      <c r="N12" s="174"/>
      <c r="O12" s="174"/>
      <c r="P12" s="174"/>
      <c r="Q12" s="174"/>
      <c r="R12" s="174"/>
      <c r="S12" s="174"/>
      <c r="T12" s="174"/>
      <c r="U12" s="174"/>
      <c r="V12" s="174"/>
      <c r="W12" s="175"/>
    </row>
    <row r="13" spans="1:24" ht="22.5" customHeight="1">
      <c r="A13" s="54" t="s">
        <v>81</v>
      </c>
      <c r="B13" s="170" t="s">
        <v>119</v>
      </c>
      <c r="C13" s="170"/>
      <c r="D13" s="170"/>
      <c r="E13" s="170"/>
      <c r="F13" s="170"/>
      <c r="G13" s="170"/>
      <c r="H13" s="170"/>
      <c r="I13" s="170"/>
      <c r="J13" s="170"/>
      <c r="K13" s="170"/>
      <c r="L13" s="170"/>
      <c r="M13" s="170"/>
      <c r="N13" s="170"/>
      <c r="O13" s="170"/>
      <c r="P13" s="170"/>
      <c r="Q13" s="170"/>
      <c r="R13" s="170"/>
      <c r="S13" s="170"/>
      <c r="T13" s="170"/>
      <c r="U13" s="170"/>
      <c r="V13" s="170"/>
      <c r="W13" s="170"/>
    </row>
    <row r="14" spans="1:24" ht="22.5" customHeight="1">
      <c r="A14" s="54" t="s">
        <v>82</v>
      </c>
      <c r="B14" s="170" t="s">
        <v>120</v>
      </c>
      <c r="C14" s="170"/>
      <c r="D14" s="170"/>
      <c r="E14" s="170"/>
      <c r="F14" s="170"/>
      <c r="G14" s="170"/>
      <c r="H14" s="170"/>
      <c r="I14" s="170"/>
      <c r="J14" s="170"/>
      <c r="K14" s="170"/>
      <c r="L14" s="170"/>
      <c r="M14" s="170"/>
      <c r="N14" s="170"/>
      <c r="O14" s="170"/>
      <c r="P14" s="170"/>
      <c r="Q14" s="170"/>
      <c r="R14" s="170"/>
      <c r="S14" s="170"/>
      <c r="T14" s="170"/>
      <c r="U14" s="170"/>
      <c r="V14" s="170"/>
      <c r="W14" s="170"/>
    </row>
    <row r="15" spans="1:24" ht="22.5" customHeight="1">
      <c r="A15" s="54" t="s">
        <v>83</v>
      </c>
      <c r="B15" s="170" t="s">
        <v>121</v>
      </c>
      <c r="C15" s="170"/>
      <c r="D15" s="170"/>
      <c r="E15" s="170"/>
      <c r="F15" s="170"/>
      <c r="G15" s="170"/>
      <c r="H15" s="170"/>
      <c r="I15" s="170"/>
      <c r="J15" s="170"/>
      <c r="K15" s="170"/>
      <c r="L15" s="170"/>
      <c r="M15" s="170"/>
      <c r="N15" s="170"/>
      <c r="O15" s="170"/>
      <c r="P15" s="170"/>
      <c r="Q15" s="170"/>
      <c r="R15" s="170"/>
      <c r="S15" s="170"/>
      <c r="T15" s="170"/>
      <c r="U15" s="170"/>
      <c r="V15" s="170"/>
      <c r="W15" s="170"/>
    </row>
    <row r="16" spans="1:24" ht="22.5" customHeight="1">
      <c r="A16" s="54" t="s">
        <v>84</v>
      </c>
      <c r="B16" s="170" t="s">
        <v>122</v>
      </c>
      <c r="C16" s="170"/>
      <c r="D16" s="170"/>
      <c r="E16" s="170"/>
      <c r="F16" s="170"/>
      <c r="G16" s="170"/>
      <c r="H16" s="170"/>
      <c r="I16" s="170"/>
      <c r="J16" s="170"/>
      <c r="K16" s="170"/>
      <c r="L16" s="170"/>
      <c r="M16" s="170"/>
      <c r="N16" s="170"/>
      <c r="O16" s="170"/>
      <c r="P16" s="170"/>
      <c r="Q16" s="170"/>
      <c r="R16" s="170"/>
      <c r="S16" s="170"/>
      <c r="T16" s="170"/>
      <c r="U16" s="170"/>
      <c r="V16" s="170"/>
      <c r="W16" s="170"/>
    </row>
    <row r="17" spans="1:24" ht="22.5" customHeight="1">
      <c r="A17" s="54" t="s">
        <v>85</v>
      </c>
      <c r="B17" s="170" t="s">
        <v>123</v>
      </c>
      <c r="C17" s="170"/>
      <c r="D17" s="170"/>
      <c r="E17" s="170"/>
      <c r="F17" s="170"/>
      <c r="G17" s="170"/>
      <c r="H17" s="170"/>
      <c r="I17" s="170"/>
      <c r="J17" s="170"/>
      <c r="K17" s="170"/>
      <c r="L17" s="170"/>
      <c r="M17" s="170"/>
      <c r="N17" s="170"/>
      <c r="O17" s="170"/>
      <c r="P17" s="170"/>
      <c r="Q17" s="170"/>
      <c r="R17" s="170"/>
      <c r="S17" s="170"/>
      <c r="T17" s="170"/>
      <c r="U17" s="170"/>
      <c r="V17" s="170"/>
      <c r="W17" s="170"/>
    </row>
    <row r="18" spans="1:24" ht="22.5" customHeight="1">
      <c r="A18" s="54" t="s">
        <v>86</v>
      </c>
      <c r="B18" s="170" t="s">
        <v>124</v>
      </c>
      <c r="C18" s="170"/>
      <c r="D18" s="170"/>
      <c r="E18" s="170"/>
      <c r="F18" s="170"/>
      <c r="G18" s="170"/>
      <c r="H18" s="170"/>
      <c r="I18" s="170"/>
      <c r="J18" s="170"/>
      <c r="K18" s="170"/>
      <c r="L18" s="170"/>
      <c r="M18" s="170"/>
      <c r="N18" s="170"/>
      <c r="O18" s="170"/>
      <c r="P18" s="170"/>
      <c r="Q18" s="170"/>
      <c r="R18" s="170"/>
      <c r="S18" s="170"/>
      <c r="T18" s="170"/>
      <c r="U18" s="170"/>
      <c r="V18" s="170"/>
      <c r="W18" s="170"/>
    </row>
    <row r="19" spans="1:24" ht="22.5" customHeight="1">
      <c r="A19" s="54" t="s">
        <v>87</v>
      </c>
      <c r="B19" s="170" t="s">
        <v>119</v>
      </c>
      <c r="C19" s="170"/>
      <c r="D19" s="170"/>
      <c r="E19" s="170"/>
      <c r="F19" s="170"/>
      <c r="G19" s="170"/>
      <c r="H19" s="170"/>
      <c r="I19" s="170"/>
      <c r="J19" s="170"/>
      <c r="K19" s="170"/>
      <c r="L19" s="170"/>
      <c r="M19" s="170"/>
      <c r="N19" s="170"/>
      <c r="O19" s="170"/>
      <c r="P19" s="170"/>
      <c r="Q19" s="170"/>
      <c r="R19" s="170"/>
      <c r="S19" s="170"/>
      <c r="T19" s="170"/>
      <c r="U19" s="170"/>
      <c r="V19" s="170"/>
      <c r="W19" s="170"/>
    </row>
    <row r="20" spans="1:24" ht="22.5" customHeight="1">
      <c r="A20" s="54" t="s">
        <v>88</v>
      </c>
      <c r="B20" s="170" t="s">
        <v>124</v>
      </c>
      <c r="C20" s="170"/>
      <c r="D20" s="170"/>
      <c r="E20" s="170"/>
      <c r="F20" s="170"/>
      <c r="G20" s="170"/>
      <c r="H20" s="170"/>
      <c r="I20" s="170"/>
      <c r="J20" s="170"/>
      <c r="K20" s="170"/>
      <c r="L20" s="170"/>
      <c r="M20" s="170"/>
      <c r="N20" s="170"/>
      <c r="O20" s="170"/>
      <c r="P20" s="170"/>
      <c r="Q20" s="170"/>
      <c r="R20" s="170"/>
      <c r="S20" s="170"/>
      <c r="T20" s="170"/>
      <c r="U20" s="170"/>
      <c r="V20" s="170"/>
      <c r="W20" s="170"/>
    </row>
    <row r="21" spans="1:24" ht="22.5" customHeight="1">
      <c r="A21" s="54" t="s">
        <v>89</v>
      </c>
      <c r="B21" s="170" t="s">
        <v>125</v>
      </c>
      <c r="C21" s="170"/>
      <c r="D21" s="170"/>
      <c r="E21" s="170"/>
      <c r="F21" s="170"/>
      <c r="G21" s="170"/>
      <c r="H21" s="170"/>
      <c r="I21" s="170"/>
      <c r="J21" s="170"/>
      <c r="K21" s="170"/>
      <c r="L21" s="170"/>
      <c r="M21" s="170"/>
      <c r="N21" s="170"/>
      <c r="O21" s="170"/>
      <c r="P21" s="170"/>
      <c r="Q21" s="170"/>
      <c r="R21" s="170"/>
      <c r="S21" s="170"/>
      <c r="T21" s="170"/>
      <c r="U21" s="170"/>
      <c r="V21" s="170"/>
      <c r="W21" s="170"/>
    </row>
    <row r="22" spans="1:24" ht="22.5" customHeight="1">
      <c r="A22" s="54" t="s">
        <v>90</v>
      </c>
      <c r="B22" s="170" t="s">
        <v>125</v>
      </c>
      <c r="C22" s="170"/>
      <c r="D22" s="170"/>
      <c r="E22" s="170"/>
      <c r="F22" s="170"/>
      <c r="G22" s="170"/>
      <c r="H22" s="170"/>
      <c r="I22" s="170"/>
      <c r="J22" s="170"/>
      <c r="K22" s="170"/>
      <c r="L22" s="170"/>
      <c r="M22" s="170"/>
      <c r="N22" s="170"/>
      <c r="O22" s="170"/>
      <c r="P22" s="170"/>
      <c r="Q22" s="170"/>
      <c r="R22" s="170"/>
      <c r="S22" s="170"/>
      <c r="T22" s="170"/>
      <c r="U22" s="170"/>
      <c r="V22" s="170"/>
      <c r="W22" s="170"/>
    </row>
    <row r="23" spans="1:24" ht="22.5" customHeight="1">
      <c r="A23" s="54" t="s">
        <v>91</v>
      </c>
      <c r="B23" s="170" t="s">
        <v>122</v>
      </c>
      <c r="C23" s="170"/>
      <c r="D23" s="170"/>
      <c r="E23" s="170"/>
      <c r="F23" s="170"/>
      <c r="G23" s="170"/>
      <c r="H23" s="170"/>
      <c r="I23" s="170"/>
      <c r="J23" s="170"/>
      <c r="K23" s="170"/>
      <c r="L23" s="170"/>
      <c r="M23" s="170"/>
      <c r="N23" s="170"/>
      <c r="O23" s="170"/>
      <c r="P23" s="170"/>
      <c r="Q23" s="170"/>
      <c r="R23" s="170"/>
      <c r="S23" s="170"/>
      <c r="T23" s="170"/>
      <c r="U23" s="170"/>
      <c r="V23" s="170"/>
      <c r="W23" s="170"/>
    </row>
    <row r="24" spans="1:24" ht="22.5" customHeight="1">
      <c r="A24" s="54"/>
      <c r="B24" s="155"/>
      <c r="C24" s="156"/>
      <c r="D24" s="156"/>
      <c r="E24" s="156"/>
      <c r="F24" s="156"/>
      <c r="G24" s="156"/>
      <c r="H24" s="156"/>
      <c r="I24" s="156"/>
      <c r="J24" s="156"/>
      <c r="K24" s="156"/>
      <c r="L24" s="156"/>
      <c r="M24" s="156"/>
      <c r="N24" s="156"/>
      <c r="O24" s="156"/>
      <c r="P24" s="156"/>
      <c r="Q24" s="156"/>
      <c r="R24" s="156"/>
      <c r="S24" s="156"/>
      <c r="T24" s="156"/>
      <c r="U24" s="156"/>
      <c r="V24" s="156"/>
      <c r="W24" s="157"/>
    </row>
    <row r="25" spans="1:24" ht="22.5" customHeight="1">
      <c r="A25" s="54"/>
      <c r="B25" s="155"/>
      <c r="C25" s="156"/>
      <c r="D25" s="156"/>
      <c r="E25" s="156"/>
      <c r="F25" s="156"/>
      <c r="G25" s="156"/>
      <c r="H25" s="156"/>
      <c r="I25" s="156"/>
      <c r="J25" s="156"/>
      <c r="K25" s="156"/>
      <c r="L25" s="156"/>
      <c r="M25" s="156"/>
      <c r="N25" s="156"/>
      <c r="O25" s="156"/>
      <c r="P25" s="156"/>
      <c r="Q25" s="156"/>
      <c r="R25" s="156"/>
      <c r="S25" s="156"/>
      <c r="T25" s="156"/>
      <c r="U25" s="156"/>
      <c r="V25" s="156"/>
      <c r="W25" s="157"/>
    </row>
    <row r="26" spans="1:24" ht="22.5" customHeight="1">
      <c r="A26" s="54"/>
      <c r="B26" s="155"/>
      <c r="C26" s="156"/>
      <c r="D26" s="156"/>
      <c r="E26" s="156"/>
      <c r="F26" s="156"/>
      <c r="G26" s="156"/>
      <c r="H26" s="156"/>
      <c r="I26" s="156"/>
      <c r="J26" s="156"/>
      <c r="K26" s="156"/>
      <c r="L26" s="156"/>
      <c r="M26" s="156"/>
      <c r="N26" s="156"/>
      <c r="O26" s="156"/>
      <c r="P26" s="156"/>
      <c r="Q26" s="156"/>
      <c r="R26" s="156"/>
      <c r="S26" s="156"/>
      <c r="T26" s="156"/>
      <c r="U26" s="156"/>
      <c r="V26" s="156"/>
      <c r="W26" s="157"/>
    </row>
    <row r="27" spans="1:24" ht="22.5" customHeight="1">
      <c r="A27" s="54"/>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4" ht="22.5" customHeight="1">
      <c r="A28" s="54"/>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4" ht="22.5" customHeight="1">
      <c r="A29" s="54"/>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4" ht="22.5" customHeight="1">
      <c r="A30" s="54"/>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4" ht="22.5" customHeight="1">
      <c r="A31" s="54"/>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4" ht="22.5" customHeight="1">
      <c r="A32" s="54"/>
      <c r="B32" s="155"/>
      <c r="C32" s="156"/>
      <c r="D32" s="156"/>
      <c r="E32" s="156"/>
      <c r="F32" s="156"/>
      <c r="G32" s="156"/>
      <c r="H32" s="156"/>
      <c r="I32" s="156"/>
      <c r="J32" s="156"/>
      <c r="K32" s="156"/>
      <c r="L32" s="156"/>
      <c r="M32" s="156"/>
      <c r="N32" s="156"/>
      <c r="O32" s="156"/>
      <c r="P32" s="156"/>
      <c r="Q32" s="156"/>
      <c r="R32" s="156"/>
      <c r="S32" s="156"/>
      <c r="T32" s="156"/>
      <c r="U32" s="156"/>
      <c r="V32" s="156"/>
      <c r="W32" s="157"/>
      <c r="X32" s="47" t="s">
        <v>40</v>
      </c>
    </row>
    <row r="33" spans="1:24" ht="22.5" customHeight="1">
      <c r="A33" s="177" t="s">
        <v>198</v>
      </c>
      <c r="B33" s="178"/>
      <c r="C33" s="178"/>
      <c r="D33" s="178"/>
      <c r="E33" s="178"/>
      <c r="F33" s="178"/>
      <c r="G33" s="178"/>
      <c r="H33" s="178"/>
      <c r="I33" s="178"/>
      <c r="J33" s="178"/>
      <c r="K33" s="178"/>
      <c r="L33" s="178"/>
      <c r="M33" s="178"/>
      <c r="N33" s="178"/>
      <c r="O33" s="178"/>
      <c r="P33" s="178"/>
      <c r="Q33" s="178"/>
      <c r="R33" s="178"/>
      <c r="S33" s="178"/>
      <c r="T33" s="178"/>
      <c r="U33" s="178"/>
      <c r="V33" s="178"/>
      <c r="W33" s="179"/>
      <c r="X33" s="8" t="s">
        <v>199</v>
      </c>
    </row>
    <row r="34" spans="1:24" ht="76.5" customHeight="1">
      <c r="A34" s="55" t="str">
        <f>A13</f>
        <v>伊藤 志桜</v>
      </c>
      <c r="B34" s="176" t="s">
        <v>126</v>
      </c>
      <c r="C34" s="176"/>
      <c r="D34" s="176"/>
      <c r="E34" s="176"/>
      <c r="F34" s="176"/>
      <c r="G34" s="176"/>
      <c r="H34" s="176"/>
      <c r="I34" s="176"/>
      <c r="J34" s="176"/>
      <c r="K34" s="176"/>
      <c r="L34" s="176"/>
      <c r="M34" s="176"/>
      <c r="N34" s="176"/>
      <c r="O34" s="176"/>
      <c r="P34" s="176"/>
      <c r="Q34" s="176"/>
      <c r="R34" s="176"/>
      <c r="S34" s="176"/>
      <c r="T34" s="176"/>
      <c r="U34" s="176"/>
      <c r="V34" s="176"/>
      <c r="W34" s="176"/>
      <c r="X34" s="8">
        <f>LEN(B34)</f>
        <v>449</v>
      </c>
    </row>
    <row r="35" spans="1:24" ht="76.5" customHeight="1">
      <c r="A35" s="55" t="str">
        <f t="shared" ref="A35:A53" si="0">A14</f>
        <v>大滝 園乃</v>
      </c>
      <c r="B35" s="176" t="s">
        <v>200</v>
      </c>
      <c r="C35" s="176"/>
      <c r="D35" s="176"/>
      <c r="E35" s="176"/>
      <c r="F35" s="176"/>
      <c r="G35" s="176"/>
      <c r="H35" s="176"/>
      <c r="I35" s="176"/>
      <c r="J35" s="176"/>
      <c r="K35" s="176"/>
      <c r="L35" s="176"/>
      <c r="M35" s="176"/>
      <c r="N35" s="176"/>
      <c r="O35" s="176"/>
      <c r="P35" s="176"/>
      <c r="Q35" s="176"/>
      <c r="R35" s="176"/>
      <c r="S35" s="176"/>
      <c r="T35" s="176"/>
      <c r="U35" s="176"/>
      <c r="V35" s="176"/>
      <c r="W35" s="176"/>
      <c r="X35" s="8">
        <f t="shared" ref="X35:X53" si="1">LEN(B35)</f>
        <v>460</v>
      </c>
    </row>
    <row r="36" spans="1:24" ht="76.5" customHeight="1">
      <c r="A36" s="55" t="str">
        <f t="shared" si="0"/>
        <v>片桐 生登</v>
      </c>
      <c r="B36" s="176" t="s">
        <v>133</v>
      </c>
      <c r="C36" s="176"/>
      <c r="D36" s="176"/>
      <c r="E36" s="176"/>
      <c r="F36" s="176"/>
      <c r="G36" s="176"/>
      <c r="H36" s="176"/>
      <c r="I36" s="176"/>
      <c r="J36" s="176"/>
      <c r="K36" s="176"/>
      <c r="L36" s="176"/>
      <c r="M36" s="176"/>
      <c r="N36" s="176"/>
      <c r="O36" s="176"/>
      <c r="P36" s="176"/>
      <c r="Q36" s="176"/>
      <c r="R36" s="176"/>
      <c r="S36" s="176"/>
      <c r="T36" s="176"/>
      <c r="U36" s="176"/>
      <c r="V36" s="176"/>
      <c r="W36" s="176"/>
      <c r="X36" s="8">
        <f t="shared" si="1"/>
        <v>448</v>
      </c>
    </row>
    <row r="37" spans="1:24" ht="76.5" customHeight="1">
      <c r="A37" s="55" t="str">
        <f t="shared" si="0"/>
        <v>上條 矢真人</v>
      </c>
      <c r="B37" s="176" t="s">
        <v>134</v>
      </c>
      <c r="C37" s="176"/>
      <c r="D37" s="176"/>
      <c r="E37" s="176"/>
      <c r="F37" s="176"/>
      <c r="G37" s="176"/>
      <c r="H37" s="176"/>
      <c r="I37" s="176"/>
      <c r="J37" s="176"/>
      <c r="K37" s="176"/>
      <c r="L37" s="176"/>
      <c r="M37" s="176"/>
      <c r="N37" s="176"/>
      <c r="O37" s="176"/>
      <c r="P37" s="176"/>
      <c r="Q37" s="176"/>
      <c r="R37" s="176"/>
      <c r="S37" s="176"/>
      <c r="T37" s="176"/>
      <c r="U37" s="176"/>
      <c r="V37" s="176"/>
      <c r="W37" s="176"/>
      <c r="X37" s="8">
        <f t="shared" si="1"/>
        <v>468</v>
      </c>
    </row>
    <row r="38" spans="1:24" ht="76.5" customHeight="1">
      <c r="A38" s="55" t="str">
        <f t="shared" si="0"/>
        <v>長澤 航真</v>
      </c>
      <c r="B38" s="176" t="s">
        <v>127</v>
      </c>
      <c r="C38" s="176"/>
      <c r="D38" s="176"/>
      <c r="E38" s="176"/>
      <c r="F38" s="176"/>
      <c r="G38" s="176"/>
      <c r="H38" s="176"/>
      <c r="I38" s="176"/>
      <c r="J38" s="176"/>
      <c r="K38" s="176"/>
      <c r="L38" s="176"/>
      <c r="M38" s="176"/>
      <c r="N38" s="176"/>
      <c r="O38" s="176"/>
      <c r="P38" s="176"/>
      <c r="Q38" s="176"/>
      <c r="R38" s="176"/>
      <c r="S38" s="176"/>
      <c r="T38" s="176"/>
      <c r="U38" s="176"/>
      <c r="V38" s="176"/>
      <c r="W38" s="176"/>
      <c r="X38" s="8">
        <f t="shared" si="1"/>
        <v>433</v>
      </c>
    </row>
    <row r="39" spans="1:24" ht="76.5" customHeight="1">
      <c r="A39" s="55" t="str">
        <f t="shared" si="0"/>
        <v>濱 凪咲</v>
      </c>
      <c r="B39" s="176" t="s">
        <v>128</v>
      </c>
      <c r="C39" s="176"/>
      <c r="D39" s="176"/>
      <c r="E39" s="176"/>
      <c r="F39" s="176"/>
      <c r="G39" s="176"/>
      <c r="H39" s="176"/>
      <c r="I39" s="176"/>
      <c r="J39" s="176"/>
      <c r="K39" s="176"/>
      <c r="L39" s="176"/>
      <c r="M39" s="176"/>
      <c r="N39" s="176"/>
      <c r="O39" s="176"/>
      <c r="P39" s="176"/>
      <c r="Q39" s="176"/>
      <c r="R39" s="176"/>
      <c r="S39" s="176"/>
      <c r="T39" s="176"/>
      <c r="U39" s="176"/>
      <c r="V39" s="176"/>
      <c r="W39" s="176"/>
      <c r="X39" s="8">
        <f t="shared" si="1"/>
        <v>445</v>
      </c>
    </row>
    <row r="40" spans="1:24" ht="76.5" customHeight="1">
      <c r="A40" s="55" t="str">
        <f t="shared" si="0"/>
        <v>藤井 日汰</v>
      </c>
      <c r="B40" s="176" t="s">
        <v>129</v>
      </c>
      <c r="C40" s="176"/>
      <c r="D40" s="176"/>
      <c r="E40" s="176"/>
      <c r="F40" s="176"/>
      <c r="G40" s="176"/>
      <c r="H40" s="176"/>
      <c r="I40" s="176"/>
      <c r="J40" s="176"/>
      <c r="K40" s="176"/>
      <c r="L40" s="176"/>
      <c r="M40" s="176"/>
      <c r="N40" s="176"/>
      <c r="O40" s="176"/>
      <c r="P40" s="176"/>
      <c r="Q40" s="176"/>
      <c r="R40" s="176"/>
      <c r="S40" s="176"/>
      <c r="T40" s="176"/>
      <c r="U40" s="176"/>
      <c r="V40" s="176"/>
      <c r="W40" s="176"/>
      <c r="X40" s="8">
        <f t="shared" si="1"/>
        <v>461</v>
      </c>
    </row>
    <row r="41" spans="1:24" ht="76.5" customHeight="1">
      <c r="A41" s="55" t="str">
        <f t="shared" si="0"/>
        <v>増澤 悠生</v>
      </c>
      <c r="B41" s="176" t="s">
        <v>130</v>
      </c>
      <c r="C41" s="176"/>
      <c r="D41" s="176"/>
      <c r="E41" s="176"/>
      <c r="F41" s="176"/>
      <c r="G41" s="176"/>
      <c r="H41" s="176"/>
      <c r="I41" s="176"/>
      <c r="J41" s="176"/>
      <c r="K41" s="176"/>
      <c r="L41" s="176"/>
      <c r="M41" s="176"/>
      <c r="N41" s="176"/>
      <c r="O41" s="176"/>
      <c r="P41" s="176"/>
      <c r="Q41" s="176"/>
      <c r="R41" s="176"/>
      <c r="S41" s="176"/>
      <c r="T41" s="176"/>
      <c r="U41" s="176"/>
      <c r="V41" s="176"/>
      <c r="W41" s="176"/>
      <c r="X41" s="8">
        <f t="shared" si="1"/>
        <v>469</v>
      </c>
    </row>
    <row r="42" spans="1:24" ht="76.5" customHeight="1">
      <c r="A42" s="55" t="str">
        <f t="shared" si="0"/>
        <v>松山 新</v>
      </c>
      <c r="B42" s="176" t="s">
        <v>135</v>
      </c>
      <c r="C42" s="176"/>
      <c r="D42" s="176"/>
      <c r="E42" s="176"/>
      <c r="F42" s="176"/>
      <c r="G42" s="176"/>
      <c r="H42" s="176"/>
      <c r="I42" s="176"/>
      <c r="J42" s="176"/>
      <c r="K42" s="176"/>
      <c r="L42" s="176"/>
      <c r="M42" s="176"/>
      <c r="N42" s="176"/>
      <c r="O42" s="176"/>
      <c r="P42" s="176"/>
      <c r="Q42" s="176"/>
      <c r="R42" s="176"/>
      <c r="S42" s="176"/>
      <c r="T42" s="176"/>
      <c r="U42" s="176"/>
      <c r="V42" s="176"/>
      <c r="W42" s="176"/>
      <c r="X42" s="8">
        <f t="shared" si="1"/>
        <v>446</v>
      </c>
    </row>
    <row r="43" spans="1:24" ht="76.5" customHeight="1">
      <c r="A43" s="55" t="str">
        <f t="shared" si="0"/>
        <v>務䑓 理紗</v>
      </c>
      <c r="B43" s="176" t="s">
        <v>131</v>
      </c>
      <c r="C43" s="176"/>
      <c r="D43" s="176"/>
      <c r="E43" s="176"/>
      <c r="F43" s="176"/>
      <c r="G43" s="176"/>
      <c r="H43" s="176"/>
      <c r="I43" s="176"/>
      <c r="J43" s="176"/>
      <c r="K43" s="176"/>
      <c r="L43" s="176"/>
      <c r="M43" s="176"/>
      <c r="N43" s="176"/>
      <c r="O43" s="176"/>
      <c r="P43" s="176"/>
      <c r="Q43" s="176"/>
      <c r="R43" s="176"/>
      <c r="S43" s="176"/>
      <c r="T43" s="176"/>
      <c r="U43" s="176"/>
      <c r="V43" s="176"/>
      <c r="W43" s="176"/>
      <c r="X43" s="8">
        <f t="shared" si="1"/>
        <v>416</v>
      </c>
    </row>
    <row r="44" spans="1:24" ht="76.5" customHeight="1">
      <c r="A44" s="55" t="str">
        <f t="shared" si="0"/>
        <v>綿貫 凰河</v>
      </c>
      <c r="B44" s="176" t="s">
        <v>136</v>
      </c>
      <c r="C44" s="176"/>
      <c r="D44" s="176"/>
      <c r="E44" s="176"/>
      <c r="F44" s="176"/>
      <c r="G44" s="176"/>
      <c r="H44" s="176"/>
      <c r="I44" s="176"/>
      <c r="J44" s="176"/>
      <c r="K44" s="176"/>
      <c r="L44" s="176"/>
      <c r="M44" s="176"/>
      <c r="N44" s="176"/>
      <c r="O44" s="176"/>
      <c r="P44" s="176"/>
      <c r="Q44" s="176"/>
      <c r="R44" s="176"/>
      <c r="S44" s="176"/>
      <c r="T44" s="176"/>
      <c r="U44" s="176"/>
      <c r="V44" s="176"/>
      <c r="W44" s="176"/>
      <c r="X44" s="8">
        <f t="shared" si="1"/>
        <v>446</v>
      </c>
    </row>
    <row r="45" spans="1:24" ht="76.5" customHeight="1">
      <c r="A45" s="55">
        <f t="shared" si="0"/>
        <v>0</v>
      </c>
      <c r="B45" s="180"/>
      <c r="C45" s="181"/>
      <c r="D45" s="181"/>
      <c r="E45" s="181"/>
      <c r="F45" s="181"/>
      <c r="G45" s="181"/>
      <c r="H45" s="181"/>
      <c r="I45" s="181"/>
      <c r="J45" s="181"/>
      <c r="K45" s="181"/>
      <c r="L45" s="181"/>
      <c r="M45" s="181"/>
      <c r="N45" s="181"/>
      <c r="O45" s="181"/>
      <c r="P45" s="181"/>
      <c r="Q45" s="181"/>
      <c r="R45" s="181"/>
      <c r="S45" s="181"/>
      <c r="T45" s="181"/>
      <c r="U45" s="181"/>
      <c r="V45" s="181"/>
      <c r="W45" s="182"/>
      <c r="X45" s="8">
        <f t="shared" si="1"/>
        <v>0</v>
      </c>
    </row>
    <row r="46" spans="1:24" ht="76.5" customHeight="1">
      <c r="A46" s="55">
        <f t="shared" si="0"/>
        <v>0</v>
      </c>
      <c r="B46" s="180"/>
      <c r="C46" s="181"/>
      <c r="D46" s="181"/>
      <c r="E46" s="181"/>
      <c r="F46" s="181"/>
      <c r="G46" s="181"/>
      <c r="H46" s="181"/>
      <c r="I46" s="181"/>
      <c r="J46" s="181"/>
      <c r="K46" s="181"/>
      <c r="L46" s="181"/>
      <c r="M46" s="181"/>
      <c r="N46" s="181"/>
      <c r="O46" s="181"/>
      <c r="P46" s="181"/>
      <c r="Q46" s="181"/>
      <c r="R46" s="181"/>
      <c r="S46" s="181"/>
      <c r="T46" s="181"/>
      <c r="U46" s="181"/>
      <c r="V46" s="181"/>
      <c r="W46" s="182"/>
      <c r="X46" s="8">
        <f t="shared" si="1"/>
        <v>0</v>
      </c>
    </row>
    <row r="47" spans="1:24" ht="76.5" customHeight="1">
      <c r="A47" s="55">
        <f t="shared" si="0"/>
        <v>0</v>
      </c>
      <c r="B47" s="180"/>
      <c r="C47" s="181"/>
      <c r="D47" s="181"/>
      <c r="E47" s="181"/>
      <c r="F47" s="181"/>
      <c r="G47" s="181"/>
      <c r="H47" s="181"/>
      <c r="I47" s="181"/>
      <c r="J47" s="181"/>
      <c r="K47" s="181"/>
      <c r="L47" s="181"/>
      <c r="M47" s="181"/>
      <c r="N47" s="181"/>
      <c r="O47" s="181"/>
      <c r="P47" s="181"/>
      <c r="Q47" s="181"/>
      <c r="R47" s="181"/>
      <c r="S47" s="181"/>
      <c r="T47" s="181"/>
      <c r="U47" s="181"/>
      <c r="V47" s="181"/>
      <c r="W47" s="182"/>
      <c r="X47" s="8">
        <f t="shared" si="1"/>
        <v>0</v>
      </c>
    </row>
    <row r="48" spans="1:24" ht="76.5" customHeight="1">
      <c r="A48" s="55">
        <f t="shared" si="0"/>
        <v>0</v>
      </c>
      <c r="B48" s="180"/>
      <c r="C48" s="181"/>
      <c r="D48" s="181"/>
      <c r="E48" s="181"/>
      <c r="F48" s="181"/>
      <c r="G48" s="181"/>
      <c r="H48" s="181"/>
      <c r="I48" s="181"/>
      <c r="J48" s="181"/>
      <c r="K48" s="181"/>
      <c r="L48" s="181"/>
      <c r="M48" s="181"/>
      <c r="N48" s="181"/>
      <c r="O48" s="181"/>
      <c r="P48" s="181"/>
      <c r="Q48" s="181"/>
      <c r="R48" s="181"/>
      <c r="S48" s="181"/>
      <c r="T48" s="181"/>
      <c r="U48" s="181"/>
      <c r="V48" s="181"/>
      <c r="W48" s="182"/>
      <c r="X48" s="8">
        <f t="shared" si="1"/>
        <v>0</v>
      </c>
    </row>
    <row r="49" spans="1:24" ht="76.5" customHeight="1">
      <c r="A49" s="55">
        <f t="shared" si="0"/>
        <v>0</v>
      </c>
      <c r="B49" s="180"/>
      <c r="C49" s="181"/>
      <c r="D49" s="181"/>
      <c r="E49" s="181"/>
      <c r="F49" s="181"/>
      <c r="G49" s="181"/>
      <c r="H49" s="181"/>
      <c r="I49" s="181"/>
      <c r="J49" s="181"/>
      <c r="K49" s="181"/>
      <c r="L49" s="181"/>
      <c r="M49" s="181"/>
      <c r="N49" s="181"/>
      <c r="O49" s="181"/>
      <c r="P49" s="181"/>
      <c r="Q49" s="181"/>
      <c r="R49" s="181"/>
      <c r="S49" s="181"/>
      <c r="T49" s="181"/>
      <c r="U49" s="181"/>
      <c r="V49" s="181"/>
      <c r="W49" s="182"/>
      <c r="X49" s="8">
        <f t="shared" si="1"/>
        <v>0</v>
      </c>
    </row>
    <row r="50" spans="1:24" ht="76.5" customHeight="1">
      <c r="A50" s="55">
        <f t="shared" si="0"/>
        <v>0</v>
      </c>
      <c r="B50" s="180"/>
      <c r="C50" s="181"/>
      <c r="D50" s="181"/>
      <c r="E50" s="181"/>
      <c r="F50" s="181"/>
      <c r="G50" s="181"/>
      <c r="H50" s="181"/>
      <c r="I50" s="181"/>
      <c r="J50" s="181"/>
      <c r="K50" s="181"/>
      <c r="L50" s="181"/>
      <c r="M50" s="181"/>
      <c r="N50" s="181"/>
      <c r="O50" s="181"/>
      <c r="P50" s="181"/>
      <c r="Q50" s="181"/>
      <c r="R50" s="181"/>
      <c r="S50" s="181"/>
      <c r="T50" s="181"/>
      <c r="U50" s="181"/>
      <c r="V50" s="181"/>
      <c r="W50" s="182"/>
      <c r="X50" s="8">
        <f t="shared" si="1"/>
        <v>0</v>
      </c>
    </row>
    <row r="51" spans="1:24" ht="76.5" customHeight="1">
      <c r="A51" s="55">
        <f t="shared" si="0"/>
        <v>0</v>
      </c>
      <c r="B51" s="180"/>
      <c r="C51" s="181"/>
      <c r="D51" s="181"/>
      <c r="E51" s="181"/>
      <c r="F51" s="181"/>
      <c r="G51" s="181"/>
      <c r="H51" s="181"/>
      <c r="I51" s="181"/>
      <c r="J51" s="181"/>
      <c r="K51" s="181"/>
      <c r="L51" s="181"/>
      <c r="M51" s="181"/>
      <c r="N51" s="181"/>
      <c r="O51" s="181"/>
      <c r="P51" s="181"/>
      <c r="Q51" s="181"/>
      <c r="R51" s="181"/>
      <c r="S51" s="181"/>
      <c r="T51" s="181"/>
      <c r="U51" s="181"/>
      <c r="V51" s="181"/>
      <c r="W51" s="182"/>
      <c r="X51" s="8">
        <f t="shared" si="1"/>
        <v>0</v>
      </c>
    </row>
    <row r="52" spans="1:24" ht="76.5" customHeight="1">
      <c r="A52" s="55">
        <f t="shared" si="0"/>
        <v>0</v>
      </c>
      <c r="B52" s="180"/>
      <c r="C52" s="181"/>
      <c r="D52" s="181"/>
      <c r="E52" s="181"/>
      <c r="F52" s="181"/>
      <c r="G52" s="181"/>
      <c r="H52" s="181"/>
      <c r="I52" s="181"/>
      <c r="J52" s="181"/>
      <c r="K52" s="181"/>
      <c r="L52" s="181"/>
      <c r="M52" s="181"/>
      <c r="N52" s="181"/>
      <c r="O52" s="181"/>
      <c r="P52" s="181"/>
      <c r="Q52" s="181"/>
      <c r="R52" s="181"/>
      <c r="S52" s="181"/>
      <c r="T52" s="181"/>
      <c r="U52" s="181"/>
      <c r="V52" s="181"/>
      <c r="W52" s="182"/>
      <c r="X52" s="8">
        <f t="shared" si="1"/>
        <v>0</v>
      </c>
    </row>
    <row r="53" spans="1:24" ht="76.5" customHeight="1">
      <c r="A53" s="55">
        <f t="shared" si="0"/>
        <v>0</v>
      </c>
      <c r="B53" s="180"/>
      <c r="C53" s="181"/>
      <c r="D53" s="181"/>
      <c r="E53" s="181"/>
      <c r="F53" s="181"/>
      <c r="G53" s="181"/>
      <c r="H53" s="181"/>
      <c r="I53" s="181"/>
      <c r="J53" s="181"/>
      <c r="K53" s="181"/>
      <c r="L53" s="181"/>
      <c r="M53" s="181"/>
      <c r="N53" s="181"/>
      <c r="O53" s="181"/>
      <c r="P53" s="181"/>
      <c r="Q53" s="181"/>
      <c r="R53" s="181"/>
      <c r="S53" s="181"/>
      <c r="T53" s="181"/>
      <c r="U53" s="181"/>
      <c r="V53" s="181"/>
      <c r="W53" s="182"/>
      <c r="X53" s="8">
        <f t="shared" si="1"/>
        <v>0</v>
      </c>
    </row>
    <row r="54" spans="1:24" ht="17.25" customHeight="1"/>
    <row r="55" spans="1:24" ht="17.25" customHeight="1"/>
    <row r="56" spans="1:24" ht="17.25" customHeight="1"/>
    <row r="57" spans="1:24" ht="17.25" customHeight="1"/>
    <row r="58" spans="1:24" ht="17.25" customHeight="1"/>
    <row r="59" spans="1:24" ht="17.25" customHeight="1"/>
    <row r="60" spans="1:24" ht="17.25" customHeight="1"/>
    <row r="61" spans="1:24" ht="17.25" customHeight="1"/>
    <row r="62" spans="1:24" ht="17.25" customHeight="1"/>
    <row r="63" spans="1:24" ht="17.25" customHeight="1"/>
    <row r="64" spans="1:2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sheetData>
  <mergeCells count="43">
    <mergeCell ref="B53:W53"/>
    <mergeCell ref="B47:W47"/>
    <mergeCell ref="B48:W48"/>
    <mergeCell ref="B49:W49"/>
    <mergeCell ref="B50:W50"/>
    <mergeCell ref="B51:W51"/>
    <mergeCell ref="B52:W52"/>
    <mergeCell ref="B46:W46"/>
    <mergeCell ref="B35:W35"/>
    <mergeCell ref="B36:W36"/>
    <mergeCell ref="B37:W37"/>
    <mergeCell ref="B38:W38"/>
    <mergeCell ref="B39:W39"/>
    <mergeCell ref="B40:W40"/>
    <mergeCell ref="B41:W41"/>
    <mergeCell ref="B42:W42"/>
    <mergeCell ref="B43:W43"/>
    <mergeCell ref="B44:W44"/>
    <mergeCell ref="B45:W45"/>
    <mergeCell ref="B34:W34"/>
    <mergeCell ref="B23:W23"/>
    <mergeCell ref="B24:W24"/>
    <mergeCell ref="B25:W25"/>
    <mergeCell ref="B27:W27"/>
    <mergeCell ref="B28:W28"/>
    <mergeCell ref="B29:W29"/>
    <mergeCell ref="B30:W30"/>
    <mergeCell ref="B31:W31"/>
    <mergeCell ref="B32:W32"/>
    <mergeCell ref="A33:W33"/>
    <mergeCell ref="B26:W26"/>
    <mergeCell ref="B22:W22"/>
    <mergeCell ref="A2:A9"/>
    <mergeCell ref="A12:W12"/>
    <mergeCell ref="B13:W13"/>
    <mergeCell ref="B14:W14"/>
    <mergeCell ref="B15:W15"/>
    <mergeCell ref="B16:W16"/>
    <mergeCell ref="B17:W17"/>
    <mergeCell ref="B18:W18"/>
    <mergeCell ref="B19:W19"/>
    <mergeCell ref="B20:W20"/>
    <mergeCell ref="B21:W21"/>
  </mergeCells>
  <phoneticPr fontId="1"/>
  <conditionalFormatting sqref="X34:X53">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allowBlank="1" showDropDown="1" showInputMessage="1" showErrorMessage="1" errorTitle="全角文字エラー" error="半角ABC-を入れて下さい" sqref="D2:W11">
      <formula1>$X$2:$X$5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X154"/>
  <sheetViews>
    <sheetView workbookViewId="0">
      <selection sqref="A1:XFD1048576"/>
    </sheetView>
  </sheetViews>
  <sheetFormatPr defaultRowHeight="13.5"/>
  <cols>
    <col min="1" max="1" width="13.5" style="8" customWidth="1"/>
    <col min="2" max="2" width="7.5" style="8" customWidth="1"/>
    <col min="3" max="3" width="9.375" style="8" customWidth="1"/>
    <col min="4" max="23" width="6.875" style="8" customWidth="1"/>
    <col min="24" max="16384" width="9" style="8"/>
  </cols>
  <sheetData>
    <row r="1" spans="1:24" ht="85.5" customHeight="1">
      <c r="A1" s="183" t="str">
        <f ca="1">MID(CELL("filename",A1),FIND("[",CELL("filename",A1))+1,3)</f>
        <v>１－１</v>
      </c>
      <c r="B1" s="184"/>
      <c r="C1" s="185"/>
      <c r="D1" s="36" t="str">
        <f>A10</f>
        <v>伊藤 志桜</v>
      </c>
      <c r="E1" s="36" t="str">
        <f>A11</f>
        <v>大滝 園乃</v>
      </c>
      <c r="F1" s="36" t="str">
        <f>A12</f>
        <v>片桐 生登</v>
      </c>
      <c r="G1" s="36" t="str">
        <f>A13</f>
        <v>上條 矢真人</v>
      </c>
      <c r="H1" s="36" t="str">
        <f>A14</f>
        <v>長澤 航真</v>
      </c>
      <c r="I1" s="36" t="str">
        <f>A15</f>
        <v>濱 凪咲</v>
      </c>
      <c r="J1" s="36" t="str">
        <f>A16</f>
        <v>藤井 日汰</v>
      </c>
      <c r="K1" s="36" t="str">
        <f>A17</f>
        <v>増澤 悠生</v>
      </c>
      <c r="L1" s="36" t="str">
        <f>A18</f>
        <v>松山 新</v>
      </c>
      <c r="M1" s="36" t="str">
        <f>A19</f>
        <v>務䑓 理紗</v>
      </c>
      <c r="N1" s="36" t="str">
        <f>A20</f>
        <v>綿貫 凰河</v>
      </c>
      <c r="O1" s="36">
        <f>A21</f>
        <v>0</v>
      </c>
      <c r="P1" s="36">
        <f>A22</f>
        <v>0</v>
      </c>
      <c r="Q1" s="36">
        <f>A23</f>
        <v>0</v>
      </c>
      <c r="R1" s="36">
        <f>A24</f>
        <v>0</v>
      </c>
      <c r="S1" s="36">
        <f>A25</f>
        <v>0</v>
      </c>
      <c r="T1" s="36">
        <f>A26</f>
        <v>0</v>
      </c>
      <c r="U1" s="36">
        <f>A27</f>
        <v>0</v>
      </c>
      <c r="V1" s="36">
        <f>A28</f>
        <v>0</v>
      </c>
      <c r="W1" s="36">
        <f>A29</f>
        <v>0</v>
      </c>
      <c r="X1" s="37"/>
    </row>
    <row r="2" spans="1:24" ht="22.5" customHeight="1">
      <c r="A2" s="186" t="s">
        <v>44</v>
      </c>
      <c r="B2" s="186"/>
      <c r="C2" s="186"/>
      <c r="D2" s="56">
        <v>70</v>
      </c>
      <c r="E2" s="56">
        <v>70</v>
      </c>
      <c r="F2" s="56">
        <v>70</v>
      </c>
      <c r="G2" s="56">
        <v>70</v>
      </c>
      <c r="H2" s="56">
        <v>70</v>
      </c>
      <c r="I2" s="56">
        <v>70</v>
      </c>
      <c r="J2" s="56">
        <v>70</v>
      </c>
      <c r="K2" s="56">
        <v>70</v>
      </c>
      <c r="L2" s="56">
        <v>70</v>
      </c>
      <c r="M2" s="56">
        <v>70</v>
      </c>
      <c r="N2" s="56">
        <v>70</v>
      </c>
      <c r="O2" s="56"/>
      <c r="P2" s="56"/>
      <c r="Q2" s="56"/>
      <c r="R2" s="56"/>
      <c r="S2" s="56"/>
      <c r="T2" s="56"/>
      <c r="U2" s="56"/>
      <c r="V2" s="56"/>
      <c r="W2" s="56"/>
    </row>
    <row r="3" spans="1:24" ht="22.5" customHeight="1">
      <c r="A3" s="186" t="s">
        <v>45</v>
      </c>
      <c r="B3" s="186"/>
      <c r="C3" s="186"/>
      <c r="D3" s="56">
        <v>5</v>
      </c>
      <c r="E3" s="56">
        <v>0</v>
      </c>
      <c r="F3" s="56">
        <v>3</v>
      </c>
      <c r="G3" s="56">
        <v>0</v>
      </c>
      <c r="H3" s="56">
        <v>0</v>
      </c>
      <c r="I3" s="56">
        <v>0</v>
      </c>
      <c r="J3" s="56">
        <v>0</v>
      </c>
      <c r="K3" s="56">
        <v>0</v>
      </c>
      <c r="L3" s="56">
        <v>0</v>
      </c>
      <c r="M3" s="56">
        <v>0</v>
      </c>
      <c r="N3" s="56">
        <v>0</v>
      </c>
      <c r="O3" s="56"/>
      <c r="P3" s="56"/>
      <c r="Q3" s="56"/>
      <c r="R3" s="56"/>
      <c r="S3" s="56"/>
      <c r="T3" s="56"/>
      <c r="U3" s="56"/>
      <c r="V3" s="56"/>
      <c r="W3" s="56"/>
    </row>
    <row r="4" spans="1:24" ht="22.5" customHeight="1">
      <c r="A4" s="186" t="s">
        <v>46</v>
      </c>
      <c r="B4" s="186"/>
      <c r="C4" s="186"/>
      <c r="D4" s="57">
        <f t="shared" ref="D4:W4" si="0">D2-D3</f>
        <v>65</v>
      </c>
      <c r="E4" s="57">
        <f t="shared" si="0"/>
        <v>70</v>
      </c>
      <c r="F4" s="57">
        <f t="shared" si="0"/>
        <v>67</v>
      </c>
      <c r="G4" s="57">
        <f t="shared" si="0"/>
        <v>70</v>
      </c>
      <c r="H4" s="57">
        <f t="shared" si="0"/>
        <v>70</v>
      </c>
      <c r="I4" s="57">
        <f t="shared" si="0"/>
        <v>70</v>
      </c>
      <c r="J4" s="57">
        <f t="shared" si="0"/>
        <v>70</v>
      </c>
      <c r="K4" s="57">
        <f t="shared" si="0"/>
        <v>70</v>
      </c>
      <c r="L4" s="57">
        <f t="shared" si="0"/>
        <v>70</v>
      </c>
      <c r="M4" s="57">
        <f t="shared" si="0"/>
        <v>70</v>
      </c>
      <c r="N4" s="57">
        <f t="shared" si="0"/>
        <v>70</v>
      </c>
      <c r="O4" s="57">
        <f t="shared" si="0"/>
        <v>0</v>
      </c>
      <c r="P4" s="57">
        <f t="shared" si="0"/>
        <v>0</v>
      </c>
      <c r="Q4" s="57">
        <f t="shared" si="0"/>
        <v>0</v>
      </c>
      <c r="R4" s="57">
        <f t="shared" si="0"/>
        <v>0</v>
      </c>
      <c r="S4" s="57">
        <f t="shared" si="0"/>
        <v>0</v>
      </c>
      <c r="T4" s="57">
        <f t="shared" si="0"/>
        <v>0</v>
      </c>
      <c r="U4" s="57">
        <f t="shared" si="0"/>
        <v>0</v>
      </c>
      <c r="V4" s="57">
        <f t="shared" si="0"/>
        <v>0</v>
      </c>
      <c r="W4" s="57">
        <f t="shared" si="0"/>
        <v>0</v>
      </c>
    </row>
    <row r="5" spans="1:24" ht="22.5" customHeight="1">
      <c r="A5" s="187" t="s">
        <v>201</v>
      </c>
      <c r="B5" s="188"/>
      <c r="C5" s="189"/>
      <c r="D5" s="57">
        <f t="shared" ref="D5:W5" si="1">D4-D6</f>
        <v>65</v>
      </c>
      <c r="E5" s="57">
        <f t="shared" si="1"/>
        <v>69</v>
      </c>
      <c r="F5" s="57">
        <f t="shared" si="1"/>
        <v>63</v>
      </c>
      <c r="G5" s="57">
        <f t="shared" si="1"/>
        <v>70</v>
      </c>
      <c r="H5" s="57">
        <f t="shared" si="1"/>
        <v>70</v>
      </c>
      <c r="I5" s="57">
        <f t="shared" si="1"/>
        <v>68</v>
      </c>
      <c r="J5" s="57">
        <f t="shared" si="1"/>
        <v>70</v>
      </c>
      <c r="K5" s="57">
        <f t="shared" si="1"/>
        <v>69</v>
      </c>
      <c r="L5" s="57">
        <f t="shared" si="1"/>
        <v>68</v>
      </c>
      <c r="M5" s="57">
        <f t="shared" si="1"/>
        <v>70</v>
      </c>
      <c r="N5" s="57">
        <f t="shared" si="1"/>
        <v>70</v>
      </c>
      <c r="O5" s="57">
        <f t="shared" si="1"/>
        <v>0</v>
      </c>
      <c r="P5" s="57">
        <f t="shared" si="1"/>
        <v>0</v>
      </c>
      <c r="Q5" s="57">
        <f t="shared" si="1"/>
        <v>0</v>
      </c>
      <c r="R5" s="57">
        <f t="shared" si="1"/>
        <v>0</v>
      </c>
      <c r="S5" s="57">
        <f t="shared" si="1"/>
        <v>0</v>
      </c>
      <c r="T5" s="57">
        <f t="shared" si="1"/>
        <v>0</v>
      </c>
      <c r="U5" s="57">
        <f t="shared" si="1"/>
        <v>0</v>
      </c>
      <c r="V5" s="57">
        <f t="shared" si="1"/>
        <v>0</v>
      </c>
      <c r="W5" s="57">
        <f t="shared" si="1"/>
        <v>0</v>
      </c>
    </row>
    <row r="6" spans="1:24" ht="22.5" customHeight="1">
      <c r="A6" s="190" t="s">
        <v>202</v>
      </c>
      <c r="B6" s="191"/>
      <c r="C6" s="192"/>
      <c r="D6" s="56">
        <v>0</v>
      </c>
      <c r="E6" s="56">
        <v>1</v>
      </c>
      <c r="F6" s="56">
        <v>4</v>
      </c>
      <c r="G6" s="56">
        <v>0</v>
      </c>
      <c r="H6" s="56">
        <v>0</v>
      </c>
      <c r="I6" s="56">
        <v>2</v>
      </c>
      <c r="J6" s="56">
        <v>0</v>
      </c>
      <c r="K6" s="56">
        <v>1</v>
      </c>
      <c r="L6" s="56">
        <v>2</v>
      </c>
      <c r="M6" s="56">
        <v>0</v>
      </c>
      <c r="N6" s="56">
        <v>0</v>
      </c>
      <c r="O6" s="56"/>
      <c r="P6" s="56"/>
      <c r="Q6" s="56"/>
      <c r="R6" s="56"/>
      <c r="S6" s="56"/>
      <c r="T6" s="56"/>
      <c r="U6" s="56"/>
      <c r="V6" s="56"/>
      <c r="W6" s="56"/>
    </row>
    <row r="7" spans="1:24" ht="22.5" customHeight="1">
      <c r="A7" s="186" t="s">
        <v>47</v>
      </c>
      <c r="B7" s="186"/>
      <c r="C7" s="186"/>
      <c r="D7" s="56">
        <v>0</v>
      </c>
      <c r="E7" s="56">
        <v>0</v>
      </c>
      <c r="F7" s="56">
        <v>0</v>
      </c>
      <c r="G7" s="56">
        <v>0</v>
      </c>
      <c r="H7" s="56">
        <v>0</v>
      </c>
      <c r="I7" s="56">
        <v>0</v>
      </c>
      <c r="J7" s="56">
        <v>0</v>
      </c>
      <c r="K7" s="56">
        <v>0</v>
      </c>
      <c r="L7" s="56">
        <v>0</v>
      </c>
      <c r="M7" s="56">
        <v>0</v>
      </c>
      <c r="N7" s="56">
        <v>0</v>
      </c>
      <c r="O7" s="56"/>
      <c r="P7" s="56"/>
      <c r="Q7" s="56"/>
      <c r="R7" s="56"/>
      <c r="S7" s="56"/>
      <c r="T7" s="56"/>
      <c r="U7" s="56"/>
      <c r="V7" s="56"/>
      <c r="W7" s="56"/>
    </row>
    <row r="8" spans="1:24" ht="22.5" customHeight="1">
      <c r="A8" s="186" t="s">
        <v>48</v>
      </c>
      <c r="B8" s="186"/>
      <c r="C8" s="186"/>
      <c r="D8" s="56">
        <v>0</v>
      </c>
      <c r="E8" s="56">
        <v>0</v>
      </c>
      <c r="F8" s="56">
        <v>1</v>
      </c>
      <c r="G8" s="56">
        <v>0</v>
      </c>
      <c r="H8" s="56">
        <v>0</v>
      </c>
      <c r="I8" s="56">
        <v>0</v>
      </c>
      <c r="J8" s="56">
        <v>0</v>
      </c>
      <c r="K8" s="56">
        <v>0</v>
      </c>
      <c r="L8" s="56">
        <v>1</v>
      </c>
      <c r="M8" s="56">
        <v>0</v>
      </c>
      <c r="N8" s="56">
        <v>0</v>
      </c>
      <c r="O8" s="56"/>
      <c r="P8" s="56"/>
      <c r="Q8" s="56"/>
      <c r="R8" s="56"/>
      <c r="S8" s="56"/>
      <c r="T8" s="56"/>
      <c r="U8" s="56"/>
      <c r="V8" s="56"/>
      <c r="W8" s="56"/>
    </row>
    <row r="9" spans="1:24" ht="22.5" customHeight="1">
      <c r="A9" s="173" t="s">
        <v>49</v>
      </c>
      <c r="B9" s="174"/>
      <c r="C9" s="174"/>
      <c r="D9" s="174"/>
      <c r="E9" s="174"/>
      <c r="F9" s="174"/>
      <c r="G9" s="174"/>
      <c r="H9" s="174"/>
      <c r="I9" s="174"/>
      <c r="J9" s="174"/>
      <c r="K9" s="174"/>
      <c r="L9" s="174"/>
      <c r="M9" s="174"/>
      <c r="N9" s="174"/>
      <c r="O9" s="174"/>
      <c r="P9" s="174"/>
      <c r="Q9" s="174"/>
      <c r="R9" s="174"/>
      <c r="S9" s="174"/>
      <c r="T9" s="174"/>
      <c r="U9" s="174"/>
      <c r="V9" s="174"/>
      <c r="W9" s="175"/>
    </row>
    <row r="10" spans="1:24" ht="22.5" customHeight="1">
      <c r="A10" s="54" t="s">
        <v>81</v>
      </c>
      <c r="B10" s="155" t="s">
        <v>137</v>
      </c>
      <c r="C10" s="156"/>
      <c r="D10" s="156"/>
      <c r="E10" s="156"/>
      <c r="F10" s="156"/>
      <c r="G10" s="156"/>
      <c r="H10" s="156"/>
      <c r="I10" s="156"/>
      <c r="J10" s="156"/>
      <c r="K10" s="156"/>
      <c r="L10" s="156"/>
      <c r="M10" s="156"/>
      <c r="N10" s="156"/>
      <c r="O10" s="156"/>
      <c r="P10" s="156"/>
      <c r="Q10" s="156"/>
      <c r="R10" s="156"/>
      <c r="S10" s="156"/>
      <c r="T10" s="156"/>
      <c r="U10" s="156"/>
      <c r="V10" s="156"/>
      <c r="W10" s="157"/>
    </row>
    <row r="11" spans="1:24" ht="22.5" customHeight="1">
      <c r="A11" s="54" t="s">
        <v>82</v>
      </c>
      <c r="B11" s="155" t="s">
        <v>138</v>
      </c>
      <c r="C11" s="156"/>
      <c r="D11" s="156"/>
      <c r="E11" s="156"/>
      <c r="F11" s="156"/>
      <c r="G11" s="156"/>
      <c r="H11" s="156"/>
      <c r="I11" s="156"/>
      <c r="J11" s="156"/>
      <c r="K11" s="156"/>
      <c r="L11" s="156"/>
      <c r="M11" s="156"/>
      <c r="N11" s="156"/>
      <c r="O11" s="156"/>
      <c r="P11" s="156"/>
      <c r="Q11" s="156"/>
      <c r="R11" s="156"/>
      <c r="S11" s="156"/>
      <c r="T11" s="156"/>
      <c r="U11" s="156"/>
      <c r="V11" s="156"/>
      <c r="W11" s="157"/>
    </row>
    <row r="12" spans="1:24" ht="22.5" customHeight="1">
      <c r="A12" s="54" t="s">
        <v>83</v>
      </c>
      <c r="B12" s="155" t="s">
        <v>203</v>
      </c>
      <c r="C12" s="156"/>
      <c r="D12" s="156"/>
      <c r="E12" s="156"/>
      <c r="F12" s="156"/>
      <c r="G12" s="156"/>
      <c r="H12" s="156"/>
      <c r="I12" s="156"/>
      <c r="J12" s="156"/>
      <c r="K12" s="156"/>
      <c r="L12" s="156"/>
      <c r="M12" s="156"/>
      <c r="N12" s="156"/>
      <c r="O12" s="156"/>
      <c r="P12" s="156"/>
      <c r="Q12" s="156"/>
      <c r="R12" s="156"/>
      <c r="S12" s="156"/>
      <c r="T12" s="156"/>
      <c r="U12" s="156"/>
      <c r="V12" s="156"/>
      <c r="W12" s="157"/>
    </row>
    <row r="13" spans="1:24" ht="22.5" customHeight="1">
      <c r="A13" s="54" t="s">
        <v>84</v>
      </c>
      <c r="B13" s="155"/>
      <c r="C13" s="156"/>
      <c r="D13" s="156"/>
      <c r="E13" s="156"/>
      <c r="F13" s="156"/>
      <c r="G13" s="156"/>
      <c r="H13" s="156"/>
      <c r="I13" s="156"/>
      <c r="J13" s="156"/>
      <c r="K13" s="156"/>
      <c r="L13" s="156"/>
      <c r="M13" s="156"/>
      <c r="N13" s="156"/>
      <c r="O13" s="156"/>
      <c r="P13" s="156"/>
      <c r="Q13" s="156"/>
      <c r="R13" s="156"/>
      <c r="S13" s="156"/>
      <c r="T13" s="156"/>
      <c r="U13" s="156"/>
      <c r="V13" s="156"/>
      <c r="W13" s="157"/>
    </row>
    <row r="14" spans="1:24" ht="22.5" customHeight="1">
      <c r="A14" s="54" t="s">
        <v>85</v>
      </c>
      <c r="B14" s="155"/>
      <c r="C14" s="156"/>
      <c r="D14" s="156"/>
      <c r="E14" s="156"/>
      <c r="F14" s="156"/>
      <c r="G14" s="156"/>
      <c r="H14" s="156"/>
      <c r="I14" s="156"/>
      <c r="J14" s="156"/>
      <c r="K14" s="156"/>
      <c r="L14" s="156"/>
      <c r="M14" s="156"/>
      <c r="N14" s="156"/>
      <c r="O14" s="156"/>
      <c r="P14" s="156"/>
      <c r="Q14" s="156"/>
      <c r="R14" s="156"/>
      <c r="S14" s="156"/>
      <c r="T14" s="156"/>
      <c r="U14" s="156"/>
      <c r="V14" s="156"/>
      <c r="W14" s="157"/>
    </row>
    <row r="15" spans="1:24" ht="22.5" customHeight="1">
      <c r="A15" s="54" t="s">
        <v>86</v>
      </c>
      <c r="B15" s="155" t="s">
        <v>132</v>
      </c>
      <c r="C15" s="156"/>
      <c r="D15" s="156"/>
      <c r="E15" s="156"/>
      <c r="F15" s="156"/>
      <c r="G15" s="156"/>
      <c r="H15" s="156"/>
      <c r="I15" s="156"/>
      <c r="J15" s="156"/>
      <c r="K15" s="156"/>
      <c r="L15" s="156"/>
      <c r="M15" s="156"/>
      <c r="N15" s="156"/>
      <c r="O15" s="156"/>
      <c r="P15" s="156"/>
      <c r="Q15" s="156"/>
      <c r="R15" s="156"/>
      <c r="S15" s="156"/>
      <c r="T15" s="156"/>
      <c r="U15" s="156"/>
      <c r="V15" s="156"/>
      <c r="W15" s="157"/>
    </row>
    <row r="16" spans="1:24" ht="22.5" customHeight="1">
      <c r="A16" s="54" t="s">
        <v>87</v>
      </c>
      <c r="B16" s="155"/>
      <c r="C16" s="156"/>
      <c r="D16" s="156"/>
      <c r="E16" s="156"/>
      <c r="F16" s="156"/>
      <c r="G16" s="156"/>
      <c r="H16" s="156"/>
      <c r="I16" s="156"/>
      <c r="J16" s="156"/>
      <c r="K16" s="156"/>
      <c r="L16" s="156"/>
      <c r="M16" s="156"/>
      <c r="N16" s="156"/>
      <c r="O16" s="156"/>
      <c r="P16" s="156"/>
      <c r="Q16" s="156"/>
      <c r="R16" s="156"/>
      <c r="S16" s="156"/>
      <c r="T16" s="156"/>
      <c r="U16" s="156"/>
      <c r="V16" s="156"/>
      <c r="W16" s="157"/>
    </row>
    <row r="17" spans="1:23" ht="22.5" customHeight="1">
      <c r="A17" s="54" t="s">
        <v>88</v>
      </c>
      <c r="B17" s="155" t="s">
        <v>204</v>
      </c>
      <c r="C17" s="156"/>
      <c r="D17" s="156"/>
      <c r="E17" s="156"/>
      <c r="F17" s="156"/>
      <c r="G17" s="156"/>
      <c r="H17" s="156"/>
      <c r="I17" s="156"/>
      <c r="J17" s="156"/>
      <c r="K17" s="156"/>
      <c r="L17" s="156"/>
      <c r="M17" s="156"/>
      <c r="N17" s="156"/>
      <c r="O17" s="156"/>
      <c r="P17" s="156"/>
      <c r="Q17" s="156"/>
      <c r="R17" s="156"/>
      <c r="S17" s="156"/>
      <c r="T17" s="156"/>
      <c r="U17" s="156"/>
      <c r="V17" s="156"/>
      <c r="W17" s="157"/>
    </row>
    <row r="18" spans="1:23" ht="22.5" customHeight="1">
      <c r="A18" s="54" t="s">
        <v>89</v>
      </c>
      <c r="B18" s="155" t="s">
        <v>205</v>
      </c>
      <c r="C18" s="156"/>
      <c r="D18" s="156"/>
      <c r="E18" s="156"/>
      <c r="F18" s="156"/>
      <c r="G18" s="156"/>
      <c r="H18" s="156"/>
      <c r="I18" s="156"/>
      <c r="J18" s="156"/>
      <c r="K18" s="156"/>
      <c r="L18" s="156"/>
      <c r="M18" s="156"/>
      <c r="N18" s="156"/>
      <c r="O18" s="156"/>
      <c r="P18" s="156"/>
      <c r="Q18" s="156"/>
      <c r="R18" s="156"/>
      <c r="S18" s="156"/>
      <c r="T18" s="156"/>
      <c r="U18" s="156"/>
      <c r="V18" s="156"/>
      <c r="W18" s="157"/>
    </row>
    <row r="19" spans="1:23" ht="22.5" customHeight="1">
      <c r="A19" s="54" t="s">
        <v>90</v>
      </c>
      <c r="B19" s="155"/>
      <c r="C19" s="156"/>
      <c r="D19" s="156"/>
      <c r="E19" s="156"/>
      <c r="F19" s="156"/>
      <c r="G19" s="156"/>
      <c r="H19" s="156"/>
      <c r="I19" s="156"/>
      <c r="J19" s="156"/>
      <c r="K19" s="156"/>
      <c r="L19" s="156"/>
      <c r="M19" s="156"/>
      <c r="N19" s="156"/>
      <c r="O19" s="156"/>
      <c r="P19" s="156"/>
      <c r="Q19" s="156"/>
      <c r="R19" s="156"/>
      <c r="S19" s="156"/>
      <c r="T19" s="156"/>
      <c r="U19" s="156"/>
      <c r="V19" s="156"/>
      <c r="W19" s="157"/>
    </row>
    <row r="20" spans="1:23" ht="22.5" customHeight="1">
      <c r="A20" s="54" t="s">
        <v>91</v>
      </c>
      <c r="B20" s="155"/>
      <c r="C20" s="156"/>
      <c r="D20" s="156"/>
      <c r="E20" s="156"/>
      <c r="F20" s="156"/>
      <c r="G20" s="156"/>
      <c r="H20" s="156"/>
      <c r="I20" s="156"/>
      <c r="J20" s="156"/>
      <c r="K20" s="156"/>
      <c r="L20" s="156"/>
      <c r="M20" s="156"/>
      <c r="N20" s="156"/>
      <c r="O20" s="156"/>
      <c r="P20" s="156"/>
      <c r="Q20" s="156"/>
      <c r="R20" s="156"/>
      <c r="S20" s="156"/>
      <c r="T20" s="156"/>
      <c r="U20" s="156"/>
      <c r="V20" s="156"/>
      <c r="W20" s="157"/>
    </row>
    <row r="21" spans="1:23" ht="22.5" customHeight="1">
      <c r="A21" s="54"/>
      <c r="B21" s="155"/>
      <c r="C21" s="156"/>
      <c r="D21" s="156"/>
      <c r="E21" s="156"/>
      <c r="F21" s="156"/>
      <c r="G21" s="156"/>
      <c r="H21" s="156"/>
      <c r="I21" s="156"/>
      <c r="J21" s="156"/>
      <c r="K21" s="156"/>
      <c r="L21" s="156"/>
      <c r="M21" s="156"/>
      <c r="N21" s="156"/>
      <c r="O21" s="156"/>
      <c r="P21" s="156"/>
      <c r="Q21" s="156"/>
      <c r="R21" s="156"/>
      <c r="S21" s="156"/>
      <c r="T21" s="156"/>
      <c r="U21" s="156"/>
      <c r="V21" s="156"/>
      <c r="W21" s="157"/>
    </row>
    <row r="22" spans="1:23" ht="22.5" customHeight="1">
      <c r="A22" s="54"/>
      <c r="B22" s="155"/>
      <c r="C22" s="156"/>
      <c r="D22" s="156"/>
      <c r="E22" s="156"/>
      <c r="F22" s="156"/>
      <c r="G22" s="156"/>
      <c r="H22" s="156"/>
      <c r="I22" s="156"/>
      <c r="J22" s="156"/>
      <c r="K22" s="156"/>
      <c r="L22" s="156"/>
      <c r="M22" s="156"/>
      <c r="N22" s="156"/>
      <c r="O22" s="156"/>
      <c r="P22" s="156"/>
      <c r="Q22" s="156"/>
      <c r="R22" s="156"/>
      <c r="S22" s="156"/>
      <c r="T22" s="156"/>
      <c r="U22" s="156"/>
      <c r="V22" s="156"/>
      <c r="W22" s="157"/>
    </row>
    <row r="23" spans="1:23" ht="22.5" customHeight="1">
      <c r="A23" s="54"/>
      <c r="B23" s="155"/>
      <c r="C23" s="156"/>
      <c r="D23" s="156"/>
      <c r="E23" s="156"/>
      <c r="F23" s="156"/>
      <c r="G23" s="156"/>
      <c r="H23" s="156"/>
      <c r="I23" s="156"/>
      <c r="J23" s="156"/>
      <c r="K23" s="156"/>
      <c r="L23" s="156"/>
      <c r="M23" s="156"/>
      <c r="N23" s="156"/>
      <c r="O23" s="156"/>
      <c r="P23" s="156"/>
      <c r="Q23" s="156"/>
      <c r="R23" s="156"/>
      <c r="S23" s="156"/>
      <c r="T23" s="156"/>
      <c r="U23" s="156"/>
      <c r="V23" s="156"/>
      <c r="W23" s="157"/>
    </row>
    <row r="24" spans="1:23" ht="22.5" customHeight="1">
      <c r="A24" s="54"/>
      <c r="B24" s="155"/>
      <c r="C24" s="156"/>
      <c r="D24" s="156"/>
      <c r="E24" s="156"/>
      <c r="F24" s="156"/>
      <c r="G24" s="156"/>
      <c r="H24" s="156"/>
      <c r="I24" s="156"/>
      <c r="J24" s="156"/>
      <c r="K24" s="156"/>
      <c r="L24" s="156"/>
      <c r="M24" s="156"/>
      <c r="N24" s="156"/>
      <c r="O24" s="156"/>
      <c r="P24" s="156"/>
      <c r="Q24" s="156"/>
      <c r="R24" s="156"/>
      <c r="S24" s="156"/>
      <c r="T24" s="156"/>
      <c r="U24" s="156"/>
      <c r="V24" s="156"/>
      <c r="W24" s="157"/>
    </row>
    <row r="25" spans="1:23" ht="22.5" customHeight="1">
      <c r="A25" s="54"/>
      <c r="B25" s="155"/>
      <c r="C25" s="156"/>
      <c r="D25" s="156"/>
      <c r="E25" s="156"/>
      <c r="F25" s="156"/>
      <c r="G25" s="156"/>
      <c r="H25" s="156"/>
      <c r="I25" s="156"/>
      <c r="J25" s="156"/>
      <c r="K25" s="156"/>
      <c r="L25" s="156"/>
      <c r="M25" s="156"/>
      <c r="N25" s="156"/>
      <c r="O25" s="156"/>
      <c r="P25" s="156"/>
      <c r="Q25" s="156"/>
      <c r="R25" s="156"/>
      <c r="S25" s="156"/>
      <c r="T25" s="156"/>
      <c r="U25" s="156"/>
      <c r="V25" s="156"/>
      <c r="W25" s="157"/>
    </row>
    <row r="26" spans="1:23" ht="22.5" customHeight="1">
      <c r="A26" s="54"/>
      <c r="B26" s="155"/>
      <c r="C26" s="156"/>
      <c r="D26" s="156"/>
      <c r="E26" s="156"/>
      <c r="F26" s="156"/>
      <c r="G26" s="156"/>
      <c r="H26" s="156"/>
      <c r="I26" s="156"/>
      <c r="J26" s="156"/>
      <c r="K26" s="156"/>
      <c r="L26" s="156"/>
      <c r="M26" s="156"/>
      <c r="N26" s="156"/>
      <c r="O26" s="156"/>
      <c r="P26" s="156"/>
      <c r="Q26" s="156"/>
      <c r="R26" s="156"/>
      <c r="S26" s="156"/>
      <c r="T26" s="156"/>
      <c r="U26" s="156"/>
      <c r="V26" s="156"/>
      <c r="W26" s="157"/>
    </row>
    <row r="27" spans="1:23" ht="22.5" customHeight="1">
      <c r="A27" s="54"/>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3" ht="22.5" customHeight="1">
      <c r="A28" s="54"/>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3" ht="22.5" customHeight="1">
      <c r="A29" s="54"/>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3" ht="17.25" customHeight="1"/>
    <row r="31" spans="1:23" ht="17.25" customHeight="1"/>
    <row r="32" spans="1:2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sheetData>
  <mergeCells count="29">
    <mergeCell ref="B25:W25"/>
    <mergeCell ref="B26:W26"/>
    <mergeCell ref="B27:W27"/>
    <mergeCell ref="B28:W28"/>
    <mergeCell ref="B29:W29"/>
    <mergeCell ref="B24:W24"/>
    <mergeCell ref="B13:W13"/>
    <mergeCell ref="B14:W14"/>
    <mergeCell ref="B15:W15"/>
    <mergeCell ref="B16:W16"/>
    <mergeCell ref="B17:W17"/>
    <mergeCell ref="B18:W18"/>
    <mergeCell ref="B19:W19"/>
    <mergeCell ref="B20:W20"/>
    <mergeCell ref="B21:W21"/>
    <mergeCell ref="B22:W22"/>
    <mergeCell ref="B23:W23"/>
    <mergeCell ref="B12:W12"/>
    <mergeCell ref="A1:C1"/>
    <mergeCell ref="A2:C2"/>
    <mergeCell ref="A3:C3"/>
    <mergeCell ref="A4:C4"/>
    <mergeCell ref="A5:C5"/>
    <mergeCell ref="A6:C6"/>
    <mergeCell ref="A7:C7"/>
    <mergeCell ref="A8:C8"/>
    <mergeCell ref="A9:W9"/>
    <mergeCell ref="B10:W10"/>
    <mergeCell ref="B11:W11"/>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8</vt:i4>
      </vt:variant>
    </vt:vector>
  </HeadingPairs>
  <TitlesOfParts>
    <vt:vector size="20" baseType="lpstr">
      <vt:lpstr>通知票</vt:lpstr>
      <vt:lpstr>所見集</vt:lpstr>
      <vt:lpstr>国語</vt:lpstr>
      <vt:lpstr>算数</vt:lpstr>
      <vt:lpstr>生活</vt:lpstr>
      <vt:lpstr>英語</vt:lpstr>
      <vt:lpstr>音楽</vt:lpstr>
      <vt:lpstr>図工</vt:lpstr>
      <vt:lpstr>体育</vt:lpstr>
      <vt:lpstr>道徳</vt:lpstr>
      <vt:lpstr>所見</vt:lpstr>
      <vt:lpstr>出欠</vt:lpstr>
      <vt:lpstr>国語!Print_Area</vt:lpstr>
      <vt:lpstr>算数!Print_Area</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2024-07-18T02:09:38Z</cp:lastPrinted>
  <dcterms:created xsi:type="dcterms:W3CDTF">2005-07-21T09:07:06Z</dcterms:created>
  <dcterms:modified xsi:type="dcterms:W3CDTF">2024-07-18T02:09:43Z</dcterms:modified>
</cp:coreProperties>
</file>