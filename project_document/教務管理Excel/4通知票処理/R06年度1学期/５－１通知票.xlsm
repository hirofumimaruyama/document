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T:\通知票（保管場所）【禁入力】\R06年度\R06年度1学期\"/>
    </mc:Choice>
  </mc:AlternateContent>
  <bookViews>
    <workbookView xWindow="-15" yWindow="-15" windowWidth="21105" windowHeight="12660" tabRatio="783"/>
  </bookViews>
  <sheets>
    <sheet name="通知票" sheetId="1" r:id="rId1"/>
    <sheet name="所見集" sheetId="46" r:id="rId2"/>
    <sheet name="国語" sheetId="36" r:id="rId3"/>
    <sheet name="算数" sheetId="37" r:id="rId4"/>
    <sheet name="理科" sheetId="38" r:id="rId5"/>
    <sheet name="社会" sheetId="47" r:id="rId6"/>
    <sheet name="英語" sheetId="39" r:id="rId7"/>
    <sheet name="音楽" sheetId="40" r:id="rId8"/>
    <sheet name="図工" sheetId="41" r:id="rId9"/>
    <sheet name="体育" sheetId="42" r:id="rId10"/>
    <sheet name="家庭" sheetId="48" r:id="rId11"/>
    <sheet name="道徳" sheetId="43" r:id="rId12"/>
    <sheet name="所見" sheetId="44" r:id="rId13"/>
    <sheet name="出欠" sheetId="45" r:id="rId14"/>
  </sheets>
  <definedNames>
    <definedName name="_xlnm.Print_Area" localSheetId="1">所見集!$A$1:$C$16</definedName>
    <definedName name="_xlnm.Print_Area" localSheetId="0">通知票!$A$1:$I$90</definedName>
    <definedName name="至">通知票!$L$9</definedName>
    <definedName name="自">通知票!$K$9</definedName>
    <definedName name="番号">通知票!$B$2</definedName>
    <definedName name="番号2">所見集!$B$2</definedName>
  </definedNames>
  <calcPr calcId="152511"/>
</workbook>
</file>

<file path=xl/calcChain.xml><?xml version="1.0" encoding="utf-8"?>
<calcChain xmlns="http://schemas.openxmlformats.org/spreadsheetml/2006/main">
  <c r="V5" i="45" l="1"/>
  <c r="U5" i="45"/>
  <c r="N5" i="45"/>
  <c r="M5" i="45"/>
  <c r="F5" i="45"/>
  <c r="E5" i="45"/>
  <c r="AB4" i="45"/>
  <c r="AB5" i="45" s="1"/>
  <c r="AA4" i="45"/>
  <c r="AA5" i="45" s="1"/>
  <c r="Z4" i="45"/>
  <c r="Z5" i="45" s="1"/>
  <c r="Y4" i="45"/>
  <c r="Y5" i="45" s="1"/>
  <c r="X4" i="45"/>
  <c r="X5" i="45" s="1"/>
  <c r="W4" i="45"/>
  <c r="W5" i="45" s="1"/>
  <c r="V4" i="45"/>
  <c r="U4" i="45"/>
  <c r="T4" i="45"/>
  <c r="T5" i="45" s="1"/>
  <c r="S4" i="45"/>
  <c r="S5" i="45" s="1"/>
  <c r="R4" i="45"/>
  <c r="R5" i="45" s="1"/>
  <c r="Q4" i="45"/>
  <c r="Q5" i="45" s="1"/>
  <c r="P4" i="45"/>
  <c r="P5" i="45" s="1"/>
  <c r="O4" i="45"/>
  <c r="O5" i="45" s="1"/>
  <c r="N4" i="45"/>
  <c r="M4" i="45"/>
  <c r="L4" i="45"/>
  <c r="L5" i="45" s="1"/>
  <c r="K4" i="45"/>
  <c r="K5" i="45" s="1"/>
  <c r="J4" i="45"/>
  <c r="J5" i="45" s="1"/>
  <c r="I4" i="45"/>
  <c r="I5" i="45" s="1"/>
  <c r="H4" i="45"/>
  <c r="H5" i="45" s="1"/>
  <c r="G4" i="45"/>
  <c r="G5" i="45" s="1"/>
  <c r="F4" i="45"/>
  <c r="E4" i="45"/>
  <c r="D4" i="45"/>
  <c r="D5" i="45" s="1"/>
  <c r="AB1" i="45"/>
  <c r="AA1" i="45"/>
  <c r="Z1" i="45"/>
  <c r="Y1" i="45"/>
  <c r="X1" i="45"/>
  <c r="W1" i="45"/>
  <c r="V1" i="45"/>
  <c r="U1" i="45"/>
  <c r="T1" i="45"/>
  <c r="S1" i="45"/>
  <c r="R1" i="45"/>
  <c r="Q1" i="45"/>
  <c r="P1" i="45"/>
  <c r="O1" i="45"/>
  <c r="N1" i="45"/>
  <c r="M1" i="45"/>
  <c r="L1" i="45"/>
  <c r="K1" i="45"/>
  <c r="J1" i="45"/>
  <c r="I1" i="45"/>
  <c r="H1" i="45"/>
  <c r="G1" i="45"/>
  <c r="F1" i="45"/>
  <c r="E1" i="45"/>
  <c r="D1" i="45"/>
  <c r="A1" i="45"/>
  <c r="AC63" i="44" l="1"/>
  <c r="A63" i="44"/>
  <c r="AC62" i="44"/>
  <c r="A62" i="44"/>
  <c r="AC61" i="44"/>
  <c r="A61" i="44"/>
  <c r="AC60" i="44"/>
  <c r="A60" i="44"/>
  <c r="AC59" i="44"/>
  <c r="A59" i="44"/>
  <c r="AC58" i="44"/>
  <c r="A58" i="44"/>
  <c r="AC57" i="44"/>
  <c r="A57" i="44"/>
  <c r="AC56" i="44"/>
  <c r="A56" i="44"/>
  <c r="AC55" i="44"/>
  <c r="A55" i="44"/>
  <c r="AC54" i="44"/>
  <c r="A54" i="44"/>
  <c r="AC53" i="44"/>
  <c r="A53" i="44"/>
  <c r="AC52" i="44"/>
  <c r="A52" i="44"/>
  <c r="AC51" i="44"/>
  <c r="A51" i="44"/>
  <c r="AC50" i="44"/>
  <c r="A50" i="44"/>
  <c r="AC49" i="44"/>
  <c r="A49" i="44"/>
  <c r="AC48" i="44"/>
  <c r="A48" i="44"/>
  <c r="AC47" i="44"/>
  <c r="A47" i="44"/>
  <c r="AC46" i="44"/>
  <c r="A46" i="44"/>
  <c r="AC45" i="44"/>
  <c r="A45" i="44"/>
  <c r="AC44" i="44"/>
  <c r="A44" i="44"/>
  <c r="AC43" i="44"/>
  <c r="A43" i="44"/>
  <c r="AC42" i="44"/>
  <c r="A42" i="44"/>
  <c r="AC41" i="44"/>
  <c r="A41" i="44"/>
  <c r="AC40" i="44"/>
  <c r="A40" i="44"/>
  <c r="AC39" i="44"/>
  <c r="A39" i="44"/>
  <c r="AB1" i="44"/>
  <c r="AA1" i="44"/>
  <c r="Z1" i="44"/>
  <c r="Y1" i="44"/>
  <c r="X1" i="44"/>
  <c r="W1" i="44"/>
  <c r="V1" i="44"/>
  <c r="U1" i="44"/>
  <c r="T1" i="44"/>
  <c r="S1" i="44"/>
  <c r="R1" i="44"/>
  <c r="Q1" i="44"/>
  <c r="P1" i="44"/>
  <c r="O1" i="44"/>
  <c r="N1" i="44"/>
  <c r="M1" i="44"/>
  <c r="L1" i="44"/>
  <c r="K1" i="44"/>
  <c r="J1" i="44"/>
  <c r="I1" i="44"/>
  <c r="H1" i="44"/>
  <c r="G1" i="44"/>
  <c r="F1" i="44"/>
  <c r="E1" i="44"/>
  <c r="D1" i="44"/>
  <c r="A1" i="44"/>
  <c r="C27" i="43" l="1"/>
  <c r="C26" i="43"/>
  <c r="C25" i="43"/>
  <c r="C24" i="43"/>
  <c r="C23" i="43"/>
  <c r="C22" i="43"/>
  <c r="C21" i="43"/>
  <c r="C20" i="43"/>
  <c r="C19" i="43"/>
  <c r="C18" i="43"/>
  <c r="C17" i="43"/>
  <c r="C16" i="43"/>
  <c r="C15" i="43"/>
  <c r="C14" i="43"/>
  <c r="C13" i="43"/>
  <c r="C12" i="43"/>
  <c r="C11" i="43"/>
  <c r="C10" i="43"/>
  <c r="C9" i="43"/>
  <c r="C8" i="43"/>
  <c r="C7" i="43"/>
  <c r="C6" i="43"/>
  <c r="C5" i="43"/>
  <c r="C4" i="43"/>
  <c r="C3" i="43"/>
  <c r="B1" i="43"/>
  <c r="A1" i="43"/>
  <c r="AB1" i="48" l="1"/>
  <c r="AA1" i="48"/>
  <c r="Z1" i="48"/>
  <c r="Y1" i="48"/>
  <c r="X1" i="48"/>
  <c r="W1" i="48"/>
  <c r="V1" i="48"/>
  <c r="U1" i="48"/>
  <c r="T1" i="48"/>
  <c r="S1" i="48"/>
  <c r="R1" i="48"/>
  <c r="Q1" i="48"/>
  <c r="P1" i="48"/>
  <c r="O1" i="48"/>
  <c r="N1" i="48"/>
  <c r="M1" i="48"/>
  <c r="L1" i="48"/>
  <c r="K1" i="48"/>
  <c r="J1" i="48"/>
  <c r="I1" i="48"/>
  <c r="H1" i="48"/>
  <c r="G1" i="48"/>
  <c r="F1" i="48"/>
  <c r="E1" i="48"/>
  <c r="D1" i="48"/>
  <c r="B1" i="48"/>
  <c r="A1" i="48"/>
  <c r="AB1" i="42" l="1"/>
  <c r="AA1" i="42"/>
  <c r="Z1" i="42"/>
  <c r="Y1" i="42"/>
  <c r="X1" i="42"/>
  <c r="W1" i="42"/>
  <c r="V1" i="42"/>
  <c r="U1" i="42"/>
  <c r="T1" i="42"/>
  <c r="S1" i="42"/>
  <c r="R1" i="42"/>
  <c r="Q1" i="42"/>
  <c r="P1" i="42"/>
  <c r="O1" i="42"/>
  <c r="N1" i="42"/>
  <c r="M1" i="42"/>
  <c r="L1" i="42"/>
  <c r="K1" i="42"/>
  <c r="J1" i="42"/>
  <c r="I1" i="42"/>
  <c r="H1" i="42"/>
  <c r="G1" i="42"/>
  <c r="F1" i="42"/>
  <c r="E1" i="42"/>
  <c r="D1" i="42"/>
  <c r="B1" i="42"/>
  <c r="A1" i="42"/>
  <c r="AB1" i="41" l="1"/>
  <c r="AA1" i="41"/>
  <c r="Z1" i="41"/>
  <c r="Y1" i="41"/>
  <c r="X1" i="41"/>
  <c r="W1" i="41"/>
  <c r="V1" i="41"/>
  <c r="U1" i="41"/>
  <c r="T1" i="41"/>
  <c r="S1" i="41"/>
  <c r="R1" i="41"/>
  <c r="Q1" i="41"/>
  <c r="P1" i="41"/>
  <c r="O1" i="41"/>
  <c r="N1" i="41"/>
  <c r="M1" i="41"/>
  <c r="L1" i="41"/>
  <c r="K1" i="41"/>
  <c r="J1" i="41"/>
  <c r="I1" i="41"/>
  <c r="H1" i="41"/>
  <c r="G1" i="41"/>
  <c r="F1" i="41"/>
  <c r="E1" i="41"/>
  <c r="D1" i="41"/>
  <c r="B1" i="41"/>
  <c r="A1" i="41"/>
  <c r="AB1" i="40" l="1"/>
  <c r="AA1" i="40"/>
  <c r="Z1" i="40"/>
  <c r="Y1" i="40"/>
  <c r="X1" i="40"/>
  <c r="W1" i="40"/>
  <c r="V1" i="40"/>
  <c r="U1" i="40"/>
  <c r="T1" i="40"/>
  <c r="S1" i="40"/>
  <c r="R1" i="40"/>
  <c r="Q1" i="40"/>
  <c r="P1" i="40"/>
  <c r="O1" i="40"/>
  <c r="N1" i="40"/>
  <c r="M1" i="40"/>
  <c r="L1" i="40"/>
  <c r="K1" i="40"/>
  <c r="J1" i="40"/>
  <c r="I1" i="40"/>
  <c r="H1" i="40"/>
  <c r="G1" i="40"/>
  <c r="F1" i="40"/>
  <c r="E1" i="40"/>
  <c r="D1" i="40"/>
  <c r="B1" i="40"/>
  <c r="A1" i="40"/>
  <c r="AB1" i="39" l="1"/>
  <c r="AA1" i="39"/>
  <c r="Z1" i="39"/>
  <c r="Y1" i="39"/>
  <c r="X1" i="39"/>
  <c r="W1" i="39"/>
  <c r="V1" i="39"/>
  <c r="U1" i="39"/>
  <c r="T1" i="39"/>
  <c r="S1" i="39"/>
  <c r="R1" i="39"/>
  <c r="Q1" i="39"/>
  <c r="P1" i="39"/>
  <c r="O1" i="39"/>
  <c r="N1" i="39"/>
  <c r="M1" i="39"/>
  <c r="L1" i="39"/>
  <c r="K1" i="39"/>
  <c r="J1" i="39"/>
  <c r="I1" i="39"/>
  <c r="H1" i="39"/>
  <c r="G1" i="39"/>
  <c r="F1" i="39"/>
  <c r="E1" i="39"/>
  <c r="D1" i="39"/>
  <c r="B1" i="39"/>
  <c r="A1" i="39"/>
  <c r="AB1" i="47" l="1"/>
  <c r="AA1" i="47"/>
  <c r="Z1" i="47"/>
  <c r="Y1" i="47"/>
  <c r="X1" i="47"/>
  <c r="W1" i="47"/>
  <c r="V1" i="47"/>
  <c r="U1" i="47"/>
  <c r="T1" i="47"/>
  <c r="S1" i="47"/>
  <c r="R1" i="47"/>
  <c r="Q1" i="47"/>
  <c r="P1" i="47"/>
  <c r="O1" i="47"/>
  <c r="N1" i="47"/>
  <c r="M1" i="47"/>
  <c r="L1" i="47"/>
  <c r="K1" i="47"/>
  <c r="J1" i="47"/>
  <c r="I1" i="47"/>
  <c r="H1" i="47"/>
  <c r="G1" i="47"/>
  <c r="F1" i="47"/>
  <c r="E1" i="47"/>
  <c r="D1" i="47"/>
  <c r="B1" i="47"/>
  <c r="A1" i="47"/>
  <c r="AB1" i="38" l="1"/>
  <c r="AA1" i="38"/>
  <c r="Z1" i="38"/>
  <c r="Y1" i="38"/>
  <c r="X1" i="38"/>
  <c r="W1" i="38"/>
  <c r="V1" i="38"/>
  <c r="U1" i="38"/>
  <c r="T1" i="38"/>
  <c r="S1" i="38"/>
  <c r="R1" i="38"/>
  <c r="Q1" i="38"/>
  <c r="P1" i="38"/>
  <c r="O1" i="38"/>
  <c r="N1" i="38"/>
  <c r="M1" i="38"/>
  <c r="L1" i="38"/>
  <c r="K1" i="38"/>
  <c r="J1" i="38"/>
  <c r="I1" i="38"/>
  <c r="H1" i="38"/>
  <c r="G1" i="38"/>
  <c r="F1" i="38"/>
  <c r="E1" i="38"/>
  <c r="D1" i="38"/>
  <c r="B1" i="38"/>
  <c r="A1" i="38"/>
  <c r="AB1" i="37" l="1"/>
  <c r="AA1" i="37"/>
  <c r="Z1" i="37"/>
  <c r="Y1" i="37"/>
  <c r="X1" i="37"/>
  <c r="W1" i="37"/>
  <c r="V1" i="37"/>
  <c r="U1" i="37"/>
  <c r="T1" i="37"/>
  <c r="S1" i="37"/>
  <c r="R1" i="37"/>
  <c r="Q1" i="37"/>
  <c r="P1" i="37"/>
  <c r="O1" i="37"/>
  <c r="N1" i="37"/>
  <c r="M1" i="37"/>
  <c r="L1" i="37"/>
  <c r="K1" i="37"/>
  <c r="J1" i="37"/>
  <c r="I1" i="37"/>
  <c r="H1" i="37"/>
  <c r="G1" i="37"/>
  <c r="F1" i="37"/>
  <c r="E1" i="37"/>
  <c r="D1" i="37"/>
  <c r="B1" i="37"/>
  <c r="A1" i="37"/>
  <c r="AB1" i="36" l="1"/>
  <c r="AA1" i="36"/>
  <c r="Z1" i="36"/>
  <c r="Y1" i="36"/>
  <c r="X1" i="36"/>
  <c r="W1" i="36"/>
  <c r="V1" i="36"/>
  <c r="U1" i="36"/>
  <c r="T1" i="36"/>
  <c r="S1" i="36"/>
  <c r="R1" i="36"/>
  <c r="Q1" i="36"/>
  <c r="P1" i="36"/>
  <c r="O1" i="36"/>
  <c r="N1" i="36"/>
  <c r="M1" i="36"/>
  <c r="L1" i="36"/>
  <c r="K1" i="36"/>
  <c r="J1" i="36"/>
  <c r="I1" i="36"/>
  <c r="H1" i="36"/>
  <c r="G1" i="36"/>
  <c r="F1" i="36"/>
  <c r="E1" i="36"/>
  <c r="D1" i="36"/>
  <c r="B1" i="36"/>
  <c r="A1" i="36"/>
  <c r="L85" i="1" l="1"/>
  <c r="L19" i="1"/>
  <c r="A1" i="1" l="1"/>
  <c r="P9" i="1"/>
  <c r="B90" i="1"/>
  <c r="P13" i="1"/>
  <c r="P19" i="1"/>
  <c r="P6" i="1"/>
  <c r="P27" i="1"/>
  <c r="P17" i="1"/>
  <c r="P24" i="1"/>
  <c r="P11" i="1"/>
  <c r="C16" i="46"/>
  <c r="P20" i="1"/>
  <c r="P15" i="1"/>
  <c r="P30" i="1"/>
  <c r="P22" i="1"/>
  <c r="P18" i="1"/>
  <c r="P16" i="1"/>
  <c r="G2" i="1"/>
  <c r="P12" i="1"/>
  <c r="P8" i="1"/>
  <c r="P7" i="1"/>
  <c r="P28" i="1"/>
  <c r="P29" i="1"/>
  <c r="P21" i="1"/>
  <c r="P23" i="1"/>
  <c r="P26" i="1"/>
  <c r="P10" i="1"/>
  <c r="P25" i="1"/>
  <c r="P14" i="1"/>
  <c r="B6" i="46" l="1"/>
  <c r="C6" i="46"/>
  <c r="B12" i="46" l="1"/>
  <c r="C12" i="46"/>
  <c r="H67" i="1" l="1"/>
  <c r="G73" i="1"/>
  <c r="B73" i="1"/>
  <c r="G72" i="1"/>
  <c r="B72" i="1"/>
  <c r="G71" i="1"/>
  <c r="B71" i="1"/>
  <c r="G70" i="1"/>
  <c r="B70" i="1"/>
  <c r="G69" i="1"/>
  <c r="B69" i="1"/>
  <c r="G68" i="1"/>
  <c r="B68" i="1"/>
  <c r="G67" i="1"/>
  <c r="B67" i="1"/>
  <c r="G59" i="1"/>
  <c r="B59" i="1"/>
  <c r="G58" i="1"/>
  <c r="B58" i="1"/>
  <c r="G57" i="1"/>
  <c r="B57" i="1"/>
  <c r="G56" i="1"/>
  <c r="B56" i="1"/>
  <c r="G55" i="1"/>
  <c r="B55" i="1"/>
  <c r="G54" i="1"/>
  <c r="B54" i="1"/>
  <c r="G50" i="1"/>
  <c r="B50" i="1"/>
  <c r="G42" i="1"/>
  <c r="B42" i="1"/>
  <c r="G35" i="1"/>
  <c r="B35" i="1"/>
  <c r="G28" i="1"/>
  <c r="B28" i="1"/>
  <c r="G20" i="1"/>
  <c r="B20" i="1"/>
  <c r="G13" i="1"/>
  <c r="B13" i="1"/>
  <c r="G49" i="1" l="1"/>
  <c r="B49" i="1"/>
  <c r="G48" i="1"/>
  <c r="B48" i="1"/>
  <c r="G47" i="1"/>
  <c r="B47" i="1"/>
  <c r="G46" i="1"/>
  <c r="B46" i="1"/>
  <c r="G45" i="1"/>
  <c r="B45" i="1"/>
  <c r="G44" i="1"/>
  <c r="B44" i="1"/>
  <c r="B8" i="46" l="1"/>
  <c r="C7" i="46"/>
  <c r="C8" i="46"/>
  <c r="G66" i="1" l="1"/>
  <c r="B66" i="1"/>
  <c r="G65" i="1"/>
  <c r="B65" i="1"/>
  <c r="G64" i="1"/>
  <c r="B64" i="1"/>
  <c r="G63" i="1"/>
  <c r="B63" i="1"/>
  <c r="G62" i="1"/>
  <c r="B62" i="1"/>
  <c r="G61" i="1"/>
  <c r="B61" i="1"/>
  <c r="H29" i="1"/>
  <c r="G34" i="1"/>
  <c r="B34" i="1"/>
  <c r="G33" i="1"/>
  <c r="B33" i="1"/>
  <c r="G32" i="1"/>
  <c r="B32" i="1"/>
  <c r="G31" i="1"/>
  <c r="B31" i="1"/>
  <c r="G30" i="1"/>
  <c r="B30" i="1"/>
  <c r="G29" i="1"/>
  <c r="B29" i="1"/>
  <c r="B21" i="1"/>
  <c r="G27" i="1"/>
  <c r="B27" i="1"/>
  <c r="G26" i="1"/>
  <c r="B26" i="1"/>
  <c r="G25" i="1"/>
  <c r="B25" i="1"/>
  <c r="G24" i="1"/>
  <c r="B24" i="1"/>
  <c r="G23" i="1"/>
  <c r="B23" i="1"/>
  <c r="G22" i="1"/>
  <c r="B22" i="1"/>
  <c r="C1" i="1" l="1"/>
  <c r="B13" i="46" l="1"/>
  <c r="B11" i="46"/>
  <c r="B10" i="46"/>
  <c r="B9" i="46"/>
  <c r="B7" i="46"/>
  <c r="B5" i="46"/>
  <c r="A1" i="46"/>
  <c r="C11" i="46"/>
  <c r="C13" i="46"/>
  <c r="C2" i="46"/>
  <c r="B14" i="46"/>
  <c r="C9" i="46"/>
  <c r="C10" i="46"/>
  <c r="C5" i="46"/>
  <c r="C1" i="46" l="1"/>
  <c r="H60" i="1" l="1"/>
  <c r="G60" i="1"/>
  <c r="H53" i="1"/>
  <c r="G53" i="1"/>
  <c r="H43" i="1"/>
  <c r="G43" i="1"/>
  <c r="G41" i="1"/>
  <c r="G40" i="1"/>
  <c r="G39" i="1"/>
  <c r="G38" i="1"/>
  <c r="G37" i="1"/>
  <c r="H36" i="1"/>
  <c r="G36" i="1"/>
  <c r="H21" i="1"/>
  <c r="G21" i="1"/>
  <c r="G19" i="1"/>
  <c r="G18" i="1"/>
  <c r="G17" i="1"/>
  <c r="G16" i="1"/>
  <c r="G15" i="1"/>
  <c r="H14" i="1"/>
  <c r="G14" i="1"/>
  <c r="I83" i="1"/>
  <c r="I82" i="1"/>
  <c r="I81" i="1"/>
  <c r="I80" i="1"/>
  <c r="I79" i="1"/>
  <c r="I78" i="1"/>
  <c r="I77" i="1"/>
  <c r="D86" i="1"/>
  <c r="D85" i="1"/>
  <c r="D84" i="1"/>
  <c r="D83" i="1"/>
  <c r="D82" i="1"/>
  <c r="D81" i="1"/>
  <c r="D80" i="1"/>
  <c r="D79" i="1"/>
  <c r="D78" i="1"/>
  <c r="D77" i="1"/>
  <c r="H6" i="1"/>
  <c r="G12" i="1"/>
  <c r="G11" i="1"/>
  <c r="G10" i="1"/>
  <c r="G9" i="1"/>
  <c r="G8" i="1"/>
  <c r="G7" i="1"/>
  <c r="G6" i="1"/>
  <c r="B74" i="1"/>
  <c r="F84" i="1"/>
  <c r="C88" i="1"/>
  <c r="A86" i="1" l="1"/>
  <c r="A85" i="1"/>
  <c r="A84" i="1"/>
  <c r="A83" i="1"/>
  <c r="A82" i="1"/>
  <c r="A81" i="1"/>
  <c r="A80" i="1"/>
  <c r="A79" i="1"/>
  <c r="A78" i="1"/>
  <c r="A77" i="1"/>
  <c r="B60" i="1"/>
  <c r="B53" i="1"/>
  <c r="B43" i="1"/>
  <c r="B41" i="1"/>
  <c r="B40" i="1"/>
  <c r="B39" i="1"/>
  <c r="B38" i="1"/>
  <c r="B37" i="1"/>
  <c r="B36" i="1"/>
  <c r="B19" i="1"/>
  <c r="B18" i="1"/>
  <c r="B17" i="1"/>
  <c r="B16" i="1"/>
  <c r="B15" i="1"/>
  <c r="B14" i="1"/>
  <c r="B12" i="1"/>
  <c r="B11" i="1"/>
  <c r="B10" i="1"/>
  <c r="B9" i="1"/>
  <c r="B8" i="1"/>
  <c r="B7" i="1"/>
  <c r="B6" i="1"/>
</calcChain>
</file>

<file path=xl/sharedStrings.xml><?xml version="1.0" encoding="utf-8"?>
<sst xmlns="http://schemas.openxmlformats.org/spreadsheetml/2006/main" count="1485" uniqueCount="283">
  <si>
    <t>算数</t>
    <rPh sb="0" eb="2">
      <t>サンスウ</t>
    </rPh>
    <phoneticPr fontId="1"/>
  </si>
  <si>
    <t>図工</t>
    <rPh sb="0" eb="2">
      <t>ズコウ</t>
    </rPh>
    <phoneticPr fontId="1"/>
  </si>
  <si>
    <t>体育</t>
    <rPh sb="0" eb="2">
      <t>タイイク</t>
    </rPh>
    <phoneticPr fontId="1"/>
  </si>
  <si>
    <t>音楽</t>
    <rPh sb="0" eb="2">
      <t>オンガク</t>
    </rPh>
    <phoneticPr fontId="1"/>
  </si>
  <si>
    <t>教科</t>
    <rPh sb="0" eb="2">
      <t>キョウカ</t>
    </rPh>
    <phoneticPr fontId="1"/>
  </si>
  <si>
    <t>学習目標</t>
    <rPh sb="0" eb="2">
      <t>ガクシュウ</t>
    </rPh>
    <rPh sb="2" eb="4">
      <t>モクヒョウ</t>
    </rPh>
    <phoneticPr fontId="1"/>
  </si>
  <si>
    <t>評価</t>
    <rPh sb="0" eb="2">
      <t>ヒョウカ</t>
    </rPh>
    <phoneticPr fontId="1"/>
  </si>
  <si>
    <t>評定</t>
    <rPh sb="0" eb="2">
      <t>ヒョウテイ</t>
    </rPh>
    <phoneticPr fontId="1"/>
  </si>
  <si>
    <t>国語</t>
    <rPh sb="0" eb="2">
      <t>コクゴ</t>
    </rPh>
    <phoneticPr fontId="1"/>
  </si>
  <si>
    <t>英語</t>
    <rPh sb="0" eb="2">
      <t>エイゴ</t>
    </rPh>
    <phoneticPr fontId="1"/>
  </si>
  <si>
    <t>出欠の状況</t>
    <rPh sb="0" eb="2">
      <t>シュッケツ</t>
    </rPh>
    <rPh sb="3" eb="5">
      <t>ジョウキョウ</t>
    </rPh>
    <phoneticPr fontId="1"/>
  </si>
  <si>
    <t>総合所見</t>
    <rPh sb="0" eb="2">
      <t>ソウゴウ</t>
    </rPh>
    <rPh sb="2" eb="4">
      <t>ショケン</t>
    </rPh>
    <phoneticPr fontId="1"/>
  </si>
  <si>
    <t xml:space="preserve"> 授業日数</t>
    <rPh sb="1" eb="3">
      <t>ジュギョウ</t>
    </rPh>
    <rPh sb="3" eb="5">
      <t>ニッスウ</t>
    </rPh>
    <phoneticPr fontId="1"/>
  </si>
  <si>
    <t xml:space="preserve"> 忌引・停止</t>
    <rPh sb="1" eb="3">
      <t>キビ</t>
    </rPh>
    <rPh sb="4" eb="6">
      <t>テイシ</t>
    </rPh>
    <phoneticPr fontId="1"/>
  </si>
  <si>
    <t xml:space="preserve"> 出席日数</t>
    <rPh sb="1" eb="3">
      <t>シュッセキ</t>
    </rPh>
    <rPh sb="3" eb="5">
      <t>ニッスウ</t>
    </rPh>
    <phoneticPr fontId="1"/>
  </si>
  <si>
    <t xml:space="preserve"> 遅刻</t>
    <rPh sb="1" eb="3">
      <t>チコク</t>
    </rPh>
    <phoneticPr fontId="1"/>
  </si>
  <si>
    <t xml:space="preserve"> 早退</t>
    <rPh sb="1" eb="3">
      <t>ソウタイ</t>
    </rPh>
    <phoneticPr fontId="1"/>
  </si>
  <si>
    <t>氏名</t>
    <rPh sb="0" eb="1">
      <t>シ</t>
    </rPh>
    <rPh sb="1" eb="2">
      <t>メイ</t>
    </rPh>
    <phoneticPr fontId="1"/>
  </si>
  <si>
    <t>No.</t>
    <phoneticPr fontId="1"/>
  </si>
  <si>
    <t>学習の様子　　　A:目標に到達できた　B:おおよそ目標に到達できた　C:目標に達するよう努力しよう</t>
    <rPh sb="0" eb="2">
      <t>ガクシュウ</t>
    </rPh>
    <rPh sb="3" eb="5">
      <t>ヨウス</t>
    </rPh>
    <rPh sb="10" eb="12">
      <t>モクヒョウ</t>
    </rPh>
    <rPh sb="13" eb="15">
      <t>トウタツ</t>
    </rPh>
    <rPh sb="25" eb="27">
      <t>モクヒョウ</t>
    </rPh>
    <rPh sb="28" eb="30">
      <t>トウタツ</t>
    </rPh>
    <rPh sb="36" eb="38">
      <t>モクヒョウ</t>
    </rPh>
    <rPh sb="39" eb="40">
      <t>タッ</t>
    </rPh>
    <phoneticPr fontId="1"/>
  </si>
  <si>
    <t xml:space="preserve"> 出席しなければならない日数</t>
    <rPh sb="1" eb="3">
      <t>シュッセキ</t>
    </rPh>
    <rPh sb="12" eb="14">
      <t>ニッスウ</t>
    </rPh>
    <phoneticPr fontId="1"/>
  </si>
  <si>
    <t xml:space="preserve"> 欠席日数</t>
    <rPh sb="1" eb="3">
      <t>ケッセキ</t>
    </rPh>
    <rPh sb="3" eb="5">
      <t>ニッスウ</t>
    </rPh>
    <phoneticPr fontId="1"/>
  </si>
  <si>
    <r>
      <t>行動のようす</t>
    </r>
    <r>
      <rPr>
        <sz val="9"/>
        <rFont val="ＭＳ Ｐ明朝"/>
        <family val="1"/>
        <charset val="128"/>
      </rPr>
      <t>　A:十分　B:普通　C:不足</t>
    </r>
    <phoneticPr fontId="1"/>
  </si>
  <si>
    <t>特別活動</t>
    <phoneticPr fontId="1"/>
  </si>
  <si>
    <t>道徳</t>
    <rPh sb="0" eb="2">
      <t>ドウトク</t>
    </rPh>
    <phoneticPr fontId="1"/>
  </si>
  <si>
    <t>※注意※
この欄の名前は変更不可</t>
  </si>
  <si>
    <t>A～C</t>
  </si>
  <si>
    <t>１～５</t>
  </si>
  <si>
    <t>氏名</t>
  </si>
  <si>
    <t>今学期の様子（教科担任から学級担任へ）</t>
  </si>
  <si>
    <t>文字数</t>
    <rPh sb="0" eb="3">
      <t>もじすう</t>
    </rPh>
    <phoneticPr fontId="10" type="Hiragana" alignment="distributed"/>
  </si>
  <si>
    <t>行動の様子</t>
  </si>
  <si>
    <t>この項目は適宜変更して下さい。
※注意※
ただし、項目は１０個まで、少ない場合も行削除厳禁。</t>
  </si>
  <si>
    <t>特別活動 ※注意※改行せず、続けて文章を書いて下さい。</t>
  </si>
  <si>
    <t xml:space="preserve"> 授業日数</t>
  </si>
  <si>
    <t xml:space="preserve"> 忌引・停止</t>
  </si>
  <si>
    <t xml:space="preserve"> 出席しなければならない日数（自動計算）</t>
  </si>
  <si>
    <t xml:space="preserve"> 遅刻</t>
  </si>
  <si>
    <t xml:space="preserve"> 早退</t>
  </si>
  <si>
    <t>備考　欠席・遅刻・早退の理由。「日」はつけない。　　　　　　※注意※改行せず、続けて文章を書いて下さい。</t>
  </si>
  <si>
    <t>印刷範囲</t>
    <rPh sb="0" eb="2">
      <t>インサツ</t>
    </rPh>
    <rPh sb="2" eb="4">
      <t>ハンイ</t>
    </rPh>
    <phoneticPr fontId="1"/>
  </si>
  <si>
    <t>自</t>
    <rPh sb="0" eb="1">
      <t>ジ</t>
    </rPh>
    <phoneticPr fontId="1"/>
  </si>
  <si>
    <t>至</t>
    <rPh sb="0" eb="1">
      <t>イタ</t>
    </rPh>
    <phoneticPr fontId="1"/>
  </si>
  <si>
    <t>No.</t>
    <phoneticPr fontId="1"/>
  </si>
  <si>
    <t>所見</t>
    <rPh sb="0" eb="2">
      <t>ショケン</t>
    </rPh>
    <phoneticPr fontId="1"/>
  </si>
  <si>
    <t>B</t>
  </si>
  <si>
    <t>A</t>
  </si>
  <si>
    <t>理科</t>
    <rPh sb="0" eb="2">
      <t>リカ</t>
    </rPh>
    <phoneticPr fontId="1"/>
  </si>
  <si>
    <t>社会</t>
    <rPh sb="0" eb="2">
      <t>シャカイ</t>
    </rPh>
    <phoneticPr fontId="1"/>
  </si>
  <si>
    <t>C</t>
  </si>
  <si>
    <t>家庭</t>
    <rPh sb="0" eb="2">
      <t>カテイ</t>
    </rPh>
    <phoneticPr fontId="1"/>
  </si>
  <si>
    <t>基本的な生活習慣（一日の過ごし方、時間管理、など）</t>
  </si>
  <si>
    <t>健康・体力の向上（欠席、遅刻、早退など）</t>
  </si>
  <si>
    <t>自主・自律（整理整頓、身なり、宿題、提出物など）</t>
  </si>
  <si>
    <t>責任感（係、委員会、役割など）</t>
  </si>
  <si>
    <t>創意工夫（日常生活、授業発言など）</t>
  </si>
  <si>
    <t>思いやり・協力（友人関係、共同作業など）</t>
  </si>
  <si>
    <t>生命尊重・自然愛護（自然、動植物に対する接し方など）</t>
  </si>
  <si>
    <t>勤労・奉仕（清掃、給食など）</t>
  </si>
  <si>
    <t>公正・公平（友人関係、学級での話し合いなど）</t>
  </si>
  <si>
    <t>公共心・公徳心（規律、挨拶、返事など）</t>
  </si>
  <si>
    <t>知識・技能（単元テスト・定期テスト）</t>
    <rPh sb="6" eb="8">
      <t>タンゲン</t>
    </rPh>
    <phoneticPr fontId="1"/>
  </si>
  <si>
    <r>
      <t xml:space="preserve">学年
</t>
    </r>
    <r>
      <rPr>
        <sz val="9"/>
        <rFont val="ＭＳ Ｐ明朝"/>
        <family val="1"/>
        <charset val="128"/>
      </rPr>
      <t>(3学期)</t>
    </r>
    <rPh sb="5" eb="7">
      <t>ガッキ</t>
    </rPh>
    <phoneticPr fontId="1"/>
  </si>
  <si>
    <t>主体的に学習に取り組む態度</t>
  </si>
  <si>
    <t>知識・技能（単元テスト・定期テスト）</t>
  </si>
  <si>
    <t>思考力・表現力・判断力（単元テスト・定期テスト）</t>
  </si>
  <si>
    <t>知識・技能（定期テスト・単元テスト）</t>
    <rPh sb="0" eb="2">
      <t>チシキ</t>
    </rPh>
    <rPh sb="3" eb="5">
      <t>ギノウ</t>
    </rPh>
    <rPh sb="6" eb="8">
      <t>テイキ</t>
    </rPh>
    <rPh sb="12" eb="14">
      <t>タンゲン</t>
    </rPh>
    <phoneticPr fontId="1"/>
  </si>
  <si>
    <t>知識・技能（期末テスト、単元テスト、漢字テスト）</t>
  </si>
  <si>
    <t>思考力・判断力・表現力（期末テスト、音読、短文づくり）</t>
    <rPh sb="18" eb="20">
      <t>オンドク</t>
    </rPh>
    <rPh sb="21" eb="23">
      <t>タンブン</t>
    </rPh>
    <phoneticPr fontId="1"/>
  </si>
  <si>
    <t>主体的に取り組む態度（提出物、授業態度）</t>
  </si>
  <si>
    <t>阿部 光希</t>
  </si>
  <si>
    <t>池田 篤也</t>
  </si>
  <si>
    <t>荻原 健史</t>
  </si>
  <si>
    <t>上條 里紗</t>
  </si>
  <si>
    <t>小森 美柚</t>
  </si>
  <si>
    <t>酒巻 紋子</t>
  </si>
  <si>
    <t>滝 真佳</t>
  </si>
  <si>
    <t>都筑 斉</t>
  </si>
  <si>
    <t>傳田 悠藍</t>
  </si>
  <si>
    <t>中原 照真</t>
  </si>
  <si>
    <t>永原 愛羅</t>
  </si>
  <si>
    <t>根橋 宏匡</t>
  </si>
  <si>
    <t>平野 悠</t>
  </si>
  <si>
    <t>丸山 大河</t>
  </si>
  <si>
    <t>三浦 和成</t>
  </si>
  <si>
    <t>三澤 桜來</t>
  </si>
  <si>
    <t>明嵐 瑛大</t>
  </si>
  <si>
    <t>屋井 皓</t>
  </si>
  <si>
    <t>若松 優羽花</t>
  </si>
  <si>
    <t>渡邊 葉子</t>
  </si>
  <si>
    <t>綿貫 叶乃音</t>
  </si>
  <si>
    <t>授業は集中して取り組んでいます。わり算の際の小数点の処理も確実にできるようになりました。わからないことがあったときに、自分で抱え込まずに「わからない」と意思表示できるといいと思います。</t>
    <rPh sb="0" eb="2">
      <t>ジュギョウ</t>
    </rPh>
    <rPh sb="3" eb="5">
      <t>シュウチュウ</t>
    </rPh>
    <rPh sb="7" eb="8">
      <t>ト</t>
    </rPh>
    <rPh sb="9" eb="10">
      <t>ク</t>
    </rPh>
    <rPh sb="18" eb="19">
      <t>ザン</t>
    </rPh>
    <rPh sb="20" eb="21">
      <t>サイ</t>
    </rPh>
    <rPh sb="22" eb="25">
      <t>ショウスウテン</t>
    </rPh>
    <rPh sb="26" eb="28">
      <t>ショリ</t>
    </rPh>
    <rPh sb="29" eb="31">
      <t>カクジツ</t>
    </rPh>
    <rPh sb="59" eb="61">
      <t>ジブン</t>
    </rPh>
    <rPh sb="62" eb="63">
      <t>カカ</t>
    </rPh>
    <rPh sb="64" eb="65">
      <t>コ</t>
    </rPh>
    <rPh sb="76" eb="80">
      <t>イシヒョウジ</t>
    </rPh>
    <rPh sb="87" eb="88">
      <t>オモ</t>
    </rPh>
    <phoneticPr fontId="1"/>
  </si>
  <si>
    <t>１学期の後半になって、宿題の不備（再提出や未提出）がときどきありました。算数の力をつけるためには、家庭での丁寧な学習が欠かせません。２学期での改善を望みます。</t>
    <rPh sb="1" eb="3">
      <t>ガッキ</t>
    </rPh>
    <rPh sb="4" eb="6">
      <t>コウハン</t>
    </rPh>
    <rPh sb="11" eb="13">
      <t>シュクダイ</t>
    </rPh>
    <rPh sb="14" eb="16">
      <t>フビ</t>
    </rPh>
    <rPh sb="17" eb="20">
      <t>サイテイシュツ</t>
    </rPh>
    <rPh sb="21" eb="24">
      <t>ミテイシュツ</t>
    </rPh>
    <rPh sb="36" eb="38">
      <t>サンスウ</t>
    </rPh>
    <rPh sb="39" eb="40">
      <t>チカラ</t>
    </rPh>
    <rPh sb="49" eb="51">
      <t>カテイ</t>
    </rPh>
    <rPh sb="53" eb="55">
      <t>テイネイ</t>
    </rPh>
    <rPh sb="56" eb="58">
      <t>ガクシュウ</t>
    </rPh>
    <rPh sb="59" eb="60">
      <t>カ</t>
    </rPh>
    <rPh sb="67" eb="69">
      <t>ガッキ</t>
    </rPh>
    <rPh sb="71" eb="73">
      <t>カイゼン</t>
    </rPh>
    <rPh sb="74" eb="75">
      <t>ノゾ</t>
    </rPh>
    <phoneticPr fontId="1"/>
  </si>
  <si>
    <t>直方体の体積の公式の使い方や、小数の計算の仕方など、テストでできななったところを中心に、夏休みにしっかりと復習してください。</t>
    <rPh sb="0" eb="3">
      <t>チョクホウタイ</t>
    </rPh>
    <rPh sb="4" eb="6">
      <t>タイセキ</t>
    </rPh>
    <rPh sb="7" eb="9">
      <t>コウシキ</t>
    </rPh>
    <rPh sb="10" eb="11">
      <t>ツカ</t>
    </rPh>
    <rPh sb="12" eb="13">
      <t>カタ</t>
    </rPh>
    <rPh sb="15" eb="17">
      <t>ショウスウ</t>
    </rPh>
    <rPh sb="18" eb="20">
      <t>ケイサン</t>
    </rPh>
    <rPh sb="21" eb="23">
      <t>シカタ</t>
    </rPh>
    <rPh sb="40" eb="42">
      <t>チュウシン</t>
    </rPh>
    <rPh sb="44" eb="46">
      <t>ナツヤス</t>
    </rPh>
    <rPh sb="53" eb="55">
      <t>フクシュウ</t>
    </rPh>
    <phoneticPr fontId="1"/>
  </si>
  <si>
    <t>宿題の提出率は１００％。授業も集中して取り組んでいますし、テストでは結果も出しています。このまま継続してほしいです。今後も楽しみです。</t>
    <rPh sb="0" eb="2">
      <t>シュクダイ</t>
    </rPh>
    <rPh sb="3" eb="6">
      <t>テイシュツリツ</t>
    </rPh>
    <rPh sb="12" eb="14">
      <t>ジュギョウ</t>
    </rPh>
    <rPh sb="15" eb="17">
      <t>シュウチュウ</t>
    </rPh>
    <rPh sb="19" eb="20">
      <t>ト</t>
    </rPh>
    <rPh sb="21" eb="22">
      <t>ク</t>
    </rPh>
    <rPh sb="34" eb="36">
      <t>ケッカ</t>
    </rPh>
    <rPh sb="37" eb="38">
      <t>ダ</t>
    </rPh>
    <rPh sb="48" eb="50">
      <t>ケイゾク</t>
    </rPh>
    <rPh sb="58" eb="60">
      <t>コンゴ</t>
    </rPh>
    <rPh sb="61" eb="62">
      <t>タノ</t>
    </rPh>
    <phoneticPr fontId="1"/>
  </si>
  <si>
    <t>授業では、すぐに「わからない」と言うことが多かったですが、「わかるようになりたい」という気持ちは伝わってきました。もっと静かに、じっくりと集中して考える習慣がつくといいです。</t>
    <rPh sb="0" eb="2">
      <t>ジュギョウ</t>
    </rPh>
    <rPh sb="16" eb="17">
      <t>イ</t>
    </rPh>
    <rPh sb="21" eb="22">
      <t>オオ</t>
    </rPh>
    <rPh sb="44" eb="46">
      <t>キモ</t>
    </rPh>
    <rPh sb="48" eb="49">
      <t>ツタ</t>
    </rPh>
    <rPh sb="60" eb="61">
      <t>シズ</t>
    </rPh>
    <rPh sb="69" eb="71">
      <t>シュウチュウ</t>
    </rPh>
    <rPh sb="73" eb="74">
      <t>カンガ</t>
    </rPh>
    <rPh sb="76" eb="78">
      <t>シュウカン</t>
    </rPh>
    <phoneticPr fontId="1"/>
  </si>
  <si>
    <t>宿題の提出率は１００％。授業も集中して取り組んでいますし、テストでは結果も出しています。算数係の仕事も責任を持って行っています。このまま継続してほしいです。今後も楽しみです。</t>
    <rPh sb="0" eb="2">
      <t>シュクダイ</t>
    </rPh>
    <rPh sb="3" eb="6">
      <t>テイシュツリツ</t>
    </rPh>
    <rPh sb="12" eb="14">
      <t>ジュギョウ</t>
    </rPh>
    <rPh sb="15" eb="17">
      <t>シュウチュウ</t>
    </rPh>
    <rPh sb="19" eb="20">
      <t>ト</t>
    </rPh>
    <rPh sb="21" eb="22">
      <t>ク</t>
    </rPh>
    <rPh sb="34" eb="36">
      <t>ケッカ</t>
    </rPh>
    <rPh sb="37" eb="38">
      <t>ダ</t>
    </rPh>
    <rPh sb="68" eb="70">
      <t>ケイゾク</t>
    </rPh>
    <rPh sb="78" eb="80">
      <t>コンゴ</t>
    </rPh>
    <rPh sb="81" eb="82">
      <t>タノ</t>
    </rPh>
    <phoneticPr fontId="1"/>
  </si>
  <si>
    <t>宿題の提出率１００％はすばらしいです。テストでは結果も出しており、算数の力もあります。その一方で、集中力がなかなか続かずに、授業中うるさくしてしまうことがあり残念です。自分のためにも、周りのためにも、もっと集中力を高めていきましょう。</t>
    <rPh sb="0" eb="2">
      <t>シュクダイ</t>
    </rPh>
    <rPh sb="3" eb="6">
      <t>テイシュツリツ</t>
    </rPh>
    <rPh sb="24" eb="26">
      <t>ケッカ</t>
    </rPh>
    <rPh sb="27" eb="28">
      <t>ダ</t>
    </rPh>
    <rPh sb="33" eb="35">
      <t>サンスウ</t>
    </rPh>
    <rPh sb="36" eb="37">
      <t>チカラ</t>
    </rPh>
    <rPh sb="45" eb="47">
      <t>イッポウ</t>
    </rPh>
    <rPh sb="49" eb="52">
      <t>シュウチュウリョク</t>
    </rPh>
    <rPh sb="57" eb="58">
      <t>ツヅ</t>
    </rPh>
    <rPh sb="62" eb="64">
      <t>ジュギョウ</t>
    </rPh>
    <rPh sb="64" eb="65">
      <t>ナカ</t>
    </rPh>
    <rPh sb="79" eb="81">
      <t>ザンネン</t>
    </rPh>
    <rPh sb="84" eb="86">
      <t>ジブン</t>
    </rPh>
    <rPh sb="92" eb="93">
      <t>マワ</t>
    </rPh>
    <rPh sb="103" eb="106">
      <t>シュウチュウリョク</t>
    </rPh>
    <rPh sb="107" eb="108">
      <t>タカ</t>
    </rPh>
    <phoneticPr fontId="1"/>
  </si>
  <si>
    <t>授業や提出物は、真面目によく頑張っています。今学期は、定期テストが３３点と結果が出せませんでした。特に、「思考・判断・表現」については、新演習も含め、２９０点配点のところ、８０点と２７．４％のためC評価としました。真面目な子なので、２学期以降、慣れてきて伸びてくることを期待します。</t>
    <rPh sb="0" eb="2">
      <t>ジュギョウ</t>
    </rPh>
    <rPh sb="3" eb="5">
      <t>テイシュツ</t>
    </rPh>
    <rPh sb="5" eb="6">
      <t>ブツ</t>
    </rPh>
    <rPh sb="8" eb="11">
      <t>マジメ</t>
    </rPh>
    <rPh sb="14" eb="16">
      <t>ガンバ</t>
    </rPh>
    <rPh sb="22" eb="25">
      <t>コンガッキ</t>
    </rPh>
    <rPh sb="27" eb="29">
      <t>テイキ</t>
    </rPh>
    <rPh sb="35" eb="36">
      <t>テン</t>
    </rPh>
    <rPh sb="37" eb="39">
      <t>ケッカ</t>
    </rPh>
    <rPh sb="40" eb="41">
      <t>ダ</t>
    </rPh>
    <rPh sb="49" eb="50">
      <t>トク</t>
    </rPh>
    <rPh sb="53" eb="55">
      <t>シコウ</t>
    </rPh>
    <rPh sb="56" eb="58">
      <t>ハンダン</t>
    </rPh>
    <rPh sb="59" eb="61">
      <t>ヒョウゲン</t>
    </rPh>
    <rPh sb="68" eb="71">
      <t>シンエンシュウ</t>
    </rPh>
    <rPh sb="72" eb="73">
      <t>フク</t>
    </rPh>
    <rPh sb="78" eb="79">
      <t>テン</t>
    </rPh>
    <rPh sb="79" eb="81">
      <t>ハイテン</t>
    </rPh>
    <rPh sb="88" eb="89">
      <t>テン</t>
    </rPh>
    <rPh sb="99" eb="101">
      <t>ヒョウカ</t>
    </rPh>
    <rPh sb="107" eb="110">
      <t>マジメ</t>
    </rPh>
    <rPh sb="111" eb="112">
      <t>コ</t>
    </rPh>
    <rPh sb="122" eb="123">
      <t>ナ</t>
    </rPh>
    <rPh sb="127" eb="128">
      <t>ノ</t>
    </rPh>
    <rPh sb="135" eb="137">
      <t>キタイ</t>
    </rPh>
    <phoneticPr fontId="1"/>
  </si>
  <si>
    <t>提出率もあまりよくありません。力がある子ではないので、まずは、提出物をきちんと取り組むことから始めさせたい。定期テストが３４点と、彼女なりには正直頑張ったほうだと思います。「知識・理解」については、２９０点配分のところ８０点（２７．４％）のため、C評価とした。まずは、すべきことをきちんとすることが最低限必要だと思う。</t>
    <rPh sb="0" eb="3">
      <t>テイシュツリツ</t>
    </rPh>
    <rPh sb="15" eb="16">
      <t>チカラ</t>
    </rPh>
    <rPh sb="19" eb="20">
      <t>コ</t>
    </rPh>
    <rPh sb="31" eb="34">
      <t>テイシュツブツ</t>
    </rPh>
    <rPh sb="39" eb="40">
      <t>ト</t>
    </rPh>
    <rPh sb="41" eb="42">
      <t>ク</t>
    </rPh>
    <rPh sb="47" eb="48">
      <t>ハジ</t>
    </rPh>
    <rPh sb="54" eb="56">
      <t>テイキ</t>
    </rPh>
    <rPh sb="62" eb="63">
      <t>テン</t>
    </rPh>
    <rPh sb="65" eb="67">
      <t>カノジョ</t>
    </rPh>
    <rPh sb="71" eb="73">
      <t>ショウジキ</t>
    </rPh>
    <rPh sb="73" eb="75">
      <t>ガンバ</t>
    </rPh>
    <rPh sb="81" eb="82">
      <t>オモ</t>
    </rPh>
    <rPh sb="87" eb="89">
      <t>チシキ</t>
    </rPh>
    <rPh sb="90" eb="92">
      <t>リカイ</t>
    </rPh>
    <rPh sb="102" eb="103">
      <t>テン</t>
    </rPh>
    <rPh sb="103" eb="105">
      <t>ハイブン</t>
    </rPh>
    <rPh sb="111" eb="112">
      <t>テン</t>
    </rPh>
    <rPh sb="124" eb="126">
      <t>ヒョウカ</t>
    </rPh>
    <phoneticPr fontId="1"/>
  </si>
  <si>
    <t>提出率、授業態度ともあまりよくありません。授業態度は、寝てるんだか、起きてるんだかということが度々ある。去年より、取り掛かりは良くなったと思う。社会の歴史分野は結構好きで、興味もあるはずだが、地理分野は・・・・社会については、興味も力もそこそこあるはずですが・・・・定期テスト１９点、「知識・理解」２９０点中、７３点（２５．０％）、「思考・判断・表現」２９０点、５５点（１８．８％）のため、C評価とした。まずは、すべきことをきちんとすることが最低限必要。</t>
    <rPh sb="4" eb="8">
      <t>ジュギョウタイド</t>
    </rPh>
    <rPh sb="21" eb="25">
      <t>ジュギョウタイド</t>
    </rPh>
    <rPh sb="27" eb="28">
      <t>ネ</t>
    </rPh>
    <rPh sb="34" eb="35">
      <t>オ</t>
    </rPh>
    <rPh sb="47" eb="49">
      <t>タビタビ</t>
    </rPh>
    <rPh sb="52" eb="54">
      <t>キョネン</t>
    </rPh>
    <rPh sb="57" eb="58">
      <t>ト</t>
    </rPh>
    <rPh sb="59" eb="60">
      <t>カ</t>
    </rPh>
    <rPh sb="63" eb="64">
      <t>ヨ</t>
    </rPh>
    <rPh sb="69" eb="70">
      <t>オモ</t>
    </rPh>
    <rPh sb="72" eb="74">
      <t>シャカイ</t>
    </rPh>
    <rPh sb="75" eb="77">
      <t>レキシ</t>
    </rPh>
    <rPh sb="77" eb="79">
      <t>ブンヤ</t>
    </rPh>
    <rPh sb="80" eb="83">
      <t>ケッコウス</t>
    </rPh>
    <rPh sb="86" eb="88">
      <t>キョウミ</t>
    </rPh>
    <rPh sb="96" eb="100">
      <t>チリブンヤ</t>
    </rPh>
    <rPh sb="105" eb="107">
      <t>シャカイ</t>
    </rPh>
    <rPh sb="113" eb="115">
      <t>キョウミ</t>
    </rPh>
    <rPh sb="116" eb="117">
      <t>チカラ</t>
    </rPh>
    <rPh sb="133" eb="135">
      <t>テイキ</t>
    </rPh>
    <rPh sb="140" eb="141">
      <t>テン</t>
    </rPh>
    <rPh sb="143" eb="145">
      <t>チシキ</t>
    </rPh>
    <rPh sb="146" eb="148">
      <t>リカイ</t>
    </rPh>
    <rPh sb="152" eb="153">
      <t>テン</t>
    </rPh>
    <rPh sb="153" eb="154">
      <t>チュウ</t>
    </rPh>
    <rPh sb="157" eb="158">
      <t>テン</t>
    </rPh>
    <rPh sb="167" eb="169">
      <t>シコウ</t>
    </rPh>
    <rPh sb="170" eb="172">
      <t>ハンダン</t>
    </rPh>
    <rPh sb="173" eb="175">
      <t>ヒョウゲン</t>
    </rPh>
    <rPh sb="179" eb="180">
      <t>テン</t>
    </rPh>
    <rPh sb="183" eb="184">
      <t>テン</t>
    </rPh>
    <rPh sb="196" eb="198">
      <t>ヒョウカ</t>
    </rPh>
    <phoneticPr fontId="1"/>
  </si>
  <si>
    <t>努力の賜物。しかし、昨年も伝えたが、（努力だけだと苦しいし、限界が見えてくるので、）色々なことに対し、視野を広げ、社会や環境から知識を吸収させたい。</t>
    <rPh sb="0" eb="2">
      <t>ドリョク</t>
    </rPh>
    <rPh sb="3" eb="5">
      <t>タマモノ</t>
    </rPh>
    <rPh sb="10" eb="12">
      <t>サクネン</t>
    </rPh>
    <rPh sb="13" eb="14">
      <t>ツタ</t>
    </rPh>
    <rPh sb="19" eb="21">
      <t>ドリョク</t>
    </rPh>
    <rPh sb="25" eb="26">
      <t>クル</t>
    </rPh>
    <rPh sb="30" eb="32">
      <t>ゲンカイ</t>
    </rPh>
    <rPh sb="33" eb="34">
      <t>ミ</t>
    </rPh>
    <rPh sb="42" eb="44">
      <t>イロイロ</t>
    </rPh>
    <rPh sb="48" eb="49">
      <t>タイ</t>
    </rPh>
    <rPh sb="51" eb="53">
      <t>シヤ</t>
    </rPh>
    <rPh sb="54" eb="55">
      <t>ヒロ</t>
    </rPh>
    <rPh sb="57" eb="59">
      <t>シャカイ</t>
    </rPh>
    <rPh sb="60" eb="62">
      <t>カンキョウ</t>
    </rPh>
    <rPh sb="64" eb="66">
      <t>チシキ</t>
    </rPh>
    <rPh sb="67" eb="69">
      <t>キュウシュウ</t>
    </rPh>
    <phoneticPr fontId="1"/>
  </si>
  <si>
    <t>ポテンシャルとして、一番いろいろ知っている。しっかりと、知識として定着させたい。（例えば、漢字表記など。）</t>
    <rPh sb="10" eb="12">
      <t>イチバン</t>
    </rPh>
    <rPh sb="16" eb="17">
      <t>シ</t>
    </rPh>
    <rPh sb="28" eb="30">
      <t>チシキ</t>
    </rPh>
    <rPh sb="33" eb="35">
      <t>テイチャク</t>
    </rPh>
    <rPh sb="41" eb="42">
      <t>タト</t>
    </rPh>
    <rPh sb="45" eb="49">
      <t>カンジヒョウキ</t>
    </rPh>
    <phoneticPr fontId="1"/>
  </si>
  <si>
    <t>定期テスト５点。「知識・理解」２９０点中１５点（５，２％）、「思考・判断・表現」２９０点中２４点（８．３％）のため、C評価とした。提出率８５．０％なので、関心・意欲・態度はA評価としたが、おそらく何をやっているのか全く分かっていないと思う。ですから、正直あまり意欲は感じられない。まずは、提出率をふくめ、ノートや、すべきことを真面目にコツコツとやれるように、上手く背中を押したい。</t>
    <rPh sb="0" eb="2">
      <t>テイキ</t>
    </rPh>
    <rPh sb="6" eb="7">
      <t>テン</t>
    </rPh>
    <rPh sb="9" eb="11">
      <t>チシキ</t>
    </rPh>
    <rPh sb="12" eb="14">
      <t>リカイ</t>
    </rPh>
    <rPh sb="18" eb="19">
      <t>テン</t>
    </rPh>
    <rPh sb="19" eb="20">
      <t>チュウ</t>
    </rPh>
    <rPh sb="22" eb="23">
      <t>テン</t>
    </rPh>
    <rPh sb="31" eb="33">
      <t>シコウ</t>
    </rPh>
    <rPh sb="34" eb="36">
      <t>ハンダン</t>
    </rPh>
    <rPh sb="37" eb="39">
      <t>ヒョウゲン</t>
    </rPh>
    <rPh sb="43" eb="44">
      <t>テン</t>
    </rPh>
    <rPh sb="44" eb="45">
      <t>チュウ</t>
    </rPh>
    <rPh sb="47" eb="48">
      <t>テン</t>
    </rPh>
    <rPh sb="59" eb="61">
      <t>ヒョウカ</t>
    </rPh>
    <rPh sb="65" eb="67">
      <t>テイシュツ</t>
    </rPh>
    <rPh sb="67" eb="68">
      <t>リツ</t>
    </rPh>
    <rPh sb="77" eb="79">
      <t>カンシン</t>
    </rPh>
    <rPh sb="80" eb="82">
      <t>イヨク</t>
    </rPh>
    <rPh sb="83" eb="85">
      <t>タイド</t>
    </rPh>
    <phoneticPr fontId="1"/>
  </si>
  <si>
    <t>知識・技能(定期テスト・ワークテスト）</t>
  </si>
  <si>
    <t>思考力・表現力・判断力（音読・リスニング・英作文）</t>
    <rPh sb="12" eb="14">
      <t>オンドク</t>
    </rPh>
    <phoneticPr fontId="1"/>
  </si>
  <si>
    <t>主体的に学習に取り組む態度（授業態度・宿題提出率・ミニテスト）</t>
  </si>
  <si>
    <t>5</t>
  </si>
  <si>
    <t>3</t>
  </si>
  <si>
    <t>宿題提出率１００％。ミニ単語テスト正答率９７％。いつも真剣に学習に取り組めています。課題への取り掛かりも早くて良いです。</t>
    <rPh sb="0" eb="2">
      <t>シュクダイ</t>
    </rPh>
    <rPh sb="2" eb="5">
      <t>テイシュツリツ</t>
    </rPh>
    <rPh sb="27" eb="29">
      <t>シンケン</t>
    </rPh>
    <rPh sb="30" eb="32">
      <t>ガクシュウ</t>
    </rPh>
    <rPh sb="33" eb="34">
      <t>ト</t>
    </rPh>
    <rPh sb="35" eb="36">
      <t>ク</t>
    </rPh>
    <rPh sb="42" eb="44">
      <t>カダイ</t>
    </rPh>
    <rPh sb="46" eb="47">
      <t>ト</t>
    </rPh>
    <rPh sb="48" eb="49">
      <t>カ</t>
    </rPh>
    <rPh sb="52" eb="53">
      <t>ハヤ</t>
    </rPh>
    <rPh sb="55" eb="56">
      <t>ヨ</t>
    </rPh>
    <phoneticPr fontId="1"/>
  </si>
  <si>
    <t>宿題提出率９３％。ミニ単語テスト正答率６３％。落ち着いて課題に取り組めています。積極性が出てくるとさらに良いです。</t>
    <rPh sb="0" eb="2">
      <t>シュクダイ</t>
    </rPh>
    <rPh sb="2" eb="5">
      <t>テイシュツリツ</t>
    </rPh>
    <rPh sb="23" eb="24">
      <t>オ</t>
    </rPh>
    <rPh sb="25" eb="26">
      <t>ツ</t>
    </rPh>
    <rPh sb="28" eb="30">
      <t>カダイ</t>
    </rPh>
    <rPh sb="31" eb="32">
      <t>ト</t>
    </rPh>
    <rPh sb="33" eb="34">
      <t>ク</t>
    </rPh>
    <rPh sb="40" eb="43">
      <t>セッキョクセイ</t>
    </rPh>
    <rPh sb="44" eb="45">
      <t>デ</t>
    </rPh>
    <rPh sb="52" eb="53">
      <t>ヨ</t>
    </rPh>
    <phoneticPr fontId="1"/>
  </si>
  <si>
    <t>宿題提出率７７％。ミニ単語テスト正答率８４％。積極的に質問することが出来ました。宿題に継続して取り組めるようになるとさらに良いです。</t>
    <rPh sb="0" eb="2">
      <t>シュクダイ</t>
    </rPh>
    <rPh sb="2" eb="5">
      <t>テイシュツリツ</t>
    </rPh>
    <rPh sb="23" eb="26">
      <t>セッキョクテキ</t>
    </rPh>
    <rPh sb="27" eb="29">
      <t>シツモン</t>
    </rPh>
    <rPh sb="34" eb="36">
      <t>デキ</t>
    </rPh>
    <rPh sb="40" eb="42">
      <t>シュクダイ</t>
    </rPh>
    <rPh sb="43" eb="45">
      <t>ケイゾク</t>
    </rPh>
    <rPh sb="47" eb="48">
      <t>ト</t>
    </rPh>
    <rPh sb="49" eb="50">
      <t>ク</t>
    </rPh>
    <rPh sb="61" eb="62">
      <t>ヨ</t>
    </rPh>
    <phoneticPr fontId="1"/>
  </si>
  <si>
    <t>宿題提出率９７％。ミニ単語テスト正答率８６％。単語や文の書き取りなど真剣に取り組むことが出来ました。</t>
    <rPh sb="0" eb="2">
      <t>シュクダイ</t>
    </rPh>
    <rPh sb="2" eb="5">
      <t>テイシュツリツ</t>
    </rPh>
    <rPh sb="23" eb="25">
      <t>タンゴ</t>
    </rPh>
    <rPh sb="26" eb="27">
      <t>ブン</t>
    </rPh>
    <rPh sb="28" eb="29">
      <t>カ</t>
    </rPh>
    <rPh sb="30" eb="31">
      <t>ト</t>
    </rPh>
    <rPh sb="34" eb="36">
      <t>シンケン</t>
    </rPh>
    <rPh sb="37" eb="38">
      <t>ト</t>
    </rPh>
    <rPh sb="39" eb="40">
      <t>ク</t>
    </rPh>
    <rPh sb="44" eb="46">
      <t>デキ</t>
    </rPh>
    <phoneticPr fontId="1"/>
  </si>
  <si>
    <t>宿題提出率９０％。ミニ単語テスト正答率９７％。単語テストへ向けて書き取りの練習を真剣に行えました。</t>
    <rPh sb="0" eb="2">
      <t>シュクダイ</t>
    </rPh>
    <rPh sb="2" eb="5">
      <t>テイシュツリツ</t>
    </rPh>
    <rPh sb="23" eb="25">
      <t>タンゴ</t>
    </rPh>
    <rPh sb="29" eb="30">
      <t>ム</t>
    </rPh>
    <rPh sb="32" eb="33">
      <t>カ</t>
    </rPh>
    <rPh sb="34" eb="35">
      <t>ト</t>
    </rPh>
    <rPh sb="37" eb="39">
      <t>レンシュウ</t>
    </rPh>
    <rPh sb="40" eb="42">
      <t>シンケン</t>
    </rPh>
    <rPh sb="43" eb="44">
      <t>オコナ</t>
    </rPh>
    <phoneticPr fontId="1"/>
  </si>
  <si>
    <t>宿題提出率１００％。ミニ単語テスト正答率９８％。大変よく理解しながら学習に取り組めています。宿題も着実に行えました。</t>
    <rPh sb="0" eb="2">
      <t>シュクダイ</t>
    </rPh>
    <rPh sb="2" eb="5">
      <t>テイシュツリツ</t>
    </rPh>
    <rPh sb="24" eb="26">
      <t>タイヘン</t>
    </rPh>
    <rPh sb="28" eb="30">
      <t>リカイ</t>
    </rPh>
    <rPh sb="34" eb="36">
      <t>ガクシュウ</t>
    </rPh>
    <rPh sb="37" eb="38">
      <t>ト</t>
    </rPh>
    <rPh sb="39" eb="40">
      <t>ク</t>
    </rPh>
    <rPh sb="46" eb="48">
      <t>シュクダイ</t>
    </rPh>
    <rPh sb="49" eb="51">
      <t>チャクジツ</t>
    </rPh>
    <rPh sb="52" eb="53">
      <t>オコナ</t>
    </rPh>
    <phoneticPr fontId="1"/>
  </si>
  <si>
    <t>宿題提出率８０％。ミニ単語テスト正答率７３％。対話活動やグループ活動など活発に行うことが出来ました。</t>
    <rPh sb="0" eb="2">
      <t>シュクダイ</t>
    </rPh>
    <rPh sb="2" eb="5">
      <t>テイシュツリツ</t>
    </rPh>
    <rPh sb="23" eb="25">
      <t>タイワ</t>
    </rPh>
    <rPh sb="25" eb="27">
      <t>カツドウ</t>
    </rPh>
    <rPh sb="32" eb="34">
      <t>カツドウ</t>
    </rPh>
    <rPh sb="36" eb="38">
      <t>カッパツ</t>
    </rPh>
    <rPh sb="39" eb="40">
      <t>オコナ</t>
    </rPh>
    <rPh sb="44" eb="46">
      <t>デキ</t>
    </rPh>
    <phoneticPr fontId="1"/>
  </si>
  <si>
    <t>宿題提出率８７％。ミニ単語テスト正答率９７％。単語テストへ向けて努力をすることが出来ました。２学期も気持ちを切らさず取り組んで欲しいです。</t>
    <rPh sb="0" eb="2">
      <t>シュクダイ</t>
    </rPh>
    <rPh sb="2" eb="5">
      <t>テイシュツリツ</t>
    </rPh>
    <rPh sb="23" eb="25">
      <t>タンゴ</t>
    </rPh>
    <rPh sb="29" eb="30">
      <t>ム</t>
    </rPh>
    <rPh sb="32" eb="34">
      <t>ドリョク</t>
    </rPh>
    <rPh sb="40" eb="42">
      <t>デキ</t>
    </rPh>
    <rPh sb="47" eb="49">
      <t>ガッキ</t>
    </rPh>
    <rPh sb="50" eb="52">
      <t>キモ</t>
    </rPh>
    <rPh sb="54" eb="55">
      <t>キ</t>
    </rPh>
    <rPh sb="58" eb="59">
      <t>ト</t>
    </rPh>
    <rPh sb="60" eb="61">
      <t>ク</t>
    </rPh>
    <rPh sb="63" eb="64">
      <t>ホ</t>
    </rPh>
    <phoneticPr fontId="1"/>
  </si>
  <si>
    <t>宿題提出率９３％。ミニ単語テスト正答率８１％。真剣に話を聞く姿が印象的です。２学期も気持ちを切らさず取り組んで欲しいです。</t>
    <rPh sb="0" eb="2">
      <t>シュクダイ</t>
    </rPh>
    <rPh sb="2" eb="5">
      <t>テイシュツリツ</t>
    </rPh>
    <rPh sb="23" eb="25">
      <t>シンケン</t>
    </rPh>
    <rPh sb="26" eb="27">
      <t>ハナシ</t>
    </rPh>
    <rPh sb="28" eb="29">
      <t>キ</t>
    </rPh>
    <rPh sb="30" eb="31">
      <t>スガタ</t>
    </rPh>
    <rPh sb="32" eb="35">
      <t>インショウテキ</t>
    </rPh>
    <phoneticPr fontId="1"/>
  </si>
  <si>
    <t>宿題提出率８７％。ミニ単語テスト正答率８９％。外国の文化など興味を示し、真剣に学ぶことが出来ました。</t>
    <rPh sb="0" eb="2">
      <t>シュクダイ</t>
    </rPh>
    <rPh sb="2" eb="5">
      <t>テイシュツリツ</t>
    </rPh>
    <rPh sb="23" eb="25">
      <t>ガイコク</t>
    </rPh>
    <rPh sb="26" eb="28">
      <t>ブンカ</t>
    </rPh>
    <rPh sb="30" eb="32">
      <t>キョウミ</t>
    </rPh>
    <rPh sb="33" eb="34">
      <t>シメ</t>
    </rPh>
    <rPh sb="36" eb="38">
      <t>シンケン</t>
    </rPh>
    <rPh sb="39" eb="40">
      <t>マナ</t>
    </rPh>
    <rPh sb="44" eb="46">
      <t>デキ</t>
    </rPh>
    <phoneticPr fontId="1"/>
  </si>
  <si>
    <t>宿題提出率４７％。ミニ単語テスト正答率６５％。落ち着いて課題に取り組めました。宿題に毎日取り組めるようになってくるとなお良いです。</t>
    <rPh sb="0" eb="2">
      <t>シュクダイ</t>
    </rPh>
    <rPh sb="2" eb="5">
      <t>テイシュツリツ</t>
    </rPh>
    <rPh sb="23" eb="24">
      <t>オ</t>
    </rPh>
    <rPh sb="25" eb="26">
      <t>ツ</t>
    </rPh>
    <rPh sb="28" eb="30">
      <t>カダイ</t>
    </rPh>
    <rPh sb="31" eb="32">
      <t>ト</t>
    </rPh>
    <rPh sb="33" eb="34">
      <t>ク</t>
    </rPh>
    <rPh sb="39" eb="41">
      <t>シュクダイ</t>
    </rPh>
    <rPh sb="42" eb="44">
      <t>マイニチ</t>
    </rPh>
    <rPh sb="44" eb="45">
      <t>ト</t>
    </rPh>
    <rPh sb="46" eb="47">
      <t>ク</t>
    </rPh>
    <rPh sb="60" eb="61">
      <t>ヨ</t>
    </rPh>
    <phoneticPr fontId="1"/>
  </si>
  <si>
    <t>宿題提出率３７％。ミニ単語テスト正答率２９％。授業中の課題に真剣に取り組む姿勢が見られないことが多かった。課題に取り組み易くなるよう机間指導などで声掛けを行ったが、改善する様子が見られなかった。対話活動などのアクティビティでは積極的に取り組む姿もある。まずは宿題も含めて課題に取り組むことが出来るよう引き続き声を掛けていきたい。</t>
    <rPh sb="23" eb="25">
      <t>ジュギョウ</t>
    </rPh>
    <rPh sb="25" eb="26">
      <t>ナカ</t>
    </rPh>
    <rPh sb="27" eb="29">
      <t>カダイ</t>
    </rPh>
    <rPh sb="30" eb="32">
      <t>シンケン</t>
    </rPh>
    <rPh sb="33" eb="34">
      <t>ト</t>
    </rPh>
    <rPh sb="35" eb="36">
      <t>ク</t>
    </rPh>
    <rPh sb="37" eb="39">
      <t>シセイ</t>
    </rPh>
    <rPh sb="40" eb="41">
      <t>ミ</t>
    </rPh>
    <rPh sb="48" eb="49">
      <t>オオ</t>
    </rPh>
    <rPh sb="53" eb="55">
      <t>カダイ</t>
    </rPh>
    <rPh sb="56" eb="57">
      <t>ト</t>
    </rPh>
    <rPh sb="58" eb="59">
      <t>ク</t>
    </rPh>
    <rPh sb="60" eb="61">
      <t>ヤス</t>
    </rPh>
    <rPh sb="66" eb="67">
      <t>ツクエ</t>
    </rPh>
    <rPh sb="67" eb="68">
      <t>アイダ</t>
    </rPh>
    <rPh sb="68" eb="70">
      <t>シドウ</t>
    </rPh>
    <rPh sb="73" eb="74">
      <t>コエ</t>
    </rPh>
    <rPh sb="74" eb="75">
      <t>ガ</t>
    </rPh>
    <rPh sb="77" eb="78">
      <t>オコナ</t>
    </rPh>
    <rPh sb="82" eb="84">
      <t>カイゼン</t>
    </rPh>
    <rPh sb="86" eb="88">
      <t>ヨウス</t>
    </rPh>
    <rPh sb="89" eb="90">
      <t>ミ</t>
    </rPh>
    <rPh sb="97" eb="99">
      <t>タイワ</t>
    </rPh>
    <rPh sb="99" eb="101">
      <t>カツドウ</t>
    </rPh>
    <rPh sb="113" eb="116">
      <t>セッキョクテキ</t>
    </rPh>
    <rPh sb="117" eb="118">
      <t>ト</t>
    </rPh>
    <rPh sb="119" eb="120">
      <t>ク</t>
    </rPh>
    <rPh sb="121" eb="122">
      <t>スガタ</t>
    </rPh>
    <rPh sb="129" eb="131">
      <t>シュクダイ</t>
    </rPh>
    <rPh sb="132" eb="133">
      <t>フク</t>
    </rPh>
    <rPh sb="135" eb="137">
      <t>カダイ</t>
    </rPh>
    <rPh sb="138" eb="139">
      <t>ト</t>
    </rPh>
    <rPh sb="140" eb="141">
      <t>ク</t>
    </rPh>
    <rPh sb="145" eb="147">
      <t>デキ</t>
    </rPh>
    <rPh sb="150" eb="151">
      <t>ヒ</t>
    </rPh>
    <rPh sb="152" eb="153">
      <t>ツヅ</t>
    </rPh>
    <rPh sb="154" eb="155">
      <t>コエ</t>
    </rPh>
    <rPh sb="156" eb="157">
      <t>カ</t>
    </rPh>
    <phoneticPr fontId="1"/>
  </si>
  <si>
    <t>宿題提出率１００％。ミニ単語テスト正答率９７％。よく理解しながら学習に取り組めています。宿題も真面目に行えました。</t>
    <rPh sb="0" eb="2">
      <t>シュクダイ</t>
    </rPh>
    <rPh sb="2" eb="5">
      <t>テイシュツリツ</t>
    </rPh>
    <rPh sb="26" eb="28">
      <t>リカイ</t>
    </rPh>
    <rPh sb="32" eb="34">
      <t>ガクシュウ</t>
    </rPh>
    <rPh sb="35" eb="36">
      <t>ト</t>
    </rPh>
    <rPh sb="37" eb="38">
      <t>ク</t>
    </rPh>
    <rPh sb="44" eb="46">
      <t>シュクダイ</t>
    </rPh>
    <rPh sb="47" eb="50">
      <t>マジメ</t>
    </rPh>
    <rPh sb="51" eb="52">
      <t>オコナ</t>
    </rPh>
    <phoneticPr fontId="1"/>
  </si>
  <si>
    <t>宿題提出率６６％。ミニ単語テスト正答率６６％。たまに気持ちが切れてしまう姿が残念です。学んだことを丁寧に復習をしていけると良いです。</t>
    <rPh sb="0" eb="2">
      <t>シュクダイ</t>
    </rPh>
    <rPh sb="2" eb="5">
      <t>テイシュツリツ</t>
    </rPh>
    <rPh sb="26" eb="28">
      <t>キモ</t>
    </rPh>
    <rPh sb="30" eb="31">
      <t>キ</t>
    </rPh>
    <rPh sb="36" eb="37">
      <t>スガタ</t>
    </rPh>
    <rPh sb="38" eb="40">
      <t>ザンネン</t>
    </rPh>
    <rPh sb="43" eb="44">
      <t>マナ</t>
    </rPh>
    <rPh sb="49" eb="51">
      <t>テイネイ</t>
    </rPh>
    <rPh sb="52" eb="54">
      <t>フクシュウ</t>
    </rPh>
    <rPh sb="61" eb="62">
      <t>ヨ</t>
    </rPh>
    <phoneticPr fontId="1"/>
  </si>
  <si>
    <t>宿題提出率７１％。ミニ単語テスト正答率８１％。たまに気持ちが切れてしまう姿が残念です。英語の発音はとても良かったです。</t>
    <rPh sb="0" eb="2">
      <t>シュクダイ</t>
    </rPh>
    <rPh sb="2" eb="5">
      <t>テイシュツリツ</t>
    </rPh>
    <rPh sb="43" eb="45">
      <t>エイゴ</t>
    </rPh>
    <rPh sb="46" eb="48">
      <t>ハツオン</t>
    </rPh>
    <rPh sb="52" eb="53">
      <t>ヨ</t>
    </rPh>
    <phoneticPr fontId="1"/>
  </si>
  <si>
    <t>宿題提出率１００％。ミニ単語テスト正答率１００％。授業中の周囲への声掛けや課題に真剣に取り組む姿がとても良かったです。</t>
    <rPh sb="0" eb="2">
      <t>シュクダイ</t>
    </rPh>
    <rPh sb="2" eb="5">
      <t>テイシュツリツ</t>
    </rPh>
    <rPh sb="25" eb="27">
      <t>ジュギョウ</t>
    </rPh>
    <rPh sb="27" eb="28">
      <t>ナカ</t>
    </rPh>
    <rPh sb="29" eb="31">
      <t>シュウイ</t>
    </rPh>
    <rPh sb="33" eb="35">
      <t>コエガ</t>
    </rPh>
    <rPh sb="37" eb="39">
      <t>カダイ</t>
    </rPh>
    <rPh sb="40" eb="42">
      <t>シンケン</t>
    </rPh>
    <rPh sb="43" eb="44">
      <t>ト</t>
    </rPh>
    <rPh sb="45" eb="46">
      <t>ク</t>
    </rPh>
    <rPh sb="47" eb="48">
      <t>スガタ</t>
    </rPh>
    <rPh sb="52" eb="53">
      <t>ヨ</t>
    </rPh>
    <phoneticPr fontId="1"/>
  </si>
  <si>
    <t>宿題提出率９０％。ミニ単語テスト正答率１００％。着実に知識の定着が図れています。真面目に授業に取り組めています。</t>
    <rPh sb="0" eb="2">
      <t>シュクダイ</t>
    </rPh>
    <rPh sb="2" eb="5">
      <t>テイシュツリツ</t>
    </rPh>
    <rPh sb="24" eb="26">
      <t>チャクジツ</t>
    </rPh>
    <rPh sb="27" eb="29">
      <t>チシキ</t>
    </rPh>
    <rPh sb="30" eb="32">
      <t>テイチャク</t>
    </rPh>
    <rPh sb="33" eb="34">
      <t>ハカ</t>
    </rPh>
    <rPh sb="40" eb="43">
      <t>マジメ</t>
    </rPh>
    <rPh sb="44" eb="46">
      <t>ジュギョウ</t>
    </rPh>
    <rPh sb="47" eb="48">
      <t>ト</t>
    </rPh>
    <rPh sb="49" eb="50">
      <t>ク</t>
    </rPh>
    <phoneticPr fontId="1"/>
  </si>
  <si>
    <t>宿題提出率８５％。ミニ単語テスト正答率５２％。真面目に課題に取り組めています。アルファベットなど丁寧に書けるようになってくるとさらに良いです。</t>
    <rPh sb="0" eb="2">
      <t>シュクダイ</t>
    </rPh>
    <rPh sb="2" eb="5">
      <t>テイシュツリツ</t>
    </rPh>
    <rPh sb="23" eb="26">
      <t>マジメ</t>
    </rPh>
    <rPh sb="27" eb="29">
      <t>カダイ</t>
    </rPh>
    <rPh sb="30" eb="31">
      <t>ト</t>
    </rPh>
    <rPh sb="32" eb="33">
      <t>ク</t>
    </rPh>
    <rPh sb="48" eb="50">
      <t>テイネイ</t>
    </rPh>
    <rPh sb="51" eb="52">
      <t>カ</t>
    </rPh>
    <rPh sb="66" eb="67">
      <t>ヨ</t>
    </rPh>
    <phoneticPr fontId="1"/>
  </si>
  <si>
    <t>宿題提出率８３％。ミニ単語テスト正答率９６％。英語特有の発音の仕方を意識して音読をすることが出来ました。</t>
    <rPh sb="0" eb="2">
      <t>シュクダイ</t>
    </rPh>
    <rPh sb="2" eb="5">
      <t>テイシュツリツ</t>
    </rPh>
    <rPh sb="23" eb="25">
      <t>エイゴ</t>
    </rPh>
    <rPh sb="25" eb="27">
      <t>トクユウ</t>
    </rPh>
    <rPh sb="28" eb="30">
      <t>ハツオン</t>
    </rPh>
    <rPh sb="31" eb="33">
      <t>シカタ</t>
    </rPh>
    <rPh sb="34" eb="36">
      <t>イシキ</t>
    </rPh>
    <rPh sb="38" eb="40">
      <t>オンドク</t>
    </rPh>
    <rPh sb="46" eb="48">
      <t>デキ</t>
    </rPh>
    <phoneticPr fontId="1"/>
  </si>
  <si>
    <t>宿題提出率６７％。ミニ単語テスト正答率１２％。授業中課題に真剣に取り組む姿が見られるが、知識の定着を図るのに困難さが見られる。授業の中でも繰り返し書き取りを行ったり、机間指導などを行ったりしてきたが、なかなか覚えることに繋がらなかった。１つ１つ出来たことを認めつつ、達成感を感じられるように声掛けをしていきたい。</t>
    <rPh sb="0" eb="2">
      <t>シュクダイ</t>
    </rPh>
    <rPh sb="2" eb="5">
      <t>テイシュツリツ</t>
    </rPh>
    <rPh sb="23" eb="25">
      <t>ジュギョウ</t>
    </rPh>
    <rPh sb="25" eb="26">
      <t>ナカ</t>
    </rPh>
    <rPh sb="26" eb="28">
      <t>カダイ</t>
    </rPh>
    <rPh sb="29" eb="31">
      <t>シンケン</t>
    </rPh>
    <rPh sb="32" eb="33">
      <t>ト</t>
    </rPh>
    <rPh sb="34" eb="35">
      <t>ク</t>
    </rPh>
    <rPh sb="36" eb="37">
      <t>スガタ</t>
    </rPh>
    <rPh sb="38" eb="39">
      <t>ミ</t>
    </rPh>
    <rPh sb="44" eb="46">
      <t>チシキ</t>
    </rPh>
    <rPh sb="47" eb="49">
      <t>テイチャク</t>
    </rPh>
    <rPh sb="50" eb="51">
      <t>ハカ</t>
    </rPh>
    <rPh sb="54" eb="56">
      <t>コンナン</t>
    </rPh>
    <rPh sb="58" eb="59">
      <t>ミ</t>
    </rPh>
    <rPh sb="63" eb="65">
      <t>ジュギョウ</t>
    </rPh>
    <rPh sb="66" eb="67">
      <t>ナカ</t>
    </rPh>
    <rPh sb="69" eb="70">
      <t>ク</t>
    </rPh>
    <rPh sb="71" eb="72">
      <t>カエ</t>
    </rPh>
    <rPh sb="73" eb="74">
      <t>カ</t>
    </rPh>
    <rPh sb="75" eb="76">
      <t>ト</t>
    </rPh>
    <rPh sb="78" eb="79">
      <t>オコナ</t>
    </rPh>
    <rPh sb="83" eb="84">
      <t>ツクエ</t>
    </rPh>
    <rPh sb="84" eb="85">
      <t>アイダ</t>
    </rPh>
    <rPh sb="85" eb="87">
      <t>シドウ</t>
    </rPh>
    <rPh sb="90" eb="91">
      <t>オコナ</t>
    </rPh>
    <rPh sb="104" eb="105">
      <t>オボ</t>
    </rPh>
    <rPh sb="110" eb="111">
      <t>ツナ</t>
    </rPh>
    <rPh sb="122" eb="124">
      <t>デキ</t>
    </rPh>
    <rPh sb="128" eb="129">
      <t>ミト</t>
    </rPh>
    <rPh sb="133" eb="136">
      <t>タッセイカン</t>
    </rPh>
    <rPh sb="137" eb="138">
      <t>カン</t>
    </rPh>
    <rPh sb="145" eb="146">
      <t>コエ</t>
    </rPh>
    <rPh sb="146" eb="147">
      <t>カ</t>
    </rPh>
    <phoneticPr fontId="1"/>
  </si>
  <si>
    <t>宿題提出率１００％。ミニ単語テスト正答率８４％。真剣に学んでいこうとする姿がとても良かったです。コツコツと努力もしています。</t>
    <rPh sb="0" eb="2">
      <t>シュクダイ</t>
    </rPh>
    <rPh sb="2" eb="5">
      <t>テイシュツリツ</t>
    </rPh>
    <rPh sb="24" eb="26">
      <t>シンケン</t>
    </rPh>
    <rPh sb="27" eb="28">
      <t>マナ</t>
    </rPh>
    <rPh sb="36" eb="37">
      <t>スガタ</t>
    </rPh>
    <rPh sb="41" eb="42">
      <t>ヨ</t>
    </rPh>
    <rPh sb="53" eb="55">
      <t>ドリョク</t>
    </rPh>
    <phoneticPr fontId="1"/>
  </si>
  <si>
    <t>知識・技能(提出物、演奏聴取、ワークシート)</t>
    <rPh sb="0" eb="2">
      <t>チシキ</t>
    </rPh>
    <rPh sb="3" eb="5">
      <t>ギノウ</t>
    </rPh>
    <rPh sb="6" eb="9">
      <t>テイシュツブツ</t>
    </rPh>
    <rPh sb="10" eb="14">
      <t>エンソウチョウシュ</t>
    </rPh>
    <phoneticPr fontId="1"/>
  </si>
  <si>
    <t>思考力・判断力・表現力(提出物、演奏聴取、ワークシート)</t>
    <rPh sb="0" eb="3">
      <t>シコウリョク</t>
    </rPh>
    <rPh sb="4" eb="7">
      <t>ハンダンリョク</t>
    </rPh>
    <rPh sb="8" eb="11">
      <t>ヒョウゲンリョク</t>
    </rPh>
    <rPh sb="12" eb="15">
      <t>テイシュツブツ</t>
    </rPh>
    <rPh sb="16" eb="20">
      <t>エンソウチョウシュ</t>
    </rPh>
    <phoneticPr fontId="1"/>
  </si>
  <si>
    <t>主体的に学習に取り組む態度</t>
    <rPh sb="0" eb="3">
      <t>シュタイテキ</t>
    </rPh>
    <rPh sb="4" eb="6">
      <t>ガクシュウ</t>
    </rPh>
    <rPh sb="7" eb="8">
      <t>ト</t>
    </rPh>
    <rPh sb="9" eb="10">
      <t>ク</t>
    </rPh>
    <rPh sb="11" eb="13">
      <t>タイド</t>
    </rPh>
    <phoneticPr fontId="1"/>
  </si>
  <si>
    <t>知識・技能（クロッキー・見取り）</t>
  </si>
  <si>
    <t>思考・判断・表現（作品）</t>
  </si>
  <si>
    <t>主体的な態度（振り返りシート・授業態度・提出物・持ち物）</t>
  </si>
  <si>
    <t>知識・技能（実技テスト）</t>
    <rPh sb="6" eb="8">
      <t>ジツギ</t>
    </rPh>
    <phoneticPr fontId="1"/>
  </si>
  <si>
    <t>思考力・表現力・判断力（実技テスト・授業での練習）</t>
    <rPh sb="12" eb="14">
      <t>ジツギ</t>
    </rPh>
    <rPh sb="18" eb="20">
      <t>ジュギョウ</t>
    </rPh>
    <rPh sb="22" eb="24">
      <t>レンシュウ</t>
    </rPh>
    <phoneticPr fontId="1"/>
  </si>
  <si>
    <t>主体的に学習に取り組む態度（授業態度）</t>
    <rPh sb="14" eb="18">
      <t>ジュギョウタイド</t>
    </rPh>
    <phoneticPr fontId="1"/>
  </si>
  <si>
    <t>思考力・表現力・判断力（調理実習・レポート・ノート）</t>
    <rPh sb="12" eb="16">
      <t>チョウリジッシュウ</t>
    </rPh>
    <phoneticPr fontId="18"/>
  </si>
  <si>
    <t>【まとめテスト８７点A、GWレポートA、調理実習レポートA、ノートA】
調理実習では、じゃがいもの皮をむいたり、切ったり、率先して行動する姿が見られた。</t>
    <rPh sb="9" eb="10">
      <t>テン</t>
    </rPh>
    <rPh sb="20" eb="24">
      <t>チョウリジッシュウ</t>
    </rPh>
    <rPh sb="36" eb="40">
      <t>チョウリジッシュウ</t>
    </rPh>
    <rPh sb="49" eb="50">
      <t>カワ</t>
    </rPh>
    <rPh sb="56" eb="57">
      <t>キ</t>
    </rPh>
    <rPh sb="61" eb="63">
      <t>ソッセン</t>
    </rPh>
    <rPh sb="65" eb="67">
      <t>コウドウ</t>
    </rPh>
    <rPh sb="69" eb="70">
      <t>スガタ</t>
    </rPh>
    <rPh sb="71" eb="72">
      <t>ミ</t>
    </rPh>
    <phoneticPr fontId="1"/>
  </si>
  <si>
    <t>【まとめテスト７５点B、GWレポートA、調理実習レポートA、ノートB】
板書をノートに書いていないことが多い。途中で終わっているものもあった。家庭科係としての号令や、発言したりする姿もあるので残念に思う。</t>
    <rPh sb="36" eb="38">
      <t>バンショ</t>
    </rPh>
    <rPh sb="43" eb="44">
      <t>カ</t>
    </rPh>
    <rPh sb="52" eb="53">
      <t>オオ</t>
    </rPh>
    <rPh sb="55" eb="57">
      <t>トチュウ</t>
    </rPh>
    <rPh sb="58" eb="59">
      <t>オ</t>
    </rPh>
    <rPh sb="71" eb="74">
      <t>カテイカ</t>
    </rPh>
    <rPh sb="74" eb="75">
      <t>ガカリ</t>
    </rPh>
    <rPh sb="79" eb="81">
      <t>ゴウレイ</t>
    </rPh>
    <rPh sb="83" eb="85">
      <t>ハツゲン</t>
    </rPh>
    <rPh sb="90" eb="91">
      <t>スガタ</t>
    </rPh>
    <rPh sb="96" eb="98">
      <t>ザンネン</t>
    </rPh>
    <rPh sb="99" eb="100">
      <t>オモ</t>
    </rPh>
    <phoneticPr fontId="1"/>
  </si>
  <si>
    <t>【まとめテスト８６点A、GWレポートB、調理実習レポートA、ノートA】
GWレポートを期日より一週間遅れて提出した。</t>
    <rPh sb="43" eb="45">
      <t>キジツ</t>
    </rPh>
    <rPh sb="47" eb="50">
      <t>イッシュウカン</t>
    </rPh>
    <rPh sb="50" eb="51">
      <t>オク</t>
    </rPh>
    <rPh sb="53" eb="55">
      <t>テイシュツ</t>
    </rPh>
    <phoneticPr fontId="1"/>
  </si>
  <si>
    <t>【まとめテスト８６点A、GWレポートA、調理実習レポートB、ノートA、授業態度B】
とにかく私語が多い。教師がこの後に説明しようと思っていることを先に聞いてきたり、（自分が）できたできない、分かる分からないなど個人的な感情まで声に出し、授業の流れを止めることが何度もあった。やる気は感じられるが、私語はやめてほしい。また、お茶を入れる実習のレポートでは、「愛羅さんが・・・・」など、他人がやっていて嫌だったことを書き、「自分が頑張ったことを書いて」と促しても、書けなかった。次のゆでる実習では、友だちと協力して行う姿が見られた。</t>
    <rPh sb="35" eb="39">
      <t>ジュギョウタイド</t>
    </rPh>
    <rPh sb="46" eb="48">
      <t>シゴ</t>
    </rPh>
    <rPh sb="49" eb="50">
      <t>オオ</t>
    </rPh>
    <rPh sb="52" eb="54">
      <t>キョウシ</t>
    </rPh>
    <rPh sb="57" eb="58">
      <t>アト</t>
    </rPh>
    <rPh sb="59" eb="61">
      <t>セツメイ</t>
    </rPh>
    <rPh sb="65" eb="66">
      <t>オモ</t>
    </rPh>
    <rPh sb="73" eb="74">
      <t>サキ</t>
    </rPh>
    <rPh sb="75" eb="76">
      <t>キ</t>
    </rPh>
    <rPh sb="83" eb="85">
      <t>ジブン</t>
    </rPh>
    <rPh sb="95" eb="96">
      <t>ワ</t>
    </rPh>
    <rPh sb="98" eb="99">
      <t>ワ</t>
    </rPh>
    <rPh sb="105" eb="108">
      <t>コジンテキ</t>
    </rPh>
    <rPh sb="109" eb="111">
      <t>カンジョウ</t>
    </rPh>
    <rPh sb="113" eb="114">
      <t>コエ</t>
    </rPh>
    <rPh sb="115" eb="116">
      <t>ダ</t>
    </rPh>
    <rPh sb="118" eb="120">
      <t>ジュギョウ</t>
    </rPh>
    <rPh sb="121" eb="122">
      <t>ナガ</t>
    </rPh>
    <rPh sb="124" eb="125">
      <t>ト</t>
    </rPh>
    <rPh sb="130" eb="132">
      <t>ナンド</t>
    </rPh>
    <rPh sb="139" eb="140">
      <t>キ</t>
    </rPh>
    <rPh sb="141" eb="142">
      <t>カン</t>
    </rPh>
    <rPh sb="148" eb="150">
      <t>シゴ</t>
    </rPh>
    <rPh sb="162" eb="163">
      <t>チャ</t>
    </rPh>
    <rPh sb="164" eb="165">
      <t>イ</t>
    </rPh>
    <rPh sb="167" eb="169">
      <t>ジッシュウ</t>
    </rPh>
    <rPh sb="178" eb="179">
      <t>アイ</t>
    </rPh>
    <rPh sb="179" eb="180">
      <t>ラ</t>
    </rPh>
    <rPh sb="191" eb="193">
      <t>タニン</t>
    </rPh>
    <rPh sb="199" eb="200">
      <t>イヤ</t>
    </rPh>
    <rPh sb="206" eb="207">
      <t>カ</t>
    </rPh>
    <rPh sb="210" eb="212">
      <t>ジブン</t>
    </rPh>
    <rPh sb="213" eb="215">
      <t>ガンバ</t>
    </rPh>
    <rPh sb="220" eb="221">
      <t>カ</t>
    </rPh>
    <rPh sb="225" eb="226">
      <t>ウナガ</t>
    </rPh>
    <rPh sb="230" eb="231">
      <t>カ</t>
    </rPh>
    <rPh sb="237" eb="238">
      <t>ツギ</t>
    </rPh>
    <rPh sb="242" eb="244">
      <t>ジッシュウ</t>
    </rPh>
    <rPh sb="247" eb="248">
      <t>トモ</t>
    </rPh>
    <rPh sb="251" eb="253">
      <t>キョウリョク</t>
    </rPh>
    <rPh sb="255" eb="256">
      <t>オコナ</t>
    </rPh>
    <rPh sb="257" eb="258">
      <t>スガタ</t>
    </rPh>
    <rPh sb="259" eb="260">
      <t>ミ</t>
    </rPh>
    <phoneticPr fontId="1"/>
  </si>
  <si>
    <t>【まとめテスト８５点A、GWレポートB、調理実習レポートB、ノートA】
GWレポートを、期日より一週間以上遅れて提出した。調理実習のレポートでは、「おいしい」と書いたが、どうして美味しかった？かたさはどうだった？などより詳しく書くヒントを教師から話しても、その先がなかなか書けないことがあった。</t>
    <rPh sb="44" eb="46">
      <t>キジツ</t>
    </rPh>
    <rPh sb="48" eb="51">
      <t>イッシュウカン</t>
    </rPh>
    <rPh sb="51" eb="53">
      <t>イジョウ</t>
    </rPh>
    <rPh sb="53" eb="54">
      <t>オク</t>
    </rPh>
    <rPh sb="56" eb="58">
      <t>テイシュツ</t>
    </rPh>
    <rPh sb="61" eb="65">
      <t>チョウリジッシュウ</t>
    </rPh>
    <rPh sb="80" eb="81">
      <t>カ</t>
    </rPh>
    <rPh sb="89" eb="91">
      <t>オイ</t>
    </rPh>
    <rPh sb="110" eb="111">
      <t>クワ</t>
    </rPh>
    <rPh sb="113" eb="114">
      <t>カ</t>
    </rPh>
    <rPh sb="119" eb="121">
      <t>キョウシ</t>
    </rPh>
    <rPh sb="123" eb="124">
      <t>ハナ</t>
    </rPh>
    <rPh sb="130" eb="131">
      <t>サキ</t>
    </rPh>
    <rPh sb="136" eb="137">
      <t>カ</t>
    </rPh>
    <phoneticPr fontId="1"/>
  </si>
  <si>
    <t>【まとめテスト８０点A、GWレポートA、調理実習レポートB、ノートB】
私語が多い。ノートを取らない。授業内容について考えている姿は見られるものの、ノートやレポートにまとめるのが難しい様子。こちらが、書きやすいようにプリントにまとめても、そこに書かない。調理実習のレポートでも、「大変だった」と書いていたが、何が大変だったか書こうよ、とこちらが促しても、その後を書き進めない。やる気はあるはずなので、非常にもったいない！</t>
    <rPh sb="36" eb="38">
      <t>シゴ</t>
    </rPh>
    <rPh sb="39" eb="40">
      <t>オオ</t>
    </rPh>
    <rPh sb="46" eb="47">
      <t>ト</t>
    </rPh>
    <rPh sb="51" eb="55">
      <t>ジュギョウナイヨウ</t>
    </rPh>
    <rPh sb="59" eb="60">
      <t>カンガ</t>
    </rPh>
    <rPh sb="64" eb="65">
      <t>スガタ</t>
    </rPh>
    <rPh sb="66" eb="67">
      <t>ミ</t>
    </rPh>
    <rPh sb="89" eb="90">
      <t>ムズカ</t>
    </rPh>
    <rPh sb="92" eb="94">
      <t>ヨウス</t>
    </rPh>
    <rPh sb="100" eb="101">
      <t>カ</t>
    </rPh>
    <rPh sb="122" eb="123">
      <t>カ</t>
    </rPh>
    <rPh sb="127" eb="129">
      <t>チョウリ</t>
    </rPh>
    <rPh sb="129" eb="131">
      <t>ジッシュウ</t>
    </rPh>
    <rPh sb="140" eb="142">
      <t>タイヘン</t>
    </rPh>
    <rPh sb="147" eb="148">
      <t>カ</t>
    </rPh>
    <rPh sb="154" eb="155">
      <t>ナニ</t>
    </rPh>
    <rPh sb="156" eb="158">
      <t>タイヘン</t>
    </rPh>
    <rPh sb="162" eb="163">
      <t>カ</t>
    </rPh>
    <rPh sb="172" eb="173">
      <t>ウナガ</t>
    </rPh>
    <rPh sb="179" eb="180">
      <t>アト</t>
    </rPh>
    <rPh sb="181" eb="182">
      <t>カ</t>
    </rPh>
    <rPh sb="183" eb="184">
      <t>スス</t>
    </rPh>
    <rPh sb="190" eb="191">
      <t>キ</t>
    </rPh>
    <rPh sb="200" eb="202">
      <t>ヒジョウ</t>
    </rPh>
    <phoneticPr fontId="1"/>
  </si>
  <si>
    <t>【まとめテスト８８点A、GWレポートA、調理実習レポートA、ノートB】
板書をノートに書いていないことが多い。途中で終わりにしていたり、全く書いていなかったりする。自分から発言する姿など、他に頑張る姿が見られるので、残念に思う。</t>
    <rPh sb="36" eb="38">
      <t>バンショ</t>
    </rPh>
    <rPh sb="43" eb="44">
      <t>カ</t>
    </rPh>
    <rPh sb="52" eb="53">
      <t>オオ</t>
    </rPh>
    <rPh sb="55" eb="57">
      <t>トチュウ</t>
    </rPh>
    <rPh sb="58" eb="59">
      <t>オ</t>
    </rPh>
    <rPh sb="68" eb="69">
      <t>マッタ</t>
    </rPh>
    <rPh sb="70" eb="71">
      <t>カ</t>
    </rPh>
    <rPh sb="82" eb="84">
      <t>ジブン</t>
    </rPh>
    <rPh sb="86" eb="88">
      <t>ハツゲン</t>
    </rPh>
    <rPh sb="90" eb="91">
      <t>スガタ</t>
    </rPh>
    <rPh sb="94" eb="95">
      <t>ホカ</t>
    </rPh>
    <rPh sb="96" eb="98">
      <t>ガンバ</t>
    </rPh>
    <rPh sb="99" eb="100">
      <t>スガタ</t>
    </rPh>
    <rPh sb="101" eb="102">
      <t>ミ</t>
    </rPh>
    <rPh sb="108" eb="110">
      <t>ザンネン</t>
    </rPh>
    <rPh sb="111" eb="112">
      <t>オモ</t>
    </rPh>
    <phoneticPr fontId="1"/>
  </si>
  <si>
    <t>【まとめテスト８５点A、GWレポートC、調理実習レポートA、ノートB】
忘れ物が多い。GWレポート未提出。ノートは気分によって書く日と書かない日がある様子。こちらが促しても書かないこともあった。お茶を入れる調理実習のとき、ゆで卵の観察をしたときは頑張ってレポートを書いていた。やる気はあるはずなので、非常に残念。</t>
    <rPh sb="36" eb="37">
      <t>ワス</t>
    </rPh>
    <rPh sb="38" eb="39">
      <t>モノ</t>
    </rPh>
    <rPh sb="40" eb="41">
      <t>オオ</t>
    </rPh>
    <rPh sb="49" eb="52">
      <t>ミテイシュツ</t>
    </rPh>
    <rPh sb="57" eb="59">
      <t>キブン</t>
    </rPh>
    <rPh sb="63" eb="64">
      <t>カ</t>
    </rPh>
    <rPh sb="65" eb="66">
      <t>ヒ</t>
    </rPh>
    <rPh sb="67" eb="68">
      <t>カ</t>
    </rPh>
    <rPh sb="71" eb="72">
      <t>ヒ</t>
    </rPh>
    <rPh sb="75" eb="77">
      <t>ヨウス</t>
    </rPh>
    <rPh sb="82" eb="83">
      <t>ウナガ</t>
    </rPh>
    <rPh sb="86" eb="87">
      <t>カ</t>
    </rPh>
    <rPh sb="98" eb="99">
      <t>チャ</t>
    </rPh>
    <rPh sb="100" eb="101">
      <t>イ</t>
    </rPh>
    <rPh sb="103" eb="107">
      <t>チョウリジッシュウ</t>
    </rPh>
    <rPh sb="113" eb="114">
      <t>タマゴ</t>
    </rPh>
    <rPh sb="115" eb="117">
      <t>カンサツ</t>
    </rPh>
    <rPh sb="123" eb="125">
      <t>ガンバ</t>
    </rPh>
    <rPh sb="132" eb="133">
      <t>カ</t>
    </rPh>
    <rPh sb="140" eb="141">
      <t>キ</t>
    </rPh>
    <rPh sb="150" eb="152">
      <t>ヒジョウ</t>
    </rPh>
    <rPh sb="153" eb="155">
      <t>ザンネン</t>
    </rPh>
    <phoneticPr fontId="1"/>
  </si>
  <si>
    <t>【まとめテスト９３点A、GWレポートA、調理実習レポートA、ノートA】
調理実習では、欠席の子がいて２人で行ったが、２人で分担しながら、他の班のことも気にかけながら行うことができた。</t>
    <rPh sb="36" eb="38">
      <t>チョウリ</t>
    </rPh>
    <rPh sb="38" eb="40">
      <t>ジッシュウ</t>
    </rPh>
    <rPh sb="43" eb="45">
      <t>ケッセキ</t>
    </rPh>
    <rPh sb="46" eb="47">
      <t>コ</t>
    </rPh>
    <rPh sb="51" eb="52">
      <t>ニン</t>
    </rPh>
    <rPh sb="53" eb="54">
      <t>オコナ</t>
    </rPh>
    <rPh sb="59" eb="60">
      <t>ニン</t>
    </rPh>
    <rPh sb="61" eb="63">
      <t>ブンタン</t>
    </rPh>
    <rPh sb="68" eb="69">
      <t>ホカ</t>
    </rPh>
    <rPh sb="70" eb="71">
      <t>ハン</t>
    </rPh>
    <rPh sb="75" eb="76">
      <t>キ</t>
    </rPh>
    <rPh sb="82" eb="83">
      <t>オコナ</t>
    </rPh>
    <phoneticPr fontId="1"/>
  </si>
  <si>
    <t>【まとめテスト７０点B、GWレポートB、調理実習レポートA、ノートA】
GWレポートを期日から一週間遅れて提出した。</t>
    <rPh sb="43" eb="45">
      <t>キジツ</t>
    </rPh>
    <rPh sb="47" eb="50">
      <t>イッシュウカン</t>
    </rPh>
    <rPh sb="50" eb="51">
      <t>オク</t>
    </rPh>
    <rPh sb="53" eb="55">
      <t>テイシュツ</t>
    </rPh>
    <phoneticPr fontId="1"/>
  </si>
  <si>
    <t>話の内容を自分のこととして捉えて、自分の意見をワークシートに記述することができました。特に「SNSへの書きこみのえいきょう」の単元では、悪ふざけでインターネットに書きこんでしまったことが原因で大きな問題となったと考えました。授業中に考えを深めていく中で、もしインターネット上に書きこみをするときには、「自分の書いた内容を確認して、うその情報は書かない」と考えました。</t>
    <rPh sb="0" eb="1">
      <t>ハナシ</t>
    </rPh>
    <rPh sb="2" eb="4">
      <t>ナイヨウ</t>
    </rPh>
    <rPh sb="5" eb="7">
      <t>ジブン</t>
    </rPh>
    <rPh sb="13" eb="14">
      <t>トラ</t>
    </rPh>
    <rPh sb="17" eb="22">
      <t>ジブン</t>
    </rPh>
    <rPh sb="30" eb="32">
      <t>キジュツ</t>
    </rPh>
    <rPh sb="43" eb="44">
      <t>トク</t>
    </rPh>
    <rPh sb="51" eb="52">
      <t>カ</t>
    </rPh>
    <rPh sb="63" eb="65">
      <t>タンゲン</t>
    </rPh>
    <rPh sb="68" eb="69">
      <t>ワル</t>
    </rPh>
    <rPh sb="81" eb="82">
      <t>カ</t>
    </rPh>
    <rPh sb="93" eb="95">
      <t>ゲンイン</t>
    </rPh>
    <rPh sb="96" eb="97">
      <t>オオ</t>
    </rPh>
    <rPh sb="99" eb="101">
      <t>モンダイ</t>
    </rPh>
    <rPh sb="106" eb="107">
      <t>カンガ</t>
    </rPh>
    <rPh sb="112" eb="114">
      <t>ジュギョウ</t>
    </rPh>
    <rPh sb="114" eb="115">
      <t>ナカ</t>
    </rPh>
    <rPh sb="116" eb="117">
      <t>カンガ</t>
    </rPh>
    <rPh sb="119" eb="120">
      <t>フカ</t>
    </rPh>
    <rPh sb="124" eb="125">
      <t>ナカ</t>
    </rPh>
    <rPh sb="136" eb="137">
      <t>ジョウ</t>
    </rPh>
    <rPh sb="138" eb="139">
      <t>カ</t>
    </rPh>
    <rPh sb="151" eb="153">
      <t>ジブン</t>
    </rPh>
    <rPh sb="154" eb="155">
      <t>カ</t>
    </rPh>
    <rPh sb="157" eb="159">
      <t>ナイヨウ</t>
    </rPh>
    <rPh sb="160" eb="162">
      <t>カクニン</t>
    </rPh>
    <rPh sb="168" eb="170">
      <t>ジョウホウ</t>
    </rPh>
    <rPh sb="171" eb="172">
      <t>カ</t>
    </rPh>
    <rPh sb="177" eb="178">
      <t>カンガ</t>
    </rPh>
    <phoneticPr fontId="1"/>
  </si>
  <si>
    <t>話の内容を自分のこととして捉えて、自分の意見をワークシートに記述することができました。特に「SNSへの書きこみのえいきょう」の単元では、他人を巻き込むような書きこみをしたことが原因で大きな問題となったと考えました。授業中に考えを深めていく中で、もしインターネット上に書きこみをするときには、「書きこみをするときは、よく考えてから投稿をする」と考えました。</t>
    <rPh sb="0" eb="1">
      <t>ハナシ</t>
    </rPh>
    <rPh sb="2" eb="4">
      <t>ナイヨウ</t>
    </rPh>
    <rPh sb="5" eb="7">
      <t>ジブン</t>
    </rPh>
    <rPh sb="13" eb="14">
      <t>トラ</t>
    </rPh>
    <rPh sb="17" eb="22">
      <t>ジブン</t>
    </rPh>
    <rPh sb="30" eb="32">
      <t>キジュツ</t>
    </rPh>
    <rPh sb="43" eb="44">
      <t>トク</t>
    </rPh>
    <rPh sb="51" eb="52">
      <t>カ</t>
    </rPh>
    <rPh sb="63" eb="65">
      <t>タンゲン</t>
    </rPh>
    <rPh sb="68" eb="70">
      <t>タニン</t>
    </rPh>
    <rPh sb="71" eb="72">
      <t>マ</t>
    </rPh>
    <rPh sb="73" eb="74">
      <t>コ</t>
    </rPh>
    <rPh sb="78" eb="79">
      <t>カ</t>
    </rPh>
    <rPh sb="88" eb="90">
      <t>ゲンイン</t>
    </rPh>
    <rPh sb="91" eb="92">
      <t>オオ</t>
    </rPh>
    <rPh sb="94" eb="96">
      <t>モンダイ</t>
    </rPh>
    <rPh sb="101" eb="102">
      <t>カンガ</t>
    </rPh>
    <rPh sb="107" eb="109">
      <t>ジュギョウ</t>
    </rPh>
    <rPh sb="109" eb="110">
      <t>ナカ</t>
    </rPh>
    <rPh sb="111" eb="112">
      <t>カンガ</t>
    </rPh>
    <rPh sb="114" eb="115">
      <t>フカ</t>
    </rPh>
    <rPh sb="119" eb="120">
      <t>ナカ</t>
    </rPh>
    <rPh sb="131" eb="132">
      <t>ジョウ</t>
    </rPh>
    <rPh sb="133" eb="134">
      <t>カ</t>
    </rPh>
    <rPh sb="146" eb="147">
      <t>カ</t>
    </rPh>
    <rPh sb="159" eb="160">
      <t>カンガ</t>
    </rPh>
    <rPh sb="164" eb="166">
      <t>トウコウ</t>
    </rPh>
    <rPh sb="171" eb="172">
      <t>カンガ</t>
    </rPh>
    <phoneticPr fontId="1"/>
  </si>
  <si>
    <t>話の内容を自分のこととして捉えて、自分の意見をワークシートいっぱいに記述することができました。特に「SNSへの書きこみのえいきょう」の単元では、自分の気持ちを優先して書き込みをしたことが原因で大きな問題となったと考えました。授業中に考えを深めていく中で、もしインターネット上に書きこみをするときには、「自分勝手に投稿せずに、何か困ったことがあれば周囲の人に相談をする」と考えました。</t>
    <rPh sb="0" eb="1">
      <t>ハナシ</t>
    </rPh>
    <rPh sb="2" eb="4">
      <t>ナイヨウ</t>
    </rPh>
    <rPh sb="5" eb="7">
      <t>ジブン</t>
    </rPh>
    <rPh sb="13" eb="14">
      <t>トラ</t>
    </rPh>
    <rPh sb="17" eb="22">
      <t>ジブン</t>
    </rPh>
    <rPh sb="34" eb="36">
      <t>キジュツ</t>
    </rPh>
    <rPh sb="47" eb="48">
      <t>トク</t>
    </rPh>
    <rPh sb="55" eb="56">
      <t>カ</t>
    </rPh>
    <rPh sb="67" eb="69">
      <t>タンゲン</t>
    </rPh>
    <rPh sb="72" eb="74">
      <t>ジブン</t>
    </rPh>
    <rPh sb="75" eb="77">
      <t>キモ</t>
    </rPh>
    <rPh sb="79" eb="81">
      <t>ユウセン</t>
    </rPh>
    <rPh sb="83" eb="84">
      <t>カ</t>
    </rPh>
    <rPh sb="85" eb="86">
      <t>コ</t>
    </rPh>
    <rPh sb="93" eb="95">
      <t>ゲンイン</t>
    </rPh>
    <rPh sb="96" eb="97">
      <t>オオ</t>
    </rPh>
    <rPh sb="99" eb="101">
      <t>モンダイ</t>
    </rPh>
    <rPh sb="106" eb="107">
      <t>カンガ</t>
    </rPh>
    <rPh sb="112" eb="114">
      <t>ジュギョウ</t>
    </rPh>
    <rPh sb="114" eb="115">
      <t>ナカ</t>
    </rPh>
    <rPh sb="116" eb="117">
      <t>カンガ</t>
    </rPh>
    <rPh sb="119" eb="120">
      <t>フカ</t>
    </rPh>
    <rPh sb="124" eb="125">
      <t>ナカ</t>
    </rPh>
    <rPh sb="136" eb="137">
      <t>ジョウ</t>
    </rPh>
    <rPh sb="138" eb="139">
      <t>カ</t>
    </rPh>
    <rPh sb="151" eb="155">
      <t>ジブンカッテ</t>
    </rPh>
    <rPh sb="156" eb="158">
      <t>トウコウ</t>
    </rPh>
    <rPh sb="162" eb="163">
      <t>ナニ</t>
    </rPh>
    <rPh sb="164" eb="165">
      <t>コマ</t>
    </rPh>
    <rPh sb="173" eb="175">
      <t>シュウイ</t>
    </rPh>
    <rPh sb="176" eb="177">
      <t>ヒト</t>
    </rPh>
    <rPh sb="178" eb="180">
      <t>ソウダン</t>
    </rPh>
    <rPh sb="185" eb="186">
      <t>カンガ</t>
    </rPh>
    <phoneticPr fontId="1"/>
  </si>
  <si>
    <t>話の内容を自分のこととして捉えて、自分の意見をワークシートいっぱいに記述することができました。特に「SNSへの書きこみのえいきょう」の単元では、悪ふざけでインターネットに書きこんでしまったことが原因で大きな問題となったと考えました。授業中に考えを深めていく中で、もしインターネット上に書きこみをするときには、「書き込みをしたら、どうなるのか考えてから行動をする」と考えました。</t>
    <rPh sb="0" eb="1">
      <t>ハナシ</t>
    </rPh>
    <rPh sb="2" eb="4">
      <t>ナイヨウ</t>
    </rPh>
    <rPh sb="5" eb="7">
      <t>ジブン</t>
    </rPh>
    <rPh sb="13" eb="14">
      <t>トラ</t>
    </rPh>
    <rPh sb="17" eb="22">
      <t>ジブン</t>
    </rPh>
    <rPh sb="34" eb="36">
      <t>キジュツ</t>
    </rPh>
    <rPh sb="47" eb="48">
      <t>トク</t>
    </rPh>
    <rPh sb="55" eb="56">
      <t>カ</t>
    </rPh>
    <rPh sb="67" eb="69">
      <t>タンゲン</t>
    </rPh>
    <rPh sb="72" eb="73">
      <t>ワル</t>
    </rPh>
    <rPh sb="85" eb="86">
      <t>カ</t>
    </rPh>
    <rPh sb="97" eb="99">
      <t>ゲンイン</t>
    </rPh>
    <rPh sb="100" eb="101">
      <t>オオ</t>
    </rPh>
    <rPh sb="103" eb="105">
      <t>モンダイ</t>
    </rPh>
    <rPh sb="110" eb="111">
      <t>カンガ</t>
    </rPh>
    <rPh sb="116" eb="118">
      <t>ジュギョウ</t>
    </rPh>
    <rPh sb="118" eb="119">
      <t>ナカ</t>
    </rPh>
    <rPh sb="120" eb="121">
      <t>カンガ</t>
    </rPh>
    <rPh sb="123" eb="124">
      <t>フカ</t>
    </rPh>
    <rPh sb="128" eb="129">
      <t>ナカ</t>
    </rPh>
    <rPh sb="140" eb="141">
      <t>ジョウ</t>
    </rPh>
    <rPh sb="142" eb="143">
      <t>カ</t>
    </rPh>
    <rPh sb="155" eb="156">
      <t>カ</t>
    </rPh>
    <rPh sb="157" eb="158">
      <t>コ</t>
    </rPh>
    <rPh sb="170" eb="171">
      <t>カンガ</t>
    </rPh>
    <rPh sb="175" eb="177">
      <t>コウドウ</t>
    </rPh>
    <rPh sb="182" eb="183">
      <t>カンガ</t>
    </rPh>
    <phoneticPr fontId="1"/>
  </si>
  <si>
    <t>話の内容を自分のこととして捉えて、自分の意見をワークシートに記述することができました。特に「SNSへの書きこみのえいきょう」の単元では、SNSにうその情報を書きこんだことが原因で大きな問題となったと考えました。授業中に考えを深めていく中で、もしインターネット上に書きこみをするときには、「相手が傷つくようなことは書かない。うそを書かない」と考えました。</t>
    <rPh sb="0" eb="1">
      <t>ハナシ</t>
    </rPh>
    <rPh sb="2" eb="4">
      <t>ナイヨウ</t>
    </rPh>
    <rPh sb="5" eb="7">
      <t>ジブン</t>
    </rPh>
    <rPh sb="13" eb="14">
      <t>トラ</t>
    </rPh>
    <rPh sb="17" eb="22">
      <t>ジブン</t>
    </rPh>
    <rPh sb="30" eb="32">
      <t>キジュツ</t>
    </rPh>
    <rPh sb="43" eb="44">
      <t>トク</t>
    </rPh>
    <rPh sb="51" eb="52">
      <t>カ</t>
    </rPh>
    <rPh sb="63" eb="65">
      <t>タンゲン</t>
    </rPh>
    <rPh sb="75" eb="77">
      <t>ジョウホウ</t>
    </rPh>
    <rPh sb="78" eb="79">
      <t>カ</t>
    </rPh>
    <rPh sb="86" eb="88">
      <t>ゲンイン</t>
    </rPh>
    <rPh sb="89" eb="90">
      <t>オオ</t>
    </rPh>
    <rPh sb="92" eb="94">
      <t>モンダイ</t>
    </rPh>
    <rPh sb="99" eb="100">
      <t>カンガ</t>
    </rPh>
    <rPh sb="105" eb="107">
      <t>ジュギョウ</t>
    </rPh>
    <rPh sb="107" eb="108">
      <t>ナカ</t>
    </rPh>
    <rPh sb="109" eb="110">
      <t>カンガ</t>
    </rPh>
    <rPh sb="112" eb="113">
      <t>フカ</t>
    </rPh>
    <rPh sb="117" eb="118">
      <t>ナカ</t>
    </rPh>
    <rPh sb="129" eb="130">
      <t>ジョウ</t>
    </rPh>
    <rPh sb="131" eb="132">
      <t>カ</t>
    </rPh>
    <rPh sb="144" eb="146">
      <t>アイテ</t>
    </rPh>
    <rPh sb="147" eb="148">
      <t>キズ</t>
    </rPh>
    <rPh sb="156" eb="157">
      <t>カ</t>
    </rPh>
    <rPh sb="164" eb="165">
      <t>カ</t>
    </rPh>
    <rPh sb="170" eb="171">
      <t>カンガ</t>
    </rPh>
    <phoneticPr fontId="1"/>
  </si>
  <si>
    <t>話の内容を自分のこととして捉えて、自分の意見をワークシートに記述することができました。特に「本当の絆」の単元では、自分から発する言葉が人を笑顔にすることもでき、逆に傷つけてしまうこともあるということについて考えました。授業の最後には、愛語にあふれる方が、学校生活がより良くなるので、自分自身の言葉や行動には気をつけていきたいと考えました。</t>
    <rPh sb="0" eb="1">
      <t>ハナシ</t>
    </rPh>
    <rPh sb="2" eb="4">
      <t>ナイヨウ</t>
    </rPh>
    <rPh sb="5" eb="7">
      <t>ジブン</t>
    </rPh>
    <rPh sb="13" eb="14">
      <t>トラ</t>
    </rPh>
    <rPh sb="43" eb="44">
      <t>トク</t>
    </rPh>
    <rPh sb="46" eb="48">
      <t>ホントウ</t>
    </rPh>
    <rPh sb="49" eb="50">
      <t>キズナ</t>
    </rPh>
    <rPh sb="52" eb="54">
      <t>タンゲン</t>
    </rPh>
    <rPh sb="57" eb="59">
      <t>ジブン</t>
    </rPh>
    <rPh sb="61" eb="62">
      <t>ハッ</t>
    </rPh>
    <rPh sb="64" eb="66">
      <t>コトバ</t>
    </rPh>
    <rPh sb="67" eb="68">
      <t>ヒト</t>
    </rPh>
    <rPh sb="69" eb="71">
      <t>エガオ</t>
    </rPh>
    <rPh sb="80" eb="81">
      <t>ギャク</t>
    </rPh>
    <rPh sb="82" eb="83">
      <t>キズ</t>
    </rPh>
    <rPh sb="103" eb="104">
      <t>カンガ</t>
    </rPh>
    <rPh sb="109" eb="111">
      <t>ジュギョウ</t>
    </rPh>
    <rPh sb="112" eb="114">
      <t>サイゴ</t>
    </rPh>
    <rPh sb="117" eb="119">
      <t>アイゴ</t>
    </rPh>
    <rPh sb="124" eb="125">
      <t>ホウ</t>
    </rPh>
    <rPh sb="127" eb="131">
      <t>ガッコウセイカツ</t>
    </rPh>
    <rPh sb="134" eb="135">
      <t>ヨ</t>
    </rPh>
    <rPh sb="141" eb="145">
      <t>ジブンジシン</t>
    </rPh>
    <rPh sb="146" eb="148">
      <t>コトバ</t>
    </rPh>
    <rPh sb="149" eb="151">
      <t>コウドウ</t>
    </rPh>
    <rPh sb="153" eb="154">
      <t>キ</t>
    </rPh>
    <rPh sb="163" eb="164">
      <t>カンガ</t>
    </rPh>
    <phoneticPr fontId="1"/>
  </si>
  <si>
    <t>友達の意見や考えを聞いていく中で、自分なりの考えを持つことができていました。特に「SNSへの書きこみのえいきょう」の単元では、うその情報を投稿したことが原因で大きな問題となったと考えました。授業中に考えを深めていく中で、もしインターネット上に書きこみをするときには、「自分勝手に書き込みをしない」と考えました。</t>
    <rPh sb="0" eb="2">
      <t>トモダチ</t>
    </rPh>
    <rPh sb="3" eb="5">
      <t>イケン</t>
    </rPh>
    <rPh sb="6" eb="7">
      <t>カンガ</t>
    </rPh>
    <rPh sb="9" eb="10">
      <t>キ</t>
    </rPh>
    <rPh sb="14" eb="15">
      <t>ナカ</t>
    </rPh>
    <rPh sb="17" eb="19">
      <t>ジブン</t>
    </rPh>
    <rPh sb="22" eb="23">
      <t>カンガ</t>
    </rPh>
    <rPh sb="25" eb="26">
      <t>モ</t>
    </rPh>
    <rPh sb="38" eb="39">
      <t>トク</t>
    </rPh>
    <rPh sb="46" eb="47">
      <t>カ</t>
    </rPh>
    <rPh sb="58" eb="60">
      <t>タンゲン</t>
    </rPh>
    <rPh sb="66" eb="68">
      <t>ジョウホウ</t>
    </rPh>
    <rPh sb="69" eb="71">
      <t>トウコウ</t>
    </rPh>
    <rPh sb="76" eb="78">
      <t>ゲンイン</t>
    </rPh>
    <rPh sb="79" eb="80">
      <t>オオ</t>
    </rPh>
    <rPh sb="82" eb="84">
      <t>モンダイ</t>
    </rPh>
    <rPh sb="89" eb="90">
      <t>カンガ</t>
    </rPh>
    <rPh sb="95" eb="97">
      <t>ジュギョウ</t>
    </rPh>
    <rPh sb="97" eb="98">
      <t>ナカ</t>
    </rPh>
    <rPh sb="99" eb="100">
      <t>カンガ</t>
    </rPh>
    <rPh sb="102" eb="103">
      <t>フカ</t>
    </rPh>
    <rPh sb="107" eb="108">
      <t>ナカ</t>
    </rPh>
    <rPh sb="119" eb="120">
      <t>ジョウ</t>
    </rPh>
    <rPh sb="121" eb="122">
      <t>カ</t>
    </rPh>
    <rPh sb="134" eb="138">
      <t>ジブンカッテ</t>
    </rPh>
    <rPh sb="139" eb="140">
      <t>カ</t>
    </rPh>
    <rPh sb="141" eb="142">
      <t>コ</t>
    </rPh>
    <rPh sb="149" eb="150">
      <t>カンガ</t>
    </rPh>
    <phoneticPr fontId="1"/>
  </si>
  <si>
    <t>話の内容を自分のこととして捉えて、自分の意見をワークシートに記述することができました。特に「本当の絆」の単元では、自分から発する言葉が人を笑顔にすることもでき、逆に傷つけてしまうこともあるということについて考えました。授業の最後には、自分が言われて嬉しい言葉を一日に１０個は使えるようになりたいと考えました。</t>
    <rPh sb="0" eb="1">
      <t>ハナシ</t>
    </rPh>
    <rPh sb="2" eb="4">
      <t>ナイヨウ</t>
    </rPh>
    <rPh sb="5" eb="7">
      <t>ジブン</t>
    </rPh>
    <rPh sb="13" eb="14">
      <t>トラ</t>
    </rPh>
    <rPh sb="43" eb="44">
      <t>トク</t>
    </rPh>
    <rPh sb="46" eb="48">
      <t>ホントウ</t>
    </rPh>
    <rPh sb="49" eb="50">
      <t>キズナ</t>
    </rPh>
    <rPh sb="52" eb="54">
      <t>タンゲン</t>
    </rPh>
    <rPh sb="57" eb="59">
      <t>ジブン</t>
    </rPh>
    <rPh sb="61" eb="62">
      <t>ハッ</t>
    </rPh>
    <rPh sb="64" eb="66">
      <t>コトバ</t>
    </rPh>
    <rPh sb="67" eb="68">
      <t>ヒト</t>
    </rPh>
    <rPh sb="69" eb="71">
      <t>エガオ</t>
    </rPh>
    <rPh sb="80" eb="81">
      <t>ギャク</t>
    </rPh>
    <rPh sb="82" eb="83">
      <t>キズ</t>
    </rPh>
    <rPh sb="103" eb="104">
      <t>カンガ</t>
    </rPh>
    <rPh sb="109" eb="111">
      <t>ジュギョウ</t>
    </rPh>
    <rPh sb="112" eb="114">
      <t>サイゴ</t>
    </rPh>
    <rPh sb="117" eb="119">
      <t>ジブン</t>
    </rPh>
    <rPh sb="120" eb="121">
      <t>イ</t>
    </rPh>
    <rPh sb="124" eb="125">
      <t>ウレ</t>
    </rPh>
    <rPh sb="127" eb="129">
      <t>コトバ</t>
    </rPh>
    <rPh sb="130" eb="132">
      <t>イチニチ</t>
    </rPh>
    <rPh sb="135" eb="136">
      <t>コ</t>
    </rPh>
    <rPh sb="137" eb="138">
      <t>ツカ</t>
    </rPh>
    <rPh sb="148" eb="149">
      <t>カンガ</t>
    </rPh>
    <phoneticPr fontId="1"/>
  </si>
  <si>
    <t>友達の意見や考えを聞いていく中で、自分なりの考えを持つことができていました。特に「SNSへの書きこみのえいきょう」の単元では、自分の思いを優先して投稿したことが原因で大きな問題となったと考えました。授業中に考えを深めていく中で、もしインターネット上に書きこみをするときには、「悪ふざけで迷惑な書き込みはしない」と考えました。</t>
    <rPh sb="0" eb="2">
      <t>トモダチ</t>
    </rPh>
    <rPh sb="3" eb="5">
      <t>イケン</t>
    </rPh>
    <rPh sb="6" eb="7">
      <t>カンガ</t>
    </rPh>
    <rPh sb="9" eb="10">
      <t>キ</t>
    </rPh>
    <rPh sb="14" eb="15">
      <t>ナカ</t>
    </rPh>
    <rPh sb="17" eb="19">
      <t>ジブン</t>
    </rPh>
    <rPh sb="22" eb="23">
      <t>カンガ</t>
    </rPh>
    <rPh sb="25" eb="26">
      <t>モ</t>
    </rPh>
    <rPh sb="38" eb="39">
      <t>トク</t>
    </rPh>
    <rPh sb="46" eb="47">
      <t>カ</t>
    </rPh>
    <rPh sb="58" eb="60">
      <t>タンゲン</t>
    </rPh>
    <rPh sb="63" eb="65">
      <t>ジブン</t>
    </rPh>
    <rPh sb="66" eb="67">
      <t>オモ</t>
    </rPh>
    <rPh sb="69" eb="71">
      <t>ユウセン</t>
    </rPh>
    <rPh sb="73" eb="75">
      <t>トウコウ</t>
    </rPh>
    <rPh sb="80" eb="82">
      <t>ゲンイン</t>
    </rPh>
    <rPh sb="83" eb="84">
      <t>オオ</t>
    </rPh>
    <rPh sb="86" eb="88">
      <t>モンダイ</t>
    </rPh>
    <rPh sb="93" eb="94">
      <t>カンガ</t>
    </rPh>
    <rPh sb="99" eb="101">
      <t>ジュギョウ</t>
    </rPh>
    <rPh sb="101" eb="102">
      <t>ナカ</t>
    </rPh>
    <rPh sb="103" eb="104">
      <t>カンガ</t>
    </rPh>
    <rPh sb="106" eb="107">
      <t>フカ</t>
    </rPh>
    <rPh sb="111" eb="112">
      <t>ナカ</t>
    </rPh>
    <rPh sb="123" eb="124">
      <t>ジョウ</t>
    </rPh>
    <rPh sb="125" eb="126">
      <t>カ</t>
    </rPh>
    <rPh sb="138" eb="139">
      <t>ワル</t>
    </rPh>
    <rPh sb="143" eb="145">
      <t>メイワク</t>
    </rPh>
    <rPh sb="146" eb="147">
      <t>カ</t>
    </rPh>
    <rPh sb="148" eb="149">
      <t>コ</t>
    </rPh>
    <rPh sb="156" eb="157">
      <t>カンガ</t>
    </rPh>
    <phoneticPr fontId="1"/>
  </si>
  <si>
    <t>友達の意見や考えを聞いていく中で、自分なりの考えを持つことができていました。特に「SNSへの書きこみのえいきょう」の単元では、悪ふざけでSNSに投稿をしたことが原因で大きな問題となったと考えました。授業中に考えを深めていく中で、もしインターネット上に書きこみをするときには、「悪ふざけで迷惑な書き込みはしない」と考えました。</t>
    <rPh sb="0" eb="2">
      <t>トモダチ</t>
    </rPh>
    <rPh sb="3" eb="5">
      <t>イケン</t>
    </rPh>
    <rPh sb="6" eb="7">
      <t>カンガ</t>
    </rPh>
    <rPh sb="9" eb="10">
      <t>キ</t>
    </rPh>
    <rPh sb="14" eb="15">
      <t>ナカ</t>
    </rPh>
    <rPh sb="17" eb="19">
      <t>ジブン</t>
    </rPh>
    <rPh sb="22" eb="23">
      <t>カンガ</t>
    </rPh>
    <rPh sb="25" eb="26">
      <t>モ</t>
    </rPh>
    <rPh sb="38" eb="39">
      <t>トク</t>
    </rPh>
    <rPh sb="46" eb="47">
      <t>カ</t>
    </rPh>
    <rPh sb="58" eb="60">
      <t>タンゲン</t>
    </rPh>
    <rPh sb="63" eb="64">
      <t>ワル</t>
    </rPh>
    <rPh sb="72" eb="74">
      <t>トウコウ</t>
    </rPh>
    <rPh sb="80" eb="82">
      <t>ゲンイン</t>
    </rPh>
    <rPh sb="83" eb="84">
      <t>オオ</t>
    </rPh>
    <rPh sb="86" eb="88">
      <t>モンダイ</t>
    </rPh>
    <rPh sb="93" eb="94">
      <t>カンガ</t>
    </rPh>
    <rPh sb="99" eb="101">
      <t>ジュギョウ</t>
    </rPh>
    <rPh sb="101" eb="102">
      <t>ナカ</t>
    </rPh>
    <rPh sb="103" eb="104">
      <t>カンガ</t>
    </rPh>
    <rPh sb="106" eb="107">
      <t>フカ</t>
    </rPh>
    <rPh sb="111" eb="112">
      <t>ナカ</t>
    </rPh>
    <rPh sb="123" eb="124">
      <t>ジョウ</t>
    </rPh>
    <rPh sb="125" eb="126">
      <t>カ</t>
    </rPh>
    <rPh sb="138" eb="139">
      <t>ワル</t>
    </rPh>
    <rPh sb="143" eb="145">
      <t>メイワク</t>
    </rPh>
    <rPh sb="146" eb="147">
      <t>カ</t>
    </rPh>
    <rPh sb="148" eb="149">
      <t>コ</t>
    </rPh>
    <rPh sb="156" eb="157">
      <t>カンガ</t>
    </rPh>
    <phoneticPr fontId="1"/>
  </si>
  <si>
    <t>話の内容を自分のこととして捉えて、自分の意見をワークシートに記述することができました。特に「本当の絆」の単元では、自分から発する言葉が人を笑顔にすることもでき、逆に傷つけてしまうこともあるということについて考えました。授業の最後には、悪口は、人を簡単に傷つけてしまうから気をつけたいと考えました。</t>
    <rPh sb="0" eb="1">
      <t>ハナシ</t>
    </rPh>
    <rPh sb="2" eb="4">
      <t>ナイヨウ</t>
    </rPh>
    <rPh sb="5" eb="7">
      <t>ジブン</t>
    </rPh>
    <rPh sb="13" eb="14">
      <t>トラ</t>
    </rPh>
    <rPh sb="43" eb="44">
      <t>トク</t>
    </rPh>
    <rPh sb="46" eb="48">
      <t>ホントウ</t>
    </rPh>
    <rPh sb="49" eb="50">
      <t>キズナ</t>
    </rPh>
    <rPh sb="52" eb="54">
      <t>タンゲン</t>
    </rPh>
    <rPh sb="57" eb="59">
      <t>ジブン</t>
    </rPh>
    <rPh sb="61" eb="62">
      <t>ハッ</t>
    </rPh>
    <rPh sb="64" eb="66">
      <t>コトバ</t>
    </rPh>
    <rPh sb="67" eb="68">
      <t>ヒト</t>
    </rPh>
    <rPh sb="69" eb="71">
      <t>エガオ</t>
    </rPh>
    <rPh sb="80" eb="81">
      <t>ギャク</t>
    </rPh>
    <rPh sb="82" eb="83">
      <t>キズ</t>
    </rPh>
    <rPh sb="103" eb="104">
      <t>カンガ</t>
    </rPh>
    <rPh sb="109" eb="111">
      <t>ジュギョウ</t>
    </rPh>
    <rPh sb="112" eb="114">
      <t>サイゴ</t>
    </rPh>
    <rPh sb="117" eb="119">
      <t>ワルグチ</t>
    </rPh>
    <rPh sb="121" eb="122">
      <t>ヒト</t>
    </rPh>
    <rPh sb="123" eb="125">
      <t>カンタン</t>
    </rPh>
    <rPh sb="126" eb="127">
      <t>キズ</t>
    </rPh>
    <rPh sb="135" eb="136">
      <t>キ</t>
    </rPh>
    <rPh sb="142" eb="143">
      <t>カンガ</t>
    </rPh>
    <phoneticPr fontId="1"/>
  </si>
  <si>
    <t>友達の意見や考えを聞いていく中で、自分なりの考えを持つことができていました。特に「SNSへの書きこみのえいきょう」の単元では、SNSにうその書き込みをしたことが原因で大きな問題となったと考えました。授業中に考えを深めていく中で、もしインターネット上に書きこみをするときには、「人が嫌がるようなことや迷惑だと思うようなことは投稿しない」と考えました。</t>
    <rPh sb="0" eb="2">
      <t>トモダチ</t>
    </rPh>
    <rPh sb="3" eb="5">
      <t>イケン</t>
    </rPh>
    <rPh sb="6" eb="7">
      <t>カンガ</t>
    </rPh>
    <rPh sb="9" eb="10">
      <t>キ</t>
    </rPh>
    <rPh sb="14" eb="15">
      <t>ナカ</t>
    </rPh>
    <rPh sb="17" eb="19">
      <t>ジブン</t>
    </rPh>
    <rPh sb="22" eb="23">
      <t>カンガ</t>
    </rPh>
    <rPh sb="25" eb="26">
      <t>モ</t>
    </rPh>
    <rPh sb="38" eb="39">
      <t>トク</t>
    </rPh>
    <rPh sb="46" eb="47">
      <t>カ</t>
    </rPh>
    <rPh sb="58" eb="60">
      <t>タンゲン</t>
    </rPh>
    <rPh sb="70" eb="71">
      <t>カ</t>
    </rPh>
    <rPh sb="72" eb="73">
      <t>コ</t>
    </rPh>
    <rPh sb="80" eb="82">
      <t>ゲンイン</t>
    </rPh>
    <rPh sb="83" eb="84">
      <t>オオ</t>
    </rPh>
    <rPh sb="86" eb="88">
      <t>モンダイ</t>
    </rPh>
    <rPh sb="93" eb="94">
      <t>カンガ</t>
    </rPh>
    <rPh sb="99" eb="101">
      <t>ジュギョウ</t>
    </rPh>
    <rPh sb="101" eb="102">
      <t>ナカ</t>
    </rPh>
    <rPh sb="103" eb="104">
      <t>カンガ</t>
    </rPh>
    <rPh sb="106" eb="107">
      <t>フカ</t>
    </rPh>
    <rPh sb="111" eb="112">
      <t>ナカ</t>
    </rPh>
    <rPh sb="123" eb="124">
      <t>ジョウ</t>
    </rPh>
    <rPh sb="125" eb="126">
      <t>カ</t>
    </rPh>
    <rPh sb="138" eb="139">
      <t>ヒト</t>
    </rPh>
    <rPh sb="140" eb="141">
      <t>イヤ</t>
    </rPh>
    <rPh sb="149" eb="151">
      <t>メイワク</t>
    </rPh>
    <rPh sb="153" eb="154">
      <t>オモ</t>
    </rPh>
    <rPh sb="161" eb="163">
      <t>トウコウ</t>
    </rPh>
    <rPh sb="168" eb="169">
      <t>カンガ</t>
    </rPh>
    <phoneticPr fontId="1"/>
  </si>
  <si>
    <t>友達の意見や考えを聞いていく中で、自分なりの考えを持つことができていました。特に「SNSへの書きこみのえいきょう」の単元では、SNSにうその書き込みをしたことが原因で大きな問題となったと考えました。授業中に考えを深めていく中で、もしインターネット上に書きこみをするときには、「自分の感情のまま書き込みをしたり、うそを書いたりしない」と考えました。</t>
    <rPh sb="0" eb="2">
      <t>トモダチ</t>
    </rPh>
    <rPh sb="3" eb="5">
      <t>イケン</t>
    </rPh>
    <rPh sb="6" eb="7">
      <t>カンガ</t>
    </rPh>
    <rPh sb="9" eb="10">
      <t>キ</t>
    </rPh>
    <rPh sb="14" eb="15">
      <t>ナカ</t>
    </rPh>
    <rPh sb="17" eb="19">
      <t>ジブン</t>
    </rPh>
    <rPh sb="22" eb="23">
      <t>カンガ</t>
    </rPh>
    <rPh sb="25" eb="26">
      <t>モ</t>
    </rPh>
    <rPh sb="38" eb="39">
      <t>トク</t>
    </rPh>
    <rPh sb="46" eb="47">
      <t>カ</t>
    </rPh>
    <rPh sb="58" eb="60">
      <t>タンゲン</t>
    </rPh>
    <rPh sb="70" eb="71">
      <t>カ</t>
    </rPh>
    <rPh sb="72" eb="73">
      <t>コ</t>
    </rPh>
    <rPh sb="80" eb="82">
      <t>ゲンイン</t>
    </rPh>
    <rPh sb="83" eb="84">
      <t>オオ</t>
    </rPh>
    <rPh sb="86" eb="88">
      <t>モンダイ</t>
    </rPh>
    <rPh sb="93" eb="94">
      <t>カンガ</t>
    </rPh>
    <rPh sb="99" eb="101">
      <t>ジュギョウ</t>
    </rPh>
    <rPh sb="101" eb="102">
      <t>ナカ</t>
    </rPh>
    <rPh sb="103" eb="104">
      <t>カンガ</t>
    </rPh>
    <rPh sb="106" eb="107">
      <t>フカ</t>
    </rPh>
    <rPh sb="111" eb="112">
      <t>ナカ</t>
    </rPh>
    <rPh sb="123" eb="124">
      <t>ジョウ</t>
    </rPh>
    <rPh sb="125" eb="126">
      <t>カ</t>
    </rPh>
    <rPh sb="138" eb="140">
      <t>ジブン</t>
    </rPh>
    <rPh sb="141" eb="143">
      <t>カンジョウ</t>
    </rPh>
    <rPh sb="146" eb="147">
      <t>カ</t>
    </rPh>
    <rPh sb="148" eb="149">
      <t>コ</t>
    </rPh>
    <rPh sb="158" eb="159">
      <t>カ</t>
    </rPh>
    <rPh sb="167" eb="168">
      <t>カンガ</t>
    </rPh>
    <phoneticPr fontId="1"/>
  </si>
  <si>
    <t>どの単元においても内容を読み取って自分なりの意見を持つことができました。特に「SNSへの書きこみのえいきょう」の単元では、軽い気持ちでＳＮＳにうその情報を流したことが原因で大きな問題となったと考えました。授業の最後には、「軽い気持ちや悪ふざけで、書きこみをしないようにする」と考えました。</t>
    <rPh sb="2" eb="4">
      <t>タンゲン</t>
    </rPh>
    <rPh sb="9" eb="11">
      <t>ナイヨウ</t>
    </rPh>
    <rPh sb="12" eb="13">
      <t>ヨ</t>
    </rPh>
    <rPh sb="14" eb="15">
      <t>ト</t>
    </rPh>
    <rPh sb="17" eb="19">
      <t>ジブン</t>
    </rPh>
    <rPh sb="22" eb="24">
      <t>イケン</t>
    </rPh>
    <rPh sb="25" eb="26">
      <t>モ</t>
    </rPh>
    <rPh sb="36" eb="37">
      <t>トク</t>
    </rPh>
    <rPh sb="44" eb="45">
      <t>カ</t>
    </rPh>
    <rPh sb="56" eb="58">
      <t>タンゲン</t>
    </rPh>
    <rPh sb="61" eb="62">
      <t>カル</t>
    </rPh>
    <rPh sb="63" eb="65">
      <t>キモ</t>
    </rPh>
    <rPh sb="74" eb="76">
      <t>ジョウホウ</t>
    </rPh>
    <rPh sb="77" eb="78">
      <t>ナガ</t>
    </rPh>
    <rPh sb="83" eb="85">
      <t>ゲンイン</t>
    </rPh>
    <rPh sb="86" eb="87">
      <t>オオ</t>
    </rPh>
    <rPh sb="89" eb="91">
      <t>モンダイ</t>
    </rPh>
    <rPh sb="96" eb="97">
      <t>カンガ</t>
    </rPh>
    <rPh sb="102" eb="104">
      <t>ジュギョウ</t>
    </rPh>
    <rPh sb="105" eb="107">
      <t>サイゴ</t>
    </rPh>
    <rPh sb="111" eb="112">
      <t>カル</t>
    </rPh>
    <rPh sb="113" eb="115">
      <t>キモ</t>
    </rPh>
    <rPh sb="117" eb="118">
      <t>ワル</t>
    </rPh>
    <rPh sb="123" eb="124">
      <t>カ</t>
    </rPh>
    <rPh sb="138" eb="139">
      <t>カンガ</t>
    </rPh>
    <phoneticPr fontId="1"/>
  </si>
  <si>
    <t>話の内容を自分のこととして捉えて、自分の意見をワークシートに記述することができました。特に「本当の絆」の単元では、自分から発する言葉が人を笑顔にすることもでき、逆に傷つけてしまうこともあるということについて考えました。授業の最後には、相手が喜ぶような言葉を使って、誰一人悲しむことがなく、楽しいクラスにしていきたいと考えました。</t>
    <rPh sb="0" eb="1">
      <t>ハナシ</t>
    </rPh>
    <rPh sb="2" eb="4">
      <t>ナイヨウ</t>
    </rPh>
    <rPh sb="5" eb="7">
      <t>ジブン</t>
    </rPh>
    <rPh sb="13" eb="14">
      <t>トラ</t>
    </rPh>
    <rPh sb="43" eb="44">
      <t>トク</t>
    </rPh>
    <rPh sb="46" eb="48">
      <t>ホントウ</t>
    </rPh>
    <rPh sb="49" eb="50">
      <t>キズナ</t>
    </rPh>
    <rPh sb="52" eb="54">
      <t>タンゲン</t>
    </rPh>
    <rPh sb="57" eb="59">
      <t>ジブン</t>
    </rPh>
    <rPh sb="61" eb="62">
      <t>ハッ</t>
    </rPh>
    <rPh sb="64" eb="66">
      <t>コトバ</t>
    </rPh>
    <rPh sb="67" eb="68">
      <t>ヒト</t>
    </rPh>
    <rPh sb="69" eb="71">
      <t>エガオ</t>
    </rPh>
    <rPh sb="80" eb="81">
      <t>ギャク</t>
    </rPh>
    <rPh sb="82" eb="83">
      <t>キズ</t>
    </rPh>
    <rPh sb="103" eb="104">
      <t>カンガ</t>
    </rPh>
    <rPh sb="109" eb="111">
      <t>ジュギョウ</t>
    </rPh>
    <rPh sb="112" eb="114">
      <t>サイゴ</t>
    </rPh>
    <rPh sb="117" eb="119">
      <t>アイテ</t>
    </rPh>
    <rPh sb="120" eb="121">
      <t>ヨロコ</t>
    </rPh>
    <rPh sb="125" eb="127">
      <t>コトバ</t>
    </rPh>
    <rPh sb="128" eb="129">
      <t>ツカ</t>
    </rPh>
    <rPh sb="132" eb="133">
      <t>ダレ</t>
    </rPh>
    <rPh sb="133" eb="135">
      <t>ヒトリ</t>
    </rPh>
    <rPh sb="135" eb="136">
      <t>カナ</t>
    </rPh>
    <rPh sb="144" eb="145">
      <t>タノ</t>
    </rPh>
    <rPh sb="158" eb="159">
      <t>カンガ</t>
    </rPh>
    <phoneticPr fontId="1"/>
  </si>
  <si>
    <t>話の内容を自分のこととして捉えて、自分の意見をワークシートに記述することができました。特に「本当の絆」の単元では、自分から発する言葉が人を笑顔にすることもでき、逆に傷つけてしまうこともあるということについて考えました。授業の最後には、温かい言葉をたくさん使っていけるような人になりたいと考えました。</t>
    <rPh sb="0" eb="1">
      <t>ハナシ</t>
    </rPh>
    <rPh sb="2" eb="4">
      <t>ナイヨウ</t>
    </rPh>
    <rPh sb="5" eb="7">
      <t>ジブン</t>
    </rPh>
    <rPh sb="13" eb="14">
      <t>トラ</t>
    </rPh>
    <rPh sb="43" eb="44">
      <t>トク</t>
    </rPh>
    <rPh sb="46" eb="48">
      <t>ホントウ</t>
    </rPh>
    <rPh sb="49" eb="50">
      <t>キズナ</t>
    </rPh>
    <rPh sb="52" eb="54">
      <t>タンゲン</t>
    </rPh>
    <rPh sb="57" eb="59">
      <t>ジブン</t>
    </rPh>
    <rPh sb="61" eb="62">
      <t>ハッ</t>
    </rPh>
    <rPh sb="64" eb="66">
      <t>コトバ</t>
    </rPh>
    <rPh sb="67" eb="68">
      <t>ヒト</t>
    </rPh>
    <rPh sb="69" eb="71">
      <t>エガオ</t>
    </rPh>
    <rPh sb="80" eb="81">
      <t>ギャク</t>
    </rPh>
    <rPh sb="82" eb="83">
      <t>キズ</t>
    </rPh>
    <rPh sb="103" eb="104">
      <t>カンガ</t>
    </rPh>
    <rPh sb="109" eb="111">
      <t>ジュギョウ</t>
    </rPh>
    <rPh sb="112" eb="114">
      <t>サイゴ</t>
    </rPh>
    <rPh sb="117" eb="118">
      <t>アタタ</t>
    </rPh>
    <rPh sb="120" eb="122">
      <t>コトバ</t>
    </rPh>
    <rPh sb="127" eb="128">
      <t>ツカ</t>
    </rPh>
    <rPh sb="136" eb="137">
      <t>ヒト</t>
    </rPh>
    <rPh sb="143" eb="144">
      <t>カンガ</t>
    </rPh>
    <phoneticPr fontId="1"/>
  </si>
  <si>
    <t>友達の意見や考えを聞いていく中で、自分なりの考えを持つことができていました。特に「SNSへの書きこみのえいきょう」の単元では、SNSに投稿をしたことが原因で大きな問題となったと考えました。授業中に考えを深めていく中で、もしインターネット上に書きこみをするときには、「うそや個人情報をのせたり、書いたりしないこと」と考えました。</t>
    <rPh sb="0" eb="2">
      <t>トモダチ</t>
    </rPh>
    <rPh sb="3" eb="5">
      <t>イケン</t>
    </rPh>
    <rPh sb="6" eb="7">
      <t>カンガ</t>
    </rPh>
    <rPh sb="9" eb="10">
      <t>キ</t>
    </rPh>
    <rPh sb="14" eb="15">
      <t>ナカ</t>
    </rPh>
    <rPh sb="17" eb="19">
      <t>ジブン</t>
    </rPh>
    <rPh sb="22" eb="23">
      <t>カンガ</t>
    </rPh>
    <rPh sb="25" eb="26">
      <t>モ</t>
    </rPh>
    <rPh sb="38" eb="39">
      <t>トク</t>
    </rPh>
    <rPh sb="46" eb="47">
      <t>カ</t>
    </rPh>
    <rPh sb="58" eb="60">
      <t>タンゲン</t>
    </rPh>
    <rPh sb="67" eb="69">
      <t>トウコウ</t>
    </rPh>
    <rPh sb="75" eb="77">
      <t>ゲンイン</t>
    </rPh>
    <rPh sb="78" eb="79">
      <t>オオ</t>
    </rPh>
    <rPh sb="81" eb="83">
      <t>モンダイ</t>
    </rPh>
    <rPh sb="88" eb="89">
      <t>カンガ</t>
    </rPh>
    <rPh sb="94" eb="96">
      <t>ジュギョウ</t>
    </rPh>
    <rPh sb="96" eb="97">
      <t>ナカ</t>
    </rPh>
    <rPh sb="98" eb="99">
      <t>カンガ</t>
    </rPh>
    <rPh sb="101" eb="102">
      <t>フカ</t>
    </rPh>
    <rPh sb="106" eb="107">
      <t>ナカ</t>
    </rPh>
    <rPh sb="118" eb="119">
      <t>ジョウ</t>
    </rPh>
    <rPh sb="120" eb="121">
      <t>カ</t>
    </rPh>
    <rPh sb="136" eb="140">
      <t>コジンジョウホウ</t>
    </rPh>
    <rPh sb="146" eb="147">
      <t>カ</t>
    </rPh>
    <rPh sb="157" eb="158">
      <t>カンガ</t>
    </rPh>
    <phoneticPr fontId="1"/>
  </si>
  <si>
    <t>話の内容を自分のこととして捉えて、自分の意見をワークシートに記述することができました。特に「SNSへの書きこみのえいきょう」の単元では、SNSに投稿をしたことが原因で大きな問題となったと考えました。授業中に考えを深めていく中で、もしインターネット上に書きこみをするときには、「人の悪口を書いたり、書かれていることを簡単に信じたりしない」と考えました。</t>
    <rPh sb="43" eb="44">
      <t>トク</t>
    </rPh>
    <rPh sb="51" eb="52">
      <t>カ</t>
    </rPh>
    <rPh sb="63" eb="65">
      <t>タンゲン</t>
    </rPh>
    <rPh sb="72" eb="74">
      <t>トウコウ</t>
    </rPh>
    <rPh sb="80" eb="82">
      <t>ゲンイン</t>
    </rPh>
    <rPh sb="83" eb="84">
      <t>オオ</t>
    </rPh>
    <rPh sb="86" eb="88">
      <t>モンダイ</t>
    </rPh>
    <rPh sb="93" eb="94">
      <t>カンガ</t>
    </rPh>
    <rPh sb="99" eb="101">
      <t>ジュギョウ</t>
    </rPh>
    <rPh sb="101" eb="102">
      <t>ナカ</t>
    </rPh>
    <rPh sb="103" eb="104">
      <t>カンガ</t>
    </rPh>
    <rPh sb="106" eb="107">
      <t>フカ</t>
    </rPh>
    <rPh sb="111" eb="112">
      <t>ナカ</t>
    </rPh>
    <rPh sb="123" eb="124">
      <t>ジョウ</t>
    </rPh>
    <rPh sb="125" eb="126">
      <t>カ</t>
    </rPh>
    <rPh sb="138" eb="139">
      <t>ヒト</t>
    </rPh>
    <rPh sb="140" eb="142">
      <t>ワルグチ</t>
    </rPh>
    <rPh sb="143" eb="144">
      <t>カ</t>
    </rPh>
    <rPh sb="148" eb="149">
      <t>カ</t>
    </rPh>
    <rPh sb="157" eb="159">
      <t>カンタン</t>
    </rPh>
    <rPh sb="160" eb="161">
      <t>シン</t>
    </rPh>
    <rPh sb="169" eb="170">
      <t>カンガ</t>
    </rPh>
    <phoneticPr fontId="1"/>
  </si>
  <si>
    <t>友達の意見や考えを聞いていく中で、自分なりの考えを持つことができていました。特に「本当の絆」の単元では、自分から発する言葉が人を笑顔にすることもでき、逆に傷つけてしまうこともあるということについて考えました。授業の最後には、温かい言葉は相手も自分も気持ちよくすることができるので、大切だと考えました。</t>
    <rPh sb="38" eb="39">
      <t>トク</t>
    </rPh>
    <rPh sb="41" eb="43">
      <t>ホントウ</t>
    </rPh>
    <rPh sb="44" eb="45">
      <t>キズナ</t>
    </rPh>
    <rPh sb="47" eb="49">
      <t>タンゲン</t>
    </rPh>
    <rPh sb="52" eb="54">
      <t>ジブン</t>
    </rPh>
    <rPh sb="56" eb="57">
      <t>ハッ</t>
    </rPh>
    <rPh sb="59" eb="61">
      <t>コトバ</t>
    </rPh>
    <rPh sb="62" eb="63">
      <t>ヒト</t>
    </rPh>
    <rPh sb="64" eb="66">
      <t>エガオ</t>
    </rPh>
    <rPh sb="75" eb="76">
      <t>ギャク</t>
    </rPh>
    <rPh sb="77" eb="78">
      <t>キズ</t>
    </rPh>
    <rPh sb="98" eb="99">
      <t>カンガ</t>
    </rPh>
    <rPh sb="104" eb="106">
      <t>ジュギョウ</t>
    </rPh>
    <rPh sb="107" eb="109">
      <t>サイゴ</t>
    </rPh>
    <rPh sb="112" eb="113">
      <t>アタタ</t>
    </rPh>
    <rPh sb="115" eb="117">
      <t>コトバ</t>
    </rPh>
    <rPh sb="118" eb="120">
      <t>アイテ</t>
    </rPh>
    <rPh sb="121" eb="123">
      <t>ジブン</t>
    </rPh>
    <rPh sb="124" eb="126">
      <t>キモ</t>
    </rPh>
    <rPh sb="140" eb="142">
      <t>タイセツ</t>
    </rPh>
    <rPh sb="144" eb="145">
      <t>カンガ</t>
    </rPh>
    <phoneticPr fontId="1"/>
  </si>
  <si>
    <t>話の内容を自分のこととして捉えて、自分の意見をワークシートに記述することができました。特に「本当の絆」の単元では、自分から発する言葉が人を笑顔にすることもでき、逆に傷つけてしまうこともあるということについて考えました。授業の最後には、温かい言葉が自分もみんなも気持ちよく過ごすことにつながると考えました。</t>
    <rPh sb="0" eb="1">
      <t>ハナシ</t>
    </rPh>
    <rPh sb="2" eb="4">
      <t>ナイヨウ</t>
    </rPh>
    <rPh sb="5" eb="7">
      <t>ジブン</t>
    </rPh>
    <rPh sb="13" eb="14">
      <t>トラ</t>
    </rPh>
    <rPh sb="43" eb="44">
      <t>トク</t>
    </rPh>
    <rPh sb="46" eb="48">
      <t>ホントウ</t>
    </rPh>
    <rPh sb="49" eb="50">
      <t>キズナ</t>
    </rPh>
    <rPh sb="52" eb="54">
      <t>タンゲン</t>
    </rPh>
    <rPh sb="57" eb="59">
      <t>ジブン</t>
    </rPh>
    <rPh sb="61" eb="62">
      <t>ハッ</t>
    </rPh>
    <rPh sb="64" eb="66">
      <t>コトバ</t>
    </rPh>
    <rPh sb="67" eb="68">
      <t>ヒト</t>
    </rPh>
    <rPh sb="69" eb="71">
      <t>エガオ</t>
    </rPh>
    <rPh sb="80" eb="81">
      <t>ギャク</t>
    </rPh>
    <rPh sb="82" eb="83">
      <t>キズ</t>
    </rPh>
    <rPh sb="103" eb="104">
      <t>カンガ</t>
    </rPh>
    <rPh sb="109" eb="111">
      <t>ジュギョウ</t>
    </rPh>
    <rPh sb="112" eb="114">
      <t>サイゴ</t>
    </rPh>
    <rPh sb="117" eb="118">
      <t>アタタ</t>
    </rPh>
    <rPh sb="120" eb="122">
      <t>コトバ</t>
    </rPh>
    <rPh sb="123" eb="125">
      <t>ジブン</t>
    </rPh>
    <rPh sb="130" eb="132">
      <t>キモ</t>
    </rPh>
    <rPh sb="135" eb="136">
      <t>ス</t>
    </rPh>
    <rPh sb="146" eb="147">
      <t>カンガ</t>
    </rPh>
    <phoneticPr fontId="1"/>
  </si>
  <si>
    <t>体育委員会、卓球部、書記、体育祭実行委員</t>
    <rPh sb="0" eb="5">
      <t>タイイクイインカイ</t>
    </rPh>
    <rPh sb="6" eb="9">
      <t>タッキュウブ</t>
    </rPh>
    <rPh sb="10" eb="12">
      <t>ショキ</t>
    </rPh>
    <rPh sb="13" eb="15">
      <t>タイイク</t>
    </rPh>
    <rPh sb="15" eb="16">
      <t>サイ</t>
    </rPh>
    <rPh sb="16" eb="20">
      <t>ジッコウイイン</t>
    </rPh>
    <phoneticPr fontId="1"/>
  </si>
  <si>
    <t>報道委員会、卓球部、配布係</t>
    <rPh sb="0" eb="2">
      <t>ホウドウ</t>
    </rPh>
    <rPh sb="2" eb="5">
      <t>イインカイ</t>
    </rPh>
    <rPh sb="6" eb="9">
      <t>タッキュウブ</t>
    </rPh>
    <rPh sb="10" eb="12">
      <t>ハイフ</t>
    </rPh>
    <rPh sb="12" eb="13">
      <t>ガカリ</t>
    </rPh>
    <phoneticPr fontId="1"/>
  </si>
  <si>
    <t>図書委員会、卓球部、保健体育係</t>
    <rPh sb="0" eb="2">
      <t>トショ</t>
    </rPh>
    <rPh sb="2" eb="5">
      <t>イインカイ</t>
    </rPh>
    <rPh sb="6" eb="9">
      <t>タッキュウブ</t>
    </rPh>
    <rPh sb="10" eb="14">
      <t>ホケンタイイク</t>
    </rPh>
    <rPh sb="14" eb="15">
      <t>ガカリ</t>
    </rPh>
    <phoneticPr fontId="1"/>
  </si>
  <si>
    <t>環境委員会、黒板係、社会係</t>
    <rPh sb="0" eb="2">
      <t>カンキョウ</t>
    </rPh>
    <rPh sb="2" eb="5">
      <t>イインカイ</t>
    </rPh>
    <rPh sb="6" eb="8">
      <t>コクバン</t>
    </rPh>
    <rPh sb="8" eb="9">
      <t>ガカリ</t>
    </rPh>
    <rPh sb="10" eb="12">
      <t>シャカイ</t>
    </rPh>
    <rPh sb="12" eb="13">
      <t>ガカリ</t>
    </rPh>
    <phoneticPr fontId="1"/>
  </si>
  <si>
    <t>福祉委員会、バスケットボール部、名札係、生活記録係、体育祭実行委員</t>
    <rPh sb="0" eb="2">
      <t>フクシ</t>
    </rPh>
    <rPh sb="2" eb="5">
      <t>イインカイ</t>
    </rPh>
    <rPh sb="14" eb="15">
      <t>ブ</t>
    </rPh>
    <rPh sb="16" eb="18">
      <t>ナフダ</t>
    </rPh>
    <rPh sb="18" eb="19">
      <t>ガカリ</t>
    </rPh>
    <rPh sb="20" eb="24">
      <t>セイカツキロク</t>
    </rPh>
    <rPh sb="24" eb="25">
      <t>ガカリ</t>
    </rPh>
    <rPh sb="26" eb="29">
      <t>タイイクサイ</t>
    </rPh>
    <rPh sb="29" eb="33">
      <t>ジッコウイイン</t>
    </rPh>
    <phoneticPr fontId="1"/>
  </si>
  <si>
    <t>園芸委員会、バスケットボール部、時間割係、国語係</t>
    <rPh sb="0" eb="2">
      <t>エンゲイ</t>
    </rPh>
    <rPh sb="2" eb="5">
      <t>イインカイ</t>
    </rPh>
    <rPh sb="14" eb="15">
      <t>ブ</t>
    </rPh>
    <rPh sb="16" eb="19">
      <t>ジカンワリ</t>
    </rPh>
    <rPh sb="19" eb="20">
      <t>ガカリ</t>
    </rPh>
    <rPh sb="21" eb="23">
      <t>コクゴ</t>
    </rPh>
    <rPh sb="23" eb="24">
      <t>ガカリ</t>
    </rPh>
    <phoneticPr fontId="1"/>
  </si>
  <si>
    <t>報道委員会、バスケットボール部、時間割、家庭科係</t>
    <rPh sb="0" eb="2">
      <t>ホウドウ</t>
    </rPh>
    <rPh sb="2" eb="5">
      <t>イインカイ</t>
    </rPh>
    <rPh sb="14" eb="15">
      <t>ブ</t>
    </rPh>
    <rPh sb="16" eb="19">
      <t>ジカンワリ</t>
    </rPh>
    <rPh sb="20" eb="23">
      <t>カテイカ</t>
    </rPh>
    <rPh sb="23" eb="24">
      <t>ガカリ</t>
    </rPh>
    <phoneticPr fontId="1"/>
  </si>
  <si>
    <t>衛生委員会、目標係、算数係</t>
    <rPh sb="0" eb="2">
      <t>エイセイ</t>
    </rPh>
    <rPh sb="2" eb="5">
      <t>イインカイ</t>
    </rPh>
    <rPh sb="6" eb="8">
      <t>モクヒョウ</t>
    </rPh>
    <rPh sb="8" eb="9">
      <t>ガカリ</t>
    </rPh>
    <rPh sb="10" eb="13">
      <t>サンスウガカリ</t>
    </rPh>
    <phoneticPr fontId="1"/>
  </si>
  <si>
    <t>SDGｓ委員会、バスケットボール部、副学級長</t>
    <rPh sb="4" eb="7">
      <t>イインカイ</t>
    </rPh>
    <rPh sb="16" eb="17">
      <t>ブ</t>
    </rPh>
    <rPh sb="18" eb="22">
      <t>フクガッキュウチョウ</t>
    </rPh>
    <phoneticPr fontId="1"/>
  </si>
  <si>
    <t>環境委員会、配布係、英語係</t>
    <rPh sb="0" eb="2">
      <t>カンキョウ</t>
    </rPh>
    <rPh sb="2" eb="5">
      <t>イインカイ</t>
    </rPh>
    <rPh sb="6" eb="9">
      <t>ハイフガカリ</t>
    </rPh>
    <rPh sb="10" eb="13">
      <t>エイゴガカリ</t>
    </rPh>
    <phoneticPr fontId="1"/>
  </si>
  <si>
    <t>倫理委員会、保健体育係</t>
    <rPh sb="0" eb="2">
      <t>リンリ</t>
    </rPh>
    <rPh sb="2" eb="5">
      <t>イインカイ</t>
    </rPh>
    <rPh sb="6" eb="10">
      <t>ホケンタイイク</t>
    </rPh>
    <rPh sb="10" eb="11">
      <t>ガカリ</t>
    </rPh>
    <phoneticPr fontId="1"/>
  </si>
  <si>
    <t>福祉委員会、目標係、生活記録係</t>
    <rPh sb="0" eb="2">
      <t>フクシ</t>
    </rPh>
    <rPh sb="2" eb="5">
      <t>イインカイ</t>
    </rPh>
    <rPh sb="6" eb="9">
      <t>モクヒョウガカリ</t>
    </rPh>
    <rPh sb="10" eb="14">
      <t>セイカツキロク</t>
    </rPh>
    <rPh sb="14" eb="15">
      <t>ガカリ</t>
    </rPh>
    <phoneticPr fontId="1"/>
  </si>
  <si>
    <t>代表委員会、環境係、国語係、体育祭実行委員</t>
    <rPh sb="0" eb="5">
      <t>ダイヒョウイインカイ</t>
    </rPh>
    <rPh sb="6" eb="9">
      <t>カンキョウガカリ</t>
    </rPh>
    <rPh sb="10" eb="13">
      <t>コクゴガカリ</t>
    </rPh>
    <rPh sb="14" eb="17">
      <t>タイイクサイ</t>
    </rPh>
    <rPh sb="17" eb="21">
      <t>ジッコウイイン</t>
    </rPh>
    <phoneticPr fontId="1"/>
  </si>
  <si>
    <t>図書委員会、バスケットボール部、消灯係</t>
    <rPh sb="0" eb="5">
      <t>トショイインカイ</t>
    </rPh>
    <rPh sb="14" eb="15">
      <t>ブ</t>
    </rPh>
    <rPh sb="16" eb="18">
      <t>ショウトウ</t>
    </rPh>
    <rPh sb="18" eb="19">
      <t>ガカリ</t>
    </rPh>
    <phoneticPr fontId="1"/>
  </si>
  <si>
    <t>体育委員会、バスケットボール部、学級長、算数係,体育祭実行委員</t>
    <rPh sb="0" eb="5">
      <t>タイイクイインカイ</t>
    </rPh>
    <rPh sb="14" eb="15">
      <t>ブ</t>
    </rPh>
    <rPh sb="16" eb="19">
      <t>ガッキュウチョウ</t>
    </rPh>
    <rPh sb="20" eb="23">
      <t>サンスウガカリ</t>
    </rPh>
    <rPh sb="24" eb="27">
      <t>タイイクサイ</t>
    </rPh>
    <rPh sb="27" eb="29">
      <t>ジッコウ</t>
    </rPh>
    <rPh sb="29" eb="31">
      <t>イイン</t>
    </rPh>
    <phoneticPr fontId="1"/>
  </si>
  <si>
    <t>SDGｓ委員会、副学級長</t>
    <rPh sb="4" eb="7">
      <t>イインカイ</t>
    </rPh>
    <rPh sb="8" eb="9">
      <t>フク</t>
    </rPh>
    <rPh sb="9" eb="11">
      <t>ガッキュウ</t>
    </rPh>
    <rPh sb="11" eb="12">
      <t>チョウ</t>
    </rPh>
    <phoneticPr fontId="1"/>
  </si>
  <si>
    <t>衛生委員会、卓球部、道徳・速読・総合・プログラミング係</t>
    <rPh sb="0" eb="2">
      <t>エイセイ</t>
    </rPh>
    <rPh sb="2" eb="5">
      <t>イインカイ</t>
    </rPh>
    <rPh sb="6" eb="9">
      <t>タッキュウブ</t>
    </rPh>
    <rPh sb="10" eb="12">
      <t>ドウトク</t>
    </rPh>
    <rPh sb="13" eb="15">
      <t>ソクドク</t>
    </rPh>
    <rPh sb="16" eb="18">
      <t>ソウゴウ</t>
    </rPh>
    <rPh sb="26" eb="27">
      <t>ガカリ</t>
    </rPh>
    <phoneticPr fontId="1"/>
  </si>
  <si>
    <t>倫理委員会、理科係</t>
    <rPh sb="0" eb="2">
      <t>リンリ</t>
    </rPh>
    <rPh sb="2" eb="5">
      <t>イインカイ</t>
    </rPh>
    <rPh sb="6" eb="9">
      <t>リカガカリ</t>
    </rPh>
    <phoneticPr fontId="1"/>
  </si>
  <si>
    <t>倫理委員会、黒板係、図画工作係</t>
    <rPh sb="0" eb="5">
      <t>リンリイインカイ</t>
    </rPh>
    <rPh sb="6" eb="9">
      <t>コクバンガカリ</t>
    </rPh>
    <rPh sb="10" eb="14">
      <t>ズガコウサク</t>
    </rPh>
    <rPh sb="14" eb="15">
      <t>ガカリ</t>
    </rPh>
    <phoneticPr fontId="1"/>
  </si>
  <si>
    <t>代表委員会、競技かるた部、環境係、国語係</t>
    <rPh sb="0" eb="5">
      <t>ダイヒョウイインカイ</t>
    </rPh>
    <rPh sb="6" eb="8">
      <t>キョウギ</t>
    </rPh>
    <rPh sb="11" eb="12">
      <t>ブ</t>
    </rPh>
    <rPh sb="13" eb="16">
      <t>カンキョウガカリ</t>
    </rPh>
    <rPh sb="17" eb="20">
      <t>コクゴガカリ</t>
    </rPh>
    <phoneticPr fontId="1"/>
  </si>
  <si>
    <t>学習面では、どの教科でも落ち着いて授業に取り組む姿がありました。授業に集中して、大切なところや自分の意見をしっかりと記述できる姿がとても立派でした。今後は、宿題やテスト勉強に対しても自分の身になるように、計画を立てて意欲的に取り組むことができと更に良いです。体育祭では、体育祭実行委員として、自分に与えられた役割を一生懸命取り組むことができました。放課後に残って、応援練習をしたり、みんなの前で演舞を教えたりする姿にはとても感心しました。光希さんは、自分でやると決めたことに対して、どんなに大変でも最後まで諦めずに努力を続けることができます。この力は、今後生活していく中で、学習でも運動でも大切になるでしょう。また、光希さんには、友達に対して前向きな言葉を使ったり、友達に困っている様子があると、声をかけたりすることができる優しさがあります。学級でも光希さんの温かい言葉に助けられた友達もいました。今後の生活でも、周囲の人の気持ちを考える力を大切にしてください。２学期の更なる成長に期待しています。</t>
    <rPh sb="0" eb="3">
      <t>ガクシュウメン</t>
    </rPh>
    <rPh sb="8" eb="10">
      <t>キョウカ</t>
    </rPh>
    <rPh sb="12" eb="13">
      <t>オ</t>
    </rPh>
    <rPh sb="14" eb="15">
      <t>ツ</t>
    </rPh>
    <rPh sb="17" eb="19">
      <t>ジュギョウ</t>
    </rPh>
    <rPh sb="20" eb="21">
      <t>ト</t>
    </rPh>
    <rPh sb="22" eb="23">
      <t>ク</t>
    </rPh>
    <rPh sb="24" eb="25">
      <t>スガタ</t>
    </rPh>
    <rPh sb="32" eb="34">
      <t>ジュギョウ</t>
    </rPh>
    <rPh sb="35" eb="37">
      <t>シュウチュウ</t>
    </rPh>
    <rPh sb="40" eb="42">
      <t>タイセツ</t>
    </rPh>
    <rPh sb="47" eb="49">
      <t>ジブン</t>
    </rPh>
    <rPh sb="50" eb="52">
      <t>イケン</t>
    </rPh>
    <rPh sb="58" eb="60">
      <t>キジュツ</t>
    </rPh>
    <rPh sb="63" eb="64">
      <t>スガタ</t>
    </rPh>
    <rPh sb="68" eb="70">
      <t>リッパ</t>
    </rPh>
    <rPh sb="74" eb="76">
      <t>コンゴ</t>
    </rPh>
    <rPh sb="78" eb="80">
      <t>シュクダイ</t>
    </rPh>
    <rPh sb="84" eb="86">
      <t>ベンキョウ</t>
    </rPh>
    <rPh sb="87" eb="88">
      <t>タイ</t>
    </rPh>
    <rPh sb="91" eb="93">
      <t>ジブン</t>
    </rPh>
    <rPh sb="94" eb="95">
      <t>ミ</t>
    </rPh>
    <rPh sb="102" eb="104">
      <t>ケイカク</t>
    </rPh>
    <rPh sb="105" eb="106">
      <t>タ</t>
    </rPh>
    <rPh sb="108" eb="111">
      <t>イヨクテキ</t>
    </rPh>
    <rPh sb="112" eb="113">
      <t>ト</t>
    </rPh>
    <rPh sb="114" eb="115">
      <t>ク</t>
    </rPh>
    <rPh sb="122" eb="123">
      <t>サラ</t>
    </rPh>
    <rPh sb="124" eb="125">
      <t>ヨ</t>
    </rPh>
    <rPh sb="129" eb="132">
      <t>タイイクサイ</t>
    </rPh>
    <rPh sb="135" eb="138">
      <t>タイイクサイ</t>
    </rPh>
    <rPh sb="138" eb="140">
      <t>ジッコウ</t>
    </rPh>
    <rPh sb="140" eb="142">
      <t>イイン</t>
    </rPh>
    <rPh sb="146" eb="148">
      <t>ジブン</t>
    </rPh>
    <rPh sb="149" eb="150">
      <t>アタ</t>
    </rPh>
    <rPh sb="154" eb="156">
      <t>ヤクワリ</t>
    </rPh>
    <rPh sb="157" eb="159">
      <t>イッショウ</t>
    </rPh>
    <rPh sb="161" eb="162">
      <t>ト</t>
    </rPh>
    <rPh sb="163" eb="164">
      <t>ク</t>
    </rPh>
    <rPh sb="174" eb="177">
      <t>ホウカゴ</t>
    </rPh>
    <rPh sb="178" eb="179">
      <t>ノコ</t>
    </rPh>
    <rPh sb="182" eb="186">
      <t>オウエンレンシュウ</t>
    </rPh>
    <rPh sb="195" eb="196">
      <t>マエ</t>
    </rPh>
    <rPh sb="197" eb="199">
      <t>エンブ</t>
    </rPh>
    <rPh sb="200" eb="201">
      <t>オシ</t>
    </rPh>
    <rPh sb="206" eb="207">
      <t>スガタ</t>
    </rPh>
    <rPh sb="212" eb="214">
      <t>カンシン</t>
    </rPh>
    <rPh sb="295" eb="297">
      <t>タイセツ</t>
    </rPh>
    <phoneticPr fontId="1"/>
  </si>
  <si>
    <t>学習面では、どの教科にも落ち着いて授業に取り組むことができました。また、毎日の宿題にもしっかりと取り組み提出することができました。今後は、授業内で自分の考えを発言するなど、自分から意欲的に取り組む態度が身に付くと更に良いです。体育祭では、選抜リレーの５学年代表として、堂々と走り切ることができました。チームのために全力で取り組む姿はとても立派でした。また、練習からチームのことを考えて行動したり、目標を達成するために本気になって取り組むことができました。生活面では、昼休みや放課後に友達と元気に遊ぶ姿がありました。今後の生活でも自分からいろいろな人に関わりを持って生活を送ることができるといいです。篤也君は自分の役割や仕事に責任を持って最後まで取り組むことができます。また、誰に対しても優しく接することができます。この良さを大切にして、今後の学校生活を送ってください。２学期の更なる成長に期待しています。</t>
    <rPh sb="0" eb="2">
      <t>ガクシュウ</t>
    </rPh>
    <rPh sb="2" eb="3">
      <t>メン</t>
    </rPh>
    <rPh sb="8" eb="10">
      <t>キョウカ</t>
    </rPh>
    <rPh sb="12" eb="13">
      <t>オ</t>
    </rPh>
    <rPh sb="14" eb="15">
      <t>ツ</t>
    </rPh>
    <rPh sb="17" eb="19">
      <t>ジュギョウ</t>
    </rPh>
    <rPh sb="20" eb="21">
      <t>ト</t>
    </rPh>
    <rPh sb="22" eb="23">
      <t>ク</t>
    </rPh>
    <rPh sb="36" eb="38">
      <t>マイニチ</t>
    </rPh>
    <rPh sb="39" eb="41">
      <t>シュクダイ</t>
    </rPh>
    <rPh sb="48" eb="49">
      <t>ト</t>
    </rPh>
    <rPh sb="50" eb="51">
      <t>ク</t>
    </rPh>
    <rPh sb="52" eb="54">
      <t>テイシュツ</t>
    </rPh>
    <rPh sb="65" eb="67">
      <t>コンゴ</t>
    </rPh>
    <rPh sb="69" eb="72">
      <t>ジュギョウナイ</t>
    </rPh>
    <rPh sb="73" eb="75">
      <t>ジブン</t>
    </rPh>
    <rPh sb="76" eb="77">
      <t>カンガ</t>
    </rPh>
    <rPh sb="79" eb="81">
      <t>ハツゲン</t>
    </rPh>
    <rPh sb="86" eb="88">
      <t>ジブン</t>
    </rPh>
    <rPh sb="90" eb="93">
      <t>イヨクテキ</t>
    </rPh>
    <rPh sb="94" eb="95">
      <t>ト</t>
    </rPh>
    <rPh sb="96" eb="97">
      <t>ク</t>
    </rPh>
    <rPh sb="98" eb="100">
      <t>タイド</t>
    </rPh>
    <rPh sb="101" eb="102">
      <t>ミ</t>
    </rPh>
    <rPh sb="103" eb="104">
      <t>ツ</t>
    </rPh>
    <rPh sb="106" eb="107">
      <t>サラ</t>
    </rPh>
    <rPh sb="108" eb="109">
      <t>ヨ</t>
    </rPh>
    <rPh sb="113" eb="116">
      <t>タイイクサイ</t>
    </rPh>
    <rPh sb="119" eb="121">
      <t>センバツ</t>
    </rPh>
    <rPh sb="126" eb="128">
      <t>ガクネン</t>
    </rPh>
    <rPh sb="128" eb="130">
      <t>ダイヒョウ</t>
    </rPh>
    <rPh sb="134" eb="136">
      <t>ドウドウ</t>
    </rPh>
    <rPh sb="137" eb="138">
      <t>ハシ</t>
    </rPh>
    <rPh sb="139" eb="140">
      <t>キ</t>
    </rPh>
    <rPh sb="157" eb="159">
      <t>ゼンリョク</t>
    </rPh>
    <rPh sb="160" eb="161">
      <t>ト</t>
    </rPh>
    <rPh sb="162" eb="163">
      <t>ク</t>
    </rPh>
    <rPh sb="164" eb="165">
      <t>スガタ</t>
    </rPh>
    <rPh sb="169" eb="171">
      <t>リッパ</t>
    </rPh>
    <rPh sb="178" eb="180">
      <t>レンシュウ</t>
    </rPh>
    <rPh sb="189" eb="190">
      <t>カンガ</t>
    </rPh>
    <rPh sb="192" eb="194">
      <t>コウドウ</t>
    </rPh>
    <rPh sb="198" eb="200">
      <t>モクヒョウ</t>
    </rPh>
    <rPh sb="201" eb="203">
      <t>タッセイ</t>
    </rPh>
    <rPh sb="208" eb="210">
      <t>ホンキ</t>
    </rPh>
    <rPh sb="214" eb="215">
      <t>ト</t>
    </rPh>
    <rPh sb="216" eb="217">
      <t>ク</t>
    </rPh>
    <rPh sb="227" eb="230">
      <t>セイカツメン</t>
    </rPh>
    <rPh sb="233" eb="235">
      <t>ヒルヤス</t>
    </rPh>
    <rPh sb="237" eb="240">
      <t>ホウカゴ</t>
    </rPh>
    <rPh sb="241" eb="243">
      <t>トモダチ</t>
    </rPh>
    <rPh sb="244" eb="246">
      <t>ゲンキ</t>
    </rPh>
    <rPh sb="247" eb="248">
      <t>アソ</t>
    </rPh>
    <rPh sb="249" eb="250">
      <t>スガタ</t>
    </rPh>
    <rPh sb="257" eb="259">
      <t>コンゴ</t>
    </rPh>
    <rPh sb="260" eb="262">
      <t>セイカツ</t>
    </rPh>
    <rPh sb="264" eb="266">
      <t>ジブン</t>
    </rPh>
    <rPh sb="273" eb="274">
      <t>ヒト</t>
    </rPh>
    <rPh sb="275" eb="276">
      <t>カカ</t>
    </rPh>
    <rPh sb="279" eb="280">
      <t>モ</t>
    </rPh>
    <rPh sb="282" eb="284">
      <t>セイカツ</t>
    </rPh>
    <rPh sb="285" eb="286">
      <t>オク</t>
    </rPh>
    <phoneticPr fontId="1"/>
  </si>
  <si>
    <t>学習面では、授業内で理解できるようにしっかりと学習に取り組むことができました。また、昨年度に比べて宿題の提出率が上がっているようです。日々の授業と宿題にコツコツと取り組むことが学力の向上には欠かせません。この調子で学習に取り組みましょう。体育祭では、勝利という目標に向かって、最後まで全力で取り組むことができました。特に応援練習では、精一杯声を出して応援している姿があり、とても立派でした。生活面では、部活動にも一生懸命取り組み活動をすることができました。休み時間には友達と元気に遊ぶ姿が多くありました。美柚さんは、誰に対しても優しく接することができます。また、自分の役割や仕事にも責任をもって最後まで取り組むこともできます。今後の学校生活では、みんなの前に立ってまとめていくことに挑戦をして欲しいと思います。そういった機会が自分を成長させる機会と前向きに捉えて生活を送ってください。２学期の更なる成長に期待しています。</t>
    <rPh sb="0" eb="3">
      <t>ガクシュウメン</t>
    </rPh>
    <rPh sb="6" eb="8">
      <t>ジュギョウ</t>
    </rPh>
    <rPh sb="8" eb="9">
      <t>ナイ</t>
    </rPh>
    <rPh sb="10" eb="12">
      <t>リカイ</t>
    </rPh>
    <rPh sb="23" eb="25">
      <t>ガクシュウ</t>
    </rPh>
    <rPh sb="26" eb="27">
      <t>ト</t>
    </rPh>
    <rPh sb="28" eb="29">
      <t>ク</t>
    </rPh>
    <rPh sb="42" eb="45">
      <t>サクネンド</t>
    </rPh>
    <rPh sb="46" eb="47">
      <t>クラ</t>
    </rPh>
    <rPh sb="49" eb="51">
      <t>シュクダイ</t>
    </rPh>
    <rPh sb="52" eb="55">
      <t>テイシュツリツ</t>
    </rPh>
    <rPh sb="56" eb="57">
      <t>ア</t>
    </rPh>
    <rPh sb="67" eb="69">
      <t>ヒビ</t>
    </rPh>
    <rPh sb="70" eb="72">
      <t>ジュギョウ</t>
    </rPh>
    <rPh sb="73" eb="75">
      <t>シュクダイ</t>
    </rPh>
    <rPh sb="81" eb="82">
      <t>ト</t>
    </rPh>
    <rPh sb="83" eb="84">
      <t>ク</t>
    </rPh>
    <rPh sb="88" eb="90">
      <t>ガクリョク</t>
    </rPh>
    <rPh sb="91" eb="93">
      <t>コウジョウ</t>
    </rPh>
    <rPh sb="95" eb="96">
      <t>カ</t>
    </rPh>
    <rPh sb="104" eb="106">
      <t>チョウシ</t>
    </rPh>
    <rPh sb="107" eb="109">
      <t>ガクシュウ</t>
    </rPh>
    <rPh sb="110" eb="111">
      <t>ト</t>
    </rPh>
    <rPh sb="112" eb="113">
      <t>ク</t>
    </rPh>
    <rPh sb="119" eb="122">
      <t>タイイクサイ</t>
    </rPh>
    <rPh sb="125" eb="127">
      <t>ショウリ</t>
    </rPh>
    <rPh sb="130" eb="132">
      <t>モクヒョウ</t>
    </rPh>
    <rPh sb="133" eb="134">
      <t>ム</t>
    </rPh>
    <rPh sb="138" eb="140">
      <t>サイゴ</t>
    </rPh>
    <rPh sb="142" eb="144">
      <t>ゼンリョク</t>
    </rPh>
    <rPh sb="145" eb="146">
      <t>ト</t>
    </rPh>
    <rPh sb="147" eb="148">
      <t>クアイテカオミハナシキテッテイゴガッコウセイカツイシキセイカツセイカツメンハジコロトモダチカンケイナヤヨウスセイカツオクナカリョウコウカンケイキズガッキサラセイチョウキタイ</t>
    </rPh>
    <rPh sb="158" eb="159">
      <t>トク</t>
    </rPh>
    <rPh sb="160" eb="164">
      <t>オウエンレンシュウ</t>
    </rPh>
    <rPh sb="167" eb="170">
      <t>セイイッパイ</t>
    </rPh>
    <rPh sb="170" eb="171">
      <t>コエ</t>
    </rPh>
    <rPh sb="172" eb="173">
      <t>ダ</t>
    </rPh>
    <rPh sb="175" eb="177">
      <t>オウエン</t>
    </rPh>
    <rPh sb="181" eb="182">
      <t>スガタ</t>
    </rPh>
    <rPh sb="189" eb="191">
      <t>リッパ</t>
    </rPh>
    <rPh sb="195" eb="198">
      <t>セイカツメン</t>
    </rPh>
    <rPh sb="201" eb="204">
      <t>ブカツドウ</t>
    </rPh>
    <rPh sb="206" eb="211">
      <t>イッショウケンメイト</t>
    </rPh>
    <rPh sb="212" eb="213">
      <t>ク</t>
    </rPh>
    <rPh sb="214" eb="216">
      <t>カツドウ</t>
    </rPh>
    <rPh sb="228" eb="229">
      <t>ヤス</t>
    </rPh>
    <rPh sb="230" eb="232">
      <t>ジカン</t>
    </rPh>
    <rPh sb="234" eb="236">
      <t>トモダチ</t>
    </rPh>
    <rPh sb="237" eb="239">
      <t>ゲンキ</t>
    </rPh>
    <rPh sb="240" eb="241">
      <t>アソ</t>
    </rPh>
    <rPh sb="242" eb="243">
      <t>スガタ</t>
    </rPh>
    <rPh sb="244" eb="245">
      <t>オオ</t>
    </rPh>
    <rPh sb="327" eb="328">
      <t>マエ</t>
    </rPh>
    <rPh sb="329" eb="330">
      <t>タ</t>
    </rPh>
    <rPh sb="341" eb="343">
      <t>チョウセン</t>
    </rPh>
    <rPh sb="346" eb="347">
      <t>ホ</t>
    </rPh>
    <rPh sb="350" eb="351">
      <t>オモ</t>
    </rPh>
    <rPh sb="360" eb="362">
      <t>キカイ</t>
    </rPh>
    <rPh sb="363" eb="365">
      <t>ジブン</t>
    </rPh>
    <rPh sb="366" eb="368">
      <t>セイチョウ</t>
    </rPh>
    <rPh sb="371" eb="373">
      <t>キカイ</t>
    </rPh>
    <rPh sb="374" eb="376">
      <t>マエム</t>
    </rPh>
    <rPh sb="378" eb="379">
      <t>トラ</t>
    </rPh>
    <rPh sb="381" eb="383">
      <t>セイカツ</t>
    </rPh>
    <rPh sb="384" eb="385">
      <t>オク</t>
    </rPh>
    <rPh sb="393" eb="395">
      <t>ガッキ</t>
    </rPh>
    <rPh sb="396" eb="397">
      <t>サラ</t>
    </rPh>
    <rPh sb="399" eb="401">
      <t>セイチョウ</t>
    </rPh>
    <rPh sb="402" eb="404">
      <t>キタイ</t>
    </rPh>
    <phoneticPr fontId="1"/>
  </si>
  <si>
    <t>学習面では、どの教科においても落ち着いて取り組むことができました。また、昨年度に比べて宿題の提出率が上がっているようです。日々の授業と宿題にコツコツと取り組むことが学力の向上には欠かせません。この調子で学習に取り組みましょう。体育祭では、勝利という目標に向かって、全力で取り組むことができました。特に応援練習では、本気になって全力で取り組む姿があり、とても感心をしました。生活面では、休み時間になると、友達と元気に体を動かしながら関わる姿がありました。また、係や委員会の仕事など自分の役割を果たそうと行動をすることができました。学級三役の書記として、クラスでの話し合い活動で周囲の人が分かりやすいように黒板に意見をまとめたり、ノートに記録したりする姿はとても立派でした。今後の学校生活でも、みんなの前に立って意見をまとめたり、声をかけたりすることに挑戦して欲しいと思います。2学期の更なる成長に期待しています。</t>
    <rPh sb="0" eb="3">
      <t>ガクシュウメン</t>
    </rPh>
    <rPh sb="8" eb="10">
      <t>キョウカ</t>
    </rPh>
    <rPh sb="15" eb="16">
      <t>オ</t>
    </rPh>
    <rPh sb="17" eb="18">
      <t>ツ</t>
    </rPh>
    <rPh sb="20" eb="21">
      <t>ト</t>
    </rPh>
    <rPh sb="22" eb="23">
      <t>ク</t>
    </rPh>
    <rPh sb="36" eb="39">
      <t>サクネンド</t>
    </rPh>
    <rPh sb="40" eb="41">
      <t>クラ</t>
    </rPh>
    <rPh sb="43" eb="45">
      <t>シュクダイ</t>
    </rPh>
    <rPh sb="46" eb="49">
      <t>テイシュツリツ</t>
    </rPh>
    <rPh sb="50" eb="51">
      <t>ア</t>
    </rPh>
    <rPh sb="61" eb="63">
      <t>ヒビ</t>
    </rPh>
    <rPh sb="64" eb="66">
      <t>ジュギョウ</t>
    </rPh>
    <rPh sb="67" eb="69">
      <t>シュクダイ</t>
    </rPh>
    <rPh sb="75" eb="76">
      <t>ト</t>
    </rPh>
    <rPh sb="77" eb="78">
      <t>ク</t>
    </rPh>
    <rPh sb="82" eb="84">
      <t>ガクリョク</t>
    </rPh>
    <rPh sb="85" eb="87">
      <t>コウジョウ</t>
    </rPh>
    <rPh sb="89" eb="90">
      <t>カ</t>
    </rPh>
    <rPh sb="98" eb="100">
      <t>チョウシ</t>
    </rPh>
    <rPh sb="101" eb="103">
      <t>ガクシュウ</t>
    </rPh>
    <rPh sb="104" eb="105">
      <t>ト</t>
    </rPh>
    <rPh sb="106" eb="107">
      <t>ク</t>
    </rPh>
    <rPh sb="113" eb="116">
      <t>タイイクサイ</t>
    </rPh>
    <rPh sb="119" eb="121">
      <t>ショウリ</t>
    </rPh>
    <rPh sb="132" eb="134">
      <t>ゼンリョク</t>
    </rPh>
    <rPh sb="135" eb="136">
      <t>ト</t>
    </rPh>
    <rPh sb="137" eb="138">
      <t>ク</t>
    </rPh>
    <rPh sb="148" eb="149">
      <t>トク</t>
    </rPh>
    <rPh sb="150" eb="154">
      <t>オウエンレンシュウ</t>
    </rPh>
    <rPh sb="157" eb="159">
      <t>ホンキ</t>
    </rPh>
    <rPh sb="163" eb="165">
      <t>ゼンリョク</t>
    </rPh>
    <rPh sb="166" eb="167">
      <t>ト</t>
    </rPh>
    <rPh sb="168" eb="169">
      <t>ク</t>
    </rPh>
    <rPh sb="170" eb="171">
      <t>スガタ</t>
    </rPh>
    <rPh sb="178" eb="180">
      <t>カンシン</t>
    </rPh>
    <rPh sb="186" eb="189">
      <t>セイカツメン</t>
    </rPh>
    <rPh sb="192" eb="193">
      <t>ヤス</t>
    </rPh>
    <rPh sb="194" eb="196">
      <t>ジカン</t>
    </rPh>
    <rPh sb="201" eb="203">
      <t>トモダチ</t>
    </rPh>
    <rPh sb="204" eb="206">
      <t>ゲンキ</t>
    </rPh>
    <rPh sb="207" eb="208">
      <t>カラダ</t>
    </rPh>
    <rPh sb="209" eb="210">
      <t>ウゴ</t>
    </rPh>
    <rPh sb="215" eb="216">
      <t>カカ</t>
    </rPh>
    <rPh sb="218" eb="219">
      <t>スガタ</t>
    </rPh>
    <rPh sb="229" eb="230">
      <t>カカリ</t>
    </rPh>
    <rPh sb="231" eb="234">
      <t>イインカイ</t>
    </rPh>
    <rPh sb="235" eb="237">
      <t>シゴト</t>
    </rPh>
    <rPh sb="239" eb="241">
      <t>ジブン</t>
    </rPh>
    <rPh sb="242" eb="244">
      <t>ヤクワリ</t>
    </rPh>
    <rPh sb="245" eb="246">
      <t>ハ</t>
    </rPh>
    <rPh sb="250" eb="252">
      <t>コウドウ</t>
    </rPh>
    <rPh sb="264" eb="268">
      <t>ガッキュウサンヤク</t>
    </rPh>
    <rPh sb="269" eb="271">
      <t>ショキ</t>
    </rPh>
    <rPh sb="280" eb="281">
      <t>ハナ</t>
    </rPh>
    <rPh sb="282" eb="283">
      <t>ア</t>
    </rPh>
    <rPh sb="284" eb="286">
      <t>カツドウ</t>
    </rPh>
    <rPh sb="287" eb="289">
      <t>シュウイ</t>
    </rPh>
    <rPh sb="290" eb="291">
      <t>ヒト</t>
    </rPh>
    <rPh sb="292" eb="293">
      <t>ワ</t>
    </rPh>
    <rPh sb="301" eb="303">
      <t>コクバン</t>
    </rPh>
    <rPh sb="304" eb="306">
      <t>イケン</t>
    </rPh>
    <rPh sb="317" eb="319">
      <t>キロク</t>
    </rPh>
    <rPh sb="324" eb="325">
      <t>スガタ</t>
    </rPh>
    <rPh sb="329" eb="331">
      <t>リッパ</t>
    </rPh>
    <rPh sb="335" eb="337">
      <t>コンゴ</t>
    </rPh>
    <rPh sb="338" eb="342">
      <t>ガッコウセイカツ</t>
    </rPh>
    <rPh sb="349" eb="350">
      <t>マエ</t>
    </rPh>
    <rPh sb="351" eb="352">
      <t>タ</t>
    </rPh>
    <rPh sb="354" eb="356">
      <t>イケン</t>
    </rPh>
    <rPh sb="363" eb="364">
      <t>コエ</t>
    </rPh>
    <rPh sb="374" eb="376">
      <t>チョウセン</t>
    </rPh>
    <rPh sb="378" eb="379">
      <t>ホ</t>
    </rPh>
    <rPh sb="382" eb="383">
      <t>オモ</t>
    </rPh>
    <rPh sb="388" eb="390">
      <t>ガッキ</t>
    </rPh>
    <rPh sb="391" eb="392">
      <t>サラ</t>
    </rPh>
    <rPh sb="394" eb="396">
      <t>セイチョウ</t>
    </rPh>
    <rPh sb="397" eb="399">
      <t>キタイ</t>
    </rPh>
    <phoneticPr fontId="1"/>
  </si>
  <si>
    <t>学習面では、自分が興味を持ったことに対して一生懸命に取り組むことができました。特に、国語の短文作りや音読などの表現方法では、豊かな発想力を活かして素晴らしい表現ができていました。とても感心しました。一方で、授業に集中しきれずに手いじりをしたり、居眠りをしたりすることがありました。毎日の授業にしっかりと取り組むことでしか、学力を向上させることはできません。２学期は改善していきましょう。生活面では、初めの頃は友達との関わり方で注意を受けることがありましたが、次第に自分なりに注意をして生活する姿が見られ、その結果、友達とより良い関係が築けていたように感じます。今後も意識して過ごしましょう。体育祭では、勝利という目標に向かって本気で取り組むことができました。特に応援団として、練習からみんなに声をかけて、練習を引っ張っていく姿はとても素晴らしかったです。こうした努力をして、できるようになったり、みんなの役に立ったりすることが成長していく中で大切なことです。２学期は善悪の判断を自分でしっかりとして、宏匡君の良さを十分に活かして生活を送ってください。期待しています。</t>
    <rPh sb="0" eb="3">
      <t>ガクシュウメン</t>
    </rPh>
    <rPh sb="6" eb="8">
      <t>ジブン</t>
    </rPh>
    <rPh sb="9" eb="11">
      <t>キョウミ</t>
    </rPh>
    <rPh sb="12" eb="13">
      <t>モ</t>
    </rPh>
    <rPh sb="18" eb="19">
      <t>タイ</t>
    </rPh>
    <rPh sb="21" eb="25">
      <t>イッショウケンメイ</t>
    </rPh>
    <rPh sb="26" eb="27">
      <t>ト</t>
    </rPh>
    <rPh sb="28" eb="29">
      <t>ク</t>
    </rPh>
    <rPh sb="39" eb="40">
      <t>トク</t>
    </rPh>
    <rPh sb="42" eb="44">
      <t>コクゴ</t>
    </rPh>
    <rPh sb="45" eb="47">
      <t>タンブン</t>
    </rPh>
    <rPh sb="47" eb="48">
      <t>ヅク</t>
    </rPh>
    <rPh sb="50" eb="52">
      <t>オンドク</t>
    </rPh>
    <rPh sb="55" eb="59">
      <t>ヒョウゲンホウホウ</t>
    </rPh>
    <rPh sb="62" eb="63">
      <t>ユタ</t>
    </rPh>
    <rPh sb="65" eb="68">
      <t>ハッソウリョク</t>
    </rPh>
    <rPh sb="69" eb="70">
      <t>イ</t>
    </rPh>
    <rPh sb="73" eb="75">
      <t>スバ</t>
    </rPh>
    <rPh sb="78" eb="80">
      <t>ヒョウゲン</t>
    </rPh>
    <rPh sb="92" eb="94">
      <t>カンシン</t>
    </rPh>
    <rPh sb="99" eb="101">
      <t>イッポウ</t>
    </rPh>
    <rPh sb="103" eb="105">
      <t>ジュギョウ</t>
    </rPh>
    <rPh sb="106" eb="108">
      <t>シュウチュウ</t>
    </rPh>
    <rPh sb="113" eb="114">
      <t>テ</t>
    </rPh>
    <rPh sb="122" eb="124">
      <t>イネム</t>
    </rPh>
    <rPh sb="140" eb="142">
      <t>マイニチ</t>
    </rPh>
    <rPh sb="143" eb="145">
      <t>ジュギョウ</t>
    </rPh>
    <rPh sb="151" eb="152">
      <t>ト</t>
    </rPh>
    <rPh sb="153" eb="154">
      <t>ク</t>
    </rPh>
    <rPh sb="161" eb="163">
      <t>ガクリョク</t>
    </rPh>
    <rPh sb="164" eb="166">
      <t>コウジョウ</t>
    </rPh>
    <rPh sb="179" eb="181">
      <t>ガッキ</t>
    </rPh>
    <rPh sb="182" eb="184">
      <t>カイゼン</t>
    </rPh>
    <rPh sb="193" eb="196">
      <t>セイカツメン</t>
    </rPh>
    <rPh sb="199" eb="200">
      <t>ハジ</t>
    </rPh>
    <rPh sb="202" eb="203">
      <t>コロ</t>
    </rPh>
    <rPh sb="204" eb="206">
      <t>トモダチ</t>
    </rPh>
    <rPh sb="208" eb="209">
      <t>カカ</t>
    </rPh>
    <rPh sb="211" eb="212">
      <t>カタ</t>
    </rPh>
    <rPh sb="213" eb="215">
      <t>チュウイ</t>
    </rPh>
    <rPh sb="216" eb="217">
      <t>ウ</t>
    </rPh>
    <rPh sb="229" eb="231">
      <t>シダイ</t>
    </rPh>
    <rPh sb="232" eb="234">
      <t>ジブン</t>
    </rPh>
    <rPh sb="237" eb="239">
      <t>チュウイ</t>
    </rPh>
    <rPh sb="242" eb="244">
      <t>セイカツ</t>
    </rPh>
    <rPh sb="246" eb="247">
      <t>スガタ</t>
    </rPh>
    <rPh sb="248" eb="249">
      <t>ミ</t>
    </rPh>
    <rPh sb="254" eb="256">
      <t>ケッカ</t>
    </rPh>
    <rPh sb="257" eb="259">
      <t>トモダチ</t>
    </rPh>
    <rPh sb="262" eb="263">
      <t>ヨ</t>
    </rPh>
    <rPh sb="264" eb="266">
      <t>カンケイ</t>
    </rPh>
    <rPh sb="267" eb="268">
      <t>キズ</t>
    </rPh>
    <rPh sb="275" eb="276">
      <t>カン</t>
    </rPh>
    <rPh sb="280" eb="282">
      <t>コンゴ</t>
    </rPh>
    <rPh sb="283" eb="285">
      <t>イシキ</t>
    </rPh>
    <rPh sb="287" eb="288">
      <t>ス</t>
    </rPh>
    <rPh sb="295" eb="298">
      <t>タイイクサイ</t>
    </rPh>
    <rPh sb="301" eb="303">
      <t>ショウリ</t>
    </rPh>
    <rPh sb="306" eb="308">
      <t>モクヒョウ</t>
    </rPh>
    <rPh sb="309" eb="310">
      <t>ム</t>
    </rPh>
    <rPh sb="313" eb="315">
      <t>ホンキ</t>
    </rPh>
    <rPh sb="316" eb="317">
      <t>ト</t>
    </rPh>
    <rPh sb="318" eb="319">
      <t>ク</t>
    </rPh>
    <rPh sb="329" eb="330">
      <t>トク</t>
    </rPh>
    <rPh sb="331" eb="333">
      <t>オウエン</t>
    </rPh>
    <rPh sb="333" eb="334">
      <t>ダン</t>
    </rPh>
    <rPh sb="338" eb="340">
      <t>レンシュウ</t>
    </rPh>
    <rPh sb="346" eb="347">
      <t>コエ</t>
    </rPh>
    <rPh sb="352" eb="354">
      <t>レンシュウ</t>
    </rPh>
    <rPh sb="355" eb="356">
      <t>ヒ</t>
    </rPh>
    <rPh sb="357" eb="358">
      <t>パ</t>
    </rPh>
    <rPh sb="362" eb="363">
      <t>スガタ</t>
    </rPh>
    <rPh sb="367" eb="369">
      <t>スバ</t>
    </rPh>
    <rPh sb="381" eb="383">
      <t>ドリョク</t>
    </rPh>
    <rPh sb="402" eb="403">
      <t>ヤク</t>
    </rPh>
    <rPh sb="404" eb="405">
      <t>タ</t>
    </rPh>
    <rPh sb="413" eb="415">
      <t>セイチョウ</t>
    </rPh>
    <rPh sb="419" eb="420">
      <t>ナカ</t>
    </rPh>
    <rPh sb="421" eb="423">
      <t>タイセツ</t>
    </rPh>
    <rPh sb="430" eb="432">
      <t>ガッキ</t>
    </rPh>
    <rPh sb="433" eb="435">
      <t>ゼンアク</t>
    </rPh>
    <rPh sb="436" eb="438">
      <t>ハンダン</t>
    </rPh>
    <rPh sb="439" eb="441">
      <t>ジブン</t>
    </rPh>
    <rPh sb="475" eb="477">
      <t>キタイ</t>
    </rPh>
    <phoneticPr fontId="1"/>
  </si>
  <si>
    <t>学習面では、授業内で理解できるようにしっかりと学習に取り組むことができました。また、昨年度に比べて宿題の提出率が上がっているようです。日々の授業と宿題にコツコツと取り組むことが学力の向上には欠かせません。この調子で学習に取り組みましょう。体育祭では、勝利という目標に向かって、最後まで全力で取り組むことができました。目標を達成するために、協力をして行動をしたり、自分のやるべきことにしっかりと取り組むことは、とても大切です。今後の生活でも意識して生活を送りましょう。生活面では、元気に挨拶をしたり、しっかりと返事をしたりする姿が多くありました。また、委員会や係の仕事など、自分の役割に責任を持って果たそうと行動する姿があり、とても立派でした。一方で時折、楽しさや面白いことを優先してしまい、今やるべきことを後回しにすることがありました。学校生活では見通しを持って生活するとともに、まずやるべきことを終えてから、自分のやりたいことを行うように心掛けましょう。2学期の更なる成長に期待しています。</t>
    <rPh sb="0" eb="3">
      <t>ガクシュウメン</t>
    </rPh>
    <rPh sb="6" eb="8">
      <t>ジュギョウ</t>
    </rPh>
    <rPh sb="8" eb="9">
      <t>ナイ</t>
    </rPh>
    <rPh sb="10" eb="12">
      <t>リカイ</t>
    </rPh>
    <rPh sb="23" eb="25">
      <t>ガクシュウ</t>
    </rPh>
    <rPh sb="26" eb="27">
      <t>ト</t>
    </rPh>
    <rPh sb="28" eb="29">
      <t>ク</t>
    </rPh>
    <rPh sb="42" eb="45">
      <t>サクネンド</t>
    </rPh>
    <rPh sb="46" eb="47">
      <t>クラ</t>
    </rPh>
    <rPh sb="49" eb="51">
      <t>シュクダイ</t>
    </rPh>
    <rPh sb="52" eb="55">
      <t>テイシュツリツ</t>
    </rPh>
    <rPh sb="56" eb="57">
      <t>ア</t>
    </rPh>
    <rPh sb="67" eb="69">
      <t>ヒビ</t>
    </rPh>
    <rPh sb="70" eb="72">
      <t>ジュギョウ</t>
    </rPh>
    <rPh sb="73" eb="75">
      <t>シュクダイ</t>
    </rPh>
    <rPh sb="81" eb="82">
      <t>ト</t>
    </rPh>
    <rPh sb="83" eb="84">
      <t>ク</t>
    </rPh>
    <rPh sb="88" eb="90">
      <t>ガクリョク</t>
    </rPh>
    <rPh sb="91" eb="93">
      <t>コウジョウ</t>
    </rPh>
    <rPh sb="95" eb="96">
      <t>カ</t>
    </rPh>
    <rPh sb="104" eb="106">
      <t>チョウシ</t>
    </rPh>
    <rPh sb="107" eb="109">
      <t>ガクシュウ</t>
    </rPh>
    <rPh sb="110" eb="111">
      <t>ト</t>
    </rPh>
    <rPh sb="112" eb="113">
      <t>ク</t>
    </rPh>
    <rPh sb="119" eb="122">
      <t>タイイクサイ</t>
    </rPh>
    <rPh sb="125" eb="127">
      <t>ショウリ</t>
    </rPh>
    <rPh sb="130" eb="132">
      <t>モクヒョウ</t>
    </rPh>
    <rPh sb="133" eb="134">
      <t>ム</t>
    </rPh>
    <rPh sb="138" eb="140">
      <t>サイゴ</t>
    </rPh>
    <rPh sb="142" eb="144">
      <t>ゼンリョク</t>
    </rPh>
    <rPh sb="145" eb="146">
      <t>ト</t>
    </rPh>
    <rPh sb="147" eb="148">
      <t>クアイテカオミハナシキテッテイゴガッコウセイカツイシキセイカツセイカツメンハジコロトモダチカンケイナヤヨウスセイカツオクナカリョウコウカンケイキズガッキサラセイチョウキタイ</t>
    </rPh>
    <rPh sb="158" eb="160">
      <t>モクヒョウ</t>
    </rPh>
    <rPh sb="161" eb="163">
      <t>タッセイ</t>
    </rPh>
    <rPh sb="169" eb="171">
      <t>キョウリョク</t>
    </rPh>
    <rPh sb="174" eb="176">
      <t>コウドウ</t>
    </rPh>
    <rPh sb="181" eb="183">
      <t>ジブン</t>
    </rPh>
    <rPh sb="196" eb="197">
      <t>ト</t>
    </rPh>
    <rPh sb="198" eb="199">
      <t>ク</t>
    </rPh>
    <rPh sb="207" eb="209">
      <t>タイセツ</t>
    </rPh>
    <rPh sb="212" eb="214">
      <t>コンゴ</t>
    </rPh>
    <rPh sb="215" eb="217">
      <t>セイカツ</t>
    </rPh>
    <rPh sb="219" eb="221">
      <t>イシキ</t>
    </rPh>
    <rPh sb="223" eb="225">
      <t>セイカツ</t>
    </rPh>
    <rPh sb="226" eb="227">
      <t>オク</t>
    </rPh>
    <rPh sb="233" eb="236">
      <t>セイカツメン</t>
    </rPh>
    <rPh sb="239" eb="241">
      <t>ゲンキ</t>
    </rPh>
    <rPh sb="242" eb="244">
      <t>アイサツ</t>
    </rPh>
    <rPh sb="254" eb="256">
      <t>ヘンジ</t>
    </rPh>
    <rPh sb="262" eb="263">
      <t>スガタ</t>
    </rPh>
    <rPh sb="264" eb="265">
      <t>オオ</t>
    </rPh>
    <rPh sb="275" eb="278">
      <t>イインカイ</t>
    </rPh>
    <rPh sb="279" eb="280">
      <t>カカリ</t>
    </rPh>
    <rPh sb="281" eb="283">
      <t>シゴト</t>
    </rPh>
    <rPh sb="286" eb="288">
      <t>ジブン</t>
    </rPh>
    <rPh sb="289" eb="291">
      <t>ヤクワリ</t>
    </rPh>
    <rPh sb="292" eb="294">
      <t>セキニン</t>
    </rPh>
    <rPh sb="295" eb="296">
      <t>モ</t>
    </rPh>
    <rPh sb="298" eb="299">
      <t>ハ</t>
    </rPh>
    <rPh sb="303" eb="305">
      <t>コウドウ</t>
    </rPh>
    <rPh sb="307" eb="308">
      <t>スガタ</t>
    </rPh>
    <rPh sb="315" eb="317">
      <t>リッパ</t>
    </rPh>
    <rPh sb="321" eb="323">
      <t>イッポウ</t>
    </rPh>
    <rPh sb="324" eb="326">
      <t>トキオリ</t>
    </rPh>
    <rPh sb="327" eb="328">
      <t>タノ</t>
    </rPh>
    <rPh sb="331" eb="333">
      <t>オモシロ</t>
    </rPh>
    <rPh sb="337" eb="339">
      <t>ユウセン</t>
    </rPh>
    <rPh sb="345" eb="346">
      <t>イマ</t>
    </rPh>
    <rPh sb="353" eb="355">
      <t>アトマワ</t>
    </rPh>
    <rPh sb="368" eb="372">
      <t>ガッコウセイカツ</t>
    </rPh>
    <rPh sb="374" eb="376">
      <t>ミトオ</t>
    </rPh>
    <rPh sb="378" eb="379">
      <t>モ</t>
    </rPh>
    <rPh sb="381" eb="383">
      <t>セイカツ</t>
    </rPh>
    <rPh sb="399" eb="400">
      <t>オ</t>
    </rPh>
    <rPh sb="405" eb="407">
      <t>ジブン</t>
    </rPh>
    <rPh sb="415" eb="416">
      <t>オコナ</t>
    </rPh>
    <rPh sb="420" eb="422">
      <t>ココロガ</t>
    </rPh>
    <rPh sb="429" eb="431">
      <t>ガッキ</t>
    </rPh>
    <rPh sb="432" eb="433">
      <t>サラ</t>
    </rPh>
    <rPh sb="435" eb="437">
      <t>セイチョウ</t>
    </rPh>
    <rPh sb="438" eb="440">
      <t>キタイマエタチョウセンホオモキカイジブンセイチョウキカイマエムトラセイカツオクガッキサラセイチョウキタイ</t>
    </rPh>
    <phoneticPr fontId="1"/>
  </si>
  <si>
    <t>学習面では、どの教科においても落ち着いて学習に取り組むことができました。4月当初は、授業に集中できずに手いじりをしたり、居眠りをしたりすることがありましたが、その後は集中をして取り組む様子が多く見られるようになりました。特に国語の授業では、豊かな発想力を活かして、短文づくりや音読に取り組むことができました。この調子で学習に取り組むとともに、話をよく聞いて、次の活動をスムーズに取り組むことができるとさらに良いです。体育祭では、勝利という目標に向かって全力で取り組むことができました。特に、応援練習では本気になって声を出したり、演舞の練習に取り組んだりする姿がありました。今後の生活でも、目標に向かって本気になって取り組む気持ちを大切にして過ごしましょう。生活面では、４月当初は始業時間に間に合わずに、遅刻をすることが何度かありましたが、次第に遅刻が少なくなり、朝の時間にも余裕ができるようになりました。２学期もこの調子で取り組むとともに、体調管理をしっかりとして、日頃の疲れに負けない気持ちを大切にして過ごしましょう。</t>
    <rPh sb="0" eb="3">
      <t>ガクシュウメン</t>
    </rPh>
    <rPh sb="8" eb="10">
      <t>キョウカ</t>
    </rPh>
    <rPh sb="15" eb="16">
      <t>オ</t>
    </rPh>
    <rPh sb="17" eb="18">
      <t>ツ</t>
    </rPh>
    <rPh sb="20" eb="22">
      <t>ガクシュウ</t>
    </rPh>
    <rPh sb="23" eb="24">
      <t>ト</t>
    </rPh>
    <rPh sb="25" eb="26">
      <t>クアイテカオミハナシキテッテイゴガッコウセイカツイシキセイカツセイカツメンハジコロトモダチカンケイナヤヨウスセイカツオクナカリョウコウカンケイキズガッキサラセイチョウキタイ</t>
    </rPh>
    <rPh sb="37" eb="38">
      <t>ガツ</t>
    </rPh>
    <rPh sb="38" eb="40">
      <t>トウショ</t>
    </rPh>
    <rPh sb="42" eb="44">
      <t>ジュギョウ</t>
    </rPh>
    <rPh sb="45" eb="47">
      <t>シュウチュウ</t>
    </rPh>
    <rPh sb="51" eb="52">
      <t>テ</t>
    </rPh>
    <rPh sb="60" eb="62">
      <t>イネム</t>
    </rPh>
    <rPh sb="81" eb="82">
      <t>ゴ</t>
    </rPh>
    <rPh sb="83" eb="85">
      <t>シュウチュウ</t>
    </rPh>
    <rPh sb="88" eb="89">
      <t>ト</t>
    </rPh>
    <rPh sb="90" eb="91">
      <t>ク</t>
    </rPh>
    <rPh sb="92" eb="94">
      <t>ヨウス</t>
    </rPh>
    <rPh sb="95" eb="96">
      <t>オオ</t>
    </rPh>
    <rPh sb="97" eb="98">
      <t>ミ</t>
    </rPh>
    <rPh sb="110" eb="111">
      <t>トク</t>
    </rPh>
    <rPh sb="112" eb="114">
      <t>コクゴ</t>
    </rPh>
    <rPh sb="115" eb="117">
      <t>ジュギョウ</t>
    </rPh>
    <rPh sb="120" eb="121">
      <t>ユタ</t>
    </rPh>
    <rPh sb="123" eb="126">
      <t>ハッソウリョク</t>
    </rPh>
    <rPh sb="127" eb="128">
      <t>イ</t>
    </rPh>
    <rPh sb="132" eb="134">
      <t>タンブン</t>
    </rPh>
    <rPh sb="138" eb="140">
      <t>オンドク</t>
    </rPh>
    <rPh sb="141" eb="142">
      <t>ト</t>
    </rPh>
    <rPh sb="143" eb="144">
      <t>ク</t>
    </rPh>
    <rPh sb="156" eb="158">
      <t>チョウシ</t>
    </rPh>
    <rPh sb="159" eb="161">
      <t>ガクシュウ</t>
    </rPh>
    <rPh sb="162" eb="163">
      <t>ト</t>
    </rPh>
    <rPh sb="164" eb="165">
      <t>ク</t>
    </rPh>
    <rPh sb="171" eb="172">
      <t>ハナシ</t>
    </rPh>
    <rPh sb="175" eb="176">
      <t>キ</t>
    </rPh>
    <rPh sb="179" eb="180">
      <t>ツギ</t>
    </rPh>
    <rPh sb="181" eb="183">
      <t>カツドウ</t>
    </rPh>
    <rPh sb="189" eb="190">
      <t>ト</t>
    </rPh>
    <rPh sb="191" eb="192">
      <t>ク</t>
    </rPh>
    <rPh sb="203" eb="204">
      <t>ヨ</t>
    </rPh>
    <rPh sb="208" eb="211">
      <t>タイイクサイ</t>
    </rPh>
    <rPh sb="214" eb="216">
      <t>ショウリ</t>
    </rPh>
    <rPh sb="219" eb="221">
      <t>モクヒョウ</t>
    </rPh>
    <rPh sb="222" eb="223">
      <t>ム</t>
    </rPh>
    <rPh sb="226" eb="228">
      <t>ゼンリョク</t>
    </rPh>
    <rPh sb="229" eb="230">
      <t>ト</t>
    </rPh>
    <rPh sb="231" eb="232">
      <t>ク</t>
    </rPh>
    <rPh sb="242" eb="243">
      <t>トク</t>
    </rPh>
    <rPh sb="245" eb="249">
      <t>オウエンレンシュウ</t>
    </rPh>
    <rPh sb="251" eb="253">
      <t>ホンキ</t>
    </rPh>
    <rPh sb="257" eb="258">
      <t>コエ</t>
    </rPh>
    <rPh sb="259" eb="260">
      <t>ダ</t>
    </rPh>
    <rPh sb="264" eb="266">
      <t>エンブ</t>
    </rPh>
    <rPh sb="267" eb="269">
      <t>レンシュウ</t>
    </rPh>
    <rPh sb="270" eb="271">
      <t>ト</t>
    </rPh>
    <rPh sb="272" eb="273">
      <t>ク</t>
    </rPh>
    <rPh sb="278" eb="279">
      <t>スガタ</t>
    </rPh>
    <rPh sb="286" eb="288">
      <t>コンゴ</t>
    </rPh>
    <rPh sb="289" eb="291">
      <t>セイカツ</t>
    </rPh>
    <rPh sb="294" eb="296">
      <t>モクヒョウ</t>
    </rPh>
    <rPh sb="297" eb="298">
      <t>ム</t>
    </rPh>
    <rPh sb="301" eb="303">
      <t>ホンキ</t>
    </rPh>
    <rPh sb="307" eb="308">
      <t>ト</t>
    </rPh>
    <rPh sb="309" eb="310">
      <t>ク</t>
    </rPh>
    <rPh sb="311" eb="313">
      <t>キモ</t>
    </rPh>
    <rPh sb="315" eb="317">
      <t>タイセツ</t>
    </rPh>
    <rPh sb="320" eb="321">
      <t>ス</t>
    </rPh>
    <rPh sb="328" eb="331">
      <t>セイカツメン</t>
    </rPh>
    <rPh sb="335" eb="336">
      <t>ガツ</t>
    </rPh>
    <rPh sb="336" eb="338">
      <t>トウショ</t>
    </rPh>
    <rPh sb="339" eb="343">
      <t>シギョウジカン</t>
    </rPh>
    <rPh sb="344" eb="345">
      <t>マ</t>
    </rPh>
    <rPh sb="346" eb="347">
      <t>ア</t>
    </rPh>
    <rPh sb="351" eb="353">
      <t>チコク</t>
    </rPh>
    <rPh sb="359" eb="361">
      <t>ナンド</t>
    </rPh>
    <rPh sb="369" eb="371">
      <t>シダイ</t>
    </rPh>
    <rPh sb="372" eb="374">
      <t>チコク</t>
    </rPh>
    <rPh sb="375" eb="376">
      <t>スク</t>
    </rPh>
    <rPh sb="381" eb="382">
      <t>アサ</t>
    </rPh>
    <rPh sb="383" eb="385">
      <t>ジカン</t>
    </rPh>
    <rPh sb="387" eb="389">
      <t>ヨユウ</t>
    </rPh>
    <rPh sb="403" eb="405">
      <t>ガッキ</t>
    </rPh>
    <rPh sb="408" eb="410">
      <t>チョウシ</t>
    </rPh>
    <rPh sb="411" eb="412">
      <t>ト</t>
    </rPh>
    <rPh sb="413" eb="414">
      <t>ク</t>
    </rPh>
    <rPh sb="420" eb="424">
      <t>タイチョウカンリ</t>
    </rPh>
    <rPh sb="433" eb="435">
      <t>ヒゴロ</t>
    </rPh>
    <rPh sb="436" eb="437">
      <t>ツカ</t>
    </rPh>
    <rPh sb="439" eb="440">
      <t>マ</t>
    </rPh>
    <rPh sb="443" eb="445">
      <t>キモ</t>
    </rPh>
    <rPh sb="447" eb="449">
      <t>タイセツ</t>
    </rPh>
    <rPh sb="452" eb="453">
      <t>ス</t>
    </rPh>
    <phoneticPr fontId="1"/>
  </si>
  <si>
    <t>学習面では、どの教科においても意欲的に授業に取り組むことができました。また、宿題においても毎日欠かすことなくしっかりと提出をして、間違えた問題を理解できるように解説を確認するなど、自分のためになる学習ができていました。その結果、定期テストでは、優秀な成績を収めることができました。この努力を大切にして、これからも日々の学習に取り組みましょう。体育祭では、体育祭実行委員として、運営に関わりました。自分に与えられた役割を一生懸命に果たそうとする姿はとても立派でした。生活面では、学級長として１学期間、学級をまとめようと声をかけたり、みんなの前に立って指示を出したりすることができました。学級では、桜來さんの誰に対しても尊重できる優しさが学級の温かい雰囲気を作り、日々の生活でみんなが気持ちよく過ごすことができました。とても立派でした。桜來さんの周囲の人の思いを大切にする力や相手の立場に立って物事を考えることができる力はとても素晴らしいです。２学期の更なる成長に期待しています。</t>
    <rPh sb="0" eb="3">
      <t>ガクシュウメン</t>
    </rPh>
    <rPh sb="8" eb="10">
      <t>キョウカ</t>
    </rPh>
    <rPh sb="15" eb="18">
      <t>イヨクテキ</t>
    </rPh>
    <rPh sb="19" eb="21">
      <t>ジュギョウ</t>
    </rPh>
    <rPh sb="22" eb="23">
      <t>ト</t>
    </rPh>
    <rPh sb="24" eb="25">
      <t>ク</t>
    </rPh>
    <rPh sb="38" eb="40">
      <t>シュクダイ</t>
    </rPh>
    <rPh sb="45" eb="47">
      <t>マイニチ</t>
    </rPh>
    <rPh sb="47" eb="48">
      <t>カ</t>
    </rPh>
    <rPh sb="59" eb="61">
      <t>テイシュツ</t>
    </rPh>
    <rPh sb="65" eb="67">
      <t>マチガ</t>
    </rPh>
    <rPh sb="69" eb="71">
      <t>モンダイ</t>
    </rPh>
    <rPh sb="72" eb="74">
      <t>リカイ</t>
    </rPh>
    <rPh sb="80" eb="82">
      <t>カイセツ</t>
    </rPh>
    <rPh sb="83" eb="85">
      <t>カクニン</t>
    </rPh>
    <rPh sb="90" eb="92">
      <t>ジブン</t>
    </rPh>
    <rPh sb="98" eb="100">
      <t>ガクシュウ</t>
    </rPh>
    <rPh sb="111" eb="113">
      <t>ケッカ</t>
    </rPh>
    <rPh sb="114" eb="116">
      <t>テイキ</t>
    </rPh>
    <rPh sb="122" eb="124">
      <t>ユウシュウ</t>
    </rPh>
    <rPh sb="125" eb="127">
      <t>セイセキ</t>
    </rPh>
    <rPh sb="128" eb="129">
      <t>オサ</t>
    </rPh>
    <rPh sb="142" eb="144">
      <t>ドリョク</t>
    </rPh>
    <rPh sb="145" eb="147">
      <t>タイセツ</t>
    </rPh>
    <rPh sb="156" eb="158">
      <t>ヒビ</t>
    </rPh>
    <rPh sb="159" eb="161">
      <t>ガクシュウ</t>
    </rPh>
    <rPh sb="162" eb="163">
      <t>ト</t>
    </rPh>
    <rPh sb="164" eb="165">
      <t>ク</t>
    </rPh>
    <rPh sb="171" eb="174">
      <t>タイイクサイ</t>
    </rPh>
    <rPh sb="177" eb="180">
      <t>タイイクサイ</t>
    </rPh>
    <rPh sb="180" eb="182">
      <t>ジッコウ</t>
    </rPh>
    <rPh sb="182" eb="184">
      <t>イイン</t>
    </rPh>
    <rPh sb="188" eb="190">
      <t>ウンエイ</t>
    </rPh>
    <rPh sb="191" eb="192">
      <t>カカ</t>
    </rPh>
    <rPh sb="198" eb="200">
      <t>ジブン</t>
    </rPh>
    <rPh sb="201" eb="202">
      <t>アタ</t>
    </rPh>
    <rPh sb="206" eb="208">
      <t>ヤクワリ</t>
    </rPh>
    <rPh sb="209" eb="213">
      <t>イッショウケンメイ</t>
    </rPh>
    <rPh sb="214" eb="215">
      <t>ハ</t>
    </rPh>
    <rPh sb="221" eb="222">
      <t>スガタ</t>
    </rPh>
    <rPh sb="226" eb="228">
      <t>リッパ</t>
    </rPh>
    <rPh sb="232" eb="235">
      <t>セイカツメン</t>
    </rPh>
    <rPh sb="238" eb="241">
      <t>ガッキュウチョウ</t>
    </rPh>
    <rPh sb="245" eb="248">
      <t>ガッキカン</t>
    </rPh>
    <rPh sb="249" eb="251">
      <t>ガッキュウ</t>
    </rPh>
    <rPh sb="258" eb="259">
      <t>コエ</t>
    </rPh>
    <rPh sb="269" eb="270">
      <t>マエ</t>
    </rPh>
    <rPh sb="271" eb="272">
      <t>タ</t>
    </rPh>
    <rPh sb="274" eb="276">
      <t>シジ</t>
    </rPh>
    <rPh sb="277" eb="278">
      <t>ダ</t>
    </rPh>
    <rPh sb="292" eb="294">
      <t>ガッキュウ</t>
    </rPh>
    <rPh sb="317" eb="319">
      <t>ガッキュウ</t>
    </rPh>
    <rPh sb="320" eb="321">
      <t>アタタ</t>
    </rPh>
    <rPh sb="323" eb="326">
      <t>フンイキ</t>
    </rPh>
    <rPh sb="327" eb="328">
      <t>ツク</t>
    </rPh>
    <rPh sb="330" eb="332">
      <t>ヒビ</t>
    </rPh>
    <rPh sb="333" eb="335">
      <t>セイカツ</t>
    </rPh>
    <rPh sb="340" eb="342">
      <t>キモ</t>
    </rPh>
    <rPh sb="345" eb="346">
      <t>ス</t>
    </rPh>
    <rPh sb="360" eb="362">
      <t>リッパ</t>
    </rPh>
    <rPh sb="427" eb="429">
      <t>セイチョウ</t>
    </rPh>
    <phoneticPr fontId="1"/>
  </si>
  <si>
    <t>学習面では、授業内で理解できるようにしっかりと学習に取り組むことができました。また、毎日の宿題も欠かさずにしっかりと取り組むことができていました。また、授業内での理解度も高く、自分の意見や考えを積極的に伝えようとする姿も多くあり、とても立派でした。体育祭では、勝利という目標に向かって全力で取り組むことができました。選抜リレーでは5学年の代表として、チームのために全力で取り組むことができました。また、選抜リレーでの活動を通じて上級生との関わりから多くのことを学ぶことができたようです。来年度は自分が憧れてもらえる先輩になれるよう、日頃の学校生活からお手本となるよう意識して過ごしましょう。生活面では、休み時間になると、友達と元気に遊ぶ姿が多くありました。また、係や委員会など自分の役割に責任をもって取り組むことができました。一方で、楽しさや面白さを優先して周囲の人に迷惑をかけてしまい、注意を受けることがありました。善悪の判断をしっかりとして生活が送れるようにしましょう。2学期の更なる成長に期待しています。</t>
    <rPh sb="0" eb="3">
      <t>ガクシュウメン</t>
    </rPh>
    <rPh sb="6" eb="8">
      <t>ジュギョウ</t>
    </rPh>
    <rPh sb="8" eb="9">
      <t>ナイ</t>
    </rPh>
    <rPh sb="10" eb="12">
      <t>リカイ</t>
    </rPh>
    <rPh sb="23" eb="25">
      <t>ガクシュウ</t>
    </rPh>
    <rPh sb="26" eb="27">
      <t>ト</t>
    </rPh>
    <rPh sb="28" eb="29">
      <t>ク</t>
    </rPh>
    <rPh sb="42" eb="44">
      <t>マイニチ</t>
    </rPh>
    <rPh sb="45" eb="47">
      <t>シュクダイ</t>
    </rPh>
    <rPh sb="48" eb="49">
      <t>カ</t>
    </rPh>
    <rPh sb="58" eb="59">
      <t>ト</t>
    </rPh>
    <rPh sb="60" eb="61">
      <t>クアイテカオミハナシキテッテイゴガッコウセイカツイシキセイカツセイカツメンハジコロトモダチカンケイナヤヨウスセイカツオクナカリョウコウカンケイキズガッキサラセイチョウキタイ</t>
    </rPh>
    <rPh sb="76" eb="79">
      <t>ジュギョウナイ</t>
    </rPh>
    <rPh sb="81" eb="84">
      <t>リカイド</t>
    </rPh>
    <rPh sb="85" eb="86">
      <t>タカ</t>
    </rPh>
    <rPh sb="88" eb="90">
      <t>ジブン</t>
    </rPh>
    <rPh sb="91" eb="93">
      <t>イケン</t>
    </rPh>
    <rPh sb="94" eb="95">
      <t>カンガ</t>
    </rPh>
    <rPh sb="97" eb="100">
      <t>セッキョクテキ</t>
    </rPh>
    <rPh sb="101" eb="102">
      <t>ツタ</t>
    </rPh>
    <rPh sb="108" eb="109">
      <t>スガタ</t>
    </rPh>
    <rPh sb="110" eb="111">
      <t>オオ</t>
    </rPh>
    <rPh sb="118" eb="120">
      <t>リッパ</t>
    </rPh>
    <rPh sb="124" eb="127">
      <t>タイイクサイ</t>
    </rPh>
    <rPh sb="130" eb="132">
      <t>ショウリ</t>
    </rPh>
    <rPh sb="135" eb="137">
      <t>モクヒョウ</t>
    </rPh>
    <rPh sb="138" eb="139">
      <t>ム</t>
    </rPh>
    <rPh sb="142" eb="144">
      <t>ゼンリョク</t>
    </rPh>
    <rPh sb="145" eb="146">
      <t>ト</t>
    </rPh>
    <rPh sb="147" eb="148">
      <t>ク</t>
    </rPh>
    <rPh sb="158" eb="160">
      <t>センバツ</t>
    </rPh>
    <rPh sb="166" eb="168">
      <t>ガクネン</t>
    </rPh>
    <rPh sb="169" eb="171">
      <t>ダイヒョウ</t>
    </rPh>
    <rPh sb="182" eb="184">
      <t>ゼンリョク</t>
    </rPh>
    <rPh sb="185" eb="186">
      <t>ト</t>
    </rPh>
    <rPh sb="187" eb="188">
      <t>ク</t>
    </rPh>
    <rPh sb="201" eb="203">
      <t>センバツ</t>
    </rPh>
    <rPh sb="208" eb="210">
      <t>カツドウ</t>
    </rPh>
    <rPh sb="211" eb="212">
      <t>ツウ</t>
    </rPh>
    <rPh sb="214" eb="217">
      <t>ジョウキュウセイ</t>
    </rPh>
    <rPh sb="219" eb="220">
      <t>カカワ</t>
    </rPh>
    <rPh sb="224" eb="225">
      <t>オオ</t>
    </rPh>
    <rPh sb="230" eb="231">
      <t>マナ</t>
    </rPh>
    <rPh sb="243" eb="246">
      <t>ライネンド</t>
    </rPh>
    <rPh sb="247" eb="249">
      <t>ジブン</t>
    </rPh>
    <rPh sb="250" eb="251">
      <t>アコガ</t>
    </rPh>
    <rPh sb="257" eb="259">
      <t>センパイ</t>
    </rPh>
    <rPh sb="266" eb="268">
      <t>ヒゴロ</t>
    </rPh>
    <rPh sb="269" eb="273">
      <t>ガッコウセイカツ</t>
    </rPh>
    <rPh sb="276" eb="278">
      <t>テホン</t>
    </rPh>
    <rPh sb="283" eb="285">
      <t>イシキ</t>
    </rPh>
    <rPh sb="287" eb="288">
      <t>ス</t>
    </rPh>
    <rPh sb="295" eb="298">
      <t>セイカツメン</t>
    </rPh>
    <rPh sb="301" eb="302">
      <t>ヤス</t>
    </rPh>
    <rPh sb="303" eb="305">
      <t>ジカン</t>
    </rPh>
    <rPh sb="310" eb="312">
      <t>トモダチ</t>
    </rPh>
    <rPh sb="313" eb="315">
      <t>ゲンキ</t>
    </rPh>
    <rPh sb="316" eb="317">
      <t>アソ</t>
    </rPh>
    <rPh sb="318" eb="319">
      <t>スガタ</t>
    </rPh>
    <rPh sb="320" eb="321">
      <t>オオ</t>
    </rPh>
    <rPh sb="331" eb="332">
      <t>カカリ</t>
    </rPh>
    <rPh sb="333" eb="336">
      <t>イインカイ</t>
    </rPh>
    <rPh sb="338" eb="340">
      <t>ジブン</t>
    </rPh>
    <rPh sb="341" eb="343">
      <t>ヤクワリ</t>
    </rPh>
    <rPh sb="344" eb="346">
      <t>セキニン</t>
    </rPh>
    <rPh sb="350" eb="351">
      <t>ト</t>
    </rPh>
    <rPh sb="352" eb="353">
      <t>ク</t>
    </rPh>
    <rPh sb="363" eb="365">
      <t>イッポウ</t>
    </rPh>
    <rPh sb="367" eb="368">
      <t>タノ</t>
    </rPh>
    <rPh sb="371" eb="373">
      <t>オモシロ</t>
    </rPh>
    <rPh sb="375" eb="377">
      <t>ユウセン</t>
    </rPh>
    <rPh sb="379" eb="381">
      <t>シュウイ</t>
    </rPh>
    <rPh sb="382" eb="383">
      <t>ヒト</t>
    </rPh>
    <rPh sb="384" eb="386">
      <t>メイワク</t>
    </rPh>
    <rPh sb="394" eb="396">
      <t>チュウイ</t>
    </rPh>
    <rPh sb="397" eb="398">
      <t>ウ</t>
    </rPh>
    <rPh sb="409" eb="411">
      <t>ゼンアク</t>
    </rPh>
    <rPh sb="412" eb="414">
      <t>ハンダン</t>
    </rPh>
    <rPh sb="422" eb="424">
      <t>セイカツ</t>
    </rPh>
    <rPh sb="425" eb="426">
      <t>オク</t>
    </rPh>
    <rPh sb="438" eb="440">
      <t>ガッキ</t>
    </rPh>
    <rPh sb="441" eb="442">
      <t>サラ</t>
    </rPh>
    <rPh sb="444" eb="446">
      <t>セイチョウ</t>
    </rPh>
    <rPh sb="447" eb="449">
      <t>キタイ</t>
    </rPh>
    <phoneticPr fontId="1"/>
  </si>
  <si>
    <t>学習面では、授業内で理解できるようにしっかりと学習に取り組むことができました。また、テスト前には自分から進んで学習に取り組む姿も見られました。更に、毎日の宿題にもコツコツと取り組む姿があり、とても立派でした。学力はこうした日々の積み重ねがとても大切です。この調子で学習に取り組みましょう。体育祭では、勝利という目標を達成するために、一生懸命に取り組む姿がありました。特に、応援練習では、本気になって声を出したり、演舞を覚えようと努力をする姿が見られました。日々の生活でもこうした努力を大切に過ごしましょう。生活面では、挨拶や返事をしっかりとして、周囲のお手本となるような行動をすることができていました。自分がやるべきことにしっかりと取り組むことができるのは、とても立派です。優羽花さんは、その明るい笑顔で周囲の人を楽しませたり、元気にさせたりすることができます。その前向きな気持ちを大切にして、今後の生活も過ごしてください。２学期の更なる成長に期待しています。</t>
    <rPh sb="0" eb="3">
      <t>ガクシュウメン</t>
    </rPh>
    <rPh sb="6" eb="8">
      <t>ジュギョウ</t>
    </rPh>
    <rPh sb="8" eb="9">
      <t>ナイ</t>
    </rPh>
    <rPh sb="10" eb="12">
      <t>リカイ</t>
    </rPh>
    <rPh sb="23" eb="25">
      <t>ガクシュウ</t>
    </rPh>
    <rPh sb="26" eb="27">
      <t>ト</t>
    </rPh>
    <rPh sb="28" eb="29">
      <t>ク</t>
    </rPh>
    <rPh sb="45" eb="46">
      <t>マエ</t>
    </rPh>
    <rPh sb="48" eb="50">
      <t>ジブン</t>
    </rPh>
    <rPh sb="52" eb="53">
      <t>スス</t>
    </rPh>
    <rPh sb="55" eb="57">
      <t>ガクシュウ</t>
    </rPh>
    <rPh sb="58" eb="59">
      <t>ト</t>
    </rPh>
    <rPh sb="60" eb="61">
      <t>ク</t>
    </rPh>
    <rPh sb="62" eb="63">
      <t>スガタ</t>
    </rPh>
    <rPh sb="64" eb="65">
      <t>ミ</t>
    </rPh>
    <rPh sb="71" eb="72">
      <t>サラ</t>
    </rPh>
    <rPh sb="74" eb="76">
      <t>マイニチ</t>
    </rPh>
    <rPh sb="77" eb="79">
      <t>シュクダイ</t>
    </rPh>
    <rPh sb="86" eb="87">
      <t>ト</t>
    </rPh>
    <rPh sb="88" eb="89">
      <t>ク</t>
    </rPh>
    <rPh sb="90" eb="91">
      <t>スガタ</t>
    </rPh>
    <rPh sb="98" eb="100">
      <t>リッパ</t>
    </rPh>
    <rPh sb="104" eb="106">
      <t>ガクリョク</t>
    </rPh>
    <rPh sb="111" eb="113">
      <t>ヒビ</t>
    </rPh>
    <rPh sb="114" eb="115">
      <t>ツ</t>
    </rPh>
    <rPh sb="116" eb="117">
      <t>カサ</t>
    </rPh>
    <rPh sb="122" eb="124">
      <t>タイセツ</t>
    </rPh>
    <rPh sb="129" eb="131">
      <t>チョウシ</t>
    </rPh>
    <rPh sb="132" eb="134">
      <t>ガクシュウ</t>
    </rPh>
    <rPh sb="135" eb="136">
      <t>ト</t>
    </rPh>
    <rPh sb="137" eb="138">
      <t>ク</t>
    </rPh>
    <rPh sb="144" eb="147">
      <t>タイイクサイ</t>
    </rPh>
    <rPh sb="150" eb="152">
      <t>ショウリ</t>
    </rPh>
    <rPh sb="155" eb="157">
      <t>モクヒョウ</t>
    </rPh>
    <rPh sb="158" eb="160">
      <t>タッセイ</t>
    </rPh>
    <rPh sb="166" eb="170">
      <t>イッショウケンメイ</t>
    </rPh>
    <rPh sb="171" eb="172">
      <t>ト</t>
    </rPh>
    <rPh sb="173" eb="174">
      <t>ク</t>
    </rPh>
    <rPh sb="175" eb="176">
      <t>スガタ</t>
    </rPh>
    <rPh sb="183" eb="184">
      <t>トク</t>
    </rPh>
    <rPh sb="186" eb="188">
      <t>オウエン</t>
    </rPh>
    <rPh sb="188" eb="190">
      <t>レンシュウ</t>
    </rPh>
    <rPh sb="193" eb="195">
      <t>ホンキ</t>
    </rPh>
    <rPh sb="199" eb="200">
      <t>コエ</t>
    </rPh>
    <rPh sb="201" eb="202">
      <t>ダ</t>
    </rPh>
    <rPh sb="206" eb="208">
      <t>エンブ</t>
    </rPh>
    <rPh sb="209" eb="210">
      <t>オボ</t>
    </rPh>
    <rPh sb="214" eb="216">
      <t>ドリョク</t>
    </rPh>
    <rPh sb="219" eb="220">
      <t>スガタ</t>
    </rPh>
    <rPh sb="221" eb="222">
      <t>ミ</t>
    </rPh>
    <rPh sb="228" eb="230">
      <t>ヒビ</t>
    </rPh>
    <rPh sb="231" eb="233">
      <t>セイカツ</t>
    </rPh>
    <rPh sb="239" eb="241">
      <t>ドリョク</t>
    </rPh>
    <rPh sb="242" eb="244">
      <t>タイセツ</t>
    </rPh>
    <rPh sb="245" eb="246">
      <t>ス</t>
    </rPh>
    <rPh sb="253" eb="256">
      <t>セイカツメン</t>
    </rPh>
    <rPh sb="259" eb="261">
      <t>アイサツ</t>
    </rPh>
    <rPh sb="262" eb="264">
      <t>ヘンジ</t>
    </rPh>
    <rPh sb="273" eb="275">
      <t>シュウイ</t>
    </rPh>
    <rPh sb="277" eb="279">
      <t>テホン</t>
    </rPh>
    <rPh sb="285" eb="287">
      <t>コウドウ</t>
    </rPh>
    <rPh sb="301" eb="303">
      <t>ジブン</t>
    </rPh>
    <rPh sb="316" eb="317">
      <t>ト</t>
    </rPh>
    <rPh sb="318" eb="319">
      <t>ク</t>
    </rPh>
    <rPh sb="332" eb="334">
      <t>リッパ</t>
    </rPh>
    <rPh sb="413" eb="415">
      <t>ガッキ</t>
    </rPh>
    <rPh sb="416" eb="417">
      <t>サラ</t>
    </rPh>
    <rPh sb="419" eb="421">
      <t>セイチョウ</t>
    </rPh>
    <rPh sb="422" eb="424">
      <t>キタイアイテカオミハナシキテッテイゴガッコウセイカツイシキセイカツセイカツメンハジコロトモダチカンケイナヤヨウスセイカツオクナカリョウコウカンケイキズガッキサラセイチョウキタイ</t>
    </rPh>
    <phoneticPr fontId="1"/>
  </si>
  <si>
    <t>学習面では、授業内で理解できるようにしっかりと説明を聞いて活動に取り組むことができました。また、水曜日の放課後に自主的に学習に取り組むなど、できるように努力を続けることができました。学習は、自分で意欲をもって取り組むことでしか、できるようにはなりません。今後は、自分自身で課題をもって、その課題に合わせて自分で時間を作り、学習に取り組むことができると良いです。体育祭では、勝利という目標に向かって全力で取り組むことができました。練習では、チームの一員としてみんなに前向きな言葉をかける姿が多くあり、とても素晴らしかったです。今後の学校生活でも、前向きな気持ちを大切にして生活を送りましょう。生活面では、周囲の友達に思いやりを持って過ごすことができました。特に、友達に対して前向きな言葉がけをしている場面が多くあり、とても感心しました。また、委員会や係の仕事などにも責任をもって取り組むことができていました。叶乃音さんの誰にでも優しく接することのできる気持ちはとても大切です。今後の生活でも意識して過ごしましょう。２学期の更なる成長に期待しています。</t>
    <rPh sb="0" eb="3">
      <t>ガクシュウメン</t>
    </rPh>
    <rPh sb="6" eb="8">
      <t>ジュギョウ</t>
    </rPh>
    <rPh sb="8" eb="9">
      <t>ナイ</t>
    </rPh>
    <rPh sb="10" eb="12">
      <t>リカイ</t>
    </rPh>
    <rPh sb="23" eb="25">
      <t>セツメイ</t>
    </rPh>
    <rPh sb="26" eb="27">
      <t>キ</t>
    </rPh>
    <rPh sb="29" eb="31">
      <t>カツドウ</t>
    </rPh>
    <rPh sb="32" eb="33">
      <t>ト</t>
    </rPh>
    <rPh sb="34" eb="35">
      <t>ク</t>
    </rPh>
    <rPh sb="48" eb="51">
      <t>スイヨウビ</t>
    </rPh>
    <rPh sb="52" eb="55">
      <t>ホウカゴ</t>
    </rPh>
    <rPh sb="56" eb="59">
      <t>ジシュテキ</t>
    </rPh>
    <rPh sb="60" eb="62">
      <t>ガクシュウ</t>
    </rPh>
    <rPh sb="63" eb="64">
      <t>ト</t>
    </rPh>
    <rPh sb="65" eb="66">
      <t>ク</t>
    </rPh>
    <rPh sb="76" eb="78">
      <t>ドリョク</t>
    </rPh>
    <rPh sb="79" eb="80">
      <t>ツヅ</t>
    </rPh>
    <rPh sb="91" eb="93">
      <t>ガクシュウ</t>
    </rPh>
    <rPh sb="95" eb="97">
      <t>ジブン</t>
    </rPh>
    <rPh sb="98" eb="100">
      <t>イヨク</t>
    </rPh>
    <rPh sb="104" eb="105">
      <t>ト</t>
    </rPh>
    <rPh sb="106" eb="107">
      <t>ク</t>
    </rPh>
    <rPh sb="127" eb="129">
      <t>コンゴ</t>
    </rPh>
    <rPh sb="131" eb="135">
      <t>ジブンジシン</t>
    </rPh>
    <rPh sb="136" eb="138">
      <t>カダイ</t>
    </rPh>
    <rPh sb="145" eb="147">
      <t>カダイ</t>
    </rPh>
    <rPh sb="148" eb="149">
      <t>ア</t>
    </rPh>
    <rPh sb="152" eb="154">
      <t>ジブン</t>
    </rPh>
    <rPh sb="155" eb="157">
      <t>ジカン</t>
    </rPh>
    <rPh sb="158" eb="159">
      <t>ツク</t>
    </rPh>
    <rPh sb="161" eb="163">
      <t>ガクシュウ</t>
    </rPh>
    <rPh sb="164" eb="165">
      <t>ト</t>
    </rPh>
    <rPh sb="166" eb="167">
      <t>ク</t>
    </rPh>
    <rPh sb="175" eb="176">
      <t>イ</t>
    </rPh>
    <rPh sb="180" eb="183">
      <t>タイイクサイ</t>
    </rPh>
    <rPh sb="186" eb="188">
      <t>ショウリ</t>
    </rPh>
    <rPh sb="191" eb="193">
      <t>モクヒョウ</t>
    </rPh>
    <rPh sb="194" eb="195">
      <t>ム</t>
    </rPh>
    <rPh sb="198" eb="200">
      <t>ゼンリョク</t>
    </rPh>
    <rPh sb="201" eb="202">
      <t>ト</t>
    </rPh>
    <rPh sb="203" eb="204">
      <t>ク</t>
    </rPh>
    <rPh sb="214" eb="216">
      <t>レンシュウ</t>
    </rPh>
    <rPh sb="223" eb="225">
      <t>イチイン</t>
    </rPh>
    <rPh sb="232" eb="234">
      <t>マエム</t>
    </rPh>
    <rPh sb="236" eb="238">
      <t>コトバ</t>
    </rPh>
    <rPh sb="242" eb="243">
      <t>スガタ</t>
    </rPh>
    <rPh sb="244" eb="245">
      <t>オオ</t>
    </rPh>
    <rPh sb="252" eb="254">
      <t>スバ</t>
    </rPh>
    <rPh sb="262" eb="264">
      <t>コンゴ</t>
    </rPh>
    <rPh sb="265" eb="269">
      <t>ガッコウセイカツ</t>
    </rPh>
    <rPh sb="272" eb="274">
      <t>マエム</t>
    </rPh>
    <rPh sb="276" eb="278">
      <t>キモ</t>
    </rPh>
    <rPh sb="280" eb="282">
      <t>タイセツ</t>
    </rPh>
    <rPh sb="285" eb="287">
      <t>セイカツ</t>
    </rPh>
    <rPh sb="288" eb="289">
      <t>オクアイテカオミハナシキテッテイゴガッコウセイカツイシキセイカツセイカツメンハジコロトモダチカンケイナヤヨウスセイカツオクナカリョウコウカンケイキズガッキサラセイチョウキタイ</t>
    </rPh>
    <rPh sb="295" eb="298">
      <t>セイカツメン</t>
    </rPh>
    <rPh sb="301" eb="303">
      <t>シュウイ</t>
    </rPh>
    <rPh sb="304" eb="306">
      <t>トモダチ</t>
    </rPh>
    <rPh sb="307" eb="308">
      <t>オモ</t>
    </rPh>
    <rPh sb="312" eb="313">
      <t>モ</t>
    </rPh>
    <rPh sb="315" eb="316">
      <t>ス</t>
    </rPh>
    <rPh sb="327" eb="328">
      <t>トク</t>
    </rPh>
    <rPh sb="330" eb="332">
      <t>トモダチ</t>
    </rPh>
    <rPh sb="333" eb="334">
      <t>タイ</t>
    </rPh>
    <rPh sb="336" eb="338">
      <t>マエム</t>
    </rPh>
    <rPh sb="340" eb="342">
      <t>コトバ</t>
    </rPh>
    <rPh sb="349" eb="351">
      <t>バメン</t>
    </rPh>
    <rPh sb="352" eb="353">
      <t>オオ</t>
    </rPh>
    <rPh sb="360" eb="362">
      <t>カンシン</t>
    </rPh>
    <rPh sb="370" eb="373">
      <t>イインカイ</t>
    </rPh>
    <rPh sb="374" eb="375">
      <t>カカリ</t>
    </rPh>
    <rPh sb="376" eb="378">
      <t>シゴト</t>
    </rPh>
    <rPh sb="382" eb="384">
      <t>セキニン</t>
    </rPh>
    <rPh sb="388" eb="389">
      <t>ト</t>
    </rPh>
    <rPh sb="390" eb="391">
      <t>ク</t>
    </rPh>
    <phoneticPr fontId="1"/>
  </si>
  <si>
    <t>園芸委員会、バスケットボール部、書記</t>
    <rPh sb="0" eb="2">
      <t>エンゲイ</t>
    </rPh>
    <rPh sb="2" eb="5">
      <t>イインカイ</t>
    </rPh>
    <rPh sb="14" eb="15">
      <t>ブ</t>
    </rPh>
    <rPh sb="16" eb="18">
      <t>ショキ</t>
    </rPh>
    <phoneticPr fontId="1"/>
  </si>
  <si>
    <t>欠席２（風邪２）</t>
    <rPh sb="0" eb="2">
      <t>ケッセキ</t>
    </rPh>
    <rPh sb="4" eb="6">
      <t>カゼ</t>
    </rPh>
    <phoneticPr fontId="1"/>
  </si>
  <si>
    <t>遅刻１（眼科通院１）</t>
    <rPh sb="0" eb="2">
      <t>チコク</t>
    </rPh>
    <rPh sb="4" eb="6">
      <t>ガンカ</t>
    </rPh>
    <rPh sb="6" eb="8">
      <t>ツウイン</t>
    </rPh>
    <phoneticPr fontId="1"/>
  </si>
  <si>
    <t>欠席１（頭痛１）</t>
    <rPh sb="0" eb="2">
      <t>ケッセキ</t>
    </rPh>
    <rPh sb="4" eb="6">
      <t>ズツウ</t>
    </rPh>
    <phoneticPr fontId="1"/>
  </si>
  <si>
    <t>A</t>
    <phoneticPr fontId="1"/>
  </si>
  <si>
    <t>B</t>
    <phoneticPr fontId="1"/>
  </si>
  <si>
    <t>C</t>
    <phoneticPr fontId="1"/>
  </si>
  <si>
    <t>学習面では、授業内で理解できるようにしっかりと学習に取り組むことができました。また、テスト前には自分から進んで学習に取り組む姿も見られました。一方で、朝の提出時間までに宿題の提出ができずに、遅れて提出をするということが何度かありました。自分で宿題の確認をして学習に取り組むことができるようにしましょう。体育祭では、チームの勝利という目標のために全力で取り組むことができました。また、練習初めの頃は、話を聞くときによそ見をしていたり、手いじりをしたりすることがありましたが、体育祭を通じて、しっかりと相手の顔を見て話を聞くことが徹底できるようになりました。その後の学校生活でも意識をしながら生活ができていました。生活面では、初めの頃は友達との関係に悩む様子もありましたが、生活を送っていく中で良好な関係を築くことができるようになりました。それは、健史君が物事を前向きに考えるようになったことと、優しい言葉や相手を労わる言葉を発するようになったからです。この一学期間で、自分から良好な関係を築こうと行動をする姿に感心をしました。2学期の更なる成長に期待しています。</t>
    <rPh sb="0" eb="3">
      <t>ガクシュウメン</t>
    </rPh>
    <rPh sb="6" eb="8">
      <t>ジュギョウ</t>
    </rPh>
    <rPh sb="8" eb="9">
      <t>ナイ</t>
    </rPh>
    <rPh sb="10" eb="12">
      <t>リカイ</t>
    </rPh>
    <rPh sb="23" eb="25">
      <t>ガクシュウ</t>
    </rPh>
    <rPh sb="26" eb="27">
      <t>ト</t>
    </rPh>
    <rPh sb="28" eb="29">
      <t>ク</t>
    </rPh>
    <rPh sb="45" eb="46">
      <t>マエ</t>
    </rPh>
    <rPh sb="48" eb="50">
      <t>ジブン</t>
    </rPh>
    <rPh sb="52" eb="53">
      <t>スス</t>
    </rPh>
    <rPh sb="55" eb="57">
      <t>ガクシュウ</t>
    </rPh>
    <rPh sb="58" eb="59">
      <t>ト</t>
    </rPh>
    <rPh sb="60" eb="61">
      <t>ク</t>
    </rPh>
    <rPh sb="62" eb="63">
      <t>スガタ</t>
    </rPh>
    <rPh sb="64" eb="65">
      <t>ミ</t>
    </rPh>
    <rPh sb="71" eb="73">
      <t>イッポウ</t>
    </rPh>
    <rPh sb="75" eb="76">
      <t>アサ</t>
    </rPh>
    <rPh sb="77" eb="79">
      <t>テイシュツ</t>
    </rPh>
    <rPh sb="79" eb="81">
      <t>ジカン</t>
    </rPh>
    <rPh sb="84" eb="86">
      <t>シュクダイ</t>
    </rPh>
    <rPh sb="87" eb="89">
      <t>テイシュツ</t>
    </rPh>
    <rPh sb="95" eb="96">
      <t>オク</t>
    </rPh>
    <rPh sb="98" eb="100">
      <t>テイシュツ</t>
    </rPh>
    <rPh sb="109" eb="111">
      <t>ナンド</t>
    </rPh>
    <rPh sb="118" eb="120">
      <t>ジブン</t>
    </rPh>
    <rPh sb="121" eb="123">
      <t>シュクダイ</t>
    </rPh>
    <rPh sb="124" eb="126">
      <t>カクニン</t>
    </rPh>
    <rPh sb="129" eb="131">
      <t>ガクシュウ</t>
    </rPh>
    <rPh sb="132" eb="133">
      <t>ト</t>
    </rPh>
    <rPh sb="134" eb="135">
      <t>ク</t>
    </rPh>
    <rPh sb="151" eb="154">
      <t>タイイクサイ</t>
    </rPh>
    <rPh sb="161" eb="163">
      <t>ショウリ</t>
    </rPh>
    <rPh sb="166" eb="168">
      <t>モクヒョウ</t>
    </rPh>
    <rPh sb="191" eb="193">
      <t>レンシュウ</t>
    </rPh>
    <rPh sb="193" eb="194">
      <t>ハジ</t>
    </rPh>
    <rPh sb="196" eb="197">
      <t>コロ</t>
    </rPh>
    <rPh sb="199" eb="200">
      <t>ハナシ</t>
    </rPh>
    <rPh sb="201" eb="202">
      <t>キ</t>
    </rPh>
    <rPh sb="208" eb="209">
      <t>ミ</t>
    </rPh>
    <rPh sb="216" eb="217">
      <t>テ</t>
    </rPh>
    <rPh sb="236" eb="239">
      <t>タイイクサイ</t>
    </rPh>
    <rPh sb="240" eb="241">
      <t>ツウ</t>
    </rPh>
    <rPh sb="249" eb="251">
      <t>アイテ</t>
    </rPh>
    <rPh sb="252" eb="253">
      <t>カオ</t>
    </rPh>
    <rPh sb="254" eb="255">
      <t>ミ</t>
    </rPh>
    <rPh sb="256" eb="257">
      <t>ハナシ</t>
    </rPh>
    <rPh sb="258" eb="259">
      <t>キ</t>
    </rPh>
    <rPh sb="263" eb="265">
      <t>テッテイ</t>
    </rPh>
    <rPh sb="279" eb="280">
      <t>ゴ</t>
    </rPh>
    <rPh sb="281" eb="283">
      <t>ガッコウ</t>
    </rPh>
    <rPh sb="283" eb="285">
      <t>セイカツ</t>
    </rPh>
    <rPh sb="287" eb="289">
      <t>イシキ</t>
    </rPh>
    <rPh sb="294" eb="296">
      <t>セイカツ</t>
    </rPh>
    <rPh sb="305" eb="308">
      <t>セイカツメン</t>
    </rPh>
    <rPh sb="311" eb="312">
      <t>ハジ</t>
    </rPh>
    <rPh sb="314" eb="315">
      <t>コロ</t>
    </rPh>
    <rPh sb="316" eb="318">
      <t>トモダチ</t>
    </rPh>
    <rPh sb="320" eb="322">
      <t>カンケイ</t>
    </rPh>
    <rPh sb="323" eb="324">
      <t>ナヤ</t>
    </rPh>
    <rPh sb="325" eb="327">
      <t>ヨウス</t>
    </rPh>
    <rPh sb="335" eb="337">
      <t>セイカツ</t>
    </rPh>
    <rPh sb="338" eb="339">
      <t>オク</t>
    </rPh>
    <rPh sb="343" eb="344">
      <t>ナカ</t>
    </rPh>
    <rPh sb="345" eb="347">
      <t>リョウコウ</t>
    </rPh>
    <rPh sb="348" eb="350">
      <t>カンケイ</t>
    </rPh>
    <rPh sb="351" eb="352">
      <t>キズ</t>
    </rPh>
    <rPh sb="396" eb="397">
      <t>ヤサ</t>
    </rPh>
    <rPh sb="399" eb="401">
      <t>コトバ</t>
    </rPh>
    <rPh sb="402" eb="404">
      <t>アイテ</t>
    </rPh>
    <rPh sb="405" eb="406">
      <t>イタ</t>
    </rPh>
    <rPh sb="408" eb="410">
      <t>コトバ</t>
    </rPh>
    <rPh sb="463" eb="465">
      <t>ガッキ</t>
    </rPh>
    <rPh sb="466" eb="467">
      <t>サラ</t>
    </rPh>
    <rPh sb="469" eb="471">
      <t>セイチョウ</t>
    </rPh>
    <rPh sb="472" eb="474">
      <t>キタイ</t>
    </rPh>
    <phoneticPr fontId="1"/>
  </si>
  <si>
    <t>学習面では、どの教科においても集中して取り組むことができました。また、特別スイッチなどに自主的に参加をして学習に取り組む姿には、とても感心しました。今後は授業内で、積極的に発言をして、自分の考えを周囲の人に伝える力や自分の考えをより深める機会になると良いです。体育祭では、初めて参加をしましたが、友達と一緒になって勝利という目標に向かって、一生懸命に努力をすることができました。また、選抜リレーの５学年代表として、堂々と走り切ることができました。初めての参加ではありながら、本気になって最後まで取り組む姿がとても素晴らしかったです。生活面では、少しずつ学校生活に慣れてきた様子が見られました。クラスの友達も里紗さんが早くクラスに馴染むことができるように行動してくれています。それは、日頃から里紗さんの誰にでも優しく接することのできる姿があるからです。今後は、自分から積極的に関わりを持つことができると、更に友好関係も広がっていくでしょう。少しずつ多くのことに挑戦していってください。２学期の更なる成長に期待しています。</t>
    <rPh sb="0" eb="3">
      <t>ガクシュウメン</t>
    </rPh>
    <rPh sb="8" eb="10">
      <t>キョウカ</t>
    </rPh>
    <rPh sb="15" eb="17">
      <t>シュウチュウ</t>
    </rPh>
    <rPh sb="19" eb="20">
      <t>ト</t>
    </rPh>
    <rPh sb="21" eb="22">
      <t>ク</t>
    </rPh>
    <rPh sb="35" eb="37">
      <t>トクベツ</t>
    </rPh>
    <rPh sb="44" eb="47">
      <t>ジシュテキ</t>
    </rPh>
    <rPh sb="48" eb="50">
      <t>サンカ</t>
    </rPh>
    <rPh sb="53" eb="55">
      <t>ガクシュウ</t>
    </rPh>
    <rPh sb="56" eb="57">
      <t>ト</t>
    </rPh>
    <rPh sb="58" eb="59">
      <t>ク</t>
    </rPh>
    <rPh sb="60" eb="61">
      <t>スガタ</t>
    </rPh>
    <rPh sb="67" eb="69">
      <t>カンシン</t>
    </rPh>
    <rPh sb="74" eb="76">
      <t>コンゴ</t>
    </rPh>
    <rPh sb="77" eb="80">
      <t>ジュギョウナイ</t>
    </rPh>
    <rPh sb="82" eb="85">
      <t>セッキョクテキ</t>
    </rPh>
    <rPh sb="86" eb="88">
      <t>ハツゲン</t>
    </rPh>
    <rPh sb="92" eb="94">
      <t>ジブン</t>
    </rPh>
    <rPh sb="95" eb="96">
      <t>カンガ</t>
    </rPh>
    <rPh sb="98" eb="100">
      <t>シュウイ</t>
    </rPh>
    <rPh sb="101" eb="102">
      <t>ヒト</t>
    </rPh>
    <rPh sb="103" eb="104">
      <t>ツタ</t>
    </rPh>
    <rPh sb="106" eb="107">
      <t>チカラ</t>
    </rPh>
    <rPh sb="108" eb="110">
      <t>ジブン</t>
    </rPh>
    <rPh sb="111" eb="112">
      <t>カンガ</t>
    </rPh>
    <rPh sb="116" eb="117">
      <t>フカ</t>
    </rPh>
    <rPh sb="119" eb="121">
      <t>キカイ</t>
    </rPh>
    <rPh sb="125" eb="126">
      <t>ヨ</t>
    </rPh>
    <rPh sb="130" eb="133">
      <t>タイイクサイ</t>
    </rPh>
    <rPh sb="136" eb="137">
      <t>ハジ</t>
    </rPh>
    <rPh sb="139" eb="141">
      <t>サンカ</t>
    </rPh>
    <rPh sb="148" eb="150">
      <t>トモダチ</t>
    </rPh>
    <rPh sb="151" eb="153">
      <t>イッショ</t>
    </rPh>
    <rPh sb="157" eb="159">
      <t>ショウリ</t>
    </rPh>
    <rPh sb="162" eb="164">
      <t>モクヒョウ</t>
    </rPh>
    <rPh sb="165" eb="166">
      <t>ム</t>
    </rPh>
    <rPh sb="170" eb="174">
      <t>イッショウケンメイ</t>
    </rPh>
    <rPh sb="175" eb="177">
      <t>ドリョク</t>
    </rPh>
    <rPh sb="192" eb="194">
      <t>センバツ</t>
    </rPh>
    <rPh sb="199" eb="201">
      <t>ガクネン</t>
    </rPh>
    <rPh sb="201" eb="203">
      <t>ダイヒョウ</t>
    </rPh>
    <rPh sb="207" eb="209">
      <t>ドウドウ</t>
    </rPh>
    <rPh sb="210" eb="211">
      <t>ハシ</t>
    </rPh>
    <rPh sb="212" eb="213">
      <t>キ</t>
    </rPh>
    <rPh sb="223" eb="224">
      <t>ハジ</t>
    </rPh>
    <rPh sb="227" eb="229">
      <t>サンカ</t>
    </rPh>
    <rPh sb="237" eb="239">
      <t>ホンキ</t>
    </rPh>
    <rPh sb="243" eb="245">
      <t>サイゴ</t>
    </rPh>
    <rPh sb="247" eb="248">
      <t>ト</t>
    </rPh>
    <rPh sb="249" eb="250">
      <t>ク</t>
    </rPh>
    <rPh sb="251" eb="252">
      <t>スガタ</t>
    </rPh>
    <rPh sb="256" eb="258">
      <t>スバ</t>
    </rPh>
    <rPh sb="266" eb="268">
      <t>セイカツ</t>
    </rPh>
    <rPh sb="268" eb="269">
      <t>メン</t>
    </rPh>
    <rPh sb="272" eb="273">
      <t>スコ</t>
    </rPh>
    <rPh sb="276" eb="278">
      <t>ガッコウ</t>
    </rPh>
    <rPh sb="278" eb="280">
      <t>セイカツ</t>
    </rPh>
    <rPh sb="281" eb="282">
      <t>ナ</t>
    </rPh>
    <rPh sb="286" eb="288">
      <t>ヨウス</t>
    </rPh>
    <rPh sb="289" eb="290">
      <t>ミアイテカオミハナシキテッテイゴガッコウセイカツイシキセイカツセイカツメンハジコロトモダチカンケイナヤヨウスセイカツオクナカリョウコウカンケイキズガッキサラセイチョウキタイ</t>
    </rPh>
    <rPh sb="300" eb="302">
      <t>トモダチ</t>
    </rPh>
    <rPh sb="303" eb="305">
      <t>リサ</t>
    </rPh>
    <rPh sb="308" eb="309">
      <t>ハヤ</t>
    </rPh>
    <rPh sb="314" eb="316">
      <t>ナジ</t>
    </rPh>
    <rPh sb="326" eb="328">
      <t>コウドウ</t>
    </rPh>
    <rPh sb="341" eb="343">
      <t>ヒゴロ</t>
    </rPh>
    <rPh sb="345" eb="347">
      <t>リサ</t>
    </rPh>
    <rPh sb="350" eb="351">
      <t>ダレ</t>
    </rPh>
    <rPh sb="354" eb="355">
      <t>ヤサ</t>
    </rPh>
    <rPh sb="357" eb="358">
      <t>セッ</t>
    </rPh>
    <rPh sb="366" eb="367">
      <t>スガタ</t>
    </rPh>
    <rPh sb="375" eb="377">
      <t>コンゴ</t>
    </rPh>
    <rPh sb="379" eb="381">
      <t>ジブン</t>
    </rPh>
    <rPh sb="383" eb="386">
      <t>セッキョクテキ</t>
    </rPh>
    <rPh sb="387" eb="388">
      <t>カカ</t>
    </rPh>
    <rPh sb="391" eb="392">
      <t>モ</t>
    </rPh>
    <rPh sb="401" eb="402">
      <t>サラ</t>
    </rPh>
    <rPh sb="403" eb="405">
      <t>ユウコウ</t>
    </rPh>
    <rPh sb="405" eb="407">
      <t>カンケイ</t>
    </rPh>
    <rPh sb="408" eb="409">
      <t>ヒロ</t>
    </rPh>
    <rPh sb="419" eb="420">
      <t>スコ</t>
    </rPh>
    <rPh sb="423" eb="424">
      <t>オオ</t>
    </rPh>
    <rPh sb="429" eb="431">
      <t>チョウセン</t>
    </rPh>
    <rPh sb="442" eb="444">
      <t>ガッキ</t>
    </rPh>
    <rPh sb="445" eb="446">
      <t>サラ</t>
    </rPh>
    <rPh sb="448" eb="450">
      <t>セイチョウ</t>
    </rPh>
    <rPh sb="451" eb="453">
      <t>キタイ</t>
    </rPh>
    <phoneticPr fontId="1"/>
  </si>
  <si>
    <t>学習面では、どの教科においても集中して取り組み、毎日の授業と宿題にコツコツと取り組むことができました。こういった取り組みが学力向上には大切になります。今後もこの調子で取り組みましょう。授業では、自分の意見や考えを発表することを心掛けることで、周囲の人に伝える力や発言から自分の考えをより深めることにもつながります。意識して取り組みましょう。体育祭では、勝利という目標に向かって全力で取り組むことができました。特に、５・６年生の大玉運びでは、自分のグループがスムーズに大玉を運ぶことができるように、意見を伝えたり、声を掛け合って練習したりすることができました。生活面では、係や委員会など自分の役割を精一杯果たそうと行動をすることができました。また、部活動にも一生懸命に取り組む姿がありました。紋子さんの何事にもしっかりと取り組むことができます。凡事徹底は物事を取り組む上でとても大切です。今後も大切にしてください。２学期の更なる成長に期待しています。</t>
    <rPh sb="0" eb="3">
      <t>ガクシュウメン</t>
    </rPh>
    <rPh sb="8" eb="10">
      <t>キョウカ</t>
    </rPh>
    <rPh sb="15" eb="17">
      <t>シュウチュウ</t>
    </rPh>
    <rPh sb="19" eb="20">
      <t>ト</t>
    </rPh>
    <rPh sb="21" eb="22">
      <t>ク</t>
    </rPh>
    <rPh sb="24" eb="26">
      <t>マイニチ</t>
    </rPh>
    <rPh sb="27" eb="29">
      <t>ジュギョウ</t>
    </rPh>
    <rPh sb="30" eb="32">
      <t>シュクダイ</t>
    </rPh>
    <rPh sb="38" eb="39">
      <t>ト</t>
    </rPh>
    <rPh sb="40" eb="41">
      <t>ク</t>
    </rPh>
    <rPh sb="56" eb="57">
      <t>ト</t>
    </rPh>
    <rPh sb="58" eb="59">
      <t>ク</t>
    </rPh>
    <rPh sb="61" eb="63">
      <t>ガクリョク</t>
    </rPh>
    <rPh sb="63" eb="65">
      <t>コウジョウ</t>
    </rPh>
    <rPh sb="67" eb="69">
      <t>タイセツ</t>
    </rPh>
    <rPh sb="75" eb="77">
      <t>コンゴ</t>
    </rPh>
    <rPh sb="80" eb="82">
      <t>チョウシ</t>
    </rPh>
    <rPh sb="83" eb="84">
      <t>ト</t>
    </rPh>
    <rPh sb="85" eb="86">
      <t>ク</t>
    </rPh>
    <rPh sb="92" eb="94">
      <t>ジュギョウ</t>
    </rPh>
    <rPh sb="97" eb="99">
      <t>ジブン</t>
    </rPh>
    <rPh sb="100" eb="102">
      <t>イケン</t>
    </rPh>
    <rPh sb="103" eb="104">
      <t>カンガ</t>
    </rPh>
    <rPh sb="106" eb="108">
      <t>ハッピョウ</t>
    </rPh>
    <rPh sb="113" eb="115">
      <t>ココロガ</t>
    </rPh>
    <rPh sb="121" eb="123">
      <t>シュウイ</t>
    </rPh>
    <rPh sb="124" eb="125">
      <t>ヒト</t>
    </rPh>
    <rPh sb="126" eb="127">
      <t>ツタ</t>
    </rPh>
    <rPh sb="129" eb="130">
      <t>チカラ</t>
    </rPh>
    <rPh sb="131" eb="133">
      <t>ハツゲン</t>
    </rPh>
    <rPh sb="135" eb="137">
      <t>ジブン</t>
    </rPh>
    <rPh sb="138" eb="139">
      <t>カンガ</t>
    </rPh>
    <rPh sb="143" eb="144">
      <t>フカ</t>
    </rPh>
    <rPh sb="157" eb="159">
      <t>イシキ</t>
    </rPh>
    <rPh sb="161" eb="162">
      <t>ト</t>
    </rPh>
    <rPh sb="163" eb="164">
      <t>ク</t>
    </rPh>
    <rPh sb="170" eb="173">
      <t>タイイクサイ</t>
    </rPh>
    <rPh sb="176" eb="178">
      <t>ショウリ</t>
    </rPh>
    <rPh sb="181" eb="183">
      <t>モクヒョウ</t>
    </rPh>
    <rPh sb="184" eb="185">
      <t>ム</t>
    </rPh>
    <rPh sb="188" eb="190">
      <t>ゼンリョク</t>
    </rPh>
    <rPh sb="191" eb="192">
      <t>ト</t>
    </rPh>
    <rPh sb="193" eb="194">
      <t>ク</t>
    </rPh>
    <rPh sb="204" eb="205">
      <t>トク</t>
    </rPh>
    <rPh sb="210" eb="212">
      <t>ネンセイ</t>
    </rPh>
    <rPh sb="213" eb="215">
      <t>オオダマ</t>
    </rPh>
    <rPh sb="215" eb="216">
      <t>ハコ</t>
    </rPh>
    <rPh sb="220" eb="222">
      <t>ジブン</t>
    </rPh>
    <rPh sb="233" eb="235">
      <t>オオダマ</t>
    </rPh>
    <rPh sb="236" eb="237">
      <t>ハコ</t>
    </rPh>
    <rPh sb="248" eb="250">
      <t>イケン</t>
    </rPh>
    <rPh sb="251" eb="252">
      <t>ツタ</t>
    </rPh>
    <rPh sb="256" eb="257">
      <t>コエ</t>
    </rPh>
    <rPh sb="258" eb="259">
      <t>カ</t>
    </rPh>
    <rPh sb="260" eb="261">
      <t>ア</t>
    </rPh>
    <rPh sb="263" eb="265">
      <t>レンシュウ</t>
    </rPh>
    <rPh sb="279" eb="281">
      <t>セイカツ</t>
    </rPh>
    <rPh sb="281" eb="282">
      <t>メン</t>
    </rPh>
    <rPh sb="285" eb="286">
      <t>カカリ</t>
    </rPh>
    <rPh sb="287" eb="290">
      <t>イインカイ</t>
    </rPh>
    <rPh sb="292" eb="294">
      <t>ジブン</t>
    </rPh>
    <rPh sb="295" eb="297">
      <t>ヤクワリ</t>
    </rPh>
    <rPh sb="298" eb="301">
      <t>セイイッパイ</t>
    </rPh>
    <rPh sb="301" eb="302">
      <t>ハ</t>
    </rPh>
    <rPh sb="306" eb="308">
      <t>コウドウ</t>
    </rPh>
    <rPh sb="323" eb="326">
      <t>ブカツドウ</t>
    </rPh>
    <rPh sb="328" eb="332">
      <t>イッショウケンメイ</t>
    </rPh>
    <rPh sb="333" eb="334">
      <t>ト</t>
    </rPh>
    <rPh sb="335" eb="336">
      <t>ク</t>
    </rPh>
    <rPh sb="337" eb="338">
      <t>スガタ</t>
    </rPh>
    <rPh sb="371" eb="375">
      <t>ボンジテッテイ</t>
    </rPh>
    <rPh sb="376" eb="378">
      <t>モノゴト</t>
    </rPh>
    <rPh sb="379" eb="380">
      <t>ト</t>
    </rPh>
    <rPh sb="381" eb="382">
      <t>ク</t>
    </rPh>
    <rPh sb="383" eb="384">
      <t>ウエ</t>
    </rPh>
    <rPh sb="388" eb="390">
      <t>タイセツ</t>
    </rPh>
    <rPh sb="393" eb="395">
      <t>コンゴ</t>
    </rPh>
    <rPh sb="396" eb="398">
      <t>タイセツ</t>
    </rPh>
    <rPh sb="407" eb="409">
      <t>ガッキ</t>
    </rPh>
    <rPh sb="410" eb="411">
      <t>サラ</t>
    </rPh>
    <rPh sb="413" eb="415">
      <t>セイチョウ</t>
    </rPh>
    <rPh sb="416" eb="418">
      <t>キタイ</t>
    </rPh>
    <phoneticPr fontId="1"/>
  </si>
  <si>
    <t>学習面では、授業内で理解できるようにしっかりと学習に取り組むことができました。また、毎日の宿題にもコツコツと取り組むことができました。今後は宿題に丁寧に取り組むことや、理解ができるように工夫して学習に取り組むことができると更に良いです。また、授業内で自分の意見や考えを発言することができると、自分の意見や考えが更に深まる機会となります。意識して授業に取り組みましょう。体育祭では、勝利という目標に向かって、練習から全力で取り組むことができました。特に、大玉運びではグループで上手に運ぶことができるように、声を掛け合いながら取り組む姿にはとても感心しました。生活面では、休み時間になると友達と元気に遊ぶ姿がありました。仲の良い友達と関わりながらも、時間の意識をもって行動できる場面が多くあり、とても立派でした。自分のやるべきことに対してしっかりと取り組もうとする意識は今後も大切にしてください。２学期の更なる成長に期待しています。</t>
    <rPh sb="0" eb="3">
      <t>ガクシュウメン</t>
    </rPh>
    <rPh sb="6" eb="8">
      <t>ジュギョウ</t>
    </rPh>
    <rPh sb="8" eb="9">
      <t>ナイ</t>
    </rPh>
    <rPh sb="10" eb="12">
      <t>リカイ</t>
    </rPh>
    <rPh sb="23" eb="25">
      <t>ガクシュウ</t>
    </rPh>
    <rPh sb="26" eb="27">
      <t>ト</t>
    </rPh>
    <rPh sb="28" eb="29">
      <t>ク</t>
    </rPh>
    <rPh sb="42" eb="44">
      <t>マイニチ</t>
    </rPh>
    <rPh sb="45" eb="47">
      <t>シュクダイ</t>
    </rPh>
    <rPh sb="54" eb="55">
      <t>ト</t>
    </rPh>
    <rPh sb="56" eb="57">
      <t>ク</t>
    </rPh>
    <rPh sb="67" eb="69">
      <t>コンゴ</t>
    </rPh>
    <rPh sb="70" eb="72">
      <t>シュクダイ</t>
    </rPh>
    <rPh sb="73" eb="75">
      <t>テイネイ</t>
    </rPh>
    <rPh sb="76" eb="77">
      <t>ト</t>
    </rPh>
    <rPh sb="78" eb="79">
      <t>ク</t>
    </rPh>
    <rPh sb="84" eb="86">
      <t>リカイ</t>
    </rPh>
    <rPh sb="93" eb="95">
      <t>クフウ</t>
    </rPh>
    <rPh sb="97" eb="99">
      <t>ガクシュウ</t>
    </rPh>
    <rPh sb="100" eb="101">
      <t>ト</t>
    </rPh>
    <rPh sb="102" eb="103">
      <t>ク</t>
    </rPh>
    <rPh sb="111" eb="112">
      <t>サラ</t>
    </rPh>
    <rPh sb="113" eb="114">
      <t>ヨ</t>
    </rPh>
    <rPh sb="121" eb="123">
      <t>ジュギョウ</t>
    </rPh>
    <rPh sb="123" eb="124">
      <t>ナイ</t>
    </rPh>
    <rPh sb="125" eb="127">
      <t>ジブン</t>
    </rPh>
    <rPh sb="128" eb="130">
      <t>イケン</t>
    </rPh>
    <rPh sb="131" eb="132">
      <t>カンガ</t>
    </rPh>
    <rPh sb="134" eb="136">
      <t>ハツゲン</t>
    </rPh>
    <rPh sb="146" eb="148">
      <t>ジブン</t>
    </rPh>
    <rPh sb="149" eb="151">
      <t>イケン</t>
    </rPh>
    <rPh sb="152" eb="153">
      <t>カンガ</t>
    </rPh>
    <rPh sb="155" eb="156">
      <t>サラ</t>
    </rPh>
    <rPh sb="157" eb="158">
      <t>フカ</t>
    </rPh>
    <rPh sb="160" eb="162">
      <t>キカイ</t>
    </rPh>
    <rPh sb="168" eb="170">
      <t>イシキ</t>
    </rPh>
    <rPh sb="172" eb="174">
      <t>ジュギョウ</t>
    </rPh>
    <rPh sb="175" eb="176">
      <t>ト</t>
    </rPh>
    <rPh sb="177" eb="178">
      <t>ク</t>
    </rPh>
    <rPh sb="184" eb="187">
      <t>タイイクサイ</t>
    </rPh>
    <rPh sb="190" eb="192">
      <t>ショウリ</t>
    </rPh>
    <rPh sb="195" eb="197">
      <t>モクヒョウ</t>
    </rPh>
    <rPh sb="198" eb="199">
      <t>ム</t>
    </rPh>
    <rPh sb="203" eb="205">
      <t>レンシュウ</t>
    </rPh>
    <rPh sb="207" eb="209">
      <t>ゼンリョク</t>
    </rPh>
    <rPh sb="210" eb="211">
      <t>ト</t>
    </rPh>
    <rPh sb="212" eb="213">
      <t>ク</t>
    </rPh>
    <rPh sb="223" eb="224">
      <t>トク</t>
    </rPh>
    <rPh sb="226" eb="228">
      <t>オオダマ</t>
    </rPh>
    <rPh sb="228" eb="229">
      <t>ハコ</t>
    </rPh>
    <rPh sb="237" eb="239">
      <t>ウマ</t>
    </rPh>
    <rPh sb="240" eb="241">
      <t>ハコ</t>
    </rPh>
    <rPh sb="252" eb="253">
      <t>コエ</t>
    </rPh>
    <rPh sb="254" eb="255">
      <t>カ</t>
    </rPh>
    <rPh sb="256" eb="257">
      <t>ア</t>
    </rPh>
    <rPh sb="261" eb="262">
      <t>ト</t>
    </rPh>
    <rPh sb="263" eb="264">
      <t>ク</t>
    </rPh>
    <rPh sb="265" eb="266">
      <t>スガタ</t>
    </rPh>
    <rPh sb="271" eb="273">
      <t>カンシン</t>
    </rPh>
    <rPh sb="278" eb="281">
      <t>セイカツメン</t>
    </rPh>
    <rPh sb="284" eb="285">
      <t>ヤス</t>
    </rPh>
    <rPh sb="286" eb="288">
      <t>ジカン</t>
    </rPh>
    <rPh sb="292" eb="294">
      <t>トモダチ</t>
    </rPh>
    <rPh sb="295" eb="297">
      <t>ゲンキ</t>
    </rPh>
    <rPh sb="298" eb="299">
      <t>アソ</t>
    </rPh>
    <rPh sb="300" eb="301">
      <t>スガタ</t>
    </rPh>
    <rPh sb="308" eb="309">
      <t>ナカ</t>
    </rPh>
    <rPh sb="310" eb="311">
      <t>ヨ</t>
    </rPh>
    <rPh sb="312" eb="314">
      <t>トモダチ</t>
    </rPh>
    <rPh sb="315" eb="316">
      <t>カカ</t>
    </rPh>
    <rPh sb="332" eb="334">
      <t>コウドウ</t>
    </rPh>
    <rPh sb="337" eb="339">
      <t>バメン</t>
    </rPh>
    <rPh sb="340" eb="341">
      <t>オオ</t>
    </rPh>
    <rPh sb="348" eb="350">
      <t>リッパ</t>
    </rPh>
    <rPh sb="354" eb="356">
      <t>ジブン</t>
    </rPh>
    <rPh sb="364" eb="365">
      <t>タイ</t>
    </rPh>
    <rPh sb="372" eb="373">
      <t>ト</t>
    </rPh>
    <rPh sb="374" eb="375">
      <t>ク</t>
    </rPh>
    <rPh sb="380" eb="382">
      <t>イシキ</t>
    </rPh>
    <rPh sb="383" eb="385">
      <t>コンゴ</t>
    </rPh>
    <rPh sb="386" eb="388">
      <t>タイセツ</t>
    </rPh>
    <rPh sb="397" eb="399">
      <t>ガッキ</t>
    </rPh>
    <rPh sb="400" eb="401">
      <t>サラ</t>
    </rPh>
    <rPh sb="403" eb="405">
      <t>セイチョウ</t>
    </rPh>
    <rPh sb="406" eb="408">
      <t>キタイマエタチョウセンホオモキカイジブンセイチョウキカイマエムトラセイカツオクガッキサラセイチョウキタイ</t>
    </rPh>
    <phoneticPr fontId="1"/>
  </si>
  <si>
    <t>学習面では、どの教科においても理解をしようとしっかりと取り組むことができました。また、毎日の宿題においてもコツコツと取り組むことができていました。一方で、授業中に自分の意見や考えを伝えることにやや消極的な面が見られます。自分の意見を相手にわかりやすく伝える力や自分の考えをより深めるためにも、授業内で発言することを意識して学習ができると更に良いです。体育祭では、勝利という目標に向かって一生懸命に取り組むことができました。特に応援練習では、本気になって声を出して取り組む姿にはとても感心しました。今後の生活でも、挨拶や返事などしっかりと声を出すべき場面で、自分の声を発することを心掛けましょう。生活面では、休み時間に友達と元気に外で遊ぶ姿がたくさん見られました。友達と関わりを持ちながらも、やるべき時には、自分でけじめをつけて行動できる姿が多くありました。この意識を今後の生活でも大切にしてください。２学期の更なる成長に期待しています。</t>
    <rPh sb="0" eb="3">
      <t>ガクシュウメン</t>
    </rPh>
    <rPh sb="8" eb="10">
      <t>キョウカ</t>
    </rPh>
    <rPh sb="15" eb="17">
      <t>リカイ</t>
    </rPh>
    <rPh sb="27" eb="28">
      <t>ト</t>
    </rPh>
    <rPh sb="29" eb="30">
      <t>ク</t>
    </rPh>
    <rPh sb="43" eb="45">
      <t>マイニチ</t>
    </rPh>
    <rPh sb="46" eb="48">
      <t>シュクダイ</t>
    </rPh>
    <rPh sb="58" eb="59">
      <t>ト</t>
    </rPh>
    <rPh sb="60" eb="61">
      <t>ク</t>
    </rPh>
    <rPh sb="73" eb="75">
      <t>イッポウ</t>
    </rPh>
    <rPh sb="77" eb="80">
      <t>ジュギョウチュウ</t>
    </rPh>
    <rPh sb="81" eb="83">
      <t>ジブン</t>
    </rPh>
    <rPh sb="84" eb="86">
      <t>イケン</t>
    </rPh>
    <rPh sb="87" eb="88">
      <t>カンガ</t>
    </rPh>
    <rPh sb="90" eb="91">
      <t>ツタ</t>
    </rPh>
    <rPh sb="98" eb="101">
      <t>ショウキョクテキ</t>
    </rPh>
    <rPh sb="102" eb="103">
      <t>メン</t>
    </rPh>
    <rPh sb="104" eb="105">
      <t>ミ</t>
    </rPh>
    <rPh sb="110" eb="112">
      <t>ジブン</t>
    </rPh>
    <rPh sb="113" eb="115">
      <t>イケン</t>
    </rPh>
    <rPh sb="116" eb="118">
      <t>アイテ</t>
    </rPh>
    <rPh sb="125" eb="126">
      <t>ツタ</t>
    </rPh>
    <rPh sb="128" eb="129">
      <t>チカラ</t>
    </rPh>
    <rPh sb="130" eb="132">
      <t>ジブン</t>
    </rPh>
    <rPh sb="133" eb="134">
      <t>カンガ</t>
    </rPh>
    <rPh sb="138" eb="139">
      <t>フカ</t>
    </rPh>
    <rPh sb="146" eb="149">
      <t>ジュギョウナイ</t>
    </rPh>
    <rPh sb="150" eb="152">
      <t>ハツゲン</t>
    </rPh>
    <rPh sb="157" eb="159">
      <t>イシキ</t>
    </rPh>
    <rPh sb="161" eb="163">
      <t>ガクシュウ</t>
    </rPh>
    <rPh sb="168" eb="169">
      <t>サラ</t>
    </rPh>
    <rPh sb="170" eb="171">
      <t>ヨ</t>
    </rPh>
    <rPh sb="175" eb="178">
      <t>タイイクサイ</t>
    </rPh>
    <rPh sb="181" eb="183">
      <t>ショウリ</t>
    </rPh>
    <rPh sb="186" eb="188">
      <t>モクヒョウ</t>
    </rPh>
    <rPh sb="189" eb="190">
      <t>ム</t>
    </rPh>
    <rPh sb="193" eb="197">
      <t>イッショウケンメイ</t>
    </rPh>
    <rPh sb="198" eb="199">
      <t>ト</t>
    </rPh>
    <rPh sb="200" eb="201">
      <t>ク</t>
    </rPh>
    <rPh sb="211" eb="212">
      <t>トク</t>
    </rPh>
    <rPh sb="213" eb="215">
      <t>オウエン</t>
    </rPh>
    <rPh sb="215" eb="217">
      <t>レンシュウ</t>
    </rPh>
    <rPh sb="220" eb="222">
      <t>ホンキ</t>
    </rPh>
    <rPh sb="226" eb="227">
      <t>コエ</t>
    </rPh>
    <rPh sb="228" eb="229">
      <t>ダ</t>
    </rPh>
    <rPh sb="231" eb="232">
      <t>ト</t>
    </rPh>
    <rPh sb="233" eb="234">
      <t>ク</t>
    </rPh>
    <rPh sb="235" eb="236">
      <t>スガタ</t>
    </rPh>
    <rPh sb="241" eb="243">
      <t>カンシン</t>
    </rPh>
    <rPh sb="248" eb="250">
      <t>コンゴ</t>
    </rPh>
    <rPh sb="251" eb="253">
      <t>セイカツ</t>
    </rPh>
    <rPh sb="256" eb="258">
      <t>アイサツ</t>
    </rPh>
    <rPh sb="259" eb="261">
      <t>ヘンジ</t>
    </rPh>
    <rPh sb="268" eb="269">
      <t>コエ</t>
    </rPh>
    <rPh sb="270" eb="271">
      <t>ダ</t>
    </rPh>
    <rPh sb="274" eb="276">
      <t>バメン</t>
    </rPh>
    <rPh sb="278" eb="280">
      <t>ジブン</t>
    </rPh>
    <rPh sb="281" eb="282">
      <t>コエ</t>
    </rPh>
    <rPh sb="283" eb="284">
      <t>ハッ</t>
    </rPh>
    <rPh sb="289" eb="291">
      <t>ココロガ</t>
    </rPh>
    <rPh sb="297" eb="300">
      <t>セイカツメン</t>
    </rPh>
    <rPh sb="303" eb="304">
      <t>ヤス</t>
    </rPh>
    <rPh sb="305" eb="307">
      <t>ジカン</t>
    </rPh>
    <rPh sb="308" eb="310">
      <t>トモダチ</t>
    </rPh>
    <rPh sb="311" eb="313">
      <t>ゲンキ</t>
    </rPh>
    <rPh sb="314" eb="315">
      <t>ソト</t>
    </rPh>
    <rPh sb="316" eb="317">
      <t>アソ</t>
    </rPh>
    <rPh sb="318" eb="319">
      <t>スガタ</t>
    </rPh>
    <rPh sb="324" eb="325">
      <t>ミ</t>
    </rPh>
    <rPh sb="331" eb="333">
      <t>トモダチ</t>
    </rPh>
    <rPh sb="334" eb="335">
      <t>カカ</t>
    </rPh>
    <rPh sb="338" eb="339">
      <t>モ</t>
    </rPh>
    <rPh sb="349" eb="350">
      <t>トキ</t>
    </rPh>
    <rPh sb="353" eb="355">
      <t>ジブン</t>
    </rPh>
    <rPh sb="363" eb="365">
      <t>コウドウ</t>
    </rPh>
    <rPh sb="368" eb="369">
      <t>スガタ</t>
    </rPh>
    <rPh sb="370" eb="371">
      <t>オオ</t>
    </rPh>
    <rPh sb="380" eb="382">
      <t>イシキ</t>
    </rPh>
    <rPh sb="383" eb="385">
      <t>コンゴ</t>
    </rPh>
    <rPh sb="386" eb="388">
      <t>セイカツ</t>
    </rPh>
    <rPh sb="390" eb="392">
      <t>タイセツ</t>
    </rPh>
    <rPh sb="401" eb="403">
      <t>ガッキ</t>
    </rPh>
    <rPh sb="404" eb="405">
      <t>サラ</t>
    </rPh>
    <rPh sb="407" eb="409">
      <t>セイチョウ</t>
    </rPh>
    <rPh sb="410" eb="412">
      <t>キタイ</t>
    </rPh>
    <phoneticPr fontId="1"/>
  </si>
  <si>
    <t>学習面では、毎日の宿題にコツコツと取り組み学習することができました。授業においても積極的に自分の意見や考えを伝えて、自分のためになる学習をすることができました。よく話を聞いて１時間の授業で理解できるように取り組む姿はとても立派です。また、国語の漢字においては、その高い理解力を発揮して、毎回の漢字テストで高い得点をとることができていました。一方で、時折集中力に欠けると、姿勢の乱れや私語が目立つ場面がありました。高い理解力があるだけにもったいなく思います。より学力が向上できるように、まずは、姿勢の乱れに気をつけて取り組みましょう。体育祭では、勝利という目標に向かって何事にも全力で取り組むことができました。練習では、目標を達成するためにチームに声をかけたり、フォローをしたりする姿にとても感心しました。照真君は、自分で決めたことに対して全力で最後まで取り組む力があり、周囲の人をまとめて行動することができます。このリーダー性はとても素晴らしいです。クラスでも、みんなが照真君の頑張ろうとする行動に協力をする場面が多くあります。その目標に向かって努力をする力を今後も大切にしてください。２学期の更なる成長に期待しています。</t>
    <rPh sb="0" eb="3">
      <t>ガクシュウメン</t>
    </rPh>
    <rPh sb="6" eb="8">
      <t>マイニチ</t>
    </rPh>
    <rPh sb="9" eb="11">
      <t>シュクダイ</t>
    </rPh>
    <rPh sb="17" eb="18">
      <t>ト</t>
    </rPh>
    <rPh sb="19" eb="20">
      <t>ク</t>
    </rPh>
    <rPh sb="21" eb="23">
      <t>ガクシュウ</t>
    </rPh>
    <rPh sb="34" eb="36">
      <t>ジュギョウ</t>
    </rPh>
    <rPh sb="41" eb="44">
      <t>セッキョクテキ</t>
    </rPh>
    <rPh sb="45" eb="47">
      <t>ジブン</t>
    </rPh>
    <rPh sb="48" eb="50">
      <t>イケン</t>
    </rPh>
    <rPh sb="51" eb="52">
      <t>カンガ</t>
    </rPh>
    <rPh sb="54" eb="55">
      <t>ツタ</t>
    </rPh>
    <rPh sb="58" eb="60">
      <t>ジブン</t>
    </rPh>
    <rPh sb="66" eb="68">
      <t>ガクシュウ</t>
    </rPh>
    <rPh sb="82" eb="83">
      <t>ハナシ</t>
    </rPh>
    <rPh sb="84" eb="85">
      <t>キ</t>
    </rPh>
    <rPh sb="88" eb="90">
      <t>ジカン</t>
    </rPh>
    <rPh sb="91" eb="93">
      <t>ジュギョウ</t>
    </rPh>
    <rPh sb="94" eb="96">
      <t>リカイ</t>
    </rPh>
    <rPh sb="102" eb="103">
      <t>ト</t>
    </rPh>
    <rPh sb="104" eb="105">
      <t>ク</t>
    </rPh>
    <rPh sb="106" eb="107">
      <t>スガタ</t>
    </rPh>
    <rPh sb="111" eb="113">
      <t>リッパ</t>
    </rPh>
    <rPh sb="119" eb="121">
      <t>コクゴ</t>
    </rPh>
    <rPh sb="122" eb="124">
      <t>カンジ</t>
    </rPh>
    <rPh sb="132" eb="133">
      <t>タカ</t>
    </rPh>
    <rPh sb="134" eb="137">
      <t>リカイリョク</t>
    </rPh>
    <rPh sb="138" eb="140">
      <t>ハッキ</t>
    </rPh>
    <rPh sb="143" eb="145">
      <t>マイカイ</t>
    </rPh>
    <rPh sb="146" eb="148">
      <t>カンジ</t>
    </rPh>
    <rPh sb="152" eb="153">
      <t>タカ</t>
    </rPh>
    <rPh sb="154" eb="156">
      <t>トクテン</t>
    </rPh>
    <rPh sb="170" eb="172">
      <t>イッポウ</t>
    </rPh>
    <rPh sb="174" eb="176">
      <t>トキオリ</t>
    </rPh>
    <rPh sb="176" eb="179">
      <t>シュウチュウリョク</t>
    </rPh>
    <rPh sb="180" eb="181">
      <t>カ</t>
    </rPh>
    <rPh sb="185" eb="187">
      <t>シセイ</t>
    </rPh>
    <rPh sb="188" eb="189">
      <t>ミダ</t>
    </rPh>
    <rPh sb="191" eb="193">
      <t>シゴ</t>
    </rPh>
    <rPh sb="194" eb="196">
      <t>メダ</t>
    </rPh>
    <rPh sb="197" eb="199">
      <t>バメン</t>
    </rPh>
    <rPh sb="206" eb="207">
      <t>タカ</t>
    </rPh>
    <rPh sb="208" eb="211">
      <t>リカイリョク</t>
    </rPh>
    <rPh sb="223" eb="224">
      <t>オモ</t>
    </rPh>
    <rPh sb="230" eb="232">
      <t>ガクリョク</t>
    </rPh>
    <rPh sb="233" eb="235">
      <t>コウジョウ</t>
    </rPh>
    <rPh sb="246" eb="248">
      <t>シセイ</t>
    </rPh>
    <rPh sb="249" eb="250">
      <t>ミダ</t>
    </rPh>
    <rPh sb="252" eb="253">
      <t>キ</t>
    </rPh>
    <rPh sb="257" eb="258">
      <t>ト</t>
    </rPh>
    <rPh sb="259" eb="260">
      <t>ク</t>
    </rPh>
    <rPh sb="266" eb="269">
      <t>タイイクサイ</t>
    </rPh>
    <rPh sb="272" eb="274">
      <t>ショウリ</t>
    </rPh>
    <rPh sb="277" eb="279">
      <t>モクヒョウ</t>
    </rPh>
    <rPh sb="280" eb="281">
      <t>ム</t>
    </rPh>
    <rPh sb="284" eb="286">
      <t>ナニゴト</t>
    </rPh>
    <rPh sb="288" eb="290">
      <t>ゼンリョク</t>
    </rPh>
    <rPh sb="291" eb="292">
      <t>ト</t>
    </rPh>
    <rPh sb="293" eb="294">
      <t>ク</t>
    </rPh>
    <rPh sb="304" eb="306">
      <t>レンシュウ</t>
    </rPh>
    <rPh sb="309" eb="311">
      <t>モクヒョウ</t>
    </rPh>
    <rPh sb="312" eb="314">
      <t>タッセイ</t>
    </rPh>
    <rPh sb="323" eb="324">
      <t>コエ</t>
    </rPh>
    <rPh sb="340" eb="341">
      <t>スガタ</t>
    </rPh>
    <rPh sb="345" eb="347">
      <t>カンシン</t>
    </rPh>
    <phoneticPr fontId="1"/>
  </si>
  <si>
    <t>学習面では、理解をしようと話を聞いて授業に取り組む姿がありました。自分の中で、算数に対して苦手意識があるようです。学習は、すぐにできるようにはなりません。また、自分でコツコツと努力をする意識を持つことでしか、できるようにはなりません。授業や宿題に取り組むことはもちろんですが、家庭学習の時間を時間を作って、補うことができると良いです。学習では、小さな努力を継続することを大切にしましょう。体育祭では、勝利という目標に向かって全力で取り組むことができました。チームのために協力をして行動する姿があり、とても立派でした。生活面では、休み時間になると友達と元気に外で遊ぶ姿がありました。愛羅さんは、明るい笑顔とユーモアのある言葉で友達に接することができるため、周囲の雰囲気を明るくできる力があります。一方、時にその言葉で相手が切ない思いをしてしまうと感じられる場面がありました。言葉には相手を明るくすることも傷つけることもできるということを意識して、良さを発揮できるようにして欲しいと思います。２学期の更なる成長に期待しています。</t>
    <rPh sb="0" eb="3">
      <t>ガクシュウメン</t>
    </rPh>
    <rPh sb="6" eb="8">
      <t>リカイ</t>
    </rPh>
    <rPh sb="13" eb="14">
      <t>ハナシ</t>
    </rPh>
    <rPh sb="15" eb="16">
      <t>キ</t>
    </rPh>
    <rPh sb="18" eb="20">
      <t>ジュギョウ</t>
    </rPh>
    <rPh sb="21" eb="22">
      <t>ト</t>
    </rPh>
    <rPh sb="23" eb="24">
      <t>ク</t>
    </rPh>
    <rPh sb="25" eb="26">
      <t>スガタ</t>
    </rPh>
    <rPh sb="33" eb="35">
      <t>ジブン</t>
    </rPh>
    <rPh sb="36" eb="37">
      <t>ナカ</t>
    </rPh>
    <rPh sb="39" eb="41">
      <t>サンスウ</t>
    </rPh>
    <rPh sb="42" eb="43">
      <t>タイ</t>
    </rPh>
    <rPh sb="45" eb="49">
      <t>ニガテイシキ</t>
    </rPh>
    <rPh sb="57" eb="59">
      <t>ガクシュウ</t>
    </rPh>
    <rPh sb="80" eb="82">
      <t>ジブン</t>
    </rPh>
    <rPh sb="88" eb="90">
      <t>ドリョク</t>
    </rPh>
    <rPh sb="93" eb="95">
      <t>イシキ</t>
    </rPh>
    <rPh sb="96" eb="97">
      <t>モ</t>
    </rPh>
    <rPh sb="117" eb="119">
      <t>ジュギョウ</t>
    </rPh>
    <rPh sb="120" eb="122">
      <t>シュクダイ</t>
    </rPh>
    <rPh sb="123" eb="124">
      <t>ト</t>
    </rPh>
    <rPh sb="125" eb="126">
      <t>ク</t>
    </rPh>
    <rPh sb="138" eb="142">
      <t>カテイガクシュウ</t>
    </rPh>
    <rPh sb="143" eb="145">
      <t>ジカン</t>
    </rPh>
    <rPh sb="146" eb="148">
      <t>ジカン</t>
    </rPh>
    <rPh sb="149" eb="150">
      <t>ツク</t>
    </rPh>
    <rPh sb="153" eb="154">
      <t>オギナ</t>
    </rPh>
    <rPh sb="162" eb="163">
      <t>ヨ</t>
    </rPh>
    <rPh sb="167" eb="169">
      <t>ガクシュウ</t>
    </rPh>
    <rPh sb="172" eb="173">
      <t>チイ</t>
    </rPh>
    <rPh sb="175" eb="177">
      <t>ドリョク</t>
    </rPh>
    <rPh sb="178" eb="180">
      <t>ケイゾク</t>
    </rPh>
    <rPh sb="185" eb="187">
      <t>タイセツ</t>
    </rPh>
    <rPh sb="194" eb="197">
      <t>タイイクサイ</t>
    </rPh>
    <rPh sb="200" eb="202">
      <t>ショウリ</t>
    </rPh>
    <rPh sb="205" eb="207">
      <t>モクヒョウ</t>
    </rPh>
    <rPh sb="208" eb="209">
      <t>ム</t>
    </rPh>
    <rPh sb="212" eb="214">
      <t>ゼンリョク</t>
    </rPh>
    <rPh sb="215" eb="216">
      <t>ト</t>
    </rPh>
    <rPh sb="217" eb="218">
      <t>ク</t>
    </rPh>
    <rPh sb="235" eb="237">
      <t>キョウリョク</t>
    </rPh>
    <rPh sb="240" eb="242">
      <t>コウドウ</t>
    </rPh>
    <rPh sb="244" eb="245">
      <t>スガタ</t>
    </rPh>
    <rPh sb="252" eb="254">
      <t>リッパ</t>
    </rPh>
    <rPh sb="258" eb="261">
      <t>セイカツメン</t>
    </rPh>
    <rPh sb="264" eb="265">
      <t>ヤス</t>
    </rPh>
    <rPh sb="266" eb="268">
      <t>ジカン</t>
    </rPh>
    <rPh sb="272" eb="274">
      <t>トモダチ</t>
    </rPh>
    <rPh sb="275" eb="277">
      <t>ゲンキ</t>
    </rPh>
    <rPh sb="278" eb="279">
      <t>ソト</t>
    </rPh>
    <rPh sb="280" eb="281">
      <t>アソ</t>
    </rPh>
    <rPh sb="282" eb="283">
      <t>スガタ</t>
    </rPh>
    <rPh sb="290" eb="292">
      <t>アイラ</t>
    </rPh>
    <rPh sb="296" eb="297">
      <t>アカ</t>
    </rPh>
    <rPh sb="299" eb="301">
      <t>エガオ</t>
    </rPh>
    <rPh sb="309" eb="311">
      <t>コトバ</t>
    </rPh>
    <rPh sb="312" eb="314">
      <t>トモダチ</t>
    </rPh>
    <rPh sb="315" eb="316">
      <t>セッ</t>
    </rPh>
    <rPh sb="327" eb="329">
      <t>シュウイ</t>
    </rPh>
    <rPh sb="330" eb="333">
      <t>フンイキ</t>
    </rPh>
    <rPh sb="334" eb="335">
      <t>アカ</t>
    </rPh>
    <rPh sb="340" eb="341">
      <t>チカラ</t>
    </rPh>
    <rPh sb="347" eb="349">
      <t>イッポウ</t>
    </rPh>
    <rPh sb="350" eb="351">
      <t>トキ</t>
    </rPh>
    <rPh sb="354" eb="356">
      <t>コトバ</t>
    </rPh>
    <rPh sb="357" eb="359">
      <t>アイテ</t>
    </rPh>
    <rPh sb="360" eb="361">
      <t>セツ</t>
    </rPh>
    <rPh sb="363" eb="364">
      <t>オモ</t>
    </rPh>
    <rPh sb="372" eb="373">
      <t>カン</t>
    </rPh>
    <rPh sb="377" eb="379">
      <t>バメン</t>
    </rPh>
    <rPh sb="386" eb="388">
      <t>コトバ</t>
    </rPh>
    <rPh sb="390" eb="392">
      <t>アイテ</t>
    </rPh>
    <rPh sb="393" eb="394">
      <t>アカ</t>
    </rPh>
    <rPh sb="401" eb="402">
      <t>キズ</t>
    </rPh>
    <rPh sb="417" eb="419">
      <t>イシキ</t>
    </rPh>
    <rPh sb="422" eb="423">
      <t>ヨ</t>
    </rPh>
    <rPh sb="425" eb="427">
      <t>ハッキ</t>
    </rPh>
    <rPh sb="435" eb="436">
      <t>ホ</t>
    </rPh>
    <rPh sb="439" eb="440">
      <t>オモ</t>
    </rPh>
    <rPh sb="445" eb="447">
      <t>ガッキ</t>
    </rPh>
    <rPh sb="448" eb="449">
      <t>サラ</t>
    </rPh>
    <rPh sb="451" eb="453">
      <t>セイチョウ</t>
    </rPh>
    <rPh sb="454" eb="456">
      <t>キタイ</t>
    </rPh>
    <phoneticPr fontId="1"/>
  </si>
  <si>
    <t>学習面では、どの教科においても落ち着いて取り組むことができました。また、毎日の宿題をしっかりと提出してコツコツと学習に取り組むことができました。一方、定期テストでは、試験時間内に問題を解き終えることができなかった様子がありました。今後の学習では、時間を意識しながら学習に取り組むとともに、試験では解き方の工夫をして取り組むことができるようにしましょう。体育祭では、勝利という目標に向かって全力で取り組むことができました。特に、応援練習では本気になって声を出したり、演舞を覚えようとしたりする姿があり、とても立派でした。今後の生活でも、目標を達成するために本気になって努力をすることを大切にしましょう。生活面では、休み時間になると元気に外で遊ぶ姿が多くありました。また、委員会や係の仕事など自分の役割を果たそうと行動をすることができました。今後は、みんなの前に立って意見をまとめたり、指示を出したりすることに挑戦をすることができると、悠さんの更なる成長につながります。２学期の活躍に期待しています。</t>
    <rPh sb="0" eb="3">
      <t>ガクシュウメン</t>
    </rPh>
    <rPh sb="8" eb="10">
      <t>キョウカ</t>
    </rPh>
    <rPh sb="15" eb="16">
      <t>オ</t>
    </rPh>
    <rPh sb="17" eb="18">
      <t>ツ</t>
    </rPh>
    <rPh sb="20" eb="21">
      <t>ト</t>
    </rPh>
    <rPh sb="22" eb="23">
      <t>ク</t>
    </rPh>
    <rPh sb="36" eb="38">
      <t>マイニチ</t>
    </rPh>
    <rPh sb="39" eb="41">
      <t>シュクダイ</t>
    </rPh>
    <rPh sb="47" eb="49">
      <t>テイシュツ</t>
    </rPh>
    <rPh sb="56" eb="58">
      <t>ガクシュウ</t>
    </rPh>
    <rPh sb="59" eb="60">
      <t>ト</t>
    </rPh>
    <rPh sb="61" eb="62">
      <t>ク</t>
    </rPh>
    <rPh sb="72" eb="74">
      <t>イッポウ</t>
    </rPh>
    <rPh sb="75" eb="77">
      <t>テイキ</t>
    </rPh>
    <rPh sb="83" eb="87">
      <t>シケンジカン</t>
    </rPh>
    <rPh sb="87" eb="88">
      <t>ナイ</t>
    </rPh>
    <rPh sb="89" eb="91">
      <t>モンダイ</t>
    </rPh>
    <rPh sb="92" eb="93">
      <t>ト</t>
    </rPh>
    <rPh sb="94" eb="95">
      <t>オ</t>
    </rPh>
    <rPh sb="106" eb="108">
      <t>ヨウス</t>
    </rPh>
    <rPh sb="115" eb="117">
      <t>コンゴ</t>
    </rPh>
    <rPh sb="118" eb="120">
      <t>ガクシュウ</t>
    </rPh>
    <rPh sb="123" eb="125">
      <t>ジカン</t>
    </rPh>
    <rPh sb="126" eb="128">
      <t>イシキ</t>
    </rPh>
    <rPh sb="132" eb="134">
      <t>ガクシュウ</t>
    </rPh>
    <rPh sb="135" eb="136">
      <t>ト</t>
    </rPh>
    <rPh sb="137" eb="138">
      <t>ク</t>
    </rPh>
    <rPh sb="144" eb="146">
      <t>シケン</t>
    </rPh>
    <rPh sb="148" eb="149">
      <t>ト</t>
    </rPh>
    <rPh sb="150" eb="151">
      <t>カタ</t>
    </rPh>
    <rPh sb="152" eb="154">
      <t>クフウ</t>
    </rPh>
    <rPh sb="157" eb="158">
      <t>ト</t>
    </rPh>
    <rPh sb="159" eb="160">
      <t>ク</t>
    </rPh>
    <rPh sb="176" eb="179">
      <t>タイイクサイ</t>
    </rPh>
    <rPh sb="182" eb="184">
      <t>ショウリ</t>
    </rPh>
    <rPh sb="187" eb="189">
      <t>モクヒョウ</t>
    </rPh>
    <rPh sb="190" eb="191">
      <t>ム</t>
    </rPh>
    <rPh sb="194" eb="196">
      <t>ゼンリョク</t>
    </rPh>
    <rPh sb="197" eb="198">
      <t>ト</t>
    </rPh>
    <rPh sb="199" eb="200">
      <t>ク</t>
    </rPh>
    <rPh sb="210" eb="211">
      <t>トク</t>
    </rPh>
    <rPh sb="213" eb="217">
      <t>オウエンレンシュウ</t>
    </rPh>
    <rPh sb="219" eb="221">
      <t>ホンキ</t>
    </rPh>
    <rPh sb="225" eb="226">
      <t>コエ</t>
    </rPh>
    <rPh sb="227" eb="228">
      <t>ダ</t>
    </rPh>
    <rPh sb="232" eb="234">
      <t>エンブ</t>
    </rPh>
    <rPh sb="235" eb="236">
      <t>オボ</t>
    </rPh>
    <rPh sb="245" eb="246">
      <t>スガタ</t>
    </rPh>
    <rPh sb="253" eb="255">
      <t>リッパ</t>
    </rPh>
    <rPh sb="259" eb="261">
      <t>コンゴ</t>
    </rPh>
    <rPh sb="262" eb="264">
      <t>セイカツ</t>
    </rPh>
    <rPh sb="267" eb="269">
      <t>モクヒョウ</t>
    </rPh>
    <rPh sb="270" eb="272">
      <t>タッセイ</t>
    </rPh>
    <rPh sb="277" eb="279">
      <t>ホンキ</t>
    </rPh>
    <rPh sb="283" eb="285">
      <t>ドリョク</t>
    </rPh>
    <rPh sb="291" eb="293">
      <t>タイセツ</t>
    </rPh>
    <rPh sb="300" eb="303">
      <t>セイカツメン</t>
    </rPh>
    <rPh sb="306" eb="307">
      <t>ヤス</t>
    </rPh>
    <rPh sb="308" eb="310">
      <t>ジカン</t>
    </rPh>
    <rPh sb="314" eb="316">
      <t>ゲンキ</t>
    </rPh>
    <rPh sb="317" eb="318">
      <t>ソト</t>
    </rPh>
    <rPh sb="319" eb="320">
      <t>アソ</t>
    </rPh>
    <rPh sb="321" eb="322">
      <t>スガタ</t>
    </rPh>
    <rPh sb="323" eb="324">
      <t>オオ</t>
    </rPh>
    <rPh sb="334" eb="337">
      <t>イインカイ</t>
    </rPh>
    <rPh sb="338" eb="339">
      <t>カカリ</t>
    </rPh>
    <rPh sb="340" eb="342">
      <t>シゴト</t>
    </rPh>
    <rPh sb="344" eb="346">
      <t>ジブン</t>
    </rPh>
    <rPh sb="347" eb="349">
      <t>ヤクワリ</t>
    </rPh>
    <rPh sb="350" eb="351">
      <t>ハ</t>
    </rPh>
    <rPh sb="355" eb="357">
      <t>コウドウ</t>
    </rPh>
    <rPh sb="369" eb="371">
      <t>コンゴ</t>
    </rPh>
    <rPh sb="377" eb="378">
      <t>マエ</t>
    </rPh>
    <rPh sb="379" eb="380">
      <t>タ</t>
    </rPh>
    <rPh sb="382" eb="384">
      <t>イケン</t>
    </rPh>
    <rPh sb="391" eb="393">
      <t>シジ</t>
    </rPh>
    <rPh sb="394" eb="395">
      <t>ダ</t>
    </rPh>
    <rPh sb="403" eb="405">
      <t>チョウセン</t>
    </rPh>
    <rPh sb="416" eb="417">
      <t>ユウ</t>
    </rPh>
    <rPh sb="420" eb="421">
      <t>サラ</t>
    </rPh>
    <rPh sb="423" eb="425">
      <t>セイチョウ</t>
    </rPh>
    <rPh sb="434" eb="436">
      <t>ガッキ</t>
    </rPh>
    <rPh sb="437" eb="439">
      <t>カツヤクアイテカオミハナシキテッテイゴガッコウセイカツイシキセイカツセイカツメンハジコロトモダチカンケイナヤヨウスセイカツオクナカリョウコウカンケイキズガッキサラセイチョウキタイ</t>
    </rPh>
    <rPh sb="440" eb="442">
      <t>キタイ</t>
    </rPh>
    <phoneticPr fontId="1"/>
  </si>
  <si>
    <t>学習面では、落ち着いて授業に取り組むことができました。また、毎日の宿題にもコツコツと取り組むことができました。一方で、取り組みの丁寧さには課題があります。まずは、文字を丁寧に書くことを心掛け、後に見直しをしたときに分かりやすくまとめることができているかを大切に学習をしましょう。体育祭では、勝利という目標に向かって全力で取り組むことができました。特に、応援練習では本気になって声を出す姿があり、とても感心しました。生活面では、休み時間になると友達と元気に外で遊ぶ姿が多くありました。今後の生活でも自分からいろいろな人に関わりを持って、生活を送ることができるといいです。また、時間意識をもって過ごすことができ、三分前行動一分前着席を徹底することができました。自分のやるべきことにしっかりと取り組むことができるのは、とても素晴らしいです。今後の生活でも続けていきましょう。２学期の更なる成長に期待しています。</t>
    <rPh sb="0" eb="3">
      <t>ガクシュウメン</t>
    </rPh>
    <rPh sb="6" eb="7">
      <t>オ</t>
    </rPh>
    <rPh sb="8" eb="9">
      <t>ツ</t>
    </rPh>
    <rPh sb="11" eb="13">
      <t>ジュギョウ</t>
    </rPh>
    <rPh sb="14" eb="15">
      <t>ト</t>
    </rPh>
    <rPh sb="16" eb="17">
      <t>ク</t>
    </rPh>
    <rPh sb="30" eb="32">
      <t>マイニチ</t>
    </rPh>
    <rPh sb="33" eb="35">
      <t>シュクダイ</t>
    </rPh>
    <rPh sb="42" eb="43">
      <t>ト</t>
    </rPh>
    <rPh sb="44" eb="45">
      <t>ク</t>
    </rPh>
    <rPh sb="55" eb="57">
      <t>イッポウ</t>
    </rPh>
    <rPh sb="59" eb="60">
      <t>ト</t>
    </rPh>
    <rPh sb="61" eb="62">
      <t>ク</t>
    </rPh>
    <rPh sb="64" eb="66">
      <t>テイネイ</t>
    </rPh>
    <rPh sb="69" eb="71">
      <t>カダイ</t>
    </rPh>
    <rPh sb="81" eb="83">
      <t>モジ</t>
    </rPh>
    <rPh sb="84" eb="86">
      <t>テイネイ</t>
    </rPh>
    <rPh sb="87" eb="88">
      <t>カ</t>
    </rPh>
    <rPh sb="92" eb="94">
      <t>ココロガ</t>
    </rPh>
    <rPh sb="96" eb="97">
      <t>ノチ</t>
    </rPh>
    <rPh sb="98" eb="100">
      <t>ミナオ</t>
    </rPh>
    <rPh sb="107" eb="108">
      <t>ワ</t>
    </rPh>
    <rPh sb="127" eb="129">
      <t>タイセツ</t>
    </rPh>
    <rPh sb="130" eb="132">
      <t>ガクシュウ</t>
    </rPh>
    <rPh sb="139" eb="142">
      <t>タイイクサイ</t>
    </rPh>
    <rPh sb="145" eb="147">
      <t>ショウリ</t>
    </rPh>
    <rPh sb="150" eb="152">
      <t>モクヒョウ</t>
    </rPh>
    <rPh sb="153" eb="154">
      <t>ム</t>
    </rPh>
    <rPh sb="157" eb="159">
      <t>ゼンリョク</t>
    </rPh>
    <rPh sb="160" eb="161">
      <t>ト</t>
    </rPh>
    <rPh sb="162" eb="163">
      <t>クアイテカオミハナシキテッテイゴガッコウセイカツイシキセイカツセイカツメンハジコロトモダチカンケイナヤヨウスセイカツオクナカリョウコウカンケイキズガッキサラセイチョウキタイ</t>
    </rPh>
    <rPh sb="173" eb="174">
      <t>トク</t>
    </rPh>
    <rPh sb="176" eb="178">
      <t>オウエン</t>
    </rPh>
    <rPh sb="178" eb="180">
      <t>レンシュウ</t>
    </rPh>
    <rPh sb="182" eb="184">
      <t>ホンキ</t>
    </rPh>
    <rPh sb="188" eb="189">
      <t>コエ</t>
    </rPh>
    <rPh sb="190" eb="191">
      <t>ダ</t>
    </rPh>
    <rPh sb="192" eb="193">
      <t>スガタ</t>
    </rPh>
    <rPh sb="200" eb="202">
      <t>カンシン</t>
    </rPh>
    <rPh sb="207" eb="210">
      <t>セイカツメン</t>
    </rPh>
    <rPh sb="213" eb="214">
      <t>ヤス</t>
    </rPh>
    <rPh sb="215" eb="217">
      <t>ジカン</t>
    </rPh>
    <rPh sb="221" eb="223">
      <t>トモダチ</t>
    </rPh>
    <rPh sb="224" eb="226">
      <t>ゲンキ</t>
    </rPh>
    <rPh sb="227" eb="228">
      <t>ソト</t>
    </rPh>
    <rPh sb="229" eb="230">
      <t>アソ</t>
    </rPh>
    <rPh sb="231" eb="232">
      <t>スガタ</t>
    </rPh>
    <rPh sb="233" eb="234">
      <t>オオ</t>
    </rPh>
    <rPh sb="385" eb="387">
      <t>ガッキ</t>
    </rPh>
    <rPh sb="388" eb="389">
      <t>サラ</t>
    </rPh>
    <rPh sb="391" eb="393">
      <t>セイチョウ</t>
    </rPh>
    <rPh sb="394" eb="396">
      <t>キタイ</t>
    </rPh>
    <phoneticPr fontId="1"/>
  </si>
  <si>
    <t>学習面では、授業内で理解できるようにしっかりと学習に取り組むことができました。また、毎日の宿題にもコツコツと取り組むことができていました。また、授業内でも自分の意見や考えを発表しようと挙手をする場面もあり、とても立派でした。一方で、テスト勉強では何から手をつければ良いのか分からずに、困惑している場面がありました。まずは、漢字や基本的な計算、英単語など繰り返し書いて覚えるなどの学習をしましょう。体育祭では、勝利という目標に向かって全力で取り組むことができました。特に、大玉運びではグループで協力して声を掛け合って練習に取り組む姿がありました。今後の生活でも、目標に向かって本気になって取り組む気持ちを大切にして過ごしましょう。生活面では、休み時間になると、友達と元気に遊ぶ姿が多くありました。また、時間意識をもって過ごすことができ、三分前行動一分前着席を徹底することができました。自分のやるべきことにしっかりと取り組むことができるのは、とても素晴らしいです。今後の生活でも続けていきましょう。２学期の更なる成長に期待しています。</t>
    <rPh sb="0" eb="3">
      <t>ガクシュウメン</t>
    </rPh>
    <rPh sb="6" eb="8">
      <t>ジュギョウ</t>
    </rPh>
    <rPh sb="8" eb="9">
      <t>ナイ</t>
    </rPh>
    <rPh sb="10" eb="12">
      <t>リカイ</t>
    </rPh>
    <rPh sb="23" eb="25">
      <t>ガクシュウ</t>
    </rPh>
    <rPh sb="26" eb="27">
      <t>ト</t>
    </rPh>
    <rPh sb="28" eb="29">
      <t>ク</t>
    </rPh>
    <rPh sb="42" eb="44">
      <t>マイニチ</t>
    </rPh>
    <rPh sb="45" eb="47">
      <t>シュクダイ</t>
    </rPh>
    <rPh sb="54" eb="55">
      <t>ト</t>
    </rPh>
    <rPh sb="56" eb="57">
      <t>クアイテカオミハナシキテッテイゴガッコウセイカツイシキセイカツセイカツメンハジコロトモダチカンケイナヤヨウスセイカツオクナカリョウコウカンケイキズガッキサラセイチョウキタイ</t>
    </rPh>
    <rPh sb="72" eb="75">
      <t>ジュギョウナイ</t>
    </rPh>
    <rPh sb="77" eb="79">
      <t>ジブン</t>
    </rPh>
    <rPh sb="80" eb="82">
      <t>イケン</t>
    </rPh>
    <rPh sb="83" eb="84">
      <t>カンガ</t>
    </rPh>
    <rPh sb="86" eb="88">
      <t>ハッピョウ</t>
    </rPh>
    <rPh sb="92" eb="94">
      <t>キョシュ</t>
    </rPh>
    <rPh sb="97" eb="99">
      <t>バメン</t>
    </rPh>
    <rPh sb="106" eb="108">
      <t>リッパ</t>
    </rPh>
    <rPh sb="112" eb="114">
      <t>イッポウ</t>
    </rPh>
    <rPh sb="119" eb="121">
      <t>ベンキョウ</t>
    </rPh>
    <rPh sb="123" eb="124">
      <t>ナニ</t>
    </rPh>
    <rPh sb="126" eb="127">
      <t>テ</t>
    </rPh>
    <rPh sb="132" eb="133">
      <t>ヨ</t>
    </rPh>
    <rPh sb="136" eb="137">
      <t>ワ</t>
    </rPh>
    <rPh sb="142" eb="144">
      <t>コンワク</t>
    </rPh>
    <rPh sb="148" eb="150">
      <t>バメン</t>
    </rPh>
    <rPh sb="161" eb="163">
      <t>カンジ</t>
    </rPh>
    <rPh sb="164" eb="167">
      <t>キホンテキ</t>
    </rPh>
    <rPh sb="168" eb="170">
      <t>ケイサン</t>
    </rPh>
    <rPh sb="171" eb="174">
      <t>エイタンゴ</t>
    </rPh>
    <rPh sb="176" eb="177">
      <t>ク</t>
    </rPh>
    <rPh sb="178" eb="179">
      <t>カエ</t>
    </rPh>
    <rPh sb="180" eb="181">
      <t>カ</t>
    </rPh>
    <rPh sb="183" eb="184">
      <t>オボ</t>
    </rPh>
    <rPh sb="189" eb="191">
      <t>ガクシュウ</t>
    </rPh>
    <rPh sb="198" eb="201">
      <t>タイイクサイ</t>
    </rPh>
    <rPh sb="204" eb="206">
      <t>ショウリ</t>
    </rPh>
    <rPh sb="209" eb="211">
      <t>モクヒョウ</t>
    </rPh>
    <rPh sb="212" eb="213">
      <t>ム</t>
    </rPh>
    <rPh sb="216" eb="218">
      <t>ゼンリョク</t>
    </rPh>
    <rPh sb="219" eb="220">
      <t>ト</t>
    </rPh>
    <rPh sb="221" eb="222">
      <t>ク</t>
    </rPh>
    <rPh sb="232" eb="233">
      <t>トク</t>
    </rPh>
    <rPh sb="235" eb="237">
      <t>オオダマ</t>
    </rPh>
    <rPh sb="237" eb="238">
      <t>ハコ</t>
    </rPh>
    <rPh sb="246" eb="248">
      <t>キョウリョク</t>
    </rPh>
    <rPh sb="250" eb="251">
      <t>コエ</t>
    </rPh>
    <rPh sb="252" eb="253">
      <t>カ</t>
    </rPh>
    <rPh sb="254" eb="255">
      <t>ア</t>
    </rPh>
    <rPh sb="257" eb="259">
      <t>レンシュウ</t>
    </rPh>
    <rPh sb="260" eb="261">
      <t>ト</t>
    </rPh>
    <rPh sb="262" eb="263">
      <t>ク</t>
    </rPh>
    <rPh sb="264" eb="265">
      <t>スガタ</t>
    </rPh>
    <rPh sb="272" eb="274">
      <t>コンゴ</t>
    </rPh>
    <rPh sb="275" eb="277">
      <t>セイカツ</t>
    </rPh>
    <rPh sb="280" eb="282">
      <t>モクヒョウ</t>
    </rPh>
    <rPh sb="283" eb="284">
      <t>ム</t>
    </rPh>
    <rPh sb="287" eb="289">
      <t>ホンキ</t>
    </rPh>
    <rPh sb="293" eb="294">
      <t>ト</t>
    </rPh>
    <rPh sb="295" eb="296">
      <t>ク</t>
    </rPh>
    <rPh sb="297" eb="299">
      <t>キモ</t>
    </rPh>
    <rPh sb="301" eb="303">
      <t>タイセツ</t>
    </rPh>
    <rPh sb="306" eb="307">
      <t>ス</t>
    </rPh>
    <rPh sb="314" eb="317">
      <t>セイカツメン</t>
    </rPh>
    <rPh sb="320" eb="321">
      <t>ヤス</t>
    </rPh>
    <rPh sb="322" eb="324">
      <t>ジカン</t>
    </rPh>
    <rPh sb="329" eb="331">
      <t>トモダチ</t>
    </rPh>
    <rPh sb="332" eb="334">
      <t>ゲンキ</t>
    </rPh>
    <rPh sb="335" eb="336">
      <t>アソ</t>
    </rPh>
    <rPh sb="337" eb="338">
      <t>スガタ</t>
    </rPh>
    <rPh sb="339" eb="340">
      <t>オオ</t>
    </rPh>
    <rPh sb="394" eb="396">
      <t>ガッキ</t>
    </rPh>
    <rPh sb="397" eb="398">
      <t>サラ</t>
    </rPh>
    <rPh sb="400" eb="402">
      <t>セイチョウ</t>
    </rPh>
    <rPh sb="403" eb="405">
      <t>キタイ</t>
    </rPh>
    <phoneticPr fontId="1"/>
  </si>
  <si>
    <t>早退１（体調不良１）</t>
    <rPh sb="0" eb="2">
      <t>ソウタイ</t>
    </rPh>
    <rPh sb="4" eb="8">
      <t>タイチョウフリョウ</t>
    </rPh>
    <phoneticPr fontId="1"/>
  </si>
  <si>
    <t>欠席３（家事都合３）</t>
    <rPh sb="0" eb="2">
      <t>ケッセキ</t>
    </rPh>
    <rPh sb="4" eb="8">
      <t>カジツゴウ</t>
    </rPh>
    <phoneticPr fontId="1"/>
  </si>
  <si>
    <t>この項目は適宜変更して下さい。
※注意※
ただし、項目数は１０個まで。仮に少ない場合も行の削除は絶対に行わないで下さい。</t>
    <phoneticPr fontId="1"/>
  </si>
  <si>
    <t>欠席１（頭痛１）、遅刻３（頭痛１、腹痛２）</t>
    <rPh sb="0" eb="2">
      <t>ケッセキ</t>
    </rPh>
    <rPh sb="4" eb="6">
      <t>ズツウ</t>
    </rPh>
    <rPh sb="9" eb="11">
      <t>チコク</t>
    </rPh>
    <rPh sb="13" eb="15">
      <t>ズツウ</t>
    </rPh>
    <rPh sb="17" eb="19">
      <t>フクツウ</t>
    </rPh>
    <phoneticPr fontId="1"/>
  </si>
  <si>
    <t>B</t>
    <phoneticPr fontId="1"/>
  </si>
  <si>
    <t>A</t>
    <phoneticPr fontId="1"/>
  </si>
  <si>
    <t>C</t>
    <phoneticPr fontId="1"/>
  </si>
  <si>
    <t>-</t>
    <phoneticPr fontId="1"/>
  </si>
  <si>
    <t>A</t>
    <phoneticPr fontId="1"/>
  </si>
  <si>
    <t>この項目は適宜変更して下さい。
※注意※
ただし、項目数は１０個まで。仮に少ない場合も行の削除は絶対に行わないで下さい。</t>
    <phoneticPr fontId="1"/>
  </si>
  <si>
    <t>A</t>
    <phoneticPr fontId="1"/>
  </si>
  <si>
    <t>B</t>
    <phoneticPr fontId="1"/>
  </si>
  <si>
    <t>C</t>
    <phoneticPr fontId="1"/>
  </si>
  <si>
    <t>-</t>
    <phoneticPr fontId="1"/>
  </si>
  <si>
    <t>この項目は適宜変更して下さい。
※注意※
ただし、項目数は１０個まで。仮に少ない場合も行の削除は絶対に行わないで下さい。</t>
    <phoneticPr fontId="1"/>
  </si>
  <si>
    <t>主体的に学習に取り組む態度</t>
    <phoneticPr fontId="1"/>
  </si>
  <si>
    <t>【まとめテスト９５点A、GWレポートA、調理実習レポートA、ノートA】</t>
    <phoneticPr fontId="1"/>
  </si>
  <si>
    <t>【まとめテスト８３点A、GWレポートA、調理実習レポートA、ノートA】</t>
    <phoneticPr fontId="1"/>
  </si>
  <si>
    <t>【まとめテスト６７点B、GWレポートA、調理実習レポートA、ノートA】</t>
    <phoneticPr fontId="1"/>
  </si>
  <si>
    <t>総合所見</t>
    <phoneticPr fontId="1"/>
  </si>
  <si>
    <t>400～450</t>
    <phoneticPr fontId="10" type="Hiragana" alignment="distributed"/>
  </si>
  <si>
    <t>忌引き１（祖母葬儀のため）、出席停止４（コロナウイルス罹患のため４）</t>
    <rPh sb="0" eb="2">
      <t>キビ</t>
    </rPh>
    <rPh sb="5" eb="7">
      <t>ソボ</t>
    </rPh>
    <rPh sb="7" eb="9">
      <t>ソウギ</t>
    </rPh>
    <rPh sb="14" eb="18">
      <t>シュッセキテイシ</t>
    </rPh>
    <rPh sb="27" eb="29">
      <t>リカン</t>
    </rPh>
    <phoneticPr fontId="1"/>
  </si>
  <si>
    <t>欠席３（風邪３）、早退１（体調不良1）</t>
    <rPh sb="0" eb="2">
      <t>ケッセキ</t>
    </rPh>
    <rPh sb="4" eb="6">
      <t>カゼ</t>
    </rPh>
    <rPh sb="9" eb="11">
      <t>ソウタイ</t>
    </rPh>
    <rPh sb="13" eb="17">
      <t>タイチョウフリョウ</t>
    </rPh>
    <phoneticPr fontId="1"/>
  </si>
  <si>
    <t>欠席６（腹痛２、風邪４）、遅刻１０（家事都合１０）</t>
    <rPh sb="0" eb="2">
      <t>ケッセキ</t>
    </rPh>
    <rPh sb="4" eb="6">
      <t>フクツウ</t>
    </rPh>
    <rPh sb="8" eb="10">
      <t>カゼ</t>
    </rPh>
    <rPh sb="13" eb="15">
      <t>チコク</t>
    </rPh>
    <rPh sb="18" eb="22">
      <t>カジツゴウ</t>
    </rPh>
    <phoneticPr fontId="1"/>
  </si>
  <si>
    <t>欠席６（体調不良６）</t>
    <rPh sb="0" eb="2">
      <t>ケッセキ</t>
    </rPh>
    <rPh sb="4" eb="6">
      <t>タイチョウ</t>
    </rPh>
    <rPh sb="6" eb="8">
      <t>フリョウ</t>
    </rPh>
    <phoneticPr fontId="1"/>
  </si>
  <si>
    <t>この項目は適宜変更して下さい。
※注意※
ただし、項目数は１０個まで。仮に少ない場合も行の削除は絶対に行わないで下さい。</t>
    <phoneticPr fontId="1"/>
  </si>
  <si>
    <t>A</t>
    <phoneticPr fontId="1"/>
  </si>
  <si>
    <t>B</t>
    <phoneticPr fontId="1"/>
  </si>
  <si>
    <t>C</t>
    <phoneticPr fontId="1"/>
  </si>
  <si>
    <t>思考力・表現力・判断力（単元テスト・定期テスト）</t>
    <phoneticPr fontId="1"/>
  </si>
  <si>
    <t>この項目は適宜変更して下さい。
※注意※
ただし、項目数は１０個まで。仮に少ない場合も行の削除は絶対に行わないで下さい。</t>
    <phoneticPr fontId="1"/>
  </si>
  <si>
    <t>A</t>
    <phoneticPr fontId="1"/>
  </si>
  <si>
    <t>思考力・表現力・判断力（定期テスト・単元テスト・まとめノート）</t>
    <phoneticPr fontId="17"/>
  </si>
  <si>
    <t>B</t>
    <phoneticPr fontId="1"/>
  </si>
  <si>
    <t>C</t>
    <phoneticPr fontId="1"/>
  </si>
  <si>
    <t>-</t>
    <phoneticPr fontId="1"/>
  </si>
  <si>
    <t>-</t>
    <phoneticPr fontId="1"/>
  </si>
  <si>
    <t>A</t>
    <phoneticPr fontId="1"/>
  </si>
  <si>
    <t>C</t>
    <phoneticPr fontId="1"/>
  </si>
  <si>
    <t>B</t>
    <phoneticPr fontId="1"/>
  </si>
  <si>
    <t>この項目は適宜変更して下さい。
※注意※
ただし、項目数は１０個まで。仮に少ない場合も行の削除は絶対に行わないで下さい。</t>
    <phoneticPr fontId="1"/>
  </si>
  <si>
    <t>A</t>
    <phoneticPr fontId="1"/>
  </si>
  <si>
    <t>B</t>
    <phoneticPr fontId="1"/>
  </si>
  <si>
    <t>C</t>
    <phoneticPr fontId="1"/>
  </si>
  <si>
    <t>-</t>
    <phoneticPr fontId="1"/>
  </si>
  <si>
    <t>-</t>
    <phoneticPr fontId="1"/>
  </si>
  <si>
    <t>A</t>
    <phoneticPr fontId="1"/>
  </si>
  <si>
    <t>この項目は適宜変更して下さい。
※注意※
ただし、項目数は１０個まで。仮に少ない場合も行の削除は絶対に行わないで下さい。</t>
    <phoneticPr fontId="1"/>
  </si>
  <si>
    <t>A</t>
    <phoneticPr fontId="1"/>
  </si>
  <si>
    <t>C</t>
    <phoneticPr fontId="1"/>
  </si>
  <si>
    <t>知識・技能（まとめテスト・レポート）</t>
    <phoneticPr fontId="18"/>
  </si>
  <si>
    <t xml:space="preserve">【まとめテスト８７点A、GWレポートA、調理実習レポートA、ノートA】
</t>
    <phoneticPr fontId="1"/>
  </si>
  <si>
    <t>【まとめテスト８９点A、GWレポートA、調理実習レポートA、ノートA】
調理実習では、机の上が気になるようで、常に片づけたりふいたりして、きれいにする姿が見られた。</t>
    <phoneticPr fontId="1"/>
  </si>
  <si>
    <t>【まとめテスト８２点A、GWレポートA、調理実習レポートA、ノートA】</t>
    <phoneticPr fontId="1"/>
  </si>
  <si>
    <t>【まとめテスト９０点A、GWレポートA、調理実習レポートA、ノートA】</t>
    <phoneticPr fontId="1"/>
  </si>
  <si>
    <t>【まとめテスト９７点A、GWレポートA、調理実習レポートA、ノートA】</t>
    <phoneticPr fontId="1"/>
  </si>
  <si>
    <t>【まとめテスト７９点B、GWレポートA、調理実習レポートA、ノートA】</t>
    <phoneticPr fontId="1"/>
  </si>
  <si>
    <t>【まとめテスト９２点A、GWレポートA、調理実習レポートA、ノートA】
調理実習では、欠席の子がいて２人で行ったが、２人で分担しながら、他の班のことも気にかけながら行うことができた。</t>
    <phoneticPr fontId="1"/>
  </si>
  <si>
    <t>【まとめテスト９５点A、GWレポートA、調理実習レポートA、ノートA】</t>
    <phoneticPr fontId="1"/>
  </si>
  <si>
    <t>150～200</t>
    <phoneticPr fontId="10" type="Hiragana" alignment="distributed"/>
  </si>
  <si>
    <t>A</t>
    <phoneticPr fontId="1"/>
  </si>
  <si>
    <t>B</t>
    <phoneticPr fontId="1"/>
  </si>
  <si>
    <t xml:space="preserve"> 出席日数（自動計算）</t>
    <phoneticPr fontId="1"/>
  </si>
  <si>
    <t xml:space="preserve"> 欠席日数</t>
    <phoneticPr fontId="1"/>
  </si>
  <si>
    <t>出席停止４（コロナウイルス罹患のため４）</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</si>
</sst>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19">
    <font>
      <sz val="11"/>
      <name val="ＭＳ Ｐゴシック"/>
      <family val="3"/>
      <charset val="128"/>
    </font>
    <font>
      <sz val="6"/>
      <name val="ＭＳ Ｐゴシック"/>
      <family val="3"/>
      <charset val="128"/>
    </font>
    <font>
      <sz val="12"/>
      <name val="ＭＳ Ｐ明朝"/>
      <family val="1"/>
      <charset val="128"/>
    </font>
    <font>
      <sz val="11"/>
      <name val="ＭＳ Ｐ明朝"/>
      <family val="1"/>
      <charset val="128"/>
    </font>
    <font>
      <sz val="9"/>
      <name val="ＭＳ Ｐ明朝"/>
      <family val="1"/>
      <charset val="128"/>
    </font>
    <font>
      <sz val="14"/>
      <name val="ＭＳ Ｐ明朝"/>
      <family val="1"/>
      <charset val="128"/>
    </font>
    <font>
      <sz val="13"/>
      <name val="ＭＳ Ｐ明朝"/>
      <family val="1"/>
      <charset val="128"/>
    </font>
    <font>
      <sz val="11"/>
      <color indexed="9"/>
      <name val="ＭＳ Ｐ明朝"/>
      <family val="1"/>
      <charset val="128"/>
    </font>
    <font>
      <sz val="16"/>
      <color indexed="9"/>
      <name val="ＭＳ Ｐ明朝"/>
      <family val="1"/>
      <charset val="128"/>
    </font>
    <font>
      <sz val="11"/>
      <color theme="0"/>
      <name val="ＭＳ Ｐ明朝"/>
      <family val="1"/>
      <charset val="128"/>
    </font>
    <font>
      <b/>
      <sz val="11"/>
      <color indexed="56"/>
      <name val="ＭＳ Ｐゴシック"/>
      <family val="3"/>
      <charset val="128"/>
    </font>
    <font>
      <sz val="16"/>
      <name val="ＭＳ Ｐ明朝"/>
      <family val="1"/>
      <charset val="128"/>
    </font>
    <font>
      <b/>
      <sz val="12"/>
      <name val="ＭＳ Ｐゴシック"/>
      <family val="3"/>
      <charset val="128"/>
    </font>
    <font>
      <sz val="11"/>
      <color theme="0"/>
      <name val="ＭＳ Ｐゴシック"/>
      <family val="3"/>
      <charset val="128"/>
    </font>
    <font>
      <sz val="11"/>
      <color rgb="FF000000"/>
      <name val="ＭＳ Ｐゴシック"/>
      <family val="3"/>
      <charset val="128"/>
    </font>
    <font>
      <sz val="11"/>
      <name val="ＭＳ Ｐゴシック"/>
      <family val="3"/>
      <charset val="128"/>
      <scheme val="minor"/>
    </font>
    <font>
      <b/>
      <sz val="12"/>
      <color theme="0"/>
      <name val="ＭＳ Ｐ明朝"/>
      <family val="1"/>
      <charset val="128"/>
    </font>
    <font>
      <b/>
      <sz val="11"/>
      <color indexed="63"/>
      <name val="ＭＳ Ｐゴシック"/>
      <family val="3"/>
      <charset val="128"/>
    </font>
    <font>
      <sz val="11"/>
      <color rgb="FF9C6500"/>
      <name val="ＭＳ Ｐゴシック"/>
      <family val="2"/>
      <charset val="128"/>
      <scheme val="minor"/>
    </font>
  </fonts>
  <fills count="14">
    <fill>
      <patternFill patternType="none"/>
    </fill>
    <fill>
      <patternFill patternType="gray125"/>
    </fill>
    <fill>
      <patternFill patternType="solid">
        <fgColor indexed="61"/>
        <bgColor indexed="64"/>
      </patternFill>
    </fill>
    <fill>
      <patternFill patternType="solid">
        <fgColor indexed="43"/>
        <bgColor indexed="64"/>
      </patternFill>
    </fill>
    <fill>
      <patternFill patternType="solid">
        <fgColor indexed="54"/>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indexed="50"/>
        <bgColor indexed="64"/>
      </patternFill>
    </fill>
    <fill>
      <patternFill patternType="solid">
        <fgColor indexed="41"/>
        <bgColor indexed="64"/>
      </patternFill>
    </fill>
    <fill>
      <patternFill patternType="solid">
        <fgColor indexed="47"/>
        <bgColor indexed="64"/>
      </patternFill>
    </fill>
    <fill>
      <patternFill patternType="solid">
        <fgColor indexed="46"/>
        <bgColor indexed="64"/>
      </patternFill>
    </fill>
    <fill>
      <patternFill patternType="solid">
        <fgColor theme="1"/>
        <bgColor indexed="64"/>
      </patternFill>
    </fill>
    <fill>
      <patternFill patternType="solid">
        <fgColor theme="0"/>
        <bgColor indexed="64"/>
      </patternFill>
    </fill>
    <fill>
      <patternFill patternType="solid">
        <fgColor theme="6" tint="0.59999389629810485"/>
        <bgColor indexed="64"/>
      </patternFill>
    </fill>
  </fills>
  <borders count="52">
    <border>
      <left/>
      <right/>
      <top/>
      <bottom/>
      <diagonal/>
    </border>
    <border>
      <left/>
      <right/>
      <top/>
      <bottom style="thin">
        <color indexed="64"/>
      </bottom>
      <diagonal/>
    </border>
    <border>
      <left/>
      <right/>
      <top style="thin">
        <color indexed="64"/>
      </top>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right/>
      <top style="hair">
        <color indexed="64"/>
      </top>
      <bottom/>
      <diagonal/>
    </border>
    <border>
      <left/>
      <right style="thin">
        <color indexed="64"/>
      </right>
      <top style="hair">
        <color indexed="64"/>
      </top>
      <bottom/>
      <diagonal/>
    </border>
    <border>
      <left style="thin">
        <color indexed="64"/>
      </left>
      <right/>
      <top style="hair">
        <color indexed="64"/>
      </top>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thin">
        <color indexed="64"/>
      </left>
      <right style="hair">
        <color indexed="64"/>
      </right>
      <top style="thin">
        <color indexed="64"/>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indexed="64"/>
      </left>
      <right/>
      <top style="thin">
        <color indexed="64"/>
      </top>
      <bottom style="hair">
        <color indexed="64"/>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hair">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right style="thin">
        <color indexed="64"/>
      </right>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style="hair">
        <color indexed="64"/>
      </left>
      <right/>
      <top style="thin">
        <color indexed="64"/>
      </top>
      <bottom style="thin">
        <color indexed="64"/>
      </bottom>
      <diagonal/>
    </border>
    <border>
      <left style="hair">
        <color indexed="64"/>
      </left>
      <right style="thin">
        <color indexed="64"/>
      </right>
      <top/>
      <bottom/>
      <diagonal/>
    </border>
    <border>
      <left/>
      <right style="hair">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style="medium">
        <color theme="0"/>
      </left>
      <right style="medium">
        <color theme="0"/>
      </right>
      <top style="medium">
        <color theme="0"/>
      </top>
      <bottom style="medium">
        <color theme="0"/>
      </bottom>
      <diagonal/>
    </border>
    <border>
      <left style="medium">
        <color theme="0"/>
      </left>
      <right/>
      <top style="medium">
        <color theme="0"/>
      </top>
      <bottom style="medium">
        <color theme="0"/>
      </bottom>
      <diagonal/>
    </border>
    <border>
      <left/>
      <right style="medium">
        <color theme="0"/>
      </right>
      <top style="medium">
        <color theme="0"/>
      </top>
      <bottom style="medium">
        <color theme="0"/>
      </bottom>
      <diagonal/>
    </border>
    <border>
      <left style="hair">
        <color indexed="64"/>
      </left>
      <right style="hair">
        <color indexed="64"/>
      </right>
      <top/>
      <bottom/>
      <diagonal/>
    </border>
  </borders>
  <cellStyleXfs count="1">
    <xf numFmtId="0" fontId="0" fillId="0" borderId="0">
      <alignment vertical="center"/>
    </xf>
  </cellStyleXfs>
  <cellXfs count="189">
    <xf numFmtId="0" fontId="0" fillId="0" borderId="0" xfId="0">
      <alignment vertical="center"/>
    </xf>
    <xf numFmtId="0" fontId="3" fillId="0" borderId="1" xfId="0" applyFont="1" applyFill="1" applyBorder="1" applyAlignment="1">
      <alignment horizontal="center" vertical="center"/>
    </xf>
    <xf numFmtId="0" fontId="3" fillId="0" borderId="1" xfId="0" applyFont="1" applyFill="1" applyBorder="1" applyAlignment="1">
      <alignment horizontal="right" vertical="center"/>
    </xf>
    <xf numFmtId="0" fontId="5" fillId="0" borderId="1" xfId="0" applyFont="1" applyFill="1" applyBorder="1" applyAlignment="1">
      <alignment horizontal="center" vertical="center"/>
    </xf>
    <xf numFmtId="0" fontId="3" fillId="0" borderId="1" xfId="0" applyFont="1" applyFill="1" applyBorder="1" applyAlignment="1">
      <alignment vertical="center"/>
    </xf>
    <xf numFmtId="0" fontId="3" fillId="0" borderId="0" xfId="0" applyFont="1" applyFill="1" applyBorder="1" applyAlignment="1">
      <alignment vertical="center"/>
    </xf>
    <xf numFmtId="0" fontId="3" fillId="0" borderId="2" xfId="0" applyFont="1" applyFill="1" applyBorder="1" applyAlignment="1">
      <alignment horizontal="center" vertical="center"/>
    </xf>
    <xf numFmtId="0" fontId="5" fillId="0" borderId="2" xfId="0" applyFont="1" applyFill="1" applyBorder="1" applyAlignment="1">
      <alignment horizontal="center" vertical="center"/>
    </xf>
    <xf numFmtId="0" fontId="3" fillId="0" borderId="0" xfId="0" applyFont="1" applyFill="1">
      <alignment vertical="center"/>
    </xf>
    <xf numFmtId="0" fontId="3" fillId="0" borderId="0" xfId="0" applyFont="1" applyFill="1" applyBorder="1" applyAlignment="1"/>
    <xf numFmtId="0" fontId="3" fillId="0" borderId="2" xfId="0" applyFont="1" applyBorder="1" applyAlignment="1">
      <alignment horizontal="left" vertical="center" shrinkToFit="1"/>
    </xf>
    <xf numFmtId="0" fontId="3" fillId="0" borderId="1" xfId="0" applyFont="1" applyBorder="1" applyAlignment="1">
      <alignment horizontal="left" vertical="center" shrinkToFit="1"/>
    </xf>
    <xf numFmtId="0" fontId="3" fillId="0" borderId="0" xfId="0" applyFont="1" applyFill="1" applyBorder="1" applyAlignment="1">
      <alignment vertical="center" wrapText="1" shrinkToFit="1"/>
    </xf>
    <xf numFmtId="0" fontId="3" fillId="0" borderId="3" xfId="0" applyFont="1" applyFill="1" applyBorder="1" applyAlignment="1">
      <alignment horizontal="center" vertical="center"/>
    </xf>
    <xf numFmtId="0" fontId="3" fillId="0" borderId="0" xfId="0" applyFont="1" applyFill="1" applyBorder="1">
      <alignment vertical="center"/>
    </xf>
    <xf numFmtId="0" fontId="3" fillId="0" borderId="3" xfId="0" applyFont="1" applyBorder="1" applyAlignment="1">
      <alignment horizontal="center" vertical="center"/>
    </xf>
    <xf numFmtId="0" fontId="3" fillId="0" borderId="4" xfId="0" applyFont="1" applyBorder="1" applyAlignment="1">
      <alignment horizontal="center" vertical="center"/>
    </xf>
    <xf numFmtId="0" fontId="3" fillId="0" borderId="5" xfId="0" applyFont="1" applyFill="1" applyBorder="1" applyAlignment="1">
      <alignment horizontal="center" vertical="center"/>
    </xf>
    <xf numFmtId="0" fontId="3" fillId="0" borderId="6" xfId="0" applyFont="1" applyFill="1" applyBorder="1" applyAlignment="1">
      <alignment horizontal="center" vertical="center"/>
    </xf>
    <xf numFmtId="0" fontId="3" fillId="0" borderId="7" xfId="0" applyFont="1" applyFill="1" applyBorder="1" applyAlignment="1">
      <alignment vertical="center"/>
    </xf>
    <xf numFmtId="0" fontId="3" fillId="0" borderId="8" xfId="0" applyFont="1" applyFill="1" applyBorder="1" applyAlignment="1">
      <alignment horizontal="center" vertical="center"/>
    </xf>
    <xf numFmtId="0" fontId="3" fillId="0" borderId="12" xfId="0" applyFont="1" applyFill="1" applyBorder="1" applyAlignment="1">
      <alignment horizontal="center" vertical="center"/>
    </xf>
    <xf numFmtId="0" fontId="3" fillId="0" borderId="13" xfId="0" applyFont="1" applyFill="1" applyBorder="1" applyAlignment="1">
      <alignment horizontal="center" vertical="center"/>
    </xf>
    <xf numFmtId="0" fontId="3" fillId="0" borderId="7" xfId="0" applyFont="1" applyFill="1" applyBorder="1" applyAlignment="1">
      <alignment horizontal="center" vertical="center" textRotation="255"/>
    </xf>
    <xf numFmtId="0" fontId="3" fillId="0" borderId="0" xfId="0" applyFont="1" applyFill="1" applyBorder="1" applyAlignment="1">
      <alignment horizontal="left" vertical="top" wrapText="1"/>
    </xf>
    <xf numFmtId="0" fontId="3" fillId="0" borderId="0" xfId="0" applyFont="1" applyFill="1" applyBorder="1" applyAlignment="1">
      <alignment horizontal="left" vertical="top" wrapText="1" shrinkToFit="1"/>
    </xf>
    <xf numFmtId="0" fontId="3" fillId="0" borderId="0" xfId="0" applyFont="1" applyBorder="1" applyAlignment="1">
      <alignment horizontal="left" vertical="center" shrinkToFit="1"/>
    </xf>
    <xf numFmtId="0" fontId="3" fillId="0" borderId="43" xfId="0" applyFont="1" applyFill="1" applyBorder="1" applyAlignment="1">
      <alignment horizontal="center" vertical="center"/>
    </xf>
    <xf numFmtId="0" fontId="0" fillId="0" borderId="0" xfId="0" applyBorder="1" applyAlignment="1">
      <alignment horizontal="left" vertical="center" shrinkToFit="1"/>
    </xf>
    <xf numFmtId="0" fontId="3" fillId="0" borderId="0" xfId="0" applyFont="1" applyBorder="1" applyAlignment="1">
      <alignment horizontal="center" vertical="center"/>
    </xf>
    <xf numFmtId="0" fontId="3" fillId="0" borderId="0" xfId="0" applyFont="1" applyFill="1" applyBorder="1" applyAlignment="1">
      <alignment vertical="top" wrapText="1" shrinkToFit="1"/>
    </xf>
    <xf numFmtId="0" fontId="3" fillId="0" borderId="2" xfId="0" applyFont="1" applyFill="1" applyBorder="1" applyAlignment="1">
      <alignment horizontal="center" vertical="center" shrinkToFit="1"/>
    </xf>
    <xf numFmtId="0" fontId="3" fillId="0" borderId="1" xfId="0" applyFont="1" applyFill="1" applyBorder="1" applyAlignment="1">
      <alignment horizontal="center" vertical="center" shrinkToFit="1"/>
    </xf>
    <xf numFmtId="0" fontId="8" fillId="2" borderId="14" xfId="0" applyNumberFormat="1" applyFont="1" applyFill="1" applyBorder="1" applyAlignment="1">
      <alignment horizontal="center" vertical="center" wrapText="1"/>
    </xf>
    <xf numFmtId="0" fontId="8" fillId="2" borderId="14" xfId="0" applyFont="1" applyFill="1" applyBorder="1" applyAlignment="1">
      <alignment horizontal="center" vertical="center"/>
    </xf>
    <xf numFmtId="0" fontId="7" fillId="2" borderId="14" xfId="0" applyFont="1" applyFill="1" applyBorder="1" applyAlignment="1">
      <alignment horizontal="center" vertical="center" wrapText="1"/>
    </xf>
    <xf numFmtId="0" fontId="3" fillId="3" borderId="14" xfId="0" applyFont="1" applyFill="1" applyBorder="1" applyAlignment="1">
      <alignment vertical="top" textRotation="255"/>
    </xf>
    <xf numFmtId="0" fontId="3" fillId="0" borderId="0" xfId="0" applyFont="1" applyFill="1" applyAlignment="1">
      <alignment vertical="center" textRotation="255"/>
    </xf>
    <xf numFmtId="0" fontId="3" fillId="3" borderId="14" xfId="0" applyFont="1" applyFill="1" applyBorder="1" applyAlignment="1">
      <alignment horizontal="center" vertical="center"/>
    </xf>
    <xf numFmtId="0" fontId="2" fillId="0" borderId="14" xfId="0" applyFont="1" applyFill="1" applyBorder="1" applyAlignment="1" applyProtection="1">
      <alignment horizontal="center" vertical="center"/>
      <protection locked="0"/>
    </xf>
    <xf numFmtId="0" fontId="9" fillId="0" borderId="0" xfId="0" applyFont="1" applyFill="1">
      <alignment vertical="center"/>
    </xf>
    <xf numFmtId="0" fontId="3" fillId="0" borderId="30" xfId="0" applyFont="1" applyBorder="1" applyAlignment="1" applyProtection="1">
      <alignment vertical="center" shrinkToFit="1"/>
      <protection locked="0"/>
    </xf>
    <xf numFmtId="0" fontId="3" fillId="3" borderId="14" xfId="0" applyFont="1" applyFill="1" applyBorder="1" applyAlignment="1">
      <alignment horizontal="left" vertical="center" wrapText="1"/>
    </xf>
    <xf numFmtId="0" fontId="3" fillId="5" borderId="14" xfId="0" applyFont="1" applyFill="1" applyBorder="1" applyAlignment="1">
      <alignment horizontal="center" vertical="center"/>
    </xf>
    <xf numFmtId="0" fontId="3" fillId="0" borderId="31" xfId="0" applyFont="1" applyFill="1" applyBorder="1" applyAlignment="1">
      <alignment horizontal="left" vertical="center" wrapText="1"/>
    </xf>
    <xf numFmtId="0" fontId="3" fillId="6" borderId="14" xfId="0" applyFont="1" applyFill="1" applyBorder="1" applyAlignment="1">
      <alignment horizontal="center" vertical="center" wrapText="1"/>
    </xf>
    <xf numFmtId="0" fontId="2" fillId="3" borderId="14" xfId="0" applyFont="1" applyFill="1" applyBorder="1" applyAlignment="1" applyProtection="1">
      <alignment vertical="center"/>
      <protection locked="0"/>
    </xf>
    <xf numFmtId="0" fontId="3" fillId="0" borderId="0" xfId="0" applyFont="1" applyFill="1" applyAlignment="1">
      <alignment horizontal="center" vertical="center"/>
    </xf>
    <xf numFmtId="0" fontId="3" fillId="6" borderId="14" xfId="0" applyNumberFormat="1" applyFont="1" applyFill="1" applyBorder="1" applyAlignment="1">
      <alignment horizontal="center" vertical="center" wrapText="1"/>
    </xf>
    <xf numFmtId="0" fontId="3" fillId="0" borderId="14" xfId="0" applyNumberFormat="1" applyFont="1" applyFill="1" applyBorder="1" applyAlignment="1" applyProtection="1">
      <alignment horizontal="left" vertical="center" wrapText="1"/>
      <protection locked="0"/>
    </xf>
    <xf numFmtId="0" fontId="11" fillId="7" borderId="14" xfId="0" applyNumberFormat="1" applyFont="1" applyFill="1" applyBorder="1" applyAlignment="1">
      <alignment horizontal="center" vertical="center"/>
    </xf>
    <xf numFmtId="0" fontId="11" fillId="7" borderId="14" xfId="0" applyFont="1" applyFill="1" applyBorder="1" applyAlignment="1">
      <alignment horizontal="center" vertical="center"/>
    </xf>
    <xf numFmtId="0" fontId="3" fillId="7" borderId="14" xfId="0" applyFont="1" applyFill="1" applyBorder="1" applyAlignment="1">
      <alignment horizontal="center" vertical="center" wrapText="1"/>
    </xf>
    <xf numFmtId="0" fontId="3" fillId="8" borderId="0" xfId="0" applyFont="1" applyFill="1" applyBorder="1" applyAlignment="1">
      <alignment horizontal="left" vertical="center" wrapText="1"/>
    </xf>
    <xf numFmtId="0" fontId="3" fillId="3" borderId="14" xfId="0" applyFont="1" applyFill="1" applyBorder="1" applyAlignment="1" applyProtection="1">
      <alignment vertical="center"/>
      <protection locked="0"/>
    </xf>
    <xf numFmtId="0" fontId="2" fillId="0" borderId="14" xfId="0" applyFont="1" applyFill="1" applyBorder="1" applyProtection="1">
      <alignment vertical="center"/>
      <protection locked="0"/>
    </xf>
    <xf numFmtId="0" fontId="2" fillId="8" borderId="14" xfId="0" applyFont="1" applyFill="1" applyBorder="1">
      <alignment vertical="center"/>
    </xf>
    <xf numFmtId="0" fontId="12" fillId="12" borderId="48" xfId="0" applyFont="1" applyFill="1" applyBorder="1" applyAlignment="1">
      <alignment horizontal="center" vertical="center"/>
    </xf>
    <xf numFmtId="0" fontId="13" fillId="11" borderId="48" xfId="0" applyFont="1" applyFill="1" applyBorder="1" applyAlignment="1">
      <alignment horizontal="center" vertical="center"/>
    </xf>
    <xf numFmtId="0" fontId="3" fillId="0" borderId="0" xfId="0" applyFont="1" applyFill="1" applyAlignment="1">
      <alignment horizontal="left" vertical="center" indent="1"/>
    </xf>
    <xf numFmtId="0" fontId="2" fillId="0" borderId="0" xfId="0" applyFont="1" applyFill="1" applyBorder="1" applyAlignment="1">
      <alignment horizontal="center" vertical="center"/>
    </xf>
    <xf numFmtId="0" fontId="2" fillId="0" borderId="0" xfId="0" applyFont="1" applyFill="1" applyBorder="1" applyAlignment="1">
      <alignment horizontal="right" vertical="center"/>
    </xf>
    <xf numFmtId="0" fontId="3" fillId="0" borderId="18" xfId="0" applyFont="1" applyFill="1" applyBorder="1" applyAlignment="1">
      <alignment vertical="center"/>
    </xf>
    <xf numFmtId="0" fontId="3" fillId="0" borderId="12" xfId="0" applyFont="1" applyFill="1" applyBorder="1" applyAlignment="1">
      <alignment vertical="center"/>
    </xf>
    <xf numFmtId="0" fontId="3" fillId="0" borderId="7" xfId="0" applyFont="1" applyFill="1" applyBorder="1" applyAlignment="1">
      <alignment vertical="center" textRotation="255"/>
    </xf>
    <xf numFmtId="0" fontId="5" fillId="0" borderId="8" xfId="0" applyFont="1" applyFill="1" applyBorder="1" applyAlignment="1">
      <alignment horizontal="center" vertical="center"/>
    </xf>
    <xf numFmtId="0" fontId="3" fillId="0" borderId="39" xfId="0" applyFont="1" applyFill="1" applyBorder="1" applyAlignment="1">
      <alignment horizontal="left" vertical="top" wrapText="1"/>
    </xf>
    <xf numFmtId="0" fontId="3" fillId="0" borderId="19" xfId="0" applyFont="1" applyFill="1" applyBorder="1" applyAlignment="1">
      <alignment vertical="center" textRotation="255"/>
    </xf>
    <xf numFmtId="0" fontId="5" fillId="0" borderId="51" xfId="0" applyFont="1" applyFill="1" applyBorder="1" applyAlignment="1">
      <alignment horizontal="center" vertical="center"/>
    </xf>
    <xf numFmtId="0" fontId="3" fillId="0" borderId="43" xfId="0" applyFont="1" applyFill="1" applyBorder="1" applyAlignment="1">
      <alignment horizontal="left" vertical="top" wrapText="1"/>
    </xf>
    <xf numFmtId="0" fontId="3" fillId="0" borderId="0" xfId="0" applyFont="1" applyFill="1" applyAlignment="1">
      <alignment horizontal="left" vertical="top" wrapText="1"/>
    </xf>
    <xf numFmtId="0" fontId="3" fillId="0" borderId="31" xfId="0" applyFont="1" applyFill="1" applyBorder="1">
      <alignment vertical="center"/>
    </xf>
    <xf numFmtId="0" fontId="2" fillId="0" borderId="0" xfId="0" applyFont="1" applyFill="1" applyBorder="1" applyAlignment="1">
      <alignment horizontal="left" vertical="center" indent="1"/>
    </xf>
    <xf numFmtId="0" fontId="15" fillId="0" borderId="14" xfId="0" applyFont="1" applyBorder="1" applyProtection="1">
      <alignment vertical="center"/>
      <protection locked="0"/>
    </xf>
    <xf numFmtId="0" fontId="9" fillId="0" borderId="0" xfId="0" applyFont="1" applyFill="1" applyProtection="1">
      <alignment vertical="center"/>
      <protection locked="0"/>
    </xf>
    <xf numFmtId="0" fontId="15" fillId="0" borderId="30" xfId="0" applyFont="1" applyBorder="1" applyProtection="1">
      <alignment vertical="center"/>
      <protection locked="0"/>
    </xf>
    <xf numFmtId="0" fontId="3" fillId="3" borderId="14" xfId="0" applyFont="1" applyFill="1" applyBorder="1" applyAlignment="1" applyProtection="1">
      <alignment vertical="center"/>
    </xf>
    <xf numFmtId="0" fontId="3" fillId="3" borderId="14" xfId="0" applyFont="1" applyFill="1" applyBorder="1" applyAlignment="1">
      <alignment vertical="top" textRotation="255" shrinkToFit="1"/>
    </xf>
    <xf numFmtId="0" fontId="3" fillId="0" borderId="30" xfId="0" applyFont="1" applyBorder="1" applyAlignment="1" applyProtection="1">
      <alignment horizontal="left" vertical="center" shrinkToFit="1"/>
      <protection locked="0"/>
    </xf>
    <xf numFmtId="0" fontId="3" fillId="0" borderId="14" xfId="0" applyFont="1" applyFill="1" applyBorder="1" applyAlignment="1">
      <alignment horizontal="right" vertical="center"/>
    </xf>
    <xf numFmtId="0" fontId="16" fillId="0" borderId="0" xfId="0" applyFont="1" applyFill="1" applyBorder="1" applyAlignment="1">
      <alignment vertical="top" wrapText="1" shrinkToFit="1"/>
    </xf>
    <xf numFmtId="0" fontId="3" fillId="13" borderId="14" xfId="0" applyFont="1" applyFill="1" applyBorder="1" applyAlignment="1">
      <alignment horizontal="center" vertical="center" wrapText="1"/>
    </xf>
    <xf numFmtId="0" fontId="8" fillId="2" borderId="14" xfId="0" applyFont="1" applyFill="1" applyBorder="1" applyAlignment="1">
      <alignment horizontal="center" vertical="center" wrapText="1"/>
    </xf>
    <xf numFmtId="0" fontId="3" fillId="0" borderId="0" xfId="0" applyFont="1" applyAlignment="1">
      <alignment vertical="center" textRotation="255"/>
    </xf>
    <xf numFmtId="0" fontId="3" fillId="0" borderId="0" xfId="0" applyFont="1">
      <alignment vertical="center"/>
    </xf>
    <xf numFmtId="0" fontId="2" fillId="0" borderId="14" xfId="0" applyFont="1" applyBorder="1" applyAlignment="1" applyProtection="1">
      <alignment horizontal="center" vertical="center"/>
      <protection locked="0"/>
    </xf>
    <xf numFmtId="0" fontId="9" fillId="0" borderId="0" xfId="0" applyFont="1">
      <alignment vertical="center"/>
    </xf>
    <xf numFmtId="0" fontId="3" fillId="0" borderId="31" xfId="0" applyFont="1" applyBorder="1" applyAlignment="1">
      <alignment horizontal="left" vertical="center" wrapText="1"/>
    </xf>
    <xf numFmtId="0" fontId="2" fillId="3" borderId="14" xfId="0" applyFont="1" applyFill="1" applyBorder="1" applyProtection="1">
      <alignment vertical="center"/>
      <protection locked="0"/>
    </xf>
    <xf numFmtId="0" fontId="0" fillId="0" borderId="0" xfId="0" applyProtection="1">
      <alignment vertical="center"/>
      <protection locked="0"/>
    </xf>
    <xf numFmtId="0" fontId="3" fillId="0" borderId="30" xfId="0" applyFont="1" applyFill="1" applyBorder="1" applyAlignment="1">
      <alignment horizontal="center" vertical="center" shrinkToFit="1"/>
    </xf>
    <xf numFmtId="0" fontId="3" fillId="0" borderId="44" xfId="0" applyFont="1" applyFill="1" applyBorder="1" applyAlignment="1">
      <alignment horizontal="center" vertical="center" shrinkToFit="1"/>
    </xf>
    <xf numFmtId="0" fontId="3" fillId="0" borderId="8" xfId="0" applyFont="1" applyFill="1" applyBorder="1" applyAlignment="1">
      <alignment horizontal="left" vertical="center" wrapText="1" shrinkToFit="1"/>
    </xf>
    <xf numFmtId="0" fontId="3" fillId="0" borderId="39" xfId="0" applyFont="1" applyFill="1" applyBorder="1" applyAlignment="1">
      <alignment horizontal="left" vertical="center" wrapText="1" shrinkToFit="1"/>
    </xf>
    <xf numFmtId="0" fontId="3" fillId="0" borderId="11" xfId="0" applyNumberFormat="1" applyFont="1" applyFill="1" applyBorder="1" applyAlignment="1">
      <alignment horizontal="left" vertical="top" wrapText="1"/>
    </xf>
    <xf numFmtId="0" fontId="3" fillId="0" borderId="9" xfId="0" applyNumberFormat="1" applyFont="1" applyFill="1" applyBorder="1" applyAlignment="1">
      <alignment horizontal="left" vertical="top" wrapText="1"/>
    </xf>
    <xf numFmtId="0" fontId="3" fillId="0" borderId="10" xfId="0" applyNumberFormat="1" applyFont="1" applyFill="1" applyBorder="1" applyAlignment="1">
      <alignment horizontal="left" vertical="top" wrapText="1"/>
    </xf>
    <xf numFmtId="0" fontId="3" fillId="0" borderId="40" xfId="0" applyNumberFormat="1" applyFont="1" applyFill="1" applyBorder="1" applyAlignment="1">
      <alignment horizontal="left" vertical="top" wrapText="1"/>
    </xf>
    <xf numFmtId="0" fontId="3" fillId="0" borderId="0" xfId="0" applyNumberFormat="1" applyFont="1" applyFill="1" applyBorder="1" applyAlignment="1">
      <alignment horizontal="left" vertical="top" wrapText="1"/>
    </xf>
    <xf numFmtId="0" fontId="3" fillId="0" borderId="34" xfId="0" applyNumberFormat="1" applyFont="1" applyFill="1" applyBorder="1" applyAlignment="1">
      <alignment horizontal="left" vertical="top" wrapText="1"/>
    </xf>
    <xf numFmtId="0" fontId="3" fillId="0" borderId="41" xfId="0" applyNumberFormat="1" applyFont="1" applyFill="1" applyBorder="1" applyAlignment="1">
      <alignment horizontal="left" vertical="top" wrapText="1"/>
    </xf>
    <xf numFmtId="0" fontId="3" fillId="0" borderId="1" xfId="0" applyNumberFormat="1" applyFont="1" applyFill="1" applyBorder="1" applyAlignment="1">
      <alignment horizontal="left" vertical="top" wrapText="1"/>
    </xf>
    <xf numFmtId="0" fontId="3" fillId="0" borderId="38" xfId="0" applyNumberFormat="1" applyFont="1" applyFill="1" applyBorder="1" applyAlignment="1">
      <alignment horizontal="left" vertical="top" wrapText="1"/>
    </xf>
    <xf numFmtId="0" fontId="3" fillId="0" borderId="16" xfId="0" applyFont="1" applyBorder="1" applyAlignment="1">
      <alignment horizontal="left" vertical="center" shrinkToFit="1"/>
    </xf>
    <xf numFmtId="0" fontId="0" fillId="0" borderId="25" xfId="0" applyBorder="1" applyAlignment="1">
      <alignment horizontal="left" vertical="center" shrinkToFit="1"/>
    </xf>
    <xf numFmtId="0" fontId="0" fillId="0" borderId="26" xfId="0" applyBorder="1" applyAlignment="1">
      <alignment horizontal="left" vertical="center" shrinkToFit="1"/>
    </xf>
    <xf numFmtId="0" fontId="3" fillId="0" borderId="17" xfId="0" applyFont="1" applyBorder="1" applyAlignment="1">
      <alignment horizontal="left" vertical="center" shrinkToFit="1"/>
    </xf>
    <xf numFmtId="0" fontId="0" fillId="0" borderId="36" xfId="0" applyBorder="1" applyAlignment="1">
      <alignment horizontal="left" vertical="center" shrinkToFit="1"/>
    </xf>
    <xf numFmtId="0" fontId="0" fillId="0" borderId="37" xfId="0" applyBorder="1" applyAlignment="1">
      <alignment horizontal="left" vertical="center" shrinkToFit="1"/>
    </xf>
    <xf numFmtId="0" fontId="3" fillId="0" borderId="30" xfId="0" applyFont="1" applyFill="1" applyBorder="1" applyAlignment="1">
      <alignment horizontal="center" vertical="center"/>
    </xf>
    <xf numFmtId="0" fontId="3" fillId="0" borderId="31" xfId="0" applyFont="1" applyFill="1" applyBorder="1" applyAlignment="1">
      <alignment horizontal="center" vertical="center"/>
    </xf>
    <xf numFmtId="0" fontId="3" fillId="0" borderId="32" xfId="0" applyFont="1" applyFill="1" applyBorder="1" applyAlignment="1">
      <alignment horizontal="center" vertical="center"/>
    </xf>
    <xf numFmtId="0" fontId="3" fillId="0" borderId="16" xfId="0" applyFont="1" applyFill="1" applyBorder="1" applyAlignment="1">
      <alignment horizontal="left" vertical="center" shrinkToFit="1"/>
    </xf>
    <xf numFmtId="0" fontId="3" fillId="0" borderId="25" xfId="0" applyFont="1" applyFill="1" applyBorder="1" applyAlignment="1">
      <alignment horizontal="left" vertical="center" shrinkToFit="1"/>
    </xf>
    <xf numFmtId="0" fontId="3" fillId="0" borderId="26" xfId="0" applyFont="1" applyFill="1" applyBorder="1" applyAlignment="1">
      <alignment horizontal="left" vertical="center" shrinkToFit="1"/>
    </xf>
    <xf numFmtId="0" fontId="3" fillId="0" borderId="29" xfId="0" applyFont="1" applyFill="1" applyBorder="1" applyAlignment="1">
      <alignment horizontal="left" vertical="center"/>
    </xf>
    <xf numFmtId="0" fontId="3" fillId="0" borderId="5" xfId="0" applyFont="1" applyFill="1" applyBorder="1" applyAlignment="1">
      <alignment horizontal="left" vertical="center"/>
    </xf>
    <xf numFmtId="0" fontId="3" fillId="0" borderId="27" xfId="0" applyFont="1" applyFill="1" applyBorder="1" applyAlignment="1">
      <alignment horizontal="left" vertical="center"/>
    </xf>
    <xf numFmtId="0" fontId="3" fillId="0" borderId="28" xfId="0" applyFont="1" applyFill="1" applyBorder="1" applyAlignment="1">
      <alignment horizontal="left" vertical="center"/>
    </xf>
    <xf numFmtId="0" fontId="3" fillId="0" borderId="24" xfId="0" applyFont="1" applyFill="1" applyBorder="1" applyAlignment="1">
      <alignment horizontal="left" vertical="center" shrinkToFit="1"/>
    </xf>
    <xf numFmtId="0" fontId="3" fillId="0" borderId="18" xfId="0" applyFont="1" applyFill="1" applyBorder="1" applyAlignment="1">
      <alignment horizontal="center" vertical="center" textRotation="255"/>
    </xf>
    <xf numFmtId="0" fontId="3" fillId="0" borderId="19" xfId="0" applyFont="1" applyFill="1" applyBorder="1" applyAlignment="1">
      <alignment horizontal="center" vertical="center" textRotation="255"/>
    </xf>
    <xf numFmtId="0" fontId="3" fillId="0" borderId="20" xfId="0" applyFont="1" applyFill="1" applyBorder="1" applyAlignment="1">
      <alignment horizontal="center" vertical="center" textRotation="255"/>
    </xf>
    <xf numFmtId="0" fontId="3" fillId="0" borderId="21" xfId="0" applyFont="1" applyFill="1" applyBorder="1" applyAlignment="1">
      <alignment horizontal="left" vertical="center" shrinkToFit="1"/>
    </xf>
    <xf numFmtId="0" fontId="3" fillId="0" borderId="22" xfId="0" applyFont="1" applyFill="1" applyBorder="1" applyAlignment="1">
      <alignment horizontal="left" vertical="center" shrinkToFit="1"/>
    </xf>
    <xf numFmtId="0" fontId="3" fillId="0" borderId="23" xfId="0" applyFont="1" applyFill="1" applyBorder="1" applyAlignment="1">
      <alignment horizontal="left" vertical="center" shrinkToFit="1"/>
    </xf>
    <xf numFmtId="0" fontId="3" fillId="0" borderId="35" xfId="0" applyFont="1" applyFill="1" applyBorder="1" applyAlignment="1">
      <alignment horizontal="left" vertical="center" shrinkToFit="1"/>
    </xf>
    <xf numFmtId="0" fontId="3" fillId="0" borderId="36" xfId="0" applyFont="1" applyFill="1" applyBorder="1" applyAlignment="1">
      <alignment horizontal="left" vertical="center" shrinkToFit="1"/>
    </xf>
    <xf numFmtId="0" fontId="3" fillId="0" borderId="37" xfId="0" applyFont="1" applyFill="1" applyBorder="1" applyAlignment="1">
      <alignment horizontal="left" vertical="center" shrinkToFit="1"/>
    </xf>
    <xf numFmtId="0" fontId="5" fillId="0" borderId="2" xfId="0" applyFont="1" applyFill="1" applyBorder="1" applyAlignment="1">
      <alignment horizontal="center" vertical="center"/>
    </xf>
    <xf numFmtId="0" fontId="5" fillId="0" borderId="33" xfId="0" applyFont="1" applyFill="1" applyBorder="1" applyAlignment="1">
      <alignment horizontal="center" vertical="center"/>
    </xf>
    <xf numFmtId="0" fontId="5" fillId="0" borderId="0" xfId="0" applyFont="1" applyFill="1" applyBorder="1" applyAlignment="1">
      <alignment horizontal="center" vertical="center"/>
    </xf>
    <xf numFmtId="0" fontId="5" fillId="0" borderId="34" xfId="0" applyFont="1" applyFill="1" applyBorder="1" applyAlignment="1">
      <alignment horizontal="center" vertical="center"/>
    </xf>
    <xf numFmtId="0" fontId="5" fillId="0" borderId="1" xfId="0" applyFont="1" applyFill="1" applyBorder="1" applyAlignment="1">
      <alignment horizontal="center" vertical="center"/>
    </xf>
    <xf numFmtId="0" fontId="5" fillId="0" borderId="38" xfId="0" applyFont="1" applyFill="1" applyBorder="1" applyAlignment="1">
      <alignment horizontal="center" vertical="center"/>
    </xf>
    <xf numFmtId="0" fontId="3" fillId="0" borderId="0" xfId="0" applyNumberFormat="1" applyFont="1" applyFill="1" applyBorder="1" applyAlignment="1">
      <alignment horizontal="center" vertical="center"/>
    </xf>
    <xf numFmtId="0" fontId="2" fillId="0" borderId="0" xfId="0" applyFont="1" applyFill="1" applyBorder="1" applyAlignment="1">
      <alignment horizontal="center" vertical="center"/>
    </xf>
    <xf numFmtId="0" fontId="3" fillId="0" borderId="1" xfId="0" applyFont="1" applyFill="1" applyBorder="1" applyAlignment="1">
      <alignment horizontal="center" vertical="center"/>
    </xf>
    <xf numFmtId="0" fontId="13" fillId="11" borderId="49" xfId="0" applyFont="1" applyFill="1" applyBorder="1" applyAlignment="1">
      <alignment horizontal="center" vertical="center"/>
    </xf>
    <xf numFmtId="0" fontId="13" fillId="11" borderId="50" xfId="0" applyFont="1" applyFill="1" applyBorder="1" applyAlignment="1">
      <alignment horizontal="center" vertical="center"/>
    </xf>
    <xf numFmtId="0" fontId="6" fillId="0" borderId="42" xfId="0" applyFont="1" applyFill="1" applyBorder="1" applyAlignment="1">
      <alignment horizontal="left" vertical="top" wrapText="1"/>
    </xf>
    <xf numFmtId="0" fontId="6" fillId="0" borderId="31" xfId="0" applyFont="1" applyFill="1" applyBorder="1" applyAlignment="1">
      <alignment horizontal="left" vertical="top" wrapText="1"/>
    </xf>
    <xf numFmtId="0" fontId="6" fillId="0" borderId="32" xfId="0" applyFont="1" applyFill="1" applyBorder="1" applyAlignment="1">
      <alignment horizontal="left" vertical="top" wrapText="1"/>
    </xf>
    <xf numFmtId="0" fontId="3" fillId="0" borderId="8" xfId="0" applyFont="1" applyFill="1" applyBorder="1" applyAlignment="1">
      <alignment horizontal="center" vertical="center"/>
    </xf>
    <xf numFmtId="0" fontId="3" fillId="0" borderId="39" xfId="0" applyFont="1" applyFill="1" applyBorder="1" applyAlignment="1">
      <alignment horizontal="center" vertical="center"/>
    </xf>
    <xf numFmtId="0" fontId="2" fillId="0" borderId="8" xfId="0" applyFont="1" applyFill="1" applyBorder="1" applyAlignment="1">
      <alignment horizontal="left" vertical="top" wrapText="1" shrinkToFit="1"/>
    </xf>
    <xf numFmtId="0" fontId="2" fillId="0" borderId="39" xfId="0" applyFont="1" applyFill="1" applyBorder="1" applyAlignment="1">
      <alignment horizontal="left" vertical="top" wrapText="1" shrinkToFit="1"/>
    </xf>
    <xf numFmtId="0" fontId="3" fillId="0" borderId="15" xfId="0" applyFont="1" applyBorder="1" applyAlignment="1">
      <alignment horizontal="left" vertical="center" shrinkToFit="1"/>
    </xf>
    <xf numFmtId="0" fontId="3" fillId="0" borderId="22" xfId="0" applyFont="1" applyBorder="1" applyAlignment="1">
      <alignment horizontal="left" vertical="center" shrinkToFit="1"/>
    </xf>
    <xf numFmtId="0" fontId="3" fillId="0" borderId="23" xfId="0" applyFont="1" applyBorder="1" applyAlignment="1">
      <alignment horizontal="left" vertical="center" shrinkToFit="1"/>
    </xf>
    <xf numFmtId="49" fontId="3" fillId="0" borderId="0" xfId="0" applyNumberFormat="1" applyFont="1" applyFill="1" applyBorder="1" applyAlignment="1">
      <alignment horizontal="center" vertical="center"/>
    </xf>
    <xf numFmtId="0" fontId="2" fillId="0" borderId="8" xfId="0" applyFont="1" applyFill="1" applyBorder="1" applyAlignment="1">
      <alignment horizontal="left" vertical="top" wrapText="1"/>
    </xf>
    <xf numFmtId="0" fontId="2" fillId="0" borderId="39" xfId="0" applyFont="1" applyFill="1" applyBorder="1" applyAlignment="1">
      <alignment horizontal="left" vertical="top" wrapText="1"/>
    </xf>
    <xf numFmtId="0" fontId="7" fillId="4" borderId="45" xfId="0" applyFont="1" applyFill="1" applyBorder="1" applyAlignment="1">
      <alignment horizontal="left" vertical="center" wrapText="1"/>
    </xf>
    <xf numFmtId="0" fontId="7" fillId="4" borderId="46" xfId="0" applyFont="1" applyFill="1" applyBorder="1" applyAlignment="1">
      <alignment horizontal="left" vertical="center" wrapText="1"/>
    </xf>
    <xf numFmtId="0" fontId="7" fillId="4" borderId="41" xfId="0" applyFont="1" applyFill="1" applyBorder="1" applyAlignment="1">
      <alignment horizontal="left" vertical="center" wrapText="1"/>
    </xf>
    <xf numFmtId="0" fontId="3" fillId="6" borderId="30" xfId="0" applyNumberFormat="1" applyFont="1" applyFill="1" applyBorder="1" applyAlignment="1">
      <alignment horizontal="center" vertical="center" wrapText="1"/>
    </xf>
    <xf numFmtId="0" fontId="3" fillId="6" borderId="31" xfId="0" applyNumberFormat="1" applyFont="1" applyFill="1" applyBorder="1" applyAlignment="1">
      <alignment horizontal="center" vertical="center" wrapText="1"/>
    </xf>
    <xf numFmtId="0" fontId="3" fillId="6" borderId="32" xfId="0" applyNumberFormat="1" applyFont="1" applyFill="1" applyBorder="1" applyAlignment="1">
      <alignment horizontal="center" vertical="center" wrapText="1"/>
    </xf>
    <xf numFmtId="0" fontId="3" fillId="0" borderId="30" xfId="0" applyNumberFormat="1" applyFont="1" applyFill="1" applyBorder="1" applyAlignment="1" applyProtection="1">
      <alignment horizontal="left" vertical="center" wrapText="1"/>
      <protection locked="0"/>
    </xf>
    <xf numFmtId="0" fontId="3" fillId="0" borderId="31" xfId="0" applyNumberFormat="1" applyFont="1" applyFill="1" applyBorder="1" applyAlignment="1" applyProtection="1">
      <alignment horizontal="left" vertical="center" wrapText="1"/>
      <protection locked="0"/>
    </xf>
    <xf numFmtId="0" fontId="3" fillId="0" borderId="32" xfId="0" applyNumberFormat="1" applyFont="1" applyFill="1" applyBorder="1" applyAlignment="1" applyProtection="1">
      <alignment horizontal="left" vertical="center" wrapText="1"/>
      <protection locked="0"/>
    </xf>
    <xf numFmtId="0" fontId="3" fillId="0" borderId="30" xfId="0" applyFont="1" applyBorder="1" applyAlignment="1" applyProtection="1">
      <alignment horizontal="left" vertical="center" wrapText="1"/>
      <protection locked="0"/>
    </xf>
    <xf numFmtId="0" fontId="3" fillId="0" borderId="31" xfId="0" applyFont="1" applyBorder="1" applyAlignment="1" applyProtection="1">
      <alignment horizontal="left" vertical="center" wrapText="1"/>
      <protection locked="0"/>
    </xf>
    <xf numFmtId="0" fontId="3" fillId="0" borderId="32" xfId="0" applyFont="1" applyBorder="1" applyAlignment="1" applyProtection="1">
      <alignment horizontal="left" vertical="center" wrapText="1"/>
      <protection locked="0"/>
    </xf>
    <xf numFmtId="0" fontId="3" fillId="6" borderId="30" xfId="0" applyFont="1" applyFill="1" applyBorder="1" applyAlignment="1">
      <alignment horizontal="center" vertical="center" wrapText="1"/>
    </xf>
    <xf numFmtId="0" fontId="3" fillId="6" borderId="31" xfId="0" applyFont="1" applyFill="1" applyBorder="1" applyAlignment="1">
      <alignment horizontal="center" vertical="center" wrapText="1"/>
    </xf>
    <xf numFmtId="0" fontId="3" fillId="6" borderId="32" xfId="0" applyFont="1" applyFill="1" applyBorder="1" applyAlignment="1">
      <alignment horizontal="center" vertical="center" wrapText="1"/>
    </xf>
    <xf numFmtId="0" fontId="3" fillId="0" borderId="30" xfId="0" applyNumberFormat="1" applyFont="1" applyFill="1" applyBorder="1" applyAlignment="1" applyProtection="1">
      <alignment horizontal="left" vertical="top" wrapText="1"/>
      <protection locked="0"/>
    </xf>
    <xf numFmtId="0" fontId="3" fillId="0" borderId="31" xfId="0" applyNumberFormat="1" applyFont="1" applyFill="1" applyBorder="1" applyAlignment="1" applyProtection="1">
      <alignment horizontal="left" vertical="top" wrapText="1"/>
      <protection locked="0"/>
    </xf>
    <xf numFmtId="0" fontId="3" fillId="0" borderId="32" xfId="0" applyNumberFormat="1" applyFont="1" applyFill="1" applyBorder="1" applyAlignment="1" applyProtection="1">
      <alignment horizontal="left" vertical="top" wrapText="1"/>
      <protection locked="0"/>
    </xf>
    <xf numFmtId="0" fontId="3" fillId="8" borderId="33" xfId="0" applyFont="1" applyFill="1" applyBorder="1" applyAlignment="1">
      <alignment horizontal="left" vertical="center" wrapText="1"/>
    </xf>
    <xf numFmtId="0" fontId="3" fillId="8" borderId="34" xfId="0" applyFont="1" applyFill="1" applyBorder="1" applyAlignment="1">
      <alignment horizontal="left" vertical="center" wrapText="1"/>
    </xf>
    <xf numFmtId="0" fontId="3" fillId="9" borderId="30" xfId="0" applyFont="1" applyFill="1" applyBorder="1" applyAlignment="1">
      <alignment horizontal="left" vertical="center" wrapText="1"/>
    </xf>
    <xf numFmtId="0" fontId="3" fillId="9" borderId="31" xfId="0" applyFont="1" applyFill="1" applyBorder="1" applyAlignment="1">
      <alignment horizontal="left" vertical="center" wrapText="1"/>
    </xf>
    <xf numFmtId="0" fontId="3" fillId="9" borderId="32" xfId="0" applyFont="1" applyFill="1" applyBorder="1" applyAlignment="1">
      <alignment horizontal="left" vertical="center" wrapText="1"/>
    </xf>
    <xf numFmtId="0" fontId="3" fillId="10" borderId="30" xfId="0" applyFont="1" applyFill="1" applyBorder="1" applyAlignment="1">
      <alignment horizontal="left" vertical="center"/>
    </xf>
    <xf numFmtId="0" fontId="3" fillId="10" borderId="31" xfId="0" applyFont="1" applyFill="1" applyBorder="1" applyAlignment="1">
      <alignment horizontal="left" vertical="center"/>
    </xf>
    <xf numFmtId="0" fontId="3" fillId="10" borderId="32" xfId="0" applyFont="1" applyFill="1" applyBorder="1" applyAlignment="1">
      <alignment horizontal="left" vertical="center"/>
    </xf>
    <xf numFmtId="0" fontId="3" fillId="8" borderId="30" xfId="0" applyFont="1" applyFill="1" applyBorder="1" applyAlignment="1">
      <alignment horizontal="left" vertical="center"/>
    </xf>
    <xf numFmtId="0" fontId="3" fillId="8" borderId="31" xfId="0" applyFont="1" applyFill="1" applyBorder="1" applyAlignment="1">
      <alignment horizontal="left" vertical="center"/>
    </xf>
    <xf numFmtId="0" fontId="3" fillId="8" borderId="32" xfId="0" applyFont="1" applyFill="1" applyBorder="1" applyAlignment="1">
      <alignment horizontal="left" vertical="center"/>
    </xf>
    <xf numFmtId="0" fontId="3" fillId="8" borderId="14" xfId="0" applyFont="1" applyFill="1" applyBorder="1" applyAlignment="1">
      <alignment horizontal="left" vertical="center"/>
    </xf>
    <xf numFmtId="0" fontId="11" fillId="7" borderId="30" xfId="0" applyNumberFormat="1" applyFont="1" applyFill="1" applyBorder="1" applyAlignment="1">
      <alignment horizontal="center" vertical="center"/>
    </xf>
    <xf numFmtId="0" fontId="11" fillId="7" borderId="31" xfId="0" applyNumberFormat="1" applyFont="1" applyFill="1" applyBorder="1" applyAlignment="1">
      <alignment horizontal="center" vertical="center"/>
    </xf>
    <xf numFmtId="0" fontId="11" fillId="7" borderId="32" xfId="0" applyNumberFormat="1" applyFont="1" applyFill="1" applyBorder="1" applyAlignment="1">
      <alignment horizontal="center" vertical="center"/>
    </xf>
    <xf numFmtId="0" fontId="3" fillId="8" borderId="47" xfId="0" applyFont="1" applyFill="1" applyBorder="1" applyAlignment="1">
      <alignment horizontal="left" vertical="center"/>
    </xf>
    <xf numFmtId="0" fontId="3" fillId="8" borderId="2" xfId="0" applyFont="1" applyFill="1" applyBorder="1" applyAlignment="1">
      <alignment horizontal="left" vertical="center"/>
    </xf>
    <xf numFmtId="0" fontId="3" fillId="8" borderId="33" xfId="0" applyFont="1" applyFill="1" applyBorder="1" applyAlignment="1">
      <alignment horizontal="left" vertical="center"/>
    </xf>
  </cellXfs>
  <cellStyles count="1">
    <cellStyle name="標準" xfId="0" builtinId="0"/>
  </cellStyles>
  <dxfs count="45">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571500</xdr:colOff>
          <xdr:row>4</xdr:row>
          <xdr:rowOff>28575</xdr:rowOff>
        </xdr:from>
        <xdr:to>
          <xdr:col>12</xdr:col>
          <xdr:colOff>123825</xdr:colOff>
          <xdr:row>5</xdr:row>
          <xdr:rowOff>95250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データ取込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571500</xdr:colOff>
          <xdr:row>10</xdr:row>
          <xdr:rowOff>76200</xdr:rowOff>
        </xdr:from>
        <xdr:to>
          <xdr:col>12</xdr:col>
          <xdr:colOff>161925</xdr:colOff>
          <xdr:row>11</xdr:row>
          <xdr:rowOff>152400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通知票 印刷</a:t>
              </a:r>
            </a:p>
          </xdr:txBody>
        </xdr:sp>
        <xdr:clientData fPrintsWithSheet="0"/>
      </xdr:twoCellAnchor>
    </mc:Choice>
    <mc:Fallback/>
  </mc:AlternateContent>
  <xdr:twoCellAnchor>
    <xdr:from>
      <xdr:col>9</xdr:col>
      <xdr:colOff>581024</xdr:colOff>
      <xdr:row>0</xdr:row>
      <xdr:rowOff>114300</xdr:rowOff>
    </xdr:from>
    <xdr:to>
      <xdr:col>17</xdr:col>
      <xdr:colOff>600074</xdr:colOff>
      <xdr:row>3</xdr:row>
      <xdr:rowOff>95250</xdr:rowOff>
    </xdr:to>
    <xdr:sp macro="" textlink="">
      <xdr:nvSpPr>
        <xdr:cNvPr id="5" name="テキスト ボックス 4"/>
        <xdr:cNvSpPr txBox="1"/>
      </xdr:nvSpPr>
      <xdr:spPr>
        <a:xfrm>
          <a:off x="8543924" y="114300"/>
          <a:ext cx="45053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a:t>【</a:t>
          </a:r>
          <a:r>
            <a:rPr kumimoji="1" lang="ja-JP" altLang="en-US" sz="1000"/>
            <a:t>手順</a:t>
          </a:r>
          <a:r>
            <a:rPr kumimoji="1" lang="en-US" altLang="ja-JP" sz="1000"/>
            <a:t>】</a:t>
          </a:r>
          <a:r>
            <a:rPr kumimoji="1" lang="ja-JP" altLang="en-US" sz="1000"/>
            <a:t>　　① データ取込ボタン押下　② </a:t>
          </a:r>
          <a:r>
            <a:rPr kumimoji="1" lang="ja-JP" altLang="ja-JP" sz="1000">
              <a:solidFill>
                <a:schemeClr val="dk1"/>
              </a:solidFill>
              <a:effectLst/>
              <a:latin typeface="+mn-lt"/>
              <a:ea typeface="+mn-ea"/>
              <a:cs typeface="+mn-cs"/>
            </a:rPr>
            <a:t>印刷したい生徒の番号の範囲を入力</a:t>
          </a:r>
          <a:endParaRPr kumimoji="1" lang="en-US" altLang="ja-JP" sz="1000">
            <a:solidFill>
              <a:schemeClr val="dk1"/>
            </a:solidFill>
            <a:effectLst/>
            <a:latin typeface="+mn-lt"/>
            <a:ea typeface="+mn-ea"/>
            <a:cs typeface="+mn-cs"/>
          </a:endParaRPr>
        </a:p>
        <a:p>
          <a:r>
            <a:rPr kumimoji="1" lang="ja-JP" altLang="en-US" sz="1000">
              <a:solidFill>
                <a:schemeClr val="dk1"/>
              </a:solidFill>
              <a:effectLst/>
              <a:latin typeface="+mn-lt"/>
              <a:ea typeface="+mn-ea"/>
              <a:cs typeface="+mn-cs"/>
            </a:rPr>
            <a:t>　</a:t>
          </a:r>
          <a:r>
            <a:rPr kumimoji="1" lang="ja-JP" altLang="en-US" sz="1000"/>
            <a:t>③ 通常の印刷画面でプリンタを選び、必要に応じてプロパティを変更（選ぶだけ　</a:t>
          </a:r>
          <a:endParaRPr kumimoji="1" lang="en-US" altLang="ja-JP" sz="1000"/>
        </a:p>
        <a:p>
          <a:r>
            <a:rPr kumimoji="1" lang="ja-JP" altLang="en-US" sz="1000"/>
            <a:t>　で印刷はしない）　　④ 通知票印刷 </a:t>
          </a:r>
          <a:r>
            <a:rPr kumimoji="1" lang="en-US" altLang="ja-JP" sz="1000"/>
            <a:t>or </a:t>
          </a:r>
          <a:r>
            <a:rPr kumimoji="1" lang="ja-JP" altLang="en-US" sz="1000"/>
            <a:t>所見集印刷ボタンを押下</a:t>
          </a:r>
        </a:p>
      </xdr:txBody>
    </xdr:sp>
    <xdr:clientData/>
  </xdr:twoCellAnchor>
  <xdr:twoCellAnchor>
    <xdr:from>
      <xdr:col>16</xdr:col>
      <xdr:colOff>104776</xdr:colOff>
      <xdr:row>5</xdr:row>
      <xdr:rowOff>66675</xdr:rowOff>
    </xdr:from>
    <xdr:to>
      <xdr:col>17</xdr:col>
      <xdr:colOff>561976</xdr:colOff>
      <xdr:row>7</xdr:row>
      <xdr:rowOff>114300</xdr:rowOff>
    </xdr:to>
    <xdr:sp macro="" textlink="">
      <xdr:nvSpPr>
        <xdr:cNvPr id="6" name="テキスト ボックス 5"/>
        <xdr:cNvSpPr txBox="1"/>
      </xdr:nvSpPr>
      <xdr:spPr>
        <a:xfrm>
          <a:off x="11868151" y="1171575"/>
          <a:ext cx="1143000"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mc:AlternateContent xmlns:mc="http://schemas.openxmlformats.org/markup-compatibility/2006">
    <mc:Choice xmlns:a14="http://schemas.microsoft.com/office/drawing/2010/main" Requires="a14">
      <xdr:twoCellAnchor>
        <xdr:from>
          <xdr:col>9</xdr:col>
          <xdr:colOff>571500</xdr:colOff>
          <xdr:row>12</xdr:row>
          <xdr:rowOff>47625</xdr:rowOff>
        </xdr:from>
        <xdr:to>
          <xdr:col>12</xdr:col>
          <xdr:colOff>161925</xdr:colOff>
          <xdr:row>13</xdr:row>
          <xdr:rowOff>123825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所見集 印刷</a:t>
              </a:r>
            </a:p>
          </xdr:txBody>
        </xdr:sp>
        <xdr:clientData fPrintsWithSheet="0"/>
      </xdr:twoCellAnchor>
    </mc:Choice>
    <mc:Fallback/>
  </mc:AlternateContent>
  <xdr:twoCellAnchor>
    <xdr:from>
      <xdr:col>15</xdr:col>
      <xdr:colOff>1247776</xdr:colOff>
      <xdr:row>5</xdr:row>
      <xdr:rowOff>76200</xdr:rowOff>
    </xdr:from>
    <xdr:to>
      <xdr:col>17</xdr:col>
      <xdr:colOff>666750</xdr:colOff>
      <xdr:row>10</xdr:row>
      <xdr:rowOff>171451</xdr:rowOff>
    </xdr:to>
    <xdr:sp macro="" textlink="">
      <xdr:nvSpPr>
        <xdr:cNvPr id="7" name="テキスト ボックス 6"/>
        <xdr:cNvSpPr txBox="1"/>
      </xdr:nvSpPr>
      <xdr:spPr>
        <a:xfrm>
          <a:off x="12001501" y="1181100"/>
          <a:ext cx="1085849" cy="12858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「所見」シートの</a:t>
          </a:r>
          <a:endParaRPr kumimoji="1" lang="en-US" altLang="ja-JP" sz="800"/>
        </a:p>
        <a:p>
          <a:r>
            <a:rPr kumimoji="1" lang="ja-JP" altLang="en-US" sz="800"/>
            <a:t>「総合所見」の見出し行（紫色の行）の行番号を入れる。</a:t>
          </a:r>
          <a:endParaRPr kumimoji="1" lang="en-US" altLang="ja-JP" sz="800"/>
        </a:p>
        <a:p>
          <a:endParaRPr kumimoji="1" lang="en-US" altLang="ja-JP" sz="800"/>
        </a:p>
        <a:p>
          <a:r>
            <a:rPr kumimoji="1" lang="ja-JP" altLang="en-US" sz="800"/>
            <a:t>（生徒増により所見シートの行数が増えた場合に対応するため）</a:t>
          </a:r>
        </a:p>
      </xdr:txBody>
    </xdr:sp>
    <xdr:clientData/>
  </xdr:twoCellAnchor>
  <mc:AlternateContent xmlns:mc="http://schemas.openxmlformats.org/markup-compatibility/2006">
    <mc:Choice xmlns:a14="http://schemas.microsoft.com/office/drawing/2010/main" Requires="a14">
      <xdr:twoCellAnchor>
        <xdr:from>
          <xdr:col>10</xdr:col>
          <xdr:colOff>66675</xdr:colOff>
          <xdr:row>83</xdr:row>
          <xdr:rowOff>200025</xdr:rowOff>
        </xdr:from>
        <xdr:to>
          <xdr:col>11</xdr:col>
          <xdr:colOff>9525</xdr:colOff>
          <xdr:row>85</xdr:row>
          <xdr:rowOff>19050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133350</xdr:colOff>
          <xdr:row>83</xdr:row>
          <xdr:rowOff>200025</xdr:rowOff>
        </xdr:from>
        <xdr:to>
          <xdr:col>12</xdr:col>
          <xdr:colOff>438150</xdr:colOff>
          <xdr:row>85</xdr:row>
          <xdr:rowOff>19050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66675</xdr:colOff>
          <xdr:row>17</xdr:row>
          <xdr:rowOff>200025</xdr:rowOff>
        </xdr:from>
        <xdr:to>
          <xdr:col>11</xdr:col>
          <xdr:colOff>9525</xdr:colOff>
          <xdr:row>19</xdr:row>
          <xdr:rowOff>19050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133350</xdr:colOff>
          <xdr:row>17</xdr:row>
          <xdr:rowOff>200025</xdr:rowOff>
        </xdr:from>
        <xdr:to>
          <xdr:col>12</xdr:col>
          <xdr:colOff>438150</xdr:colOff>
          <xdr:row>19</xdr:row>
          <xdr:rowOff>19050</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Q90"/>
  <sheetViews>
    <sheetView tabSelected="1" view="pageBreakPreview" zoomScaleNormal="85" zoomScaleSheetLayoutView="100" workbookViewId="0">
      <selection activeCell="N11" sqref="N11"/>
    </sheetView>
  </sheetViews>
  <sheetFormatPr defaultRowHeight="13.5"/>
  <cols>
    <col min="1" max="2" width="4.25" style="8" customWidth="1"/>
    <col min="3" max="3" width="58.75" style="8" customWidth="1"/>
    <col min="4" max="4" width="4.625" style="8" customWidth="1"/>
    <col min="5" max="5" width="1.25" style="8" customWidth="1"/>
    <col min="6" max="6" width="16.25" style="8" customWidth="1"/>
    <col min="7" max="7" width="6.5" style="8" bestFit="1" customWidth="1"/>
    <col min="8" max="8" width="3.75" style="8" customWidth="1"/>
    <col min="9" max="9" width="4.875" style="8" customWidth="1"/>
    <col min="10" max="10" width="9" style="8"/>
    <col min="11" max="12" width="4.75" style="8" customWidth="1"/>
    <col min="13" max="13" width="9" style="8"/>
    <col min="14" max="14" width="4.75" style="8" customWidth="1"/>
    <col min="15" max="15" width="4.375" style="8" customWidth="1"/>
    <col min="16" max="16" width="17.25" style="8" customWidth="1"/>
    <col min="17" max="17" width="4.625" style="8" customWidth="1"/>
    <col min="18" max="18" width="13.25" style="8" customWidth="1"/>
    <col min="19" max="16384" width="9" style="8"/>
  </cols>
  <sheetData>
    <row r="1" spans="1:17" ht="18.75" customHeight="1">
      <c r="A1" s="135" t="str">
        <f ca="1">MID(CELL("filename",A1),FIND("[",CELL("filename",A1))+1,3)</f>
        <v>５－１</v>
      </c>
      <c r="B1" s="135"/>
      <c r="C1" s="136" t="str">
        <f ca="1">RIGHT(LEFT(CELL("filename",A1),FIND("[",CELL("filename",A1))-2),3)</f>
        <v>1学期</v>
      </c>
      <c r="D1" s="136"/>
      <c r="E1" s="136"/>
      <c r="F1" s="136"/>
      <c r="G1" s="136"/>
      <c r="H1" s="5"/>
      <c r="I1" s="5"/>
    </row>
    <row r="2" spans="1:17" ht="18.75" customHeight="1">
      <c r="A2" s="2" t="s">
        <v>18</v>
      </c>
      <c r="B2" s="1">
        <v>19</v>
      </c>
      <c r="F2" s="4" t="s">
        <v>17</v>
      </c>
      <c r="G2" s="137" t="str">
        <f ca="1">INDIRECT("'所見'!A"&amp;12+$B$2)</f>
        <v>若松 優羽花</v>
      </c>
      <c r="H2" s="137"/>
      <c r="I2" s="137"/>
    </row>
    <row r="3" spans="1:17" ht="12" customHeight="1">
      <c r="C3" s="9"/>
      <c r="D3" s="9"/>
      <c r="E3" s="9"/>
      <c r="F3" s="9"/>
      <c r="G3" s="9"/>
      <c r="H3" s="9"/>
      <c r="I3" s="9"/>
    </row>
    <row r="4" spans="1:17" ht="18.75" customHeight="1">
      <c r="A4" s="109" t="s">
        <v>19</v>
      </c>
      <c r="B4" s="110"/>
      <c r="C4" s="110"/>
      <c r="D4" s="110"/>
      <c r="E4" s="110"/>
      <c r="F4" s="110"/>
      <c r="G4" s="110"/>
      <c r="H4" s="110"/>
      <c r="I4" s="111"/>
    </row>
    <row r="5" spans="1:17" ht="18.75" customHeight="1">
      <c r="A5" s="19" t="s">
        <v>4</v>
      </c>
      <c r="B5" s="143" t="s">
        <v>5</v>
      </c>
      <c r="C5" s="143"/>
      <c r="D5" s="143"/>
      <c r="E5" s="143"/>
      <c r="F5" s="143"/>
      <c r="G5" s="20" t="s">
        <v>6</v>
      </c>
      <c r="H5" s="143" t="s">
        <v>7</v>
      </c>
      <c r="I5" s="144"/>
      <c r="Q5" s="79">
        <v>38</v>
      </c>
    </row>
    <row r="6" spans="1:17" ht="18.75" customHeight="1" thickBot="1">
      <c r="A6" s="120" t="s">
        <v>8</v>
      </c>
      <c r="B6" s="123" t="str">
        <f>国語!B2</f>
        <v>知識・技能（期末テスト、単元テスト、漢字テスト）</v>
      </c>
      <c r="C6" s="124"/>
      <c r="D6" s="124"/>
      <c r="E6" s="124"/>
      <c r="F6" s="125"/>
      <c r="G6" s="21" t="str">
        <f ca="1">OFFSET(国語!C2,0,$B$2)</f>
        <v>A</v>
      </c>
      <c r="H6" s="129">
        <f ca="1">OFFSET(国語!C12,0,$B$2)</f>
        <v>5</v>
      </c>
      <c r="I6" s="130"/>
      <c r="O6" s="8">
        <v>1</v>
      </c>
      <c r="P6" s="59" t="str">
        <f ca="1">INDIRECT("'出欠'!A"&amp;9+O6)</f>
        <v>阿部 光希</v>
      </c>
    </row>
    <row r="7" spans="1:17" ht="18.75" customHeight="1" thickBot="1">
      <c r="A7" s="121"/>
      <c r="B7" s="119" t="str">
        <f>国語!B3</f>
        <v>思考力・判断力・表現力（期末テスト、音読、短文づくり）</v>
      </c>
      <c r="C7" s="113"/>
      <c r="D7" s="113"/>
      <c r="E7" s="113"/>
      <c r="F7" s="114"/>
      <c r="G7" s="17" t="str">
        <f ca="1">OFFSET(国語!C3,0,$B$2)</f>
        <v>A</v>
      </c>
      <c r="H7" s="131"/>
      <c r="I7" s="132"/>
      <c r="K7" s="138" t="s">
        <v>40</v>
      </c>
      <c r="L7" s="139"/>
      <c r="O7" s="8">
        <v>2</v>
      </c>
      <c r="P7" s="59" t="str">
        <f t="shared" ref="P7:P30" ca="1" si="0">INDIRECT("'出欠'!A"&amp;9+O7)</f>
        <v>池田 篤也</v>
      </c>
    </row>
    <row r="8" spans="1:17" ht="18.75" customHeight="1" thickBot="1">
      <c r="A8" s="121"/>
      <c r="B8" s="119" t="str">
        <f>国語!B4</f>
        <v>主体的に取り組む態度（提出物、授業態度）</v>
      </c>
      <c r="C8" s="113"/>
      <c r="D8" s="113"/>
      <c r="E8" s="113"/>
      <c r="F8" s="114"/>
      <c r="G8" s="17" t="str">
        <f ca="1">OFFSET(国語!C4,0,$B$2)</f>
        <v>A</v>
      </c>
      <c r="H8" s="131"/>
      <c r="I8" s="132"/>
      <c r="K8" s="58" t="s">
        <v>41</v>
      </c>
      <c r="L8" s="58" t="s">
        <v>42</v>
      </c>
      <c r="O8" s="8">
        <v>3</v>
      </c>
      <c r="P8" s="59" t="str">
        <f t="shared" ca="1" si="0"/>
        <v>荻原 健史</v>
      </c>
    </row>
    <row r="9" spans="1:17" ht="18.75" customHeight="1" thickBot="1">
      <c r="A9" s="121"/>
      <c r="B9" s="119">
        <f>国語!B5</f>
        <v>0</v>
      </c>
      <c r="C9" s="113"/>
      <c r="D9" s="113"/>
      <c r="E9" s="113"/>
      <c r="F9" s="114"/>
      <c r="G9" s="17">
        <f ca="1">OFFSET(国語!C5,0,$B$2)</f>
        <v>0</v>
      </c>
      <c r="H9" s="131"/>
      <c r="I9" s="132"/>
      <c r="K9" s="57">
        <v>18</v>
      </c>
      <c r="L9" s="57">
        <v>18</v>
      </c>
      <c r="O9" s="8">
        <v>4</v>
      </c>
      <c r="P9" s="59" t="str">
        <f t="shared" ca="1" si="0"/>
        <v>上條 里紗</v>
      </c>
    </row>
    <row r="10" spans="1:17" ht="18.75" customHeight="1">
      <c r="A10" s="121"/>
      <c r="B10" s="119">
        <f>国語!B6</f>
        <v>0</v>
      </c>
      <c r="C10" s="113"/>
      <c r="D10" s="113"/>
      <c r="E10" s="113"/>
      <c r="F10" s="114"/>
      <c r="G10" s="17">
        <f ca="1">OFFSET(国語!C6,0,$B$2)</f>
        <v>0</v>
      </c>
      <c r="H10" s="131"/>
      <c r="I10" s="132"/>
      <c r="O10" s="8">
        <v>5</v>
      </c>
      <c r="P10" s="59" t="str">
        <f t="shared" ca="1" si="0"/>
        <v>小森 美柚</v>
      </c>
    </row>
    <row r="11" spans="1:17" ht="18.75" customHeight="1">
      <c r="A11" s="121"/>
      <c r="B11" s="119">
        <f>国語!B7</f>
        <v>0</v>
      </c>
      <c r="C11" s="113"/>
      <c r="D11" s="113"/>
      <c r="E11" s="113"/>
      <c r="F11" s="114"/>
      <c r="G11" s="17">
        <f ca="1">OFFSET(国語!C7,0,$B$2)</f>
        <v>0</v>
      </c>
      <c r="H11" s="131"/>
      <c r="I11" s="132"/>
      <c r="O11" s="8">
        <v>6</v>
      </c>
      <c r="P11" s="59" t="str">
        <f t="shared" ca="1" si="0"/>
        <v>酒巻 紋子</v>
      </c>
    </row>
    <row r="12" spans="1:17" ht="18.75" customHeight="1">
      <c r="A12" s="121"/>
      <c r="B12" s="119">
        <f>国語!B8</f>
        <v>0</v>
      </c>
      <c r="C12" s="113"/>
      <c r="D12" s="113"/>
      <c r="E12" s="113"/>
      <c r="F12" s="114"/>
      <c r="G12" s="17">
        <f ca="1">OFFSET(国語!C8,0,$B$2)</f>
        <v>0</v>
      </c>
      <c r="H12" s="131"/>
      <c r="I12" s="132"/>
      <c r="O12" s="8">
        <v>7</v>
      </c>
      <c r="P12" s="59" t="str">
        <f t="shared" ca="1" si="0"/>
        <v>滝 真佳</v>
      </c>
    </row>
    <row r="13" spans="1:17" ht="18.75" customHeight="1">
      <c r="A13" s="122"/>
      <c r="B13" s="119">
        <f>国語!B9</f>
        <v>0</v>
      </c>
      <c r="C13" s="113"/>
      <c r="D13" s="113"/>
      <c r="E13" s="113"/>
      <c r="F13" s="114"/>
      <c r="G13" s="18">
        <f ca="1">OFFSET(国語!C9,0,$B$2)</f>
        <v>0</v>
      </c>
      <c r="H13" s="131"/>
      <c r="I13" s="132"/>
      <c r="O13" s="8">
        <v>8</v>
      </c>
      <c r="P13" s="59" t="str">
        <f t="shared" ca="1" si="0"/>
        <v>都筑 斉</v>
      </c>
    </row>
    <row r="14" spans="1:17" ht="18.75" customHeight="1">
      <c r="A14" s="120" t="s">
        <v>0</v>
      </c>
      <c r="B14" s="123" t="str">
        <f>算数!B2</f>
        <v>知識・技能（単元テスト・定期テスト）</v>
      </c>
      <c r="C14" s="124"/>
      <c r="D14" s="124"/>
      <c r="E14" s="124"/>
      <c r="F14" s="125"/>
      <c r="G14" s="21" t="str">
        <f ca="1">OFFSET(算数!C2,0,$B$2)</f>
        <v>A</v>
      </c>
      <c r="H14" s="129">
        <f ca="1">OFFSET(算数!C12,0,$B$2)</f>
        <v>5</v>
      </c>
      <c r="I14" s="130"/>
      <c r="O14" s="8">
        <v>9</v>
      </c>
      <c r="P14" s="59" t="str">
        <f t="shared" ca="1" si="0"/>
        <v>傳田 悠藍</v>
      </c>
    </row>
    <row r="15" spans="1:17" ht="18.75" customHeight="1">
      <c r="A15" s="121"/>
      <c r="B15" s="119" t="str">
        <f>算数!B3</f>
        <v>思考力・表現力・判断力（単元テスト・定期テスト）</v>
      </c>
      <c r="C15" s="113"/>
      <c r="D15" s="113"/>
      <c r="E15" s="113"/>
      <c r="F15" s="114"/>
      <c r="G15" s="17" t="str">
        <f ca="1">OFFSET(算数!C3,0,$B$2)</f>
        <v>A</v>
      </c>
      <c r="H15" s="131"/>
      <c r="I15" s="132"/>
      <c r="O15" s="8">
        <v>10</v>
      </c>
      <c r="P15" s="59" t="str">
        <f t="shared" ca="1" si="0"/>
        <v>中原 照真</v>
      </c>
    </row>
    <row r="16" spans="1:17" ht="18.75" customHeight="1">
      <c r="A16" s="121"/>
      <c r="B16" s="119" t="str">
        <f>算数!B4</f>
        <v>主体的に学習に取り組む態度</v>
      </c>
      <c r="C16" s="113"/>
      <c r="D16" s="113"/>
      <c r="E16" s="113"/>
      <c r="F16" s="114"/>
      <c r="G16" s="17" t="str">
        <f ca="1">OFFSET(算数!C4,0,$B$2)</f>
        <v>A</v>
      </c>
      <c r="H16" s="131"/>
      <c r="I16" s="132"/>
      <c r="O16" s="8">
        <v>11</v>
      </c>
      <c r="P16" s="59" t="str">
        <f t="shared" ca="1" si="0"/>
        <v>永原 愛羅</v>
      </c>
    </row>
    <row r="17" spans="1:16" ht="18.75" customHeight="1">
      <c r="A17" s="121"/>
      <c r="B17" s="119">
        <f>算数!B5</f>
        <v>0</v>
      </c>
      <c r="C17" s="113"/>
      <c r="D17" s="113"/>
      <c r="E17" s="113"/>
      <c r="F17" s="114"/>
      <c r="G17" s="17">
        <f ca="1">OFFSET(算数!C5,0,$B$2)</f>
        <v>0</v>
      </c>
      <c r="H17" s="131"/>
      <c r="I17" s="132"/>
      <c r="L17" s="30"/>
      <c r="M17" s="30"/>
      <c r="O17" s="8">
        <v>12</v>
      </c>
      <c r="P17" s="59" t="str">
        <f t="shared" ca="1" si="0"/>
        <v>根橋 宏匡</v>
      </c>
    </row>
    <row r="18" spans="1:16" ht="18.75" customHeight="1">
      <c r="A18" s="121"/>
      <c r="B18" s="119">
        <f>算数!B6</f>
        <v>0</v>
      </c>
      <c r="C18" s="113"/>
      <c r="D18" s="113"/>
      <c r="E18" s="113"/>
      <c r="F18" s="114"/>
      <c r="G18" s="17">
        <f ca="1">OFFSET(算数!C6,0,$B$2)</f>
        <v>0</v>
      </c>
      <c r="H18" s="131"/>
      <c r="I18" s="132"/>
      <c r="L18" s="30"/>
      <c r="M18" s="30"/>
      <c r="O18" s="8">
        <v>13</v>
      </c>
      <c r="P18" s="59" t="str">
        <f t="shared" ca="1" si="0"/>
        <v>平野 悠</v>
      </c>
    </row>
    <row r="19" spans="1:16" ht="18.75" customHeight="1">
      <c r="A19" s="121"/>
      <c r="B19" s="119">
        <f>算数!B7</f>
        <v>0</v>
      </c>
      <c r="C19" s="113"/>
      <c r="D19" s="113"/>
      <c r="E19" s="113"/>
      <c r="F19" s="114"/>
      <c r="G19" s="17">
        <f ca="1">OFFSET(算数!C7,0,$B$2)</f>
        <v>0</v>
      </c>
      <c r="H19" s="131"/>
      <c r="I19" s="132"/>
      <c r="L19" s="80">
        <f>番号</f>
        <v>19</v>
      </c>
      <c r="M19" s="30"/>
      <c r="O19" s="8">
        <v>14</v>
      </c>
      <c r="P19" s="59" t="str">
        <f t="shared" ca="1" si="0"/>
        <v>丸山 大河</v>
      </c>
    </row>
    <row r="20" spans="1:16" ht="18.75" customHeight="1">
      <c r="A20" s="122"/>
      <c r="B20" s="119">
        <f>算数!B8</f>
        <v>0</v>
      </c>
      <c r="C20" s="113"/>
      <c r="D20" s="113"/>
      <c r="E20" s="113"/>
      <c r="F20" s="114"/>
      <c r="G20" s="18">
        <f ca="1">OFFSET(算数!C8,0,$B$2)</f>
        <v>0</v>
      </c>
      <c r="H20" s="131"/>
      <c r="I20" s="132"/>
      <c r="L20" s="30"/>
      <c r="M20" s="30"/>
      <c r="O20" s="8">
        <v>15</v>
      </c>
      <c r="P20" s="59" t="str">
        <f t="shared" ca="1" si="0"/>
        <v>三浦 和成</v>
      </c>
    </row>
    <row r="21" spans="1:16" ht="18.75" customHeight="1">
      <c r="A21" s="120" t="s">
        <v>47</v>
      </c>
      <c r="B21" s="123" t="str">
        <f>理科!B2</f>
        <v>知識・技能（定期テスト・単元テスト）</v>
      </c>
      <c r="C21" s="124"/>
      <c r="D21" s="124"/>
      <c r="E21" s="124"/>
      <c r="F21" s="125"/>
      <c r="G21" s="21" t="str">
        <f ca="1">OFFSET(理科!C2,0,$B$2)</f>
        <v>A</v>
      </c>
      <c r="H21" s="129">
        <f ca="1">OFFSET(理科!C12,0,$B$2)</f>
        <v>5</v>
      </c>
      <c r="I21" s="130"/>
      <c r="O21" s="8">
        <v>16</v>
      </c>
      <c r="P21" s="59" t="str">
        <f t="shared" ca="1" si="0"/>
        <v>三澤 桜來</v>
      </c>
    </row>
    <row r="22" spans="1:16" ht="18.75" customHeight="1">
      <c r="A22" s="121"/>
      <c r="B22" s="119" t="str">
        <f>理科!B3</f>
        <v>思考力・表現力・判断力（定期テスト・単元テスト・まとめノート）</v>
      </c>
      <c r="C22" s="113"/>
      <c r="D22" s="113"/>
      <c r="E22" s="113"/>
      <c r="F22" s="114"/>
      <c r="G22" s="17" t="str">
        <f ca="1">OFFSET(理科!C3,0,$B$2)</f>
        <v>A</v>
      </c>
      <c r="H22" s="131"/>
      <c r="I22" s="132"/>
      <c r="O22" s="8">
        <v>17</v>
      </c>
      <c r="P22" s="59" t="str">
        <f t="shared" ca="1" si="0"/>
        <v>明嵐 瑛大</v>
      </c>
    </row>
    <row r="23" spans="1:16" ht="18.75" customHeight="1">
      <c r="A23" s="121"/>
      <c r="B23" s="119" t="str">
        <f>理科!B4</f>
        <v>主体的に学習に取り組む態度</v>
      </c>
      <c r="C23" s="113"/>
      <c r="D23" s="113"/>
      <c r="E23" s="113"/>
      <c r="F23" s="114"/>
      <c r="G23" s="17" t="str">
        <f ca="1">OFFSET(理科!C4,0,$B$2)</f>
        <v>A</v>
      </c>
      <c r="H23" s="131"/>
      <c r="I23" s="132"/>
      <c r="O23" s="8">
        <v>18</v>
      </c>
      <c r="P23" s="59" t="str">
        <f t="shared" ca="1" si="0"/>
        <v>屋井 皓</v>
      </c>
    </row>
    <row r="24" spans="1:16" ht="18.75" customHeight="1">
      <c r="A24" s="121"/>
      <c r="B24" s="119">
        <f>理科!B5</f>
        <v>0</v>
      </c>
      <c r="C24" s="113"/>
      <c r="D24" s="113"/>
      <c r="E24" s="113"/>
      <c r="F24" s="114"/>
      <c r="G24" s="17">
        <f ca="1">OFFSET(理科!C5,0,$B$2)</f>
        <v>0</v>
      </c>
      <c r="H24" s="131"/>
      <c r="I24" s="132"/>
      <c r="O24" s="8">
        <v>19</v>
      </c>
      <c r="P24" s="59" t="str">
        <f t="shared" ca="1" si="0"/>
        <v>若松 優羽花</v>
      </c>
    </row>
    <row r="25" spans="1:16" ht="18.75" customHeight="1">
      <c r="A25" s="121"/>
      <c r="B25" s="119">
        <f>理科!B6</f>
        <v>0</v>
      </c>
      <c r="C25" s="113"/>
      <c r="D25" s="113"/>
      <c r="E25" s="113"/>
      <c r="F25" s="114"/>
      <c r="G25" s="17">
        <f ca="1">OFFSET(理科!C6,0,$B$2)</f>
        <v>0</v>
      </c>
      <c r="H25" s="131"/>
      <c r="I25" s="132"/>
      <c r="O25" s="8">
        <v>20</v>
      </c>
      <c r="P25" s="59" t="str">
        <f t="shared" ca="1" si="0"/>
        <v>渡邊 葉子</v>
      </c>
    </row>
    <row r="26" spans="1:16" ht="18.75" customHeight="1">
      <c r="A26" s="121"/>
      <c r="B26" s="119">
        <f>理科!B7</f>
        <v>0</v>
      </c>
      <c r="C26" s="113"/>
      <c r="D26" s="113"/>
      <c r="E26" s="113"/>
      <c r="F26" s="114"/>
      <c r="G26" s="17">
        <f ca="1">OFFSET(理科!C7,0,$B$2)</f>
        <v>0</v>
      </c>
      <c r="H26" s="131"/>
      <c r="I26" s="132"/>
      <c r="O26" s="8">
        <v>21</v>
      </c>
      <c r="P26" s="59" t="str">
        <f t="shared" ca="1" si="0"/>
        <v>綿貫 叶乃音</v>
      </c>
    </row>
    <row r="27" spans="1:16" ht="18.75" customHeight="1">
      <c r="A27" s="121"/>
      <c r="B27" s="119">
        <f>理科!B8</f>
        <v>0</v>
      </c>
      <c r="C27" s="113"/>
      <c r="D27" s="113"/>
      <c r="E27" s="113"/>
      <c r="F27" s="114"/>
      <c r="G27" s="17">
        <f ca="1">OFFSET(理科!C8,0,$B$2)</f>
        <v>0</v>
      </c>
      <c r="H27" s="131"/>
      <c r="I27" s="132"/>
      <c r="O27" s="8">
        <v>22</v>
      </c>
      <c r="P27" s="59">
        <f t="shared" ca="1" si="0"/>
        <v>0</v>
      </c>
    </row>
    <row r="28" spans="1:16" ht="18.75" customHeight="1">
      <c r="A28" s="122"/>
      <c r="B28" s="119">
        <f>理科!B9</f>
        <v>0</v>
      </c>
      <c r="C28" s="113"/>
      <c r="D28" s="113"/>
      <c r="E28" s="113"/>
      <c r="F28" s="114"/>
      <c r="G28" s="18">
        <f ca="1">OFFSET(理科!C9,0,$B$2)</f>
        <v>0</v>
      </c>
      <c r="H28" s="131"/>
      <c r="I28" s="132"/>
      <c r="O28" s="8">
        <v>23</v>
      </c>
      <c r="P28" s="59">
        <f t="shared" ca="1" si="0"/>
        <v>0</v>
      </c>
    </row>
    <row r="29" spans="1:16" ht="18.75" customHeight="1">
      <c r="A29" s="120" t="s">
        <v>48</v>
      </c>
      <c r="B29" s="123" t="str">
        <f>社会!B2</f>
        <v>知識・技能（単元テスト・定期テスト）</v>
      </c>
      <c r="C29" s="124"/>
      <c r="D29" s="124"/>
      <c r="E29" s="124"/>
      <c r="F29" s="125"/>
      <c r="G29" s="21" t="str">
        <f ca="1">OFFSET(社会!C2,0,$B$2)</f>
        <v>A</v>
      </c>
      <c r="H29" s="129">
        <f ca="1">OFFSET(社会!C12,0,$B$2)</f>
        <v>5</v>
      </c>
      <c r="I29" s="130"/>
      <c r="O29" s="8">
        <v>24</v>
      </c>
      <c r="P29" s="59">
        <f t="shared" ca="1" si="0"/>
        <v>0</v>
      </c>
    </row>
    <row r="30" spans="1:16" ht="18.75" customHeight="1">
      <c r="A30" s="121"/>
      <c r="B30" s="119" t="str">
        <f>社会!B3</f>
        <v>思考力・表現力・判断力（単元テスト・定期テスト）</v>
      </c>
      <c r="C30" s="113"/>
      <c r="D30" s="113"/>
      <c r="E30" s="113"/>
      <c r="F30" s="114"/>
      <c r="G30" s="17" t="str">
        <f ca="1">OFFSET(社会!C3,0,$B$2)</f>
        <v>A</v>
      </c>
      <c r="H30" s="131"/>
      <c r="I30" s="132"/>
      <c r="O30" s="8">
        <v>25</v>
      </c>
      <c r="P30" s="59">
        <f t="shared" ca="1" si="0"/>
        <v>0</v>
      </c>
    </row>
    <row r="31" spans="1:16" ht="18.75" customHeight="1">
      <c r="A31" s="121"/>
      <c r="B31" s="119" t="str">
        <f>社会!B4</f>
        <v>主体的に学習に取り組む態度</v>
      </c>
      <c r="C31" s="113"/>
      <c r="D31" s="113"/>
      <c r="E31" s="113"/>
      <c r="F31" s="114"/>
      <c r="G31" s="17" t="str">
        <f ca="1">OFFSET(社会!C4,0,$B$2)</f>
        <v>A</v>
      </c>
      <c r="H31" s="131"/>
      <c r="I31" s="132"/>
    </row>
    <row r="32" spans="1:16" ht="18.75" customHeight="1">
      <c r="A32" s="121"/>
      <c r="B32" s="119">
        <f>社会!B5</f>
        <v>0</v>
      </c>
      <c r="C32" s="113"/>
      <c r="D32" s="113"/>
      <c r="E32" s="113"/>
      <c r="F32" s="114"/>
      <c r="G32" s="17">
        <f ca="1">OFFSET(社会!C5,0,$B$2)</f>
        <v>0</v>
      </c>
      <c r="H32" s="131"/>
      <c r="I32" s="132"/>
    </row>
    <row r="33" spans="1:9" ht="18.75" customHeight="1">
      <c r="A33" s="121"/>
      <c r="B33" s="119">
        <f>社会!B6</f>
        <v>0</v>
      </c>
      <c r="C33" s="113"/>
      <c r="D33" s="113"/>
      <c r="E33" s="113"/>
      <c r="F33" s="114"/>
      <c r="G33" s="17">
        <f ca="1">OFFSET(社会!C6,0,$B$2)</f>
        <v>0</v>
      </c>
      <c r="H33" s="131"/>
      <c r="I33" s="132"/>
    </row>
    <row r="34" spans="1:9" ht="18.75" customHeight="1">
      <c r="A34" s="121"/>
      <c r="B34" s="119">
        <f>社会!B7</f>
        <v>0</v>
      </c>
      <c r="C34" s="113"/>
      <c r="D34" s="113"/>
      <c r="E34" s="113"/>
      <c r="F34" s="114"/>
      <c r="G34" s="17">
        <f ca="1">OFFSET(社会!C7,0,$B$2)</f>
        <v>0</v>
      </c>
      <c r="H34" s="131"/>
      <c r="I34" s="132"/>
    </row>
    <row r="35" spans="1:9" ht="18.75" customHeight="1">
      <c r="A35" s="122"/>
      <c r="B35" s="119">
        <f>社会!B8</f>
        <v>0</v>
      </c>
      <c r="C35" s="113"/>
      <c r="D35" s="113"/>
      <c r="E35" s="113"/>
      <c r="F35" s="114"/>
      <c r="G35" s="18">
        <f ca="1">OFFSET(社会!C8,0,$B$2)</f>
        <v>0</v>
      </c>
      <c r="H35" s="131"/>
      <c r="I35" s="132"/>
    </row>
    <row r="36" spans="1:9" ht="18.75" customHeight="1">
      <c r="A36" s="120" t="s">
        <v>9</v>
      </c>
      <c r="B36" s="123" t="str">
        <f>英語!B2</f>
        <v>知識・技能(定期テスト・ワークテスト）</v>
      </c>
      <c r="C36" s="124"/>
      <c r="D36" s="124"/>
      <c r="E36" s="124"/>
      <c r="F36" s="125"/>
      <c r="G36" s="21" t="str">
        <f ca="1">OFFSET(英語!C2,0,$B$2)</f>
        <v>A</v>
      </c>
      <c r="H36" s="129" t="str">
        <f ca="1">OFFSET(英語!C12,0,$B$2)</f>
        <v>5</v>
      </c>
      <c r="I36" s="130"/>
    </row>
    <row r="37" spans="1:9" ht="18.75" customHeight="1">
      <c r="A37" s="121"/>
      <c r="B37" s="119" t="str">
        <f>英語!B3</f>
        <v>思考力・表現力・判断力（音読・リスニング・英作文）</v>
      </c>
      <c r="C37" s="113"/>
      <c r="D37" s="113"/>
      <c r="E37" s="113"/>
      <c r="F37" s="114"/>
      <c r="G37" s="17" t="str">
        <f ca="1">OFFSET(英語!C3,0,$B$2)</f>
        <v>A</v>
      </c>
      <c r="H37" s="131"/>
      <c r="I37" s="132"/>
    </row>
    <row r="38" spans="1:9" ht="18.75" customHeight="1">
      <c r="A38" s="121"/>
      <c r="B38" s="119" t="str">
        <f>英語!B4</f>
        <v>主体的に学習に取り組む態度（授業態度・宿題提出率・ミニテスト）</v>
      </c>
      <c r="C38" s="113"/>
      <c r="D38" s="113"/>
      <c r="E38" s="113"/>
      <c r="F38" s="114"/>
      <c r="G38" s="17" t="str">
        <f ca="1">OFFSET(英語!C4,0,$B$2)</f>
        <v>A</v>
      </c>
      <c r="H38" s="131"/>
      <c r="I38" s="132"/>
    </row>
    <row r="39" spans="1:9" ht="18.75" customHeight="1">
      <c r="A39" s="121"/>
      <c r="B39" s="119">
        <f>英語!B5</f>
        <v>0</v>
      </c>
      <c r="C39" s="113"/>
      <c r="D39" s="113"/>
      <c r="E39" s="113"/>
      <c r="F39" s="114"/>
      <c r="G39" s="17">
        <f ca="1">OFFSET(英語!C5,0,$B$2)</f>
        <v>0</v>
      </c>
      <c r="H39" s="131"/>
      <c r="I39" s="132"/>
    </row>
    <row r="40" spans="1:9" ht="18.75" customHeight="1">
      <c r="A40" s="121"/>
      <c r="B40" s="119">
        <f>英語!B6</f>
        <v>0</v>
      </c>
      <c r="C40" s="113"/>
      <c r="D40" s="113"/>
      <c r="E40" s="113"/>
      <c r="F40" s="114"/>
      <c r="G40" s="17">
        <f ca="1">OFFSET(英語!C6,0,$B$2)</f>
        <v>0</v>
      </c>
      <c r="H40" s="131"/>
      <c r="I40" s="132"/>
    </row>
    <row r="41" spans="1:9" ht="18.75" customHeight="1">
      <c r="A41" s="121"/>
      <c r="B41" s="119">
        <f>英語!B7</f>
        <v>0</v>
      </c>
      <c r="C41" s="113"/>
      <c r="D41" s="113"/>
      <c r="E41" s="113"/>
      <c r="F41" s="114"/>
      <c r="G41" s="17">
        <f ca="1">OFFSET(英語!C7,0,$B$2)</f>
        <v>0</v>
      </c>
      <c r="H41" s="131"/>
      <c r="I41" s="132"/>
    </row>
    <row r="42" spans="1:9" ht="18.75" customHeight="1">
      <c r="A42" s="122"/>
      <c r="B42" s="119">
        <f>英語!B8</f>
        <v>0</v>
      </c>
      <c r="C42" s="113"/>
      <c r="D42" s="113"/>
      <c r="E42" s="113"/>
      <c r="F42" s="114"/>
      <c r="G42" s="18">
        <f ca="1">OFFSET(英語!C8,0,$B$2)</f>
        <v>0</v>
      </c>
      <c r="H42" s="131"/>
      <c r="I42" s="132"/>
    </row>
    <row r="43" spans="1:9" ht="18.75" customHeight="1">
      <c r="A43" s="120" t="s">
        <v>3</v>
      </c>
      <c r="B43" s="123" t="str">
        <f>音楽!B2</f>
        <v>知識・技能(提出物、演奏聴取、ワークシート)</v>
      </c>
      <c r="C43" s="124"/>
      <c r="D43" s="124"/>
      <c r="E43" s="124"/>
      <c r="F43" s="125"/>
      <c r="G43" s="21" t="str">
        <f ca="1">OFFSET(音楽!C2,0,$B$2)</f>
        <v>A</v>
      </c>
      <c r="H43" s="129">
        <f ca="1">OFFSET(音楽!C12,0,$B$2)</f>
        <v>5</v>
      </c>
      <c r="I43" s="130"/>
    </row>
    <row r="44" spans="1:9" ht="18.75" customHeight="1">
      <c r="A44" s="121"/>
      <c r="B44" s="119" t="str">
        <f>音楽!B3</f>
        <v>思考力・判断力・表現力(提出物、演奏聴取、ワークシート)</v>
      </c>
      <c r="C44" s="113"/>
      <c r="D44" s="113"/>
      <c r="E44" s="113"/>
      <c r="F44" s="114"/>
      <c r="G44" s="17" t="str">
        <f ca="1">OFFSET(音楽!C3,0,$B$2)</f>
        <v>A</v>
      </c>
      <c r="H44" s="131"/>
      <c r="I44" s="132"/>
    </row>
    <row r="45" spans="1:9" ht="18.75" customHeight="1">
      <c r="A45" s="121"/>
      <c r="B45" s="119" t="str">
        <f>音楽!B4</f>
        <v>主体的に学習に取り組む態度</v>
      </c>
      <c r="C45" s="113"/>
      <c r="D45" s="113"/>
      <c r="E45" s="113"/>
      <c r="F45" s="114"/>
      <c r="G45" s="17" t="str">
        <f ca="1">OFFSET(音楽!C4,0,$B$2)</f>
        <v>A</v>
      </c>
      <c r="H45" s="131"/>
      <c r="I45" s="132"/>
    </row>
    <row r="46" spans="1:9" ht="18.75" customHeight="1">
      <c r="A46" s="121"/>
      <c r="B46" s="119">
        <f>音楽!B5</f>
        <v>0</v>
      </c>
      <c r="C46" s="113"/>
      <c r="D46" s="113"/>
      <c r="E46" s="113"/>
      <c r="F46" s="114"/>
      <c r="G46" s="17">
        <f ca="1">OFFSET(音楽!C5,0,$B$2)</f>
        <v>0</v>
      </c>
      <c r="H46" s="131"/>
      <c r="I46" s="132"/>
    </row>
    <row r="47" spans="1:9" ht="18.75" customHeight="1">
      <c r="A47" s="121"/>
      <c r="B47" s="119">
        <f>音楽!B6</f>
        <v>0</v>
      </c>
      <c r="C47" s="113"/>
      <c r="D47" s="113"/>
      <c r="E47" s="113"/>
      <c r="F47" s="114"/>
      <c r="G47" s="17">
        <f ca="1">OFFSET(音楽!C6,0,$B$2)</f>
        <v>0</v>
      </c>
      <c r="H47" s="131"/>
      <c r="I47" s="132"/>
    </row>
    <row r="48" spans="1:9" ht="18.75" customHeight="1">
      <c r="A48" s="121"/>
      <c r="B48" s="119">
        <f>音楽!B7</f>
        <v>0</v>
      </c>
      <c r="C48" s="113"/>
      <c r="D48" s="113"/>
      <c r="E48" s="113"/>
      <c r="F48" s="114"/>
      <c r="G48" s="17">
        <f ca="1">OFFSET(音楽!C7,0,$B$2)</f>
        <v>0</v>
      </c>
      <c r="H48" s="131"/>
      <c r="I48" s="132"/>
    </row>
    <row r="49" spans="1:9" ht="18.75" customHeight="1">
      <c r="A49" s="121"/>
      <c r="B49" s="119">
        <f>音楽!B8</f>
        <v>0</v>
      </c>
      <c r="C49" s="113"/>
      <c r="D49" s="113"/>
      <c r="E49" s="113"/>
      <c r="F49" s="114"/>
      <c r="G49" s="17">
        <f ca="1">OFFSET(音楽!C8,0,$B$2)</f>
        <v>0</v>
      </c>
      <c r="H49" s="131"/>
      <c r="I49" s="132"/>
    </row>
    <row r="50" spans="1:9" ht="18.75" customHeight="1">
      <c r="A50" s="122"/>
      <c r="B50" s="119">
        <f>音楽!B9</f>
        <v>0</v>
      </c>
      <c r="C50" s="113"/>
      <c r="D50" s="113"/>
      <c r="E50" s="113"/>
      <c r="F50" s="114"/>
      <c r="G50" s="18">
        <f ca="1">OFFSET(音楽!C9,0,$B$2)</f>
        <v>0</v>
      </c>
      <c r="H50" s="131"/>
      <c r="I50" s="132"/>
    </row>
    <row r="51" spans="1:9" ht="30" customHeight="1">
      <c r="A51" s="6"/>
      <c r="B51" s="31"/>
      <c r="C51" s="10"/>
      <c r="D51" s="10"/>
      <c r="E51" s="10"/>
      <c r="F51" s="10"/>
      <c r="G51" s="6"/>
      <c r="H51" s="7"/>
      <c r="I51" s="7"/>
    </row>
    <row r="52" spans="1:9" ht="7.5" customHeight="1">
      <c r="A52" s="1"/>
      <c r="B52" s="32"/>
      <c r="C52" s="11"/>
      <c r="D52" s="11"/>
      <c r="E52" s="11"/>
      <c r="F52" s="11"/>
      <c r="G52" s="1"/>
      <c r="H52" s="3"/>
      <c r="I52" s="3"/>
    </row>
    <row r="53" spans="1:9" ht="18.75" customHeight="1">
      <c r="A53" s="120" t="s">
        <v>1</v>
      </c>
      <c r="B53" s="123" t="str">
        <f>図工!B2</f>
        <v>知識・技能（クロッキー・見取り）</v>
      </c>
      <c r="C53" s="124"/>
      <c r="D53" s="124"/>
      <c r="E53" s="124"/>
      <c r="F53" s="125"/>
      <c r="G53" s="21" t="str">
        <f ca="1">OFFSET(図工!C2,0,$B$2)</f>
        <v>B</v>
      </c>
      <c r="H53" s="129">
        <f ca="1">OFFSET(図工!C12,0,$B$2)</f>
        <v>4</v>
      </c>
      <c r="I53" s="130"/>
    </row>
    <row r="54" spans="1:9" ht="18.75" customHeight="1">
      <c r="A54" s="121"/>
      <c r="B54" s="119" t="str">
        <f>図工!B3</f>
        <v>思考・判断・表現（作品）</v>
      </c>
      <c r="C54" s="113"/>
      <c r="D54" s="113"/>
      <c r="E54" s="113"/>
      <c r="F54" s="114"/>
      <c r="G54" s="17" t="str">
        <f ca="1">OFFSET(図工!C3,0,$B$2)</f>
        <v>A</v>
      </c>
      <c r="H54" s="131"/>
      <c r="I54" s="132"/>
    </row>
    <row r="55" spans="1:9" ht="18.75" customHeight="1">
      <c r="A55" s="121"/>
      <c r="B55" s="119" t="str">
        <f>図工!B4</f>
        <v>主体的な態度（振り返りシート・授業態度・提出物・持ち物）</v>
      </c>
      <c r="C55" s="113"/>
      <c r="D55" s="113"/>
      <c r="E55" s="113"/>
      <c r="F55" s="114"/>
      <c r="G55" s="17" t="str">
        <f ca="1">OFFSET(図工!C4,0,$B$2)</f>
        <v>A</v>
      </c>
      <c r="H55" s="131"/>
      <c r="I55" s="132"/>
    </row>
    <row r="56" spans="1:9" ht="18.75" customHeight="1">
      <c r="A56" s="121"/>
      <c r="B56" s="119">
        <f>図工!B5</f>
        <v>0</v>
      </c>
      <c r="C56" s="113"/>
      <c r="D56" s="113"/>
      <c r="E56" s="113"/>
      <c r="F56" s="114"/>
      <c r="G56" s="17">
        <f ca="1">OFFSET(図工!C5,0,$B$2)</f>
        <v>0</v>
      </c>
      <c r="H56" s="131"/>
      <c r="I56" s="132"/>
    </row>
    <row r="57" spans="1:9" ht="18.75" customHeight="1">
      <c r="A57" s="121"/>
      <c r="B57" s="119">
        <f>図工!B6</f>
        <v>0</v>
      </c>
      <c r="C57" s="113"/>
      <c r="D57" s="113"/>
      <c r="E57" s="113"/>
      <c r="F57" s="114"/>
      <c r="G57" s="17">
        <f ca="1">OFFSET(図工!C6,0,$B$2)</f>
        <v>0</v>
      </c>
      <c r="H57" s="131"/>
      <c r="I57" s="132"/>
    </row>
    <row r="58" spans="1:9" ht="18.75" customHeight="1">
      <c r="A58" s="121"/>
      <c r="B58" s="119">
        <f>図工!B7</f>
        <v>0</v>
      </c>
      <c r="C58" s="113"/>
      <c r="D58" s="113"/>
      <c r="E58" s="113"/>
      <c r="F58" s="114"/>
      <c r="G58" s="17">
        <f ca="1">OFFSET(図工!C7,0,$B$2)</f>
        <v>0</v>
      </c>
      <c r="H58" s="131"/>
      <c r="I58" s="132"/>
    </row>
    <row r="59" spans="1:9" ht="18.75" customHeight="1">
      <c r="A59" s="122"/>
      <c r="B59" s="119">
        <f>図工!B8</f>
        <v>0</v>
      </c>
      <c r="C59" s="113"/>
      <c r="D59" s="113"/>
      <c r="E59" s="113"/>
      <c r="F59" s="114"/>
      <c r="G59" s="18">
        <f ca="1">OFFSET(図工!C8,0,$B$2)</f>
        <v>0</v>
      </c>
      <c r="H59" s="131"/>
      <c r="I59" s="132"/>
    </row>
    <row r="60" spans="1:9" ht="18.75" customHeight="1">
      <c r="A60" s="120" t="s">
        <v>2</v>
      </c>
      <c r="B60" s="123" t="str">
        <f>体育!B2</f>
        <v>知識・技能（実技テスト）</v>
      </c>
      <c r="C60" s="124"/>
      <c r="D60" s="124"/>
      <c r="E60" s="124"/>
      <c r="F60" s="125"/>
      <c r="G60" s="21" t="str">
        <f ca="1">OFFSET(体育!C2,0,$B$2)</f>
        <v>B</v>
      </c>
      <c r="H60" s="129">
        <f ca="1">OFFSET(体育!C12,0,$B$2)</f>
        <v>4</v>
      </c>
      <c r="I60" s="130"/>
    </row>
    <row r="61" spans="1:9" ht="18.75" customHeight="1">
      <c r="A61" s="121"/>
      <c r="B61" s="119" t="str">
        <f>体育!B3</f>
        <v>思考力・表現力・判断力（実技テスト・授業での練習）</v>
      </c>
      <c r="C61" s="113"/>
      <c r="D61" s="113"/>
      <c r="E61" s="113"/>
      <c r="F61" s="114"/>
      <c r="G61" s="17" t="str">
        <f ca="1">OFFSET(体育!C3,0,$B$2)</f>
        <v>A</v>
      </c>
      <c r="H61" s="131"/>
      <c r="I61" s="132"/>
    </row>
    <row r="62" spans="1:9" ht="18.75" customHeight="1">
      <c r="A62" s="121"/>
      <c r="B62" s="119" t="str">
        <f>体育!B4</f>
        <v>主体的に学習に取り組む態度（授業態度）</v>
      </c>
      <c r="C62" s="113"/>
      <c r="D62" s="113"/>
      <c r="E62" s="113"/>
      <c r="F62" s="114"/>
      <c r="G62" s="17" t="str">
        <f ca="1">OFFSET(体育!C4,0,$B$2)</f>
        <v>A</v>
      </c>
      <c r="H62" s="131"/>
      <c r="I62" s="132"/>
    </row>
    <row r="63" spans="1:9" ht="18.75" customHeight="1">
      <c r="A63" s="121"/>
      <c r="B63" s="119">
        <f>体育!B5</f>
        <v>0</v>
      </c>
      <c r="C63" s="113"/>
      <c r="D63" s="113"/>
      <c r="E63" s="113"/>
      <c r="F63" s="114"/>
      <c r="G63" s="17">
        <f ca="1">OFFSET(体育!C5,0,$B$2)</f>
        <v>0</v>
      </c>
      <c r="H63" s="131"/>
      <c r="I63" s="132"/>
    </row>
    <row r="64" spans="1:9" ht="18.75" customHeight="1">
      <c r="A64" s="121"/>
      <c r="B64" s="119">
        <f>体育!B6</f>
        <v>0</v>
      </c>
      <c r="C64" s="113"/>
      <c r="D64" s="113"/>
      <c r="E64" s="113"/>
      <c r="F64" s="114"/>
      <c r="G64" s="17">
        <f ca="1">OFFSET(体育!C6,0,$B$2)</f>
        <v>0</v>
      </c>
      <c r="H64" s="131"/>
      <c r="I64" s="132"/>
    </row>
    <row r="65" spans="1:14" ht="18.75" customHeight="1">
      <c r="A65" s="121"/>
      <c r="B65" s="119">
        <f>体育!B7</f>
        <v>0</v>
      </c>
      <c r="C65" s="113"/>
      <c r="D65" s="113"/>
      <c r="E65" s="113"/>
      <c r="F65" s="114"/>
      <c r="G65" s="17">
        <f ca="1">OFFSET(体育!C7,0,$B$2)</f>
        <v>0</v>
      </c>
      <c r="H65" s="131"/>
      <c r="I65" s="132"/>
    </row>
    <row r="66" spans="1:14" ht="18.75" customHeight="1">
      <c r="A66" s="122"/>
      <c r="B66" s="126">
        <f>体育!B8</f>
        <v>0</v>
      </c>
      <c r="C66" s="127"/>
      <c r="D66" s="127"/>
      <c r="E66" s="127"/>
      <c r="F66" s="128"/>
      <c r="G66" s="18">
        <f ca="1">OFFSET(体育!C8,0,$B$2)</f>
        <v>0</v>
      </c>
      <c r="H66" s="133"/>
      <c r="I66" s="134"/>
    </row>
    <row r="67" spans="1:14" ht="18.75" customHeight="1">
      <c r="A67" s="120" t="s">
        <v>50</v>
      </c>
      <c r="B67" s="123" t="str">
        <f>家庭!B2</f>
        <v>知識・技能（まとめテスト・レポート）</v>
      </c>
      <c r="C67" s="124"/>
      <c r="D67" s="124"/>
      <c r="E67" s="124"/>
      <c r="F67" s="125"/>
      <c r="G67" s="21" t="str">
        <f ca="1">OFFSET(家庭!C2,0,$B$2)</f>
        <v>A</v>
      </c>
      <c r="H67" s="129">
        <f ca="1">OFFSET(家庭!C12,0,$B$2)</f>
        <v>5</v>
      </c>
      <c r="I67" s="130"/>
    </row>
    <row r="68" spans="1:14" ht="18.75" customHeight="1">
      <c r="A68" s="121"/>
      <c r="B68" s="119" t="str">
        <f>家庭!B3</f>
        <v>思考力・表現力・判断力（調理実習・レポート・ノート）</v>
      </c>
      <c r="C68" s="113"/>
      <c r="D68" s="113"/>
      <c r="E68" s="113"/>
      <c r="F68" s="114"/>
      <c r="G68" s="17" t="str">
        <f ca="1">OFFSET(家庭!C3,0,$B$2)</f>
        <v>A</v>
      </c>
      <c r="H68" s="131"/>
      <c r="I68" s="132"/>
    </row>
    <row r="69" spans="1:14" ht="18.75" customHeight="1">
      <c r="A69" s="121"/>
      <c r="B69" s="119" t="str">
        <f>家庭!B4</f>
        <v>主体的に学習に取り組む態度</v>
      </c>
      <c r="C69" s="113"/>
      <c r="D69" s="113"/>
      <c r="E69" s="113"/>
      <c r="F69" s="114"/>
      <c r="G69" s="17" t="str">
        <f ca="1">OFFSET(家庭!C4,0,$B$2)</f>
        <v>A</v>
      </c>
      <c r="H69" s="131"/>
      <c r="I69" s="132"/>
    </row>
    <row r="70" spans="1:14" ht="18.75" customHeight="1">
      <c r="A70" s="121"/>
      <c r="B70" s="119">
        <f>家庭!B5</f>
        <v>0</v>
      </c>
      <c r="C70" s="113"/>
      <c r="D70" s="113"/>
      <c r="E70" s="113"/>
      <c r="F70" s="114"/>
      <c r="G70" s="17">
        <f ca="1">OFFSET(家庭!C5,0,$B$2)</f>
        <v>0</v>
      </c>
      <c r="H70" s="131"/>
      <c r="I70" s="132"/>
    </row>
    <row r="71" spans="1:14" ht="18.75" customHeight="1">
      <c r="A71" s="121"/>
      <c r="B71" s="119">
        <f>家庭!B6</f>
        <v>0</v>
      </c>
      <c r="C71" s="113"/>
      <c r="D71" s="113"/>
      <c r="E71" s="113"/>
      <c r="F71" s="114"/>
      <c r="G71" s="17">
        <f ca="1">OFFSET(家庭!C6,0,$B$2)</f>
        <v>0</v>
      </c>
      <c r="H71" s="131"/>
      <c r="I71" s="132"/>
    </row>
    <row r="72" spans="1:14" ht="18.75" customHeight="1">
      <c r="A72" s="121"/>
      <c r="B72" s="119">
        <f>家庭!B7</f>
        <v>0</v>
      </c>
      <c r="C72" s="113"/>
      <c r="D72" s="113"/>
      <c r="E72" s="113"/>
      <c r="F72" s="114"/>
      <c r="G72" s="17">
        <f ca="1">OFFSET(家庭!C7,0,$B$2)</f>
        <v>0</v>
      </c>
      <c r="H72" s="131"/>
      <c r="I72" s="132"/>
    </row>
    <row r="73" spans="1:14" ht="18.75" customHeight="1">
      <c r="A73" s="122"/>
      <c r="B73" s="126">
        <f>家庭!B8</f>
        <v>0</v>
      </c>
      <c r="C73" s="127"/>
      <c r="D73" s="127"/>
      <c r="E73" s="127"/>
      <c r="F73" s="128"/>
      <c r="G73" s="18">
        <f ca="1">OFFSET(家庭!C8,0,$B$2)</f>
        <v>0</v>
      </c>
      <c r="H73" s="133"/>
      <c r="I73" s="134"/>
    </row>
    <row r="74" spans="1:14" ht="75" customHeight="1">
      <c r="A74" s="23" t="s">
        <v>24</v>
      </c>
      <c r="B74" s="145" t="str">
        <f ca="1">INDIRECT("'道徳'!B"&amp;2+$B$2)</f>
        <v>話の内容を自分のこととして捉えて、自分の意見をワークシートに記述することができました。特に「SNSへの書きこみのえいきょう」の単元では、SNSに投稿をしたことが原因で大きな問題となったと考えました。授業中に考えを深めていく中で、もしインターネット上に書きこみをするときには、「人の悪口を書いたり、書かれていることを簡単に信じたりしない」と考えました。</v>
      </c>
      <c r="C74" s="145"/>
      <c r="D74" s="145"/>
      <c r="E74" s="145"/>
      <c r="F74" s="145"/>
      <c r="G74" s="145"/>
      <c r="H74" s="145"/>
      <c r="I74" s="146"/>
    </row>
    <row r="75" spans="1:14" ht="9" customHeight="1">
      <c r="D75" s="14"/>
      <c r="E75" s="12"/>
      <c r="N75" s="12"/>
    </row>
    <row r="76" spans="1:14" ht="18.75" customHeight="1">
      <c r="A76" s="109" t="s">
        <v>22</v>
      </c>
      <c r="B76" s="110"/>
      <c r="C76" s="110"/>
      <c r="D76" s="111"/>
      <c r="F76" s="109" t="s">
        <v>10</v>
      </c>
      <c r="G76" s="110"/>
      <c r="H76" s="110"/>
      <c r="I76" s="111"/>
      <c r="N76" s="30"/>
    </row>
    <row r="77" spans="1:14" ht="19.5" customHeight="1">
      <c r="A77" s="147" t="str">
        <f>所見!B2</f>
        <v>基本的な生活習慣（一日の過ごし方、時間管理、など）</v>
      </c>
      <c r="B77" s="148"/>
      <c r="C77" s="149"/>
      <c r="D77" s="27" t="str">
        <f ca="1">OFFSET(所見!C2,0,$B$2)</f>
        <v>A</v>
      </c>
      <c r="F77" s="117" t="s">
        <v>12</v>
      </c>
      <c r="G77" s="118"/>
      <c r="H77" s="118"/>
      <c r="I77" s="22">
        <f ca="1">OFFSET(出欠!C2,0,$B$2)</f>
        <v>76</v>
      </c>
      <c r="L77" s="14"/>
      <c r="M77" s="12"/>
      <c r="N77" s="30"/>
    </row>
    <row r="78" spans="1:14" ht="19.5" customHeight="1">
      <c r="A78" s="103" t="str">
        <f>所見!B3</f>
        <v>健康・体力の向上（欠席、遅刻、早退など）</v>
      </c>
      <c r="B78" s="104"/>
      <c r="C78" s="105"/>
      <c r="D78" s="13" t="str">
        <f ca="1">OFFSET(所見!C3,0,$B$2)</f>
        <v>A</v>
      </c>
      <c r="F78" s="115" t="s">
        <v>13</v>
      </c>
      <c r="G78" s="116"/>
      <c r="H78" s="116"/>
      <c r="I78" s="13">
        <f ca="1">OFFSET(出欠!C3,0,$B$2)</f>
        <v>0</v>
      </c>
      <c r="L78" s="14"/>
      <c r="M78" s="30"/>
      <c r="N78" s="30"/>
    </row>
    <row r="79" spans="1:14" ht="19.5" customHeight="1">
      <c r="A79" s="103" t="str">
        <f>所見!B4</f>
        <v>自主・自律（整理整頓、身なり、宿題、提出物など）</v>
      </c>
      <c r="B79" s="104"/>
      <c r="C79" s="105"/>
      <c r="D79" s="13" t="str">
        <f ca="1">OFFSET(所見!C4,0,$B$2)</f>
        <v>A</v>
      </c>
      <c r="F79" s="112" t="s">
        <v>20</v>
      </c>
      <c r="G79" s="113"/>
      <c r="H79" s="114"/>
      <c r="I79" s="13">
        <f ca="1">OFFSET(出欠!C4,0,$B$2)</f>
        <v>76</v>
      </c>
      <c r="L79" s="30"/>
      <c r="M79" s="30"/>
      <c r="N79" s="30"/>
    </row>
    <row r="80" spans="1:14" ht="19.5" customHeight="1">
      <c r="A80" s="103" t="str">
        <f>所見!B5</f>
        <v>責任感（係、委員会、役割など）</v>
      </c>
      <c r="B80" s="104"/>
      <c r="C80" s="105"/>
      <c r="D80" s="13" t="str">
        <f ca="1">OFFSET(所見!C5,0,$B$2)</f>
        <v>A</v>
      </c>
      <c r="F80" s="115" t="s">
        <v>14</v>
      </c>
      <c r="G80" s="116"/>
      <c r="H80" s="116"/>
      <c r="I80" s="13">
        <f ca="1">OFFSET(出欠!C5,0,$B$2)</f>
        <v>76</v>
      </c>
      <c r="L80" s="30"/>
      <c r="M80" s="30"/>
      <c r="N80" s="30"/>
    </row>
    <row r="81" spans="1:14" ht="19.5" customHeight="1">
      <c r="A81" s="103" t="str">
        <f>所見!B6</f>
        <v>創意工夫（日常生活、授業発言など）</v>
      </c>
      <c r="B81" s="104"/>
      <c r="C81" s="105"/>
      <c r="D81" s="13" t="str">
        <f ca="1">OFFSET(所見!C6,0,$B$2)</f>
        <v>B</v>
      </c>
      <c r="F81" s="115" t="s">
        <v>21</v>
      </c>
      <c r="G81" s="116"/>
      <c r="H81" s="116"/>
      <c r="I81" s="13">
        <f ca="1">OFFSET(出欠!C6,0,$B$2)</f>
        <v>0</v>
      </c>
      <c r="L81" s="30"/>
      <c r="M81" s="30"/>
      <c r="N81" s="30"/>
    </row>
    <row r="82" spans="1:14" ht="19.5" customHeight="1">
      <c r="A82" s="103" t="str">
        <f>所見!B7</f>
        <v>思いやり・協力（友人関係、共同作業など）</v>
      </c>
      <c r="B82" s="104"/>
      <c r="C82" s="105"/>
      <c r="D82" s="13" t="str">
        <f ca="1">OFFSET(所見!C7,0,$B$2)</f>
        <v>A</v>
      </c>
      <c r="F82" s="115" t="s">
        <v>15</v>
      </c>
      <c r="G82" s="116"/>
      <c r="H82" s="116"/>
      <c r="I82" s="13">
        <f ca="1">OFFSET(出欠!C7,0,$B$2)</f>
        <v>0</v>
      </c>
      <c r="L82" s="30"/>
      <c r="M82" s="30"/>
      <c r="N82" s="30"/>
    </row>
    <row r="83" spans="1:14" ht="19.5" customHeight="1">
      <c r="A83" s="103" t="str">
        <f>所見!B8</f>
        <v>生命尊重・自然愛護（自然、動植物に対する接し方など）</v>
      </c>
      <c r="B83" s="104"/>
      <c r="C83" s="105"/>
      <c r="D83" s="13" t="str">
        <f ca="1">OFFSET(所見!C8,0,$B$2)</f>
        <v>A</v>
      </c>
      <c r="F83" s="115" t="s">
        <v>16</v>
      </c>
      <c r="G83" s="116"/>
      <c r="H83" s="116"/>
      <c r="I83" s="13">
        <f ca="1">OFFSET(出欠!C8,0,$B$2)</f>
        <v>0</v>
      </c>
      <c r="L83" s="30"/>
      <c r="M83" s="30"/>
      <c r="N83" s="30"/>
    </row>
    <row r="84" spans="1:14" ht="19.5" customHeight="1">
      <c r="A84" s="103" t="str">
        <f>所見!B9</f>
        <v>勤労・奉仕（清掃、給食など）</v>
      </c>
      <c r="B84" s="104"/>
      <c r="C84" s="105"/>
      <c r="D84" s="15" t="str">
        <f ca="1">OFFSET(所見!C9,0,$B$2)</f>
        <v>A</v>
      </c>
      <c r="F84" s="94" t="str">
        <f ca="1">"備考： "&amp;INDIRECT("'出欠'!B"&amp;9+$B$2)</f>
        <v xml:space="preserve">備考： </v>
      </c>
      <c r="G84" s="95"/>
      <c r="H84" s="95"/>
      <c r="I84" s="96"/>
      <c r="L84" s="30"/>
      <c r="M84" s="30"/>
      <c r="N84" s="30"/>
    </row>
    <row r="85" spans="1:14" ht="19.5" customHeight="1">
      <c r="A85" s="103" t="str">
        <f>所見!B10</f>
        <v>公正・公平（友人関係、学級での話し合いなど）</v>
      </c>
      <c r="B85" s="104"/>
      <c r="C85" s="105"/>
      <c r="D85" s="15" t="str">
        <f ca="1">OFFSET(所見!C10,0,$B$2)</f>
        <v>B</v>
      </c>
      <c r="F85" s="97"/>
      <c r="G85" s="98"/>
      <c r="H85" s="98"/>
      <c r="I85" s="99"/>
      <c r="L85" s="80">
        <f>番号</f>
        <v>19</v>
      </c>
      <c r="M85" s="30"/>
      <c r="N85" s="30"/>
    </row>
    <row r="86" spans="1:14" ht="19.5" customHeight="1">
      <c r="A86" s="106" t="str">
        <f>所見!B11</f>
        <v>公共心・公徳心（規律、挨拶、返事など）</v>
      </c>
      <c r="B86" s="107"/>
      <c r="C86" s="108"/>
      <c r="D86" s="16" t="str">
        <f ca="1">OFFSET(所見!C11,0,$B$2)</f>
        <v>A</v>
      </c>
      <c r="F86" s="100"/>
      <c r="G86" s="101"/>
      <c r="H86" s="101"/>
      <c r="I86" s="102"/>
      <c r="L86" s="30"/>
      <c r="M86" s="30"/>
      <c r="N86" s="25"/>
    </row>
    <row r="87" spans="1:14" ht="9" customHeight="1">
      <c r="A87" s="26"/>
      <c r="B87" s="28"/>
      <c r="C87" s="28"/>
      <c r="D87" s="29"/>
      <c r="F87" s="24"/>
      <c r="G87" s="24"/>
      <c r="H87" s="24"/>
      <c r="I87" s="24"/>
      <c r="L87" s="25"/>
      <c r="M87" s="25"/>
      <c r="N87" s="25"/>
    </row>
    <row r="88" spans="1:14" ht="39" customHeight="1">
      <c r="A88" s="90" t="s">
        <v>23</v>
      </c>
      <c r="B88" s="91"/>
      <c r="C88" s="92" t="str">
        <f ca="1">INDIRECT("'所見'!B"&amp;12+$B$2)</f>
        <v>倫理委員会、理科係</v>
      </c>
      <c r="D88" s="92"/>
      <c r="E88" s="92"/>
      <c r="F88" s="92"/>
      <c r="G88" s="92"/>
      <c r="H88" s="92"/>
      <c r="I88" s="93"/>
      <c r="L88" s="25"/>
      <c r="M88" s="25"/>
    </row>
    <row r="89" spans="1:14" ht="9" customHeight="1">
      <c r="C89" s="14"/>
    </row>
    <row r="90" spans="1:14" ht="186.75" customHeight="1">
      <c r="A90" s="23" t="s">
        <v>11</v>
      </c>
      <c r="B90" s="140" t="str">
        <f ca="1">INDIRECT("'所見'!B"&amp;$Q$5+$B$2)</f>
        <v>学習面では、授業内で理解できるようにしっかりと学習に取り組むことができました。また、テスト前には自分から進んで学習に取り組む姿も見られました。更に、毎日の宿題にもコツコツと取り組む姿があり、とても立派でした。学力はこうした日々の積み重ねがとても大切です。この調子で学習に取り組みましょう。体育祭では、勝利という目標を達成するために、一生懸命に取り組む姿がありました。特に、応援練習では、本気になって声を出したり、演舞を覚えようと努力をする姿が見られました。日々の生活でもこうした努力を大切に過ごしましょう。生活面では、挨拶や返事をしっかりとして、周囲のお手本となるような行動をすることができていました。自分がやるべきことにしっかりと取り組むことができるのは、とても立派です。優羽花さんは、その明るい笑顔で周囲の人を楽しませたり、元気にさせたりすることができます。その前向きな気持ちを大切にして、今後の生活も過ごしてください。２学期の更なる成長に期待しています。</v>
      </c>
      <c r="C90" s="141"/>
      <c r="D90" s="141"/>
      <c r="E90" s="141"/>
      <c r="F90" s="141"/>
      <c r="G90" s="141"/>
      <c r="H90" s="141"/>
      <c r="I90" s="142"/>
    </row>
  </sheetData>
  <mergeCells count="115">
    <mergeCell ref="K7:L7"/>
    <mergeCell ref="B90:I90"/>
    <mergeCell ref="A4:I4"/>
    <mergeCell ref="B6:F6"/>
    <mergeCell ref="B7:F7"/>
    <mergeCell ref="B8:F8"/>
    <mergeCell ref="H5:I5"/>
    <mergeCell ref="F81:H81"/>
    <mergeCell ref="H53:I59"/>
    <mergeCell ref="H43:I50"/>
    <mergeCell ref="B49:F49"/>
    <mergeCell ref="B25:F25"/>
    <mergeCell ref="B28:F28"/>
    <mergeCell ref="B42:F42"/>
    <mergeCell ref="B47:F47"/>
    <mergeCell ref="B48:F48"/>
    <mergeCell ref="B50:F50"/>
    <mergeCell ref="B5:F5"/>
    <mergeCell ref="B74:I74"/>
    <mergeCell ref="A14:A20"/>
    <mergeCell ref="H60:I66"/>
    <mergeCell ref="A77:C77"/>
    <mergeCell ref="A78:C78"/>
    <mergeCell ref="A79:C79"/>
    <mergeCell ref="A1:B1"/>
    <mergeCell ref="C1:G1"/>
    <mergeCell ref="G2:I2"/>
    <mergeCell ref="H6:I13"/>
    <mergeCell ref="A6:A13"/>
    <mergeCell ref="B40:F40"/>
    <mergeCell ref="B41:F41"/>
    <mergeCell ref="H36:I42"/>
    <mergeCell ref="H14:I20"/>
    <mergeCell ref="H21:I28"/>
    <mergeCell ref="B13:F13"/>
    <mergeCell ref="B20:F20"/>
    <mergeCell ref="A21:A28"/>
    <mergeCell ref="B21:F21"/>
    <mergeCell ref="B22:F22"/>
    <mergeCell ref="B23:F23"/>
    <mergeCell ref="B24:F24"/>
    <mergeCell ref="A36:A42"/>
    <mergeCell ref="B36:F36"/>
    <mergeCell ref="B37:F37"/>
    <mergeCell ref="B38:F38"/>
    <mergeCell ref="B39:F39"/>
    <mergeCell ref="A29:A35"/>
    <mergeCell ref="B9:F9"/>
    <mergeCell ref="B64:F64"/>
    <mergeCell ref="B65:F65"/>
    <mergeCell ref="A67:A73"/>
    <mergeCell ref="B67:F67"/>
    <mergeCell ref="H67:I73"/>
    <mergeCell ref="B68:F68"/>
    <mergeCell ref="B69:F69"/>
    <mergeCell ref="B70:F70"/>
    <mergeCell ref="B71:F71"/>
    <mergeCell ref="B72:F72"/>
    <mergeCell ref="B10:F10"/>
    <mergeCell ref="B11:F11"/>
    <mergeCell ref="B12:F12"/>
    <mergeCell ref="B56:F56"/>
    <mergeCell ref="B14:F14"/>
    <mergeCell ref="B15:F15"/>
    <mergeCell ref="B16:F16"/>
    <mergeCell ref="B17:F17"/>
    <mergeCell ref="B18:F18"/>
    <mergeCell ref="B19:F19"/>
    <mergeCell ref="B26:F26"/>
    <mergeCell ref="B27:F27"/>
    <mergeCell ref="B29:F29"/>
    <mergeCell ref="B45:F45"/>
    <mergeCell ref="B46:F46"/>
    <mergeCell ref="B59:F59"/>
    <mergeCell ref="A53:A59"/>
    <mergeCell ref="B53:F53"/>
    <mergeCell ref="B54:F54"/>
    <mergeCell ref="B55:F55"/>
    <mergeCell ref="B58:F58"/>
    <mergeCell ref="B57:F57"/>
    <mergeCell ref="B73:F73"/>
    <mergeCell ref="H29:I35"/>
    <mergeCell ref="B30:F30"/>
    <mergeCell ref="B31:F31"/>
    <mergeCell ref="B32:F32"/>
    <mergeCell ref="B33:F33"/>
    <mergeCell ref="B34:F34"/>
    <mergeCell ref="B35:F35"/>
    <mergeCell ref="A43:A50"/>
    <mergeCell ref="B43:F43"/>
    <mergeCell ref="B44:F44"/>
    <mergeCell ref="B66:F66"/>
    <mergeCell ref="B60:F60"/>
    <mergeCell ref="B61:F61"/>
    <mergeCell ref="B62:F62"/>
    <mergeCell ref="A60:A66"/>
    <mergeCell ref="B63:F63"/>
    <mergeCell ref="A88:B88"/>
    <mergeCell ref="C88:I88"/>
    <mergeCell ref="F84:I86"/>
    <mergeCell ref="A84:C84"/>
    <mergeCell ref="A85:C85"/>
    <mergeCell ref="A86:C86"/>
    <mergeCell ref="A76:D76"/>
    <mergeCell ref="F79:H79"/>
    <mergeCell ref="F78:H78"/>
    <mergeCell ref="F82:H82"/>
    <mergeCell ref="F83:H83"/>
    <mergeCell ref="F76:I76"/>
    <mergeCell ref="F80:H80"/>
    <mergeCell ref="A80:C80"/>
    <mergeCell ref="A81:C81"/>
    <mergeCell ref="A82:C82"/>
    <mergeCell ref="A83:C83"/>
    <mergeCell ref="F77:H77"/>
  </mergeCells>
  <phoneticPr fontId="1"/>
  <conditionalFormatting sqref="F84 B90 D77:D87 A77:A87 C88 C51:F52 L87:M88 N76:N87 B6:B25 G6:G25 B28:B50 B53:B57 G28:G57 G59:G66 B59:B66 B74">
    <cfRule type="cellIs" dxfId="44" priority="8" stopIfTrue="1" operator="equal">
      <formula>0</formula>
    </cfRule>
  </conditionalFormatting>
  <conditionalFormatting sqref="G26:G27 B26:B27">
    <cfRule type="cellIs" dxfId="43" priority="7" stopIfTrue="1" operator="equal">
      <formula>0</formula>
    </cfRule>
  </conditionalFormatting>
  <conditionalFormatting sqref="B58 G58">
    <cfRule type="cellIs" dxfId="42" priority="4" stopIfTrue="1" operator="equal">
      <formula>0</formula>
    </cfRule>
  </conditionalFormatting>
  <conditionalFormatting sqref="G67:G73 B67:B73">
    <cfRule type="cellIs" dxfId="41" priority="3" stopIfTrue="1" operator="equal">
      <formula>0</formula>
    </cfRule>
  </conditionalFormatting>
  <conditionalFormatting sqref="L79:M86 M78">
    <cfRule type="cellIs" dxfId="40" priority="2" stopIfTrue="1" operator="equal">
      <formula>0</formula>
    </cfRule>
  </conditionalFormatting>
  <conditionalFormatting sqref="L17:M20">
    <cfRule type="cellIs" dxfId="39" priority="1" stopIfTrue="1" operator="equal">
      <formula>0</formula>
    </cfRule>
  </conditionalFormatting>
  <printOptions horizontalCentered="1"/>
  <pageMargins left="0.59055118110236227" right="0.19685039370078741" top="0.39370078740157483" bottom="0.39370078740157483" header="0.35433070866141736" footer="0.19685039370078741"/>
  <pageSetup paperSize="13" scale="74" fitToHeight="2" orientation="portrait" horizontalDpi="300" verticalDpi="300" r:id="rId1"/>
  <headerFooter alignWithMargins="0"/>
  <rowBreaks count="1" manualBreakCount="1">
    <brk id="51" max="8"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元データ取込">
                <anchor moveWithCells="1" sizeWithCells="1">
                  <from>
                    <xdr:col>9</xdr:col>
                    <xdr:colOff>571500</xdr:colOff>
                    <xdr:row>4</xdr:row>
                    <xdr:rowOff>28575</xdr:rowOff>
                  </from>
                  <to>
                    <xdr:col>12</xdr:col>
                    <xdr:colOff>123825</xdr:colOff>
                    <xdr:row>5</xdr:row>
                    <xdr:rowOff>95250</xdr:rowOff>
                  </to>
                </anchor>
              </controlPr>
            </control>
          </mc:Choice>
        </mc:AlternateContent>
        <mc:AlternateContent xmlns:mc="http://schemas.openxmlformats.org/markup-compatibility/2006">
          <mc:Choice Requires="x14">
            <control shapeId="1026" r:id="rId5" name="Button 2">
              <controlPr defaultSize="0" print="0" autoFill="0" autoPict="0" macro="[0]!通知票印刷">
                <anchor moveWithCells="1" sizeWithCells="1">
                  <from>
                    <xdr:col>9</xdr:col>
                    <xdr:colOff>571500</xdr:colOff>
                    <xdr:row>10</xdr:row>
                    <xdr:rowOff>76200</xdr:rowOff>
                  </from>
                  <to>
                    <xdr:col>12</xdr:col>
                    <xdr:colOff>161925</xdr:colOff>
                    <xdr:row>11</xdr:row>
                    <xdr:rowOff>152400</xdr:rowOff>
                  </to>
                </anchor>
              </controlPr>
            </control>
          </mc:Choice>
        </mc:AlternateContent>
        <mc:AlternateContent xmlns:mc="http://schemas.openxmlformats.org/markup-compatibility/2006">
          <mc:Choice Requires="x14">
            <control shapeId="1027" r:id="rId6" name="Button 3">
              <controlPr defaultSize="0" print="0" autoFill="0" autoPict="0" macro="[0]!所見集印刷">
                <anchor moveWithCells="1" sizeWithCells="1">
                  <from>
                    <xdr:col>9</xdr:col>
                    <xdr:colOff>571500</xdr:colOff>
                    <xdr:row>12</xdr:row>
                    <xdr:rowOff>47625</xdr:rowOff>
                  </from>
                  <to>
                    <xdr:col>12</xdr:col>
                    <xdr:colOff>161925</xdr:colOff>
                    <xdr:row>13</xdr:row>
                    <xdr:rowOff>123825</xdr:rowOff>
                  </to>
                </anchor>
              </controlPr>
            </control>
          </mc:Choice>
        </mc:AlternateContent>
        <mc:AlternateContent xmlns:mc="http://schemas.openxmlformats.org/markup-compatibility/2006">
          <mc:Choice Requires="x14">
            <control shapeId="1028" r:id="rId7" name="Button 4">
              <controlPr defaultSize="0" print="0" autoFill="0" autoPict="0" macro="[0]!前">
                <anchor moveWithCells="1" sizeWithCells="1">
                  <from>
                    <xdr:col>10</xdr:col>
                    <xdr:colOff>66675</xdr:colOff>
                    <xdr:row>83</xdr:row>
                    <xdr:rowOff>200025</xdr:rowOff>
                  </from>
                  <to>
                    <xdr:col>11</xdr:col>
                    <xdr:colOff>9525</xdr:colOff>
                    <xdr:row>85</xdr:row>
                    <xdr:rowOff>19050</xdr:rowOff>
                  </to>
                </anchor>
              </controlPr>
            </control>
          </mc:Choice>
        </mc:AlternateContent>
        <mc:AlternateContent xmlns:mc="http://schemas.openxmlformats.org/markup-compatibility/2006">
          <mc:Choice Requires="x14">
            <control shapeId="1029" r:id="rId8" name="Button 5">
              <controlPr defaultSize="0" print="0" autoFill="0" autoPict="0" macro="[0]!先">
                <anchor moveWithCells="1" sizeWithCells="1">
                  <from>
                    <xdr:col>12</xdr:col>
                    <xdr:colOff>133350</xdr:colOff>
                    <xdr:row>83</xdr:row>
                    <xdr:rowOff>200025</xdr:rowOff>
                  </from>
                  <to>
                    <xdr:col>12</xdr:col>
                    <xdr:colOff>438150</xdr:colOff>
                    <xdr:row>85</xdr:row>
                    <xdr:rowOff>19050</xdr:rowOff>
                  </to>
                </anchor>
              </controlPr>
            </control>
          </mc:Choice>
        </mc:AlternateContent>
        <mc:AlternateContent xmlns:mc="http://schemas.openxmlformats.org/markup-compatibility/2006">
          <mc:Choice Requires="x14">
            <control shapeId="1030" r:id="rId9" name="Button 6">
              <controlPr defaultSize="0" print="0" autoFill="0" autoPict="0" macro="[0]!前">
                <anchor moveWithCells="1" sizeWithCells="1">
                  <from>
                    <xdr:col>10</xdr:col>
                    <xdr:colOff>66675</xdr:colOff>
                    <xdr:row>17</xdr:row>
                    <xdr:rowOff>200025</xdr:rowOff>
                  </from>
                  <to>
                    <xdr:col>11</xdr:col>
                    <xdr:colOff>9525</xdr:colOff>
                    <xdr:row>19</xdr:row>
                    <xdr:rowOff>19050</xdr:rowOff>
                  </to>
                </anchor>
              </controlPr>
            </control>
          </mc:Choice>
        </mc:AlternateContent>
        <mc:AlternateContent xmlns:mc="http://schemas.openxmlformats.org/markup-compatibility/2006">
          <mc:Choice Requires="x14">
            <control shapeId="1031" r:id="rId10" name="Button 7">
              <controlPr defaultSize="0" print="0" autoFill="0" autoPict="0" macro="[0]!先">
                <anchor moveWithCells="1" sizeWithCells="1">
                  <from>
                    <xdr:col>12</xdr:col>
                    <xdr:colOff>133350</xdr:colOff>
                    <xdr:row>17</xdr:row>
                    <xdr:rowOff>200025</xdr:rowOff>
                  </from>
                  <to>
                    <xdr:col>12</xdr:col>
                    <xdr:colOff>438150</xdr:colOff>
                    <xdr:row>19</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1"/>
    <pageSetUpPr fitToPage="1"/>
  </sheetPr>
  <dimension ref="A1:C16"/>
  <sheetViews>
    <sheetView view="pageBreakPreview" zoomScaleNormal="70" zoomScaleSheetLayoutView="100" workbookViewId="0">
      <selection activeCell="C17" sqref="C17"/>
    </sheetView>
  </sheetViews>
  <sheetFormatPr defaultRowHeight="13.5"/>
  <cols>
    <col min="1" max="2" width="4.25" style="8" customWidth="1"/>
    <col min="3" max="3" width="95" style="8" customWidth="1"/>
    <col min="4" max="16384" width="9" style="8"/>
  </cols>
  <sheetData>
    <row r="1" spans="1:3" ht="18.75" customHeight="1">
      <c r="A1" s="150" t="str">
        <f ca="1">通知票!A1</f>
        <v>５－１</v>
      </c>
      <c r="B1" s="135"/>
      <c r="C1" s="60" t="str">
        <f ca="1">通知票!C1</f>
        <v>1学期</v>
      </c>
    </row>
    <row r="2" spans="1:3" ht="18.75" customHeight="1">
      <c r="A2" s="61" t="s">
        <v>43</v>
      </c>
      <c r="B2" s="60">
        <v>22</v>
      </c>
      <c r="C2" s="72">
        <f ca="1">INDIRECT("'所見'!A"&amp;12+$B$2)</f>
        <v>0</v>
      </c>
    </row>
    <row r="3" spans="1:3" ht="12" customHeight="1">
      <c r="C3" s="9"/>
    </row>
    <row r="4" spans="1:3" ht="18.75" customHeight="1">
      <c r="A4" s="62" t="s">
        <v>4</v>
      </c>
      <c r="B4" s="63" t="s">
        <v>6</v>
      </c>
      <c r="C4" s="22" t="s">
        <v>44</v>
      </c>
    </row>
    <row r="5" spans="1:3" ht="67.5" customHeight="1">
      <c r="A5" s="64" t="s">
        <v>8</v>
      </c>
      <c r="B5" s="65">
        <f ca="1">OFFSET(国語!C12,0,$B$2)</f>
        <v>0</v>
      </c>
      <c r="C5" s="66">
        <f ca="1">INDIRECT("'国語'!B"&amp;14+$B$2)</f>
        <v>0</v>
      </c>
    </row>
    <row r="6" spans="1:3" ht="67.5" customHeight="1">
      <c r="A6" s="67" t="s">
        <v>0</v>
      </c>
      <c r="B6" s="68">
        <f ca="1">OFFSET(算数!C12,0,$B$2)</f>
        <v>0</v>
      </c>
      <c r="C6" s="69">
        <f ca="1">INDIRECT("'算数'!B"&amp;14+$B$2)</f>
        <v>0</v>
      </c>
    </row>
    <row r="7" spans="1:3" ht="67.5" customHeight="1">
      <c r="A7" s="64" t="s">
        <v>47</v>
      </c>
      <c r="B7" s="65">
        <f ca="1">OFFSET(理科!C12,0,$B$2)</f>
        <v>0</v>
      </c>
      <c r="C7" s="66">
        <f ca="1">INDIRECT("'理科'!B"&amp;14+$B$2)</f>
        <v>0</v>
      </c>
    </row>
    <row r="8" spans="1:3" ht="67.5" customHeight="1">
      <c r="A8" s="64" t="s">
        <v>48</v>
      </c>
      <c r="B8" s="65">
        <f ca="1">OFFSET(社会!C12,0,$B$2)</f>
        <v>0</v>
      </c>
      <c r="C8" s="66">
        <f ca="1">INDIRECT("'社会'!B"&amp;14+$B$2)</f>
        <v>0</v>
      </c>
    </row>
    <row r="9" spans="1:3" ht="67.5" customHeight="1">
      <c r="A9" s="67" t="s">
        <v>9</v>
      </c>
      <c r="B9" s="68">
        <f ca="1">OFFSET(英語!C12,0,$B$2)</f>
        <v>0</v>
      </c>
      <c r="C9" s="69">
        <f ca="1">INDIRECT("'英語'!B"&amp;14+$B$2)</f>
        <v>0</v>
      </c>
    </row>
    <row r="10" spans="1:3" ht="67.5" customHeight="1">
      <c r="A10" s="64" t="s">
        <v>3</v>
      </c>
      <c r="B10" s="65">
        <f ca="1">OFFSET(音楽!C12,0,$B$2)</f>
        <v>0</v>
      </c>
      <c r="C10" s="66">
        <f ca="1">INDIRECT("'音楽'!B"&amp;14+$B$2)</f>
        <v>0</v>
      </c>
    </row>
    <row r="11" spans="1:3" ht="67.5" customHeight="1">
      <c r="A11" s="67" t="s">
        <v>1</v>
      </c>
      <c r="B11" s="68">
        <f ca="1">OFFSET(図工!C12,0,$B$2)</f>
        <v>0</v>
      </c>
      <c r="C11" s="69">
        <f ca="1">INDIRECT("'図工'!B"&amp;14+$B$2)</f>
        <v>0</v>
      </c>
    </row>
    <row r="12" spans="1:3" ht="67.5" customHeight="1">
      <c r="A12" s="64" t="s">
        <v>50</v>
      </c>
      <c r="B12" s="65">
        <f ca="1">OFFSET(家庭!C12,0,$B$2)</f>
        <v>0</v>
      </c>
      <c r="C12" s="66">
        <f ca="1">INDIRECT("'家庭'!B"&amp;14+$B$2)</f>
        <v>0</v>
      </c>
    </row>
    <row r="13" spans="1:3" ht="67.5" customHeight="1">
      <c r="A13" s="64" t="s">
        <v>2</v>
      </c>
      <c r="B13" s="65">
        <f ca="1">OFFSET(体育!C12,0,$B$2)</f>
        <v>0</v>
      </c>
      <c r="C13" s="66">
        <f ca="1">INDIRECT("'体育'!B"&amp;14+$B$2)</f>
        <v>0</v>
      </c>
    </row>
    <row r="14" spans="1:3" ht="67.5" customHeight="1">
      <c r="A14" s="64" t="s">
        <v>24</v>
      </c>
      <c r="B14" s="151">
        <f ca="1">INDIRECT("'道徳'!B"&amp;2+$B$2)</f>
        <v>0</v>
      </c>
      <c r="C14" s="152"/>
    </row>
    <row r="15" spans="1:3" ht="15" customHeight="1">
      <c r="C15" s="70"/>
    </row>
    <row r="16" spans="1:3" ht="188.25" customHeight="1">
      <c r="A16" s="23" t="s">
        <v>11</v>
      </c>
      <c r="B16" s="71"/>
      <c r="C16" s="66">
        <f ca="1">INDIRECT("'所見'!B"&amp;通知票!$Q$5+B2)</f>
        <v>0</v>
      </c>
    </row>
  </sheetData>
  <mergeCells count="2">
    <mergeCell ref="A1:B1"/>
    <mergeCell ref="B14:C14"/>
  </mergeCells>
  <phoneticPr fontId="1"/>
  <conditionalFormatting sqref="C16 C5:C7 C9:C11 C13">
    <cfRule type="cellIs" dxfId="38" priority="3" stopIfTrue="1" operator="equal">
      <formula>0</formula>
    </cfRule>
  </conditionalFormatting>
  <conditionalFormatting sqref="C8">
    <cfRule type="cellIs" dxfId="37" priority="2" stopIfTrue="1" operator="equal">
      <formula>0</formula>
    </cfRule>
  </conditionalFormatting>
  <conditionalFormatting sqref="C12">
    <cfRule type="cellIs" dxfId="36" priority="1" stopIfTrue="1" operator="equal">
      <formula>0</formula>
    </cfRule>
  </conditionalFormatting>
  <printOptions horizontalCentered="1"/>
  <pageMargins left="0.59055118110236227" right="0.39370078740157483" top="0.39370078740157483" bottom="0.39370078740157483" header="0.35433070866141736" footer="0.19685039370078741"/>
  <pageSetup paperSize="9" scale="90" orientation="portrait" horizontalDpi="4294967293" verticalDpi="3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AD193"/>
  <sheetViews>
    <sheetView workbookViewId="0">
      <selection sqref="A1:XFD1048576"/>
    </sheetView>
  </sheetViews>
  <sheetFormatPr defaultRowHeight="13.5"/>
  <cols>
    <col min="1" max="1" width="13.5" style="8" customWidth="1"/>
    <col min="2" max="2" width="79.125" style="8" customWidth="1"/>
    <col min="3" max="3" width="9.375" style="8" customWidth="1"/>
    <col min="4" max="28" width="4.125" style="8" customWidth="1"/>
    <col min="29" max="16384" width="9" style="8"/>
  </cols>
  <sheetData>
    <row r="1" spans="1:30" ht="85.5" customHeight="1">
      <c r="A1" s="33" t="str">
        <f ca="1">MID(CELL("filename",A1),FIND("[",CELL("filename",A1))+1,3)</f>
        <v>５－１</v>
      </c>
      <c r="B1" s="34" t="str">
        <f ca="1">RIGHT(CELL("filename",B1),LEN(CELL("filename",B1))-FIND("]",CELL("filename",B1)))</f>
        <v>国語</v>
      </c>
      <c r="C1" s="35" t="s">
        <v>25</v>
      </c>
      <c r="D1" s="36" t="str">
        <f>A15</f>
        <v>阿部 光希</v>
      </c>
      <c r="E1" s="36" t="str">
        <f>A16</f>
        <v>池田 篤也</v>
      </c>
      <c r="F1" s="36" t="str">
        <f>A17</f>
        <v>荻原 健史</v>
      </c>
      <c r="G1" s="36" t="str">
        <f>A18</f>
        <v>上條 里紗</v>
      </c>
      <c r="H1" s="36" t="str">
        <f>A19</f>
        <v>小森 美柚</v>
      </c>
      <c r="I1" s="36" t="str">
        <f>A20</f>
        <v>酒巻 紋子</v>
      </c>
      <c r="J1" s="36" t="str">
        <f>A21</f>
        <v>滝 真佳</v>
      </c>
      <c r="K1" s="36" t="str">
        <f>A22</f>
        <v>都筑 斉</v>
      </c>
      <c r="L1" s="36" t="str">
        <f>A23</f>
        <v>傳田 悠藍</v>
      </c>
      <c r="M1" s="36" t="str">
        <f>A24</f>
        <v>中原 照真</v>
      </c>
      <c r="N1" s="36" t="str">
        <f>A25</f>
        <v>永原 愛羅</v>
      </c>
      <c r="O1" s="36" t="str">
        <f>A26</f>
        <v>根橋 宏匡</v>
      </c>
      <c r="P1" s="36" t="str">
        <f>A27</f>
        <v>平野 悠</v>
      </c>
      <c r="Q1" s="36" t="str">
        <f>A28</f>
        <v>丸山 大河</v>
      </c>
      <c r="R1" s="36" t="str">
        <f>A29</f>
        <v>三浦 和成</v>
      </c>
      <c r="S1" s="36" t="str">
        <f>A30</f>
        <v>三澤 桜來</v>
      </c>
      <c r="T1" s="36" t="str">
        <f>A31</f>
        <v>明嵐 瑛大</v>
      </c>
      <c r="U1" s="36" t="str">
        <f>A32</f>
        <v>屋井 皓</v>
      </c>
      <c r="V1" s="36" t="str">
        <f>A33</f>
        <v>若松 優羽花</v>
      </c>
      <c r="W1" s="36" t="str">
        <f>A34</f>
        <v>渡邊 葉子</v>
      </c>
      <c r="X1" s="36" t="str">
        <f>A35</f>
        <v>綿貫 叶乃音</v>
      </c>
      <c r="Y1" s="36">
        <f>A36</f>
        <v>0</v>
      </c>
      <c r="Z1" s="36">
        <f>A37</f>
        <v>0</v>
      </c>
      <c r="AA1" s="36">
        <f>A38</f>
        <v>0</v>
      </c>
      <c r="AB1" s="36">
        <f>A39</f>
        <v>0</v>
      </c>
      <c r="AC1" s="37"/>
    </row>
    <row r="2" spans="1:30" ht="22.5" customHeight="1">
      <c r="A2" s="153" t="s">
        <v>243</v>
      </c>
      <c r="B2" s="78" t="s">
        <v>67</v>
      </c>
      <c r="C2" s="38" t="s">
        <v>26</v>
      </c>
      <c r="D2" s="39" t="s">
        <v>244</v>
      </c>
      <c r="E2" s="39" t="s">
        <v>244</v>
      </c>
      <c r="F2" s="39" t="s">
        <v>244</v>
      </c>
      <c r="G2" s="39" t="s">
        <v>245</v>
      </c>
      <c r="H2" s="39" t="s">
        <v>244</v>
      </c>
      <c r="I2" s="39" t="s">
        <v>223</v>
      </c>
      <c r="J2" s="39" t="s">
        <v>223</v>
      </c>
      <c r="K2" s="39" t="s">
        <v>245</v>
      </c>
      <c r="L2" s="39" t="s">
        <v>244</v>
      </c>
      <c r="M2" s="39" t="s">
        <v>223</v>
      </c>
      <c r="N2" s="39" t="s">
        <v>245</v>
      </c>
      <c r="O2" s="39" t="s">
        <v>246</v>
      </c>
      <c r="P2" s="39" t="s">
        <v>223</v>
      </c>
      <c r="Q2" s="39" t="s">
        <v>244</v>
      </c>
      <c r="R2" s="39" t="s">
        <v>244</v>
      </c>
      <c r="S2" s="39" t="s">
        <v>244</v>
      </c>
      <c r="T2" s="39" t="s">
        <v>244</v>
      </c>
      <c r="U2" s="39" t="s">
        <v>245</v>
      </c>
      <c r="V2" s="39" t="s">
        <v>223</v>
      </c>
      <c r="W2" s="39" t="s">
        <v>246</v>
      </c>
      <c r="X2" s="39" t="s">
        <v>245</v>
      </c>
      <c r="Y2" s="39"/>
      <c r="Z2" s="39"/>
      <c r="AA2" s="39"/>
      <c r="AB2" s="39"/>
      <c r="AC2" s="40" t="s">
        <v>244</v>
      </c>
      <c r="AD2" s="40">
        <v>1</v>
      </c>
    </row>
    <row r="3" spans="1:30" ht="22.5" customHeight="1">
      <c r="A3" s="154"/>
      <c r="B3" s="78" t="s">
        <v>68</v>
      </c>
      <c r="C3" s="38" t="s">
        <v>26</v>
      </c>
      <c r="D3" s="39" t="s">
        <v>223</v>
      </c>
      <c r="E3" s="39" t="s">
        <v>223</v>
      </c>
      <c r="F3" s="39" t="s">
        <v>223</v>
      </c>
      <c r="G3" s="39" t="s">
        <v>244</v>
      </c>
      <c r="H3" s="39" t="s">
        <v>223</v>
      </c>
      <c r="I3" s="39" t="s">
        <v>223</v>
      </c>
      <c r="J3" s="39" t="s">
        <v>244</v>
      </c>
      <c r="K3" s="39" t="s">
        <v>223</v>
      </c>
      <c r="L3" s="39" t="s">
        <v>244</v>
      </c>
      <c r="M3" s="39" t="s">
        <v>223</v>
      </c>
      <c r="N3" s="39" t="s">
        <v>244</v>
      </c>
      <c r="O3" s="39" t="s">
        <v>223</v>
      </c>
      <c r="P3" s="39" t="s">
        <v>244</v>
      </c>
      <c r="Q3" s="39" t="s">
        <v>223</v>
      </c>
      <c r="R3" s="39" t="s">
        <v>244</v>
      </c>
      <c r="S3" s="39" t="s">
        <v>223</v>
      </c>
      <c r="T3" s="39" t="s">
        <v>223</v>
      </c>
      <c r="U3" s="39" t="s">
        <v>223</v>
      </c>
      <c r="V3" s="39" t="s">
        <v>223</v>
      </c>
      <c r="W3" s="39" t="s">
        <v>244</v>
      </c>
      <c r="X3" s="39" t="s">
        <v>223</v>
      </c>
      <c r="Y3" s="39"/>
      <c r="Z3" s="39"/>
      <c r="AA3" s="39"/>
      <c r="AB3" s="39"/>
      <c r="AC3" s="40" t="s">
        <v>222</v>
      </c>
      <c r="AD3" s="40">
        <v>2</v>
      </c>
    </row>
    <row r="4" spans="1:30" ht="22.5" customHeight="1">
      <c r="A4" s="154"/>
      <c r="B4" s="78" t="s">
        <v>69</v>
      </c>
      <c r="C4" s="38" t="s">
        <v>26</v>
      </c>
      <c r="D4" s="39" t="s">
        <v>244</v>
      </c>
      <c r="E4" s="39" t="s">
        <v>244</v>
      </c>
      <c r="F4" s="39" t="s">
        <v>244</v>
      </c>
      <c r="G4" s="39" t="s">
        <v>245</v>
      </c>
      <c r="H4" s="39" t="s">
        <v>223</v>
      </c>
      <c r="I4" s="39" t="s">
        <v>223</v>
      </c>
      <c r="J4" s="39" t="s">
        <v>244</v>
      </c>
      <c r="K4" s="39" t="s">
        <v>244</v>
      </c>
      <c r="L4" s="39" t="s">
        <v>245</v>
      </c>
      <c r="M4" s="39" t="s">
        <v>223</v>
      </c>
      <c r="N4" s="39" t="s">
        <v>222</v>
      </c>
      <c r="O4" s="39" t="s">
        <v>245</v>
      </c>
      <c r="P4" s="39" t="s">
        <v>222</v>
      </c>
      <c r="Q4" s="39" t="s">
        <v>223</v>
      </c>
      <c r="R4" s="39" t="s">
        <v>244</v>
      </c>
      <c r="S4" s="39" t="s">
        <v>223</v>
      </c>
      <c r="T4" s="39" t="s">
        <v>223</v>
      </c>
      <c r="U4" s="39" t="s">
        <v>245</v>
      </c>
      <c r="V4" s="39" t="s">
        <v>244</v>
      </c>
      <c r="W4" s="39" t="s">
        <v>245</v>
      </c>
      <c r="X4" s="39" t="s">
        <v>244</v>
      </c>
      <c r="Y4" s="39"/>
      <c r="Z4" s="39"/>
      <c r="AA4" s="39"/>
      <c r="AB4" s="39"/>
      <c r="AC4" s="40" t="s">
        <v>224</v>
      </c>
      <c r="AD4" s="40">
        <v>3</v>
      </c>
    </row>
    <row r="5" spans="1:30" ht="22.5" customHeight="1">
      <c r="A5" s="154"/>
      <c r="B5" s="41"/>
      <c r="C5" s="38" t="s">
        <v>26</v>
      </c>
      <c r="D5" s="39"/>
      <c r="E5" s="39"/>
      <c r="F5" s="39"/>
      <c r="G5" s="39"/>
      <c r="H5" s="39"/>
      <c r="I5" s="39"/>
      <c r="J5" s="39"/>
      <c r="K5" s="39"/>
      <c r="L5" s="39"/>
      <c r="M5" s="39"/>
      <c r="N5" s="39"/>
      <c r="O5" s="39"/>
      <c r="P5" s="39"/>
      <c r="Q5" s="39"/>
      <c r="R5" s="39"/>
      <c r="S5" s="39"/>
      <c r="T5" s="39"/>
      <c r="U5" s="39"/>
      <c r="V5" s="39"/>
      <c r="W5" s="39"/>
      <c r="X5" s="39"/>
      <c r="Y5" s="39"/>
      <c r="Z5" s="39"/>
      <c r="AA5" s="39"/>
      <c r="AB5" s="39"/>
      <c r="AC5" s="40" t="s">
        <v>225</v>
      </c>
      <c r="AD5" s="40">
        <v>4</v>
      </c>
    </row>
    <row r="6" spans="1:30" ht="22.5" customHeight="1">
      <c r="A6" s="154"/>
      <c r="B6" s="41"/>
      <c r="C6" s="38" t="s">
        <v>26</v>
      </c>
      <c r="D6" s="39"/>
      <c r="E6" s="39"/>
      <c r="F6" s="39"/>
      <c r="G6" s="39"/>
      <c r="H6" s="39"/>
      <c r="I6" s="39"/>
      <c r="J6" s="39"/>
      <c r="K6" s="39"/>
      <c r="L6" s="39"/>
      <c r="M6" s="39"/>
      <c r="N6" s="39"/>
      <c r="O6" s="39"/>
      <c r="P6" s="39"/>
      <c r="Q6" s="39"/>
      <c r="R6" s="39"/>
      <c r="S6" s="39"/>
      <c r="T6" s="39"/>
      <c r="U6" s="39"/>
      <c r="V6" s="39"/>
      <c r="W6" s="39"/>
      <c r="X6" s="39"/>
      <c r="Y6" s="39"/>
      <c r="Z6" s="39"/>
      <c r="AA6" s="39"/>
      <c r="AB6" s="39"/>
      <c r="AC6" s="40"/>
      <c r="AD6" s="40">
        <v>5</v>
      </c>
    </row>
    <row r="7" spans="1:30" ht="22.5" customHeight="1">
      <c r="A7" s="154"/>
      <c r="B7" s="41"/>
      <c r="C7" s="38" t="s">
        <v>26</v>
      </c>
      <c r="D7" s="39"/>
      <c r="E7" s="39"/>
      <c r="F7" s="39"/>
      <c r="G7" s="39"/>
      <c r="H7" s="39"/>
      <c r="I7" s="39"/>
      <c r="J7" s="39"/>
      <c r="K7" s="39"/>
      <c r="L7" s="39"/>
      <c r="M7" s="39"/>
      <c r="N7" s="39"/>
      <c r="O7" s="39"/>
      <c r="P7" s="39"/>
      <c r="Q7" s="39"/>
      <c r="R7" s="39"/>
      <c r="S7" s="39"/>
      <c r="T7" s="39"/>
      <c r="U7" s="39"/>
      <c r="V7" s="39"/>
      <c r="W7" s="39"/>
      <c r="X7" s="39"/>
      <c r="Y7" s="39"/>
      <c r="Z7" s="39"/>
      <c r="AA7" s="39"/>
      <c r="AB7" s="39"/>
      <c r="AC7" s="40"/>
      <c r="AD7" s="40" t="s">
        <v>225</v>
      </c>
    </row>
    <row r="8" spans="1:30" ht="22.5" customHeight="1">
      <c r="A8" s="154"/>
      <c r="B8" s="41"/>
      <c r="C8" s="38" t="s">
        <v>26</v>
      </c>
      <c r="D8" s="39"/>
      <c r="E8" s="39"/>
      <c r="F8" s="39"/>
      <c r="G8" s="39"/>
      <c r="H8" s="39"/>
      <c r="I8" s="39"/>
      <c r="J8" s="39"/>
      <c r="K8" s="39"/>
      <c r="L8" s="39"/>
      <c r="M8" s="39"/>
      <c r="N8" s="39"/>
      <c r="O8" s="39"/>
      <c r="P8" s="39"/>
      <c r="Q8" s="39"/>
      <c r="R8" s="39"/>
      <c r="S8" s="39"/>
      <c r="T8" s="39"/>
      <c r="U8" s="39"/>
      <c r="V8" s="39"/>
      <c r="W8" s="39"/>
      <c r="X8" s="39"/>
      <c r="Y8" s="39"/>
      <c r="Z8" s="39"/>
      <c r="AA8" s="39"/>
      <c r="AB8" s="39"/>
    </row>
    <row r="9" spans="1:30" ht="22.5" customHeight="1">
      <c r="A9" s="154"/>
      <c r="B9" s="41"/>
      <c r="C9" s="38" t="s">
        <v>26</v>
      </c>
      <c r="D9" s="39"/>
      <c r="E9" s="39"/>
      <c r="F9" s="39"/>
      <c r="G9" s="39"/>
      <c r="H9" s="39"/>
      <c r="I9" s="39"/>
      <c r="J9" s="39"/>
      <c r="K9" s="39"/>
      <c r="L9" s="39"/>
      <c r="M9" s="39"/>
      <c r="N9" s="39"/>
      <c r="O9" s="39"/>
      <c r="P9" s="39"/>
      <c r="Q9" s="39"/>
      <c r="R9" s="39"/>
      <c r="S9" s="39"/>
      <c r="T9" s="39"/>
      <c r="U9" s="39"/>
      <c r="V9" s="39"/>
      <c r="W9" s="39"/>
      <c r="X9" s="39"/>
      <c r="Y9" s="39"/>
      <c r="Z9" s="39"/>
      <c r="AA9" s="39"/>
      <c r="AB9" s="39"/>
    </row>
    <row r="10" spans="1:30" ht="22.5" customHeight="1">
      <c r="A10" s="154"/>
      <c r="B10" s="41"/>
      <c r="C10" s="38" t="s">
        <v>26</v>
      </c>
      <c r="D10" s="39"/>
      <c r="E10" s="39"/>
      <c r="F10" s="39"/>
      <c r="G10" s="39"/>
      <c r="H10" s="39"/>
      <c r="I10" s="39"/>
      <c r="J10" s="39"/>
      <c r="K10" s="39"/>
      <c r="L10" s="39"/>
      <c r="M10" s="39"/>
      <c r="N10" s="39"/>
      <c r="O10" s="39"/>
      <c r="P10" s="39"/>
      <c r="Q10" s="39"/>
      <c r="R10" s="39"/>
      <c r="S10" s="39"/>
      <c r="T10" s="39"/>
      <c r="U10" s="39"/>
      <c r="V10" s="39"/>
      <c r="W10" s="39"/>
      <c r="X10" s="39"/>
      <c r="Y10" s="39"/>
      <c r="Z10" s="39"/>
      <c r="AA10" s="39"/>
      <c r="AB10" s="39"/>
    </row>
    <row r="11" spans="1:30" ht="22.5" customHeight="1">
      <c r="A11" s="154"/>
      <c r="B11" s="41"/>
      <c r="C11" s="38" t="s">
        <v>26</v>
      </c>
      <c r="D11" s="39"/>
      <c r="E11" s="39"/>
      <c r="F11" s="39"/>
      <c r="G11" s="39"/>
      <c r="H11" s="39"/>
      <c r="I11" s="39"/>
      <c r="J11" s="39"/>
      <c r="K11" s="39"/>
      <c r="L11" s="39"/>
      <c r="M11" s="39"/>
      <c r="N11" s="39"/>
      <c r="O11" s="39"/>
      <c r="P11" s="39"/>
      <c r="Q11" s="39"/>
      <c r="R11" s="39"/>
      <c r="S11" s="39"/>
      <c r="T11" s="39"/>
      <c r="U11" s="39"/>
      <c r="V11" s="39"/>
      <c r="W11" s="39"/>
      <c r="X11" s="39"/>
      <c r="Y11" s="39"/>
      <c r="Z11" s="39"/>
      <c r="AA11" s="39"/>
      <c r="AB11" s="39"/>
    </row>
    <row r="12" spans="1:30" ht="30" customHeight="1">
      <c r="A12" s="155"/>
      <c r="B12" s="42"/>
      <c r="C12" s="43" t="s">
        <v>27</v>
      </c>
      <c r="D12" s="39">
        <v>5</v>
      </c>
      <c r="E12" s="39">
        <v>5</v>
      </c>
      <c r="F12" s="39">
        <v>5</v>
      </c>
      <c r="G12" s="39">
        <v>3</v>
      </c>
      <c r="H12" s="39">
        <v>5</v>
      </c>
      <c r="I12" s="39">
        <v>5</v>
      </c>
      <c r="J12" s="39">
        <v>5</v>
      </c>
      <c r="K12" s="39">
        <v>4</v>
      </c>
      <c r="L12" s="39">
        <v>4</v>
      </c>
      <c r="M12" s="39">
        <v>5</v>
      </c>
      <c r="N12" s="39">
        <v>3</v>
      </c>
      <c r="O12" s="39">
        <v>3</v>
      </c>
      <c r="P12" s="39">
        <v>4</v>
      </c>
      <c r="Q12" s="39">
        <v>5</v>
      </c>
      <c r="R12" s="39">
        <v>5</v>
      </c>
      <c r="S12" s="39">
        <v>5</v>
      </c>
      <c r="T12" s="39">
        <v>5</v>
      </c>
      <c r="U12" s="39">
        <v>3</v>
      </c>
      <c r="V12" s="39">
        <v>5</v>
      </c>
      <c r="W12" s="39">
        <v>3</v>
      </c>
      <c r="X12" s="39">
        <v>4</v>
      </c>
      <c r="Y12" s="39"/>
      <c r="Z12" s="39"/>
      <c r="AA12" s="39"/>
      <c r="AB12" s="39"/>
    </row>
    <row r="13" spans="1:30" ht="26.25" customHeight="1">
      <c r="A13" s="44"/>
      <c r="B13" s="44"/>
      <c r="C13" s="81" t="s">
        <v>62</v>
      </c>
      <c r="D13" s="39"/>
      <c r="E13" s="39"/>
      <c r="F13" s="39"/>
      <c r="G13" s="39"/>
      <c r="H13" s="39"/>
      <c r="I13" s="39"/>
      <c r="J13" s="39"/>
      <c r="K13" s="39"/>
      <c r="L13" s="39"/>
      <c r="M13" s="39"/>
      <c r="N13" s="39"/>
      <c r="O13" s="39"/>
      <c r="P13" s="39"/>
      <c r="Q13" s="39"/>
      <c r="R13" s="39"/>
      <c r="S13" s="39"/>
      <c r="T13" s="39"/>
      <c r="U13" s="39"/>
      <c r="V13" s="39"/>
      <c r="W13" s="39"/>
      <c r="X13" s="39"/>
      <c r="Y13" s="39"/>
      <c r="Z13" s="39"/>
      <c r="AA13" s="39"/>
      <c r="AB13" s="39"/>
    </row>
    <row r="14" spans="1:30" ht="22.5" customHeight="1">
      <c r="A14" s="45" t="s">
        <v>28</v>
      </c>
      <c r="B14" s="156" t="s">
        <v>29</v>
      </c>
      <c r="C14" s="157"/>
      <c r="D14" s="157"/>
      <c r="E14" s="157"/>
      <c r="F14" s="157"/>
      <c r="G14" s="157"/>
      <c r="H14" s="157"/>
      <c r="I14" s="157"/>
      <c r="J14" s="157"/>
      <c r="K14" s="157"/>
      <c r="L14" s="157"/>
      <c r="M14" s="157"/>
      <c r="N14" s="157"/>
      <c r="O14" s="157"/>
      <c r="P14" s="157"/>
      <c r="Q14" s="157"/>
      <c r="R14" s="157"/>
      <c r="S14" s="157"/>
      <c r="T14" s="157"/>
      <c r="U14" s="157"/>
      <c r="V14" s="157"/>
      <c r="W14" s="157"/>
      <c r="X14" s="157"/>
      <c r="Y14" s="157"/>
      <c r="Z14" s="157"/>
      <c r="AA14" s="157"/>
      <c r="AB14" s="158"/>
    </row>
    <row r="15" spans="1:30" ht="59.25" customHeight="1">
      <c r="A15" s="46" t="s">
        <v>70</v>
      </c>
      <c r="B15" s="159"/>
      <c r="C15" s="160"/>
      <c r="D15" s="160"/>
      <c r="E15" s="160"/>
      <c r="F15" s="160"/>
      <c r="G15" s="160"/>
      <c r="H15" s="160"/>
      <c r="I15" s="160"/>
      <c r="J15" s="160"/>
      <c r="K15" s="160"/>
      <c r="L15" s="160"/>
      <c r="M15" s="160"/>
      <c r="N15" s="160"/>
      <c r="O15" s="160"/>
      <c r="P15" s="160"/>
      <c r="Q15" s="160"/>
      <c r="R15" s="160"/>
      <c r="S15" s="160"/>
      <c r="T15" s="160"/>
      <c r="U15" s="160"/>
      <c r="V15" s="160"/>
      <c r="W15" s="160"/>
      <c r="X15" s="160"/>
      <c r="Y15" s="160"/>
      <c r="Z15" s="160"/>
      <c r="AA15" s="160"/>
      <c r="AB15" s="161"/>
    </row>
    <row r="16" spans="1:30" ht="59.25" customHeight="1">
      <c r="A16" s="46" t="s">
        <v>71</v>
      </c>
      <c r="B16" s="159"/>
      <c r="C16" s="160"/>
      <c r="D16" s="160"/>
      <c r="E16" s="160"/>
      <c r="F16" s="160"/>
      <c r="G16" s="160"/>
      <c r="H16" s="160"/>
      <c r="I16" s="160"/>
      <c r="J16" s="160"/>
      <c r="K16" s="160"/>
      <c r="L16" s="160"/>
      <c r="M16" s="160"/>
      <c r="N16" s="160"/>
      <c r="O16" s="160"/>
      <c r="P16" s="160"/>
      <c r="Q16" s="160"/>
      <c r="R16" s="160"/>
      <c r="S16" s="160"/>
      <c r="T16" s="160"/>
      <c r="U16" s="160"/>
      <c r="V16" s="160"/>
      <c r="W16" s="160"/>
      <c r="X16" s="160"/>
      <c r="Y16" s="160"/>
      <c r="Z16" s="160"/>
      <c r="AA16" s="160"/>
      <c r="AB16" s="161"/>
    </row>
    <row r="17" spans="1:28" ht="59.25" customHeight="1">
      <c r="A17" s="46" t="s">
        <v>72</v>
      </c>
      <c r="B17" s="159"/>
      <c r="C17" s="160"/>
      <c r="D17" s="160"/>
      <c r="E17" s="160"/>
      <c r="F17" s="160"/>
      <c r="G17" s="160"/>
      <c r="H17" s="160"/>
      <c r="I17" s="160"/>
      <c r="J17" s="160"/>
      <c r="K17" s="160"/>
      <c r="L17" s="160"/>
      <c r="M17" s="160"/>
      <c r="N17" s="160"/>
      <c r="O17" s="160"/>
      <c r="P17" s="160"/>
      <c r="Q17" s="160"/>
      <c r="R17" s="160"/>
      <c r="S17" s="160"/>
      <c r="T17" s="160"/>
      <c r="U17" s="160"/>
      <c r="V17" s="160"/>
      <c r="W17" s="160"/>
      <c r="X17" s="160"/>
      <c r="Y17" s="160"/>
      <c r="Z17" s="160"/>
      <c r="AA17" s="160"/>
      <c r="AB17" s="161"/>
    </row>
    <row r="18" spans="1:28" ht="59.25" customHeight="1">
      <c r="A18" s="46" t="s">
        <v>73</v>
      </c>
      <c r="B18" s="159"/>
      <c r="C18" s="160"/>
      <c r="D18" s="160"/>
      <c r="E18" s="160"/>
      <c r="F18" s="160"/>
      <c r="G18" s="160"/>
      <c r="H18" s="160"/>
      <c r="I18" s="160"/>
      <c r="J18" s="160"/>
      <c r="K18" s="160"/>
      <c r="L18" s="160"/>
      <c r="M18" s="160"/>
      <c r="N18" s="160"/>
      <c r="O18" s="160"/>
      <c r="P18" s="160"/>
      <c r="Q18" s="160"/>
      <c r="R18" s="160"/>
      <c r="S18" s="160"/>
      <c r="T18" s="160"/>
      <c r="U18" s="160"/>
      <c r="V18" s="160"/>
      <c r="W18" s="160"/>
      <c r="X18" s="160"/>
      <c r="Y18" s="160"/>
      <c r="Z18" s="160"/>
      <c r="AA18" s="160"/>
      <c r="AB18" s="161"/>
    </row>
    <row r="19" spans="1:28" ht="59.25" customHeight="1">
      <c r="A19" s="46" t="s">
        <v>74</v>
      </c>
      <c r="B19" s="159"/>
      <c r="C19" s="160"/>
      <c r="D19" s="160"/>
      <c r="E19" s="160"/>
      <c r="F19" s="160"/>
      <c r="G19" s="160"/>
      <c r="H19" s="160"/>
      <c r="I19" s="160"/>
      <c r="J19" s="160"/>
      <c r="K19" s="160"/>
      <c r="L19" s="160"/>
      <c r="M19" s="160"/>
      <c r="N19" s="160"/>
      <c r="O19" s="160"/>
      <c r="P19" s="160"/>
      <c r="Q19" s="160"/>
      <c r="R19" s="160"/>
      <c r="S19" s="160"/>
      <c r="T19" s="160"/>
      <c r="U19" s="160"/>
      <c r="V19" s="160"/>
      <c r="W19" s="160"/>
      <c r="X19" s="160"/>
      <c r="Y19" s="160"/>
      <c r="Z19" s="160"/>
      <c r="AA19" s="160"/>
      <c r="AB19" s="161"/>
    </row>
    <row r="20" spans="1:28" ht="59.25" customHeight="1">
      <c r="A20" s="46" t="s">
        <v>75</v>
      </c>
      <c r="B20" s="159"/>
      <c r="C20" s="160"/>
      <c r="D20" s="160"/>
      <c r="E20" s="160"/>
      <c r="F20" s="160"/>
      <c r="G20" s="160"/>
      <c r="H20" s="160"/>
      <c r="I20" s="160"/>
      <c r="J20" s="160"/>
      <c r="K20" s="160"/>
      <c r="L20" s="160"/>
      <c r="M20" s="160"/>
      <c r="N20" s="160"/>
      <c r="O20" s="160"/>
      <c r="P20" s="160"/>
      <c r="Q20" s="160"/>
      <c r="R20" s="160"/>
      <c r="S20" s="160"/>
      <c r="T20" s="160"/>
      <c r="U20" s="160"/>
      <c r="V20" s="160"/>
      <c r="W20" s="160"/>
      <c r="X20" s="160"/>
      <c r="Y20" s="160"/>
      <c r="Z20" s="160"/>
      <c r="AA20" s="160"/>
      <c r="AB20" s="161"/>
    </row>
    <row r="21" spans="1:28" ht="59.25" customHeight="1">
      <c r="A21" s="46" t="s">
        <v>76</v>
      </c>
      <c r="B21" s="159"/>
      <c r="C21" s="160"/>
      <c r="D21" s="160"/>
      <c r="E21" s="160"/>
      <c r="F21" s="160"/>
      <c r="G21" s="160"/>
      <c r="H21" s="160"/>
      <c r="I21" s="160"/>
      <c r="J21" s="160"/>
      <c r="K21" s="160"/>
      <c r="L21" s="160"/>
      <c r="M21" s="160"/>
      <c r="N21" s="160"/>
      <c r="O21" s="160"/>
      <c r="P21" s="160"/>
      <c r="Q21" s="160"/>
      <c r="R21" s="160"/>
      <c r="S21" s="160"/>
      <c r="T21" s="160"/>
      <c r="U21" s="160"/>
      <c r="V21" s="160"/>
      <c r="W21" s="160"/>
      <c r="X21" s="160"/>
      <c r="Y21" s="160"/>
      <c r="Z21" s="160"/>
      <c r="AA21" s="160"/>
      <c r="AB21" s="161"/>
    </row>
    <row r="22" spans="1:28" ht="59.25" customHeight="1">
      <c r="A22" s="46" t="s">
        <v>77</v>
      </c>
      <c r="B22" s="159"/>
      <c r="C22" s="160"/>
      <c r="D22" s="160"/>
      <c r="E22" s="160"/>
      <c r="F22" s="160"/>
      <c r="G22" s="160"/>
      <c r="H22" s="160"/>
      <c r="I22" s="160"/>
      <c r="J22" s="160"/>
      <c r="K22" s="160"/>
      <c r="L22" s="160"/>
      <c r="M22" s="160"/>
      <c r="N22" s="160"/>
      <c r="O22" s="160"/>
      <c r="P22" s="160"/>
      <c r="Q22" s="160"/>
      <c r="R22" s="160"/>
      <c r="S22" s="160"/>
      <c r="T22" s="160"/>
      <c r="U22" s="160"/>
      <c r="V22" s="160"/>
      <c r="W22" s="160"/>
      <c r="X22" s="160"/>
      <c r="Y22" s="160"/>
      <c r="Z22" s="160"/>
      <c r="AA22" s="160"/>
      <c r="AB22" s="161"/>
    </row>
    <row r="23" spans="1:28" ht="59.25" customHeight="1">
      <c r="A23" s="46" t="s">
        <v>78</v>
      </c>
      <c r="B23" s="159"/>
      <c r="C23" s="160"/>
      <c r="D23" s="160"/>
      <c r="E23" s="160"/>
      <c r="F23" s="160"/>
      <c r="G23" s="160"/>
      <c r="H23" s="160"/>
      <c r="I23" s="160"/>
      <c r="J23" s="160"/>
      <c r="K23" s="160"/>
      <c r="L23" s="160"/>
      <c r="M23" s="160"/>
      <c r="N23" s="160"/>
      <c r="O23" s="160"/>
      <c r="P23" s="160"/>
      <c r="Q23" s="160"/>
      <c r="R23" s="160"/>
      <c r="S23" s="160"/>
      <c r="T23" s="160"/>
      <c r="U23" s="160"/>
      <c r="V23" s="160"/>
      <c r="W23" s="160"/>
      <c r="X23" s="160"/>
      <c r="Y23" s="160"/>
      <c r="Z23" s="160"/>
      <c r="AA23" s="160"/>
      <c r="AB23" s="161"/>
    </row>
    <row r="24" spans="1:28" ht="59.25" customHeight="1">
      <c r="A24" s="46" t="s">
        <v>79</v>
      </c>
      <c r="B24" s="159"/>
      <c r="C24" s="160"/>
      <c r="D24" s="160"/>
      <c r="E24" s="160"/>
      <c r="F24" s="160"/>
      <c r="G24" s="160"/>
      <c r="H24" s="160"/>
      <c r="I24" s="160"/>
      <c r="J24" s="160"/>
      <c r="K24" s="160"/>
      <c r="L24" s="160"/>
      <c r="M24" s="160"/>
      <c r="N24" s="160"/>
      <c r="O24" s="160"/>
      <c r="P24" s="160"/>
      <c r="Q24" s="160"/>
      <c r="R24" s="160"/>
      <c r="S24" s="160"/>
      <c r="T24" s="160"/>
      <c r="U24" s="160"/>
      <c r="V24" s="160"/>
      <c r="W24" s="160"/>
      <c r="X24" s="160"/>
      <c r="Y24" s="160"/>
      <c r="Z24" s="160"/>
      <c r="AA24" s="160"/>
      <c r="AB24" s="161"/>
    </row>
    <row r="25" spans="1:28" ht="59.25" customHeight="1">
      <c r="A25" s="46" t="s">
        <v>80</v>
      </c>
      <c r="B25" s="159"/>
      <c r="C25" s="160"/>
      <c r="D25" s="160"/>
      <c r="E25" s="160"/>
      <c r="F25" s="160"/>
      <c r="G25" s="160"/>
      <c r="H25" s="160"/>
      <c r="I25" s="160"/>
      <c r="J25" s="160"/>
      <c r="K25" s="160"/>
      <c r="L25" s="160"/>
      <c r="M25" s="160"/>
      <c r="N25" s="160"/>
      <c r="O25" s="160"/>
      <c r="P25" s="160"/>
      <c r="Q25" s="160"/>
      <c r="R25" s="160"/>
      <c r="S25" s="160"/>
      <c r="T25" s="160"/>
      <c r="U25" s="160"/>
      <c r="V25" s="160"/>
      <c r="W25" s="160"/>
      <c r="X25" s="160"/>
      <c r="Y25" s="160"/>
      <c r="Z25" s="160"/>
      <c r="AA25" s="160"/>
      <c r="AB25" s="161"/>
    </row>
    <row r="26" spans="1:28" ht="59.25" customHeight="1">
      <c r="A26" s="46" t="s">
        <v>81</v>
      </c>
      <c r="B26" s="159"/>
      <c r="C26" s="160"/>
      <c r="D26" s="160"/>
      <c r="E26" s="160"/>
      <c r="F26" s="160"/>
      <c r="G26" s="160"/>
      <c r="H26" s="160"/>
      <c r="I26" s="160"/>
      <c r="J26" s="160"/>
      <c r="K26" s="160"/>
      <c r="L26" s="160"/>
      <c r="M26" s="160"/>
      <c r="N26" s="160"/>
      <c r="O26" s="160"/>
      <c r="P26" s="160"/>
      <c r="Q26" s="160"/>
      <c r="R26" s="160"/>
      <c r="S26" s="160"/>
      <c r="T26" s="160"/>
      <c r="U26" s="160"/>
      <c r="V26" s="160"/>
      <c r="W26" s="160"/>
      <c r="X26" s="160"/>
      <c r="Y26" s="160"/>
      <c r="Z26" s="160"/>
      <c r="AA26" s="160"/>
      <c r="AB26" s="161"/>
    </row>
    <row r="27" spans="1:28" ht="59.25" customHeight="1">
      <c r="A27" s="46" t="s">
        <v>82</v>
      </c>
      <c r="B27" s="159"/>
      <c r="C27" s="160"/>
      <c r="D27" s="160"/>
      <c r="E27" s="160"/>
      <c r="F27" s="160"/>
      <c r="G27" s="160"/>
      <c r="H27" s="160"/>
      <c r="I27" s="160"/>
      <c r="J27" s="160"/>
      <c r="K27" s="160"/>
      <c r="L27" s="160"/>
      <c r="M27" s="160"/>
      <c r="N27" s="160"/>
      <c r="O27" s="160"/>
      <c r="P27" s="160"/>
      <c r="Q27" s="160"/>
      <c r="R27" s="160"/>
      <c r="S27" s="160"/>
      <c r="T27" s="160"/>
      <c r="U27" s="160"/>
      <c r="V27" s="160"/>
      <c r="W27" s="160"/>
      <c r="X27" s="160"/>
      <c r="Y27" s="160"/>
      <c r="Z27" s="160"/>
      <c r="AA27" s="160"/>
      <c r="AB27" s="161"/>
    </row>
    <row r="28" spans="1:28" ht="59.25" customHeight="1">
      <c r="A28" s="46" t="s">
        <v>83</v>
      </c>
      <c r="B28" s="159"/>
      <c r="C28" s="160"/>
      <c r="D28" s="160"/>
      <c r="E28" s="160"/>
      <c r="F28" s="160"/>
      <c r="G28" s="160"/>
      <c r="H28" s="160"/>
      <c r="I28" s="160"/>
      <c r="J28" s="160"/>
      <c r="K28" s="160"/>
      <c r="L28" s="160"/>
      <c r="M28" s="160"/>
      <c r="N28" s="160"/>
      <c r="O28" s="160"/>
      <c r="P28" s="160"/>
      <c r="Q28" s="160"/>
      <c r="R28" s="160"/>
      <c r="S28" s="160"/>
      <c r="T28" s="160"/>
      <c r="U28" s="160"/>
      <c r="V28" s="160"/>
      <c r="W28" s="160"/>
      <c r="X28" s="160"/>
      <c r="Y28" s="160"/>
      <c r="Z28" s="160"/>
      <c r="AA28" s="160"/>
      <c r="AB28" s="161"/>
    </row>
    <row r="29" spans="1:28" ht="59.25" customHeight="1">
      <c r="A29" s="46" t="s">
        <v>84</v>
      </c>
      <c r="B29" s="159"/>
      <c r="C29" s="160"/>
      <c r="D29" s="160"/>
      <c r="E29" s="160"/>
      <c r="F29" s="160"/>
      <c r="G29" s="160"/>
      <c r="H29" s="160"/>
      <c r="I29" s="160"/>
      <c r="J29" s="160"/>
      <c r="K29" s="160"/>
      <c r="L29" s="160"/>
      <c r="M29" s="160"/>
      <c r="N29" s="160"/>
      <c r="O29" s="160"/>
      <c r="P29" s="160"/>
      <c r="Q29" s="160"/>
      <c r="R29" s="160"/>
      <c r="S29" s="160"/>
      <c r="T29" s="160"/>
      <c r="U29" s="160"/>
      <c r="V29" s="160"/>
      <c r="W29" s="160"/>
      <c r="X29" s="160"/>
      <c r="Y29" s="160"/>
      <c r="Z29" s="160"/>
      <c r="AA29" s="160"/>
      <c r="AB29" s="161"/>
    </row>
    <row r="30" spans="1:28" ht="59.25" customHeight="1">
      <c r="A30" s="46" t="s">
        <v>85</v>
      </c>
      <c r="B30" s="159"/>
      <c r="C30" s="160"/>
      <c r="D30" s="160"/>
      <c r="E30" s="160"/>
      <c r="F30" s="160"/>
      <c r="G30" s="160"/>
      <c r="H30" s="160"/>
      <c r="I30" s="160"/>
      <c r="J30" s="160"/>
      <c r="K30" s="160"/>
      <c r="L30" s="160"/>
      <c r="M30" s="160"/>
      <c r="N30" s="160"/>
      <c r="O30" s="160"/>
      <c r="P30" s="160"/>
      <c r="Q30" s="160"/>
      <c r="R30" s="160"/>
      <c r="S30" s="160"/>
      <c r="T30" s="160"/>
      <c r="U30" s="160"/>
      <c r="V30" s="160"/>
      <c r="W30" s="160"/>
      <c r="X30" s="160"/>
      <c r="Y30" s="160"/>
      <c r="Z30" s="160"/>
      <c r="AA30" s="160"/>
      <c r="AB30" s="161"/>
    </row>
    <row r="31" spans="1:28" ht="59.25" customHeight="1">
      <c r="A31" s="46" t="s">
        <v>86</v>
      </c>
      <c r="B31" s="159"/>
      <c r="C31" s="160"/>
      <c r="D31" s="160"/>
      <c r="E31" s="160"/>
      <c r="F31" s="160"/>
      <c r="G31" s="160"/>
      <c r="H31" s="160"/>
      <c r="I31" s="160"/>
      <c r="J31" s="160"/>
      <c r="K31" s="160"/>
      <c r="L31" s="160"/>
      <c r="M31" s="160"/>
      <c r="N31" s="160"/>
      <c r="O31" s="160"/>
      <c r="P31" s="160"/>
      <c r="Q31" s="160"/>
      <c r="R31" s="160"/>
      <c r="S31" s="160"/>
      <c r="T31" s="160"/>
      <c r="U31" s="160"/>
      <c r="V31" s="160"/>
      <c r="W31" s="160"/>
      <c r="X31" s="160"/>
      <c r="Y31" s="160"/>
      <c r="Z31" s="160"/>
      <c r="AA31" s="160"/>
      <c r="AB31" s="161"/>
    </row>
    <row r="32" spans="1:28" ht="59.25" customHeight="1">
      <c r="A32" s="46" t="s">
        <v>87</v>
      </c>
      <c r="B32" s="159"/>
      <c r="C32" s="160"/>
      <c r="D32" s="160"/>
      <c r="E32" s="160"/>
      <c r="F32" s="160"/>
      <c r="G32" s="160"/>
      <c r="H32" s="160"/>
      <c r="I32" s="160"/>
      <c r="J32" s="160"/>
      <c r="K32" s="160"/>
      <c r="L32" s="160"/>
      <c r="M32" s="160"/>
      <c r="N32" s="160"/>
      <c r="O32" s="160"/>
      <c r="P32" s="160"/>
      <c r="Q32" s="160"/>
      <c r="R32" s="160"/>
      <c r="S32" s="160"/>
      <c r="T32" s="160"/>
      <c r="U32" s="160"/>
      <c r="V32" s="160"/>
      <c r="W32" s="160"/>
      <c r="X32" s="160"/>
      <c r="Y32" s="160"/>
      <c r="Z32" s="160"/>
      <c r="AA32" s="160"/>
      <c r="AB32" s="161"/>
    </row>
    <row r="33" spans="1:28" ht="59.25" customHeight="1">
      <c r="A33" s="46" t="s">
        <v>88</v>
      </c>
      <c r="B33" s="159"/>
      <c r="C33" s="160"/>
      <c r="D33" s="160"/>
      <c r="E33" s="160"/>
      <c r="F33" s="160"/>
      <c r="G33" s="160"/>
      <c r="H33" s="160"/>
      <c r="I33" s="160"/>
      <c r="J33" s="160"/>
      <c r="K33" s="160"/>
      <c r="L33" s="160"/>
      <c r="M33" s="160"/>
      <c r="N33" s="160"/>
      <c r="O33" s="160"/>
      <c r="P33" s="160"/>
      <c r="Q33" s="160"/>
      <c r="R33" s="160"/>
      <c r="S33" s="160"/>
      <c r="T33" s="160"/>
      <c r="U33" s="160"/>
      <c r="V33" s="160"/>
      <c r="W33" s="160"/>
      <c r="X33" s="160"/>
      <c r="Y33" s="160"/>
      <c r="Z33" s="160"/>
      <c r="AA33" s="160"/>
      <c r="AB33" s="161"/>
    </row>
    <row r="34" spans="1:28" ht="59.25" customHeight="1">
      <c r="A34" s="46" t="s">
        <v>89</v>
      </c>
      <c r="B34" s="159"/>
      <c r="C34" s="160"/>
      <c r="D34" s="160"/>
      <c r="E34" s="160"/>
      <c r="F34" s="160"/>
      <c r="G34" s="160"/>
      <c r="H34" s="160"/>
      <c r="I34" s="160"/>
      <c r="J34" s="160"/>
      <c r="K34" s="160"/>
      <c r="L34" s="160"/>
      <c r="M34" s="160"/>
      <c r="N34" s="160"/>
      <c r="O34" s="160"/>
      <c r="P34" s="160"/>
      <c r="Q34" s="160"/>
      <c r="R34" s="160"/>
      <c r="S34" s="160"/>
      <c r="T34" s="160"/>
      <c r="U34" s="160"/>
      <c r="V34" s="160"/>
      <c r="W34" s="160"/>
      <c r="X34" s="160"/>
      <c r="Y34" s="160"/>
      <c r="Z34" s="160"/>
      <c r="AA34" s="160"/>
      <c r="AB34" s="161"/>
    </row>
    <row r="35" spans="1:28" ht="59.25" customHeight="1">
      <c r="A35" s="46" t="s">
        <v>90</v>
      </c>
      <c r="B35" s="159"/>
      <c r="C35" s="160"/>
      <c r="D35" s="160"/>
      <c r="E35" s="160"/>
      <c r="F35" s="160"/>
      <c r="G35" s="160"/>
      <c r="H35" s="160"/>
      <c r="I35" s="160"/>
      <c r="J35" s="160"/>
      <c r="K35" s="160"/>
      <c r="L35" s="160"/>
      <c r="M35" s="160"/>
      <c r="N35" s="160"/>
      <c r="O35" s="160"/>
      <c r="P35" s="160"/>
      <c r="Q35" s="160"/>
      <c r="R35" s="160"/>
      <c r="S35" s="160"/>
      <c r="T35" s="160"/>
      <c r="U35" s="160"/>
      <c r="V35" s="160"/>
      <c r="W35" s="160"/>
      <c r="X35" s="160"/>
      <c r="Y35" s="160"/>
      <c r="Z35" s="160"/>
      <c r="AA35" s="160"/>
      <c r="AB35" s="161"/>
    </row>
    <row r="36" spans="1:28" ht="59.25" customHeight="1">
      <c r="A36" s="46"/>
      <c r="B36" s="159"/>
      <c r="C36" s="160"/>
      <c r="D36" s="160"/>
      <c r="E36" s="160"/>
      <c r="F36" s="160"/>
      <c r="G36" s="160"/>
      <c r="H36" s="160"/>
      <c r="I36" s="160"/>
      <c r="J36" s="160"/>
      <c r="K36" s="160"/>
      <c r="L36" s="160"/>
      <c r="M36" s="160"/>
      <c r="N36" s="160"/>
      <c r="O36" s="160"/>
      <c r="P36" s="160"/>
      <c r="Q36" s="160"/>
      <c r="R36" s="160"/>
      <c r="S36" s="160"/>
      <c r="T36" s="160"/>
      <c r="U36" s="160"/>
      <c r="V36" s="160"/>
      <c r="W36" s="160"/>
      <c r="X36" s="160"/>
      <c r="Y36" s="160"/>
      <c r="Z36" s="160"/>
      <c r="AA36" s="160"/>
      <c r="AB36" s="161"/>
    </row>
    <row r="37" spans="1:28" ht="59.25" customHeight="1">
      <c r="A37" s="46"/>
      <c r="B37" s="159"/>
      <c r="C37" s="160"/>
      <c r="D37" s="160"/>
      <c r="E37" s="160"/>
      <c r="F37" s="160"/>
      <c r="G37" s="160"/>
      <c r="H37" s="160"/>
      <c r="I37" s="160"/>
      <c r="J37" s="160"/>
      <c r="K37" s="160"/>
      <c r="L37" s="160"/>
      <c r="M37" s="160"/>
      <c r="N37" s="160"/>
      <c r="O37" s="160"/>
      <c r="P37" s="160"/>
      <c r="Q37" s="160"/>
      <c r="R37" s="160"/>
      <c r="S37" s="160"/>
      <c r="T37" s="160"/>
      <c r="U37" s="160"/>
      <c r="V37" s="160"/>
      <c r="W37" s="160"/>
      <c r="X37" s="160"/>
      <c r="Y37" s="160"/>
      <c r="Z37" s="160"/>
      <c r="AA37" s="160"/>
      <c r="AB37" s="161"/>
    </row>
    <row r="38" spans="1:28" ht="59.25" customHeight="1">
      <c r="A38" s="46"/>
      <c r="B38" s="159"/>
      <c r="C38" s="160"/>
      <c r="D38" s="160"/>
      <c r="E38" s="160"/>
      <c r="F38" s="160"/>
      <c r="G38" s="160"/>
      <c r="H38" s="160"/>
      <c r="I38" s="160"/>
      <c r="J38" s="160"/>
      <c r="K38" s="160"/>
      <c r="L38" s="160"/>
      <c r="M38" s="160"/>
      <c r="N38" s="160"/>
      <c r="O38" s="160"/>
      <c r="P38" s="160"/>
      <c r="Q38" s="160"/>
      <c r="R38" s="160"/>
      <c r="S38" s="160"/>
      <c r="T38" s="160"/>
      <c r="U38" s="160"/>
      <c r="V38" s="160"/>
      <c r="W38" s="160"/>
      <c r="X38" s="160"/>
      <c r="Y38" s="160"/>
      <c r="Z38" s="160"/>
      <c r="AA38" s="160"/>
      <c r="AB38" s="161"/>
    </row>
    <row r="39" spans="1:28" ht="59.25" customHeight="1">
      <c r="A39" s="46"/>
      <c r="B39" s="159"/>
      <c r="C39" s="160"/>
      <c r="D39" s="160"/>
      <c r="E39" s="160"/>
      <c r="F39" s="160"/>
      <c r="G39" s="160"/>
      <c r="H39" s="160"/>
      <c r="I39" s="160"/>
      <c r="J39" s="160"/>
      <c r="K39" s="160"/>
      <c r="L39" s="160"/>
      <c r="M39" s="160"/>
      <c r="N39" s="160"/>
      <c r="O39" s="160"/>
      <c r="P39" s="160"/>
      <c r="Q39" s="160"/>
      <c r="R39" s="160"/>
      <c r="S39" s="160"/>
      <c r="T39" s="160"/>
      <c r="U39" s="160"/>
      <c r="V39" s="160"/>
      <c r="W39" s="160"/>
      <c r="X39" s="160"/>
      <c r="Y39" s="160"/>
      <c r="Z39" s="160"/>
      <c r="AA39" s="160"/>
      <c r="AB39" s="161"/>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B38:AB38"/>
    <mergeCell ref="B39:AB39"/>
    <mergeCell ref="B28:AB28"/>
    <mergeCell ref="B29:AB29"/>
    <mergeCell ref="B30:AB30"/>
    <mergeCell ref="B31:AB31"/>
    <mergeCell ref="B32:AB32"/>
    <mergeCell ref="B33:AB33"/>
    <mergeCell ref="B34:AB34"/>
    <mergeCell ref="B35:AB35"/>
    <mergeCell ref="B36:AB36"/>
    <mergeCell ref="B37:AB37"/>
    <mergeCell ref="B23:AB23"/>
    <mergeCell ref="B24:AB24"/>
    <mergeCell ref="B25:AB25"/>
    <mergeCell ref="B26:AB26"/>
    <mergeCell ref="B27:AB27"/>
    <mergeCell ref="B18:AB18"/>
    <mergeCell ref="B19:AB19"/>
    <mergeCell ref="B20:AB20"/>
    <mergeCell ref="B21:AB21"/>
    <mergeCell ref="B22:AB22"/>
    <mergeCell ref="A2:A12"/>
    <mergeCell ref="B14:AB14"/>
    <mergeCell ref="B15:AB15"/>
    <mergeCell ref="B16:AB16"/>
    <mergeCell ref="B17:AB17"/>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1"/>
  </sheetPr>
  <dimension ref="A1:AD193"/>
  <sheetViews>
    <sheetView workbookViewId="0">
      <selection sqref="A1:XFD1048576"/>
    </sheetView>
  </sheetViews>
  <sheetFormatPr defaultRowHeight="13.5"/>
  <cols>
    <col min="1" max="1" width="13.5" style="8" customWidth="1"/>
    <col min="2" max="2" width="79.125" style="8" customWidth="1"/>
    <col min="3" max="3" width="9.375" style="8" customWidth="1"/>
    <col min="4" max="28" width="4.125" style="8" customWidth="1"/>
    <col min="29" max="16384" width="9" style="8"/>
  </cols>
  <sheetData>
    <row r="1" spans="1:30" ht="85.5" customHeight="1">
      <c r="A1" s="33" t="str">
        <f ca="1">MID(CELL("filename",A1),FIND("[",CELL("filename",A1))+1,3)</f>
        <v>５－１</v>
      </c>
      <c r="B1" s="34" t="str">
        <f ca="1">RIGHT(CELL("filename",B1),LEN(CELL("filename",B1))-FIND("]",CELL("filename",B1)))</f>
        <v>算数</v>
      </c>
      <c r="C1" s="35" t="s">
        <v>25</v>
      </c>
      <c r="D1" s="36" t="str">
        <f>A15</f>
        <v>阿部 光希</v>
      </c>
      <c r="E1" s="36" t="str">
        <f>A16</f>
        <v>池田 篤也</v>
      </c>
      <c r="F1" s="36" t="str">
        <f>A17</f>
        <v>荻原 健史</v>
      </c>
      <c r="G1" s="36" t="str">
        <f>A18</f>
        <v>上條 里紗</v>
      </c>
      <c r="H1" s="36" t="str">
        <f>A19</f>
        <v>小森 美柚</v>
      </c>
      <c r="I1" s="36" t="str">
        <f>A20</f>
        <v>酒巻 紋子</v>
      </c>
      <c r="J1" s="36" t="str">
        <f>A21</f>
        <v>滝 真佳</v>
      </c>
      <c r="K1" s="36" t="str">
        <f>A22</f>
        <v>都筑 斉</v>
      </c>
      <c r="L1" s="36" t="str">
        <f>A23</f>
        <v>傳田 悠藍</v>
      </c>
      <c r="M1" s="36" t="str">
        <f>A24</f>
        <v>中原 照真</v>
      </c>
      <c r="N1" s="36" t="str">
        <f>A25</f>
        <v>永原 愛羅</v>
      </c>
      <c r="O1" s="36" t="str">
        <f>A26</f>
        <v>根橋 宏匡</v>
      </c>
      <c r="P1" s="36" t="str">
        <f>A27</f>
        <v>平野 悠</v>
      </c>
      <c r="Q1" s="36" t="str">
        <f>A28</f>
        <v>丸山 大河</v>
      </c>
      <c r="R1" s="36" t="str">
        <f>A29</f>
        <v>三浦 和成</v>
      </c>
      <c r="S1" s="36" t="str">
        <f>A30</f>
        <v>三澤 桜來</v>
      </c>
      <c r="T1" s="36" t="str">
        <f>A31</f>
        <v>明嵐 瑛大</v>
      </c>
      <c r="U1" s="36" t="str">
        <f>A32</f>
        <v>屋井 皓</v>
      </c>
      <c r="V1" s="36" t="str">
        <f>A33</f>
        <v>若松 優羽花</v>
      </c>
      <c r="W1" s="36" t="str">
        <f>A34</f>
        <v>渡邊 葉子</v>
      </c>
      <c r="X1" s="36" t="str">
        <f>A35</f>
        <v>綿貫 叶乃音</v>
      </c>
      <c r="Y1" s="36">
        <f>A36</f>
        <v>0</v>
      </c>
      <c r="Z1" s="36">
        <f>A37</f>
        <v>0</v>
      </c>
      <c r="AA1" s="36">
        <f>A38</f>
        <v>0</v>
      </c>
      <c r="AB1" s="36">
        <f>A39</f>
        <v>0</v>
      </c>
      <c r="AC1" s="37"/>
    </row>
    <row r="2" spans="1:30" ht="22.5" customHeight="1">
      <c r="A2" s="153" t="s">
        <v>227</v>
      </c>
      <c r="B2" s="78" t="s">
        <v>61</v>
      </c>
      <c r="C2" s="38" t="s">
        <v>26</v>
      </c>
      <c r="D2" s="39" t="s">
        <v>45</v>
      </c>
      <c r="E2" s="39" t="s">
        <v>46</v>
      </c>
      <c r="F2" s="39" t="s">
        <v>46</v>
      </c>
      <c r="G2" s="39" t="s">
        <v>45</v>
      </c>
      <c r="H2" s="39" t="s">
        <v>45</v>
      </c>
      <c r="I2" s="39" t="s">
        <v>46</v>
      </c>
      <c r="J2" s="39" t="s">
        <v>45</v>
      </c>
      <c r="K2" s="39" t="s">
        <v>46</v>
      </c>
      <c r="L2" s="39" t="s">
        <v>45</v>
      </c>
      <c r="M2" s="39" t="s">
        <v>46</v>
      </c>
      <c r="N2" s="39" t="s">
        <v>49</v>
      </c>
      <c r="O2" s="39" t="s">
        <v>49</v>
      </c>
      <c r="P2" s="39" t="s">
        <v>46</v>
      </c>
      <c r="Q2" s="39" t="s">
        <v>45</v>
      </c>
      <c r="R2" s="39" t="s">
        <v>46</v>
      </c>
      <c r="S2" s="39" t="s">
        <v>46</v>
      </c>
      <c r="T2" s="39" t="s">
        <v>46</v>
      </c>
      <c r="U2" s="39" t="s">
        <v>45</v>
      </c>
      <c r="V2" s="39" t="s">
        <v>46</v>
      </c>
      <c r="W2" s="39" t="s">
        <v>49</v>
      </c>
      <c r="X2" s="39" t="s">
        <v>46</v>
      </c>
      <c r="Y2" s="39"/>
      <c r="Z2" s="39"/>
      <c r="AA2" s="39"/>
      <c r="AB2" s="39"/>
      <c r="AC2" s="40" t="s">
        <v>226</v>
      </c>
      <c r="AD2" s="40">
        <v>1</v>
      </c>
    </row>
    <row r="3" spans="1:30" ht="22.5" customHeight="1">
      <c r="A3" s="154"/>
      <c r="B3" s="78" t="s">
        <v>247</v>
      </c>
      <c r="C3" s="38" t="s">
        <v>26</v>
      </c>
      <c r="D3" s="39" t="s">
        <v>45</v>
      </c>
      <c r="E3" s="39" t="s">
        <v>46</v>
      </c>
      <c r="F3" s="39" t="s">
        <v>46</v>
      </c>
      <c r="G3" s="39" t="s">
        <v>45</v>
      </c>
      <c r="H3" s="39" t="s">
        <v>45</v>
      </c>
      <c r="I3" s="39" t="s">
        <v>46</v>
      </c>
      <c r="J3" s="39" t="s">
        <v>45</v>
      </c>
      <c r="K3" s="39" t="s">
        <v>45</v>
      </c>
      <c r="L3" s="39" t="s">
        <v>46</v>
      </c>
      <c r="M3" s="39" t="s">
        <v>45</v>
      </c>
      <c r="N3" s="39" t="s">
        <v>49</v>
      </c>
      <c r="O3" s="39" t="s">
        <v>49</v>
      </c>
      <c r="P3" s="39" t="s">
        <v>46</v>
      </c>
      <c r="Q3" s="39" t="s">
        <v>45</v>
      </c>
      <c r="R3" s="39" t="s">
        <v>46</v>
      </c>
      <c r="S3" s="39" t="s">
        <v>46</v>
      </c>
      <c r="T3" s="39" t="s">
        <v>46</v>
      </c>
      <c r="U3" s="39" t="s">
        <v>45</v>
      </c>
      <c r="V3" s="39" t="s">
        <v>46</v>
      </c>
      <c r="W3" s="39" t="s">
        <v>49</v>
      </c>
      <c r="X3" s="39" t="s">
        <v>45</v>
      </c>
      <c r="Y3" s="39"/>
      <c r="Z3" s="39"/>
      <c r="AA3" s="39"/>
      <c r="AB3" s="39"/>
      <c r="AC3" s="40" t="s">
        <v>222</v>
      </c>
      <c r="AD3" s="40">
        <v>2</v>
      </c>
    </row>
    <row r="4" spans="1:30" ht="22.5" customHeight="1">
      <c r="A4" s="154"/>
      <c r="B4" s="78" t="s">
        <v>233</v>
      </c>
      <c r="C4" s="38" t="s">
        <v>26</v>
      </c>
      <c r="D4" s="39" t="s">
        <v>46</v>
      </c>
      <c r="E4" s="39" t="s">
        <v>46</v>
      </c>
      <c r="F4" s="39" t="s">
        <v>46</v>
      </c>
      <c r="G4" s="39" t="s">
        <v>46</v>
      </c>
      <c r="H4" s="39" t="s">
        <v>45</v>
      </c>
      <c r="I4" s="39" t="s">
        <v>46</v>
      </c>
      <c r="J4" s="39" t="s">
        <v>46</v>
      </c>
      <c r="K4" s="39" t="s">
        <v>46</v>
      </c>
      <c r="L4" s="39" t="s">
        <v>46</v>
      </c>
      <c r="M4" s="39" t="s">
        <v>46</v>
      </c>
      <c r="N4" s="39" t="s">
        <v>45</v>
      </c>
      <c r="O4" s="39" t="s">
        <v>45</v>
      </c>
      <c r="P4" s="39" t="s">
        <v>46</v>
      </c>
      <c r="Q4" s="39" t="s">
        <v>46</v>
      </c>
      <c r="R4" s="39" t="s">
        <v>45</v>
      </c>
      <c r="S4" s="39" t="s">
        <v>46</v>
      </c>
      <c r="T4" s="39" t="s">
        <v>46</v>
      </c>
      <c r="U4" s="39" t="s">
        <v>46</v>
      </c>
      <c r="V4" s="39" t="s">
        <v>46</v>
      </c>
      <c r="W4" s="39" t="s">
        <v>45</v>
      </c>
      <c r="X4" s="39" t="s">
        <v>46</v>
      </c>
      <c r="Y4" s="39"/>
      <c r="Z4" s="39"/>
      <c r="AA4" s="39"/>
      <c r="AB4" s="39"/>
      <c r="AC4" s="40" t="s">
        <v>224</v>
      </c>
      <c r="AD4" s="40">
        <v>3</v>
      </c>
    </row>
    <row r="5" spans="1:30" ht="22.5" customHeight="1">
      <c r="A5" s="154"/>
      <c r="B5" s="41"/>
      <c r="C5" s="38" t="s">
        <v>26</v>
      </c>
      <c r="D5" s="39"/>
      <c r="E5" s="39"/>
      <c r="F5" s="39"/>
      <c r="G5" s="39"/>
      <c r="H5" s="39"/>
      <c r="I5" s="39"/>
      <c r="J5" s="39"/>
      <c r="K5" s="39"/>
      <c r="L5" s="39"/>
      <c r="M5" s="39"/>
      <c r="N5" s="39"/>
      <c r="O5" s="39"/>
      <c r="P5" s="39"/>
      <c r="Q5" s="39"/>
      <c r="R5" s="39"/>
      <c r="S5" s="39"/>
      <c r="T5" s="39"/>
      <c r="U5" s="39"/>
      <c r="V5" s="39"/>
      <c r="W5" s="39"/>
      <c r="X5" s="39"/>
      <c r="Y5" s="39"/>
      <c r="Z5" s="39"/>
      <c r="AA5" s="39"/>
      <c r="AB5" s="39"/>
      <c r="AC5" s="40" t="s">
        <v>225</v>
      </c>
      <c r="AD5" s="40">
        <v>4</v>
      </c>
    </row>
    <row r="6" spans="1:30" ht="22.5" customHeight="1">
      <c r="A6" s="154"/>
      <c r="B6" s="41"/>
      <c r="C6" s="38" t="s">
        <v>26</v>
      </c>
      <c r="D6" s="39"/>
      <c r="E6" s="39"/>
      <c r="F6" s="39"/>
      <c r="G6" s="39"/>
      <c r="H6" s="39"/>
      <c r="I6" s="39"/>
      <c r="J6" s="39"/>
      <c r="K6" s="39"/>
      <c r="L6" s="39"/>
      <c r="M6" s="39"/>
      <c r="N6" s="39"/>
      <c r="O6" s="39"/>
      <c r="P6" s="39"/>
      <c r="Q6" s="39"/>
      <c r="R6" s="39"/>
      <c r="S6" s="39"/>
      <c r="T6" s="39"/>
      <c r="U6" s="39"/>
      <c r="V6" s="39"/>
      <c r="W6" s="39"/>
      <c r="X6" s="39"/>
      <c r="Y6" s="39"/>
      <c r="Z6" s="39"/>
      <c r="AA6" s="39"/>
      <c r="AB6" s="39"/>
      <c r="AC6" s="40"/>
      <c r="AD6" s="40">
        <v>5</v>
      </c>
    </row>
    <row r="7" spans="1:30" ht="22.5" customHeight="1">
      <c r="A7" s="154"/>
      <c r="B7" s="41"/>
      <c r="C7" s="38" t="s">
        <v>26</v>
      </c>
      <c r="D7" s="39"/>
      <c r="E7" s="39"/>
      <c r="F7" s="39"/>
      <c r="G7" s="39"/>
      <c r="H7" s="39"/>
      <c r="I7" s="39"/>
      <c r="J7" s="39"/>
      <c r="K7" s="39"/>
      <c r="L7" s="39"/>
      <c r="M7" s="39"/>
      <c r="N7" s="39"/>
      <c r="O7" s="39"/>
      <c r="P7" s="39"/>
      <c r="Q7" s="39"/>
      <c r="R7" s="39"/>
      <c r="S7" s="39"/>
      <c r="T7" s="39"/>
      <c r="U7" s="39"/>
      <c r="V7" s="39"/>
      <c r="W7" s="39"/>
      <c r="X7" s="39"/>
      <c r="Y7" s="39"/>
      <c r="Z7" s="39"/>
      <c r="AA7" s="39"/>
      <c r="AB7" s="39"/>
      <c r="AC7" s="40"/>
      <c r="AD7" s="40" t="s">
        <v>225</v>
      </c>
    </row>
    <row r="8" spans="1:30" ht="22.5" customHeight="1">
      <c r="A8" s="154"/>
      <c r="B8" s="41"/>
      <c r="C8" s="38" t="s">
        <v>26</v>
      </c>
      <c r="D8" s="39"/>
      <c r="E8" s="39"/>
      <c r="F8" s="39"/>
      <c r="G8" s="39"/>
      <c r="H8" s="39"/>
      <c r="I8" s="39"/>
      <c r="J8" s="39"/>
      <c r="K8" s="39"/>
      <c r="L8" s="39"/>
      <c r="M8" s="39"/>
      <c r="N8" s="39"/>
      <c r="O8" s="39"/>
      <c r="P8" s="39"/>
      <c r="Q8" s="39"/>
      <c r="R8" s="39"/>
      <c r="S8" s="39"/>
      <c r="T8" s="39"/>
      <c r="U8" s="39"/>
      <c r="V8" s="39"/>
      <c r="W8" s="39"/>
      <c r="X8" s="39"/>
      <c r="Y8" s="39"/>
      <c r="Z8" s="39"/>
      <c r="AA8" s="39"/>
      <c r="AB8" s="39"/>
    </row>
    <row r="9" spans="1:30" ht="22.5" customHeight="1">
      <c r="A9" s="154"/>
      <c r="B9" s="41"/>
      <c r="C9" s="38" t="s">
        <v>26</v>
      </c>
      <c r="D9" s="39"/>
      <c r="E9" s="39"/>
      <c r="F9" s="39"/>
      <c r="G9" s="39"/>
      <c r="H9" s="39"/>
      <c r="I9" s="39"/>
      <c r="J9" s="39"/>
      <c r="K9" s="39"/>
      <c r="L9" s="39"/>
      <c r="M9" s="39"/>
      <c r="N9" s="39"/>
      <c r="O9" s="39"/>
      <c r="P9" s="39"/>
      <c r="Q9" s="39"/>
      <c r="R9" s="39"/>
      <c r="S9" s="39"/>
      <c r="T9" s="39"/>
      <c r="U9" s="39"/>
      <c r="V9" s="39"/>
      <c r="W9" s="39"/>
      <c r="X9" s="39"/>
      <c r="Y9" s="39"/>
      <c r="Z9" s="39"/>
      <c r="AA9" s="39"/>
      <c r="AB9" s="39"/>
    </row>
    <row r="10" spans="1:30" ht="22.5" customHeight="1">
      <c r="A10" s="154"/>
      <c r="B10" s="41"/>
      <c r="C10" s="38" t="s">
        <v>26</v>
      </c>
      <c r="D10" s="39"/>
      <c r="E10" s="39"/>
      <c r="F10" s="39"/>
      <c r="G10" s="39"/>
      <c r="H10" s="39"/>
      <c r="I10" s="39"/>
      <c r="J10" s="39"/>
      <c r="K10" s="39"/>
      <c r="L10" s="39"/>
      <c r="M10" s="39"/>
      <c r="N10" s="39"/>
      <c r="O10" s="39"/>
      <c r="P10" s="39"/>
      <c r="Q10" s="39"/>
      <c r="R10" s="39"/>
      <c r="S10" s="39"/>
      <c r="T10" s="39"/>
      <c r="U10" s="39"/>
      <c r="V10" s="39"/>
      <c r="W10" s="39"/>
      <c r="X10" s="39"/>
      <c r="Y10" s="39"/>
      <c r="Z10" s="39"/>
      <c r="AA10" s="39"/>
      <c r="AB10" s="39"/>
    </row>
    <row r="11" spans="1:30" ht="22.5" customHeight="1">
      <c r="A11" s="154"/>
      <c r="B11" s="41"/>
      <c r="C11" s="38" t="s">
        <v>26</v>
      </c>
      <c r="D11" s="39"/>
      <c r="E11" s="39"/>
      <c r="F11" s="39"/>
      <c r="G11" s="39"/>
      <c r="H11" s="39"/>
      <c r="I11" s="39"/>
      <c r="J11" s="39"/>
      <c r="K11" s="39"/>
      <c r="L11" s="39"/>
      <c r="M11" s="39"/>
      <c r="N11" s="39"/>
      <c r="O11" s="39"/>
      <c r="P11" s="39"/>
      <c r="Q11" s="39"/>
      <c r="R11" s="39"/>
      <c r="S11" s="39"/>
      <c r="T11" s="39"/>
      <c r="U11" s="39"/>
      <c r="V11" s="39"/>
      <c r="W11" s="39"/>
      <c r="X11" s="39"/>
      <c r="Y11" s="39"/>
      <c r="Z11" s="39"/>
      <c r="AA11" s="39"/>
      <c r="AB11" s="39"/>
    </row>
    <row r="12" spans="1:30" ht="30" customHeight="1">
      <c r="A12" s="155"/>
      <c r="B12" s="42"/>
      <c r="C12" s="43" t="s">
        <v>27</v>
      </c>
      <c r="D12" s="39">
        <v>4</v>
      </c>
      <c r="E12" s="39">
        <v>5</v>
      </c>
      <c r="F12" s="39">
        <v>5</v>
      </c>
      <c r="G12" s="39">
        <v>4</v>
      </c>
      <c r="H12" s="39">
        <v>3</v>
      </c>
      <c r="I12" s="39">
        <v>5</v>
      </c>
      <c r="J12" s="39">
        <v>3</v>
      </c>
      <c r="K12" s="39">
        <v>4</v>
      </c>
      <c r="L12" s="39">
        <v>4</v>
      </c>
      <c r="M12" s="39">
        <v>4</v>
      </c>
      <c r="N12" s="39">
        <v>2</v>
      </c>
      <c r="O12" s="39">
        <v>2</v>
      </c>
      <c r="P12" s="39">
        <v>5</v>
      </c>
      <c r="Q12" s="39">
        <v>3</v>
      </c>
      <c r="R12" s="39">
        <v>4</v>
      </c>
      <c r="S12" s="39">
        <v>5</v>
      </c>
      <c r="T12" s="39">
        <v>5</v>
      </c>
      <c r="U12" s="39">
        <v>4</v>
      </c>
      <c r="V12" s="39">
        <v>5</v>
      </c>
      <c r="W12" s="39">
        <v>2</v>
      </c>
      <c r="X12" s="39">
        <v>4</v>
      </c>
      <c r="Y12" s="39"/>
      <c r="Z12" s="39"/>
      <c r="AA12" s="39"/>
      <c r="AB12" s="39"/>
    </row>
    <row r="13" spans="1:30" ht="26.25" customHeight="1">
      <c r="A13" s="44"/>
      <c r="B13" s="44"/>
      <c r="C13" s="81" t="s">
        <v>62</v>
      </c>
      <c r="D13" s="39"/>
      <c r="E13" s="39"/>
      <c r="F13" s="39"/>
      <c r="G13" s="39"/>
      <c r="H13" s="39"/>
      <c r="I13" s="39"/>
      <c r="J13" s="39"/>
      <c r="K13" s="39"/>
      <c r="L13" s="39"/>
      <c r="M13" s="39"/>
      <c r="N13" s="39"/>
      <c r="O13" s="39"/>
      <c r="P13" s="39"/>
      <c r="Q13" s="39"/>
      <c r="R13" s="39"/>
      <c r="S13" s="39"/>
      <c r="T13" s="39"/>
      <c r="U13" s="39"/>
      <c r="V13" s="39"/>
      <c r="W13" s="39"/>
      <c r="X13" s="39"/>
      <c r="Y13" s="39"/>
      <c r="Z13" s="39"/>
      <c r="AA13" s="39"/>
      <c r="AB13" s="39"/>
    </row>
    <row r="14" spans="1:30" ht="22.5" customHeight="1">
      <c r="A14" s="45" t="s">
        <v>28</v>
      </c>
      <c r="B14" s="156" t="s">
        <v>29</v>
      </c>
      <c r="C14" s="157"/>
      <c r="D14" s="157"/>
      <c r="E14" s="157"/>
      <c r="F14" s="157"/>
      <c r="G14" s="157"/>
      <c r="H14" s="157"/>
      <c r="I14" s="157"/>
      <c r="J14" s="157"/>
      <c r="K14" s="157"/>
      <c r="L14" s="157"/>
      <c r="M14" s="157"/>
      <c r="N14" s="157"/>
      <c r="O14" s="157"/>
      <c r="P14" s="157"/>
      <c r="Q14" s="157"/>
      <c r="R14" s="157"/>
      <c r="S14" s="157"/>
      <c r="T14" s="157"/>
      <c r="U14" s="157"/>
      <c r="V14" s="157"/>
      <c r="W14" s="157"/>
      <c r="X14" s="157"/>
      <c r="Y14" s="157"/>
      <c r="Z14" s="157"/>
      <c r="AA14" s="157"/>
      <c r="AB14" s="158"/>
    </row>
    <row r="15" spans="1:30" ht="59.25" customHeight="1">
      <c r="A15" s="46" t="s">
        <v>70</v>
      </c>
      <c r="B15" s="159"/>
      <c r="C15" s="160"/>
      <c r="D15" s="160"/>
      <c r="E15" s="160"/>
      <c r="F15" s="160"/>
      <c r="G15" s="160"/>
      <c r="H15" s="160"/>
      <c r="I15" s="160"/>
      <c r="J15" s="160"/>
      <c r="K15" s="160"/>
      <c r="L15" s="160"/>
      <c r="M15" s="160"/>
      <c r="N15" s="160"/>
      <c r="O15" s="160"/>
      <c r="P15" s="160"/>
      <c r="Q15" s="160"/>
      <c r="R15" s="160"/>
      <c r="S15" s="160"/>
      <c r="T15" s="160"/>
      <c r="U15" s="160"/>
      <c r="V15" s="160"/>
      <c r="W15" s="160"/>
      <c r="X15" s="160"/>
      <c r="Y15" s="160"/>
      <c r="Z15" s="160"/>
      <c r="AA15" s="160"/>
      <c r="AB15" s="161"/>
    </row>
    <row r="16" spans="1:30" ht="59.25" customHeight="1">
      <c r="A16" s="46" t="s">
        <v>71</v>
      </c>
      <c r="B16" s="159" t="s">
        <v>91</v>
      </c>
      <c r="C16" s="160"/>
      <c r="D16" s="160"/>
      <c r="E16" s="160"/>
      <c r="F16" s="160"/>
      <c r="G16" s="160"/>
      <c r="H16" s="160"/>
      <c r="I16" s="160"/>
      <c r="J16" s="160"/>
      <c r="K16" s="160"/>
      <c r="L16" s="160"/>
      <c r="M16" s="160"/>
      <c r="N16" s="160"/>
      <c r="O16" s="160"/>
      <c r="P16" s="160"/>
      <c r="Q16" s="160"/>
      <c r="R16" s="160"/>
      <c r="S16" s="160"/>
      <c r="T16" s="160"/>
      <c r="U16" s="160"/>
      <c r="V16" s="160"/>
      <c r="W16" s="160"/>
      <c r="X16" s="160"/>
      <c r="Y16" s="160"/>
      <c r="Z16" s="160"/>
      <c r="AA16" s="160"/>
      <c r="AB16" s="161"/>
    </row>
    <row r="17" spans="1:28" ht="59.25" customHeight="1">
      <c r="A17" s="46" t="s">
        <v>72</v>
      </c>
      <c r="B17" s="159" t="s">
        <v>92</v>
      </c>
      <c r="C17" s="160"/>
      <c r="D17" s="160"/>
      <c r="E17" s="160"/>
      <c r="F17" s="160"/>
      <c r="G17" s="160"/>
      <c r="H17" s="160"/>
      <c r="I17" s="160"/>
      <c r="J17" s="160"/>
      <c r="K17" s="160"/>
      <c r="L17" s="160"/>
      <c r="M17" s="160"/>
      <c r="N17" s="160"/>
      <c r="O17" s="160"/>
      <c r="P17" s="160"/>
      <c r="Q17" s="160"/>
      <c r="R17" s="160"/>
      <c r="S17" s="160"/>
      <c r="T17" s="160"/>
      <c r="U17" s="160"/>
      <c r="V17" s="160"/>
      <c r="W17" s="160"/>
      <c r="X17" s="160"/>
      <c r="Y17" s="160"/>
      <c r="Z17" s="160"/>
      <c r="AA17" s="160"/>
      <c r="AB17" s="161"/>
    </row>
    <row r="18" spans="1:28" ht="59.25" customHeight="1">
      <c r="A18" s="46" t="s">
        <v>73</v>
      </c>
      <c r="B18" s="159"/>
      <c r="C18" s="160"/>
      <c r="D18" s="160"/>
      <c r="E18" s="160"/>
      <c r="F18" s="160"/>
      <c r="G18" s="160"/>
      <c r="H18" s="160"/>
      <c r="I18" s="160"/>
      <c r="J18" s="160"/>
      <c r="K18" s="160"/>
      <c r="L18" s="160"/>
      <c r="M18" s="160"/>
      <c r="N18" s="160"/>
      <c r="O18" s="160"/>
      <c r="P18" s="160"/>
      <c r="Q18" s="160"/>
      <c r="R18" s="160"/>
      <c r="S18" s="160"/>
      <c r="T18" s="160"/>
      <c r="U18" s="160"/>
      <c r="V18" s="160"/>
      <c r="W18" s="160"/>
      <c r="X18" s="160"/>
      <c r="Y18" s="160"/>
      <c r="Z18" s="160"/>
      <c r="AA18" s="160"/>
      <c r="AB18" s="161"/>
    </row>
    <row r="19" spans="1:28" ht="59.25" customHeight="1">
      <c r="A19" s="46" t="s">
        <v>74</v>
      </c>
      <c r="B19" s="159" t="s">
        <v>93</v>
      </c>
      <c r="C19" s="160"/>
      <c r="D19" s="160"/>
      <c r="E19" s="160"/>
      <c r="F19" s="160"/>
      <c r="G19" s="160"/>
      <c r="H19" s="160"/>
      <c r="I19" s="160"/>
      <c r="J19" s="160"/>
      <c r="K19" s="160"/>
      <c r="L19" s="160"/>
      <c r="M19" s="160"/>
      <c r="N19" s="160"/>
      <c r="O19" s="160"/>
      <c r="P19" s="160"/>
      <c r="Q19" s="160"/>
      <c r="R19" s="160"/>
      <c r="S19" s="160"/>
      <c r="T19" s="160"/>
      <c r="U19" s="160"/>
      <c r="V19" s="160"/>
      <c r="W19" s="160"/>
      <c r="X19" s="160"/>
      <c r="Y19" s="160"/>
      <c r="Z19" s="160"/>
      <c r="AA19" s="160"/>
      <c r="AB19" s="161"/>
    </row>
    <row r="20" spans="1:28" ht="59.25" customHeight="1">
      <c r="A20" s="46" t="s">
        <v>75</v>
      </c>
      <c r="B20" s="159" t="s">
        <v>94</v>
      </c>
      <c r="C20" s="160"/>
      <c r="D20" s="160"/>
      <c r="E20" s="160"/>
      <c r="F20" s="160"/>
      <c r="G20" s="160"/>
      <c r="H20" s="160"/>
      <c r="I20" s="160"/>
      <c r="J20" s="160"/>
      <c r="K20" s="160"/>
      <c r="L20" s="160"/>
      <c r="M20" s="160"/>
      <c r="N20" s="160"/>
      <c r="O20" s="160"/>
      <c r="P20" s="160"/>
      <c r="Q20" s="160"/>
      <c r="R20" s="160"/>
      <c r="S20" s="160"/>
      <c r="T20" s="160"/>
      <c r="U20" s="160"/>
      <c r="V20" s="160"/>
      <c r="W20" s="160"/>
      <c r="X20" s="160"/>
      <c r="Y20" s="160"/>
      <c r="Z20" s="160"/>
      <c r="AA20" s="160"/>
      <c r="AB20" s="161"/>
    </row>
    <row r="21" spans="1:28" ht="59.25" customHeight="1">
      <c r="A21" s="46" t="s">
        <v>76</v>
      </c>
      <c r="B21" s="159"/>
      <c r="C21" s="160"/>
      <c r="D21" s="160"/>
      <c r="E21" s="160"/>
      <c r="F21" s="160"/>
      <c r="G21" s="160"/>
      <c r="H21" s="160"/>
      <c r="I21" s="160"/>
      <c r="J21" s="160"/>
      <c r="K21" s="160"/>
      <c r="L21" s="160"/>
      <c r="M21" s="160"/>
      <c r="N21" s="160"/>
      <c r="O21" s="160"/>
      <c r="P21" s="160"/>
      <c r="Q21" s="160"/>
      <c r="R21" s="160"/>
      <c r="S21" s="160"/>
      <c r="T21" s="160"/>
      <c r="U21" s="160"/>
      <c r="V21" s="160"/>
      <c r="W21" s="160"/>
      <c r="X21" s="160"/>
      <c r="Y21" s="160"/>
      <c r="Z21" s="160"/>
      <c r="AA21" s="160"/>
      <c r="AB21" s="161"/>
    </row>
    <row r="22" spans="1:28" ht="59.25" customHeight="1">
      <c r="A22" s="46" t="s">
        <v>77</v>
      </c>
      <c r="B22" s="159"/>
      <c r="C22" s="160"/>
      <c r="D22" s="160"/>
      <c r="E22" s="160"/>
      <c r="F22" s="160"/>
      <c r="G22" s="160"/>
      <c r="H22" s="160"/>
      <c r="I22" s="160"/>
      <c r="J22" s="160"/>
      <c r="K22" s="160"/>
      <c r="L22" s="160"/>
      <c r="M22" s="160"/>
      <c r="N22" s="160"/>
      <c r="O22" s="160"/>
      <c r="P22" s="160"/>
      <c r="Q22" s="160"/>
      <c r="R22" s="160"/>
      <c r="S22" s="160"/>
      <c r="T22" s="160"/>
      <c r="U22" s="160"/>
      <c r="V22" s="160"/>
      <c r="W22" s="160"/>
      <c r="X22" s="160"/>
      <c r="Y22" s="160"/>
      <c r="Z22" s="160"/>
      <c r="AA22" s="160"/>
      <c r="AB22" s="161"/>
    </row>
    <row r="23" spans="1:28" ht="59.25" customHeight="1">
      <c r="A23" s="46" t="s">
        <v>78</v>
      </c>
      <c r="B23" s="159"/>
      <c r="C23" s="160"/>
      <c r="D23" s="160"/>
      <c r="E23" s="160"/>
      <c r="F23" s="160"/>
      <c r="G23" s="160"/>
      <c r="H23" s="160"/>
      <c r="I23" s="160"/>
      <c r="J23" s="160"/>
      <c r="K23" s="160"/>
      <c r="L23" s="160"/>
      <c r="M23" s="160"/>
      <c r="N23" s="160"/>
      <c r="O23" s="160"/>
      <c r="P23" s="160"/>
      <c r="Q23" s="160"/>
      <c r="R23" s="160"/>
      <c r="S23" s="160"/>
      <c r="T23" s="160"/>
      <c r="U23" s="160"/>
      <c r="V23" s="160"/>
      <c r="W23" s="160"/>
      <c r="X23" s="160"/>
      <c r="Y23" s="160"/>
      <c r="Z23" s="160"/>
      <c r="AA23" s="160"/>
      <c r="AB23" s="161"/>
    </row>
    <row r="24" spans="1:28" ht="59.25" customHeight="1">
      <c r="A24" s="46" t="s">
        <v>79</v>
      </c>
      <c r="B24" s="159" t="s">
        <v>95</v>
      </c>
      <c r="C24" s="160"/>
      <c r="D24" s="160"/>
      <c r="E24" s="160"/>
      <c r="F24" s="160"/>
      <c r="G24" s="160"/>
      <c r="H24" s="160"/>
      <c r="I24" s="160"/>
      <c r="J24" s="160"/>
      <c r="K24" s="160"/>
      <c r="L24" s="160"/>
      <c r="M24" s="160"/>
      <c r="N24" s="160"/>
      <c r="O24" s="160"/>
      <c r="P24" s="160"/>
      <c r="Q24" s="160"/>
      <c r="R24" s="160"/>
      <c r="S24" s="160"/>
      <c r="T24" s="160"/>
      <c r="U24" s="160"/>
      <c r="V24" s="160"/>
      <c r="W24" s="160"/>
      <c r="X24" s="160"/>
      <c r="Y24" s="160"/>
      <c r="Z24" s="160"/>
      <c r="AA24" s="160"/>
      <c r="AB24" s="161"/>
    </row>
    <row r="25" spans="1:28" ht="59.25" customHeight="1">
      <c r="A25" s="46" t="s">
        <v>80</v>
      </c>
      <c r="B25" s="159"/>
      <c r="C25" s="160"/>
      <c r="D25" s="160"/>
      <c r="E25" s="160"/>
      <c r="F25" s="160"/>
      <c r="G25" s="160"/>
      <c r="H25" s="160"/>
      <c r="I25" s="160"/>
      <c r="J25" s="160"/>
      <c r="K25" s="160"/>
      <c r="L25" s="160"/>
      <c r="M25" s="160"/>
      <c r="N25" s="160"/>
      <c r="O25" s="160"/>
      <c r="P25" s="160"/>
      <c r="Q25" s="160"/>
      <c r="R25" s="160"/>
      <c r="S25" s="160"/>
      <c r="T25" s="160"/>
      <c r="U25" s="160"/>
      <c r="V25" s="160"/>
      <c r="W25" s="160"/>
      <c r="X25" s="160"/>
      <c r="Y25" s="160"/>
      <c r="Z25" s="160"/>
      <c r="AA25" s="160"/>
      <c r="AB25" s="161"/>
    </row>
    <row r="26" spans="1:28" ht="59.25" customHeight="1">
      <c r="A26" s="46" t="s">
        <v>81</v>
      </c>
      <c r="B26" s="159"/>
      <c r="C26" s="160"/>
      <c r="D26" s="160"/>
      <c r="E26" s="160"/>
      <c r="F26" s="160"/>
      <c r="G26" s="160"/>
      <c r="H26" s="160"/>
      <c r="I26" s="160"/>
      <c r="J26" s="160"/>
      <c r="K26" s="160"/>
      <c r="L26" s="160"/>
      <c r="M26" s="160"/>
      <c r="N26" s="160"/>
      <c r="O26" s="160"/>
      <c r="P26" s="160"/>
      <c r="Q26" s="160"/>
      <c r="R26" s="160"/>
      <c r="S26" s="160"/>
      <c r="T26" s="160"/>
      <c r="U26" s="160"/>
      <c r="V26" s="160"/>
      <c r="W26" s="160"/>
      <c r="X26" s="160"/>
      <c r="Y26" s="160"/>
      <c r="Z26" s="160"/>
      <c r="AA26" s="160"/>
      <c r="AB26" s="161"/>
    </row>
    <row r="27" spans="1:28" ht="59.25" customHeight="1">
      <c r="A27" s="46" t="s">
        <v>82</v>
      </c>
      <c r="B27" s="159"/>
      <c r="C27" s="160"/>
      <c r="D27" s="160"/>
      <c r="E27" s="160"/>
      <c r="F27" s="160"/>
      <c r="G27" s="160"/>
      <c r="H27" s="160"/>
      <c r="I27" s="160"/>
      <c r="J27" s="160"/>
      <c r="K27" s="160"/>
      <c r="L27" s="160"/>
      <c r="M27" s="160"/>
      <c r="N27" s="160"/>
      <c r="O27" s="160"/>
      <c r="P27" s="160"/>
      <c r="Q27" s="160"/>
      <c r="R27" s="160"/>
      <c r="S27" s="160"/>
      <c r="T27" s="160"/>
      <c r="U27" s="160"/>
      <c r="V27" s="160"/>
      <c r="W27" s="160"/>
      <c r="X27" s="160"/>
      <c r="Y27" s="160"/>
      <c r="Z27" s="160"/>
      <c r="AA27" s="160"/>
      <c r="AB27" s="161"/>
    </row>
    <row r="28" spans="1:28" ht="59.25" customHeight="1">
      <c r="A28" s="46" t="s">
        <v>83</v>
      </c>
      <c r="B28" s="159"/>
      <c r="C28" s="160"/>
      <c r="D28" s="160"/>
      <c r="E28" s="160"/>
      <c r="F28" s="160"/>
      <c r="G28" s="160"/>
      <c r="H28" s="160"/>
      <c r="I28" s="160"/>
      <c r="J28" s="160"/>
      <c r="K28" s="160"/>
      <c r="L28" s="160"/>
      <c r="M28" s="160"/>
      <c r="N28" s="160"/>
      <c r="O28" s="160"/>
      <c r="P28" s="160"/>
      <c r="Q28" s="160"/>
      <c r="R28" s="160"/>
      <c r="S28" s="160"/>
      <c r="T28" s="160"/>
      <c r="U28" s="160"/>
      <c r="V28" s="160"/>
      <c r="W28" s="160"/>
      <c r="X28" s="160"/>
      <c r="Y28" s="160"/>
      <c r="Z28" s="160"/>
      <c r="AA28" s="160"/>
      <c r="AB28" s="161"/>
    </row>
    <row r="29" spans="1:28" ht="59.25" customHeight="1">
      <c r="A29" s="46" t="s">
        <v>84</v>
      </c>
      <c r="B29" s="159"/>
      <c r="C29" s="160"/>
      <c r="D29" s="160"/>
      <c r="E29" s="160"/>
      <c r="F29" s="160"/>
      <c r="G29" s="160"/>
      <c r="H29" s="160"/>
      <c r="I29" s="160"/>
      <c r="J29" s="160"/>
      <c r="K29" s="160"/>
      <c r="L29" s="160"/>
      <c r="M29" s="160"/>
      <c r="N29" s="160"/>
      <c r="O29" s="160"/>
      <c r="P29" s="160"/>
      <c r="Q29" s="160"/>
      <c r="R29" s="160"/>
      <c r="S29" s="160"/>
      <c r="T29" s="160"/>
      <c r="U29" s="160"/>
      <c r="V29" s="160"/>
      <c r="W29" s="160"/>
      <c r="X29" s="160"/>
      <c r="Y29" s="160"/>
      <c r="Z29" s="160"/>
      <c r="AA29" s="160"/>
      <c r="AB29" s="161"/>
    </row>
    <row r="30" spans="1:28" ht="59.25" customHeight="1">
      <c r="A30" s="46" t="s">
        <v>85</v>
      </c>
      <c r="B30" s="159" t="s">
        <v>96</v>
      </c>
      <c r="C30" s="160"/>
      <c r="D30" s="160"/>
      <c r="E30" s="160"/>
      <c r="F30" s="160"/>
      <c r="G30" s="160"/>
      <c r="H30" s="160"/>
      <c r="I30" s="160"/>
      <c r="J30" s="160"/>
      <c r="K30" s="160"/>
      <c r="L30" s="160"/>
      <c r="M30" s="160"/>
      <c r="N30" s="160"/>
      <c r="O30" s="160"/>
      <c r="P30" s="160"/>
      <c r="Q30" s="160"/>
      <c r="R30" s="160"/>
      <c r="S30" s="160"/>
      <c r="T30" s="160"/>
      <c r="U30" s="160"/>
      <c r="V30" s="160"/>
      <c r="W30" s="160"/>
      <c r="X30" s="160"/>
      <c r="Y30" s="160"/>
      <c r="Z30" s="160"/>
      <c r="AA30" s="160"/>
      <c r="AB30" s="161"/>
    </row>
    <row r="31" spans="1:28" ht="59.25" customHeight="1">
      <c r="A31" s="46" t="s">
        <v>86</v>
      </c>
      <c r="B31" s="159" t="s">
        <v>97</v>
      </c>
      <c r="C31" s="160"/>
      <c r="D31" s="160"/>
      <c r="E31" s="160"/>
      <c r="F31" s="160"/>
      <c r="G31" s="160"/>
      <c r="H31" s="160"/>
      <c r="I31" s="160"/>
      <c r="J31" s="160"/>
      <c r="K31" s="160"/>
      <c r="L31" s="160"/>
      <c r="M31" s="160"/>
      <c r="N31" s="160"/>
      <c r="O31" s="160"/>
      <c r="P31" s="160"/>
      <c r="Q31" s="160"/>
      <c r="R31" s="160"/>
      <c r="S31" s="160"/>
      <c r="T31" s="160"/>
      <c r="U31" s="160"/>
      <c r="V31" s="160"/>
      <c r="W31" s="160"/>
      <c r="X31" s="160"/>
      <c r="Y31" s="160"/>
      <c r="Z31" s="160"/>
      <c r="AA31" s="160"/>
      <c r="AB31" s="161"/>
    </row>
    <row r="32" spans="1:28" ht="59.25" customHeight="1">
      <c r="A32" s="46" t="s">
        <v>87</v>
      </c>
      <c r="B32" s="159"/>
      <c r="C32" s="160"/>
      <c r="D32" s="160"/>
      <c r="E32" s="160"/>
      <c r="F32" s="160"/>
      <c r="G32" s="160"/>
      <c r="H32" s="160"/>
      <c r="I32" s="160"/>
      <c r="J32" s="160"/>
      <c r="K32" s="160"/>
      <c r="L32" s="160"/>
      <c r="M32" s="160"/>
      <c r="N32" s="160"/>
      <c r="O32" s="160"/>
      <c r="P32" s="160"/>
      <c r="Q32" s="160"/>
      <c r="R32" s="160"/>
      <c r="S32" s="160"/>
      <c r="T32" s="160"/>
      <c r="U32" s="160"/>
      <c r="V32" s="160"/>
      <c r="W32" s="160"/>
      <c r="X32" s="160"/>
      <c r="Y32" s="160"/>
      <c r="Z32" s="160"/>
      <c r="AA32" s="160"/>
      <c r="AB32" s="161"/>
    </row>
    <row r="33" spans="1:28" ht="59.25" customHeight="1">
      <c r="A33" s="46" t="s">
        <v>88</v>
      </c>
      <c r="B33" s="159"/>
      <c r="C33" s="160"/>
      <c r="D33" s="160"/>
      <c r="E33" s="160"/>
      <c r="F33" s="160"/>
      <c r="G33" s="160"/>
      <c r="H33" s="160"/>
      <c r="I33" s="160"/>
      <c r="J33" s="160"/>
      <c r="K33" s="160"/>
      <c r="L33" s="160"/>
      <c r="M33" s="160"/>
      <c r="N33" s="160"/>
      <c r="O33" s="160"/>
      <c r="P33" s="160"/>
      <c r="Q33" s="160"/>
      <c r="R33" s="160"/>
      <c r="S33" s="160"/>
      <c r="T33" s="160"/>
      <c r="U33" s="160"/>
      <c r="V33" s="160"/>
      <c r="W33" s="160"/>
      <c r="X33" s="160"/>
      <c r="Y33" s="160"/>
      <c r="Z33" s="160"/>
      <c r="AA33" s="160"/>
      <c r="AB33" s="161"/>
    </row>
    <row r="34" spans="1:28" ht="59.25" customHeight="1">
      <c r="A34" s="46" t="s">
        <v>89</v>
      </c>
      <c r="B34" s="159"/>
      <c r="C34" s="160"/>
      <c r="D34" s="160"/>
      <c r="E34" s="160"/>
      <c r="F34" s="160"/>
      <c r="G34" s="160"/>
      <c r="H34" s="160"/>
      <c r="I34" s="160"/>
      <c r="J34" s="160"/>
      <c r="K34" s="160"/>
      <c r="L34" s="160"/>
      <c r="M34" s="160"/>
      <c r="N34" s="160"/>
      <c r="O34" s="160"/>
      <c r="P34" s="160"/>
      <c r="Q34" s="160"/>
      <c r="R34" s="160"/>
      <c r="S34" s="160"/>
      <c r="T34" s="160"/>
      <c r="U34" s="160"/>
      <c r="V34" s="160"/>
      <c r="W34" s="160"/>
      <c r="X34" s="160"/>
      <c r="Y34" s="160"/>
      <c r="Z34" s="160"/>
      <c r="AA34" s="160"/>
      <c r="AB34" s="161"/>
    </row>
    <row r="35" spans="1:28" ht="59.25" customHeight="1">
      <c r="A35" s="46" t="s">
        <v>90</v>
      </c>
      <c r="B35" s="159"/>
      <c r="C35" s="160"/>
      <c r="D35" s="160"/>
      <c r="E35" s="160"/>
      <c r="F35" s="160"/>
      <c r="G35" s="160"/>
      <c r="H35" s="160"/>
      <c r="I35" s="160"/>
      <c r="J35" s="160"/>
      <c r="K35" s="160"/>
      <c r="L35" s="160"/>
      <c r="M35" s="160"/>
      <c r="N35" s="160"/>
      <c r="O35" s="160"/>
      <c r="P35" s="160"/>
      <c r="Q35" s="160"/>
      <c r="R35" s="160"/>
      <c r="S35" s="160"/>
      <c r="T35" s="160"/>
      <c r="U35" s="160"/>
      <c r="V35" s="160"/>
      <c r="W35" s="160"/>
      <c r="X35" s="160"/>
      <c r="Y35" s="160"/>
      <c r="Z35" s="160"/>
      <c r="AA35" s="160"/>
      <c r="AB35" s="161"/>
    </row>
    <row r="36" spans="1:28" ht="59.25" customHeight="1">
      <c r="A36" s="46"/>
      <c r="B36" s="159"/>
      <c r="C36" s="160"/>
      <c r="D36" s="160"/>
      <c r="E36" s="160"/>
      <c r="F36" s="160"/>
      <c r="G36" s="160"/>
      <c r="H36" s="160"/>
      <c r="I36" s="160"/>
      <c r="J36" s="160"/>
      <c r="K36" s="160"/>
      <c r="L36" s="160"/>
      <c r="M36" s="160"/>
      <c r="N36" s="160"/>
      <c r="O36" s="160"/>
      <c r="P36" s="160"/>
      <c r="Q36" s="160"/>
      <c r="R36" s="160"/>
      <c r="S36" s="160"/>
      <c r="T36" s="160"/>
      <c r="U36" s="160"/>
      <c r="V36" s="160"/>
      <c r="W36" s="160"/>
      <c r="X36" s="160"/>
      <c r="Y36" s="160"/>
      <c r="Z36" s="160"/>
      <c r="AA36" s="160"/>
      <c r="AB36" s="161"/>
    </row>
    <row r="37" spans="1:28" ht="59.25" customHeight="1">
      <c r="A37" s="46"/>
      <c r="B37" s="159"/>
      <c r="C37" s="160"/>
      <c r="D37" s="160"/>
      <c r="E37" s="160"/>
      <c r="F37" s="160"/>
      <c r="G37" s="160"/>
      <c r="H37" s="160"/>
      <c r="I37" s="160"/>
      <c r="J37" s="160"/>
      <c r="K37" s="160"/>
      <c r="L37" s="160"/>
      <c r="M37" s="160"/>
      <c r="N37" s="160"/>
      <c r="O37" s="160"/>
      <c r="P37" s="160"/>
      <c r="Q37" s="160"/>
      <c r="R37" s="160"/>
      <c r="S37" s="160"/>
      <c r="T37" s="160"/>
      <c r="U37" s="160"/>
      <c r="V37" s="160"/>
      <c r="W37" s="160"/>
      <c r="X37" s="160"/>
      <c r="Y37" s="160"/>
      <c r="Z37" s="160"/>
      <c r="AA37" s="160"/>
      <c r="AB37" s="161"/>
    </row>
    <row r="38" spans="1:28" ht="59.25" customHeight="1">
      <c r="A38" s="46"/>
      <c r="B38" s="159"/>
      <c r="C38" s="160"/>
      <c r="D38" s="160"/>
      <c r="E38" s="160"/>
      <c r="F38" s="160"/>
      <c r="G38" s="160"/>
      <c r="H38" s="160"/>
      <c r="I38" s="160"/>
      <c r="J38" s="160"/>
      <c r="K38" s="160"/>
      <c r="L38" s="160"/>
      <c r="M38" s="160"/>
      <c r="N38" s="160"/>
      <c r="O38" s="160"/>
      <c r="P38" s="160"/>
      <c r="Q38" s="160"/>
      <c r="R38" s="160"/>
      <c r="S38" s="160"/>
      <c r="T38" s="160"/>
      <c r="U38" s="160"/>
      <c r="V38" s="160"/>
      <c r="W38" s="160"/>
      <c r="X38" s="160"/>
      <c r="Y38" s="160"/>
      <c r="Z38" s="160"/>
      <c r="AA38" s="160"/>
      <c r="AB38" s="161"/>
    </row>
    <row r="39" spans="1:28" ht="59.25" customHeight="1">
      <c r="A39" s="46"/>
      <c r="B39" s="159"/>
      <c r="C39" s="160"/>
      <c r="D39" s="160"/>
      <c r="E39" s="160"/>
      <c r="F39" s="160"/>
      <c r="G39" s="160"/>
      <c r="H39" s="160"/>
      <c r="I39" s="160"/>
      <c r="J39" s="160"/>
      <c r="K39" s="160"/>
      <c r="L39" s="160"/>
      <c r="M39" s="160"/>
      <c r="N39" s="160"/>
      <c r="O39" s="160"/>
      <c r="P39" s="160"/>
      <c r="Q39" s="160"/>
      <c r="R39" s="160"/>
      <c r="S39" s="160"/>
      <c r="T39" s="160"/>
      <c r="U39" s="160"/>
      <c r="V39" s="160"/>
      <c r="W39" s="160"/>
      <c r="X39" s="160"/>
      <c r="Y39" s="160"/>
      <c r="Z39" s="160"/>
      <c r="AA39" s="160"/>
      <c r="AB39" s="161"/>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B38:AB38"/>
    <mergeCell ref="B39:AB39"/>
    <mergeCell ref="B28:AB28"/>
    <mergeCell ref="B29:AB29"/>
    <mergeCell ref="B30:AB30"/>
    <mergeCell ref="B31:AB31"/>
    <mergeCell ref="B32:AB32"/>
    <mergeCell ref="B33:AB33"/>
    <mergeCell ref="B34:AB34"/>
    <mergeCell ref="B35:AB35"/>
    <mergeCell ref="B36:AB36"/>
    <mergeCell ref="B37:AB37"/>
    <mergeCell ref="B23:AB23"/>
    <mergeCell ref="B24:AB24"/>
    <mergeCell ref="B25:AB25"/>
    <mergeCell ref="B26:AB26"/>
    <mergeCell ref="B27:AB27"/>
    <mergeCell ref="B18:AB18"/>
    <mergeCell ref="B19:AB19"/>
    <mergeCell ref="B20:AB20"/>
    <mergeCell ref="B21:AB21"/>
    <mergeCell ref="B22:AB22"/>
    <mergeCell ref="A2:A12"/>
    <mergeCell ref="B14:AB14"/>
    <mergeCell ref="B15:AB15"/>
    <mergeCell ref="B16:AB16"/>
    <mergeCell ref="B17:AB17"/>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1"/>
  </sheetPr>
  <dimension ref="A1:AD193"/>
  <sheetViews>
    <sheetView workbookViewId="0">
      <selection sqref="A1:XFD1048576"/>
    </sheetView>
  </sheetViews>
  <sheetFormatPr defaultRowHeight="13.5"/>
  <cols>
    <col min="1" max="1" width="13.5" style="8" customWidth="1"/>
    <col min="2" max="2" width="79.125" style="8" customWidth="1"/>
    <col min="3" max="3" width="9.375" style="8" customWidth="1"/>
    <col min="4" max="28" width="4.125" style="8" customWidth="1"/>
    <col min="29" max="16384" width="9" style="8"/>
  </cols>
  <sheetData>
    <row r="1" spans="1:30" ht="85.5" customHeight="1">
      <c r="A1" s="33" t="str">
        <f ca="1">MID(CELL("filename",A1),FIND("[",CELL("filename",A1))+1,3)</f>
        <v>５－１</v>
      </c>
      <c r="B1" s="34" t="str">
        <f ca="1">RIGHT(CELL("filename",B1),LEN(CELL("filename",B1))-FIND("]",CELL("filename",B1)))</f>
        <v>理科</v>
      </c>
      <c r="C1" s="35" t="s">
        <v>25</v>
      </c>
      <c r="D1" s="36" t="str">
        <f>A15</f>
        <v>阿部 光希</v>
      </c>
      <c r="E1" s="36" t="str">
        <f>A16</f>
        <v>池田 篤也</v>
      </c>
      <c r="F1" s="36" t="str">
        <f>A17</f>
        <v>荻原 健史</v>
      </c>
      <c r="G1" s="36" t="str">
        <f>A18</f>
        <v>上條 里紗</v>
      </c>
      <c r="H1" s="36" t="str">
        <f>A19</f>
        <v>小森 美柚</v>
      </c>
      <c r="I1" s="36" t="str">
        <f>A20</f>
        <v>酒巻 紋子</v>
      </c>
      <c r="J1" s="36" t="str">
        <f>A21</f>
        <v>滝 真佳</v>
      </c>
      <c r="K1" s="36" t="str">
        <f>A22</f>
        <v>都筑 斉</v>
      </c>
      <c r="L1" s="36" t="str">
        <f>A23</f>
        <v>傳田 悠藍</v>
      </c>
      <c r="M1" s="36" t="str">
        <f>A24</f>
        <v>中原 照真</v>
      </c>
      <c r="N1" s="36" t="str">
        <f>A25</f>
        <v>永原 愛羅</v>
      </c>
      <c r="O1" s="36" t="str">
        <f>A26</f>
        <v>根橋 宏匡</v>
      </c>
      <c r="P1" s="36" t="str">
        <f>A27</f>
        <v>平野 悠</v>
      </c>
      <c r="Q1" s="36" t="str">
        <f>A28</f>
        <v>丸山 大河</v>
      </c>
      <c r="R1" s="36" t="str">
        <f>A29</f>
        <v>三浦 和成</v>
      </c>
      <c r="S1" s="36" t="str">
        <f>A30</f>
        <v>三澤 桜來</v>
      </c>
      <c r="T1" s="36" t="str">
        <f>A31</f>
        <v>明嵐 瑛大</v>
      </c>
      <c r="U1" s="36" t="str">
        <f>A32</f>
        <v>屋井 皓</v>
      </c>
      <c r="V1" s="36" t="str">
        <f>A33</f>
        <v>若松 優羽花</v>
      </c>
      <c r="W1" s="36" t="str">
        <f>A34</f>
        <v>渡邊 葉子</v>
      </c>
      <c r="X1" s="36" t="str">
        <f>A35</f>
        <v>綿貫 叶乃音</v>
      </c>
      <c r="Y1" s="36">
        <f>A36</f>
        <v>0</v>
      </c>
      <c r="Z1" s="36">
        <f>A37</f>
        <v>0</v>
      </c>
      <c r="AA1" s="36">
        <f>A38</f>
        <v>0</v>
      </c>
      <c r="AB1" s="36">
        <f>A39</f>
        <v>0</v>
      </c>
      <c r="AC1" s="37"/>
    </row>
    <row r="2" spans="1:30" ht="22.5" customHeight="1">
      <c r="A2" s="153" t="s">
        <v>248</v>
      </c>
      <c r="B2" s="78" t="s">
        <v>66</v>
      </c>
      <c r="C2" s="38" t="s">
        <v>26</v>
      </c>
      <c r="D2" s="39" t="s">
        <v>46</v>
      </c>
      <c r="E2" s="39" t="s">
        <v>46</v>
      </c>
      <c r="F2" s="39" t="s">
        <v>46</v>
      </c>
      <c r="G2" s="39" t="s">
        <v>45</v>
      </c>
      <c r="H2" s="39" t="s">
        <v>46</v>
      </c>
      <c r="I2" s="39" t="s">
        <v>46</v>
      </c>
      <c r="J2" s="39" t="s">
        <v>45</v>
      </c>
      <c r="K2" s="39" t="s">
        <v>45</v>
      </c>
      <c r="L2" s="39" t="s">
        <v>46</v>
      </c>
      <c r="M2" s="39" t="s">
        <v>45</v>
      </c>
      <c r="N2" s="39" t="s">
        <v>49</v>
      </c>
      <c r="O2" s="39" t="s">
        <v>49</v>
      </c>
      <c r="P2" s="39" t="s">
        <v>46</v>
      </c>
      <c r="Q2" s="39" t="s">
        <v>46</v>
      </c>
      <c r="R2" s="39" t="s">
        <v>46</v>
      </c>
      <c r="S2" s="39" t="s">
        <v>46</v>
      </c>
      <c r="T2" s="39" t="s">
        <v>46</v>
      </c>
      <c r="U2" s="39" t="s">
        <v>45</v>
      </c>
      <c r="V2" s="39" t="s">
        <v>46</v>
      </c>
      <c r="W2" s="39" t="s">
        <v>49</v>
      </c>
      <c r="X2" s="39" t="s">
        <v>46</v>
      </c>
      <c r="Y2" s="39"/>
      <c r="Z2" s="39"/>
      <c r="AA2" s="39"/>
      <c r="AB2" s="39"/>
      <c r="AC2" s="40" t="s">
        <v>249</v>
      </c>
      <c r="AD2" s="40">
        <v>1</v>
      </c>
    </row>
    <row r="3" spans="1:30" ht="22.5" customHeight="1">
      <c r="A3" s="154"/>
      <c r="B3" s="78" t="s">
        <v>250</v>
      </c>
      <c r="C3" s="38" t="s">
        <v>26</v>
      </c>
      <c r="D3" s="39" t="s">
        <v>46</v>
      </c>
      <c r="E3" s="39" t="s">
        <v>46</v>
      </c>
      <c r="F3" s="39" t="s">
        <v>46</v>
      </c>
      <c r="G3" s="39" t="s">
        <v>46</v>
      </c>
      <c r="H3" s="39" t="s">
        <v>46</v>
      </c>
      <c r="I3" s="39" t="s">
        <v>46</v>
      </c>
      <c r="J3" s="39" t="s">
        <v>45</v>
      </c>
      <c r="K3" s="39" t="s">
        <v>46</v>
      </c>
      <c r="L3" s="39" t="s">
        <v>46</v>
      </c>
      <c r="M3" s="39" t="s">
        <v>46</v>
      </c>
      <c r="N3" s="39" t="s">
        <v>45</v>
      </c>
      <c r="O3" s="39" t="s">
        <v>49</v>
      </c>
      <c r="P3" s="39" t="s">
        <v>46</v>
      </c>
      <c r="Q3" s="39" t="s">
        <v>46</v>
      </c>
      <c r="R3" s="39" t="s">
        <v>45</v>
      </c>
      <c r="S3" s="39" t="s">
        <v>46</v>
      </c>
      <c r="T3" s="39" t="s">
        <v>46</v>
      </c>
      <c r="U3" s="39" t="s">
        <v>45</v>
      </c>
      <c r="V3" s="39" t="s">
        <v>46</v>
      </c>
      <c r="W3" s="39" t="s">
        <v>49</v>
      </c>
      <c r="X3" s="39" t="s">
        <v>46</v>
      </c>
      <c r="Y3" s="39"/>
      <c r="Z3" s="39"/>
      <c r="AA3" s="39"/>
      <c r="AB3" s="39"/>
      <c r="AC3" s="40" t="s">
        <v>251</v>
      </c>
      <c r="AD3" s="40">
        <v>2</v>
      </c>
    </row>
    <row r="4" spans="1:30" ht="22.5" customHeight="1">
      <c r="A4" s="154"/>
      <c r="B4" s="41" t="s">
        <v>63</v>
      </c>
      <c r="C4" s="38" t="s">
        <v>26</v>
      </c>
      <c r="D4" s="39" t="s">
        <v>249</v>
      </c>
      <c r="E4" s="39" t="s">
        <v>251</v>
      </c>
      <c r="F4" s="39" t="s">
        <v>251</v>
      </c>
      <c r="G4" s="39" t="s">
        <v>251</v>
      </c>
      <c r="H4" s="39" t="s">
        <v>249</v>
      </c>
      <c r="I4" s="39" t="s">
        <v>223</v>
      </c>
      <c r="J4" s="39" t="s">
        <v>249</v>
      </c>
      <c r="K4" s="39" t="s">
        <v>251</v>
      </c>
      <c r="L4" s="39" t="s">
        <v>249</v>
      </c>
      <c r="M4" s="39" t="s">
        <v>249</v>
      </c>
      <c r="N4" s="39" t="s">
        <v>249</v>
      </c>
      <c r="O4" s="39" t="s">
        <v>251</v>
      </c>
      <c r="P4" s="39" t="s">
        <v>249</v>
      </c>
      <c r="Q4" s="39" t="s">
        <v>249</v>
      </c>
      <c r="R4" s="39" t="s">
        <v>249</v>
      </c>
      <c r="S4" s="39" t="s">
        <v>249</v>
      </c>
      <c r="T4" s="39" t="s">
        <v>249</v>
      </c>
      <c r="U4" s="39" t="s">
        <v>249</v>
      </c>
      <c r="V4" s="39" t="s">
        <v>249</v>
      </c>
      <c r="W4" s="39" t="s">
        <v>249</v>
      </c>
      <c r="X4" s="39" t="s">
        <v>249</v>
      </c>
      <c r="Y4" s="39"/>
      <c r="Z4" s="39"/>
      <c r="AA4" s="39"/>
      <c r="AB4" s="39"/>
      <c r="AC4" s="40" t="s">
        <v>252</v>
      </c>
      <c r="AD4" s="40">
        <v>3</v>
      </c>
    </row>
    <row r="5" spans="1:30" ht="22.5" customHeight="1">
      <c r="A5" s="154"/>
      <c r="B5" s="41"/>
      <c r="C5" s="38" t="s">
        <v>26</v>
      </c>
      <c r="D5" s="39"/>
      <c r="E5" s="39"/>
      <c r="F5" s="39"/>
      <c r="G5" s="39"/>
      <c r="H5" s="39"/>
      <c r="I5" s="39"/>
      <c r="J5" s="39"/>
      <c r="K5" s="39"/>
      <c r="L5" s="39"/>
      <c r="M5" s="39"/>
      <c r="N5" s="39"/>
      <c r="O5" s="39"/>
      <c r="P5" s="39"/>
      <c r="Q5" s="39"/>
      <c r="R5" s="39"/>
      <c r="S5" s="39"/>
      <c r="T5" s="39"/>
      <c r="U5" s="39"/>
      <c r="V5" s="39"/>
      <c r="W5" s="39"/>
      <c r="X5" s="39"/>
      <c r="Y5" s="39"/>
      <c r="Z5" s="39"/>
      <c r="AA5" s="39"/>
      <c r="AB5" s="39"/>
      <c r="AC5" s="40" t="s">
        <v>253</v>
      </c>
      <c r="AD5" s="40">
        <v>4</v>
      </c>
    </row>
    <row r="6" spans="1:30" ht="22.5" customHeight="1">
      <c r="A6" s="154"/>
      <c r="B6" s="41"/>
      <c r="C6" s="38" t="s">
        <v>26</v>
      </c>
      <c r="D6" s="39"/>
      <c r="E6" s="39"/>
      <c r="F6" s="39"/>
      <c r="G6" s="39"/>
      <c r="H6" s="39"/>
      <c r="I6" s="39"/>
      <c r="J6" s="39"/>
      <c r="K6" s="39"/>
      <c r="L6" s="39"/>
      <c r="M6" s="39"/>
      <c r="N6" s="39"/>
      <c r="O6" s="39"/>
      <c r="P6" s="39"/>
      <c r="Q6" s="39"/>
      <c r="R6" s="39"/>
      <c r="S6" s="39"/>
      <c r="T6" s="39"/>
      <c r="U6" s="39"/>
      <c r="V6" s="39"/>
      <c r="W6" s="39"/>
      <c r="X6" s="39"/>
      <c r="Y6" s="39"/>
      <c r="Z6" s="39"/>
      <c r="AA6" s="39"/>
      <c r="AB6" s="39"/>
      <c r="AC6" s="40"/>
      <c r="AD6" s="40">
        <v>5</v>
      </c>
    </row>
    <row r="7" spans="1:30" ht="22.5" customHeight="1">
      <c r="A7" s="154"/>
      <c r="B7" s="41"/>
      <c r="C7" s="38" t="s">
        <v>26</v>
      </c>
      <c r="D7" s="39"/>
      <c r="E7" s="39"/>
      <c r="F7" s="39"/>
      <c r="G7" s="39"/>
      <c r="H7" s="39"/>
      <c r="I7" s="39"/>
      <c r="J7" s="39"/>
      <c r="K7" s="39"/>
      <c r="L7" s="39"/>
      <c r="M7" s="39"/>
      <c r="N7" s="39"/>
      <c r="O7" s="39"/>
      <c r="P7" s="39"/>
      <c r="Q7" s="39"/>
      <c r="R7" s="39"/>
      <c r="S7" s="39"/>
      <c r="T7" s="39"/>
      <c r="U7" s="39"/>
      <c r="V7" s="39"/>
      <c r="W7" s="39"/>
      <c r="X7" s="39"/>
      <c r="Y7" s="39"/>
      <c r="Z7" s="39"/>
      <c r="AA7" s="39"/>
      <c r="AB7" s="39"/>
      <c r="AC7" s="40"/>
      <c r="AD7" s="40" t="s">
        <v>254</v>
      </c>
    </row>
    <row r="8" spans="1:30" ht="22.5" customHeight="1">
      <c r="A8" s="154"/>
      <c r="B8" s="41"/>
      <c r="C8" s="38" t="s">
        <v>26</v>
      </c>
      <c r="D8" s="39"/>
      <c r="E8" s="39"/>
      <c r="F8" s="39"/>
      <c r="G8" s="39"/>
      <c r="H8" s="39"/>
      <c r="I8" s="39"/>
      <c r="J8" s="39"/>
      <c r="K8" s="39"/>
      <c r="L8" s="39"/>
      <c r="M8" s="39"/>
      <c r="N8" s="39"/>
      <c r="O8" s="39"/>
      <c r="P8" s="39"/>
      <c r="Q8" s="39"/>
      <c r="R8" s="39"/>
      <c r="S8" s="39"/>
      <c r="T8" s="39"/>
      <c r="U8" s="39"/>
      <c r="V8" s="39"/>
      <c r="W8" s="39"/>
      <c r="X8" s="39"/>
      <c r="Y8" s="39"/>
      <c r="Z8" s="39"/>
      <c r="AA8" s="39"/>
      <c r="AB8" s="39"/>
    </row>
    <row r="9" spans="1:30" ht="22.5" customHeight="1">
      <c r="A9" s="154"/>
      <c r="B9" s="41"/>
      <c r="C9" s="38" t="s">
        <v>26</v>
      </c>
      <c r="D9" s="39"/>
      <c r="E9" s="39"/>
      <c r="F9" s="39"/>
      <c r="G9" s="39"/>
      <c r="H9" s="39"/>
      <c r="I9" s="39"/>
      <c r="J9" s="39"/>
      <c r="K9" s="39"/>
      <c r="L9" s="39"/>
      <c r="M9" s="39"/>
      <c r="N9" s="39"/>
      <c r="O9" s="39"/>
      <c r="P9" s="39"/>
      <c r="Q9" s="39"/>
      <c r="R9" s="39"/>
      <c r="S9" s="39"/>
      <c r="T9" s="39"/>
      <c r="U9" s="39"/>
      <c r="V9" s="39"/>
      <c r="W9" s="39"/>
      <c r="X9" s="39"/>
      <c r="Y9" s="39"/>
      <c r="Z9" s="39"/>
      <c r="AA9" s="39"/>
      <c r="AB9" s="39"/>
    </row>
    <row r="10" spans="1:30" ht="22.5" customHeight="1">
      <c r="A10" s="154"/>
      <c r="B10" s="41"/>
      <c r="C10" s="38" t="s">
        <v>26</v>
      </c>
      <c r="D10" s="39"/>
      <c r="E10" s="39"/>
      <c r="F10" s="39"/>
      <c r="G10" s="39"/>
      <c r="H10" s="39"/>
      <c r="I10" s="39"/>
      <c r="J10" s="39"/>
      <c r="K10" s="39"/>
      <c r="L10" s="39"/>
      <c r="M10" s="39"/>
      <c r="N10" s="39"/>
      <c r="O10" s="39"/>
      <c r="P10" s="39"/>
      <c r="Q10" s="39"/>
      <c r="R10" s="39"/>
      <c r="S10" s="39"/>
      <c r="T10" s="39"/>
      <c r="U10" s="39"/>
      <c r="V10" s="39"/>
      <c r="W10" s="39"/>
      <c r="X10" s="39"/>
      <c r="Y10" s="39"/>
      <c r="Z10" s="39"/>
      <c r="AA10" s="39"/>
      <c r="AB10" s="39"/>
    </row>
    <row r="11" spans="1:30" ht="22.5" customHeight="1">
      <c r="A11" s="154"/>
      <c r="B11" s="41"/>
      <c r="C11" s="38" t="s">
        <v>26</v>
      </c>
      <c r="D11" s="39"/>
      <c r="E11" s="39"/>
      <c r="F11" s="39"/>
      <c r="G11" s="39"/>
      <c r="H11" s="39"/>
      <c r="I11" s="39"/>
      <c r="J11" s="39"/>
      <c r="K11" s="39"/>
      <c r="L11" s="39"/>
      <c r="M11" s="39"/>
      <c r="N11" s="39"/>
      <c r="O11" s="39"/>
      <c r="P11" s="39"/>
      <c r="Q11" s="39"/>
      <c r="R11" s="39"/>
      <c r="S11" s="39"/>
      <c r="T11" s="39"/>
      <c r="U11" s="39"/>
      <c r="V11" s="39"/>
      <c r="W11" s="39"/>
      <c r="X11" s="39"/>
      <c r="Y11" s="39"/>
      <c r="Z11" s="39"/>
      <c r="AA11" s="39"/>
      <c r="AB11" s="39"/>
    </row>
    <row r="12" spans="1:30" ht="30" customHeight="1">
      <c r="A12" s="155"/>
      <c r="B12" s="42"/>
      <c r="C12" s="43" t="s">
        <v>27</v>
      </c>
      <c r="D12" s="39">
        <v>5</v>
      </c>
      <c r="E12" s="39">
        <v>4</v>
      </c>
      <c r="F12" s="39">
        <v>4</v>
      </c>
      <c r="G12" s="39">
        <v>3</v>
      </c>
      <c r="H12" s="39">
        <v>5</v>
      </c>
      <c r="I12" s="39">
        <v>5</v>
      </c>
      <c r="J12" s="39">
        <v>3</v>
      </c>
      <c r="K12" s="39">
        <v>3</v>
      </c>
      <c r="L12" s="39">
        <v>5</v>
      </c>
      <c r="M12" s="39">
        <v>4</v>
      </c>
      <c r="N12" s="39">
        <v>3</v>
      </c>
      <c r="O12" s="39">
        <v>2</v>
      </c>
      <c r="P12" s="39">
        <v>5</v>
      </c>
      <c r="Q12" s="39">
        <v>5</v>
      </c>
      <c r="R12" s="39">
        <v>4</v>
      </c>
      <c r="S12" s="39">
        <v>5</v>
      </c>
      <c r="T12" s="39">
        <v>5</v>
      </c>
      <c r="U12" s="39">
        <v>3</v>
      </c>
      <c r="V12" s="39">
        <v>5</v>
      </c>
      <c r="W12" s="39">
        <v>3</v>
      </c>
      <c r="X12" s="39">
        <v>5</v>
      </c>
      <c r="Y12" s="39"/>
      <c r="Z12" s="39"/>
      <c r="AA12" s="39"/>
      <c r="AB12" s="39"/>
    </row>
    <row r="13" spans="1:30" ht="26.25" customHeight="1">
      <c r="A13" s="44"/>
      <c r="B13" s="44"/>
      <c r="C13" s="81" t="s">
        <v>62</v>
      </c>
      <c r="D13" s="39"/>
      <c r="E13" s="39"/>
      <c r="F13" s="39"/>
      <c r="G13" s="39"/>
      <c r="H13" s="39"/>
      <c r="I13" s="39"/>
      <c r="J13" s="39"/>
      <c r="K13" s="39"/>
      <c r="L13" s="39"/>
      <c r="M13" s="39"/>
      <c r="N13" s="39"/>
      <c r="O13" s="39"/>
      <c r="P13" s="39"/>
      <c r="Q13" s="39"/>
      <c r="R13" s="39"/>
      <c r="S13" s="39"/>
      <c r="T13" s="39"/>
      <c r="U13" s="39"/>
      <c r="V13" s="39"/>
      <c r="W13" s="39"/>
      <c r="X13" s="39"/>
      <c r="Y13" s="39"/>
      <c r="Z13" s="39"/>
      <c r="AA13" s="39"/>
      <c r="AB13" s="39"/>
    </row>
    <row r="14" spans="1:30" ht="22.5" customHeight="1">
      <c r="A14" s="45" t="s">
        <v>28</v>
      </c>
      <c r="B14" s="156" t="s">
        <v>29</v>
      </c>
      <c r="C14" s="157"/>
      <c r="D14" s="157"/>
      <c r="E14" s="157"/>
      <c r="F14" s="157"/>
      <c r="G14" s="157"/>
      <c r="H14" s="157"/>
      <c r="I14" s="157"/>
      <c r="J14" s="157"/>
      <c r="K14" s="157"/>
      <c r="L14" s="157"/>
      <c r="M14" s="157"/>
      <c r="N14" s="157"/>
      <c r="O14" s="157"/>
      <c r="P14" s="157"/>
      <c r="Q14" s="157"/>
      <c r="R14" s="157"/>
      <c r="S14" s="157"/>
      <c r="T14" s="157"/>
      <c r="U14" s="157"/>
      <c r="V14" s="157"/>
      <c r="W14" s="157"/>
      <c r="X14" s="157"/>
      <c r="Y14" s="157"/>
      <c r="Z14" s="157"/>
      <c r="AA14" s="157"/>
      <c r="AB14" s="158"/>
    </row>
    <row r="15" spans="1:30" ht="59.25" customHeight="1">
      <c r="A15" s="46" t="s">
        <v>70</v>
      </c>
      <c r="B15" s="159"/>
      <c r="C15" s="160"/>
      <c r="D15" s="160"/>
      <c r="E15" s="160"/>
      <c r="F15" s="160"/>
      <c r="G15" s="160"/>
      <c r="H15" s="160"/>
      <c r="I15" s="160"/>
      <c r="J15" s="160"/>
      <c r="K15" s="160"/>
      <c r="L15" s="160"/>
      <c r="M15" s="160"/>
      <c r="N15" s="160"/>
      <c r="O15" s="160"/>
      <c r="P15" s="160"/>
      <c r="Q15" s="160"/>
      <c r="R15" s="160"/>
      <c r="S15" s="160"/>
      <c r="T15" s="160"/>
      <c r="U15" s="160"/>
      <c r="V15" s="160"/>
      <c r="W15" s="160"/>
      <c r="X15" s="160"/>
      <c r="Y15" s="160"/>
      <c r="Z15" s="160"/>
      <c r="AA15" s="160"/>
      <c r="AB15" s="161"/>
    </row>
    <row r="16" spans="1:30" ht="59.25" customHeight="1">
      <c r="A16" s="46" t="s">
        <v>71</v>
      </c>
      <c r="B16" s="159"/>
      <c r="C16" s="160"/>
      <c r="D16" s="160"/>
      <c r="E16" s="160"/>
      <c r="F16" s="160"/>
      <c r="G16" s="160"/>
      <c r="H16" s="160"/>
      <c r="I16" s="160"/>
      <c r="J16" s="160"/>
      <c r="K16" s="160"/>
      <c r="L16" s="160"/>
      <c r="M16" s="160"/>
      <c r="N16" s="160"/>
      <c r="O16" s="160"/>
      <c r="P16" s="160"/>
      <c r="Q16" s="160"/>
      <c r="R16" s="160"/>
      <c r="S16" s="160"/>
      <c r="T16" s="160"/>
      <c r="U16" s="160"/>
      <c r="V16" s="160"/>
      <c r="W16" s="160"/>
      <c r="X16" s="160"/>
      <c r="Y16" s="160"/>
      <c r="Z16" s="160"/>
      <c r="AA16" s="160"/>
      <c r="AB16" s="161"/>
    </row>
    <row r="17" spans="1:28" ht="59.25" customHeight="1">
      <c r="A17" s="46" t="s">
        <v>72</v>
      </c>
      <c r="B17" s="159"/>
      <c r="C17" s="160"/>
      <c r="D17" s="160"/>
      <c r="E17" s="160"/>
      <c r="F17" s="160"/>
      <c r="G17" s="160"/>
      <c r="H17" s="160"/>
      <c r="I17" s="160"/>
      <c r="J17" s="160"/>
      <c r="K17" s="160"/>
      <c r="L17" s="160"/>
      <c r="M17" s="160"/>
      <c r="N17" s="160"/>
      <c r="O17" s="160"/>
      <c r="P17" s="160"/>
      <c r="Q17" s="160"/>
      <c r="R17" s="160"/>
      <c r="S17" s="160"/>
      <c r="T17" s="160"/>
      <c r="U17" s="160"/>
      <c r="V17" s="160"/>
      <c r="W17" s="160"/>
      <c r="X17" s="160"/>
      <c r="Y17" s="160"/>
      <c r="Z17" s="160"/>
      <c r="AA17" s="160"/>
      <c r="AB17" s="161"/>
    </row>
    <row r="18" spans="1:28" ht="59.25" customHeight="1">
      <c r="A18" s="46" t="s">
        <v>73</v>
      </c>
      <c r="B18" s="159"/>
      <c r="C18" s="160"/>
      <c r="D18" s="160"/>
      <c r="E18" s="160"/>
      <c r="F18" s="160"/>
      <c r="G18" s="160"/>
      <c r="H18" s="160"/>
      <c r="I18" s="160"/>
      <c r="J18" s="160"/>
      <c r="K18" s="160"/>
      <c r="L18" s="160"/>
      <c r="M18" s="160"/>
      <c r="N18" s="160"/>
      <c r="O18" s="160"/>
      <c r="P18" s="160"/>
      <c r="Q18" s="160"/>
      <c r="R18" s="160"/>
      <c r="S18" s="160"/>
      <c r="T18" s="160"/>
      <c r="U18" s="160"/>
      <c r="V18" s="160"/>
      <c r="W18" s="160"/>
      <c r="X18" s="160"/>
      <c r="Y18" s="160"/>
      <c r="Z18" s="160"/>
      <c r="AA18" s="160"/>
      <c r="AB18" s="161"/>
    </row>
    <row r="19" spans="1:28" ht="59.25" customHeight="1">
      <c r="A19" s="46" t="s">
        <v>74</v>
      </c>
      <c r="B19" s="159"/>
      <c r="C19" s="160"/>
      <c r="D19" s="160"/>
      <c r="E19" s="160"/>
      <c r="F19" s="160"/>
      <c r="G19" s="160"/>
      <c r="H19" s="160"/>
      <c r="I19" s="160"/>
      <c r="J19" s="160"/>
      <c r="K19" s="160"/>
      <c r="L19" s="160"/>
      <c r="M19" s="160"/>
      <c r="N19" s="160"/>
      <c r="O19" s="160"/>
      <c r="P19" s="160"/>
      <c r="Q19" s="160"/>
      <c r="R19" s="160"/>
      <c r="S19" s="160"/>
      <c r="T19" s="160"/>
      <c r="U19" s="160"/>
      <c r="V19" s="160"/>
      <c r="W19" s="160"/>
      <c r="X19" s="160"/>
      <c r="Y19" s="160"/>
      <c r="Z19" s="160"/>
      <c r="AA19" s="160"/>
      <c r="AB19" s="161"/>
    </row>
    <row r="20" spans="1:28" ht="59.25" customHeight="1">
      <c r="A20" s="46" t="s">
        <v>75</v>
      </c>
      <c r="B20" s="159"/>
      <c r="C20" s="160"/>
      <c r="D20" s="160"/>
      <c r="E20" s="160"/>
      <c r="F20" s="160"/>
      <c r="G20" s="160"/>
      <c r="H20" s="160"/>
      <c r="I20" s="160"/>
      <c r="J20" s="160"/>
      <c r="K20" s="160"/>
      <c r="L20" s="160"/>
      <c r="M20" s="160"/>
      <c r="N20" s="160"/>
      <c r="O20" s="160"/>
      <c r="P20" s="160"/>
      <c r="Q20" s="160"/>
      <c r="R20" s="160"/>
      <c r="S20" s="160"/>
      <c r="T20" s="160"/>
      <c r="U20" s="160"/>
      <c r="V20" s="160"/>
      <c r="W20" s="160"/>
      <c r="X20" s="160"/>
      <c r="Y20" s="160"/>
      <c r="Z20" s="160"/>
      <c r="AA20" s="160"/>
      <c r="AB20" s="161"/>
    </row>
    <row r="21" spans="1:28" ht="59.25" customHeight="1">
      <c r="A21" s="46" t="s">
        <v>76</v>
      </c>
      <c r="B21" s="159"/>
      <c r="C21" s="160"/>
      <c r="D21" s="160"/>
      <c r="E21" s="160"/>
      <c r="F21" s="160"/>
      <c r="G21" s="160"/>
      <c r="H21" s="160"/>
      <c r="I21" s="160"/>
      <c r="J21" s="160"/>
      <c r="K21" s="160"/>
      <c r="L21" s="160"/>
      <c r="M21" s="160"/>
      <c r="N21" s="160"/>
      <c r="O21" s="160"/>
      <c r="P21" s="160"/>
      <c r="Q21" s="160"/>
      <c r="R21" s="160"/>
      <c r="S21" s="160"/>
      <c r="T21" s="160"/>
      <c r="U21" s="160"/>
      <c r="V21" s="160"/>
      <c r="W21" s="160"/>
      <c r="X21" s="160"/>
      <c r="Y21" s="160"/>
      <c r="Z21" s="160"/>
      <c r="AA21" s="160"/>
      <c r="AB21" s="161"/>
    </row>
    <row r="22" spans="1:28" ht="59.25" customHeight="1">
      <c r="A22" s="46" t="s">
        <v>77</v>
      </c>
      <c r="B22" s="159"/>
      <c r="C22" s="160"/>
      <c r="D22" s="160"/>
      <c r="E22" s="160"/>
      <c r="F22" s="160"/>
      <c r="G22" s="160"/>
      <c r="H22" s="160"/>
      <c r="I22" s="160"/>
      <c r="J22" s="160"/>
      <c r="K22" s="160"/>
      <c r="L22" s="160"/>
      <c r="M22" s="160"/>
      <c r="N22" s="160"/>
      <c r="O22" s="160"/>
      <c r="P22" s="160"/>
      <c r="Q22" s="160"/>
      <c r="R22" s="160"/>
      <c r="S22" s="160"/>
      <c r="T22" s="160"/>
      <c r="U22" s="160"/>
      <c r="V22" s="160"/>
      <c r="W22" s="160"/>
      <c r="X22" s="160"/>
      <c r="Y22" s="160"/>
      <c r="Z22" s="160"/>
      <c r="AA22" s="160"/>
      <c r="AB22" s="161"/>
    </row>
    <row r="23" spans="1:28" ht="59.25" customHeight="1">
      <c r="A23" s="46" t="s">
        <v>78</v>
      </c>
      <c r="B23" s="159"/>
      <c r="C23" s="160"/>
      <c r="D23" s="160"/>
      <c r="E23" s="160"/>
      <c r="F23" s="160"/>
      <c r="G23" s="160"/>
      <c r="H23" s="160"/>
      <c r="I23" s="160"/>
      <c r="J23" s="160"/>
      <c r="K23" s="160"/>
      <c r="L23" s="160"/>
      <c r="M23" s="160"/>
      <c r="N23" s="160"/>
      <c r="O23" s="160"/>
      <c r="P23" s="160"/>
      <c r="Q23" s="160"/>
      <c r="R23" s="160"/>
      <c r="S23" s="160"/>
      <c r="T23" s="160"/>
      <c r="U23" s="160"/>
      <c r="V23" s="160"/>
      <c r="W23" s="160"/>
      <c r="X23" s="160"/>
      <c r="Y23" s="160"/>
      <c r="Z23" s="160"/>
      <c r="AA23" s="160"/>
      <c r="AB23" s="161"/>
    </row>
    <row r="24" spans="1:28" ht="59.25" customHeight="1">
      <c r="A24" s="46" t="s">
        <v>79</v>
      </c>
      <c r="B24" s="159"/>
      <c r="C24" s="160"/>
      <c r="D24" s="160"/>
      <c r="E24" s="160"/>
      <c r="F24" s="160"/>
      <c r="G24" s="160"/>
      <c r="H24" s="160"/>
      <c r="I24" s="160"/>
      <c r="J24" s="160"/>
      <c r="K24" s="160"/>
      <c r="L24" s="160"/>
      <c r="M24" s="160"/>
      <c r="N24" s="160"/>
      <c r="O24" s="160"/>
      <c r="P24" s="160"/>
      <c r="Q24" s="160"/>
      <c r="R24" s="160"/>
      <c r="S24" s="160"/>
      <c r="T24" s="160"/>
      <c r="U24" s="160"/>
      <c r="V24" s="160"/>
      <c r="W24" s="160"/>
      <c r="X24" s="160"/>
      <c r="Y24" s="160"/>
      <c r="Z24" s="160"/>
      <c r="AA24" s="160"/>
      <c r="AB24" s="161"/>
    </row>
    <row r="25" spans="1:28" ht="59.25" customHeight="1">
      <c r="A25" s="46" t="s">
        <v>80</v>
      </c>
      <c r="B25" s="159"/>
      <c r="C25" s="160"/>
      <c r="D25" s="160"/>
      <c r="E25" s="160"/>
      <c r="F25" s="160"/>
      <c r="G25" s="160"/>
      <c r="H25" s="160"/>
      <c r="I25" s="160"/>
      <c r="J25" s="160"/>
      <c r="K25" s="160"/>
      <c r="L25" s="160"/>
      <c r="M25" s="160"/>
      <c r="N25" s="160"/>
      <c r="O25" s="160"/>
      <c r="P25" s="160"/>
      <c r="Q25" s="160"/>
      <c r="R25" s="160"/>
      <c r="S25" s="160"/>
      <c r="T25" s="160"/>
      <c r="U25" s="160"/>
      <c r="V25" s="160"/>
      <c r="W25" s="160"/>
      <c r="X25" s="160"/>
      <c r="Y25" s="160"/>
      <c r="Z25" s="160"/>
      <c r="AA25" s="160"/>
      <c r="AB25" s="161"/>
    </row>
    <row r="26" spans="1:28" ht="59.25" customHeight="1">
      <c r="A26" s="46" t="s">
        <v>81</v>
      </c>
      <c r="B26" s="159"/>
      <c r="C26" s="160"/>
      <c r="D26" s="160"/>
      <c r="E26" s="160"/>
      <c r="F26" s="160"/>
      <c r="G26" s="160"/>
      <c r="H26" s="160"/>
      <c r="I26" s="160"/>
      <c r="J26" s="160"/>
      <c r="K26" s="160"/>
      <c r="L26" s="160"/>
      <c r="M26" s="160"/>
      <c r="N26" s="160"/>
      <c r="O26" s="160"/>
      <c r="P26" s="160"/>
      <c r="Q26" s="160"/>
      <c r="R26" s="160"/>
      <c r="S26" s="160"/>
      <c r="T26" s="160"/>
      <c r="U26" s="160"/>
      <c r="V26" s="160"/>
      <c r="W26" s="160"/>
      <c r="X26" s="160"/>
      <c r="Y26" s="160"/>
      <c r="Z26" s="160"/>
      <c r="AA26" s="160"/>
      <c r="AB26" s="161"/>
    </row>
    <row r="27" spans="1:28" ht="59.25" customHeight="1">
      <c r="A27" s="46" t="s">
        <v>82</v>
      </c>
      <c r="B27" s="159"/>
      <c r="C27" s="160"/>
      <c r="D27" s="160"/>
      <c r="E27" s="160"/>
      <c r="F27" s="160"/>
      <c r="G27" s="160"/>
      <c r="H27" s="160"/>
      <c r="I27" s="160"/>
      <c r="J27" s="160"/>
      <c r="K27" s="160"/>
      <c r="L27" s="160"/>
      <c r="M27" s="160"/>
      <c r="N27" s="160"/>
      <c r="O27" s="160"/>
      <c r="P27" s="160"/>
      <c r="Q27" s="160"/>
      <c r="R27" s="160"/>
      <c r="S27" s="160"/>
      <c r="T27" s="160"/>
      <c r="U27" s="160"/>
      <c r="V27" s="160"/>
      <c r="W27" s="160"/>
      <c r="X27" s="160"/>
      <c r="Y27" s="160"/>
      <c r="Z27" s="160"/>
      <c r="AA27" s="160"/>
      <c r="AB27" s="161"/>
    </row>
    <row r="28" spans="1:28" ht="59.25" customHeight="1">
      <c r="A28" s="46" t="s">
        <v>83</v>
      </c>
      <c r="B28" s="159"/>
      <c r="C28" s="160"/>
      <c r="D28" s="160"/>
      <c r="E28" s="160"/>
      <c r="F28" s="160"/>
      <c r="G28" s="160"/>
      <c r="H28" s="160"/>
      <c r="I28" s="160"/>
      <c r="J28" s="160"/>
      <c r="K28" s="160"/>
      <c r="L28" s="160"/>
      <c r="M28" s="160"/>
      <c r="N28" s="160"/>
      <c r="O28" s="160"/>
      <c r="P28" s="160"/>
      <c r="Q28" s="160"/>
      <c r="R28" s="160"/>
      <c r="S28" s="160"/>
      <c r="T28" s="160"/>
      <c r="U28" s="160"/>
      <c r="V28" s="160"/>
      <c r="W28" s="160"/>
      <c r="X28" s="160"/>
      <c r="Y28" s="160"/>
      <c r="Z28" s="160"/>
      <c r="AA28" s="160"/>
      <c r="AB28" s="161"/>
    </row>
    <row r="29" spans="1:28" ht="59.25" customHeight="1">
      <c r="A29" s="46" t="s">
        <v>84</v>
      </c>
      <c r="B29" s="159"/>
      <c r="C29" s="160"/>
      <c r="D29" s="160"/>
      <c r="E29" s="160"/>
      <c r="F29" s="160"/>
      <c r="G29" s="160"/>
      <c r="H29" s="160"/>
      <c r="I29" s="160"/>
      <c r="J29" s="160"/>
      <c r="K29" s="160"/>
      <c r="L29" s="160"/>
      <c r="M29" s="160"/>
      <c r="N29" s="160"/>
      <c r="O29" s="160"/>
      <c r="P29" s="160"/>
      <c r="Q29" s="160"/>
      <c r="R29" s="160"/>
      <c r="S29" s="160"/>
      <c r="T29" s="160"/>
      <c r="U29" s="160"/>
      <c r="V29" s="160"/>
      <c r="W29" s="160"/>
      <c r="X29" s="160"/>
      <c r="Y29" s="160"/>
      <c r="Z29" s="160"/>
      <c r="AA29" s="160"/>
      <c r="AB29" s="161"/>
    </row>
    <row r="30" spans="1:28" ht="59.25" customHeight="1">
      <c r="A30" s="46" t="s">
        <v>85</v>
      </c>
      <c r="B30" s="159"/>
      <c r="C30" s="160"/>
      <c r="D30" s="160"/>
      <c r="E30" s="160"/>
      <c r="F30" s="160"/>
      <c r="G30" s="160"/>
      <c r="H30" s="160"/>
      <c r="I30" s="160"/>
      <c r="J30" s="160"/>
      <c r="K30" s="160"/>
      <c r="L30" s="160"/>
      <c r="M30" s="160"/>
      <c r="N30" s="160"/>
      <c r="O30" s="160"/>
      <c r="P30" s="160"/>
      <c r="Q30" s="160"/>
      <c r="R30" s="160"/>
      <c r="S30" s="160"/>
      <c r="T30" s="160"/>
      <c r="U30" s="160"/>
      <c r="V30" s="160"/>
      <c r="W30" s="160"/>
      <c r="X30" s="160"/>
      <c r="Y30" s="160"/>
      <c r="Z30" s="160"/>
      <c r="AA30" s="160"/>
      <c r="AB30" s="161"/>
    </row>
    <row r="31" spans="1:28" ht="59.25" customHeight="1">
      <c r="A31" s="46" t="s">
        <v>86</v>
      </c>
      <c r="B31" s="159"/>
      <c r="C31" s="160"/>
      <c r="D31" s="160"/>
      <c r="E31" s="160"/>
      <c r="F31" s="160"/>
      <c r="G31" s="160"/>
      <c r="H31" s="160"/>
      <c r="I31" s="160"/>
      <c r="J31" s="160"/>
      <c r="K31" s="160"/>
      <c r="L31" s="160"/>
      <c r="M31" s="160"/>
      <c r="N31" s="160"/>
      <c r="O31" s="160"/>
      <c r="P31" s="160"/>
      <c r="Q31" s="160"/>
      <c r="R31" s="160"/>
      <c r="S31" s="160"/>
      <c r="T31" s="160"/>
      <c r="U31" s="160"/>
      <c r="V31" s="160"/>
      <c r="W31" s="160"/>
      <c r="X31" s="160"/>
      <c r="Y31" s="160"/>
      <c r="Z31" s="160"/>
      <c r="AA31" s="160"/>
      <c r="AB31" s="161"/>
    </row>
    <row r="32" spans="1:28" ht="59.25" customHeight="1">
      <c r="A32" s="46" t="s">
        <v>87</v>
      </c>
      <c r="B32" s="159"/>
      <c r="C32" s="160"/>
      <c r="D32" s="160"/>
      <c r="E32" s="160"/>
      <c r="F32" s="160"/>
      <c r="G32" s="160"/>
      <c r="H32" s="160"/>
      <c r="I32" s="160"/>
      <c r="J32" s="160"/>
      <c r="K32" s="160"/>
      <c r="L32" s="160"/>
      <c r="M32" s="160"/>
      <c r="N32" s="160"/>
      <c r="O32" s="160"/>
      <c r="P32" s="160"/>
      <c r="Q32" s="160"/>
      <c r="R32" s="160"/>
      <c r="S32" s="160"/>
      <c r="T32" s="160"/>
      <c r="U32" s="160"/>
      <c r="V32" s="160"/>
      <c r="W32" s="160"/>
      <c r="X32" s="160"/>
      <c r="Y32" s="160"/>
      <c r="Z32" s="160"/>
      <c r="AA32" s="160"/>
      <c r="AB32" s="161"/>
    </row>
    <row r="33" spans="1:28" ht="59.25" customHeight="1">
      <c r="A33" s="46" t="s">
        <v>88</v>
      </c>
      <c r="B33" s="159"/>
      <c r="C33" s="160"/>
      <c r="D33" s="160"/>
      <c r="E33" s="160"/>
      <c r="F33" s="160"/>
      <c r="G33" s="160"/>
      <c r="H33" s="160"/>
      <c r="I33" s="160"/>
      <c r="J33" s="160"/>
      <c r="K33" s="160"/>
      <c r="L33" s="160"/>
      <c r="M33" s="160"/>
      <c r="N33" s="160"/>
      <c r="O33" s="160"/>
      <c r="P33" s="160"/>
      <c r="Q33" s="160"/>
      <c r="R33" s="160"/>
      <c r="S33" s="160"/>
      <c r="T33" s="160"/>
      <c r="U33" s="160"/>
      <c r="V33" s="160"/>
      <c r="W33" s="160"/>
      <c r="X33" s="160"/>
      <c r="Y33" s="160"/>
      <c r="Z33" s="160"/>
      <c r="AA33" s="160"/>
      <c r="AB33" s="161"/>
    </row>
    <row r="34" spans="1:28" ht="59.25" customHeight="1">
      <c r="A34" s="46" t="s">
        <v>89</v>
      </c>
      <c r="B34" s="159"/>
      <c r="C34" s="160"/>
      <c r="D34" s="160"/>
      <c r="E34" s="160"/>
      <c r="F34" s="160"/>
      <c r="G34" s="160"/>
      <c r="H34" s="160"/>
      <c r="I34" s="160"/>
      <c r="J34" s="160"/>
      <c r="K34" s="160"/>
      <c r="L34" s="160"/>
      <c r="M34" s="160"/>
      <c r="N34" s="160"/>
      <c r="O34" s="160"/>
      <c r="P34" s="160"/>
      <c r="Q34" s="160"/>
      <c r="R34" s="160"/>
      <c r="S34" s="160"/>
      <c r="T34" s="160"/>
      <c r="U34" s="160"/>
      <c r="V34" s="160"/>
      <c r="W34" s="160"/>
      <c r="X34" s="160"/>
      <c r="Y34" s="160"/>
      <c r="Z34" s="160"/>
      <c r="AA34" s="160"/>
      <c r="AB34" s="161"/>
    </row>
    <row r="35" spans="1:28" ht="59.25" customHeight="1">
      <c r="A35" s="46" t="s">
        <v>90</v>
      </c>
      <c r="B35" s="159"/>
      <c r="C35" s="160"/>
      <c r="D35" s="160"/>
      <c r="E35" s="160"/>
      <c r="F35" s="160"/>
      <c r="G35" s="160"/>
      <c r="H35" s="160"/>
      <c r="I35" s="160"/>
      <c r="J35" s="160"/>
      <c r="K35" s="160"/>
      <c r="L35" s="160"/>
      <c r="M35" s="160"/>
      <c r="N35" s="160"/>
      <c r="O35" s="160"/>
      <c r="P35" s="160"/>
      <c r="Q35" s="160"/>
      <c r="R35" s="160"/>
      <c r="S35" s="160"/>
      <c r="T35" s="160"/>
      <c r="U35" s="160"/>
      <c r="V35" s="160"/>
      <c r="W35" s="160"/>
      <c r="X35" s="160"/>
      <c r="Y35" s="160"/>
      <c r="Z35" s="160"/>
      <c r="AA35" s="160"/>
      <c r="AB35" s="161"/>
    </row>
    <row r="36" spans="1:28" ht="59.25" customHeight="1">
      <c r="A36" s="46"/>
      <c r="B36" s="159"/>
      <c r="C36" s="160"/>
      <c r="D36" s="160"/>
      <c r="E36" s="160"/>
      <c r="F36" s="160"/>
      <c r="G36" s="160"/>
      <c r="H36" s="160"/>
      <c r="I36" s="160"/>
      <c r="J36" s="160"/>
      <c r="K36" s="160"/>
      <c r="L36" s="160"/>
      <c r="M36" s="160"/>
      <c r="N36" s="160"/>
      <c r="O36" s="160"/>
      <c r="P36" s="160"/>
      <c r="Q36" s="160"/>
      <c r="R36" s="160"/>
      <c r="S36" s="160"/>
      <c r="T36" s="160"/>
      <c r="U36" s="160"/>
      <c r="V36" s="160"/>
      <c r="W36" s="160"/>
      <c r="X36" s="160"/>
      <c r="Y36" s="160"/>
      <c r="Z36" s="160"/>
      <c r="AA36" s="160"/>
      <c r="AB36" s="161"/>
    </row>
    <row r="37" spans="1:28" ht="59.25" customHeight="1">
      <c r="A37" s="46"/>
      <c r="B37" s="159"/>
      <c r="C37" s="160"/>
      <c r="D37" s="160"/>
      <c r="E37" s="160"/>
      <c r="F37" s="160"/>
      <c r="G37" s="160"/>
      <c r="H37" s="160"/>
      <c r="I37" s="160"/>
      <c r="J37" s="160"/>
      <c r="K37" s="160"/>
      <c r="L37" s="160"/>
      <c r="M37" s="160"/>
      <c r="N37" s="160"/>
      <c r="O37" s="160"/>
      <c r="P37" s="160"/>
      <c r="Q37" s="160"/>
      <c r="R37" s="160"/>
      <c r="S37" s="160"/>
      <c r="T37" s="160"/>
      <c r="U37" s="160"/>
      <c r="V37" s="160"/>
      <c r="W37" s="160"/>
      <c r="X37" s="160"/>
      <c r="Y37" s="160"/>
      <c r="Z37" s="160"/>
      <c r="AA37" s="160"/>
      <c r="AB37" s="161"/>
    </row>
    <row r="38" spans="1:28" ht="59.25" customHeight="1">
      <c r="A38" s="46"/>
      <c r="B38" s="159"/>
      <c r="C38" s="160"/>
      <c r="D38" s="160"/>
      <c r="E38" s="160"/>
      <c r="F38" s="160"/>
      <c r="G38" s="160"/>
      <c r="H38" s="160"/>
      <c r="I38" s="160"/>
      <c r="J38" s="160"/>
      <c r="K38" s="160"/>
      <c r="L38" s="160"/>
      <c r="M38" s="160"/>
      <c r="N38" s="160"/>
      <c r="O38" s="160"/>
      <c r="P38" s="160"/>
      <c r="Q38" s="160"/>
      <c r="R38" s="160"/>
      <c r="S38" s="160"/>
      <c r="T38" s="160"/>
      <c r="U38" s="160"/>
      <c r="V38" s="160"/>
      <c r="W38" s="160"/>
      <c r="X38" s="160"/>
      <c r="Y38" s="160"/>
      <c r="Z38" s="160"/>
      <c r="AA38" s="160"/>
      <c r="AB38" s="161"/>
    </row>
    <row r="39" spans="1:28" ht="59.25" customHeight="1">
      <c r="A39" s="46"/>
      <c r="B39" s="159"/>
      <c r="C39" s="160"/>
      <c r="D39" s="160"/>
      <c r="E39" s="160"/>
      <c r="F39" s="160"/>
      <c r="G39" s="160"/>
      <c r="H39" s="160"/>
      <c r="I39" s="160"/>
      <c r="J39" s="160"/>
      <c r="K39" s="160"/>
      <c r="L39" s="160"/>
      <c r="M39" s="160"/>
      <c r="N39" s="160"/>
      <c r="O39" s="160"/>
      <c r="P39" s="160"/>
      <c r="Q39" s="160"/>
      <c r="R39" s="160"/>
      <c r="S39" s="160"/>
      <c r="T39" s="160"/>
      <c r="U39" s="160"/>
      <c r="V39" s="160"/>
      <c r="W39" s="160"/>
      <c r="X39" s="160"/>
      <c r="Y39" s="160"/>
      <c r="Z39" s="160"/>
      <c r="AA39" s="160"/>
      <c r="AB39" s="161"/>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B38:AB38"/>
    <mergeCell ref="B39:AB39"/>
    <mergeCell ref="B28:AB28"/>
    <mergeCell ref="B29:AB29"/>
    <mergeCell ref="B30:AB30"/>
    <mergeCell ref="B31:AB31"/>
    <mergeCell ref="B32:AB32"/>
    <mergeCell ref="B33:AB33"/>
    <mergeCell ref="B34:AB34"/>
    <mergeCell ref="B35:AB35"/>
    <mergeCell ref="B36:AB36"/>
    <mergeCell ref="B37:AB37"/>
    <mergeCell ref="B23:AB23"/>
    <mergeCell ref="B24:AB24"/>
    <mergeCell ref="B25:AB25"/>
    <mergeCell ref="B26:AB26"/>
    <mergeCell ref="B27:AB27"/>
    <mergeCell ref="B18:AB18"/>
    <mergeCell ref="B19:AB19"/>
    <mergeCell ref="B20:AB20"/>
    <mergeCell ref="B21:AB21"/>
    <mergeCell ref="B22:AB22"/>
    <mergeCell ref="A2:A12"/>
    <mergeCell ref="B14:AB14"/>
    <mergeCell ref="B15:AB15"/>
    <mergeCell ref="B16:AB16"/>
    <mergeCell ref="B17:AB17"/>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sheetPr>
  <dimension ref="A1:AD193"/>
  <sheetViews>
    <sheetView workbookViewId="0">
      <selection sqref="A1:XFD1048576"/>
    </sheetView>
  </sheetViews>
  <sheetFormatPr defaultColWidth="9" defaultRowHeight="13.5"/>
  <cols>
    <col min="1" max="1" width="13.5" style="84" customWidth="1"/>
    <col min="2" max="2" width="79.125" style="84" customWidth="1"/>
    <col min="3" max="3" width="9.375" style="84" customWidth="1"/>
    <col min="4" max="28" width="4.125" style="84" customWidth="1"/>
    <col min="29" max="16384" width="9" style="84"/>
  </cols>
  <sheetData>
    <row r="1" spans="1:30" ht="85.5" customHeight="1">
      <c r="A1" s="82" t="str">
        <f ca="1">MID(CELL("filename",A1),FIND("[",CELL("filename",A1))+1,3)</f>
        <v>５－１</v>
      </c>
      <c r="B1" s="34" t="str">
        <f ca="1">RIGHT(CELL("filename",B1),LEN(CELL("filename",B1))-FIND("]",CELL("filename",B1)))</f>
        <v>社会</v>
      </c>
      <c r="C1" s="35" t="s">
        <v>25</v>
      </c>
      <c r="D1" s="36" t="str">
        <f>A15</f>
        <v>阿部 光希</v>
      </c>
      <c r="E1" s="36" t="str">
        <f>A16</f>
        <v>池田 篤也</v>
      </c>
      <c r="F1" s="36" t="str">
        <f>A17</f>
        <v>荻原 健史</v>
      </c>
      <c r="G1" s="36" t="str">
        <f>A18</f>
        <v>上條 里紗</v>
      </c>
      <c r="H1" s="36" t="str">
        <f>A19</f>
        <v>小森 美柚</v>
      </c>
      <c r="I1" s="36" t="str">
        <f>A20</f>
        <v>酒巻 紋子</v>
      </c>
      <c r="J1" s="36" t="str">
        <f>A21</f>
        <v>滝 真佳</v>
      </c>
      <c r="K1" s="36" t="str">
        <f>A22</f>
        <v>都筑 斉</v>
      </c>
      <c r="L1" s="36" t="str">
        <f>A23</f>
        <v>傳田 悠藍</v>
      </c>
      <c r="M1" s="36" t="str">
        <f>A24</f>
        <v>中原 照真</v>
      </c>
      <c r="N1" s="36" t="str">
        <f>A25</f>
        <v>永原 愛羅</v>
      </c>
      <c r="O1" s="36" t="str">
        <f>A26</f>
        <v>根橋 宏匡</v>
      </c>
      <c r="P1" s="36" t="str">
        <f>A27</f>
        <v>平野 悠</v>
      </c>
      <c r="Q1" s="36" t="str">
        <f>A28</f>
        <v>丸山 大河</v>
      </c>
      <c r="R1" s="36" t="str">
        <f>A29</f>
        <v>三浦 和成</v>
      </c>
      <c r="S1" s="36" t="str">
        <f>A30</f>
        <v>三澤 桜來</v>
      </c>
      <c r="T1" s="36" t="str">
        <f>A31</f>
        <v>明嵐 瑛大</v>
      </c>
      <c r="U1" s="36" t="str">
        <f>A32</f>
        <v>屋井 皓</v>
      </c>
      <c r="V1" s="36" t="str">
        <f>A33</f>
        <v>若松 優羽花</v>
      </c>
      <c r="W1" s="36" t="str">
        <f>A34</f>
        <v>渡邊 葉子</v>
      </c>
      <c r="X1" s="36" t="str">
        <f>A35</f>
        <v>綿貫 叶乃音</v>
      </c>
      <c r="Y1" s="36">
        <f>A36</f>
        <v>0</v>
      </c>
      <c r="Z1" s="36">
        <f>A37</f>
        <v>0</v>
      </c>
      <c r="AA1" s="36">
        <f>A38</f>
        <v>0</v>
      </c>
      <c r="AB1" s="36">
        <f>A39</f>
        <v>0</v>
      </c>
      <c r="AC1" s="83"/>
    </row>
    <row r="2" spans="1:30" ht="22.5" customHeight="1">
      <c r="A2" s="153" t="s">
        <v>248</v>
      </c>
      <c r="B2" s="78" t="s">
        <v>64</v>
      </c>
      <c r="C2" s="38" t="s">
        <v>26</v>
      </c>
      <c r="D2" s="85" t="s">
        <v>255</v>
      </c>
      <c r="E2" s="85" t="s">
        <v>255</v>
      </c>
      <c r="F2" s="85" t="s">
        <v>223</v>
      </c>
      <c r="G2" s="85" t="s">
        <v>222</v>
      </c>
      <c r="H2" s="85" t="s">
        <v>222</v>
      </c>
      <c r="I2" s="85" t="s">
        <v>255</v>
      </c>
      <c r="J2" s="85" t="s">
        <v>222</v>
      </c>
      <c r="K2" s="85" t="s">
        <v>223</v>
      </c>
      <c r="L2" s="85" t="s">
        <v>255</v>
      </c>
      <c r="M2" s="85" t="s">
        <v>255</v>
      </c>
      <c r="N2" s="85" t="s">
        <v>224</v>
      </c>
      <c r="O2" s="85" t="s">
        <v>256</v>
      </c>
      <c r="P2" s="85" t="s">
        <v>257</v>
      </c>
      <c r="Q2" s="85" t="s">
        <v>257</v>
      </c>
      <c r="R2" s="85" t="s">
        <v>255</v>
      </c>
      <c r="S2" s="85" t="s">
        <v>255</v>
      </c>
      <c r="T2" s="85" t="s">
        <v>255</v>
      </c>
      <c r="U2" s="85" t="s">
        <v>255</v>
      </c>
      <c r="V2" s="85" t="s">
        <v>255</v>
      </c>
      <c r="W2" s="85" t="s">
        <v>256</v>
      </c>
      <c r="X2" s="85" t="s">
        <v>257</v>
      </c>
      <c r="Y2" s="85"/>
      <c r="Z2" s="85"/>
      <c r="AA2" s="85"/>
      <c r="AB2" s="85"/>
      <c r="AC2" s="86" t="s">
        <v>223</v>
      </c>
      <c r="AD2" s="86">
        <v>1</v>
      </c>
    </row>
    <row r="3" spans="1:30" ht="22.5" customHeight="1">
      <c r="A3" s="154"/>
      <c r="B3" s="78" t="s">
        <v>65</v>
      </c>
      <c r="C3" s="38" t="s">
        <v>26</v>
      </c>
      <c r="D3" s="85" t="s">
        <v>222</v>
      </c>
      <c r="E3" s="85" t="s">
        <v>257</v>
      </c>
      <c r="F3" s="85" t="s">
        <v>223</v>
      </c>
      <c r="G3" s="85" t="s">
        <v>224</v>
      </c>
      <c r="H3" s="85" t="s">
        <v>223</v>
      </c>
      <c r="I3" s="85" t="s">
        <v>223</v>
      </c>
      <c r="J3" s="85" t="s">
        <v>222</v>
      </c>
      <c r="K3" s="85" t="s">
        <v>222</v>
      </c>
      <c r="L3" s="85" t="s">
        <v>222</v>
      </c>
      <c r="M3" s="85" t="s">
        <v>223</v>
      </c>
      <c r="N3" s="85" t="s">
        <v>222</v>
      </c>
      <c r="O3" s="85" t="s">
        <v>224</v>
      </c>
      <c r="P3" s="85" t="s">
        <v>222</v>
      </c>
      <c r="Q3" s="85" t="s">
        <v>223</v>
      </c>
      <c r="R3" s="85" t="s">
        <v>223</v>
      </c>
      <c r="S3" s="85" t="s">
        <v>223</v>
      </c>
      <c r="T3" s="85" t="s">
        <v>223</v>
      </c>
      <c r="U3" s="85" t="s">
        <v>222</v>
      </c>
      <c r="V3" s="85" t="s">
        <v>223</v>
      </c>
      <c r="W3" s="85" t="s">
        <v>224</v>
      </c>
      <c r="X3" s="85" t="s">
        <v>222</v>
      </c>
      <c r="Y3" s="85"/>
      <c r="Z3" s="85"/>
      <c r="AA3" s="85"/>
      <c r="AB3" s="85"/>
      <c r="AC3" s="86" t="s">
        <v>222</v>
      </c>
      <c r="AD3" s="86">
        <v>2</v>
      </c>
    </row>
    <row r="4" spans="1:30" ht="22.5" customHeight="1">
      <c r="A4" s="154"/>
      <c r="B4" s="78" t="s">
        <v>63</v>
      </c>
      <c r="C4" s="38" t="s">
        <v>26</v>
      </c>
      <c r="D4" s="85" t="s">
        <v>223</v>
      </c>
      <c r="E4" s="85" t="s">
        <v>223</v>
      </c>
      <c r="F4" s="85" t="s">
        <v>223</v>
      </c>
      <c r="G4" s="85" t="s">
        <v>223</v>
      </c>
      <c r="H4" s="85" t="s">
        <v>223</v>
      </c>
      <c r="I4" s="85" t="s">
        <v>223</v>
      </c>
      <c r="J4" s="85" t="s">
        <v>222</v>
      </c>
      <c r="K4" s="85" t="s">
        <v>223</v>
      </c>
      <c r="L4" s="85" t="s">
        <v>223</v>
      </c>
      <c r="M4" s="85" t="s">
        <v>223</v>
      </c>
      <c r="N4" s="85" t="s">
        <v>222</v>
      </c>
      <c r="O4" s="85" t="s">
        <v>222</v>
      </c>
      <c r="P4" s="85" t="s">
        <v>223</v>
      </c>
      <c r="Q4" s="85" t="s">
        <v>223</v>
      </c>
      <c r="R4" s="85" t="s">
        <v>222</v>
      </c>
      <c r="S4" s="85" t="s">
        <v>223</v>
      </c>
      <c r="T4" s="85" t="s">
        <v>223</v>
      </c>
      <c r="U4" s="85" t="s">
        <v>223</v>
      </c>
      <c r="V4" s="85" t="s">
        <v>223</v>
      </c>
      <c r="W4" s="85" t="s">
        <v>223</v>
      </c>
      <c r="X4" s="85" t="s">
        <v>223</v>
      </c>
      <c r="Y4" s="85"/>
      <c r="Z4" s="85"/>
      <c r="AA4" s="85"/>
      <c r="AB4" s="85"/>
      <c r="AC4" s="86" t="s">
        <v>224</v>
      </c>
      <c r="AD4" s="86">
        <v>3</v>
      </c>
    </row>
    <row r="5" spans="1:30" ht="22.5" customHeight="1">
      <c r="A5" s="154"/>
      <c r="B5" s="41"/>
      <c r="C5" s="38" t="s">
        <v>26</v>
      </c>
      <c r="D5" s="85"/>
      <c r="E5" s="85"/>
      <c r="F5" s="85"/>
      <c r="G5" s="85"/>
      <c r="H5" s="85"/>
      <c r="I5" s="85"/>
      <c r="J5" s="85"/>
      <c r="K5" s="85"/>
      <c r="L5" s="85"/>
      <c r="M5" s="85"/>
      <c r="N5" s="85"/>
      <c r="O5" s="85"/>
      <c r="P5" s="85"/>
      <c r="Q5" s="85"/>
      <c r="R5" s="85"/>
      <c r="S5" s="85"/>
      <c r="T5" s="85"/>
      <c r="U5" s="85"/>
      <c r="V5" s="85"/>
      <c r="W5" s="85"/>
      <c r="X5" s="85"/>
      <c r="Y5" s="85"/>
      <c r="Z5" s="85"/>
      <c r="AA5" s="85"/>
      <c r="AB5" s="85"/>
      <c r="AC5" s="86" t="s">
        <v>225</v>
      </c>
      <c r="AD5" s="86">
        <v>4</v>
      </c>
    </row>
    <row r="6" spans="1:30" ht="22.5" customHeight="1">
      <c r="A6" s="154"/>
      <c r="B6" s="41"/>
      <c r="C6" s="38" t="s">
        <v>26</v>
      </c>
      <c r="D6" s="85"/>
      <c r="E6" s="85"/>
      <c r="F6" s="85"/>
      <c r="G6" s="85"/>
      <c r="H6" s="85"/>
      <c r="I6" s="85"/>
      <c r="J6" s="85"/>
      <c r="K6" s="85"/>
      <c r="L6" s="85"/>
      <c r="M6" s="85"/>
      <c r="N6" s="85"/>
      <c r="O6" s="85"/>
      <c r="P6" s="85"/>
      <c r="Q6" s="85"/>
      <c r="R6" s="85"/>
      <c r="S6" s="85"/>
      <c r="T6" s="85"/>
      <c r="U6" s="85"/>
      <c r="V6" s="85"/>
      <c r="W6" s="85"/>
      <c r="X6" s="85"/>
      <c r="Y6" s="85"/>
      <c r="Z6" s="85"/>
      <c r="AA6" s="85"/>
      <c r="AB6" s="85"/>
      <c r="AC6" s="86"/>
      <c r="AD6" s="86">
        <v>5</v>
      </c>
    </row>
    <row r="7" spans="1:30" ht="22.5" customHeight="1">
      <c r="A7" s="154"/>
      <c r="B7" s="41"/>
      <c r="C7" s="38" t="s">
        <v>26</v>
      </c>
      <c r="D7" s="85"/>
      <c r="E7" s="85"/>
      <c r="F7" s="85"/>
      <c r="G7" s="85"/>
      <c r="H7" s="85"/>
      <c r="I7" s="85"/>
      <c r="J7" s="85"/>
      <c r="K7" s="85"/>
      <c r="L7" s="85"/>
      <c r="M7" s="85"/>
      <c r="N7" s="85"/>
      <c r="O7" s="85"/>
      <c r="P7" s="85"/>
      <c r="Q7" s="85"/>
      <c r="R7" s="85"/>
      <c r="S7" s="85"/>
      <c r="T7" s="85"/>
      <c r="U7" s="85"/>
      <c r="V7" s="85"/>
      <c r="W7" s="85"/>
      <c r="X7" s="85"/>
      <c r="Y7" s="85"/>
      <c r="Z7" s="85"/>
      <c r="AA7" s="85"/>
      <c r="AB7" s="85"/>
      <c r="AC7" s="86"/>
      <c r="AD7" s="86" t="s">
        <v>225</v>
      </c>
    </row>
    <row r="8" spans="1:30" ht="22.5" customHeight="1">
      <c r="A8" s="154"/>
      <c r="B8" s="41"/>
      <c r="C8" s="38" t="s">
        <v>26</v>
      </c>
      <c r="D8" s="85"/>
      <c r="E8" s="85"/>
      <c r="F8" s="85"/>
      <c r="G8" s="85"/>
      <c r="H8" s="85"/>
      <c r="I8" s="85"/>
      <c r="J8" s="85"/>
      <c r="K8" s="85"/>
      <c r="L8" s="85"/>
      <c r="M8" s="85"/>
      <c r="N8" s="85"/>
      <c r="O8" s="85"/>
      <c r="P8" s="85"/>
      <c r="Q8" s="85"/>
      <c r="R8" s="85"/>
      <c r="S8" s="85"/>
      <c r="T8" s="85"/>
      <c r="U8" s="85"/>
      <c r="V8" s="85"/>
      <c r="W8" s="85"/>
      <c r="X8" s="85"/>
      <c r="Y8" s="85"/>
      <c r="Z8" s="85"/>
      <c r="AA8" s="85"/>
      <c r="AB8" s="85"/>
    </row>
    <row r="9" spans="1:30" ht="22.5" customHeight="1">
      <c r="A9" s="154"/>
      <c r="B9" s="41"/>
      <c r="C9" s="38" t="s">
        <v>26</v>
      </c>
      <c r="D9" s="85"/>
      <c r="E9" s="85"/>
      <c r="F9" s="85"/>
      <c r="G9" s="85"/>
      <c r="H9" s="85"/>
      <c r="I9" s="85"/>
      <c r="J9" s="85"/>
      <c r="K9" s="85"/>
      <c r="L9" s="85"/>
      <c r="M9" s="85"/>
      <c r="N9" s="85"/>
      <c r="O9" s="85"/>
      <c r="P9" s="85"/>
      <c r="Q9" s="85"/>
      <c r="R9" s="85"/>
      <c r="S9" s="85"/>
      <c r="T9" s="85"/>
      <c r="U9" s="85"/>
      <c r="V9" s="85"/>
      <c r="W9" s="85"/>
      <c r="X9" s="85"/>
      <c r="Y9" s="85"/>
      <c r="Z9" s="85"/>
      <c r="AA9" s="85"/>
      <c r="AB9" s="85"/>
    </row>
    <row r="10" spans="1:30" ht="22.5" customHeight="1">
      <c r="A10" s="154"/>
      <c r="B10" s="41"/>
      <c r="C10" s="38" t="s">
        <v>26</v>
      </c>
      <c r="D10" s="85"/>
      <c r="E10" s="85"/>
      <c r="F10" s="85"/>
      <c r="G10" s="85"/>
      <c r="H10" s="85"/>
      <c r="I10" s="85"/>
      <c r="J10" s="85"/>
      <c r="K10" s="85"/>
      <c r="L10" s="85"/>
      <c r="M10" s="85"/>
      <c r="N10" s="85"/>
      <c r="O10" s="85"/>
      <c r="P10" s="85"/>
      <c r="Q10" s="85"/>
      <c r="R10" s="85"/>
      <c r="S10" s="85"/>
      <c r="T10" s="85"/>
      <c r="U10" s="85"/>
      <c r="V10" s="85"/>
      <c r="W10" s="85"/>
      <c r="X10" s="85"/>
      <c r="Y10" s="85"/>
      <c r="Z10" s="85"/>
      <c r="AA10" s="85"/>
      <c r="AB10" s="85"/>
    </row>
    <row r="11" spans="1:30" ht="22.5" customHeight="1">
      <c r="A11" s="154"/>
      <c r="B11" s="41"/>
      <c r="C11" s="38" t="s">
        <v>26</v>
      </c>
      <c r="D11" s="85"/>
      <c r="E11" s="85"/>
      <c r="F11" s="85"/>
      <c r="G11" s="85"/>
      <c r="H11" s="85"/>
      <c r="I11" s="85"/>
      <c r="J11" s="85"/>
      <c r="K11" s="85"/>
      <c r="L11" s="85"/>
      <c r="M11" s="85"/>
      <c r="N11" s="85"/>
      <c r="O11" s="85"/>
      <c r="P11" s="85"/>
      <c r="Q11" s="85"/>
      <c r="R11" s="85"/>
      <c r="S11" s="85"/>
      <c r="T11" s="85"/>
      <c r="U11" s="85"/>
      <c r="V11" s="85"/>
      <c r="W11" s="85"/>
      <c r="X11" s="85"/>
      <c r="Y11" s="85"/>
      <c r="Z11" s="85"/>
      <c r="AA11" s="85"/>
      <c r="AB11" s="85"/>
    </row>
    <row r="12" spans="1:30" ht="30" customHeight="1">
      <c r="A12" s="155"/>
      <c r="B12" s="42"/>
      <c r="C12" s="43" t="s">
        <v>27</v>
      </c>
      <c r="D12" s="85">
        <v>4</v>
      </c>
      <c r="E12" s="85">
        <v>4</v>
      </c>
      <c r="F12" s="85">
        <v>5</v>
      </c>
      <c r="G12" s="85">
        <v>3</v>
      </c>
      <c r="H12" s="85">
        <v>4</v>
      </c>
      <c r="I12" s="85">
        <v>5</v>
      </c>
      <c r="J12" s="85">
        <v>3</v>
      </c>
      <c r="K12" s="85">
        <v>4</v>
      </c>
      <c r="L12" s="85">
        <v>4</v>
      </c>
      <c r="M12" s="85">
        <v>5</v>
      </c>
      <c r="N12" s="85">
        <v>3</v>
      </c>
      <c r="O12" s="85">
        <v>2</v>
      </c>
      <c r="P12" s="85">
        <v>3</v>
      </c>
      <c r="Q12" s="85">
        <v>4</v>
      </c>
      <c r="R12" s="85">
        <v>4</v>
      </c>
      <c r="S12" s="85">
        <v>5</v>
      </c>
      <c r="T12" s="85">
        <v>5</v>
      </c>
      <c r="U12" s="85">
        <v>4</v>
      </c>
      <c r="V12" s="85">
        <v>5</v>
      </c>
      <c r="W12" s="85">
        <v>3</v>
      </c>
      <c r="X12" s="85">
        <v>3</v>
      </c>
      <c r="Y12" s="85"/>
      <c r="Z12" s="85"/>
      <c r="AA12" s="85"/>
      <c r="AB12" s="85"/>
    </row>
    <row r="13" spans="1:30" ht="26.25" customHeight="1">
      <c r="A13" s="87"/>
      <c r="B13" s="87"/>
      <c r="C13" s="81" t="s">
        <v>62</v>
      </c>
      <c r="D13" s="85"/>
      <c r="E13" s="85"/>
      <c r="F13" s="85"/>
      <c r="G13" s="85"/>
      <c r="H13" s="85"/>
      <c r="I13" s="85"/>
      <c r="J13" s="85"/>
      <c r="K13" s="85"/>
      <c r="L13" s="85"/>
      <c r="M13" s="85"/>
      <c r="N13" s="85"/>
      <c r="O13" s="85"/>
      <c r="P13" s="85"/>
      <c r="Q13" s="85"/>
      <c r="R13" s="85"/>
      <c r="S13" s="85"/>
      <c r="T13" s="85"/>
      <c r="U13" s="85"/>
      <c r="V13" s="85"/>
      <c r="W13" s="85"/>
      <c r="X13" s="85"/>
      <c r="Y13" s="85"/>
      <c r="Z13" s="85"/>
      <c r="AA13" s="85"/>
      <c r="AB13" s="85"/>
    </row>
    <row r="14" spans="1:30" ht="22.5" customHeight="1">
      <c r="A14" s="45" t="s">
        <v>28</v>
      </c>
      <c r="B14" s="165" t="s">
        <v>29</v>
      </c>
      <c r="C14" s="166"/>
      <c r="D14" s="166"/>
      <c r="E14" s="166"/>
      <c r="F14" s="166"/>
      <c r="G14" s="166"/>
      <c r="H14" s="166"/>
      <c r="I14" s="166"/>
      <c r="J14" s="166"/>
      <c r="K14" s="166"/>
      <c r="L14" s="166"/>
      <c r="M14" s="166"/>
      <c r="N14" s="166"/>
      <c r="O14" s="166"/>
      <c r="P14" s="166"/>
      <c r="Q14" s="166"/>
      <c r="R14" s="166"/>
      <c r="S14" s="166"/>
      <c r="T14" s="166"/>
      <c r="U14" s="166"/>
      <c r="V14" s="166"/>
      <c r="W14" s="166"/>
      <c r="X14" s="166"/>
      <c r="Y14" s="166"/>
      <c r="Z14" s="166"/>
      <c r="AA14" s="166"/>
      <c r="AB14" s="167"/>
    </row>
    <row r="15" spans="1:30" ht="59.25" customHeight="1">
      <c r="A15" s="88" t="s">
        <v>70</v>
      </c>
      <c r="B15" s="162"/>
      <c r="C15" s="163"/>
      <c r="D15" s="163"/>
      <c r="E15" s="163"/>
      <c r="F15" s="163"/>
      <c r="G15" s="163"/>
      <c r="H15" s="163"/>
      <c r="I15" s="163"/>
      <c r="J15" s="163"/>
      <c r="K15" s="163"/>
      <c r="L15" s="163"/>
      <c r="M15" s="163"/>
      <c r="N15" s="163"/>
      <c r="O15" s="163"/>
      <c r="P15" s="163"/>
      <c r="Q15" s="163"/>
      <c r="R15" s="163"/>
      <c r="S15" s="163"/>
      <c r="T15" s="163"/>
      <c r="U15" s="163"/>
      <c r="V15" s="163"/>
      <c r="W15" s="163"/>
      <c r="X15" s="163"/>
      <c r="Y15" s="163"/>
      <c r="Z15" s="163"/>
      <c r="AA15" s="163"/>
      <c r="AB15" s="164"/>
    </row>
    <row r="16" spans="1:30" ht="59.25" customHeight="1">
      <c r="A16" s="88" t="s">
        <v>71</v>
      </c>
      <c r="B16" s="162"/>
      <c r="C16" s="163"/>
      <c r="D16" s="163"/>
      <c r="E16" s="163"/>
      <c r="F16" s="163"/>
      <c r="G16" s="163"/>
      <c r="H16" s="163"/>
      <c r="I16" s="163"/>
      <c r="J16" s="163"/>
      <c r="K16" s="163"/>
      <c r="L16" s="163"/>
      <c r="M16" s="163"/>
      <c r="N16" s="163"/>
      <c r="O16" s="163"/>
      <c r="P16" s="163"/>
      <c r="Q16" s="163"/>
      <c r="R16" s="163"/>
      <c r="S16" s="163"/>
      <c r="T16" s="163"/>
      <c r="U16" s="163"/>
      <c r="V16" s="163"/>
      <c r="W16" s="163"/>
      <c r="X16" s="163"/>
      <c r="Y16" s="163"/>
      <c r="Z16" s="163"/>
      <c r="AA16" s="163"/>
      <c r="AB16" s="164"/>
    </row>
    <row r="17" spans="1:28" ht="59.25" customHeight="1">
      <c r="A17" s="88" t="s">
        <v>72</v>
      </c>
      <c r="B17" s="162"/>
      <c r="C17" s="163"/>
      <c r="D17" s="163"/>
      <c r="E17" s="163"/>
      <c r="F17" s="163"/>
      <c r="G17" s="163"/>
      <c r="H17" s="163"/>
      <c r="I17" s="163"/>
      <c r="J17" s="163"/>
      <c r="K17" s="163"/>
      <c r="L17" s="163"/>
      <c r="M17" s="163"/>
      <c r="N17" s="163"/>
      <c r="O17" s="163"/>
      <c r="P17" s="163"/>
      <c r="Q17" s="163"/>
      <c r="R17" s="163"/>
      <c r="S17" s="163"/>
      <c r="T17" s="163"/>
      <c r="U17" s="163"/>
      <c r="V17" s="163"/>
      <c r="W17" s="163"/>
      <c r="X17" s="163"/>
      <c r="Y17" s="163"/>
      <c r="Z17" s="163"/>
      <c r="AA17" s="163"/>
      <c r="AB17" s="164"/>
    </row>
    <row r="18" spans="1:28" ht="59.25" customHeight="1">
      <c r="A18" s="88" t="s">
        <v>73</v>
      </c>
      <c r="B18" s="162" t="s">
        <v>98</v>
      </c>
      <c r="C18" s="163"/>
      <c r="D18" s="163"/>
      <c r="E18" s="163"/>
      <c r="F18" s="163"/>
      <c r="G18" s="163"/>
      <c r="H18" s="163"/>
      <c r="I18" s="163"/>
      <c r="J18" s="163"/>
      <c r="K18" s="163"/>
      <c r="L18" s="163"/>
      <c r="M18" s="163"/>
      <c r="N18" s="163"/>
      <c r="O18" s="163"/>
      <c r="P18" s="163"/>
      <c r="Q18" s="163"/>
      <c r="R18" s="163"/>
      <c r="S18" s="163"/>
      <c r="T18" s="163"/>
      <c r="U18" s="163"/>
      <c r="V18" s="163"/>
      <c r="W18" s="163"/>
      <c r="X18" s="163"/>
      <c r="Y18" s="163"/>
      <c r="Z18" s="163"/>
      <c r="AA18" s="163"/>
      <c r="AB18" s="164"/>
    </row>
    <row r="19" spans="1:28" ht="59.25" customHeight="1">
      <c r="A19" s="88" t="s">
        <v>74</v>
      </c>
      <c r="B19" s="162"/>
      <c r="C19" s="163"/>
      <c r="D19" s="163"/>
      <c r="E19" s="163"/>
      <c r="F19" s="163"/>
      <c r="G19" s="163"/>
      <c r="H19" s="163"/>
      <c r="I19" s="163"/>
      <c r="J19" s="163"/>
      <c r="K19" s="163"/>
      <c r="L19" s="163"/>
      <c r="M19" s="163"/>
      <c r="N19" s="163"/>
      <c r="O19" s="163"/>
      <c r="P19" s="163"/>
      <c r="Q19" s="163"/>
      <c r="R19" s="163"/>
      <c r="S19" s="163"/>
      <c r="T19" s="163"/>
      <c r="U19" s="163"/>
      <c r="V19" s="163"/>
      <c r="W19" s="163"/>
      <c r="X19" s="163"/>
      <c r="Y19" s="163"/>
      <c r="Z19" s="163"/>
      <c r="AA19" s="163"/>
      <c r="AB19" s="164"/>
    </row>
    <row r="20" spans="1:28" ht="59.25" customHeight="1">
      <c r="A20" s="88" t="s">
        <v>75</v>
      </c>
      <c r="B20" s="162"/>
      <c r="C20" s="163"/>
      <c r="D20" s="163"/>
      <c r="E20" s="163"/>
      <c r="F20" s="163"/>
      <c r="G20" s="163"/>
      <c r="H20" s="163"/>
      <c r="I20" s="163"/>
      <c r="J20" s="163"/>
      <c r="K20" s="163"/>
      <c r="L20" s="163"/>
      <c r="M20" s="163"/>
      <c r="N20" s="163"/>
      <c r="O20" s="163"/>
      <c r="P20" s="163"/>
      <c r="Q20" s="163"/>
      <c r="R20" s="163"/>
      <c r="S20" s="163"/>
      <c r="T20" s="163"/>
      <c r="U20" s="163"/>
      <c r="V20" s="163"/>
      <c r="W20" s="163"/>
      <c r="X20" s="163"/>
      <c r="Y20" s="163"/>
      <c r="Z20" s="163"/>
      <c r="AA20" s="163"/>
      <c r="AB20" s="164"/>
    </row>
    <row r="21" spans="1:28" ht="59.25" customHeight="1">
      <c r="A21" s="88" t="s">
        <v>76</v>
      </c>
      <c r="B21" s="162"/>
      <c r="C21" s="163"/>
      <c r="D21" s="163"/>
      <c r="E21" s="163"/>
      <c r="F21" s="163"/>
      <c r="G21" s="163"/>
      <c r="H21" s="163"/>
      <c r="I21" s="163"/>
      <c r="J21" s="163"/>
      <c r="K21" s="163"/>
      <c r="L21" s="163"/>
      <c r="M21" s="163"/>
      <c r="N21" s="163"/>
      <c r="O21" s="163"/>
      <c r="P21" s="163"/>
      <c r="Q21" s="163"/>
      <c r="R21" s="163"/>
      <c r="S21" s="163"/>
      <c r="T21" s="163"/>
      <c r="U21" s="163"/>
      <c r="V21" s="163"/>
      <c r="W21" s="163"/>
      <c r="X21" s="163"/>
      <c r="Y21" s="163"/>
      <c r="Z21" s="163"/>
      <c r="AA21" s="163"/>
      <c r="AB21" s="164"/>
    </row>
    <row r="22" spans="1:28" ht="59.25" customHeight="1">
      <c r="A22" s="88" t="s">
        <v>77</v>
      </c>
      <c r="B22" s="162"/>
      <c r="C22" s="163"/>
      <c r="D22" s="163"/>
      <c r="E22" s="163"/>
      <c r="F22" s="163"/>
      <c r="G22" s="163"/>
      <c r="H22" s="163"/>
      <c r="I22" s="163"/>
      <c r="J22" s="163"/>
      <c r="K22" s="163"/>
      <c r="L22" s="163"/>
      <c r="M22" s="163"/>
      <c r="N22" s="163"/>
      <c r="O22" s="163"/>
      <c r="P22" s="163"/>
      <c r="Q22" s="163"/>
      <c r="R22" s="163"/>
      <c r="S22" s="163"/>
      <c r="T22" s="163"/>
      <c r="U22" s="163"/>
      <c r="V22" s="163"/>
      <c r="W22" s="163"/>
      <c r="X22" s="163"/>
      <c r="Y22" s="163"/>
      <c r="Z22" s="163"/>
      <c r="AA22" s="163"/>
      <c r="AB22" s="164"/>
    </row>
    <row r="23" spans="1:28" ht="59.25" customHeight="1">
      <c r="A23" s="88" t="s">
        <v>78</v>
      </c>
      <c r="B23" s="162"/>
      <c r="C23" s="163"/>
      <c r="D23" s="163"/>
      <c r="E23" s="163"/>
      <c r="F23" s="163"/>
      <c r="G23" s="163"/>
      <c r="H23" s="163"/>
      <c r="I23" s="163"/>
      <c r="J23" s="163"/>
      <c r="K23" s="163"/>
      <c r="L23" s="163"/>
      <c r="M23" s="163"/>
      <c r="N23" s="163"/>
      <c r="O23" s="163"/>
      <c r="P23" s="163"/>
      <c r="Q23" s="163"/>
      <c r="R23" s="163"/>
      <c r="S23" s="163"/>
      <c r="T23" s="163"/>
      <c r="U23" s="163"/>
      <c r="V23" s="163"/>
      <c r="W23" s="163"/>
      <c r="X23" s="163"/>
      <c r="Y23" s="163"/>
      <c r="Z23" s="163"/>
      <c r="AA23" s="163"/>
      <c r="AB23" s="164"/>
    </row>
    <row r="24" spans="1:28" ht="59.25" customHeight="1">
      <c r="A24" s="88" t="s">
        <v>79</v>
      </c>
      <c r="B24" s="162"/>
      <c r="C24" s="163"/>
      <c r="D24" s="163"/>
      <c r="E24" s="163"/>
      <c r="F24" s="163"/>
      <c r="G24" s="163"/>
      <c r="H24" s="163"/>
      <c r="I24" s="163"/>
      <c r="J24" s="163"/>
      <c r="K24" s="163"/>
      <c r="L24" s="163"/>
      <c r="M24" s="163"/>
      <c r="N24" s="163"/>
      <c r="O24" s="163"/>
      <c r="P24" s="163"/>
      <c r="Q24" s="163"/>
      <c r="R24" s="163"/>
      <c r="S24" s="163"/>
      <c r="T24" s="163"/>
      <c r="U24" s="163"/>
      <c r="V24" s="163"/>
      <c r="W24" s="163"/>
      <c r="X24" s="163"/>
      <c r="Y24" s="163"/>
      <c r="Z24" s="163"/>
      <c r="AA24" s="163"/>
      <c r="AB24" s="164"/>
    </row>
    <row r="25" spans="1:28" ht="59.25" customHeight="1">
      <c r="A25" s="88" t="s">
        <v>80</v>
      </c>
      <c r="B25" s="162" t="s">
        <v>99</v>
      </c>
      <c r="C25" s="163"/>
      <c r="D25" s="163"/>
      <c r="E25" s="163"/>
      <c r="F25" s="163"/>
      <c r="G25" s="163"/>
      <c r="H25" s="163"/>
      <c r="I25" s="163"/>
      <c r="J25" s="163"/>
      <c r="K25" s="163"/>
      <c r="L25" s="163"/>
      <c r="M25" s="163"/>
      <c r="N25" s="163"/>
      <c r="O25" s="163"/>
      <c r="P25" s="163"/>
      <c r="Q25" s="163"/>
      <c r="R25" s="163"/>
      <c r="S25" s="163"/>
      <c r="T25" s="163"/>
      <c r="U25" s="163"/>
      <c r="V25" s="163"/>
      <c r="W25" s="163"/>
      <c r="X25" s="163"/>
      <c r="Y25" s="163"/>
      <c r="Z25" s="163"/>
      <c r="AA25" s="163"/>
      <c r="AB25" s="164"/>
    </row>
    <row r="26" spans="1:28" ht="59.25" customHeight="1">
      <c r="A26" s="88" t="s">
        <v>81</v>
      </c>
      <c r="B26" s="162" t="s">
        <v>100</v>
      </c>
      <c r="C26" s="163"/>
      <c r="D26" s="163"/>
      <c r="E26" s="163"/>
      <c r="F26" s="163"/>
      <c r="G26" s="163"/>
      <c r="H26" s="163"/>
      <c r="I26" s="163"/>
      <c r="J26" s="163"/>
      <c r="K26" s="163"/>
      <c r="L26" s="163"/>
      <c r="M26" s="163"/>
      <c r="N26" s="163"/>
      <c r="O26" s="163"/>
      <c r="P26" s="163"/>
      <c r="Q26" s="163"/>
      <c r="R26" s="163"/>
      <c r="S26" s="163"/>
      <c r="T26" s="163"/>
      <c r="U26" s="163"/>
      <c r="V26" s="163"/>
      <c r="W26" s="163"/>
      <c r="X26" s="163"/>
      <c r="Y26" s="163"/>
      <c r="Z26" s="163"/>
      <c r="AA26" s="163"/>
      <c r="AB26" s="164"/>
    </row>
    <row r="27" spans="1:28" ht="59.25" customHeight="1">
      <c r="A27" s="88" t="s">
        <v>82</v>
      </c>
      <c r="B27" s="162"/>
      <c r="C27" s="163"/>
      <c r="D27" s="163"/>
      <c r="E27" s="163"/>
      <c r="F27" s="163"/>
      <c r="G27" s="163"/>
      <c r="H27" s="163"/>
      <c r="I27" s="163"/>
      <c r="J27" s="163"/>
      <c r="K27" s="163"/>
      <c r="L27" s="163"/>
      <c r="M27" s="163"/>
      <c r="N27" s="163"/>
      <c r="O27" s="163"/>
      <c r="P27" s="163"/>
      <c r="Q27" s="163"/>
      <c r="R27" s="163"/>
      <c r="S27" s="163"/>
      <c r="T27" s="163"/>
      <c r="U27" s="163"/>
      <c r="V27" s="163"/>
      <c r="W27" s="163"/>
      <c r="X27" s="163"/>
      <c r="Y27" s="163"/>
      <c r="Z27" s="163"/>
      <c r="AA27" s="163"/>
      <c r="AB27" s="164"/>
    </row>
    <row r="28" spans="1:28" ht="59.25" customHeight="1">
      <c r="A28" s="88" t="s">
        <v>83</v>
      </c>
      <c r="B28" s="162"/>
      <c r="C28" s="163"/>
      <c r="D28" s="163"/>
      <c r="E28" s="163"/>
      <c r="F28" s="163"/>
      <c r="G28" s="163"/>
      <c r="H28" s="163"/>
      <c r="I28" s="163"/>
      <c r="J28" s="163"/>
      <c r="K28" s="163"/>
      <c r="L28" s="163"/>
      <c r="M28" s="163"/>
      <c r="N28" s="163"/>
      <c r="O28" s="163"/>
      <c r="P28" s="163"/>
      <c r="Q28" s="163"/>
      <c r="R28" s="163"/>
      <c r="S28" s="163"/>
      <c r="T28" s="163"/>
      <c r="U28" s="163"/>
      <c r="V28" s="163"/>
      <c r="W28" s="163"/>
      <c r="X28" s="163"/>
      <c r="Y28" s="163"/>
      <c r="Z28" s="163"/>
      <c r="AA28" s="163"/>
      <c r="AB28" s="164"/>
    </row>
    <row r="29" spans="1:28" ht="59.25" customHeight="1">
      <c r="A29" s="88" t="s">
        <v>84</v>
      </c>
      <c r="B29" s="162"/>
      <c r="C29" s="163"/>
      <c r="D29" s="163"/>
      <c r="E29" s="163"/>
      <c r="F29" s="163"/>
      <c r="G29" s="163"/>
      <c r="H29" s="163"/>
      <c r="I29" s="163"/>
      <c r="J29" s="163"/>
      <c r="K29" s="163"/>
      <c r="L29" s="163"/>
      <c r="M29" s="163"/>
      <c r="N29" s="163"/>
      <c r="O29" s="163"/>
      <c r="P29" s="163"/>
      <c r="Q29" s="163"/>
      <c r="R29" s="163"/>
      <c r="S29" s="163"/>
      <c r="T29" s="163"/>
      <c r="U29" s="163"/>
      <c r="V29" s="163"/>
      <c r="W29" s="163"/>
      <c r="X29" s="163"/>
      <c r="Y29" s="163"/>
      <c r="Z29" s="163"/>
      <c r="AA29" s="163"/>
      <c r="AB29" s="164"/>
    </row>
    <row r="30" spans="1:28" ht="59.25" customHeight="1">
      <c r="A30" s="88" t="s">
        <v>85</v>
      </c>
      <c r="B30" s="162" t="s">
        <v>101</v>
      </c>
      <c r="C30" s="163"/>
      <c r="D30" s="163"/>
      <c r="E30" s="163"/>
      <c r="F30" s="163"/>
      <c r="G30" s="163"/>
      <c r="H30" s="163"/>
      <c r="I30" s="163"/>
      <c r="J30" s="163"/>
      <c r="K30" s="163"/>
      <c r="L30" s="163"/>
      <c r="M30" s="163"/>
      <c r="N30" s="163"/>
      <c r="O30" s="163"/>
      <c r="P30" s="163"/>
      <c r="Q30" s="163"/>
      <c r="R30" s="163"/>
      <c r="S30" s="163"/>
      <c r="T30" s="163"/>
      <c r="U30" s="163"/>
      <c r="V30" s="163"/>
      <c r="W30" s="163"/>
      <c r="X30" s="163"/>
      <c r="Y30" s="163"/>
      <c r="Z30" s="163"/>
      <c r="AA30" s="163"/>
      <c r="AB30" s="164"/>
    </row>
    <row r="31" spans="1:28" ht="59.25" customHeight="1">
      <c r="A31" s="88" t="s">
        <v>86</v>
      </c>
      <c r="B31" s="162" t="s">
        <v>102</v>
      </c>
      <c r="C31" s="163"/>
      <c r="D31" s="163"/>
      <c r="E31" s="163"/>
      <c r="F31" s="163"/>
      <c r="G31" s="163"/>
      <c r="H31" s="163"/>
      <c r="I31" s="163"/>
      <c r="J31" s="163"/>
      <c r="K31" s="163"/>
      <c r="L31" s="163"/>
      <c r="M31" s="163"/>
      <c r="N31" s="163"/>
      <c r="O31" s="163"/>
      <c r="P31" s="163"/>
      <c r="Q31" s="163"/>
      <c r="R31" s="163"/>
      <c r="S31" s="163"/>
      <c r="T31" s="163"/>
      <c r="U31" s="163"/>
      <c r="V31" s="163"/>
      <c r="W31" s="163"/>
      <c r="X31" s="163"/>
      <c r="Y31" s="163"/>
      <c r="Z31" s="163"/>
      <c r="AA31" s="163"/>
      <c r="AB31" s="164"/>
    </row>
    <row r="32" spans="1:28" ht="59.25" customHeight="1">
      <c r="A32" s="88" t="s">
        <v>87</v>
      </c>
      <c r="B32" s="162"/>
      <c r="C32" s="163"/>
      <c r="D32" s="163"/>
      <c r="E32" s="163"/>
      <c r="F32" s="163"/>
      <c r="G32" s="163"/>
      <c r="H32" s="163"/>
      <c r="I32" s="163"/>
      <c r="J32" s="163"/>
      <c r="K32" s="163"/>
      <c r="L32" s="163"/>
      <c r="M32" s="163"/>
      <c r="N32" s="163"/>
      <c r="O32" s="163"/>
      <c r="P32" s="163"/>
      <c r="Q32" s="163"/>
      <c r="R32" s="163"/>
      <c r="S32" s="163"/>
      <c r="T32" s="163"/>
      <c r="U32" s="163"/>
      <c r="V32" s="163"/>
      <c r="W32" s="163"/>
      <c r="X32" s="163"/>
      <c r="Y32" s="163"/>
      <c r="Z32" s="163"/>
      <c r="AA32" s="163"/>
      <c r="AB32" s="164"/>
    </row>
    <row r="33" spans="1:28" ht="59.25" customHeight="1">
      <c r="A33" s="88" t="s">
        <v>88</v>
      </c>
      <c r="B33" s="162"/>
      <c r="C33" s="163"/>
      <c r="D33" s="163"/>
      <c r="E33" s="163"/>
      <c r="F33" s="163"/>
      <c r="G33" s="163"/>
      <c r="H33" s="163"/>
      <c r="I33" s="163"/>
      <c r="J33" s="163"/>
      <c r="K33" s="163"/>
      <c r="L33" s="163"/>
      <c r="M33" s="163"/>
      <c r="N33" s="163"/>
      <c r="O33" s="163"/>
      <c r="P33" s="163"/>
      <c r="Q33" s="163"/>
      <c r="R33" s="163"/>
      <c r="S33" s="163"/>
      <c r="T33" s="163"/>
      <c r="U33" s="163"/>
      <c r="V33" s="163"/>
      <c r="W33" s="163"/>
      <c r="X33" s="163"/>
      <c r="Y33" s="163"/>
      <c r="Z33" s="163"/>
      <c r="AA33" s="163"/>
      <c r="AB33" s="164"/>
    </row>
    <row r="34" spans="1:28" ht="59.25" customHeight="1">
      <c r="A34" s="88" t="s">
        <v>89</v>
      </c>
      <c r="B34" s="162" t="s">
        <v>103</v>
      </c>
      <c r="C34" s="163"/>
      <c r="D34" s="163"/>
      <c r="E34" s="163"/>
      <c r="F34" s="163"/>
      <c r="G34" s="163"/>
      <c r="H34" s="163"/>
      <c r="I34" s="163"/>
      <c r="J34" s="163"/>
      <c r="K34" s="163"/>
      <c r="L34" s="163"/>
      <c r="M34" s="163"/>
      <c r="N34" s="163"/>
      <c r="O34" s="163"/>
      <c r="P34" s="163"/>
      <c r="Q34" s="163"/>
      <c r="R34" s="163"/>
      <c r="S34" s="163"/>
      <c r="T34" s="163"/>
      <c r="U34" s="163"/>
      <c r="V34" s="163"/>
      <c r="W34" s="163"/>
      <c r="X34" s="163"/>
      <c r="Y34" s="163"/>
      <c r="Z34" s="163"/>
      <c r="AA34" s="163"/>
      <c r="AB34" s="164"/>
    </row>
    <row r="35" spans="1:28" ht="59.25" customHeight="1">
      <c r="A35" s="88" t="s">
        <v>90</v>
      </c>
      <c r="B35" s="162"/>
      <c r="C35" s="163"/>
      <c r="D35" s="163"/>
      <c r="E35" s="163"/>
      <c r="F35" s="163"/>
      <c r="G35" s="163"/>
      <c r="H35" s="163"/>
      <c r="I35" s="163"/>
      <c r="J35" s="163"/>
      <c r="K35" s="163"/>
      <c r="L35" s="163"/>
      <c r="M35" s="163"/>
      <c r="N35" s="163"/>
      <c r="O35" s="163"/>
      <c r="P35" s="163"/>
      <c r="Q35" s="163"/>
      <c r="R35" s="163"/>
      <c r="S35" s="163"/>
      <c r="T35" s="163"/>
      <c r="U35" s="163"/>
      <c r="V35" s="163"/>
      <c r="W35" s="163"/>
      <c r="X35" s="163"/>
      <c r="Y35" s="163"/>
      <c r="Z35" s="163"/>
      <c r="AA35" s="163"/>
      <c r="AB35" s="164"/>
    </row>
    <row r="36" spans="1:28" ht="59.25" customHeight="1">
      <c r="A36" s="88"/>
      <c r="B36" s="162"/>
      <c r="C36" s="163"/>
      <c r="D36" s="163"/>
      <c r="E36" s="163"/>
      <c r="F36" s="163"/>
      <c r="G36" s="163"/>
      <c r="H36" s="163"/>
      <c r="I36" s="163"/>
      <c r="J36" s="163"/>
      <c r="K36" s="163"/>
      <c r="L36" s="163"/>
      <c r="M36" s="163"/>
      <c r="N36" s="163"/>
      <c r="O36" s="163"/>
      <c r="P36" s="163"/>
      <c r="Q36" s="163"/>
      <c r="R36" s="163"/>
      <c r="S36" s="163"/>
      <c r="T36" s="163"/>
      <c r="U36" s="163"/>
      <c r="V36" s="163"/>
      <c r="W36" s="163"/>
      <c r="X36" s="163"/>
      <c r="Y36" s="163"/>
      <c r="Z36" s="163"/>
      <c r="AA36" s="163"/>
      <c r="AB36" s="164"/>
    </row>
    <row r="37" spans="1:28" ht="59.25" customHeight="1">
      <c r="A37" s="88"/>
      <c r="B37" s="162"/>
      <c r="C37" s="163"/>
      <c r="D37" s="163"/>
      <c r="E37" s="163"/>
      <c r="F37" s="163"/>
      <c r="G37" s="163"/>
      <c r="H37" s="163"/>
      <c r="I37" s="163"/>
      <c r="J37" s="163"/>
      <c r="K37" s="163"/>
      <c r="L37" s="163"/>
      <c r="M37" s="163"/>
      <c r="N37" s="163"/>
      <c r="O37" s="163"/>
      <c r="P37" s="163"/>
      <c r="Q37" s="163"/>
      <c r="R37" s="163"/>
      <c r="S37" s="163"/>
      <c r="T37" s="163"/>
      <c r="U37" s="163"/>
      <c r="V37" s="163"/>
      <c r="W37" s="163"/>
      <c r="X37" s="163"/>
      <c r="Y37" s="163"/>
      <c r="Z37" s="163"/>
      <c r="AA37" s="163"/>
      <c r="AB37" s="164"/>
    </row>
    <row r="38" spans="1:28" ht="59.25" customHeight="1">
      <c r="A38" s="88"/>
      <c r="B38" s="162"/>
      <c r="C38" s="163"/>
      <c r="D38" s="163"/>
      <c r="E38" s="163"/>
      <c r="F38" s="163"/>
      <c r="G38" s="163"/>
      <c r="H38" s="163"/>
      <c r="I38" s="163"/>
      <c r="J38" s="163"/>
      <c r="K38" s="163"/>
      <c r="L38" s="163"/>
      <c r="M38" s="163"/>
      <c r="N38" s="163"/>
      <c r="O38" s="163"/>
      <c r="P38" s="163"/>
      <c r="Q38" s="163"/>
      <c r="R38" s="163"/>
      <c r="S38" s="163"/>
      <c r="T38" s="163"/>
      <c r="U38" s="163"/>
      <c r="V38" s="163"/>
      <c r="W38" s="163"/>
      <c r="X38" s="163"/>
      <c r="Y38" s="163"/>
      <c r="Z38" s="163"/>
      <c r="AA38" s="163"/>
      <c r="AB38" s="164"/>
    </row>
    <row r="39" spans="1:28" ht="59.25" customHeight="1">
      <c r="A39" s="88"/>
      <c r="B39" s="162"/>
      <c r="C39" s="163"/>
      <c r="D39" s="163"/>
      <c r="E39" s="163"/>
      <c r="F39" s="163"/>
      <c r="G39" s="163"/>
      <c r="H39" s="163"/>
      <c r="I39" s="163"/>
      <c r="J39" s="163"/>
      <c r="K39" s="163"/>
      <c r="L39" s="163"/>
      <c r="M39" s="163"/>
      <c r="N39" s="163"/>
      <c r="O39" s="163"/>
      <c r="P39" s="163"/>
      <c r="Q39" s="163"/>
      <c r="R39" s="163"/>
      <c r="S39" s="163"/>
      <c r="T39" s="163"/>
      <c r="U39" s="163"/>
      <c r="V39" s="163"/>
      <c r="W39" s="163"/>
      <c r="X39" s="163"/>
      <c r="Y39" s="163"/>
      <c r="Z39" s="163"/>
      <c r="AA39" s="163"/>
      <c r="AB39" s="164"/>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B39:AB39"/>
    <mergeCell ref="B23:AB23"/>
    <mergeCell ref="B24:AB24"/>
    <mergeCell ref="B25:AB25"/>
    <mergeCell ref="B26:AB26"/>
    <mergeCell ref="B27:AB27"/>
    <mergeCell ref="B28:AB28"/>
    <mergeCell ref="B29:AB29"/>
    <mergeCell ref="B30:AB30"/>
    <mergeCell ref="B31:AB31"/>
    <mergeCell ref="B32:AB32"/>
    <mergeCell ref="B33:AB33"/>
    <mergeCell ref="B34:AB34"/>
    <mergeCell ref="B35:AB35"/>
    <mergeCell ref="B36:AB36"/>
    <mergeCell ref="B37:AB37"/>
    <mergeCell ref="A2:A12"/>
    <mergeCell ref="B14:AB14"/>
    <mergeCell ref="B15:AB15"/>
    <mergeCell ref="B16:AB16"/>
    <mergeCell ref="B17:AB17"/>
    <mergeCell ref="B38:AB38"/>
    <mergeCell ref="B18:AB18"/>
    <mergeCell ref="B19:AB19"/>
    <mergeCell ref="B20:AB20"/>
    <mergeCell ref="B21:AB21"/>
    <mergeCell ref="B22:AB22"/>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1"/>
  </sheetPr>
  <dimension ref="A1:AD193"/>
  <sheetViews>
    <sheetView workbookViewId="0">
      <selection sqref="A1:XFD1048576"/>
    </sheetView>
  </sheetViews>
  <sheetFormatPr defaultRowHeight="13.5"/>
  <cols>
    <col min="1" max="1" width="13.5" style="8" customWidth="1"/>
    <col min="2" max="2" width="79.125" style="8" customWidth="1"/>
    <col min="3" max="3" width="9.375" style="8" customWidth="1"/>
    <col min="4" max="28" width="4.125" style="8" customWidth="1"/>
    <col min="29" max="16384" width="9" style="8"/>
  </cols>
  <sheetData>
    <row r="1" spans="1:30" ht="85.5" customHeight="1">
      <c r="A1" s="33" t="str">
        <f ca="1">MID(CELL("filename",A1),FIND("[",CELL("filename",A1))+1,3)</f>
        <v>５－１</v>
      </c>
      <c r="B1" s="34" t="str">
        <f ca="1">RIGHT(CELL("filename",B1),LEN(CELL("filename",B1))-FIND("]",CELL("filename",B1)))</f>
        <v>英語</v>
      </c>
      <c r="C1" s="35" t="s">
        <v>25</v>
      </c>
      <c r="D1" s="36" t="str">
        <f>A15</f>
        <v>阿部 光希</v>
      </c>
      <c r="E1" s="36" t="str">
        <f>A16</f>
        <v>池田 篤也</v>
      </c>
      <c r="F1" s="36" t="str">
        <f>A17</f>
        <v>荻原 健史</v>
      </c>
      <c r="G1" s="36" t="str">
        <f>A18</f>
        <v>上條 里紗</v>
      </c>
      <c r="H1" s="36" t="str">
        <f>A19</f>
        <v>小森 美柚</v>
      </c>
      <c r="I1" s="36" t="str">
        <f>A20</f>
        <v>酒巻 紋子</v>
      </c>
      <c r="J1" s="36" t="str">
        <f>A21</f>
        <v>滝 真佳</v>
      </c>
      <c r="K1" s="36" t="str">
        <f>A22</f>
        <v>都筑 斉</v>
      </c>
      <c r="L1" s="36" t="str">
        <f>A23</f>
        <v>傳田 悠藍</v>
      </c>
      <c r="M1" s="36" t="str">
        <f>A24</f>
        <v>中原 照真</v>
      </c>
      <c r="N1" s="36" t="str">
        <f>A25</f>
        <v>永原 愛羅</v>
      </c>
      <c r="O1" s="36" t="str">
        <f>A26</f>
        <v>根橋 宏匡</v>
      </c>
      <c r="P1" s="36" t="str">
        <f>A27</f>
        <v>平野 悠</v>
      </c>
      <c r="Q1" s="36" t="str">
        <f>A28</f>
        <v>丸山 大河</v>
      </c>
      <c r="R1" s="36" t="str">
        <f>A29</f>
        <v>三浦 和成</v>
      </c>
      <c r="S1" s="36" t="str">
        <f>A30</f>
        <v>三澤 桜來</v>
      </c>
      <c r="T1" s="36" t="str">
        <f>A31</f>
        <v>明嵐 瑛大</v>
      </c>
      <c r="U1" s="36" t="str">
        <f>A32</f>
        <v>屋井 皓</v>
      </c>
      <c r="V1" s="36" t="str">
        <f>A33</f>
        <v>若松 優羽花</v>
      </c>
      <c r="W1" s="36" t="str">
        <f>A34</f>
        <v>渡邊 葉子</v>
      </c>
      <c r="X1" s="36" t="str">
        <f>A35</f>
        <v>綿貫 叶乃音</v>
      </c>
      <c r="Y1" s="36">
        <f>A36</f>
        <v>0</v>
      </c>
      <c r="Z1" s="36">
        <f>A37</f>
        <v>0</v>
      </c>
      <c r="AA1" s="36">
        <f>A38</f>
        <v>0</v>
      </c>
      <c r="AB1" s="36">
        <f>A39</f>
        <v>0</v>
      </c>
      <c r="AC1" s="37"/>
    </row>
    <row r="2" spans="1:30" ht="22.5" customHeight="1">
      <c r="A2" s="153" t="s">
        <v>232</v>
      </c>
      <c r="B2" s="78" t="s">
        <v>104</v>
      </c>
      <c r="C2" s="38" t="s">
        <v>26</v>
      </c>
      <c r="D2" s="39" t="s">
        <v>46</v>
      </c>
      <c r="E2" s="39" t="s">
        <v>45</v>
      </c>
      <c r="F2" s="39" t="s">
        <v>46</v>
      </c>
      <c r="G2" s="39" t="s">
        <v>45</v>
      </c>
      <c r="H2" s="39" t="s">
        <v>46</v>
      </c>
      <c r="I2" s="39" t="s">
        <v>46</v>
      </c>
      <c r="J2" s="39" t="s">
        <v>45</v>
      </c>
      <c r="K2" s="39" t="s">
        <v>45</v>
      </c>
      <c r="L2" s="39" t="s">
        <v>46</v>
      </c>
      <c r="M2" s="39" t="s">
        <v>46</v>
      </c>
      <c r="N2" s="39" t="s">
        <v>45</v>
      </c>
      <c r="O2" s="39" t="s">
        <v>49</v>
      </c>
      <c r="P2" s="39" t="s">
        <v>46</v>
      </c>
      <c r="Q2" s="39" t="s">
        <v>45</v>
      </c>
      <c r="R2" s="39" t="s">
        <v>45</v>
      </c>
      <c r="S2" s="39" t="s">
        <v>46</v>
      </c>
      <c r="T2" s="39" t="s">
        <v>46</v>
      </c>
      <c r="U2" s="39" t="s">
        <v>45</v>
      </c>
      <c r="V2" s="39" t="s">
        <v>46</v>
      </c>
      <c r="W2" s="39" t="s">
        <v>49</v>
      </c>
      <c r="X2" s="39" t="s">
        <v>45</v>
      </c>
      <c r="Y2" s="39"/>
      <c r="Z2" s="39"/>
      <c r="AA2" s="39"/>
      <c r="AB2" s="39"/>
      <c r="AC2" s="40" t="s">
        <v>228</v>
      </c>
      <c r="AD2" s="40">
        <v>1</v>
      </c>
    </row>
    <row r="3" spans="1:30" ht="22.5" customHeight="1">
      <c r="A3" s="154"/>
      <c r="B3" s="78" t="s">
        <v>105</v>
      </c>
      <c r="C3" s="38" t="s">
        <v>26</v>
      </c>
      <c r="D3" s="39" t="s">
        <v>46</v>
      </c>
      <c r="E3" s="39" t="s">
        <v>45</v>
      </c>
      <c r="F3" s="39" t="s">
        <v>46</v>
      </c>
      <c r="G3" s="39" t="s">
        <v>45</v>
      </c>
      <c r="H3" s="39" t="s">
        <v>46</v>
      </c>
      <c r="I3" s="39" t="s">
        <v>46</v>
      </c>
      <c r="J3" s="39" t="s">
        <v>45</v>
      </c>
      <c r="K3" s="39" t="s">
        <v>46</v>
      </c>
      <c r="L3" s="39" t="s">
        <v>46</v>
      </c>
      <c r="M3" s="39" t="s">
        <v>46</v>
      </c>
      <c r="N3" s="39" t="s">
        <v>45</v>
      </c>
      <c r="O3" s="39" t="s">
        <v>45</v>
      </c>
      <c r="P3" s="39" t="s">
        <v>46</v>
      </c>
      <c r="Q3" s="39" t="s">
        <v>45</v>
      </c>
      <c r="R3" s="39" t="s">
        <v>45</v>
      </c>
      <c r="S3" s="39" t="s">
        <v>46</v>
      </c>
      <c r="T3" s="39" t="s">
        <v>46</v>
      </c>
      <c r="U3" s="39" t="s">
        <v>45</v>
      </c>
      <c r="V3" s="39" t="s">
        <v>46</v>
      </c>
      <c r="W3" s="39" t="s">
        <v>45</v>
      </c>
      <c r="X3" s="39" t="s">
        <v>45</v>
      </c>
      <c r="Y3" s="39"/>
      <c r="Z3" s="39"/>
      <c r="AA3" s="39"/>
      <c r="AB3" s="39"/>
      <c r="AC3" s="40" t="s">
        <v>229</v>
      </c>
      <c r="AD3" s="40">
        <v>2</v>
      </c>
    </row>
    <row r="4" spans="1:30" ht="22.5" customHeight="1">
      <c r="A4" s="154"/>
      <c r="B4" s="78" t="s">
        <v>106</v>
      </c>
      <c r="C4" s="38" t="s">
        <v>26</v>
      </c>
      <c r="D4" s="39" t="s">
        <v>46</v>
      </c>
      <c r="E4" s="39" t="s">
        <v>46</v>
      </c>
      <c r="F4" s="39" t="s">
        <v>46</v>
      </c>
      <c r="G4" s="39" t="s">
        <v>46</v>
      </c>
      <c r="H4" s="39" t="s">
        <v>46</v>
      </c>
      <c r="I4" s="39" t="s">
        <v>46</v>
      </c>
      <c r="J4" s="39" t="s">
        <v>46</v>
      </c>
      <c r="K4" s="39" t="s">
        <v>46</v>
      </c>
      <c r="L4" s="39" t="s">
        <v>46</v>
      </c>
      <c r="M4" s="39" t="s">
        <v>46</v>
      </c>
      <c r="N4" s="39" t="s">
        <v>45</v>
      </c>
      <c r="O4" s="39" t="s">
        <v>45</v>
      </c>
      <c r="P4" s="39" t="s">
        <v>46</v>
      </c>
      <c r="Q4" s="39" t="s">
        <v>45</v>
      </c>
      <c r="R4" s="39" t="s">
        <v>45</v>
      </c>
      <c r="S4" s="39" t="s">
        <v>46</v>
      </c>
      <c r="T4" s="39" t="s">
        <v>46</v>
      </c>
      <c r="U4" s="39" t="s">
        <v>45</v>
      </c>
      <c r="V4" s="39" t="s">
        <v>46</v>
      </c>
      <c r="W4" s="39" t="s">
        <v>45</v>
      </c>
      <c r="X4" s="39" t="s">
        <v>46</v>
      </c>
      <c r="Y4" s="39"/>
      <c r="Z4" s="39"/>
      <c r="AA4" s="39"/>
      <c r="AB4" s="39"/>
      <c r="AC4" s="40" t="s">
        <v>230</v>
      </c>
      <c r="AD4" s="40">
        <v>3</v>
      </c>
    </row>
    <row r="5" spans="1:30" ht="22.5" customHeight="1">
      <c r="A5" s="154"/>
      <c r="B5" s="41"/>
      <c r="C5" s="38" t="s">
        <v>26</v>
      </c>
      <c r="D5" s="39"/>
      <c r="E5" s="39"/>
      <c r="F5" s="39"/>
      <c r="G5" s="39"/>
      <c r="H5" s="39"/>
      <c r="I5" s="39"/>
      <c r="J5" s="39"/>
      <c r="K5" s="39"/>
      <c r="L5" s="39"/>
      <c r="M5" s="39"/>
      <c r="N5" s="39"/>
      <c r="O5" s="39"/>
      <c r="P5" s="39"/>
      <c r="Q5" s="39"/>
      <c r="R5" s="39"/>
      <c r="S5" s="39"/>
      <c r="T5" s="39"/>
      <c r="U5" s="39"/>
      <c r="V5" s="39"/>
      <c r="W5" s="39"/>
      <c r="X5" s="39"/>
      <c r="Y5" s="39"/>
      <c r="Z5" s="39"/>
      <c r="AA5" s="39"/>
      <c r="AB5" s="39"/>
      <c r="AC5" s="40" t="s">
        <v>231</v>
      </c>
      <c r="AD5" s="40">
        <v>4</v>
      </c>
    </row>
    <row r="6" spans="1:30" ht="22.5" customHeight="1">
      <c r="A6" s="154"/>
      <c r="B6" s="41"/>
      <c r="C6" s="38" t="s">
        <v>26</v>
      </c>
      <c r="D6" s="39"/>
      <c r="E6" s="39"/>
      <c r="F6" s="39"/>
      <c r="G6" s="39"/>
      <c r="H6" s="39"/>
      <c r="I6" s="39"/>
      <c r="J6" s="39"/>
      <c r="K6" s="39"/>
      <c r="L6" s="39"/>
      <c r="M6" s="39"/>
      <c r="N6" s="39"/>
      <c r="O6" s="39"/>
      <c r="P6" s="39"/>
      <c r="Q6" s="39"/>
      <c r="R6" s="39"/>
      <c r="S6" s="39"/>
      <c r="T6" s="39"/>
      <c r="U6" s="39"/>
      <c r="V6" s="39"/>
      <c r="W6" s="39"/>
      <c r="X6" s="39"/>
      <c r="Y6" s="39"/>
      <c r="Z6" s="39"/>
      <c r="AA6" s="39"/>
      <c r="AB6" s="39"/>
      <c r="AC6" s="40"/>
      <c r="AD6" s="40">
        <v>5</v>
      </c>
    </row>
    <row r="7" spans="1:30" ht="22.5" customHeight="1">
      <c r="A7" s="154"/>
      <c r="B7" s="41"/>
      <c r="C7" s="38" t="s">
        <v>26</v>
      </c>
      <c r="D7" s="39"/>
      <c r="E7" s="39"/>
      <c r="F7" s="39"/>
      <c r="G7" s="39"/>
      <c r="H7" s="39"/>
      <c r="I7" s="39"/>
      <c r="J7" s="39"/>
      <c r="K7" s="39"/>
      <c r="L7" s="39"/>
      <c r="M7" s="39"/>
      <c r="N7" s="39"/>
      <c r="O7" s="39"/>
      <c r="P7" s="39"/>
      <c r="Q7" s="39"/>
      <c r="R7" s="39"/>
      <c r="S7" s="39"/>
      <c r="T7" s="39"/>
      <c r="U7" s="39"/>
      <c r="V7" s="39"/>
      <c r="W7" s="39"/>
      <c r="X7" s="39"/>
      <c r="Y7" s="39"/>
      <c r="Z7" s="39"/>
      <c r="AA7" s="39"/>
      <c r="AB7" s="39"/>
      <c r="AC7" s="40"/>
      <c r="AD7" s="40" t="s">
        <v>231</v>
      </c>
    </row>
    <row r="8" spans="1:30" ht="22.5" customHeight="1">
      <c r="A8" s="154"/>
      <c r="B8" s="41"/>
      <c r="C8" s="38" t="s">
        <v>26</v>
      </c>
      <c r="D8" s="39"/>
      <c r="E8" s="39"/>
      <c r="F8" s="39"/>
      <c r="G8" s="39"/>
      <c r="H8" s="39"/>
      <c r="I8" s="39"/>
      <c r="J8" s="39"/>
      <c r="K8" s="39"/>
      <c r="L8" s="39"/>
      <c r="M8" s="39"/>
      <c r="N8" s="39"/>
      <c r="O8" s="39"/>
      <c r="P8" s="39"/>
      <c r="Q8" s="39"/>
      <c r="R8" s="39"/>
      <c r="S8" s="39"/>
      <c r="T8" s="39"/>
      <c r="U8" s="39"/>
      <c r="V8" s="39"/>
      <c r="W8" s="39"/>
      <c r="X8" s="39"/>
      <c r="Y8" s="39"/>
      <c r="Z8" s="39"/>
      <c r="AA8" s="39"/>
      <c r="AB8" s="39"/>
    </row>
    <row r="9" spans="1:30" ht="22.5" customHeight="1">
      <c r="A9" s="154"/>
      <c r="B9" s="41"/>
      <c r="C9" s="38" t="s">
        <v>26</v>
      </c>
      <c r="D9" s="39"/>
      <c r="E9" s="39"/>
      <c r="F9" s="39"/>
      <c r="G9" s="39"/>
      <c r="H9" s="39"/>
      <c r="I9" s="39"/>
      <c r="J9" s="39"/>
      <c r="K9" s="39"/>
      <c r="L9" s="39"/>
      <c r="M9" s="39"/>
      <c r="N9" s="39"/>
      <c r="O9" s="39"/>
      <c r="P9" s="39"/>
      <c r="Q9" s="39"/>
      <c r="R9" s="39"/>
      <c r="S9" s="39"/>
      <c r="T9" s="39"/>
      <c r="U9" s="39"/>
      <c r="V9" s="39"/>
      <c r="W9" s="39"/>
      <c r="X9" s="39"/>
      <c r="Y9" s="39"/>
      <c r="Z9" s="39"/>
      <c r="AA9" s="39"/>
      <c r="AB9" s="39"/>
    </row>
    <row r="10" spans="1:30" ht="22.5" customHeight="1">
      <c r="A10" s="154"/>
      <c r="B10" s="41"/>
      <c r="C10" s="38" t="s">
        <v>26</v>
      </c>
      <c r="D10" s="39"/>
      <c r="E10" s="39"/>
      <c r="F10" s="39"/>
      <c r="G10" s="39"/>
      <c r="H10" s="39"/>
      <c r="I10" s="39"/>
      <c r="J10" s="39"/>
      <c r="K10" s="39"/>
      <c r="L10" s="39"/>
      <c r="M10" s="39"/>
      <c r="N10" s="39"/>
      <c r="O10" s="39"/>
      <c r="P10" s="39"/>
      <c r="Q10" s="39"/>
      <c r="R10" s="39"/>
      <c r="S10" s="39"/>
      <c r="T10" s="39"/>
      <c r="U10" s="39"/>
      <c r="V10" s="39"/>
      <c r="W10" s="39"/>
      <c r="X10" s="39"/>
      <c r="Y10" s="39"/>
      <c r="Z10" s="39"/>
      <c r="AA10" s="39"/>
      <c r="AB10" s="39"/>
    </row>
    <row r="11" spans="1:30" ht="22.5" customHeight="1">
      <c r="A11" s="154"/>
      <c r="B11" s="41"/>
      <c r="C11" s="38" t="s">
        <v>26</v>
      </c>
      <c r="D11" s="39"/>
      <c r="E11" s="39"/>
      <c r="F11" s="39"/>
      <c r="G11" s="39"/>
      <c r="H11" s="39"/>
      <c r="I11" s="39"/>
      <c r="J11" s="39"/>
      <c r="K11" s="39"/>
      <c r="L11" s="39"/>
      <c r="M11" s="39"/>
      <c r="N11" s="39"/>
      <c r="O11" s="39"/>
      <c r="P11" s="39"/>
      <c r="Q11" s="39"/>
      <c r="R11" s="39"/>
      <c r="S11" s="39"/>
      <c r="T11" s="39"/>
      <c r="U11" s="39"/>
      <c r="V11" s="39"/>
      <c r="W11" s="39"/>
      <c r="X11" s="39"/>
      <c r="Y11" s="39"/>
      <c r="Z11" s="39"/>
      <c r="AA11" s="39"/>
      <c r="AB11" s="39"/>
    </row>
    <row r="12" spans="1:30" ht="30" customHeight="1">
      <c r="A12" s="155"/>
      <c r="B12" s="42"/>
      <c r="C12" s="43" t="s">
        <v>27</v>
      </c>
      <c r="D12" s="39" t="s">
        <v>107</v>
      </c>
      <c r="E12" s="39" t="s">
        <v>108</v>
      </c>
      <c r="F12" s="39">
        <v>5</v>
      </c>
      <c r="G12" s="39" t="s">
        <v>108</v>
      </c>
      <c r="H12" s="39" t="s">
        <v>107</v>
      </c>
      <c r="I12" s="39" t="s">
        <v>107</v>
      </c>
      <c r="J12" s="39" t="s">
        <v>108</v>
      </c>
      <c r="K12" s="39">
        <v>4</v>
      </c>
      <c r="L12" s="39" t="s">
        <v>107</v>
      </c>
      <c r="M12" s="39" t="s">
        <v>107</v>
      </c>
      <c r="N12" s="39" t="s">
        <v>108</v>
      </c>
      <c r="O12" s="39" t="s">
        <v>108</v>
      </c>
      <c r="P12" s="39" t="s">
        <v>107</v>
      </c>
      <c r="Q12" s="39" t="s">
        <v>108</v>
      </c>
      <c r="R12" s="39" t="s">
        <v>108</v>
      </c>
      <c r="S12" s="39" t="s">
        <v>107</v>
      </c>
      <c r="T12" s="39" t="s">
        <v>107</v>
      </c>
      <c r="U12" s="39" t="s">
        <v>108</v>
      </c>
      <c r="V12" s="39" t="s">
        <v>107</v>
      </c>
      <c r="W12" s="39" t="s">
        <v>108</v>
      </c>
      <c r="X12" s="39" t="s">
        <v>108</v>
      </c>
      <c r="Y12" s="39"/>
      <c r="Z12" s="39"/>
      <c r="AA12" s="39"/>
      <c r="AB12" s="39"/>
    </row>
    <row r="13" spans="1:30" ht="26.25" customHeight="1">
      <c r="A13" s="44"/>
      <c r="B13" s="44"/>
      <c r="C13" s="81" t="s">
        <v>62</v>
      </c>
      <c r="D13" s="39"/>
      <c r="E13" s="39"/>
      <c r="F13" s="39"/>
      <c r="G13" s="39"/>
      <c r="H13" s="39"/>
      <c r="I13" s="39"/>
      <c r="J13" s="39"/>
      <c r="K13" s="39"/>
      <c r="L13" s="39"/>
      <c r="M13" s="39"/>
      <c r="N13" s="39"/>
      <c r="O13" s="39"/>
      <c r="P13" s="39"/>
      <c r="Q13" s="39"/>
      <c r="R13" s="39"/>
      <c r="S13" s="39"/>
      <c r="T13" s="39"/>
      <c r="U13" s="39"/>
      <c r="V13" s="39"/>
      <c r="W13" s="39"/>
      <c r="X13" s="39"/>
      <c r="Y13" s="39"/>
      <c r="Z13" s="39"/>
      <c r="AA13" s="39"/>
      <c r="AB13" s="39"/>
    </row>
    <row r="14" spans="1:30" ht="22.5" customHeight="1">
      <c r="A14" s="45" t="s">
        <v>28</v>
      </c>
      <c r="B14" s="156" t="s">
        <v>29</v>
      </c>
      <c r="C14" s="157"/>
      <c r="D14" s="157"/>
      <c r="E14" s="157"/>
      <c r="F14" s="157"/>
      <c r="G14" s="157"/>
      <c r="H14" s="157"/>
      <c r="I14" s="157"/>
      <c r="J14" s="157"/>
      <c r="K14" s="157"/>
      <c r="L14" s="157"/>
      <c r="M14" s="157"/>
      <c r="N14" s="157"/>
      <c r="O14" s="157"/>
      <c r="P14" s="157"/>
      <c r="Q14" s="157"/>
      <c r="R14" s="157"/>
      <c r="S14" s="157"/>
      <c r="T14" s="157"/>
      <c r="U14" s="157"/>
      <c r="V14" s="157"/>
      <c r="W14" s="157"/>
      <c r="X14" s="157"/>
      <c r="Y14" s="157"/>
      <c r="Z14" s="157"/>
      <c r="AA14" s="157"/>
      <c r="AB14" s="158"/>
    </row>
    <row r="15" spans="1:30" ht="59.25" customHeight="1">
      <c r="A15" s="46" t="s">
        <v>70</v>
      </c>
      <c r="B15" s="159" t="s">
        <v>109</v>
      </c>
      <c r="C15" s="160"/>
      <c r="D15" s="160"/>
      <c r="E15" s="160"/>
      <c r="F15" s="160"/>
      <c r="G15" s="160"/>
      <c r="H15" s="160"/>
      <c r="I15" s="160"/>
      <c r="J15" s="160"/>
      <c r="K15" s="160"/>
      <c r="L15" s="160"/>
      <c r="M15" s="160"/>
      <c r="N15" s="160"/>
      <c r="O15" s="160"/>
      <c r="P15" s="160"/>
      <c r="Q15" s="160"/>
      <c r="R15" s="160"/>
      <c r="S15" s="160"/>
      <c r="T15" s="160"/>
      <c r="U15" s="160"/>
      <c r="V15" s="160"/>
      <c r="W15" s="160"/>
      <c r="X15" s="160"/>
      <c r="Y15" s="160"/>
      <c r="Z15" s="160"/>
      <c r="AA15" s="160"/>
      <c r="AB15" s="161"/>
    </row>
    <row r="16" spans="1:30" ht="59.25" customHeight="1">
      <c r="A16" s="46" t="s">
        <v>71</v>
      </c>
      <c r="B16" s="159" t="s">
        <v>110</v>
      </c>
      <c r="C16" s="160"/>
      <c r="D16" s="160"/>
      <c r="E16" s="160"/>
      <c r="F16" s="160"/>
      <c r="G16" s="160"/>
      <c r="H16" s="160"/>
      <c r="I16" s="160"/>
      <c r="J16" s="160"/>
      <c r="K16" s="160"/>
      <c r="L16" s="160"/>
      <c r="M16" s="160"/>
      <c r="N16" s="160"/>
      <c r="O16" s="160"/>
      <c r="P16" s="160"/>
      <c r="Q16" s="160"/>
      <c r="R16" s="160"/>
      <c r="S16" s="160"/>
      <c r="T16" s="160"/>
      <c r="U16" s="160"/>
      <c r="V16" s="160"/>
      <c r="W16" s="160"/>
      <c r="X16" s="160"/>
      <c r="Y16" s="160"/>
      <c r="Z16" s="160"/>
      <c r="AA16" s="160"/>
      <c r="AB16" s="161"/>
    </row>
    <row r="17" spans="1:28" ht="59.25" customHeight="1">
      <c r="A17" s="46" t="s">
        <v>72</v>
      </c>
      <c r="B17" s="159" t="s">
        <v>111</v>
      </c>
      <c r="C17" s="160"/>
      <c r="D17" s="160"/>
      <c r="E17" s="160"/>
      <c r="F17" s="160"/>
      <c r="G17" s="160"/>
      <c r="H17" s="160"/>
      <c r="I17" s="160"/>
      <c r="J17" s="160"/>
      <c r="K17" s="160"/>
      <c r="L17" s="160"/>
      <c r="M17" s="160"/>
      <c r="N17" s="160"/>
      <c r="O17" s="160"/>
      <c r="P17" s="160"/>
      <c r="Q17" s="160"/>
      <c r="R17" s="160"/>
      <c r="S17" s="160"/>
      <c r="T17" s="160"/>
      <c r="U17" s="160"/>
      <c r="V17" s="160"/>
      <c r="W17" s="160"/>
      <c r="X17" s="160"/>
      <c r="Y17" s="160"/>
      <c r="Z17" s="160"/>
      <c r="AA17" s="160"/>
      <c r="AB17" s="161"/>
    </row>
    <row r="18" spans="1:28" ht="59.25" customHeight="1">
      <c r="A18" s="46" t="s">
        <v>73</v>
      </c>
      <c r="B18" s="159" t="s">
        <v>112</v>
      </c>
      <c r="C18" s="160"/>
      <c r="D18" s="160"/>
      <c r="E18" s="160"/>
      <c r="F18" s="160"/>
      <c r="G18" s="160"/>
      <c r="H18" s="160"/>
      <c r="I18" s="160"/>
      <c r="J18" s="160"/>
      <c r="K18" s="160"/>
      <c r="L18" s="160"/>
      <c r="M18" s="160"/>
      <c r="N18" s="160"/>
      <c r="O18" s="160"/>
      <c r="P18" s="160"/>
      <c r="Q18" s="160"/>
      <c r="R18" s="160"/>
      <c r="S18" s="160"/>
      <c r="T18" s="160"/>
      <c r="U18" s="160"/>
      <c r="V18" s="160"/>
      <c r="W18" s="160"/>
      <c r="X18" s="160"/>
      <c r="Y18" s="160"/>
      <c r="Z18" s="160"/>
      <c r="AA18" s="160"/>
      <c r="AB18" s="161"/>
    </row>
    <row r="19" spans="1:28" ht="59.25" customHeight="1">
      <c r="A19" s="46" t="s">
        <v>74</v>
      </c>
      <c r="B19" s="159" t="s">
        <v>113</v>
      </c>
      <c r="C19" s="160"/>
      <c r="D19" s="160"/>
      <c r="E19" s="160"/>
      <c r="F19" s="160"/>
      <c r="G19" s="160"/>
      <c r="H19" s="160"/>
      <c r="I19" s="160"/>
      <c r="J19" s="160"/>
      <c r="K19" s="160"/>
      <c r="L19" s="160"/>
      <c r="M19" s="160"/>
      <c r="N19" s="160"/>
      <c r="O19" s="160"/>
      <c r="P19" s="160"/>
      <c r="Q19" s="160"/>
      <c r="R19" s="160"/>
      <c r="S19" s="160"/>
      <c r="T19" s="160"/>
      <c r="U19" s="160"/>
      <c r="V19" s="160"/>
      <c r="W19" s="160"/>
      <c r="X19" s="160"/>
      <c r="Y19" s="160"/>
      <c r="Z19" s="160"/>
      <c r="AA19" s="160"/>
      <c r="AB19" s="161"/>
    </row>
    <row r="20" spans="1:28" ht="59.25" customHeight="1">
      <c r="A20" s="46" t="s">
        <v>75</v>
      </c>
      <c r="B20" s="159" t="s">
        <v>114</v>
      </c>
      <c r="C20" s="160"/>
      <c r="D20" s="160"/>
      <c r="E20" s="160"/>
      <c r="F20" s="160"/>
      <c r="G20" s="160"/>
      <c r="H20" s="160"/>
      <c r="I20" s="160"/>
      <c r="J20" s="160"/>
      <c r="K20" s="160"/>
      <c r="L20" s="160"/>
      <c r="M20" s="160"/>
      <c r="N20" s="160"/>
      <c r="O20" s="160"/>
      <c r="P20" s="160"/>
      <c r="Q20" s="160"/>
      <c r="R20" s="160"/>
      <c r="S20" s="160"/>
      <c r="T20" s="160"/>
      <c r="U20" s="160"/>
      <c r="V20" s="160"/>
      <c r="W20" s="160"/>
      <c r="X20" s="160"/>
      <c r="Y20" s="160"/>
      <c r="Z20" s="160"/>
      <c r="AA20" s="160"/>
      <c r="AB20" s="161"/>
    </row>
    <row r="21" spans="1:28" ht="59.25" customHeight="1">
      <c r="A21" s="46" t="s">
        <v>76</v>
      </c>
      <c r="B21" s="159" t="s">
        <v>115</v>
      </c>
      <c r="C21" s="160"/>
      <c r="D21" s="160"/>
      <c r="E21" s="160"/>
      <c r="F21" s="160"/>
      <c r="G21" s="160"/>
      <c r="H21" s="160"/>
      <c r="I21" s="160"/>
      <c r="J21" s="160"/>
      <c r="K21" s="160"/>
      <c r="L21" s="160"/>
      <c r="M21" s="160"/>
      <c r="N21" s="160"/>
      <c r="O21" s="160"/>
      <c r="P21" s="160"/>
      <c r="Q21" s="160"/>
      <c r="R21" s="160"/>
      <c r="S21" s="160"/>
      <c r="T21" s="160"/>
      <c r="U21" s="160"/>
      <c r="V21" s="160"/>
      <c r="W21" s="160"/>
      <c r="X21" s="160"/>
      <c r="Y21" s="160"/>
      <c r="Z21" s="160"/>
      <c r="AA21" s="160"/>
      <c r="AB21" s="161"/>
    </row>
    <row r="22" spans="1:28" ht="59.25" customHeight="1">
      <c r="A22" s="46" t="s">
        <v>77</v>
      </c>
      <c r="B22" s="159" t="s">
        <v>116</v>
      </c>
      <c r="C22" s="160"/>
      <c r="D22" s="160"/>
      <c r="E22" s="160"/>
      <c r="F22" s="160"/>
      <c r="G22" s="160"/>
      <c r="H22" s="160"/>
      <c r="I22" s="160"/>
      <c r="J22" s="160"/>
      <c r="K22" s="160"/>
      <c r="L22" s="160"/>
      <c r="M22" s="160"/>
      <c r="N22" s="160"/>
      <c r="O22" s="160"/>
      <c r="P22" s="160"/>
      <c r="Q22" s="160"/>
      <c r="R22" s="160"/>
      <c r="S22" s="160"/>
      <c r="T22" s="160"/>
      <c r="U22" s="160"/>
      <c r="V22" s="160"/>
      <c r="W22" s="160"/>
      <c r="X22" s="160"/>
      <c r="Y22" s="160"/>
      <c r="Z22" s="160"/>
      <c r="AA22" s="160"/>
      <c r="AB22" s="161"/>
    </row>
    <row r="23" spans="1:28" ht="59.25" customHeight="1">
      <c r="A23" s="46" t="s">
        <v>78</v>
      </c>
      <c r="B23" s="159" t="s">
        <v>117</v>
      </c>
      <c r="C23" s="160"/>
      <c r="D23" s="160"/>
      <c r="E23" s="160"/>
      <c r="F23" s="160"/>
      <c r="G23" s="160"/>
      <c r="H23" s="160"/>
      <c r="I23" s="160"/>
      <c r="J23" s="160"/>
      <c r="K23" s="160"/>
      <c r="L23" s="160"/>
      <c r="M23" s="160"/>
      <c r="N23" s="160"/>
      <c r="O23" s="160"/>
      <c r="P23" s="160"/>
      <c r="Q23" s="160"/>
      <c r="R23" s="160"/>
      <c r="S23" s="160"/>
      <c r="T23" s="160"/>
      <c r="U23" s="160"/>
      <c r="V23" s="160"/>
      <c r="W23" s="160"/>
      <c r="X23" s="160"/>
      <c r="Y23" s="160"/>
      <c r="Z23" s="160"/>
      <c r="AA23" s="160"/>
      <c r="AB23" s="161"/>
    </row>
    <row r="24" spans="1:28" ht="59.25" customHeight="1">
      <c r="A24" s="46" t="s">
        <v>79</v>
      </c>
      <c r="B24" s="159" t="s">
        <v>118</v>
      </c>
      <c r="C24" s="160"/>
      <c r="D24" s="160"/>
      <c r="E24" s="160"/>
      <c r="F24" s="160"/>
      <c r="G24" s="160"/>
      <c r="H24" s="160"/>
      <c r="I24" s="160"/>
      <c r="J24" s="160"/>
      <c r="K24" s="160"/>
      <c r="L24" s="160"/>
      <c r="M24" s="160"/>
      <c r="N24" s="160"/>
      <c r="O24" s="160"/>
      <c r="P24" s="160"/>
      <c r="Q24" s="160"/>
      <c r="R24" s="160"/>
      <c r="S24" s="160"/>
      <c r="T24" s="160"/>
      <c r="U24" s="160"/>
      <c r="V24" s="160"/>
      <c r="W24" s="160"/>
      <c r="X24" s="160"/>
      <c r="Y24" s="160"/>
      <c r="Z24" s="160"/>
      <c r="AA24" s="160"/>
      <c r="AB24" s="161"/>
    </row>
    <row r="25" spans="1:28" ht="59.25" customHeight="1">
      <c r="A25" s="46" t="s">
        <v>80</v>
      </c>
      <c r="B25" s="159" t="s">
        <v>119</v>
      </c>
      <c r="C25" s="160"/>
      <c r="D25" s="160"/>
      <c r="E25" s="160"/>
      <c r="F25" s="160"/>
      <c r="G25" s="160"/>
      <c r="H25" s="160"/>
      <c r="I25" s="160"/>
      <c r="J25" s="160"/>
      <c r="K25" s="160"/>
      <c r="L25" s="160"/>
      <c r="M25" s="160"/>
      <c r="N25" s="160"/>
      <c r="O25" s="160"/>
      <c r="P25" s="160"/>
      <c r="Q25" s="160"/>
      <c r="R25" s="160"/>
      <c r="S25" s="160"/>
      <c r="T25" s="160"/>
      <c r="U25" s="160"/>
      <c r="V25" s="160"/>
      <c r="W25" s="160"/>
      <c r="X25" s="160"/>
      <c r="Y25" s="160"/>
      <c r="Z25" s="160"/>
      <c r="AA25" s="160"/>
      <c r="AB25" s="161"/>
    </row>
    <row r="26" spans="1:28" ht="59.25" customHeight="1">
      <c r="A26" s="46" t="s">
        <v>81</v>
      </c>
      <c r="B26" s="159" t="s">
        <v>120</v>
      </c>
      <c r="C26" s="160"/>
      <c r="D26" s="160"/>
      <c r="E26" s="160"/>
      <c r="F26" s="160"/>
      <c r="G26" s="160"/>
      <c r="H26" s="160"/>
      <c r="I26" s="160"/>
      <c r="J26" s="160"/>
      <c r="K26" s="160"/>
      <c r="L26" s="160"/>
      <c r="M26" s="160"/>
      <c r="N26" s="160"/>
      <c r="O26" s="160"/>
      <c r="P26" s="160"/>
      <c r="Q26" s="160"/>
      <c r="R26" s="160"/>
      <c r="S26" s="160"/>
      <c r="T26" s="160"/>
      <c r="U26" s="160"/>
      <c r="V26" s="160"/>
      <c r="W26" s="160"/>
      <c r="X26" s="160"/>
      <c r="Y26" s="160"/>
      <c r="Z26" s="160"/>
      <c r="AA26" s="160"/>
      <c r="AB26" s="161"/>
    </row>
    <row r="27" spans="1:28" ht="59.25" customHeight="1">
      <c r="A27" s="46" t="s">
        <v>82</v>
      </c>
      <c r="B27" s="159" t="s">
        <v>121</v>
      </c>
      <c r="C27" s="160"/>
      <c r="D27" s="160"/>
      <c r="E27" s="160"/>
      <c r="F27" s="160"/>
      <c r="G27" s="160"/>
      <c r="H27" s="160"/>
      <c r="I27" s="160"/>
      <c r="J27" s="160"/>
      <c r="K27" s="160"/>
      <c r="L27" s="160"/>
      <c r="M27" s="160"/>
      <c r="N27" s="160"/>
      <c r="O27" s="160"/>
      <c r="P27" s="160"/>
      <c r="Q27" s="160"/>
      <c r="R27" s="160"/>
      <c r="S27" s="160"/>
      <c r="T27" s="160"/>
      <c r="U27" s="160"/>
      <c r="V27" s="160"/>
      <c r="W27" s="160"/>
      <c r="X27" s="160"/>
      <c r="Y27" s="160"/>
      <c r="Z27" s="160"/>
      <c r="AA27" s="160"/>
      <c r="AB27" s="161"/>
    </row>
    <row r="28" spans="1:28" ht="59.25" customHeight="1">
      <c r="A28" s="46" t="s">
        <v>83</v>
      </c>
      <c r="B28" s="159" t="s">
        <v>122</v>
      </c>
      <c r="C28" s="160"/>
      <c r="D28" s="160"/>
      <c r="E28" s="160"/>
      <c r="F28" s="160"/>
      <c r="G28" s="160"/>
      <c r="H28" s="160"/>
      <c r="I28" s="160"/>
      <c r="J28" s="160"/>
      <c r="K28" s="160"/>
      <c r="L28" s="160"/>
      <c r="M28" s="160"/>
      <c r="N28" s="160"/>
      <c r="O28" s="160"/>
      <c r="P28" s="160"/>
      <c r="Q28" s="160"/>
      <c r="R28" s="160"/>
      <c r="S28" s="160"/>
      <c r="T28" s="160"/>
      <c r="U28" s="160"/>
      <c r="V28" s="160"/>
      <c r="W28" s="160"/>
      <c r="X28" s="160"/>
      <c r="Y28" s="160"/>
      <c r="Z28" s="160"/>
      <c r="AA28" s="160"/>
      <c r="AB28" s="161"/>
    </row>
    <row r="29" spans="1:28" ht="59.25" customHeight="1">
      <c r="A29" s="46" t="s">
        <v>84</v>
      </c>
      <c r="B29" s="159" t="s">
        <v>123</v>
      </c>
      <c r="C29" s="160"/>
      <c r="D29" s="160"/>
      <c r="E29" s="160"/>
      <c r="F29" s="160"/>
      <c r="G29" s="160"/>
      <c r="H29" s="160"/>
      <c r="I29" s="160"/>
      <c r="J29" s="160"/>
      <c r="K29" s="160"/>
      <c r="L29" s="160"/>
      <c r="M29" s="160"/>
      <c r="N29" s="160"/>
      <c r="O29" s="160"/>
      <c r="P29" s="160"/>
      <c r="Q29" s="160"/>
      <c r="R29" s="160"/>
      <c r="S29" s="160"/>
      <c r="T29" s="160"/>
      <c r="U29" s="160"/>
      <c r="V29" s="160"/>
      <c r="W29" s="160"/>
      <c r="X29" s="160"/>
      <c r="Y29" s="160"/>
      <c r="Z29" s="160"/>
      <c r="AA29" s="160"/>
      <c r="AB29" s="161"/>
    </row>
    <row r="30" spans="1:28" ht="59.25" customHeight="1">
      <c r="A30" s="46" t="s">
        <v>85</v>
      </c>
      <c r="B30" s="159" t="s">
        <v>124</v>
      </c>
      <c r="C30" s="160"/>
      <c r="D30" s="160"/>
      <c r="E30" s="160"/>
      <c r="F30" s="160"/>
      <c r="G30" s="160"/>
      <c r="H30" s="160"/>
      <c r="I30" s="160"/>
      <c r="J30" s="160"/>
      <c r="K30" s="160"/>
      <c r="L30" s="160"/>
      <c r="M30" s="160"/>
      <c r="N30" s="160"/>
      <c r="O30" s="160"/>
      <c r="P30" s="160"/>
      <c r="Q30" s="160"/>
      <c r="R30" s="160"/>
      <c r="S30" s="160"/>
      <c r="T30" s="160"/>
      <c r="U30" s="160"/>
      <c r="V30" s="160"/>
      <c r="W30" s="160"/>
      <c r="X30" s="160"/>
      <c r="Y30" s="160"/>
      <c r="Z30" s="160"/>
      <c r="AA30" s="160"/>
      <c r="AB30" s="161"/>
    </row>
    <row r="31" spans="1:28" ht="59.25" customHeight="1">
      <c r="A31" s="46" t="s">
        <v>86</v>
      </c>
      <c r="B31" s="159" t="s">
        <v>125</v>
      </c>
      <c r="C31" s="160"/>
      <c r="D31" s="160"/>
      <c r="E31" s="160"/>
      <c r="F31" s="160"/>
      <c r="G31" s="160"/>
      <c r="H31" s="160"/>
      <c r="I31" s="160"/>
      <c r="J31" s="160"/>
      <c r="K31" s="160"/>
      <c r="L31" s="160"/>
      <c r="M31" s="160"/>
      <c r="N31" s="160"/>
      <c r="O31" s="160"/>
      <c r="P31" s="160"/>
      <c r="Q31" s="160"/>
      <c r="R31" s="160"/>
      <c r="S31" s="160"/>
      <c r="T31" s="160"/>
      <c r="U31" s="160"/>
      <c r="V31" s="160"/>
      <c r="W31" s="160"/>
      <c r="X31" s="160"/>
      <c r="Y31" s="160"/>
      <c r="Z31" s="160"/>
      <c r="AA31" s="160"/>
      <c r="AB31" s="161"/>
    </row>
    <row r="32" spans="1:28" ht="59.25" customHeight="1">
      <c r="A32" s="46" t="s">
        <v>87</v>
      </c>
      <c r="B32" s="159" t="s">
        <v>126</v>
      </c>
      <c r="C32" s="160"/>
      <c r="D32" s="160"/>
      <c r="E32" s="160"/>
      <c r="F32" s="160"/>
      <c r="G32" s="160"/>
      <c r="H32" s="160"/>
      <c r="I32" s="160"/>
      <c r="J32" s="160"/>
      <c r="K32" s="160"/>
      <c r="L32" s="160"/>
      <c r="M32" s="160"/>
      <c r="N32" s="160"/>
      <c r="O32" s="160"/>
      <c r="P32" s="160"/>
      <c r="Q32" s="160"/>
      <c r="R32" s="160"/>
      <c r="S32" s="160"/>
      <c r="T32" s="160"/>
      <c r="U32" s="160"/>
      <c r="V32" s="160"/>
      <c r="W32" s="160"/>
      <c r="X32" s="160"/>
      <c r="Y32" s="160"/>
      <c r="Z32" s="160"/>
      <c r="AA32" s="160"/>
      <c r="AB32" s="161"/>
    </row>
    <row r="33" spans="1:28" ht="59.25" customHeight="1">
      <c r="A33" s="46" t="s">
        <v>88</v>
      </c>
      <c r="B33" s="159" t="s">
        <v>127</v>
      </c>
      <c r="C33" s="160"/>
      <c r="D33" s="160"/>
      <c r="E33" s="160"/>
      <c r="F33" s="160"/>
      <c r="G33" s="160"/>
      <c r="H33" s="160"/>
      <c r="I33" s="160"/>
      <c r="J33" s="160"/>
      <c r="K33" s="160"/>
      <c r="L33" s="160"/>
      <c r="M33" s="160"/>
      <c r="N33" s="160"/>
      <c r="O33" s="160"/>
      <c r="P33" s="160"/>
      <c r="Q33" s="160"/>
      <c r="R33" s="160"/>
      <c r="S33" s="160"/>
      <c r="T33" s="160"/>
      <c r="U33" s="160"/>
      <c r="V33" s="160"/>
      <c r="W33" s="160"/>
      <c r="X33" s="160"/>
      <c r="Y33" s="160"/>
      <c r="Z33" s="160"/>
      <c r="AA33" s="160"/>
      <c r="AB33" s="161"/>
    </row>
    <row r="34" spans="1:28" ht="59.25" customHeight="1">
      <c r="A34" s="46" t="s">
        <v>89</v>
      </c>
      <c r="B34" s="159" t="s">
        <v>128</v>
      </c>
      <c r="C34" s="160"/>
      <c r="D34" s="160"/>
      <c r="E34" s="160"/>
      <c r="F34" s="160"/>
      <c r="G34" s="160"/>
      <c r="H34" s="160"/>
      <c r="I34" s="160"/>
      <c r="J34" s="160"/>
      <c r="K34" s="160"/>
      <c r="L34" s="160"/>
      <c r="M34" s="160"/>
      <c r="N34" s="160"/>
      <c r="O34" s="160"/>
      <c r="P34" s="160"/>
      <c r="Q34" s="160"/>
      <c r="R34" s="160"/>
      <c r="S34" s="160"/>
      <c r="T34" s="160"/>
      <c r="U34" s="160"/>
      <c r="V34" s="160"/>
      <c r="W34" s="160"/>
      <c r="X34" s="160"/>
      <c r="Y34" s="160"/>
      <c r="Z34" s="160"/>
      <c r="AA34" s="160"/>
      <c r="AB34" s="161"/>
    </row>
    <row r="35" spans="1:28" ht="59.25" customHeight="1">
      <c r="A35" s="46" t="s">
        <v>90</v>
      </c>
      <c r="B35" s="159" t="s">
        <v>129</v>
      </c>
      <c r="C35" s="160"/>
      <c r="D35" s="160"/>
      <c r="E35" s="160"/>
      <c r="F35" s="160"/>
      <c r="G35" s="160"/>
      <c r="H35" s="160"/>
      <c r="I35" s="160"/>
      <c r="J35" s="160"/>
      <c r="K35" s="160"/>
      <c r="L35" s="160"/>
      <c r="M35" s="160"/>
      <c r="N35" s="160"/>
      <c r="O35" s="160"/>
      <c r="P35" s="160"/>
      <c r="Q35" s="160"/>
      <c r="R35" s="160"/>
      <c r="S35" s="160"/>
      <c r="T35" s="160"/>
      <c r="U35" s="160"/>
      <c r="V35" s="160"/>
      <c r="W35" s="160"/>
      <c r="X35" s="160"/>
      <c r="Y35" s="160"/>
      <c r="Z35" s="160"/>
      <c r="AA35" s="160"/>
      <c r="AB35" s="161"/>
    </row>
    <row r="36" spans="1:28" ht="59.25" customHeight="1">
      <c r="A36" s="46"/>
      <c r="B36" s="159"/>
      <c r="C36" s="160"/>
      <c r="D36" s="160"/>
      <c r="E36" s="160"/>
      <c r="F36" s="160"/>
      <c r="G36" s="160"/>
      <c r="H36" s="160"/>
      <c r="I36" s="160"/>
      <c r="J36" s="160"/>
      <c r="K36" s="160"/>
      <c r="L36" s="160"/>
      <c r="M36" s="160"/>
      <c r="N36" s="160"/>
      <c r="O36" s="160"/>
      <c r="P36" s="160"/>
      <c r="Q36" s="160"/>
      <c r="R36" s="160"/>
      <c r="S36" s="160"/>
      <c r="T36" s="160"/>
      <c r="U36" s="160"/>
      <c r="V36" s="160"/>
      <c r="W36" s="160"/>
      <c r="X36" s="160"/>
      <c r="Y36" s="160"/>
      <c r="Z36" s="160"/>
      <c r="AA36" s="160"/>
      <c r="AB36" s="161"/>
    </row>
    <row r="37" spans="1:28" ht="59.25" customHeight="1">
      <c r="A37" s="46"/>
      <c r="B37" s="159"/>
      <c r="C37" s="160"/>
      <c r="D37" s="160"/>
      <c r="E37" s="160"/>
      <c r="F37" s="160"/>
      <c r="G37" s="160"/>
      <c r="H37" s="160"/>
      <c r="I37" s="160"/>
      <c r="J37" s="160"/>
      <c r="K37" s="160"/>
      <c r="L37" s="160"/>
      <c r="M37" s="160"/>
      <c r="N37" s="160"/>
      <c r="O37" s="160"/>
      <c r="P37" s="160"/>
      <c r="Q37" s="160"/>
      <c r="R37" s="160"/>
      <c r="S37" s="160"/>
      <c r="T37" s="160"/>
      <c r="U37" s="160"/>
      <c r="V37" s="160"/>
      <c r="W37" s="160"/>
      <c r="X37" s="160"/>
      <c r="Y37" s="160"/>
      <c r="Z37" s="160"/>
      <c r="AA37" s="160"/>
      <c r="AB37" s="161"/>
    </row>
    <row r="38" spans="1:28" ht="59.25" customHeight="1">
      <c r="A38" s="46"/>
      <c r="B38" s="159"/>
      <c r="C38" s="160"/>
      <c r="D38" s="160"/>
      <c r="E38" s="160"/>
      <c r="F38" s="160"/>
      <c r="G38" s="160"/>
      <c r="H38" s="160"/>
      <c r="I38" s="160"/>
      <c r="J38" s="160"/>
      <c r="K38" s="160"/>
      <c r="L38" s="160"/>
      <c r="M38" s="160"/>
      <c r="N38" s="160"/>
      <c r="O38" s="160"/>
      <c r="P38" s="160"/>
      <c r="Q38" s="160"/>
      <c r="R38" s="160"/>
      <c r="S38" s="160"/>
      <c r="T38" s="160"/>
      <c r="U38" s="160"/>
      <c r="V38" s="160"/>
      <c r="W38" s="160"/>
      <c r="X38" s="160"/>
      <c r="Y38" s="160"/>
      <c r="Z38" s="160"/>
      <c r="AA38" s="160"/>
      <c r="AB38" s="161"/>
    </row>
    <row r="39" spans="1:28" ht="59.25" customHeight="1">
      <c r="A39" s="46"/>
      <c r="B39" s="159"/>
      <c r="C39" s="160"/>
      <c r="D39" s="160"/>
      <c r="E39" s="160"/>
      <c r="F39" s="160"/>
      <c r="G39" s="160"/>
      <c r="H39" s="160"/>
      <c r="I39" s="160"/>
      <c r="J39" s="160"/>
      <c r="K39" s="160"/>
      <c r="L39" s="160"/>
      <c r="M39" s="160"/>
      <c r="N39" s="160"/>
      <c r="O39" s="160"/>
      <c r="P39" s="160"/>
      <c r="Q39" s="160"/>
      <c r="R39" s="160"/>
      <c r="S39" s="160"/>
      <c r="T39" s="160"/>
      <c r="U39" s="160"/>
      <c r="V39" s="160"/>
      <c r="W39" s="160"/>
      <c r="X39" s="160"/>
      <c r="Y39" s="160"/>
      <c r="Z39" s="160"/>
      <c r="AA39" s="160"/>
      <c r="AB39" s="161"/>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B38:AB38"/>
    <mergeCell ref="B39:AB39"/>
    <mergeCell ref="B28:AB28"/>
    <mergeCell ref="B29:AB29"/>
    <mergeCell ref="B30:AB30"/>
    <mergeCell ref="B31:AB31"/>
    <mergeCell ref="B32:AB32"/>
    <mergeCell ref="B33:AB33"/>
    <mergeCell ref="B34:AB34"/>
    <mergeCell ref="B35:AB35"/>
    <mergeCell ref="B36:AB36"/>
    <mergeCell ref="B37:AB37"/>
    <mergeCell ref="B23:AB23"/>
    <mergeCell ref="B24:AB24"/>
    <mergeCell ref="B25:AB25"/>
    <mergeCell ref="B26:AB26"/>
    <mergeCell ref="B27:AB27"/>
    <mergeCell ref="B18:AB18"/>
    <mergeCell ref="B19:AB19"/>
    <mergeCell ref="B20:AB20"/>
    <mergeCell ref="B21:AB21"/>
    <mergeCell ref="B22:AB22"/>
    <mergeCell ref="A2:A12"/>
    <mergeCell ref="B14:AB14"/>
    <mergeCell ref="B15:AB15"/>
    <mergeCell ref="B16:AB16"/>
    <mergeCell ref="B17:AB17"/>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1"/>
  </sheetPr>
  <dimension ref="A1:AD193"/>
  <sheetViews>
    <sheetView workbookViewId="0">
      <selection sqref="A1:XFD1048576"/>
    </sheetView>
  </sheetViews>
  <sheetFormatPr defaultRowHeight="13.5"/>
  <cols>
    <col min="1" max="1" width="13.5" style="8" customWidth="1"/>
    <col min="2" max="2" width="79.125" style="8" customWidth="1"/>
    <col min="3" max="3" width="9.375" style="8" customWidth="1"/>
    <col min="4" max="28" width="4.125" style="8" customWidth="1"/>
    <col min="29" max="16384" width="9" style="8"/>
  </cols>
  <sheetData>
    <row r="1" spans="1:30" ht="85.5" customHeight="1">
      <c r="A1" s="33" t="str">
        <f ca="1">MID(CELL("filename",A1),FIND("[",CELL("filename",A1))+1,3)</f>
        <v>５－１</v>
      </c>
      <c r="B1" s="34" t="str">
        <f ca="1">RIGHT(CELL("filename",B1),LEN(CELL("filename",B1))-FIND("]",CELL("filename",B1)))</f>
        <v>音楽</v>
      </c>
      <c r="C1" s="35" t="s">
        <v>25</v>
      </c>
      <c r="D1" s="36" t="str">
        <f>A15</f>
        <v>阿部 光希</v>
      </c>
      <c r="E1" s="36" t="str">
        <f>A16</f>
        <v>池田 篤也</v>
      </c>
      <c r="F1" s="36" t="str">
        <f>A17</f>
        <v>荻原 健史</v>
      </c>
      <c r="G1" s="36" t="str">
        <f>A18</f>
        <v>上條 里紗</v>
      </c>
      <c r="H1" s="36" t="str">
        <f>A19</f>
        <v>小森 美柚</v>
      </c>
      <c r="I1" s="36" t="str">
        <f>A20</f>
        <v>酒巻 紋子</v>
      </c>
      <c r="J1" s="36" t="str">
        <f>A21</f>
        <v>滝 真佳</v>
      </c>
      <c r="K1" s="36" t="str">
        <f>A22</f>
        <v>都筑 斉</v>
      </c>
      <c r="L1" s="36" t="str">
        <f>A23</f>
        <v>傳田 悠藍</v>
      </c>
      <c r="M1" s="36" t="str">
        <f>A24</f>
        <v>中原 照真</v>
      </c>
      <c r="N1" s="36" t="str">
        <f>A25</f>
        <v>永原 愛羅</v>
      </c>
      <c r="O1" s="36" t="str">
        <f>A26</f>
        <v>根橋 宏匡</v>
      </c>
      <c r="P1" s="36" t="str">
        <f>A27</f>
        <v>平野 悠</v>
      </c>
      <c r="Q1" s="36" t="str">
        <f>A28</f>
        <v>丸山 大河</v>
      </c>
      <c r="R1" s="36" t="str">
        <f>A29</f>
        <v>三浦 和成</v>
      </c>
      <c r="S1" s="36" t="str">
        <f>A30</f>
        <v>三澤 桜來</v>
      </c>
      <c r="T1" s="36" t="str">
        <f>A31</f>
        <v>明嵐 瑛大</v>
      </c>
      <c r="U1" s="36" t="str">
        <f>A32</f>
        <v>屋井 皓</v>
      </c>
      <c r="V1" s="36" t="str">
        <f>A33</f>
        <v>若松 優羽花</v>
      </c>
      <c r="W1" s="36" t="str">
        <f>A34</f>
        <v>渡邊 葉子</v>
      </c>
      <c r="X1" s="36" t="str">
        <f>A35</f>
        <v>綿貫 叶乃音</v>
      </c>
      <c r="Y1" s="36">
        <f>A36</f>
        <v>0</v>
      </c>
      <c r="Z1" s="36">
        <f>A37</f>
        <v>0</v>
      </c>
      <c r="AA1" s="36">
        <f>A38</f>
        <v>0</v>
      </c>
      <c r="AB1" s="36">
        <f>A39</f>
        <v>0</v>
      </c>
      <c r="AC1" s="37"/>
    </row>
    <row r="2" spans="1:30" ht="22.5" customHeight="1">
      <c r="A2" s="153" t="s">
        <v>258</v>
      </c>
      <c r="B2" s="78" t="s">
        <v>130</v>
      </c>
      <c r="C2" s="38" t="s">
        <v>26</v>
      </c>
      <c r="D2" s="39" t="s">
        <v>46</v>
      </c>
      <c r="E2" s="39" t="s">
        <v>46</v>
      </c>
      <c r="F2" s="39" t="s">
        <v>46</v>
      </c>
      <c r="G2" s="39" t="s">
        <v>46</v>
      </c>
      <c r="H2" s="39" t="s">
        <v>46</v>
      </c>
      <c r="I2" s="39" t="s">
        <v>46</v>
      </c>
      <c r="J2" s="39" t="s">
        <v>46</v>
      </c>
      <c r="K2" s="39" t="s">
        <v>46</v>
      </c>
      <c r="L2" s="39" t="s">
        <v>46</v>
      </c>
      <c r="M2" s="39" t="s">
        <v>45</v>
      </c>
      <c r="N2" s="39" t="s">
        <v>45</v>
      </c>
      <c r="O2" s="39" t="s">
        <v>45</v>
      </c>
      <c r="P2" s="39" t="s">
        <v>46</v>
      </c>
      <c r="Q2" s="39" t="s">
        <v>45</v>
      </c>
      <c r="R2" s="39" t="s">
        <v>46</v>
      </c>
      <c r="S2" s="39" t="s">
        <v>46</v>
      </c>
      <c r="T2" s="39" t="s">
        <v>46</v>
      </c>
      <c r="U2" s="39" t="s">
        <v>46</v>
      </c>
      <c r="V2" s="39" t="s">
        <v>46</v>
      </c>
      <c r="W2" s="39" t="s">
        <v>45</v>
      </c>
      <c r="X2" s="39" t="s">
        <v>46</v>
      </c>
      <c r="Y2" s="39"/>
      <c r="Z2" s="39"/>
      <c r="AA2" s="39"/>
      <c r="AB2" s="39"/>
      <c r="AC2" s="40" t="s">
        <v>259</v>
      </c>
      <c r="AD2" s="40">
        <v>1</v>
      </c>
    </row>
    <row r="3" spans="1:30" ht="22.5" customHeight="1">
      <c r="A3" s="154"/>
      <c r="B3" s="78" t="s">
        <v>131</v>
      </c>
      <c r="C3" s="38" t="s">
        <v>26</v>
      </c>
      <c r="D3" s="39" t="s">
        <v>46</v>
      </c>
      <c r="E3" s="39" t="s">
        <v>46</v>
      </c>
      <c r="F3" s="39" t="s">
        <v>46</v>
      </c>
      <c r="G3" s="39" t="s">
        <v>46</v>
      </c>
      <c r="H3" s="39" t="s">
        <v>46</v>
      </c>
      <c r="I3" s="39" t="s">
        <v>46</v>
      </c>
      <c r="J3" s="39" t="s">
        <v>46</v>
      </c>
      <c r="K3" s="39" t="s">
        <v>46</v>
      </c>
      <c r="L3" s="39" t="s">
        <v>46</v>
      </c>
      <c r="M3" s="39" t="s">
        <v>45</v>
      </c>
      <c r="N3" s="39" t="s">
        <v>45</v>
      </c>
      <c r="O3" s="39" t="s">
        <v>45</v>
      </c>
      <c r="P3" s="39" t="s">
        <v>45</v>
      </c>
      <c r="Q3" s="39" t="s">
        <v>46</v>
      </c>
      <c r="R3" s="39" t="s">
        <v>46</v>
      </c>
      <c r="S3" s="39" t="s">
        <v>46</v>
      </c>
      <c r="T3" s="39" t="s">
        <v>46</v>
      </c>
      <c r="U3" s="39" t="s">
        <v>46</v>
      </c>
      <c r="V3" s="39" t="s">
        <v>46</v>
      </c>
      <c r="W3" s="39" t="s">
        <v>45</v>
      </c>
      <c r="X3" s="39" t="s">
        <v>46</v>
      </c>
      <c r="Y3" s="39"/>
      <c r="Z3" s="39"/>
      <c r="AA3" s="39"/>
      <c r="AB3" s="39"/>
      <c r="AC3" s="40" t="s">
        <v>260</v>
      </c>
      <c r="AD3" s="40">
        <v>2</v>
      </c>
    </row>
    <row r="4" spans="1:30" ht="22.5" customHeight="1">
      <c r="A4" s="154"/>
      <c r="B4" s="78" t="s">
        <v>132</v>
      </c>
      <c r="C4" s="38" t="s">
        <v>26</v>
      </c>
      <c r="D4" s="39" t="s">
        <v>46</v>
      </c>
      <c r="E4" s="39" t="s">
        <v>45</v>
      </c>
      <c r="F4" s="39" t="s">
        <v>46</v>
      </c>
      <c r="G4" s="39" t="s">
        <v>46</v>
      </c>
      <c r="H4" s="39" t="s">
        <v>46</v>
      </c>
      <c r="I4" s="39" t="s">
        <v>46</v>
      </c>
      <c r="J4" s="39" t="s">
        <v>45</v>
      </c>
      <c r="K4" s="39" t="s">
        <v>45</v>
      </c>
      <c r="L4" s="39" t="s">
        <v>46</v>
      </c>
      <c r="M4" s="39" t="s">
        <v>45</v>
      </c>
      <c r="N4" s="39" t="s">
        <v>45</v>
      </c>
      <c r="O4" s="39" t="s">
        <v>45</v>
      </c>
      <c r="P4" s="39" t="s">
        <v>46</v>
      </c>
      <c r="Q4" s="39" t="s">
        <v>46</v>
      </c>
      <c r="R4" s="39" t="s">
        <v>45</v>
      </c>
      <c r="S4" s="39" t="s">
        <v>46</v>
      </c>
      <c r="T4" s="39" t="s">
        <v>45</v>
      </c>
      <c r="U4" s="39" t="s">
        <v>45</v>
      </c>
      <c r="V4" s="39" t="s">
        <v>46</v>
      </c>
      <c r="W4" s="39" t="s">
        <v>45</v>
      </c>
      <c r="X4" s="39" t="s">
        <v>46</v>
      </c>
      <c r="Y4" s="39"/>
      <c r="Z4" s="39"/>
      <c r="AA4" s="39"/>
      <c r="AB4" s="39"/>
      <c r="AC4" s="40" t="s">
        <v>261</v>
      </c>
      <c r="AD4" s="40">
        <v>3</v>
      </c>
    </row>
    <row r="5" spans="1:30" ht="22.5" customHeight="1">
      <c r="A5" s="154"/>
      <c r="B5" s="41"/>
      <c r="C5" s="38" t="s">
        <v>26</v>
      </c>
      <c r="D5" s="39"/>
      <c r="E5" s="39"/>
      <c r="F5" s="39"/>
      <c r="G5" s="39"/>
      <c r="H5" s="39"/>
      <c r="I5" s="39"/>
      <c r="J5" s="39"/>
      <c r="K5" s="39"/>
      <c r="L5" s="39"/>
      <c r="M5" s="39"/>
      <c r="N5" s="39"/>
      <c r="O5" s="39"/>
      <c r="P5" s="39"/>
      <c r="Q5" s="39"/>
      <c r="R5" s="39"/>
      <c r="S5" s="39"/>
      <c r="T5" s="39"/>
      <c r="U5" s="39"/>
      <c r="V5" s="39"/>
      <c r="W5" s="39"/>
      <c r="X5" s="39"/>
      <c r="Y5" s="39"/>
      <c r="Z5" s="39"/>
      <c r="AA5" s="39"/>
      <c r="AB5" s="39"/>
      <c r="AC5" s="40" t="s">
        <v>262</v>
      </c>
      <c r="AD5" s="40">
        <v>4</v>
      </c>
    </row>
    <row r="6" spans="1:30" ht="22.5" customHeight="1">
      <c r="A6" s="154"/>
      <c r="B6" s="41"/>
      <c r="C6" s="38" t="s">
        <v>26</v>
      </c>
      <c r="D6" s="39"/>
      <c r="E6" s="39"/>
      <c r="F6" s="39"/>
      <c r="G6" s="39"/>
      <c r="H6" s="39"/>
      <c r="I6" s="39"/>
      <c r="J6" s="39"/>
      <c r="K6" s="39"/>
      <c r="L6" s="39"/>
      <c r="M6" s="39"/>
      <c r="N6" s="39"/>
      <c r="O6" s="39"/>
      <c r="P6" s="39"/>
      <c r="Q6" s="39"/>
      <c r="R6" s="39"/>
      <c r="S6" s="39"/>
      <c r="T6" s="39"/>
      <c r="U6" s="39"/>
      <c r="V6" s="39"/>
      <c r="W6" s="39"/>
      <c r="X6" s="39"/>
      <c r="Y6" s="39"/>
      <c r="Z6" s="39"/>
      <c r="AA6" s="39"/>
      <c r="AB6" s="39"/>
      <c r="AC6" s="40"/>
      <c r="AD6" s="40">
        <v>5</v>
      </c>
    </row>
    <row r="7" spans="1:30" ht="22.5" customHeight="1">
      <c r="A7" s="154"/>
      <c r="B7" s="41"/>
      <c r="C7" s="38" t="s">
        <v>26</v>
      </c>
      <c r="D7" s="39"/>
      <c r="E7" s="39"/>
      <c r="F7" s="39"/>
      <c r="G7" s="39"/>
      <c r="H7" s="39"/>
      <c r="I7" s="39"/>
      <c r="J7" s="39"/>
      <c r="K7" s="39"/>
      <c r="L7" s="39"/>
      <c r="M7" s="39"/>
      <c r="N7" s="39"/>
      <c r="O7" s="39"/>
      <c r="P7" s="39"/>
      <c r="Q7" s="39"/>
      <c r="R7" s="39"/>
      <c r="S7" s="39"/>
      <c r="T7" s="39"/>
      <c r="U7" s="39"/>
      <c r="V7" s="39"/>
      <c r="W7" s="39"/>
      <c r="X7" s="39"/>
      <c r="Y7" s="39"/>
      <c r="Z7" s="39"/>
      <c r="AA7" s="39"/>
      <c r="AB7" s="39"/>
      <c r="AC7" s="40"/>
      <c r="AD7" s="40" t="s">
        <v>263</v>
      </c>
    </row>
    <row r="8" spans="1:30" ht="22.5" customHeight="1">
      <c r="A8" s="154"/>
      <c r="B8" s="41"/>
      <c r="C8" s="38" t="s">
        <v>26</v>
      </c>
      <c r="D8" s="39"/>
      <c r="E8" s="39"/>
      <c r="F8" s="39"/>
      <c r="G8" s="39"/>
      <c r="H8" s="39"/>
      <c r="I8" s="39"/>
      <c r="J8" s="39"/>
      <c r="K8" s="39"/>
      <c r="L8" s="39"/>
      <c r="M8" s="39"/>
      <c r="N8" s="39"/>
      <c r="O8" s="39"/>
      <c r="P8" s="39"/>
      <c r="Q8" s="39"/>
      <c r="R8" s="39"/>
      <c r="S8" s="39"/>
      <c r="T8" s="39"/>
      <c r="U8" s="39"/>
      <c r="V8" s="39"/>
      <c r="W8" s="39"/>
      <c r="X8" s="39"/>
      <c r="Y8" s="39"/>
      <c r="Z8" s="39"/>
      <c r="AA8" s="39"/>
      <c r="AB8" s="39"/>
    </row>
    <row r="9" spans="1:30" ht="22.5" customHeight="1">
      <c r="A9" s="154"/>
      <c r="B9" s="41"/>
      <c r="C9" s="38" t="s">
        <v>26</v>
      </c>
      <c r="D9" s="39"/>
      <c r="E9" s="39"/>
      <c r="F9" s="39"/>
      <c r="G9" s="39"/>
      <c r="H9" s="39"/>
      <c r="I9" s="39"/>
      <c r="J9" s="39"/>
      <c r="K9" s="39"/>
      <c r="L9" s="39"/>
      <c r="M9" s="39"/>
      <c r="N9" s="39"/>
      <c r="O9" s="39"/>
      <c r="P9" s="39"/>
      <c r="Q9" s="39"/>
      <c r="R9" s="39"/>
      <c r="S9" s="39"/>
      <c r="T9" s="39"/>
      <c r="U9" s="39"/>
      <c r="V9" s="39"/>
      <c r="W9" s="39"/>
      <c r="X9" s="39"/>
      <c r="Y9" s="39"/>
      <c r="Z9" s="39"/>
      <c r="AA9" s="39"/>
      <c r="AB9" s="39"/>
    </row>
    <row r="10" spans="1:30" ht="22.5" customHeight="1">
      <c r="A10" s="154"/>
      <c r="B10" s="41"/>
      <c r="C10" s="38" t="s">
        <v>26</v>
      </c>
      <c r="D10" s="39"/>
      <c r="E10" s="39"/>
      <c r="F10" s="39"/>
      <c r="G10" s="39"/>
      <c r="H10" s="39"/>
      <c r="I10" s="39"/>
      <c r="J10" s="39"/>
      <c r="K10" s="39"/>
      <c r="L10" s="39"/>
      <c r="M10" s="39"/>
      <c r="N10" s="39"/>
      <c r="O10" s="39"/>
      <c r="P10" s="39"/>
      <c r="Q10" s="39"/>
      <c r="R10" s="39"/>
      <c r="S10" s="39"/>
      <c r="T10" s="39"/>
      <c r="U10" s="39"/>
      <c r="V10" s="39"/>
      <c r="W10" s="39"/>
      <c r="X10" s="39"/>
      <c r="Y10" s="39"/>
      <c r="Z10" s="39"/>
      <c r="AA10" s="39"/>
      <c r="AB10" s="39"/>
    </row>
    <row r="11" spans="1:30" ht="22.5" customHeight="1">
      <c r="A11" s="154"/>
      <c r="B11" s="41"/>
      <c r="C11" s="38" t="s">
        <v>26</v>
      </c>
      <c r="D11" s="39"/>
      <c r="E11" s="39"/>
      <c r="F11" s="39"/>
      <c r="G11" s="39"/>
      <c r="H11" s="39"/>
      <c r="I11" s="39"/>
      <c r="J11" s="39"/>
      <c r="K11" s="39"/>
      <c r="L11" s="39"/>
      <c r="M11" s="39"/>
      <c r="N11" s="39"/>
      <c r="O11" s="39"/>
      <c r="P11" s="39"/>
      <c r="Q11" s="39"/>
      <c r="R11" s="39"/>
      <c r="S11" s="39"/>
      <c r="T11" s="39"/>
      <c r="U11" s="39"/>
      <c r="V11" s="39"/>
      <c r="W11" s="39"/>
      <c r="X11" s="39"/>
      <c r="Y11" s="39"/>
      <c r="Z11" s="39"/>
      <c r="AA11" s="39"/>
      <c r="AB11" s="39"/>
    </row>
    <row r="12" spans="1:30" ht="30" customHeight="1">
      <c r="A12" s="155"/>
      <c r="B12" s="42"/>
      <c r="C12" s="43" t="s">
        <v>27</v>
      </c>
      <c r="D12" s="39">
        <v>5</v>
      </c>
      <c r="E12" s="39">
        <v>4</v>
      </c>
      <c r="F12" s="39">
        <v>5</v>
      </c>
      <c r="G12" s="39">
        <v>5</v>
      </c>
      <c r="H12" s="39">
        <v>5</v>
      </c>
      <c r="I12" s="39">
        <v>5</v>
      </c>
      <c r="J12" s="39">
        <v>4</v>
      </c>
      <c r="K12" s="39">
        <v>4</v>
      </c>
      <c r="L12" s="39">
        <v>5</v>
      </c>
      <c r="M12" s="39">
        <v>3</v>
      </c>
      <c r="N12" s="39">
        <v>3</v>
      </c>
      <c r="O12" s="39">
        <v>3</v>
      </c>
      <c r="P12" s="39">
        <v>4</v>
      </c>
      <c r="Q12" s="39">
        <v>3</v>
      </c>
      <c r="R12" s="39">
        <v>4</v>
      </c>
      <c r="S12" s="39">
        <v>5</v>
      </c>
      <c r="T12" s="39">
        <v>4</v>
      </c>
      <c r="U12" s="39">
        <v>4</v>
      </c>
      <c r="V12" s="39">
        <v>5</v>
      </c>
      <c r="W12" s="39">
        <v>3</v>
      </c>
      <c r="X12" s="39">
        <v>5</v>
      </c>
      <c r="Y12" s="39"/>
      <c r="Z12" s="39"/>
      <c r="AA12" s="39"/>
      <c r="AB12" s="39"/>
    </row>
    <row r="13" spans="1:30" ht="26.25" customHeight="1">
      <c r="A13" s="44"/>
      <c r="B13" s="44"/>
      <c r="C13" s="81" t="s">
        <v>62</v>
      </c>
      <c r="D13" s="39"/>
      <c r="E13" s="39"/>
      <c r="F13" s="39"/>
      <c r="G13" s="39"/>
      <c r="H13" s="39"/>
      <c r="I13" s="39"/>
      <c r="J13" s="39"/>
      <c r="K13" s="39"/>
      <c r="L13" s="39"/>
      <c r="M13" s="39"/>
      <c r="N13" s="39"/>
      <c r="O13" s="39"/>
      <c r="P13" s="39"/>
      <c r="Q13" s="39"/>
      <c r="R13" s="39"/>
      <c r="S13" s="39"/>
      <c r="T13" s="39"/>
      <c r="U13" s="39"/>
      <c r="V13" s="39"/>
      <c r="W13" s="39"/>
      <c r="X13" s="39"/>
      <c r="Y13" s="39"/>
      <c r="Z13" s="39"/>
      <c r="AA13" s="39"/>
      <c r="AB13" s="39"/>
    </row>
    <row r="14" spans="1:30" ht="22.5" customHeight="1">
      <c r="A14" s="45" t="s">
        <v>28</v>
      </c>
      <c r="B14" s="156" t="s">
        <v>29</v>
      </c>
      <c r="C14" s="157"/>
      <c r="D14" s="157"/>
      <c r="E14" s="157"/>
      <c r="F14" s="157"/>
      <c r="G14" s="157"/>
      <c r="H14" s="157"/>
      <c r="I14" s="157"/>
      <c r="J14" s="157"/>
      <c r="K14" s="157"/>
      <c r="L14" s="157"/>
      <c r="M14" s="157"/>
      <c r="N14" s="157"/>
      <c r="O14" s="157"/>
      <c r="P14" s="157"/>
      <c r="Q14" s="157"/>
      <c r="R14" s="157"/>
      <c r="S14" s="157"/>
      <c r="T14" s="157"/>
      <c r="U14" s="157"/>
      <c r="V14" s="157"/>
      <c r="W14" s="157"/>
      <c r="X14" s="157"/>
      <c r="Y14" s="157"/>
      <c r="Z14" s="157"/>
      <c r="AA14" s="157"/>
      <c r="AB14" s="158"/>
    </row>
    <row r="15" spans="1:30" ht="59.25" customHeight="1">
      <c r="A15" s="46" t="s">
        <v>70</v>
      </c>
      <c r="B15" s="159"/>
      <c r="C15" s="160"/>
      <c r="D15" s="160"/>
      <c r="E15" s="160"/>
      <c r="F15" s="160"/>
      <c r="G15" s="160"/>
      <c r="H15" s="160"/>
      <c r="I15" s="160"/>
      <c r="J15" s="160"/>
      <c r="K15" s="160"/>
      <c r="L15" s="160"/>
      <c r="M15" s="160"/>
      <c r="N15" s="160"/>
      <c r="O15" s="160"/>
      <c r="P15" s="160"/>
      <c r="Q15" s="160"/>
      <c r="R15" s="160"/>
      <c r="S15" s="160"/>
      <c r="T15" s="160"/>
      <c r="U15" s="160"/>
      <c r="V15" s="160"/>
      <c r="W15" s="160"/>
      <c r="X15" s="160"/>
      <c r="Y15" s="160"/>
      <c r="Z15" s="160"/>
      <c r="AA15" s="160"/>
      <c r="AB15" s="161"/>
    </row>
    <row r="16" spans="1:30" ht="59.25" customHeight="1">
      <c r="A16" s="46" t="s">
        <v>71</v>
      </c>
      <c r="B16" s="159"/>
      <c r="C16" s="160"/>
      <c r="D16" s="160"/>
      <c r="E16" s="160"/>
      <c r="F16" s="160"/>
      <c r="G16" s="160"/>
      <c r="H16" s="160"/>
      <c r="I16" s="160"/>
      <c r="J16" s="160"/>
      <c r="K16" s="160"/>
      <c r="L16" s="160"/>
      <c r="M16" s="160"/>
      <c r="N16" s="160"/>
      <c r="O16" s="160"/>
      <c r="P16" s="160"/>
      <c r="Q16" s="160"/>
      <c r="R16" s="160"/>
      <c r="S16" s="160"/>
      <c r="T16" s="160"/>
      <c r="U16" s="160"/>
      <c r="V16" s="160"/>
      <c r="W16" s="160"/>
      <c r="X16" s="160"/>
      <c r="Y16" s="160"/>
      <c r="Z16" s="160"/>
      <c r="AA16" s="160"/>
      <c r="AB16" s="161"/>
    </row>
    <row r="17" spans="1:28" ht="59.25" customHeight="1">
      <c r="A17" s="46" t="s">
        <v>72</v>
      </c>
      <c r="B17" s="159"/>
      <c r="C17" s="160"/>
      <c r="D17" s="160"/>
      <c r="E17" s="160"/>
      <c r="F17" s="160"/>
      <c r="G17" s="160"/>
      <c r="H17" s="160"/>
      <c r="I17" s="160"/>
      <c r="J17" s="160"/>
      <c r="K17" s="160"/>
      <c r="L17" s="160"/>
      <c r="M17" s="160"/>
      <c r="N17" s="160"/>
      <c r="O17" s="160"/>
      <c r="P17" s="160"/>
      <c r="Q17" s="160"/>
      <c r="R17" s="160"/>
      <c r="S17" s="160"/>
      <c r="T17" s="160"/>
      <c r="U17" s="160"/>
      <c r="V17" s="160"/>
      <c r="W17" s="160"/>
      <c r="X17" s="160"/>
      <c r="Y17" s="160"/>
      <c r="Z17" s="160"/>
      <c r="AA17" s="160"/>
      <c r="AB17" s="161"/>
    </row>
    <row r="18" spans="1:28" ht="59.25" customHeight="1">
      <c r="A18" s="46" t="s">
        <v>73</v>
      </c>
      <c r="B18" s="159"/>
      <c r="C18" s="160"/>
      <c r="D18" s="160"/>
      <c r="E18" s="160"/>
      <c r="F18" s="160"/>
      <c r="G18" s="160"/>
      <c r="H18" s="160"/>
      <c r="I18" s="160"/>
      <c r="J18" s="160"/>
      <c r="K18" s="160"/>
      <c r="L18" s="160"/>
      <c r="M18" s="160"/>
      <c r="N18" s="160"/>
      <c r="O18" s="160"/>
      <c r="P18" s="160"/>
      <c r="Q18" s="160"/>
      <c r="R18" s="160"/>
      <c r="S18" s="160"/>
      <c r="T18" s="160"/>
      <c r="U18" s="160"/>
      <c r="V18" s="160"/>
      <c r="W18" s="160"/>
      <c r="X18" s="160"/>
      <c r="Y18" s="160"/>
      <c r="Z18" s="160"/>
      <c r="AA18" s="160"/>
      <c r="AB18" s="161"/>
    </row>
    <row r="19" spans="1:28" ht="59.25" customHeight="1">
      <c r="A19" s="46" t="s">
        <v>74</v>
      </c>
      <c r="B19" s="159"/>
      <c r="C19" s="160"/>
      <c r="D19" s="160"/>
      <c r="E19" s="160"/>
      <c r="F19" s="160"/>
      <c r="G19" s="160"/>
      <c r="H19" s="160"/>
      <c r="I19" s="160"/>
      <c r="J19" s="160"/>
      <c r="K19" s="160"/>
      <c r="L19" s="160"/>
      <c r="M19" s="160"/>
      <c r="N19" s="160"/>
      <c r="O19" s="160"/>
      <c r="P19" s="160"/>
      <c r="Q19" s="160"/>
      <c r="R19" s="160"/>
      <c r="S19" s="160"/>
      <c r="T19" s="160"/>
      <c r="U19" s="160"/>
      <c r="V19" s="160"/>
      <c r="W19" s="160"/>
      <c r="X19" s="160"/>
      <c r="Y19" s="160"/>
      <c r="Z19" s="160"/>
      <c r="AA19" s="160"/>
      <c r="AB19" s="161"/>
    </row>
    <row r="20" spans="1:28" ht="59.25" customHeight="1">
      <c r="A20" s="46" t="s">
        <v>75</v>
      </c>
      <c r="B20" s="159"/>
      <c r="C20" s="160"/>
      <c r="D20" s="160"/>
      <c r="E20" s="160"/>
      <c r="F20" s="160"/>
      <c r="G20" s="160"/>
      <c r="H20" s="160"/>
      <c r="I20" s="160"/>
      <c r="J20" s="160"/>
      <c r="K20" s="160"/>
      <c r="L20" s="160"/>
      <c r="M20" s="160"/>
      <c r="N20" s="160"/>
      <c r="O20" s="160"/>
      <c r="P20" s="160"/>
      <c r="Q20" s="160"/>
      <c r="R20" s="160"/>
      <c r="S20" s="160"/>
      <c r="T20" s="160"/>
      <c r="U20" s="160"/>
      <c r="V20" s="160"/>
      <c r="W20" s="160"/>
      <c r="X20" s="160"/>
      <c r="Y20" s="160"/>
      <c r="Z20" s="160"/>
      <c r="AA20" s="160"/>
      <c r="AB20" s="161"/>
    </row>
    <row r="21" spans="1:28" ht="59.25" customHeight="1">
      <c r="A21" s="46" t="s">
        <v>76</v>
      </c>
      <c r="B21" s="159"/>
      <c r="C21" s="160"/>
      <c r="D21" s="160"/>
      <c r="E21" s="160"/>
      <c r="F21" s="160"/>
      <c r="G21" s="160"/>
      <c r="H21" s="160"/>
      <c r="I21" s="160"/>
      <c r="J21" s="160"/>
      <c r="K21" s="160"/>
      <c r="L21" s="160"/>
      <c r="M21" s="160"/>
      <c r="N21" s="160"/>
      <c r="O21" s="160"/>
      <c r="P21" s="160"/>
      <c r="Q21" s="160"/>
      <c r="R21" s="160"/>
      <c r="S21" s="160"/>
      <c r="T21" s="160"/>
      <c r="U21" s="160"/>
      <c r="V21" s="160"/>
      <c r="W21" s="160"/>
      <c r="X21" s="160"/>
      <c r="Y21" s="160"/>
      <c r="Z21" s="160"/>
      <c r="AA21" s="160"/>
      <c r="AB21" s="161"/>
    </row>
    <row r="22" spans="1:28" ht="59.25" customHeight="1">
      <c r="A22" s="46" t="s">
        <v>77</v>
      </c>
      <c r="B22" s="159"/>
      <c r="C22" s="160"/>
      <c r="D22" s="160"/>
      <c r="E22" s="160"/>
      <c r="F22" s="160"/>
      <c r="G22" s="160"/>
      <c r="H22" s="160"/>
      <c r="I22" s="160"/>
      <c r="J22" s="160"/>
      <c r="K22" s="160"/>
      <c r="L22" s="160"/>
      <c r="M22" s="160"/>
      <c r="N22" s="160"/>
      <c r="O22" s="160"/>
      <c r="P22" s="160"/>
      <c r="Q22" s="160"/>
      <c r="R22" s="160"/>
      <c r="S22" s="160"/>
      <c r="T22" s="160"/>
      <c r="U22" s="160"/>
      <c r="V22" s="160"/>
      <c r="W22" s="160"/>
      <c r="X22" s="160"/>
      <c r="Y22" s="160"/>
      <c r="Z22" s="160"/>
      <c r="AA22" s="160"/>
      <c r="AB22" s="161"/>
    </row>
    <row r="23" spans="1:28" ht="59.25" customHeight="1">
      <c r="A23" s="46" t="s">
        <v>78</v>
      </c>
      <c r="B23" s="159"/>
      <c r="C23" s="160"/>
      <c r="D23" s="160"/>
      <c r="E23" s="160"/>
      <c r="F23" s="160"/>
      <c r="G23" s="160"/>
      <c r="H23" s="160"/>
      <c r="I23" s="160"/>
      <c r="J23" s="160"/>
      <c r="K23" s="160"/>
      <c r="L23" s="160"/>
      <c r="M23" s="160"/>
      <c r="N23" s="160"/>
      <c r="O23" s="160"/>
      <c r="P23" s="160"/>
      <c r="Q23" s="160"/>
      <c r="R23" s="160"/>
      <c r="S23" s="160"/>
      <c r="T23" s="160"/>
      <c r="U23" s="160"/>
      <c r="V23" s="160"/>
      <c r="W23" s="160"/>
      <c r="X23" s="160"/>
      <c r="Y23" s="160"/>
      <c r="Z23" s="160"/>
      <c r="AA23" s="160"/>
      <c r="AB23" s="161"/>
    </row>
    <row r="24" spans="1:28" ht="59.25" customHeight="1">
      <c r="A24" s="46" t="s">
        <v>79</v>
      </c>
      <c r="B24" s="159"/>
      <c r="C24" s="160"/>
      <c r="D24" s="160"/>
      <c r="E24" s="160"/>
      <c r="F24" s="160"/>
      <c r="G24" s="160"/>
      <c r="H24" s="160"/>
      <c r="I24" s="160"/>
      <c r="J24" s="160"/>
      <c r="K24" s="160"/>
      <c r="L24" s="160"/>
      <c r="M24" s="160"/>
      <c r="N24" s="160"/>
      <c r="O24" s="160"/>
      <c r="P24" s="160"/>
      <c r="Q24" s="160"/>
      <c r="R24" s="160"/>
      <c r="S24" s="160"/>
      <c r="T24" s="160"/>
      <c r="U24" s="160"/>
      <c r="V24" s="160"/>
      <c r="W24" s="160"/>
      <c r="X24" s="160"/>
      <c r="Y24" s="160"/>
      <c r="Z24" s="160"/>
      <c r="AA24" s="160"/>
      <c r="AB24" s="161"/>
    </row>
    <row r="25" spans="1:28" ht="59.25" customHeight="1">
      <c r="A25" s="46" t="s">
        <v>80</v>
      </c>
      <c r="B25" s="159"/>
      <c r="C25" s="160"/>
      <c r="D25" s="160"/>
      <c r="E25" s="160"/>
      <c r="F25" s="160"/>
      <c r="G25" s="160"/>
      <c r="H25" s="160"/>
      <c r="I25" s="160"/>
      <c r="J25" s="160"/>
      <c r="K25" s="160"/>
      <c r="L25" s="160"/>
      <c r="M25" s="160"/>
      <c r="N25" s="160"/>
      <c r="O25" s="160"/>
      <c r="P25" s="160"/>
      <c r="Q25" s="160"/>
      <c r="R25" s="160"/>
      <c r="S25" s="160"/>
      <c r="T25" s="160"/>
      <c r="U25" s="160"/>
      <c r="V25" s="160"/>
      <c r="W25" s="160"/>
      <c r="X25" s="160"/>
      <c r="Y25" s="160"/>
      <c r="Z25" s="160"/>
      <c r="AA25" s="160"/>
      <c r="AB25" s="161"/>
    </row>
    <row r="26" spans="1:28" ht="59.25" customHeight="1">
      <c r="A26" s="46" t="s">
        <v>81</v>
      </c>
      <c r="B26" s="159"/>
      <c r="C26" s="160"/>
      <c r="D26" s="160"/>
      <c r="E26" s="160"/>
      <c r="F26" s="160"/>
      <c r="G26" s="160"/>
      <c r="H26" s="160"/>
      <c r="I26" s="160"/>
      <c r="J26" s="160"/>
      <c r="K26" s="160"/>
      <c r="L26" s="160"/>
      <c r="M26" s="160"/>
      <c r="N26" s="160"/>
      <c r="O26" s="160"/>
      <c r="P26" s="160"/>
      <c r="Q26" s="160"/>
      <c r="R26" s="160"/>
      <c r="S26" s="160"/>
      <c r="T26" s="160"/>
      <c r="U26" s="160"/>
      <c r="V26" s="160"/>
      <c r="W26" s="160"/>
      <c r="X26" s="160"/>
      <c r="Y26" s="160"/>
      <c r="Z26" s="160"/>
      <c r="AA26" s="160"/>
      <c r="AB26" s="161"/>
    </row>
    <row r="27" spans="1:28" ht="59.25" customHeight="1">
      <c r="A27" s="46" t="s">
        <v>82</v>
      </c>
      <c r="B27" s="159"/>
      <c r="C27" s="160"/>
      <c r="D27" s="160"/>
      <c r="E27" s="160"/>
      <c r="F27" s="160"/>
      <c r="G27" s="160"/>
      <c r="H27" s="160"/>
      <c r="I27" s="160"/>
      <c r="J27" s="160"/>
      <c r="K27" s="160"/>
      <c r="L27" s="160"/>
      <c r="M27" s="160"/>
      <c r="N27" s="160"/>
      <c r="O27" s="160"/>
      <c r="P27" s="160"/>
      <c r="Q27" s="160"/>
      <c r="R27" s="160"/>
      <c r="S27" s="160"/>
      <c r="T27" s="160"/>
      <c r="U27" s="160"/>
      <c r="V27" s="160"/>
      <c r="W27" s="160"/>
      <c r="X27" s="160"/>
      <c r="Y27" s="160"/>
      <c r="Z27" s="160"/>
      <c r="AA27" s="160"/>
      <c r="AB27" s="161"/>
    </row>
    <row r="28" spans="1:28" ht="59.25" customHeight="1">
      <c r="A28" s="46" t="s">
        <v>83</v>
      </c>
      <c r="B28" s="159"/>
      <c r="C28" s="160"/>
      <c r="D28" s="160"/>
      <c r="E28" s="160"/>
      <c r="F28" s="160"/>
      <c r="G28" s="160"/>
      <c r="H28" s="160"/>
      <c r="I28" s="160"/>
      <c r="J28" s="160"/>
      <c r="K28" s="160"/>
      <c r="L28" s="160"/>
      <c r="M28" s="160"/>
      <c r="N28" s="160"/>
      <c r="O28" s="160"/>
      <c r="P28" s="160"/>
      <c r="Q28" s="160"/>
      <c r="R28" s="160"/>
      <c r="S28" s="160"/>
      <c r="T28" s="160"/>
      <c r="U28" s="160"/>
      <c r="V28" s="160"/>
      <c r="W28" s="160"/>
      <c r="X28" s="160"/>
      <c r="Y28" s="160"/>
      <c r="Z28" s="160"/>
      <c r="AA28" s="160"/>
      <c r="AB28" s="161"/>
    </row>
    <row r="29" spans="1:28" ht="59.25" customHeight="1">
      <c r="A29" s="46" t="s">
        <v>84</v>
      </c>
      <c r="B29" s="159"/>
      <c r="C29" s="160"/>
      <c r="D29" s="160"/>
      <c r="E29" s="160"/>
      <c r="F29" s="160"/>
      <c r="G29" s="160"/>
      <c r="H29" s="160"/>
      <c r="I29" s="160"/>
      <c r="J29" s="160"/>
      <c r="K29" s="160"/>
      <c r="L29" s="160"/>
      <c r="M29" s="160"/>
      <c r="N29" s="160"/>
      <c r="O29" s="160"/>
      <c r="P29" s="160"/>
      <c r="Q29" s="160"/>
      <c r="R29" s="160"/>
      <c r="S29" s="160"/>
      <c r="T29" s="160"/>
      <c r="U29" s="160"/>
      <c r="V29" s="160"/>
      <c r="W29" s="160"/>
      <c r="X29" s="160"/>
      <c r="Y29" s="160"/>
      <c r="Z29" s="160"/>
      <c r="AA29" s="160"/>
      <c r="AB29" s="161"/>
    </row>
    <row r="30" spans="1:28" ht="59.25" customHeight="1">
      <c r="A30" s="46" t="s">
        <v>85</v>
      </c>
      <c r="B30" s="159"/>
      <c r="C30" s="160"/>
      <c r="D30" s="160"/>
      <c r="E30" s="160"/>
      <c r="F30" s="160"/>
      <c r="G30" s="160"/>
      <c r="H30" s="160"/>
      <c r="I30" s="160"/>
      <c r="J30" s="160"/>
      <c r="K30" s="160"/>
      <c r="L30" s="160"/>
      <c r="M30" s="160"/>
      <c r="N30" s="160"/>
      <c r="O30" s="160"/>
      <c r="P30" s="160"/>
      <c r="Q30" s="160"/>
      <c r="R30" s="160"/>
      <c r="S30" s="160"/>
      <c r="T30" s="160"/>
      <c r="U30" s="160"/>
      <c r="V30" s="160"/>
      <c r="W30" s="160"/>
      <c r="X30" s="160"/>
      <c r="Y30" s="160"/>
      <c r="Z30" s="160"/>
      <c r="AA30" s="160"/>
      <c r="AB30" s="161"/>
    </row>
    <row r="31" spans="1:28" ht="59.25" customHeight="1">
      <c r="A31" s="46" t="s">
        <v>86</v>
      </c>
      <c r="B31" s="159"/>
      <c r="C31" s="160"/>
      <c r="D31" s="160"/>
      <c r="E31" s="160"/>
      <c r="F31" s="160"/>
      <c r="G31" s="160"/>
      <c r="H31" s="160"/>
      <c r="I31" s="160"/>
      <c r="J31" s="160"/>
      <c r="K31" s="160"/>
      <c r="L31" s="160"/>
      <c r="M31" s="160"/>
      <c r="N31" s="160"/>
      <c r="O31" s="160"/>
      <c r="P31" s="160"/>
      <c r="Q31" s="160"/>
      <c r="R31" s="160"/>
      <c r="S31" s="160"/>
      <c r="T31" s="160"/>
      <c r="U31" s="160"/>
      <c r="V31" s="160"/>
      <c r="W31" s="160"/>
      <c r="X31" s="160"/>
      <c r="Y31" s="160"/>
      <c r="Z31" s="160"/>
      <c r="AA31" s="160"/>
      <c r="AB31" s="161"/>
    </row>
    <row r="32" spans="1:28" ht="59.25" customHeight="1">
      <c r="A32" s="46" t="s">
        <v>87</v>
      </c>
      <c r="B32" s="159"/>
      <c r="C32" s="160"/>
      <c r="D32" s="160"/>
      <c r="E32" s="160"/>
      <c r="F32" s="160"/>
      <c r="G32" s="160"/>
      <c r="H32" s="160"/>
      <c r="I32" s="160"/>
      <c r="J32" s="160"/>
      <c r="K32" s="160"/>
      <c r="L32" s="160"/>
      <c r="M32" s="160"/>
      <c r="N32" s="160"/>
      <c r="O32" s="160"/>
      <c r="P32" s="160"/>
      <c r="Q32" s="160"/>
      <c r="R32" s="160"/>
      <c r="S32" s="160"/>
      <c r="T32" s="160"/>
      <c r="U32" s="160"/>
      <c r="V32" s="160"/>
      <c r="W32" s="160"/>
      <c r="X32" s="160"/>
      <c r="Y32" s="160"/>
      <c r="Z32" s="160"/>
      <c r="AA32" s="160"/>
      <c r="AB32" s="161"/>
    </row>
    <row r="33" spans="1:28" ht="59.25" customHeight="1">
      <c r="A33" s="46" t="s">
        <v>88</v>
      </c>
      <c r="B33" s="159"/>
      <c r="C33" s="160"/>
      <c r="D33" s="160"/>
      <c r="E33" s="160"/>
      <c r="F33" s="160"/>
      <c r="G33" s="160"/>
      <c r="H33" s="160"/>
      <c r="I33" s="160"/>
      <c r="J33" s="160"/>
      <c r="K33" s="160"/>
      <c r="L33" s="160"/>
      <c r="M33" s="160"/>
      <c r="N33" s="160"/>
      <c r="O33" s="160"/>
      <c r="P33" s="160"/>
      <c r="Q33" s="160"/>
      <c r="R33" s="160"/>
      <c r="S33" s="160"/>
      <c r="T33" s="160"/>
      <c r="U33" s="160"/>
      <c r="V33" s="160"/>
      <c r="W33" s="160"/>
      <c r="X33" s="160"/>
      <c r="Y33" s="160"/>
      <c r="Z33" s="160"/>
      <c r="AA33" s="160"/>
      <c r="AB33" s="161"/>
    </row>
    <row r="34" spans="1:28" ht="59.25" customHeight="1">
      <c r="A34" s="46" t="s">
        <v>89</v>
      </c>
      <c r="B34" s="159"/>
      <c r="C34" s="160"/>
      <c r="D34" s="160"/>
      <c r="E34" s="160"/>
      <c r="F34" s="160"/>
      <c r="G34" s="160"/>
      <c r="H34" s="160"/>
      <c r="I34" s="160"/>
      <c r="J34" s="160"/>
      <c r="K34" s="160"/>
      <c r="L34" s="160"/>
      <c r="M34" s="160"/>
      <c r="N34" s="160"/>
      <c r="O34" s="160"/>
      <c r="P34" s="160"/>
      <c r="Q34" s="160"/>
      <c r="R34" s="160"/>
      <c r="S34" s="160"/>
      <c r="T34" s="160"/>
      <c r="U34" s="160"/>
      <c r="V34" s="160"/>
      <c r="W34" s="160"/>
      <c r="X34" s="160"/>
      <c r="Y34" s="160"/>
      <c r="Z34" s="160"/>
      <c r="AA34" s="160"/>
      <c r="AB34" s="161"/>
    </row>
    <row r="35" spans="1:28" ht="59.25" customHeight="1">
      <c r="A35" s="46" t="s">
        <v>90</v>
      </c>
      <c r="B35" s="159"/>
      <c r="C35" s="160"/>
      <c r="D35" s="160"/>
      <c r="E35" s="160"/>
      <c r="F35" s="160"/>
      <c r="G35" s="160"/>
      <c r="H35" s="160"/>
      <c r="I35" s="160"/>
      <c r="J35" s="160"/>
      <c r="K35" s="160"/>
      <c r="L35" s="160"/>
      <c r="M35" s="160"/>
      <c r="N35" s="160"/>
      <c r="O35" s="160"/>
      <c r="P35" s="160"/>
      <c r="Q35" s="160"/>
      <c r="R35" s="160"/>
      <c r="S35" s="160"/>
      <c r="T35" s="160"/>
      <c r="U35" s="160"/>
      <c r="V35" s="160"/>
      <c r="W35" s="160"/>
      <c r="X35" s="160"/>
      <c r="Y35" s="160"/>
      <c r="Z35" s="160"/>
      <c r="AA35" s="160"/>
      <c r="AB35" s="161"/>
    </row>
    <row r="36" spans="1:28" ht="59.25" customHeight="1">
      <c r="A36" s="46"/>
      <c r="B36" s="159"/>
      <c r="C36" s="160"/>
      <c r="D36" s="160"/>
      <c r="E36" s="160"/>
      <c r="F36" s="160"/>
      <c r="G36" s="160"/>
      <c r="H36" s="160"/>
      <c r="I36" s="160"/>
      <c r="J36" s="160"/>
      <c r="K36" s="160"/>
      <c r="L36" s="160"/>
      <c r="M36" s="160"/>
      <c r="N36" s="160"/>
      <c r="O36" s="160"/>
      <c r="P36" s="160"/>
      <c r="Q36" s="160"/>
      <c r="R36" s="160"/>
      <c r="S36" s="160"/>
      <c r="T36" s="160"/>
      <c r="U36" s="160"/>
      <c r="V36" s="160"/>
      <c r="W36" s="160"/>
      <c r="X36" s="160"/>
      <c r="Y36" s="160"/>
      <c r="Z36" s="160"/>
      <c r="AA36" s="160"/>
      <c r="AB36" s="161"/>
    </row>
    <row r="37" spans="1:28" ht="59.25" customHeight="1">
      <c r="A37" s="46"/>
      <c r="B37" s="159"/>
      <c r="C37" s="160"/>
      <c r="D37" s="160"/>
      <c r="E37" s="160"/>
      <c r="F37" s="160"/>
      <c r="G37" s="160"/>
      <c r="H37" s="160"/>
      <c r="I37" s="160"/>
      <c r="J37" s="160"/>
      <c r="K37" s="160"/>
      <c r="L37" s="160"/>
      <c r="M37" s="160"/>
      <c r="N37" s="160"/>
      <c r="O37" s="160"/>
      <c r="P37" s="160"/>
      <c r="Q37" s="160"/>
      <c r="R37" s="160"/>
      <c r="S37" s="160"/>
      <c r="T37" s="160"/>
      <c r="U37" s="160"/>
      <c r="V37" s="160"/>
      <c r="W37" s="160"/>
      <c r="X37" s="160"/>
      <c r="Y37" s="160"/>
      <c r="Z37" s="160"/>
      <c r="AA37" s="160"/>
      <c r="AB37" s="161"/>
    </row>
    <row r="38" spans="1:28" ht="59.25" customHeight="1">
      <c r="A38" s="46"/>
      <c r="B38" s="159"/>
      <c r="C38" s="160"/>
      <c r="D38" s="160"/>
      <c r="E38" s="160"/>
      <c r="F38" s="160"/>
      <c r="G38" s="160"/>
      <c r="H38" s="160"/>
      <c r="I38" s="160"/>
      <c r="J38" s="160"/>
      <c r="K38" s="160"/>
      <c r="L38" s="160"/>
      <c r="M38" s="160"/>
      <c r="N38" s="160"/>
      <c r="O38" s="160"/>
      <c r="P38" s="160"/>
      <c r="Q38" s="160"/>
      <c r="R38" s="160"/>
      <c r="S38" s="160"/>
      <c r="T38" s="160"/>
      <c r="U38" s="160"/>
      <c r="V38" s="160"/>
      <c r="W38" s="160"/>
      <c r="X38" s="160"/>
      <c r="Y38" s="160"/>
      <c r="Z38" s="160"/>
      <c r="AA38" s="160"/>
      <c r="AB38" s="161"/>
    </row>
    <row r="39" spans="1:28" ht="59.25" customHeight="1">
      <c r="A39" s="46"/>
      <c r="B39" s="159"/>
      <c r="C39" s="160"/>
      <c r="D39" s="160"/>
      <c r="E39" s="160"/>
      <c r="F39" s="160"/>
      <c r="G39" s="160"/>
      <c r="H39" s="160"/>
      <c r="I39" s="160"/>
      <c r="J39" s="160"/>
      <c r="K39" s="160"/>
      <c r="L39" s="160"/>
      <c r="M39" s="160"/>
      <c r="N39" s="160"/>
      <c r="O39" s="160"/>
      <c r="P39" s="160"/>
      <c r="Q39" s="160"/>
      <c r="R39" s="160"/>
      <c r="S39" s="160"/>
      <c r="T39" s="160"/>
      <c r="U39" s="160"/>
      <c r="V39" s="160"/>
      <c r="W39" s="160"/>
      <c r="X39" s="160"/>
      <c r="Y39" s="160"/>
      <c r="Z39" s="160"/>
      <c r="AA39" s="160"/>
      <c r="AB39" s="161"/>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B38:AB38"/>
    <mergeCell ref="B39:AB39"/>
    <mergeCell ref="B28:AB28"/>
    <mergeCell ref="B29:AB29"/>
    <mergeCell ref="B30:AB30"/>
    <mergeCell ref="B31:AB31"/>
    <mergeCell ref="B32:AB32"/>
    <mergeCell ref="B33:AB33"/>
    <mergeCell ref="B34:AB34"/>
    <mergeCell ref="B35:AB35"/>
    <mergeCell ref="B36:AB36"/>
    <mergeCell ref="B37:AB37"/>
    <mergeCell ref="B23:AB23"/>
    <mergeCell ref="B24:AB24"/>
    <mergeCell ref="B25:AB25"/>
    <mergeCell ref="B26:AB26"/>
    <mergeCell ref="B27:AB27"/>
    <mergeCell ref="B18:AB18"/>
    <mergeCell ref="B19:AB19"/>
    <mergeCell ref="B20:AB20"/>
    <mergeCell ref="B21:AB21"/>
    <mergeCell ref="B22:AB22"/>
    <mergeCell ref="A2:A12"/>
    <mergeCell ref="B14:AB14"/>
    <mergeCell ref="B15:AB15"/>
    <mergeCell ref="B16:AB16"/>
    <mergeCell ref="B17:AB17"/>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1"/>
  </sheetPr>
  <dimension ref="A1:AD193"/>
  <sheetViews>
    <sheetView workbookViewId="0">
      <selection sqref="A1:XFD1048576"/>
    </sheetView>
  </sheetViews>
  <sheetFormatPr defaultRowHeight="13.5"/>
  <cols>
    <col min="1" max="1" width="13.5" style="8" customWidth="1"/>
    <col min="2" max="2" width="79.125" style="8" customWidth="1"/>
    <col min="3" max="3" width="9.375" style="8" customWidth="1"/>
    <col min="4" max="28" width="4.125" style="8" customWidth="1"/>
    <col min="29" max="16384" width="9" style="8"/>
  </cols>
  <sheetData>
    <row r="1" spans="1:30" ht="85.5" customHeight="1">
      <c r="A1" s="33" t="str">
        <f ca="1">MID(CELL("filename",A1),FIND("[",CELL("filename",A1))+1,3)</f>
        <v>５－１</v>
      </c>
      <c r="B1" s="34" t="str">
        <f ca="1">RIGHT(CELL("filename",B1),LEN(CELL("filename",B1))-FIND("]",CELL("filename",B1)))</f>
        <v>図工</v>
      </c>
      <c r="C1" s="35" t="s">
        <v>25</v>
      </c>
      <c r="D1" s="36" t="str">
        <f>A15</f>
        <v>阿部 光希</v>
      </c>
      <c r="E1" s="36" t="str">
        <f>A16</f>
        <v>池田 篤也</v>
      </c>
      <c r="F1" s="36" t="str">
        <f>A17</f>
        <v>荻原 健史</v>
      </c>
      <c r="G1" s="36" t="str">
        <f>A18</f>
        <v>上條 里紗</v>
      </c>
      <c r="H1" s="36" t="str">
        <f>A19</f>
        <v>小森 美柚</v>
      </c>
      <c r="I1" s="36" t="str">
        <f>A20</f>
        <v>酒巻 紋子</v>
      </c>
      <c r="J1" s="36" t="str">
        <f>A21</f>
        <v>滝 真佳</v>
      </c>
      <c r="K1" s="36" t="str">
        <f>A22</f>
        <v>都筑 斉</v>
      </c>
      <c r="L1" s="36" t="str">
        <f>A23</f>
        <v>傳田 悠藍</v>
      </c>
      <c r="M1" s="36" t="str">
        <f>A24</f>
        <v>中原 照真</v>
      </c>
      <c r="N1" s="36" t="str">
        <f>A25</f>
        <v>永原 愛羅</v>
      </c>
      <c r="O1" s="36" t="str">
        <f>A26</f>
        <v>根橋 宏匡</v>
      </c>
      <c r="P1" s="36" t="str">
        <f>A27</f>
        <v>平野 悠</v>
      </c>
      <c r="Q1" s="36" t="str">
        <f>A28</f>
        <v>丸山 大河</v>
      </c>
      <c r="R1" s="36" t="str">
        <f>A29</f>
        <v>三浦 和成</v>
      </c>
      <c r="S1" s="36" t="str">
        <f>A30</f>
        <v>三澤 桜來</v>
      </c>
      <c r="T1" s="36" t="str">
        <f>A31</f>
        <v>明嵐 瑛大</v>
      </c>
      <c r="U1" s="36" t="str">
        <f>A32</f>
        <v>屋井 皓</v>
      </c>
      <c r="V1" s="36" t="str">
        <f>A33</f>
        <v>若松 優羽花</v>
      </c>
      <c r="W1" s="36" t="str">
        <f>A34</f>
        <v>渡邊 葉子</v>
      </c>
      <c r="X1" s="36" t="str">
        <f>A35</f>
        <v>綿貫 叶乃音</v>
      </c>
      <c r="Y1" s="36">
        <f>A36</f>
        <v>0</v>
      </c>
      <c r="Z1" s="36">
        <f>A37</f>
        <v>0</v>
      </c>
      <c r="AA1" s="36">
        <f>A38</f>
        <v>0</v>
      </c>
      <c r="AB1" s="36">
        <f>A39</f>
        <v>0</v>
      </c>
      <c r="AC1" s="37"/>
    </row>
    <row r="2" spans="1:30" ht="22.5" customHeight="1">
      <c r="A2" s="153" t="s">
        <v>220</v>
      </c>
      <c r="B2" s="78" t="s">
        <v>133</v>
      </c>
      <c r="C2" s="38" t="s">
        <v>26</v>
      </c>
      <c r="D2" s="39" t="s">
        <v>205</v>
      </c>
      <c r="E2" s="39" t="s">
        <v>206</v>
      </c>
      <c r="F2" s="39" t="s">
        <v>205</v>
      </c>
      <c r="G2" s="39" t="s">
        <v>223</v>
      </c>
      <c r="H2" s="39" t="s">
        <v>206</v>
      </c>
      <c r="I2" s="39" t="s">
        <v>223</v>
      </c>
      <c r="J2" s="39" t="s">
        <v>206</v>
      </c>
      <c r="K2" s="39" t="s">
        <v>222</v>
      </c>
      <c r="L2" s="39" t="s">
        <v>264</v>
      </c>
      <c r="M2" s="39" t="s">
        <v>206</v>
      </c>
      <c r="N2" s="39" t="s">
        <v>206</v>
      </c>
      <c r="O2" s="39" t="s">
        <v>206</v>
      </c>
      <c r="P2" s="39" t="s">
        <v>223</v>
      </c>
      <c r="Q2" s="39" t="s">
        <v>205</v>
      </c>
      <c r="R2" s="39" t="s">
        <v>206</v>
      </c>
      <c r="S2" s="39" t="s">
        <v>205</v>
      </c>
      <c r="T2" s="39" t="s">
        <v>222</v>
      </c>
      <c r="U2" s="39" t="s">
        <v>206</v>
      </c>
      <c r="V2" s="39" t="s">
        <v>206</v>
      </c>
      <c r="W2" s="39" t="s">
        <v>206</v>
      </c>
      <c r="X2" s="39" t="s">
        <v>206</v>
      </c>
      <c r="Y2" s="39"/>
      <c r="Z2" s="39"/>
      <c r="AA2" s="39"/>
      <c r="AB2" s="39"/>
      <c r="AC2" s="40" t="s">
        <v>223</v>
      </c>
      <c r="AD2" s="40">
        <v>1</v>
      </c>
    </row>
    <row r="3" spans="1:30" ht="22.5" customHeight="1">
      <c r="A3" s="154"/>
      <c r="B3" s="78" t="s">
        <v>134</v>
      </c>
      <c r="C3" s="38" t="s">
        <v>26</v>
      </c>
      <c r="D3" s="39" t="s">
        <v>222</v>
      </c>
      <c r="E3" s="39" t="s">
        <v>222</v>
      </c>
      <c r="F3" s="39" t="s">
        <v>205</v>
      </c>
      <c r="G3" s="39" t="s">
        <v>223</v>
      </c>
      <c r="H3" s="39" t="s">
        <v>205</v>
      </c>
      <c r="I3" s="39" t="s">
        <v>223</v>
      </c>
      <c r="J3" s="39" t="s">
        <v>205</v>
      </c>
      <c r="K3" s="39" t="s">
        <v>205</v>
      </c>
      <c r="L3" s="39" t="s">
        <v>223</v>
      </c>
      <c r="M3" s="39" t="s">
        <v>222</v>
      </c>
      <c r="N3" s="39" t="s">
        <v>205</v>
      </c>
      <c r="O3" s="39" t="s">
        <v>223</v>
      </c>
      <c r="P3" s="39" t="s">
        <v>222</v>
      </c>
      <c r="Q3" s="39" t="s">
        <v>222</v>
      </c>
      <c r="R3" s="39" t="s">
        <v>222</v>
      </c>
      <c r="S3" s="39" t="s">
        <v>223</v>
      </c>
      <c r="T3" s="39" t="s">
        <v>222</v>
      </c>
      <c r="U3" s="39" t="s">
        <v>222</v>
      </c>
      <c r="V3" s="39" t="s">
        <v>223</v>
      </c>
      <c r="W3" s="39" t="s">
        <v>206</v>
      </c>
      <c r="X3" s="39" t="s">
        <v>223</v>
      </c>
      <c r="Y3" s="39"/>
      <c r="Z3" s="39"/>
      <c r="AA3" s="39"/>
      <c r="AB3" s="39"/>
      <c r="AC3" s="40" t="s">
        <v>206</v>
      </c>
      <c r="AD3" s="40">
        <v>2</v>
      </c>
    </row>
    <row r="4" spans="1:30" ht="22.5" customHeight="1">
      <c r="A4" s="154"/>
      <c r="B4" s="78" t="s">
        <v>135</v>
      </c>
      <c r="C4" s="38" t="s">
        <v>26</v>
      </c>
      <c r="D4" s="39" t="s">
        <v>222</v>
      </c>
      <c r="E4" s="39" t="s">
        <v>222</v>
      </c>
      <c r="F4" s="39" t="s">
        <v>223</v>
      </c>
      <c r="G4" s="39" t="s">
        <v>223</v>
      </c>
      <c r="H4" s="39" t="s">
        <v>205</v>
      </c>
      <c r="I4" s="39" t="s">
        <v>223</v>
      </c>
      <c r="J4" s="39" t="s">
        <v>205</v>
      </c>
      <c r="K4" s="39" t="s">
        <v>222</v>
      </c>
      <c r="L4" s="39" t="s">
        <v>222</v>
      </c>
      <c r="M4" s="39" t="s">
        <v>224</v>
      </c>
      <c r="N4" s="39" t="s">
        <v>222</v>
      </c>
      <c r="O4" s="39" t="s">
        <v>207</v>
      </c>
      <c r="P4" s="39" t="s">
        <v>223</v>
      </c>
      <c r="Q4" s="39" t="s">
        <v>222</v>
      </c>
      <c r="R4" s="39" t="s">
        <v>224</v>
      </c>
      <c r="S4" s="39" t="s">
        <v>223</v>
      </c>
      <c r="T4" s="39" t="s">
        <v>222</v>
      </c>
      <c r="U4" s="39" t="s">
        <v>222</v>
      </c>
      <c r="V4" s="39" t="s">
        <v>223</v>
      </c>
      <c r="W4" s="39" t="s">
        <v>222</v>
      </c>
      <c r="X4" s="39" t="s">
        <v>223</v>
      </c>
      <c r="Y4" s="39"/>
      <c r="Z4" s="39"/>
      <c r="AA4" s="39"/>
      <c r="AB4" s="39"/>
      <c r="AC4" s="40" t="s">
        <v>224</v>
      </c>
      <c r="AD4" s="40">
        <v>3</v>
      </c>
    </row>
    <row r="5" spans="1:30" ht="22.5" customHeight="1">
      <c r="A5" s="154"/>
      <c r="B5" s="41"/>
      <c r="C5" s="38" t="s">
        <v>26</v>
      </c>
      <c r="D5" s="39"/>
      <c r="E5" s="39"/>
      <c r="F5" s="39"/>
      <c r="G5" s="39"/>
      <c r="H5" s="39"/>
      <c r="I5" s="39"/>
      <c r="J5" s="39"/>
      <c r="K5" s="39"/>
      <c r="L5" s="39"/>
      <c r="M5" s="39"/>
      <c r="N5" s="39"/>
      <c r="O5" s="39"/>
      <c r="P5" s="39"/>
      <c r="Q5" s="39"/>
      <c r="R5" s="39"/>
      <c r="S5" s="39"/>
      <c r="T5" s="39"/>
      <c r="U5" s="39"/>
      <c r="V5" s="39"/>
      <c r="W5" s="39"/>
      <c r="X5" s="39"/>
      <c r="Y5" s="39"/>
      <c r="Z5" s="39"/>
      <c r="AA5" s="39"/>
      <c r="AB5" s="39"/>
      <c r="AC5" s="40" t="s">
        <v>225</v>
      </c>
      <c r="AD5" s="40">
        <v>4</v>
      </c>
    </row>
    <row r="6" spans="1:30" ht="22.5" customHeight="1">
      <c r="A6" s="154"/>
      <c r="B6" s="41"/>
      <c r="C6" s="38" t="s">
        <v>26</v>
      </c>
      <c r="D6" s="39"/>
      <c r="E6" s="39"/>
      <c r="F6" s="39"/>
      <c r="G6" s="39"/>
      <c r="H6" s="39"/>
      <c r="I6" s="39"/>
      <c r="J6" s="39"/>
      <c r="K6" s="39"/>
      <c r="L6" s="39"/>
      <c r="M6" s="39"/>
      <c r="N6" s="39"/>
      <c r="O6" s="39"/>
      <c r="P6" s="39"/>
      <c r="Q6" s="39"/>
      <c r="R6" s="39"/>
      <c r="S6" s="39"/>
      <c r="T6" s="39"/>
      <c r="U6" s="39"/>
      <c r="V6" s="39"/>
      <c r="W6" s="39"/>
      <c r="X6" s="39"/>
      <c r="Y6" s="39"/>
      <c r="Z6" s="39"/>
      <c r="AA6" s="39"/>
      <c r="AB6" s="39"/>
      <c r="AC6" s="40"/>
      <c r="AD6" s="40">
        <v>5</v>
      </c>
    </row>
    <row r="7" spans="1:30" ht="22.5" customHeight="1">
      <c r="A7" s="154"/>
      <c r="B7" s="41"/>
      <c r="C7" s="38" t="s">
        <v>26</v>
      </c>
      <c r="D7" s="39"/>
      <c r="E7" s="39"/>
      <c r="F7" s="39"/>
      <c r="G7" s="39"/>
      <c r="H7" s="39"/>
      <c r="I7" s="39"/>
      <c r="J7" s="39"/>
      <c r="K7" s="39"/>
      <c r="L7" s="39"/>
      <c r="M7" s="39"/>
      <c r="N7" s="39"/>
      <c r="O7" s="39"/>
      <c r="P7" s="39"/>
      <c r="Q7" s="39"/>
      <c r="R7" s="39"/>
      <c r="S7" s="39"/>
      <c r="T7" s="39"/>
      <c r="U7" s="39"/>
      <c r="V7" s="39"/>
      <c r="W7" s="39"/>
      <c r="X7" s="39"/>
      <c r="Y7" s="39"/>
      <c r="Z7" s="39"/>
      <c r="AA7" s="39"/>
      <c r="AB7" s="39"/>
      <c r="AC7" s="40"/>
      <c r="AD7" s="40" t="s">
        <v>225</v>
      </c>
    </row>
    <row r="8" spans="1:30" ht="22.5" customHeight="1">
      <c r="A8" s="154"/>
      <c r="B8" s="41"/>
      <c r="C8" s="38" t="s">
        <v>26</v>
      </c>
      <c r="D8" s="39"/>
      <c r="E8" s="39"/>
      <c r="F8" s="39"/>
      <c r="G8" s="39"/>
      <c r="H8" s="39"/>
      <c r="I8" s="39"/>
      <c r="J8" s="39"/>
      <c r="K8" s="39"/>
      <c r="L8" s="39"/>
      <c r="M8" s="39"/>
      <c r="N8" s="39"/>
      <c r="O8" s="39"/>
      <c r="P8" s="39"/>
      <c r="Q8" s="39"/>
      <c r="R8" s="39"/>
      <c r="S8" s="39"/>
      <c r="T8" s="39"/>
      <c r="U8" s="39"/>
      <c r="V8" s="39"/>
      <c r="W8" s="39"/>
      <c r="X8" s="39"/>
      <c r="Y8" s="39"/>
      <c r="Z8" s="39"/>
      <c r="AA8" s="39"/>
      <c r="AB8" s="39"/>
    </row>
    <row r="9" spans="1:30" ht="22.5" customHeight="1">
      <c r="A9" s="154"/>
      <c r="B9" s="41"/>
      <c r="C9" s="38" t="s">
        <v>26</v>
      </c>
      <c r="D9" s="39"/>
      <c r="E9" s="39"/>
      <c r="F9" s="39"/>
      <c r="G9" s="39"/>
      <c r="H9" s="39"/>
      <c r="I9" s="39"/>
      <c r="J9" s="39"/>
      <c r="K9" s="39"/>
      <c r="L9" s="39"/>
      <c r="M9" s="39"/>
      <c r="N9" s="39"/>
      <c r="O9" s="39"/>
      <c r="P9" s="39"/>
      <c r="Q9" s="39"/>
      <c r="R9" s="39"/>
      <c r="S9" s="39"/>
      <c r="T9" s="39"/>
      <c r="U9" s="39"/>
      <c r="V9" s="39"/>
      <c r="W9" s="39"/>
      <c r="X9" s="39"/>
      <c r="Y9" s="39"/>
      <c r="Z9" s="39"/>
      <c r="AA9" s="39"/>
      <c r="AB9" s="39"/>
    </row>
    <row r="10" spans="1:30" ht="22.5" customHeight="1">
      <c r="A10" s="154"/>
      <c r="B10" s="41"/>
      <c r="C10" s="38" t="s">
        <v>26</v>
      </c>
      <c r="D10" s="39"/>
      <c r="E10" s="39"/>
      <c r="F10" s="39"/>
      <c r="G10" s="39"/>
      <c r="H10" s="39"/>
      <c r="I10" s="39"/>
      <c r="J10" s="39"/>
      <c r="K10" s="39"/>
      <c r="L10" s="39"/>
      <c r="M10" s="39"/>
      <c r="N10" s="39"/>
      <c r="O10" s="39"/>
      <c r="P10" s="39"/>
      <c r="Q10" s="39"/>
      <c r="R10" s="39"/>
      <c r="S10" s="39"/>
      <c r="T10" s="39"/>
      <c r="U10" s="39"/>
      <c r="V10" s="39"/>
      <c r="W10" s="39"/>
      <c r="X10" s="39"/>
      <c r="Y10" s="39"/>
      <c r="Z10" s="39"/>
      <c r="AA10" s="39"/>
      <c r="AB10" s="39"/>
    </row>
    <row r="11" spans="1:30" ht="22.5" customHeight="1">
      <c r="A11" s="154"/>
      <c r="B11" s="41"/>
      <c r="C11" s="38" t="s">
        <v>26</v>
      </c>
      <c r="D11" s="39"/>
      <c r="E11" s="39"/>
      <c r="F11" s="39"/>
      <c r="G11" s="39"/>
      <c r="H11" s="39"/>
      <c r="I11" s="39"/>
      <c r="J11" s="39"/>
      <c r="K11" s="39"/>
      <c r="L11" s="39"/>
      <c r="M11" s="39"/>
      <c r="N11" s="39"/>
      <c r="O11" s="39"/>
      <c r="P11" s="39"/>
      <c r="Q11" s="39"/>
      <c r="R11" s="39"/>
      <c r="S11" s="39"/>
      <c r="T11" s="39"/>
      <c r="U11" s="39"/>
      <c r="V11" s="39"/>
      <c r="W11" s="39"/>
      <c r="X11" s="39"/>
      <c r="Y11" s="39"/>
      <c r="Z11" s="39"/>
      <c r="AA11" s="39"/>
      <c r="AB11" s="39"/>
    </row>
    <row r="12" spans="1:30" ht="30" customHeight="1">
      <c r="A12" s="155"/>
      <c r="B12" s="42"/>
      <c r="C12" s="43" t="s">
        <v>27</v>
      </c>
      <c r="D12" s="39">
        <v>4</v>
      </c>
      <c r="E12" s="39">
        <v>3</v>
      </c>
      <c r="F12" s="39">
        <v>5</v>
      </c>
      <c r="G12" s="39">
        <v>5</v>
      </c>
      <c r="H12" s="39">
        <v>4</v>
      </c>
      <c r="I12" s="39">
        <v>5</v>
      </c>
      <c r="J12" s="39">
        <v>4</v>
      </c>
      <c r="K12" s="39">
        <v>3</v>
      </c>
      <c r="L12" s="39">
        <v>4</v>
      </c>
      <c r="M12" s="39">
        <v>3</v>
      </c>
      <c r="N12" s="39">
        <v>3</v>
      </c>
      <c r="O12" s="39">
        <v>3</v>
      </c>
      <c r="P12" s="39">
        <v>4</v>
      </c>
      <c r="Q12" s="39">
        <v>3</v>
      </c>
      <c r="R12" s="39">
        <v>3</v>
      </c>
      <c r="S12" s="39">
        <v>5</v>
      </c>
      <c r="T12" s="39">
        <v>3</v>
      </c>
      <c r="U12" s="39">
        <v>3</v>
      </c>
      <c r="V12" s="39">
        <v>4</v>
      </c>
      <c r="W12" s="39">
        <v>3</v>
      </c>
      <c r="X12" s="39">
        <v>4</v>
      </c>
      <c r="Y12" s="39"/>
      <c r="Z12" s="39"/>
      <c r="AA12" s="39"/>
      <c r="AB12" s="39"/>
    </row>
    <row r="13" spans="1:30" ht="26.25" customHeight="1">
      <c r="A13" s="44"/>
      <c r="B13" s="44"/>
      <c r="C13" s="81" t="s">
        <v>62</v>
      </c>
      <c r="D13" s="39"/>
      <c r="E13" s="39"/>
      <c r="F13" s="39"/>
      <c r="G13" s="39"/>
      <c r="H13" s="39"/>
      <c r="I13" s="39"/>
      <c r="J13" s="39"/>
      <c r="K13" s="39"/>
      <c r="L13" s="39"/>
      <c r="M13" s="39"/>
      <c r="N13" s="39"/>
      <c r="O13" s="39"/>
      <c r="P13" s="39"/>
      <c r="Q13" s="39"/>
      <c r="R13" s="39"/>
      <c r="S13" s="39"/>
      <c r="T13" s="39"/>
      <c r="U13" s="39"/>
      <c r="V13" s="39"/>
      <c r="W13" s="39"/>
      <c r="X13" s="39"/>
      <c r="Y13" s="39"/>
      <c r="Z13" s="39"/>
      <c r="AA13" s="39"/>
      <c r="AB13" s="39"/>
    </row>
    <row r="14" spans="1:30" ht="22.5" customHeight="1">
      <c r="A14" s="45" t="s">
        <v>28</v>
      </c>
      <c r="B14" s="156" t="s">
        <v>29</v>
      </c>
      <c r="C14" s="157"/>
      <c r="D14" s="157"/>
      <c r="E14" s="157"/>
      <c r="F14" s="157"/>
      <c r="G14" s="157"/>
      <c r="H14" s="157"/>
      <c r="I14" s="157"/>
      <c r="J14" s="157"/>
      <c r="K14" s="157"/>
      <c r="L14" s="157"/>
      <c r="M14" s="157"/>
      <c r="N14" s="157"/>
      <c r="O14" s="157"/>
      <c r="P14" s="157"/>
      <c r="Q14" s="157"/>
      <c r="R14" s="157"/>
      <c r="S14" s="157"/>
      <c r="T14" s="157"/>
      <c r="U14" s="157"/>
      <c r="V14" s="157"/>
      <c r="W14" s="157"/>
      <c r="X14" s="157"/>
      <c r="Y14" s="157"/>
      <c r="Z14" s="157"/>
      <c r="AA14" s="157"/>
      <c r="AB14" s="158"/>
    </row>
    <row r="15" spans="1:30" ht="59.25" customHeight="1">
      <c r="A15" s="46" t="s">
        <v>70</v>
      </c>
      <c r="B15" s="159"/>
      <c r="C15" s="160"/>
      <c r="D15" s="160"/>
      <c r="E15" s="160"/>
      <c r="F15" s="160"/>
      <c r="G15" s="160"/>
      <c r="H15" s="160"/>
      <c r="I15" s="160"/>
      <c r="J15" s="160"/>
      <c r="K15" s="160"/>
      <c r="L15" s="160"/>
      <c r="M15" s="160"/>
      <c r="N15" s="160"/>
      <c r="O15" s="160"/>
      <c r="P15" s="160"/>
      <c r="Q15" s="160"/>
      <c r="R15" s="160"/>
      <c r="S15" s="160"/>
      <c r="T15" s="160"/>
      <c r="U15" s="160"/>
      <c r="V15" s="160"/>
      <c r="W15" s="160"/>
      <c r="X15" s="160"/>
      <c r="Y15" s="160"/>
      <c r="Z15" s="160"/>
      <c r="AA15" s="160"/>
      <c r="AB15" s="161"/>
    </row>
    <row r="16" spans="1:30" ht="59.25" customHeight="1">
      <c r="A16" s="46" t="s">
        <v>71</v>
      </c>
      <c r="B16" s="159"/>
      <c r="C16" s="160"/>
      <c r="D16" s="160"/>
      <c r="E16" s="160"/>
      <c r="F16" s="160"/>
      <c r="G16" s="160"/>
      <c r="H16" s="160"/>
      <c r="I16" s="160"/>
      <c r="J16" s="160"/>
      <c r="K16" s="160"/>
      <c r="L16" s="160"/>
      <c r="M16" s="160"/>
      <c r="N16" s="160"/>
      <c r="O16" s="160"/>
      <c r="P16" s="160"/>
      <c r="Q16" s="160"/>
      <c r="R16" s="160"/>
      <c r="S16" s="160"/>
      <c r="T16" s="160"/>
      <c r="U16" s="160"/>
      <c r="V16" s="160"/>
      <c r="W16" s="160"/>
      <c r="X16" s="160"/>
      <c r="Y16" s="160"/>
      <c r="Z16" s="160"/>
      <c r="AA16" s="160"/>
      <c r="AB16" s="161"/>
    </row>
    <row r="17" spans="1:28" ht="59.25" customHeight="1">
      <c r="A17" s="46" t="s">
        <v>72</v>
      </c>
      <c r="B17" s="159"/>
      <c r="C17" s="160"/>
      <c r="D17" s="160"/>
      <c r="E17" s="160"/>
      <c r="F17" s="160"/>
      <c r="G17" s="160"/>
      <c r="H17" s="160"/>
      <c r="I17" s="160"/>
      <c r="J17" s="160"/>
      <c r="K17" s="160"/>
      <c r="L17" s="160"/>
      <c r="M17" s="160"/>
      <c r="N17" s="160"/>
      <c r="O17" s="160"/>
      <c r="P17" s="160"/>
      <c r="Q17" s="160"/>
      <c r="R17" s="160"/>
      <c r="S17" s="160"/>
      <c r="T17" s="160"/>
      <c r="U17" s="160"/>
      <c r="V17" s="160"/>
      <c r="W17" s="160"/>
      <c r="X17" s="160"/>
      <c r="Y17" s="160"/>
      <c r="Z17" s="160"/>
      <c r="AA17" s="160"/>
      <c r="AB17" s="161"/>
    </row>
    <row r="18" spans="1:28" ht="59.25" customHeight="1">
      <c r="A18" s="46" t="s">
        <v>73</v>
      </c>
      <c r="B18" s="159"/>
      <c r="C18" s="160"/>
      <c r="D18" s="160"/>
      <c r="E18" s="160"/>
      <c r="F18" s="160"/>
      <c r="G18" s="160"/>
      <c r="H18" s="160"/>
      <c r="I18" s="160"/>
      <c r="J18" s="160"/>
      <c r="K18" s="160"/>
      <c r="L18" s="160"/>
      <c r="M18" s="160"/>
      <c r="N18" s="160"/>
      <c r="O18" s="160"/>
      <c r="P18" s="160"/>
      <c r="Q18" s="160"/>
      <c r="R18" s="160"/>
      <c r="S18" s="160"/>
      <c r="T18" s="160"/>
      <c r="U18" s="160"/>
      <c r="V18" s="160"/>
      <c r="W18" s="160"/>
      <c r="X18" s="160"/>
      <c r="Y18" s="160"/>
      <c r="Z18" s="160"/>
      <c r="AA18" s="160"/>
      <c r="AB18" s="161"/>
    </row>
    <row r="19" spans="1:28" ht="59.25" customHeight="1">
      <c r="A19" s="46" t="s">
        <v>74</v>
      </c>
      <c r="B19" s="159"/>
      <c r="C19" s="160"/>
      <c r="D19" s="160"/>
      <c r="E19" s="160"/>
      <c r="F19" s="160"/>
      <c r="G19" s="160"/>
      <c r="H19" s="160"/>
      <c r="I19" s="160"/>
      <c r="J19" s="160"/>
      <c r="K19" s="160"/>
      <c r="L19" s="160"/>
      <c r="M19" s="160"/>
      <c r="N19" s="160"/>
      <c r="O19" s="160"/>
      <c r="P19" s="160"/>
      <c r="Q19" s="160"/>
      <c r="R19" s="160"/>
      <c r="S19" s="160"/>
      <c r="T19" s="160"/>
      <c r="U19" s="160"/>
      <c r="V19" s="160"/>
      <c r="W19" s="160"/>
      <c r="X19" s="160"/>
      <c r="Y19" s="160"/>
      <c r="Z19" s="160"/>
      <c r="AA19" s="160"/>
      <c r="AB19" s="161"/>
    </row>
    <row r="20" spans="1:28" ht="59.25" customHeight="1">
      <c r="A20" s="46" t="s">
        <v>75</v>
      </c>
      <c r="B20" s="159"/>
      <c r="C20" s="160"/>
      <c r="D20" s="160"/>
      <c r="E20" s="160"/>
      <c r="F20" s="160"/>
      <c r="G20" s="160"/>
      <c r="H20" s="160"/>
      <c r="I20" s="160"/>
      <c r="J20" s="160"/>
      <c r="K20" s="160"/>
      <c r="L20" s="160"/>
      <c r="M20" s="160"/>
      <c r="N20" s="160"/>
      <c r="O20" s="160"/>
      <c r="P20" s="160"/>
      <c r="Q20" s="160"/>
      <c r="R20" s="160"/>
      <c r="S20" s="160"/>
      <c r="T20" s="160"/>
      <c r="U20" s="160"/>
      <c r="V20" s="160"/>
      <c r="W20" s="160"/>
      <c r="X20" s="160"/>
      <c r="Y20" s="160"/>
      <c r="Z20" s="160"/>
      <c r="AA20" s="160"/>
      <c r="AB20" s="161"/>
    </row>
    <row r="21" spans="1:28" ht="59.25" customHeight="1">
      <c r="A21" s="46" t="s">
        <v>76</v>
      </c>
      <c r="B21" s="159"/>
      <c r="C21" s="160"/>
      <c r="D21" s="160"/>
      <c r="E21" s="160"/>
      <c r="F21" s="160"/>
      <c r="G21" s="160"/>
      <c r="H21" s="160"/>
      <c r="I21" s="160"/>
      <c r="J21" s="160"/>
      <c r="K21" s="160"/>
      <c r="L21" s="160"/>
      <c r="M21" s="160"/>
      <c r="N21" s="160"/>
      <c r="O21" s="160"/>
      <c r="P21" s="160"/>
      <c r="Q21" s="160"/>
      <c r="R21" s="160"/>
      <c r="S21" s="160"/>
      <c r="T21" s="160"/>
      <c r="U21" s="160"/>
      <c r="V21" s="160"/>
      <c r="W21" s="160"/>
      <c r="X21" s="160"/>
      <c r="Y21" s="160"/>
      <c r="Z21" s="160"/>
      <c r="AA21" s="160"/>
      <c r="AB21" s="161"/>
    </row>
    <row r="22" spans="1:28" ht="59.25" customHeight="1">
      <c r="A22" s="46" t="s">
        <v>77</v>
      </c>
      <c r="B22" s="159"/>
      <c r="C22" s="160"/>
      <c r="D22" s="160"/>
      <c r="E22" s="160"/>
      <c r="F22" s="160"/>
      <c r="G22" s="160"/>
      <c r="H22" s="160"/>
      <c r="I22" s="160"/>
      <c r="J22" s="160"/>
      <c r="K22" s="160"/>
      <c r="L22" s="160"/>
      <c r="M22" s="160"/>
      <c r="N22" s="160"/>
      <c r="O22" s="160"/>
      <c r="P22" s="160"/>
      <c r="Q22" s="160"/>
      <c r="R22" s="160"/>
      <c r="S22" s="160"/>
      <c r="T22" s="160"/>
      <c r="U22" s="160"/>
      <c r="V22" s="160"/>
      <c r="W22" s="160"/>
      <c r="X22" s="160"/>
      <c r="Y22" s="160"/>
      <c r="Z22" s="160"/>
      <c r="AA22" s="160"/>
      <c r="AB22" s="161"/>
    </row>
    <row r="23" spans="1:28" ht="59.25" customHeight="1">
      <c r="A23" s="46" t="s">
        <v>78</v>
      </c>
      <c r="B23" s="159"/>
      <c r="C23" s="160"/>
      <c r="D23" s="160"/>
      <c r="E23" s="160"/>
      <c r="F23" s="160"/>
      <c r="G23" s="160"/>
      <c r="H23" s="160"/>
      <c r="I23" s="160"/>
      <c r="J23" s="160"/>
      <c r="K23" s="160"/>
      <c r="L23" s="160"/>
      <c r="M23" s="160"/>
      <c r="N23" s="160"/>
      <c r="O23" s="160"/>
      <c r="P23" s="160"/>
      <c r="Q23" s="160"/>
      <c r="R23" s="160"/>
      <c r="S23" s="160"/>
      <c r="T23" s="160"/>
      <c r="U23" s="160"/>
      <c r="V23" s="160"/>
      <c r="W23" s="160"/>
      <c r="X23" s="160"/>
      <c r="Y23" s="160"/>
      <c r="Z23" s="160"/>
      <c r="AA23" s="160"/>
      <c r="AB23" s="161"/>
    </row>
    <row r="24" spans="1:28" ht="59.25" customHeight="1">
      <c r="A24" s="46" t="s">
        <v>79</v>
      </c>
      <c r="B24" s="159"/>
      <c r="C24" s="160"/>
      <c r="D24" s="160"/>
      <c r="E24" s="160"/>
      <c r="F24" s="160"/>
      <c r="G24" s="160"/>
      <c r="H24" s="160"/>
      <c r="I24" s="160"/>
      <c r="J24" s="160"/>
      <c r="K24" s="160"/>
      <c r="L24" s="160"/>
      <c r="M24" s="160"/>
      <c r="N24" s="160"/>
      <c r="O24" s="160"/>
      <c r="P24" s="160"/>
      <c r="Q24" s="160"/>
      <c r="R24" s="160"/>
      <c r="S24" s="160"/>
      <c r="T24" s="160"/>
      <c r="U24" s="160"/>
      <c r="V24" s="160"/>
      <c r="W24" s="160"/>
      <c r="X24" s="160"/>
      <c r="Y24" s="160"/>
      <c r="Z24" s="160"/>
      <c r="AA24" s="160"/>
      <c r="AB24" s="161"/>
    </row>
    <row r="25" spans="1:28" ht="59.25" customHeight="1">
      <c r="A25" s="46" t="s">
        <v>80</v>
      </c>
      <c r="B25" s="159"/>
      <c r="C25" s="160"/>
      <c r="D25" s="160"/>
      <c r="E25" s="160"/>
      <c r="F25" s="160"/>
      <c r="G25" s="160"/>
      <c r="H25" s="160"/>
      <c r="I25" s="160"/>
      <c r="J25" s="160"/>
      <c r="K25" s="160"/>
      <c r="L25" s="160"/>
      <c r="M25" s="160"/>
      <c r="N25" s="160"/>
      <c r="O25" s="160"/>
      <c r="P25" s="160"/>
      <c r="Q25" s="160"/>
      <c r="R25" s="160"/>
      <c r="S25" s="160"/>
      <c r="T25" s="160"/>
      <c r="U25" s="160"/>
      <c r="V25" s="160"/>
      <c r="W25" s="160"/>
      <c r="X25" s="160"/>
      <c r="Y25" s="160"/>
      <c r="Z25" s="160"/>
      <c r="AA25" s="160"/>
      <c r="AB25" s="161"/>
    </row>
    <row r="26" spans="1:28" ht="59.25" customHeight="1">
      <c r="A26" s="46" t="s">
        <v>81</v>
      </c>
      <c r="B26" s="159"/>
      <c r="C26" s="160"/>
      <c r="D26" s="160"/>
      <c r="E26" s="160"/>
      <c r="F26" s="160"/>
      <c r="G26" s="160"/>
      <c r="H26" s="160"/>
      <c r="I26" s="160"/>
      <c r="J26" s="160"/>
      <c r="K26" s="160"/>
      <c r="L26" s="160"/>
      <c r="M26" s="160"/>
      <c r="N26" s="160"/>
      <c r="O26" s="160"/>
      <c r="P26" s="160"/>
      <c r="Q26" s="160"/>
      <c r="R26" s="160"/>
      <c r="S26" s="160"/>
      <c r="T26" s="160"/>
      <c r="U26" s="160"/>
      <c r="V26" s="160"/>
      <c r="W26" s="160"/>
      <c r="X26" s="160"/>
      <c r="Y26" s="160"/>
      <c r="Z26" s="160"/>
      <c r="AA26" s="160"/>
      <c r="AB26" s="161"/>
    </row>
    <row r="27" spans="1:28" ht="59.25" customHeight="1">
      <c r="A27" s="46" t="s">
        <v>82</v>
      </c>
      <c r="B27" s="159"/>
      <c r="C27" s="160"/>
      <c r="D27" s="160"/>
      <c r="E27" s="160"/>
      <c r="F27" s="160"/>
      <c r="G27" s="160"/>
      <c r="H27" s="160"/>
      <c r="I27" s="160"/>
      <c r="J27" s="160"/>
      <c r="K27" s="160"/>
      <c r="L27" s="160"/>
      <c r="M27" s="160"/>
      <c r="N27" s="160"/>
      <c r="O27" s="160"/>
      <c r="P27" s="160"/>
      <c r="Q27" s="160"/>
      <c r="R27" s="160"/>
      <c r="S27" s="160"/>
      <c r="T27" s="160"/>
      <c r="U27" s="160"/>
      <c r="V27" s="160"/>
      <c r="W27" s="160"/>
      <c r="X27" s="160"/>
      <c r="Y27" s="160"/>
      <c r="Z27" s="160"/>
      <c r="AA27" s="160"/>
      <c r="AB27" s="161"/>
    </row>
    <row r="28" spans="1:28" ht="59.25" customHeight="1">
      <c r="A28" s="46" t="s">
        <v>83</v>
      </c>
      <c r="B28" s="159"/>
      <c r="C28" s="160"/>
      <c r="D28" s="160"/>
      <c r="E28" s="160"/>
      <c r="F28" s="160"/>
      <c r="G28" s="160"/>
      <c r="H28" s="160"/>
      <c r="I28" s="160"/>
      <c r="J28" s="160"/>
      <c r="K28" s="160"/>
      <c r="L28" s="160"/>
      <c r="M28" s="160"/>
      <c r="N28" s="160"/>
      <c r="O28" s="160"/>
      <c r="P28" s="160"/>
      <c r="Q28" s="160"/>
      <c r="R28" s="160"/>
      <c r="S28" s="160"/>
      <c r="T28" s="160"/>
      <c r="U28" s="160"/>
      <c r="V28" s="160"/>
      <c r="W28" s="160"/>
      <c r="X28" s="160"/>
      <c r="Y28" s="160"/>
      <c r="Z28" s="160"/>
      <c r="AA28" s="160"/>
      <c r="AB28" s="161"/>
    </row>
    <row r="29" spans="1:28" ht="59.25" customHeight="1">
      <c r="A29" s="46" t="s">
        <v>84</v>
      </c>
      <c r="B29" s="159"/>
      <c r="C29" s="160"/>
      <c r="D29" s="160"/>
      <c r="E29" s="160"/>
      <c r="F29" s="160"/>
      <c r="G29" s="160"/>
      <c r="H29" s="160"/>
      <c r="I29" s="160"/>
      <c r="J29" s="160"/>
      <c r="K29" s="160"/>
      <c r="L29" s="160"/>
      <c r="M29" s="160"/>
      <c r="N29" s="160"/>
      <c r="O29" s="160"/>
      <c r="P29" s="160"/>
      <c r="Q29" s="160"/>
      <c r="R29" s="160"/>
      <c r="S29" s="160"/>
      <c r="T29" s="160"/>
      <c r="U29" s="160"/>
      <c r="V29" s="160"/>
      <c r="W29" s="160"/>
      <c r="X29" s="160"/>
      <c r="Y29" s="160"/>
      <c r="Z29" s="160"/>
      <c r="AA29" s="160"/>
      <c r="AB29" s="161"/>
    </row>
    <row r="30" spans="1:28" ht="59.25" customHeight="1">
      <c r="A30" s="46" t="s">
        <v>85</v>
      </c>
      <c r="B30" s="159"/>
      <c r="C30" s="160"/>
      <c r="D30" s="160"/>
      <c r="E30" s="160"/>
      <c r="F30" s="160"/>
      <c r="G30" s="160"/>
      <c r="H30" s="160"/>
      <c r="I30" s="160"/>
      <c r="J30" s="160"/>
      <c r="K30" s="160"/>
      <c r="L30" s="160"/>
      <c r="M30" s="160"/>
      <c r="N30" s="160"/>
      <c r="O30" s="160"/>
      <c r="P30" s="160"/>
      <c r="Q30" s="160"/>
      <c r="R30" s="160"/>
      <c r="S30" s="160"/>
      <c r="T30" s="160"/>
      <c r="U30" s="160"/>
      <c r="V30" s="160"/>
      <c r="W30" s="160"/>
      <c r="X30" s="160"/>
      <c r="Y30" s="160"/>
      <c r="Z30" s="160"/>
      <c r="AA30" s="160"/>
      <c r="AB30" s="161"/>
    </row>
    <row r="31" spans="1:28" ht="59.25" customHeight="1">
      <c r="A31" s="46" t="s">
        <v>86</v>
      </c>
      <c r="B31" s="159"/>
      <c r="C31" s="160"/>
      <c r="D31" s="160"/>
      <c r="E31" s="160"/>
      <c r="F31" s="160"/>
      <c r="G31" s="160"/>
      <c r="H31" s="160"/>
      <c r="I31" s="160"/>
      <c r="J31" s="160"/>
      <c r="K31" s="160"/>
      <c r="L31" s="160"/>
      <c r="M31" s="160"/>
      <c r="N31" s="160"/>
      <c r="O31" s="160"/>
      <c r="P31" s="160"/>
      <c r="Q31" s="160"/>
      <c r="R31" s="160"/>
      <c r="S31" s="160"/>
      <c r="T31" s="160"/>
      <c r="U31" s="160"/>
      <c r="V31" s="160"/>
      <c r="W31" s="160"/>
      <c r="X31" s="160"/>
      <c r="Y31" s="160"/>
      <c r="Z31" s="160"/>
      <c r="AA31" s="160"/>
      <c r="AB31" s="161"/>
    </row>
    <row r="32" spans="1:28" ht="59.25" customHeight="1">
      <c r="A32" s="46" t="s">
        <v>87</v>
      </c>
      <c r="B32" s="159"/>
      <c r="C32" s="160"/>
      <c r="D32" s="160"/>
      <c r="E32" s="160"/>
      <c r="F32" s="160"/>
      <c r="G32" s="160"/>
      <c r="H32" s="160"/>
      <c r="I32" s="160"/>
      <c r="J32" s="160"/>
      <c r="K32" s="160"/>
      <c r="L32" s="160"/>
      <c r="M32" s="160"/>
      <c r="N32" s="160"/>
      <c r="O32" s="160"/>
      <c r="P32" s="160"/>
      <c r="Q32" s="160"/>
      <c r="R32" s="160"/>
      <c r="S32" s="160"/>
      <c r="T32" s="160"/>
      <c r="U32" s="160"/>
      <c r="V32" s="160"/>
      <c r="W32" s="160"/>
      <c r="X32" s="160"/>
      <c r="Y32" s="160"/>
      <c r="Z32" s="160"/>
      <c r="AA32" s="160"/>
      <c r="AB32" s="161"/>
    </row>
    <row r="33" spans="1:28" ht="59.25" customHeight="1">
      <c r="A33" s="46" t="s">
        <v>88</v>
      </c>
      <c r="B33" s="159"/>
      <c r="C33" s="160"/>
      <c r="D33" s="160"/>
      <c r="E33" s="160"/>
      <c r="F33" s="160"/>
      <c r="G33" s="160"/>
      <c r="H33" s="160"/>
      <c r="I33" s="160"/>
      <c r="J33" s="160"/>
      <c r="K33" s="160"/>
      <c r="L33" s="160"/>
      <c r="M33" s="160"/>
      <c r="N33" s="160"/>
      <c r="O33" s="160"/>
      <c r="P33" s="160"/>
      <c r="Q33" s="160"/>
      <c r="R33" s="160"/>
      <c r="S33" s="160"/>
      <c r="T33" s="160"/>
      <c r="U33" s="160"/>
      <c r="V33" s="160"/>
      <c r="W33" s="160"/>
      <c r="X33" s="160"/>
      <c r="Y33" s="160"/>
      <c r="Z33" s="160"/>
      <c r="AA33" s="160"/>
      <c r="AB33" s="161"/>
    </row>
    <row r="34" spans="1:28" ht="59.25" customHeight="1">
      <c r="A34" s="46" t="s">
        <v>89</v>
      </c>
      <c r="B34" s="159"/>
      <c r="C34" s="160"/>
      <c r="D34" s="160"/>
      <c r="E34" s="160"/>
      <c r="F34" s="160"/>
      <c r="G34" s="160"/>
      <c r="H34" s="160"/>
      <c r="I34" s="160"/>
      <c r="J34" s="160"/>
      <c r="K34" s="160"/>
      <c r="L34" s="160"/>
      <c r="M34" s="160"/>
      <c r="N34" s="160"/>
      <c r="O34" s="160"/>
      <c r="P34" s="160"/>
      <c r="Q34" s="160"/>
      <c r="R34" s="160"/>
      <c r="S34" s="160"/>
      <c r="T34" s="160"/>
      <c r="U34" s="160"/>
      <c r="V34" s="160"/>
      <c r="W34" s="160"/>
      <c r="X34" s="160"/>
      <c r="Y34" s="160"/>
      <c r="Z34" s="160"/>
      <c r="AA34" s="160"/>
      <c r="AB34" s="161"/>
    </row>
    <row r="35" spans="1:28" ht="59.25" customHeight="1">
      <c r="A35" s="46" t="s">
        <v>90</v>
      </c>
      <c r="B35" s="159"/>
      <c r="C35" s="160"/>
      <c r="D35" s="160"/>
      <c r="E35" s="160"/>
      <c r="F35" s="160"/>
      <c r="G35" s="160"/>
      <c r="H35" s="160"/>
      <c r="I35" s="160"/>
      <c r="J35" s="160"/>
      <c r="K35" s="160"/>
      <c r="L35" s="160"/>
      <c r="M35" s="160"/>
      <c r="N35" s="160"/>
      <c r="O35" s="160"/>
      <c r="P35" s="160"/>
      <c r="Q35" s="160"/>
      <c r="R35" s="160"/>
      <c r="S35" s="160"/>
      <c r="T35" s="160"/>
      <c r="U35" s="160"/>
      <c r="V35" s="160"/>
      <c r="W35" s="160"/>
      <c r="X35" s="160"/>
      <c r="Y35" s="160"/>
      <c r="Z35" s="160"/>
      <c r="AA35" s="160"/>
      <c r="AB35" s="161"/>
    </row>
    <row r="36" spans="1:28" ht="59.25" customHeight="1">
      <c r="A36" s="46"/>
      <c r="B36" s="159"/>
      <c r="C36" s="160"/>
      <c r="D36" s="160"/>
      <c r="E36" s="160"/>
      <c r="F36" s="160"/>
      <c r="G36" s="160"/>
      <c r="H36" s="160"/>
      <c r="I36" s="160"/>
      <c r="J36" s="160"/>
      <c r="K36" s="160"/>
      <c r="L36" s="160"/>
      <c r="M36" s="160"/>
      <c r="N36" s="160"/>
      <c r="O36" s="160"/>
      <c r="P36" s="160"/>
      <c r="Q36" s="160"/>
      <c r="R36" s="160"/>
      <c r="S36" s="160"/>
      <c r="T36" s="160"/>
      <c r="U36" s="160"/>
      <c r="V36" s="160"/>
      <c r="W36" s="160"/>
      <c r="X36" s="160"/>
      <c r="Y36" s="160"/>
      <c r="Z36" s="160"/>
      <c r="AA36" s="160"/>
      <c r="AB36" s="161"/>
    </row>
    <row r="37" spans="1:28" ht="59.25" customHeight="1">
      <c r="A37" s="46"/>
      <c r="B37" s="159"/>
      <c r="C37" s="160"/>
      <c r="D37" s="160"/>
      <c r="E37" s="160"/>
      <c r="F37" s="160"/>
      <c r="G37" s="160"/>
      <c r="H37" s="160"/>
      <c r="I37" s="160"/>
      <c r="J37" s="160"/>
      <c r="K37" s="160"/>
      <c r="L37" s="160"/>
      <c r="M37" s="160"/>
      <c r="N37" s="160"/>
      <c r="O37" s="160"/>
      <c r="P37" s="160"/>
      <c r="Q37" s="160"/>
      <c r="R37" s="160"/>
      <c r="S37" s="160"/>
      <c r="T37" s="160"/>
      <c r="U37" s="160"/>
      <c r="V37" s="160"/>
      <c r="W37" s="160"/>
      <c r="X37" s="160"/>
      <c r="Y37" s="160"/>
      <c r="Z37" s="160"/>
      <c r="AA37" s="160"/>
      <c r="AB37" s="161"/>
    </row>
    <row r="38" spans="1:28" ht="59.25" customHeight="1">
      <c r="A38" s="46"/>
      <c r="B38" s="159"/>
      <c r="C38" s="160"/>
      <c r="D38" s="160"/>
      <c r="E38" s="160"/>
      <c r="F38" s="160"/>
      <c r="G38" s="160"/>
      <c r="H38" s="160"/>
      <c r="I38" s="160"/>
      <c r="J38" s="160"/>
      <c r="K38" s="160"/>
      <c r="L38" s="160"/>
      <c r="M38" s="160"/>
      <c r="N38" s="160"/>
      <c r="O38" s="160"/>
      <c r="P38" s="160"/>
      <c r="Q38" s="160"/>
      <c r="R38" s="160"/>
      <c r="S38" s="160"/>
      <c r="T38" s="160"/>
      <c r="U38" s="160"/>
      <c r="V38" s="160"/>
      <c r="W38" s="160"/>
      <c r="X38" s="160"/>
      <c r="Y38" s="160"/>
      <c r="Z38" s="160"/>
      <c r="AA38" s="160"/>
      <c r="AB38" s="161"/>
    </row>
    <row r="39" spans="1:28" ht="59.25" customHeight="1">
      <c r="A39" s="46"/>
      <c r="B39" s="159"/>
      <c r="C39" s="160"/>
      <c r="D39" s="160"/>
      <c r="E39" s="160"/>
      <c r="F39" s="160"/>
      <c r="G39" s="160"/>
      <c r="H39" s="160"/>
      <c r="I39" s="160"/>
      <c r="J39" s="160"/>
      <c r="K39" s="160"/>
      <c r="L39" s="160"/>
      <c r="M39" s="160"/>
      <c r="N39" s="160"/>
      <c r="O39" s="160"/>
      <c r="P39" s="160"/>
      <c r="Q39" s="160"/>
      <c r="R39" s="160"/>
      <c r="S39" s="160"/>
      <c r="T39" s="160"/>
      <c r="U39" s="160"/>
      <c r="V39" s="160"/>
      <c r="W39" s="160"/>
      <c r="X39" s="160"/>
      <c r="Y39" s="160"/>
      <c r="Z39" s="160"/>
      <c r="AA39" s="160"/>
      <c r="AB39" s="161"/>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B35:AB35"/>
    <mergeCell ref="B36:AB36"/>
    <mergeCell ref="B37:AB37"/>
    <mergeCell ref="B38:AB38"/>
    <mergeCell ref="B39:AB39"/>
    <mergeCell ref="B30:AB30"/>
    <mergeCell ref="B31:AB31"/>
    <mergeCell ref="B32:AB32"/>
    <mergeCell ref="B33:AB33"/>
    <mergeCell ref="B34:AB34"/>
    <mergeCell ref="B25:AB25"/>
    <mergeCell ref="B26:AB26"/>
    <mergeCell ref="B27:AB27"/>
    <mergeCell ref="B28:AB28"/>
    <mergeCell ref="B29:AB29"/>
    <mergeCell ref="B18:AB18"/>
    <mergeCell ref="B24:AB24"/>
    <mergeCell ref="A2:A12"/>
    <mergeCell ref="B14:AB14"/>
    <mergeCell ref="B15:AB15"/>
    <mergeCell ref="B16:AB16"/>
    <mergeCell ref="B17:AB17"/>
    <mergeCell ref="B19:AB19"/>
    <mergeCell ref="B20:AB20"/>
    <mergeCell ref="B21:AB21"/>
    <mergeCell ref="B22:AB22"/>
    <mergeCell ref="B23:AB23"/>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1"/>
  </sheetPr>
  <dimension ref="A1:AD193"/>
  <sheetViews>
    <sheetView workbookViewId="0">
      <selection sqref="A1:XFD1048576"/>
    </sheetView>
  </sheetViews>
  <sheetFormatPr defaultRowHeight="13.5"/>
  <cols>
    <col min="1" max="1" width="13.5" style="8" customWidth="1"/>
    <col min="2" max="2" width="79.125" style="8" customWidth="1"/>
    <col min="3" max="3" width="9.375" style="8" customWidth="1"/>
    <col min="4" max="28" width="4.125" style="8" customWidth="1"/>
    <col min="29" max="16384" width="9" style="8"/>
  </cols>
  <sheetData>
    <row r="1" spans="1:30" ht="85.5" customHeight="1">
      <c r="A1" s="33" t="str">
        <f ca="1">MID(CELL("filename",A1),FIND("[",CELL("filename",A1))+1,3)</f>
        <v>５－１</v>
      </c>
      <c r="B1" s="34" t="str">
        <f ca="1">RIGHT(CELL("filename",B1),LEN(CELL("filename",B1))-FIND("]",CELL("filename",B1)))</f>
        <v>体育</v>
      </c>
      <c r="C1" s="35" t="s">
        <v>25</v>
      </c>
      <c r="D1" s="36" t="str">
        <f>A15</f>
        <v>阿部 光希</v>
      </c>
      <c r="E1" s="36" t="str">
        <f>A16</f>
        <v>池田 篤也</v>
      </c>
      <c r="F1" s="36" t="str">
        <f>A17</f>
        <v>荻原 健史</v>
      </c>
      <c r="G1" s="36" t="str">
        <f>A18</f>
        <v>上條 里紗</v>
      </c>
      <c r="H1" s="36" t="str">
        <f>A19</f>
        <v>小森 美柚</v>
      </c>
      <c r="I1" s="36" t="str">
        <f>A20</f>
        <v>酒巻 紋子</v>
      </c>
      <c r="J1" s="36" t="str">
        <f>A21</f>
        <v>滝 真佳</v>
      </c>
      <c r="K1" s="36" t="str">
        <f>A22</f>
        <v>都筑 斉</v>
      </c>
      <c r="L1" s="36" t="str">
        <f>A23</f>
        <v>傳田 悠藍</v>
      </c>
      <c r="M1" s="36" t="str">
        <f>A24</f>
        <v>中原 照真</v>
      </c>
      <c r="N1" s="36" t="str">
        <f>A25</f>
        <v>永原 愛羅</v>
      </c>
      <c r="O1" s="36" t="str">
        <f>A26</f>
        <v>根橋 宏匡</v>
      </c>
      <c r="P1" s="36" t="str">
        <f>A27</f>
        <v>平野 悠</v>
      </c>
      <c r="Q1" s="36" t="str">
        <f>A28</f>
        <v>丸山 大河</v>
      </c>
      <c r="R1" s="36" t="str">
        <f>A29</f>
        <v>三浦 和成</v>
      </c>
      <c r="S1" s="36" t="str">
        <f>A30</f>
        <v>三澤 桜來</v>
      </c>
      <c r="T1" s="36" t="str">
        <f>A31</f>
        <v>明嵐 瑛大</v>
      </c>
      <c r="U1" s="36" t="str">
        <f>A32</f>
        <v>屋井 皓</v>
      </c>
      <c r="V1" s="36" t="str">
        <f>A33</f>
        <v>若松 優羽花</v>
      </c>
      <c r="W1" s="36" t="str">
        <f>A34</f>
        <v>渡邊 葉子</v>
      </c>
      <c r="X1" s="36" t="str">
        <f>A35</f>
        <v>綿貫 叶乃音</v>
      </c>
      <c r="Y1" s="36">
        <f>A36</f>
        <v>0</v>
      </c>
      <c r="Z1" s="36">
        <f>A37</f>
        <v>0</v>
      </c>
      <c r="AA1" s="36">
        <f>A38</f>
        <v>0</v>
      </c>
      <c r="AB1" s="36">
        <f>A39</f>
        <v>0</v>
      </c>
      <c r="AC1" s="37"/>
    </row>
    <row r="2" spans="1:30" ht="22.5" customHeight="1">
      <c r="A2" s="153" t="s">
        <v>265</v>
      </c>
      <c r="B2" s="78" t="s">
        <v>136</v>
      </c>
      <c r="C2" s="38" t="s">
        <v>26</v>
      </c>
      <c r="D2" s="39" t="s">
        <v>46</v>
      </c>
      <c r="E2" s="39" t="s">
        <v>45</v>
      </c>
      <c r="F2" s="39" t="s">
        <v>45</v>
      </c>
      <c r="G2" s="39" t="s">
        <v>45</v>
      </c>
      <c r="H2" s="39" t="s">
        <v>46</v>
      </c>
      <c r="I2" s="39" t="s">
        <v>45</v>
      </c>
      <c r="J2" s="39" t="s">
        <v>46</v>
      </c>
      <c r="K2" s="39" t="s">
        <v>45</v>
      </c>
      <c r="L2" s="39" t="s">
        <v>45</v>
      </c>
      <c r="M2" s="39" t="s">
        <v>46</v>
      </c>
      <c r="N2" s="39" t="s">
        <v>45</v>
      </c>
      <c r="O2" s="39" t="s">
        <v>45</v>
      </c>
      <c r="P2" s="39" t="s">
        <v>45</v>
      </c>
      <c r="Q2" s="39" t="s">
        <v>45</v>
      </c>
      <c r="R2" s="39" t="s">
        <v>45</v>
      </c>
      <c r="S2" s="39" t="s">
        <v>46</v>
      </c>
      <c r="T2" s="39" t="s">
        <v>45</v>
      </c>
      <c r="U2" s="39" t="s">
        <v>45</v>
      </c>
      <c r="V2" s="39" t="s">
        <v>45</v>
      </c>
      <c r="W2" s="39" t="s">
        <v>45</v>
      </c>
      <c r="X2" s="39" t="s">
        <v>45</v>
      </c>
      <c r="Y2" s="39"/>
      <c r="Z2" s="39"/>
      <c r="AA2" s="39"/>
      <c r="AB2" s="39"/>
      <c r="AC2" s="40" t="s">
        <v>266</v>
      </c>
      <c r="AD2" s="40">
        <v>1</v>
      </c>
    </row>
    <row r="3" spans="1:30" ht="22.5" customHeight="1">
      <c r="A3" s="154"/>
      <c r="B3" s="78" t="s">
        <v>137</v>
      </c>
      <c r="C3" s="38" t="s">
        <v>26</v>
      </c>
      <c r="D3" s="39" t="s">
        <v>46</v>
      </c>
      <c r="E3" s="39" t="s">
        <v>46</v>
      </c>
      <c r="F3" s="39" t="s">
        <v>46</v>
      </c>
      <c r="G3" s="39" t="s">
        <v>46</v>
      </c>
      <c r="H3" s="39" t="s">
        <v>46</v>
      </c>
      <c r="I3" s="39" t="s">
        <v>46</v>
      </c>
      <c r="J3" s="39" t="s">
        <v>46</v>
      </c>
      <c r="K3" s="39" t="s">
        <v>46</v>
      </c>
      <c r="L3" s="39" t="s">
        <v>46</v>
      </c>
      <c r="M3" s="39" t="s">
        <v>46</v>
      </c>
      <c r="N3" s="39" t="s">
        <v>46</v>
      </c>
      <c r="O3" s="39" t="s">
        <v>46</v>
      </c>
      <c r="P3" s="39" t="s">
        <v>46</v>
      </c>
      <c r="Q3" s="39" t="s">
        <v>46</v>
      </c>
      <c r="R3" s="39" t="s">
        <v>46</v>
      </c>
      <c r="S3" s="39" t="s">
        <v>46</v>
      </c>
      <c r="T3" s="39" t="s">
        <v>46</v>
      </c>
      <c r="U3" s="39" t="s">
        <v>46</v>
      </c>
      <c r="V3" s="39" t="s">
        <v>46</v>
      </c>
      <c r="W3" s="39" t="s">
        <v>46</v>
      </c>
      <c r="X3" s="39" t="s">
        <v>46</v>
      </c>
      <c r="Y3" s="39"/>
      <c r="Z3" s="39"/>
      <c r="AA3" s="39"/>
      <c r="AB3" s="39"/>
      <c r="AC3" s="40" t="s">
        <v>222</v>
      </c>
      <c r="AD3" s="40">
        <v>2</v>
      </c>
    </row>
    <row r="4" spans="1:30" ht="22.5" customHeight="1">
      <c r="A4" s="154"/>
      <c r="B4" s="78" t="s">
        <v>138</v>
      </c>
      <c r="C4" s="38" t="s">
        <v>26</v>
      </c>
      <c r="D4" s="39" t="s">
        <v>46</v>
      </c>
      <c r="E4" s="39" t="s">
        <v>46</v>
      </c>
      <c r="F4" s="39" t="s">
        <v>46</v>
      </c>
      <c r="G4" s="39" t="s">
        <v>46</v>
      </c>
      <c r="H4" s="39" t="s">
        <v>46</v>
      </c>
      <c r="I4" s="39" t="s">
        <v>46</v>
      </c>
      <c r="J4" s="39" t="s">
        <v>46</v>
      </c>
      <c r="K4" s="39" t="s">
        <v>46</v>
      </c>
      <c r="L4" s="39" t="s">
        <v>46</v>
      </c>
      <c r="M4" s="39" t="s">
        <v>46</v>
      </c>
      <c r="N4" s="39" t="s">
        <v>45</v>
      </c>
      <c r="O4" s="39" t="s">
        <v>45</v>
      </c>
      <c r="P4" s="39" t="s">
        <v>45</v>
      </c>
      <c r="Q4" s="39" t="s">
        <v>46</v>
      </c>
      <c r="R4" s="39" t="s">
        <v>46</v>
      </c>
      <c r="S4" s="39" t="s">
        <v>46</v>
      </c>
      <c r="T4" s="39" t="s">
        <v>46</v>
      </c>
      <c r="U4" s="39" t="s">
        <v>46</v>
      </c>
      <c r="V4" s="39" t="s">
        <v>46</v>
      </c>
      <c r="W4" s="39" t="s">
        <v>46</v>
      </c>
      <c r="X4" s="39" t="s">
        <v>46</v>
      </c>
      <c r="Y4" s="39"/>
      <c r="Z4" s="39"/>
      <c r="AA4" s="39"/>
      <c r="AB4" s="39"/>
      <c r="AC4" s="40" t="s">
        <v>267</v>
      </c>
      <c r="AD4" s="40">
        <v>3</v>
      </c>
    </row>
    <row r="5" spans="1:30" ht="22.5" customHeight="1">
      <c r="A5" s="154"/>
      <c r="B5" s="41"/>
      <c r="C5" s="38" t="s">
        <v>26</v>
      </c>
      <c r="D5" s="39"/>
      <c r="E5" s="39"/>
      <c r="F5" s="39"/>
      <c r="G5" s="39"/>
      <c r="H5" s="39"/>
      <c r="I5" s="39"/>
      <c r="J5" s="39"/>
      <c r="K5" s="39"/>
      <c r="L5" s="39"/>
      <c r="M5" s="39"/>
      <c r="N5" s="39"/>
      <c r="O5" s="39"/>
      <c r="P5" s="39"/>
      <c r="Q5" s="39"/>
      <c r="R5" s="39"/>
      <c r="S5" s="39"/>
      <c r="T5" s="39"/>
      <c r="U5" s="39"/>
      <c r="V5" s="39"/>
      <c r="W5" s="39"/>
      <c r="X5" s="39"/>
      <c r="Y5" s="39"/>
      <c r="Z5" s="39"/>
      <c r="AA5" s="39"/>
      <c r="AB5" s="39"/>
      <c r="AC5" s="40" t="s">
        <v>225</v>
      </c>
      <c r="AD5" s="40">
        <v>4</v>
      </c>
    </row>
    <row r="6" spans="1:30" ht="22.5" customHeight="1">
      <c r="A6" s="154"/>
      <c r="B6" s="41"/>
      <c r="C6" s="38" t="s">
        <v>26</v>
      </c>
      <c r="D6" s="39"/>
      <c r="E6" s="39"/>
      <c r="F6" s="39"/>
      <c r="G6" s="39"/>
      <c r="H6" s="39"/>
      <c r="I6" s="39"/>
      <c r="J6" s="39"/>
      <c r="K6" s="39"/>
      <c r="L6" s="39"/>
      <c r="M6" s="39"/>
      <c r="N6" s="39"/>
      <c r="O6" s="39"/>
      <c r="P6" s="39"/>
      <c r="Q6" s="39"/>
      <c r="R6" s="39"/>
      <c r="S6" s="39"/>
      <c r="T6" s="39"/>
      <c r="U6" s="39"/>
      <c r="V6" s="39"/>
      <c r="W6" s="39"/>
      <c r="X6" s="39"/>
      <c r="Y6" s="39"/>
      <c r="Z6" s="39"/>
      <c r="AA6" s="39"/>
      <c r="AB6" s="39"/>
      <c r="AC6" s="40"/>
      <c r="AD6" s="40">
        <v>5</v>
      </c>
    </row>
    <row r="7" spans="1:30" ht="22.5" customHeight="1">
      <c r="A7" s="154"/>
      <c r="B7" s="41"/>
      <c r="C7" s="38" t="s">
        <v>26</v>
      </c>
      <c r="D7" s="39"/>
      <c r="E7" s="39"/>
      <c r="F7" s="39"/>
      <c r="G7" s="39"/>
      <c r="H7" s="39"/>
      <c r="I7" s="39"/>
      <c r="J7" s="39"/>
      <c r="K7" s="39"/>
      <c r="L7" s="39"/>
      <c r="M7" s="39"/>
      <c r="N7" s="39"/>
      <c r="O7" s="39"/>
      <c r="P7" s="39"/>
      <c r="Q7" s="39"/>
      <c r="R7" s="39"/>
      <c r="S7" s="39"/>
      <c r="T7" s="39"/>
      <c r="U7" s="39"/>
      <c r="V7" s="39"/>
      <c r="W7" s="39"/>
      <c r="X7" s="39"/>
      <c r="Y7" s="39"/>
      <c r="Z7" s="39"/>
      <c r="AA7" s="39"/>
      <c r="AB7" s="39"/>
      <c r="AC7" s="40"/>
      <c r="AD7" s="40" t="s">
        <v>225</v>
      </c>
    </row>
    <row r="8" spans="1:30" ht="22.5" customHeight="1">
      <c r="A8" s="154"/>
      <c r="B8" s="41"/>
      <c r="C8" s="38" t="s">
        <v>26</v>
      </c>
      <c r="D8" s="39"/>
      <c r="E8" s="39"/>
      <c r="F8" s="39"/>
      <c r="G8" s="39"/>
      <c r="H8" s="39"/>
      <c r="I8" s="39"/>
      <c r="J8" s="39"/>
      <c r="K8" s="39"/>
      <c r="L8" s="39"/>
      <c r="M8" s="39"/>
      <c r="N8" s="39"/>
      <c r="O8" s="39"/>
      <c r="P8" s="39"/>
      <c r="Q8" s="39"/>
      <c r="R8" s="39"/>
      <c r="S8" s="39"/>
      <c r="T8" s="39"/>
      <c r="U8" s="39"/>
      <c r="V8" s="39"/>
      <c r="W8" s="39"/>
      <c r="X8" s="39"/>
      <c r="Y8" s="39"/>
      <c r="Z8" s="39"/>
      <c r="AA8" s="39"/>
      <c r="AB8" s="39"/>
    </row>
    <row r="9" spans="1:30" ht="22.5" customHeight="1">
      <c r="A9" s="154"/>
      <c r="B9" s="41"/>
      <c r="C9" s="38" t="s">
        <v>26</v>
      </c>
      <c r="D9" s="39"/>
      <c r="E9" s="39"/>
      <c r="F9" s="39"/>
      <c r="G9" s="39"/>
      <c r="H9" s="39"/>
      <c r="I9" s="39"/>
      <c r="J9" s="39"/>
      <c r="K9" s="39"/>
      <c r="L9" s="39"/>
      <c r="M9" s="39"/>
      <c r="N9" s="39"/>
      <c r="O9" s="39"/>
      <c r="P9" s="39"/>
      <c r="Q9" s="39"/>
      <c r="R9" s="39"/>
      <c r="S9" s="39"/>
      <c r="T9" s="39"/>
      <c r="U9" s="39"/>
      <c r="V9" s="39"/>
      <c r="W9" s="39"/>
      <c r="X9" s="39"/>
      <c r="Y9" s="39"/>
      <c r="Z9" s="39"/>
      <c r="AA9" s="39"/>
      <c r="AB9" s="39"/>
    </row>
    <row r="10" spans="1:30" ht="22.5" customHeight="1">
      <c r="A10" s="154"/>
      <c r="B10" s="41"/>
      <c r="C10" s="38" t="s">
        <v>26</v>
      </c>
      <c r="D10" s="39"/>
      <c r="E10" s="39"/>
      <c r="F10" s="39"/>
      <c r="G10" s="39"/>
      <c r="H10" s="39"/>
      <c r="I10" s="39"/>
      <c r="J10" s="39"/>
      <c r="K10" s="39"/>
      <c r="L10" s="39"/>
      <c r="M10" s="39"/>
      <c r="N10" s="39"/>
      <c r="O10" s="39"/>
      <c r="P10" s="39"/>
      <c r="Q10" s="39"/>
      <c r="R10" s="39"/>
      <c r="S10" s="39"/>
      <c r="T10" s="39"/>
      <c r="U10" s="39"/>
      <c r="V10" s="39"/>
      <c r="W10" s="39"/>
      <c r="X10" s="39"/>
      <c r="Y10" s="39"/>
      <c r="Z10" s="39"/>
      <c r="AA10" s="39"/>
      <c r="AB10" s="39"/>
    </row>
    <row r="11" spans="1:30" ht="22.5" customHeight="1">
      <c r="A11" s="154"/>
      <c r="B11" s="41"/>
      <c r="C11" s="38" t="s">
        <v>26</v>
      </c>
      <c r="D11" s="39"/>
      <c r="E11" s="39"/>
      <c r="F11" s="39"/>
      <c r="G11" s="39"/>
      <c r="H11" s="39"/>
      <c r="I11" s="39"/>
      <c r="J11" s="39"/>
      <c r="K11" s="39"/>
      <c r="L11" s="39"/>
      <c r="M11" s="39"/>
      <c r="N11" s="39"/>
      <c r="O11" s="39"/>
      <c r="P11" s="39"/>
      <c r="Q11" s="39"/>
      <c r="R11" s="39"/>
      <c r="S11" s="39"/>
      <c r="T11" s="39"/>
      <c r="U11" s="39"/>
      <c r="V11" s="39"/>
      <c r="W11" s="39"/>
      <c r="X11" s="39"/>
      <c r="Y11" s="39"/>
      <c r="Z11" s="39"/>
      <c r="AA11" s="39"/>
      <c r="AB11" s="39"/>
    </row>
    <row r="12" spans="1:30" ht="30" customHeight="1">
      <c r="A12" s="155"/>
      <c r="B12" s="42"/>
      <c r="C12" s="43" t="s">
        <v>27</v>
      </c>
      <c r="D12" s="39">
        <v>5</v>
      </c>
      <c r="E12" s="39">
        <v>4</v>
      </c>
      <c r="F12" s="39">
        <v>4</v>
      </c>
      <c r="G12" s="39">
        <v>4</v>
      </c>
      <c r="H12" s="39">
        <v>5</v>
      </c>
      <c r="I12" s="39">
        <v>4</v>
      </c>
      <c r="J12" s="39">
        <v>5</v>
      </c>
      <c r="K12" s="39">
        <v>4</v>
      </c>
      <c r="L12" s="39">
        <v>4</v>
      </c>
      <c r="M12" s="39">
        <v>5</v>
      </c>
      <c r="N12" s="39">
        <v>3</v>
      </c>
      <c r="O12" s="39">
        <v>3</v>
      </c>
      <c r="P12" s="39">
        <v>3</v>
      </c>
      <c r="Q12" s="39">
        <v>4</v>
      </c>
      <c r="R12" s="39">
        <v>4</v>
      </c>
      <c r="S12" s="39">
        <v>5</v>
      </c>
      <c r="T12" s="39">
        <v>4</v>
      </c>
      <c r="U12" s="39">
        <v>4</v>
      </c>
      <c r="V12" s="39">
        <v>4</v>
      </c>
      <c r="W12" s="39">
        <v>4</v>
      </c>
      <c r="X12" s="39">
        <v>4</v>
      </c>
      <c r="Y12" s="39"/>
      <c r="Z12" s="39"/>
      <c r="AA12" s="39"/>
      <c r="AB12" s="39"/>
    </row>
    <row r="13" spans="1:30" ht="26.25" customHeight="1">
      <c r="A13" s="44"/>
      <c r="B13" s="44"/>
      <c r="C13" s="81" t="s">
        <v>62</v>
      </c>
      <c r="D13" s="39"/>
      <c r="E13" s="39"/>
      <c r="F13" s="39"/>
      <c r="G13" s="39"/>
      <c r="H13" s="39"/>
      <c r="I13" s="39"/>
      <c r="J13" s="39"/>
      <c r="K13" s="39"/>
      <c r="L13" s="39"/>
      <c r="M13" s="39"/>
      <c r="N13" s="39"/>
      <c r="O13" s="39"/>
      <c r="P13" s="39"/>
      <c r="Q13" s="39"/>
      <c r="R13" s="39"/>
      <c r="S13" s="39"/>
      <c r="T13" s="39"/>
      <c r="U13" s="39"/>
      <c r="V13" s="39"/>
      <c r="W13" s="39"/>
      <c r="X13" s="39"/>
      <c r="Y13" s="39"/>
      <c r="Z13" s="39"/>
      <c r="AA13" s="39"/>
      <c r="AB13" s="39"/>
    </row>
    <row r="14" spans="1:30" ht="22.5" customHeight="1">
      <c r="A14" s="45" t="s">
        <v>28</v>
      </c>
      <c r="B14" s="156" t="s">
        <v>29</v>
      </c>
      <c r="C14" s="157"/>
      <c r="D14" s="157"/>
      <c r="E14" s="157"/>
      <c r="F14" s="157"/>
      <c r="G14" s="157"/>
      <c r="H14" s="157"/>
      <c r="I14" s="157"/>
      <c r="J14" s="157"/>
      <c r="K14" s="157"/>
      <c r="L14" s="157"/>
      <c r="M14" s="157"/>
      <c r="N14" s="157"/>
      <c r="O14" s="157"/>
      <c r="P14" s="157"/>
      <c r="Q14" s="157"/>
      <c r="R14" s="157"/>
      <c r="S14" s="157"/>
      <c r="T14" s="157"/>
      <c r="U14" s="157"/>
      <c r="V14" s="157"/>
      <c r="W14" s="157"/>
      <c r="X14" s="157"/>
      <c r="Y14" s="157"/>
      <c r="Z14" s="157"/>
      <c r="AA14" s="157"/>
      <c r="AB14" s="158"/>
    </row>
    <row r="15" spans="1:30" ht="59.25" customHeight="1">
      <c r="A15" s="46" t="s">
        <v>70</v>
      </c>
      <c r="B15" s="159"/>
      <c r="C15" s="160"/>
      <c r="D15" s="160"/>
      <c r="E15" s="160"/>
      <c r="F15" s="160"/>
      <c r="G15" s="160"/>
      <c r="H15" s="160"/>
      <c r="I15" s="160"/>
      <c r="J15" s="160"/>
      <c r="K15" s="160"/>
      <c r="L15" s="160"/>
      <c r="M15" s="160"/>
      <c r="N15" s="160"/>
      <c r="O15" s="160"/>
      <c r="P15" s="160"/>
      <c r="Q15" s="160"/>
      <c r="R15" s="160"/>
      <c r="S15" s="160"/>
      <c r="T15" s="160"/>
      <c r="U15" s="160"/>
      <c r="V15" s="160"/>
      <c r="W15" s="160"/>
      <c r="X15" s="160"/>
      <c r="Y15" s="160"/>
      <c r="Z15" s="160"/>
      <c r="AA15" s="160"/>
      <c r="AB15" s="161"/>
    </row>
    <row r="16" spans="1:30" ht="59.25" customHeight="1">
      <c r="A16" s="46" t="s">
        <v>71</v>
      </c>
      <c r="B16" s="159"/>
      <c r="C16" s="160"/>
      <c r="D16" s="160"/>
      <c r="E16" s="160"/>
      <c r="F16" s="160"/>
      <c r="G16" s="160"/>
      <c r="H16" s="160"/>
      <c r="I16" s="160"/>
      <c r="J16" s="160"/>
      <c r="K16" s="160"/>
      <c r="L16" s="160"/>
      <c r="M16" s="160"/>
      <c r="N16" s="160"/>
      <c r="O16" s="160"/>
      <c r="P16" s="160"/>
      <c r="Q16" s="160"/>
      <c r="R16" s="160"/>
      <c r="S16" s="160"/>
      <c r="T16" s="160"/>
      <c r="U16" s="160"/>
      <c r="V16" s="160"/>
      <c r="W16" s="160"/>
      <c r="X16" s="160"/>
      <c r="Y16" s="160"/>
      <c r="Z16" s="160"/>
      <c r="AA16" s="160"/>
      <c r="AB16" s="161"/>
    </row>
    <row r="17" spans="1:28" ht="59.25" customHeight="1">
      <c r="A17" s="46" t="s">
        <v>72</v>
      </c>
      <c r="B17" s="159"/>
      <c r="C17" s="160"/>
      <c r="D17" s="160"/>
      <c r="E17" s="160"/>
      <c r="F17" s="160"/>
      <c r="G17" s="160"/>
      <c r="H17" s="160"/>
      <c r="I17" s="160"/>
      <c r="J17" s="160"/>
      <c r="K17" s="160"/>
      <c r="L17" s="160"/>
      <c r="M17" s="160"/>
      <c r="N17" s="160"/>
      <c r="O17" s="160"/>
      <c r="P17" s="160"/>
      <c r="Q17" s="160"/>
      <c r="R17" s="160"/>
      <c r="S17" s="160"/>
      <c r="T17" s="160"/>
      <c r="U17" s="160"/>
      <c r="V17" s="160"/>
      <c r="W17" s="160"/>
      <c r="X17" s="160"/>
      <c r="Y17" s="160"/>
      <c r="Z17" s="160"/>
      <c r="AA17" s="160"/>
      <c r="AB17" s="161"/>
    </row>
    <row r="18" spans="1:28" ht="59.25" customHeight="1">
      <c r="A18" s="46" t="s">
        <v>73</v>
      </c>
      <c r="B18" s="159"/>
      <c r="C18" s="160"/>
      <c r="D18" s="160"/>
      <c r="E18" s="160"/>
      <c r="F18" s="160"/>
      <c r="G18" s="160"/>
      <c r="H18" s="160"/>
      <c r="I18" s="160"/>
      <c r="J18" s="160"/>
      <c r="K18" s="160"/>
      <c r="L18" s="160"/>
      <c r="M18" s="160"/>
      <c r="N18" s="160"/>
      <c r="O18" s="160"/>
      <c r="P18" s="160"/>
      <c r="Q18" s="160"/>
      <c r="R18" s="160"/>
      <c r="S18" s="160"/>
      <c r="T18" s="160"/>
      <c r="U18" s="160"/>
      <c r="V18" s="160"/>
      <c r="W18" s="160"/>
      <c r="X18" s="160"/>
      <c r="Y18" s="160"/>
      <c r="Z18" s="160"/>
      <c r="AA18" s="160"/>
      <c r="AB18" s="161"/>
    </row>
    <row r="19" spans="1:28" ht="59.25" customHeight="1">
      <c r="A19" s="46" t="s">
        <v>74</v>
      </c>
      <c r="B19" s="159"/>
      <c r="C19" s="160"/>
      <c r="D19" s="160"/>
      <c r="E19" s="160"/>
      <c r="F19" s="160"/>
      <c r="G19" s="160"/>
      <c r="H19" s="160"/>
      <c r="I19" s="160"/>
      <c r="J19" s="160"/>
      <c r="K19" s="160"/>
      <c r="L19" s="160"/>
      <c r="M19" s="160"/>
      <c r="N19" s="160"/>
      <c r="O19" s="160"/>
      <c r="P19" s="160"/>
      <c r="Q19" s="160"/>
      <c r="R19" s="160"/>
      <c r="S19" s="160"/>
      <c r="T19" s="160"/>
      <c r="U19" s="160"/>
      <c r="V19" s="160"/>
      <c r="W19" s="160"/>
      <c r="X19" s="160"/>
      <c r="Y19" s="160"/>
      <c r="Z19" s="160"/>
      <c r="AA19" s="160"/>
      <c r="AB19" s="161"/>
    </row>
    <row r="20" spans="1:28" ht="59.25" customHeight="1">
      <c r="A20" s="46" t="s">
        <v>75</v>
      </c>
      <c r="B20" s="159"/>
      <c r="C20" s="160"/>
      <c r="D20" s="160"/>
      <c r="E20" s="160"/>
      <c r="F20" s="160"/>
      <c r="G20" s="160"/>
      <c r="H20" s="160"/>
      <c r="I20" s="160"/>
      <c r="J20" s="160"/>
      <c r="K20" s="160"/>
      <c r="L20" s="160"/>
      <c r="M20" s="160"/>
      <c r="N20" s="160"/>
      <c r="O20" s="160"/>
      <c r="P20" s="160"/>
      <c r="Q20" s="160"/>
      <c r="R20" s="160"/>
      <c r="S20" s="160"/>
      <c r="T20" s="160"/>
      <c r="U20" s="160"/>
      <c r="V20" s="160"/>
      <c r="W20" s="160"/>
      <c r="X20" s="160"/>
      <c r="Y20" s="160"/>
      <c r="Z20" s="160"/>
      <c r="AA20" s="160"/>
      <c r="AB20" s="161"/>
    </row>
    <row r="21" spans="1:28" ht="59.25" customHeight="1">
      <c r="A21" s="46" t="s">
        <v>76</v>
      </c>
      <c r="B21" s="159"/>
      <c r="C21" s="160"/>
      <c r="D21" s="160"/>
      <c r="E21" s="160"/>
      <c r="F21" s="160"/>
      <c r="G21" s="160"/>
      <c r="H21" s="160"/>
      <c r="I21" s="160"/>
      <c r="J21" s="160"/>
      <c r="K21" s="160"/>
      <c r="L21" s="160"/>
      <c r="M21" s="160"/>
      <c r="N21" s="160"/>
      <c r="O21" s="160"/>
      <c r="P21" s="160"/>
      <c r="Q21" s="160"/>
      <c r="R21" s="160"/>
      <c r="S21" s="160"/>
      <c r="T21" s="160"/>
      <c r="U21" s="160"/>
      <c r="V21" s="160"/>
      <c r="W21" s="160"/>
      <c r="X21" s="160"/>
      <c r="Y21" s="160"/>
      <c r="Z21" s="160"/>
      <c r="AA21" s="160"/>
      <c r="AB21" s="161"/>
    </row>
    <row r="22" spans="1:28" ht="59.25" customHeight="1">
      <c r="A22" s="46" t="s">
        <v>77</v>
      </c>
      <c r="B22" s="159"/>
      <c r="C22" s="160"/>
      <c r="D22" s="160"/>
      <c r="E22" s="160"/>
      <c r="F22" s="160"/>
      <c r="G22" s="160"/>
      <c r="H22" s="160"/>
      <c r="I22" s="160"/>
      <c r="J22" s="160"/>
      <c r="K22" s="160"/>
      <c r="L22" s="160"/>
      <c r="M22" s="160"/>
      <c r="N22" s="160"/>
      <c r="O22" s="160"/>
      <c r="P22" s="160"/>
      <c r="Q22" s="160"/>
      <c r="R22" s="160"/>
      <c r="S22" s="160"/>
      <c r="T22" s="160"/>
      <c r="U22" s="160"/>
      <c r="V22" s="160"/>
      <c r="W22" s="160"/>
      <c r="X22" s="160"/>
      <c r="Y22" s="160"/>
      <c r="Z22" s="160"/>
      <c r="AA22" s="160"/>
      <c r="AB22" s="161"/>
    </row>
    <row r="23" spans="1:28" ht="59.25" customHeight="1">
      <c r="A23" s="46" t="s">
        <v>78</v>
      </c>
      <c r="B23" s="159"/>
      <c r="C23" s="160"/>
      <c r="D23" s="160"/>
      <c r="E23" s="160"/>
      <c r="F23" s="160"/>
      <c r="G23" s="160"/>
      <c r="H23" s="160"/>
      <c r="I23" s="160"/>
      <c r="J23" s="160"/>
      <c r="K23" s="160"/>
      <c r="L23" s="160"/>
      <c r="M23" s="160"/>
      <c r="N23" s="160"/>
      <c r="O23" s="160"/>
      <c r="P23" s="160"/>
      <c r="Q23" s="160"/>
      <c r="R23" s="160"/>
      <c r="S23" s="160"/>
      <c r="T23" s="160"/>
      <c r="U23" s="160"/>
      <c r="V23" s="160"/>
      <c r="W23" s="160"/>
      <c r="X23" s="160"/>
      <c r="Y23" s="160"/>
      <c r="Z23" s="160"/>
      <c r="AA23" s="160"/>
      <c r="AB23" s="161"/>
    </row>
    <row r="24" spans="1:28" ht="59.25" customHeight="1">
      <c r="A24" s="46" t="s">
        <v>79</v>
      </c>
      <c r="B24" s="159"/>
      <c r="C24" s="160"/>
      <c r="D24" s="160"/>
      <c r="E24" s="160"/>
      <c r="F24" s="160"/>
      <c r="G24" s="160"/>
      <c r="H24" s="160"/>
      <c r="I24" s="160"/>
      <c r="J24" s="160"/>
      <c r="K24" s="160"/>
      <c r="L24" s="160"/>
      <c r="M24" s="160"/>
      <c r="N24" s="160"/>
      <c r="O24" s="160"/>
      <c r="P24" s="160"/>
      <c r="Q24" s="160"/>
      <c r="R24" s="160"/>
      <c r="S24" s="160"/>
      <c r="T24" s="160"/>
      <c r="U24" s="160"/>
      <c r="V24" s="160"/>
      <c r="W24" s="160"/>
      <c r="X24" s="160"/>
      <c r="Y24" s="160"/>
      <c r="Z24" s="160"/>
      <c r="AA24" s="160"/>
      <c r="AB24" s="161"/>
    </row>
    <row r="25" spans="1:28" ht="59.25" customHeight="1">
      <c r="A25" s="46" t="s">
        <v>80</v>
      </c>
      <c r="B25" s="159"/>
      <c r="C25" s="160"/>
      <c r="D25" s="160"/>
      <c r="E25" s="160"/>
      <c r="F25" s="160"/>
      <c r="G25" s="160"/>
      <c r="H25" s="160"/>
      <c r="I25" s="160"/>
      <c r="J25" s="160"/>
      <c r="K25" s="160"/>
      <c r="L25" s="160"/>
      <c r="M25" s="160"/>
      <c r="N25" s="160"/>
      <c r="O25" s="160"/>
      <c r="P25" s="160"/>
      <c r="Q25" s="160"/>
      <c r="R25" s="160"/>
      <c r="S25" s="160"/>
      <c r="T25" s="160"/>
      <c r="U25" s="160"/>
      <c r="V25" s="160"/>
      <c r="W25" s="160"/>
      <c r="X25" s="160"/>
      <c r="Y25" s="160"/>
      <c r="Z25" s="160"/>
      <c r="AA25" s="160"/>
      <c r="AB25" s="161"/>
    </row>
    <row r="26" spans="1:28" ht="59.25" customHeight="1">
      <c r="A26" s="46" t="s">
        <v>81</v>
      </c>
      <c r="B26" s="159"/>
      <c r="C26" s="160"/>
      <c r="D26" s="160"/>
      <c r="E26" s="160"/>
      <c r="F26" s="160"/>
      <c r="G26" s="160"/>
      <c r="H26" s="160"/>
      <c r="I26" s="160"/>
      <c r="J26" s="160"/>
      <c r="K26" s="160"/>
      <c r="L26" s="160"/>
      <c r="M26" s="160"/>
      <c r="N26" s="160"/>
      <c r="O26" s="160"/>
      <c r="P26" s="160"/>
      <c r="Q26" s="160"/>
      <c r="R26" s="160"/>
      <c r="S26" s="160"/>
      <c r="T26" s="160"/>
      <c r="U26" s="160"/>
      <c r="V26" s="160"/>
      <c r="W26" s="160"/>
      <c r="X26" s="160"/>
      <c r="Y26" s="160"/>
      <c r="Z26" s="160"/>
      <c r="AA26" s="160"/>
      <c r="AB26" s="161"/>
    </row>
    <row r="27" spans="1:28" ht="59.25" customHeight="1">
      <c r="A27" s="46" t="s">
        <v>82</v>
      </c>
      <c r="B27" s="159"/>
      <c r="C27" s="160"/>
      <c r="D27" s="160"/>
      <c r="E27" s="160"/>
      <c r="F27" s="160"/>
      <c r="G27" s="160"/>
      <c r="H27" s="160"/>
      <c r="I27" s="160"/>
      <c r="J27" s="160"/>
      <c r="K27" s="160"/>
      <c r="L27" s="160"/>
      <c r="M27" s="160"/>
      <c r="N27" s="160"/>
      <c r="O27" s="160"/>
      <c r="P27" s="160"/>
      <c r="Q27" s="160"/>
      <c r="R27" s="160"/>
      <c r="S27" s="160"/>
      <c r="T27" s="160"/>
      <c r="U27" s="160"/>
      <c r="V27" s="160"/>
      <c r="W27" s="160"/>
      <c r="X27" s="160"/>
      <c r="Y27" s="160"/>
      <c r="Z27" s="160"/>
      <c r="AA27" s="160"/>
      <c r="AB27" s="161"/>
    </row>
    <row r="28" spans="1:28" ht="59.25" customHeight="1">
      <c r="A28" s="46" t="s">
        <v>83</v>
      </c>
      <c r="B28" s="159"/>
      <c r="C28" s="160"/>
      <c r="D28" s="160"/>
      <c r="E28" s="160"/>
      <c r="F28" s="160"/>
      <c r="G28" s="160"/>
      <c r="H28" s="160"/>
      <c r="I28" s="160"/>
      <c r="J28" s="160"/>
      <c r="K28" s="160"/>
      <c r="L28" s="160"/>
      <c r="M28" s="160"/>
      <c r="N28" s="160"/>
      <c r="O28" s="160"/>
      <c r="P28" s="160"/>
      <c r="Q28" s="160"/>
      <c r="R28" s="160"/>
      <c r="S28" s="160"/>
      <c r="T28" s="160"/>
      <c r="U28" s="160"/>
      <c r="V28" s="160"/>
      <c r="W28" s="160"/>
      <c r="X28" s="160"/>
      <c r="Y28" s="160"/>
      <c r="Z28" s="160"/>
      <c r="AA28" s="160"/>
      <c r="AB28" s="161"/>
    </row>
    <row r="29" spans="1:28" ht="59.25" customHeight="1">
      <c r="A29" s="46" t="s">
        <v>84</v>
      </c>
      <c r="B29" s="159"/>
      <c r="C29" s="160"/>
      <c r="D29" s="160"/>
      <c r="E29" s="160"/>
      <c r="F29" s="160"/>
      <c r="G29" s="160"/>
      <c r="H29" s="160"/>
      <c r="I29" s="160"/>
      <c r="J29" s="160"/>
      <c r="K29" s="160"/>
      <c r="L29" s="160"/>
      <c r="M29" s="160"/>
      <c r="N29" s="160"/>
      <c r="O29" s="160"/>
      <c r="P29" s="160"/>
      <c r="Q29" s="160"/>
      <c r="R29" s="160"/>
      <c r="S29" s="160"/>
      <c r="T29" s="160"/>
      <c r="U29" s="160"/>
      <c r="V29" s="160"/>
      <c r="W29" s="160"/>
      <c r="X29" s="160"/>
      <c r="Y29" s="160"/>
      <c r="Z29" s="160"/>
      <c r="AA29" s="160"/>
      <c r="AB29" s="161"/>
    </row>
    <row r="30" spans="1:28" ht="59.25" customHeight="1">
      <c r="A30" s="46" t="s">
        <v>85</v>
      </c>
      <c r="B30" s="159"/>
      <c r="C30" s="160"/>
      <c r="D30" s="160"/>
      <c r="E30" s="160"/>
      <c r="F30" s="160"/>
      <c r="G30" s="160"/>
      <c r="H30" s="160"/>
      <c r="I30" s="160"/>
      <c r="J30" s="160"/>
      <c r="K30" s="160"/>
      <c r="L30" s="160"/>
      <c r="M30" s="160"/>
      <c r="N30" s="160"/>
      <c r="O30" s="160"/>
      <c r="P30" s="160"/>
      <c r="Q30" s="160"/>
      <c r="R30" s="160"/>
      <c r="S30" s="160"/>
      <c r="T30" s="160"/>
      <c r="U30" s="160"/>
      <c r="V30" s="160"/>
      <c r="W30" s="160"/>
      <c r="X30" s="160"/>
      <c r="Y30" s="160"/>
      <c r="Z30" s="160"/>
      <c r="AA30" s="160"/>
      <c r="AB30" s="161"/>
    </row>
    <row r="31" spans="1:28" ht="59.25" customHeight="1">
      <c r="A31" s="46" t="s">
        <v>86</v>
      </c>
      <c r="B31" s="159"/>
      <c r="C31" s="160"/>
      <c r="D31" s="160"/>
      <c r="E31" s="160"/>
      <c r="F31" s="160"/>
      <c r="G31" s="160"/>
      <c r="H31" s="160"/>
      <c r="I31" s="160"/>
      <c r="J31" s="160"/>
      <c r="K31" s="160"/>
      <c r="L31" s="160"/>
      <c r="M31" s="160"/>
      <c r="N31" s="160"/>
      <c r="O31" s="160"/>
      <c r="P31" s="160"/>
      <c r="Q31" s="160"/>
      <c r="R31" s="160"/>
      <c r="S31" s="160"/>
      <c r="T31" s="160"/>
      <c r="U31" s="160"/>
      <c r="V31" s="160"/>
      <c r="W31" s="160"/>
      <c r="X31" s="160"/>
      <c r="Y31" s="160"/>
      <c r="Z31" s="160"/>
      <c r="AA31" s="160"/>
      <c r="AB31" s="161"/>
    </row>
    <row r="32" spans="1:28" ht="59.25" customHeight="1">
      <c r="A32" s="46" t="s">
        <v>87</v>
      </c>
      <c r="B32" s="159"/>
      <c r="C32" s="160"/>
      <c r="D32" s="160"/>
      <c r="E32" s="160"/>
      <c r="F32" s="160"/>
      <c r="G32" s="160"/>
      <c r="H32" s="160"/>
      <c r="I32" s="160"/>
      <c r="J32" s="160"/>
      <c r="K32" s="160"/>
      <c r="L32" s="160"/>
      <c r="M32" s="160"/>
      <c r="N32" s="160"/>
      <c r="O32" s="160"/>
      <c r="P32" s="160"/>
      <c r="Q32" s="160"/>
      <c r="R32" s="160"/>
      <c r="S32" s="160"/>
      <c r="T32" s="160"/>
      <c r="U32" s="160"/>
      <c r="V32" s="160"/>
      <c r="W32" s="160"/>
      <c r="X32" s="160"/>
      <c r="Y32" s="160"/>
      <c r="Z32" s="160"/>
      <c r="AA32" s="160"/>
      <c r="AB32" s="161"/>
    </row>
    <row r="33" spans="1:28" ht="59.25" customHeight="1">
      <c r="A33" s="46" t="s">
        <v>88</v>
      </c>
      <c r="B33" s="159"/>
      <c r="C33" s="160"/>
      <c r="D33" s="160"/>
      <c r="E33" s="160"/>
      <c r="F33" s="160"/>
      <c r="G33" s="160"/>
      <c r="H33" s="160"/>
      <c r="I33" s="160"/>
      <c r="J33" s="160"/>
      <c r="K33" s="160"/>
      <c r="L33" s="160"/>
      <c r="M33" s="160"/>
      <c r="N33" s="160"/>
      <c r="O33" s="160"/>
      <c r="P33" s="160"/>
      <c r="Q33" s="160"/>
      <c r="R33" s="160"/>
      <c r="S33" s="160"/>
      <c r="T33" s="160"/>
      <c r="U33" s="160"/>
      <c r="V33" s="160"/>
      <c r="W33" s="160"/>
      <c r="X33" s="160"/>
      <c r="Y33" s="160"/>
      <c r="Z33" s="160"/>
      <c r="AA33" s="160"/>
      <c r="AB33" s="161"/>
    </row>
    <row r="34" spans="1:28" ht="59.25" customHeight="1">
      <c r="A34" s="46" t="s">
        <v>89</v>
      </c>
      <c r="B34" s="159"/>
      <c r="C34" s="160"/>
      <c r="D34" s="160"/>
      <c r="E34" s="160"/>
      <c r="F34" s="160"/>
      <c r="G34" s="160"/>
      <c r="H34" s="160"/>
      <c r="I34" s="160"/>
      <c r="J34" s="160"/>
      <c r="K34" s="160"/>
      <c r="L34" s="160"/>
      <c r="M34" s="160"/>
      <c r="N34" s="160"/>
      <c r="O34" s="160"/>
      <c r="P34" s="160"/>
      <c r="Q34" s="160"/>
      <c r="R34" s="160"/>
      <c r="S34" s="160"/>
      <c r="T34" s="160"/>
      <c r="U34" s="160"/>
      <c r="V34" s="160"/>
      <c r="W34" s="160"/>
      <c r="X34" s="160"/>
      <c r="Y34" s="160"/>
      <c r="Z34" s="160"/>
      <c r="AA34" s="160"/>
      <c r="AB34" s="161"/>
    </row>
    <row r="35" spans="1:28" ht="59.25" customHeight="1">
      <c r="A35" s="46" t="s">
        <v>90</v>
      </c>
      <c r="B35" s="159"/>
      <c r="C35" s="160"/>
      <c r="D35" s="160"/>
      <c r="E35" s="160"/>
      <c r="F35" s="160"/>
      <c r="G35" s="160"/>
      <c r="H35" s="160"/>
      <c r="I35" s="160"/>
      <c r="J35" s="160"/>
      <c r="K35" s="160"/>
      <c r="L35" s="160"/>
      <c r="M35" s="160"/>
      <c r="N35" s="160"/>
      <c r="O35" s="160"/>
      <c r="P35" s="160"/>
      <c r="Q35" s="160"/>
      <c r="R35" s="160"/>
      <c r="S35" s="160"/>
      <c r="T35" s="160"/>
      <c r="U35" s="160"/>
      <c r="V35" s="160"/>
      <c r="W35" s="160"/>
      <c r="X35" s="160"/>
      <c r="Y35" s="160"/>
      <c r="Z35" s="160"/>
      <c r="AA35" s="160"/>
      <c r="AB35" s="161"/>
    </row>
    <row r="36" spans="1:28" ht="59.25" customHeight="1">
      <c r="A36" s="46"/>
      <c r="B36" s="159"/>
      <c r="C36" s="160"/>
      <c r="D36" s="160"/>
      <c r="E36" s="160"/>
      <c r="F36" s="160"/>
      <c r="G36" s="160"/>
      <c r="H36" s="160"/>
      <c r="I36" s="160"/>
      <c r="J36" s="160"/>
      <c r="K36" s="160"/>
      <c r="L36" s="160"/>
      <c r="M36" s="160"/>
      <c r="N36" s="160"/>
      <c r="O36" s="160"/>
      <c r="P36" s="160"/>
      <c r="Q36" s="160"/>
      <c r="R36" s="160"/>
      <c r="S36" s="160"/>
      <c r="T36" s="160"/>
      <c r="U36" s="160"/>
      <c r="V36" s="160"/>
      <c r="W36" s="160"/>
      <c r="X36" s="160"/>
      <c r="Y36" s="160"/>
      <c r="Z36" s="160"/>
      <c r="AA36" s="160"/>
      <c r="AB36" s="161"/>
    </row>
    <row r="37" spans="1:28" ht="59.25" customHeight="1">
      <c r="A37" s="46"/>
      <c r="B37" s="159"/>
      <c r="C37" s="160"/>
      <c r="D37" s="160"/>
      <c r="E37" s="160"/>
      <c r="F37" s="160"/>
      <c r="G37" s="160"/>
      <c r="H37" s="160"/>
      <c r="I37" s="160"/>
      <c r="J37" s="160"/>
      <c r="K37" s="160"/>
      <c r="L37" s="160"/>
      <c r="M37" s="160"/>
      <c r="N37" s="160"/>
      <c r="O37" s="160"/>
      <c r="P37" s="160"/>
      <c r="Q37" s="160"/>
      <c r="R37" s="160"/>
      <c r="S37" s="160"/>
      <c r="T37" s="160"/>
      <c r="U37" s="160"/>
      <c r="V37" s="160"/>
      <c r="W37" s="160"/>
      <c r="X37" s="160"/>
      <c r="Y37" s="160"/>
      <c r="Z37" s="160"/>
      <c r="AA37" s="160"/>
      <c r="AB37" s="161"/>
    </row>
    <row r="38" spans="1:28" ht="59.25" customHeight="1">
      <c r="A38" s="46"/>
      <c r="B38" s="159"/>
      <c r="C38" s="160"/>
      <c r="D38" s="160"/>
      <c r="E38" s="160"/>
      <c r="F38" s="160"/>
      <c r="G38" s="160"/>
      <c r="H38" s="160"/>
      <c r="I38" s="160"/>
      <c r="J38" s="160"/>
      <c r="K38" s="160"/>
      <c r="L38" s="160"/>
      <c r="M38" s="160"/>
      <c r="N38" s="160"/>
      <c r="O38" s="160"/>
      <c r="P38" s="160"/>
      <c r="Q38" s="160"/>
      <c r="R38" s="160"/>
      <c r="S38" s="160"/>
      <c r="T38" s="160"/>
      <c r="U38" s="160"/>
      <c r="V38" s="160"/>
      <c r="W38" s="160"/>
      <c r="X38" s="160"/>
      <c r="Y38" s="160"/>
      <c r="Z38" s="160"/>
      <c r="AA38" s="160"/>
      <c r="AB38" s="161"/>
    </row>
    <row r="39" spans="1:28" ht="59.25" customHeight="1">
      <c r="A39" s="46"/>
      <c r="B39" s="159"/>
      <c r="C39" s="160"/>
      <c r="D39" s="160"/>
      <c r="E39" s="160"/>
      <c r="F39" s="160"/>
      <c r="G39" s="160"/>
      <c r="H39" s="160"/>
      <c r="I39" s="160"/>
      <c r="J39" s="160"/>
      <c r="K39" s="160"/>
      <c r="L39" s="160"/>
      <c r="M39" s="160"/>
      <c r="N39" s="160"/>
      <c r="O39" s="160"/>
      <c r="P39" s="160"/>
      <c r="Q39" s="160"/>
      <c r="R39" s="160"/>
      <c r="S39" s="160"/>
      <c r="T39" s="160"/>
      <c r="U39" s="160"/>
      <c r="V39" s="160"/>
      <c r="W39" s="160"/>
      <c r="X39" s="160"/>
      <c r="Y39" s="160"/>
      <c r="Z39" s="160"/>
      <c r="AA39" s="160"/>
      <c r="AB39" s="161"/>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B38:AB38"/>
    <mergeCell ref="B39:AB39"/>
    <mergeCell ref="B28:AB28"/>
    <mergeCell ref="B29:AB29"/>
    <mergeCell ref="B30:AB30"/>
    <mergeCell ref="B31:AB31"/>
    <mergeCell ref="B32:AB32"/>
    <mergeCell ref="B33:AB33"/>
    <mergeCell ref="B34:AB34"/>
    <mergeCell ref="B35:AB35"/>
    <mergeCell ref="B36:AB36"/>
    <mergeCell ref="B37:AB37"/>
    <mergeCell ref="B23:AB23"/>
    <mergeCell ref="B24:AB24"/>
    <mergeCell ref="B25:AB25"/>
    <mergeCell ref="B26:AB26"/>
    <mergeCell ref="B27:AB27"/>
    <mergeCell ref="B18:AB18"/>
    <mergeCell ref="B19:AB19"/>
    <mergeCell ref="B20:AB20"/>
    <mergeCell ref="B21:AB21"/>
    <mergeCell ref="B22:AB22"/>
    <mergeCell ref="A2:A12"/>
    <mergeCell ref="B14:AB14"/>
    <mergeCell ref="B15:AB15"/>
    <mergeCell ref="B16:AB16"/>
    <mergeCell ref="B17:AB17"/>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1"/>
  </sheetPr>
  <dimension ref="A1:AD193"/>
  <sheetViews>
    <sheetView workbookViewId="0">
      <selection sqref="A1:XFD1048576"/>
    </sheetView>
  </sheetViews>
  <sheetFormatPr defaultRowHeight="13.5"/>
  <cols>
    <col min="1" max="1" width="13.5" style="8" customWidth="1"/>
    <col min="2" max="2" width="79.125" style="8" customWidth="1"/>
    <col min="3" max="3" width="9.375" style="8" customWidth="1"/>
    <col min="4" max="28" width="4.125" style="8" customWidth="1"/>
    <col min="29" max="16384" width="9" style="8"/>
  </cols>
  <sheetData>
    <row r="1" spans="1:30" ht="85.5" customHeight="1">
      <c r="A1" s="33" t="str">
        <f ca="1">MID(CELL("filename",A1),FIND("[",CELL("filename",A1))+1,3)</f>
        <v>５－１</v>
      </c>
      <c r="B1" s="34" t="str">
        <f ca="1">RIGHT(CELL("filename",B1),LEN(CELL("filename",B1))-FIND("]",CELL("filename",B1)))</f>
        <v>家庭</v>
      </c>
      <c r="C1" s="35" t="s">
        <v>25</v>
      </c>
      <c r="D1" s="36" t="str">
        <f>A15</f>
        <v>阿部 光希</v>
      </c>
      <c r="E1" s="36" t="str">
        <f>A16</f>
        <v>池田 篤也</v>
      </c>
      <c r="F1" s="36" t="str">
        <f>A17</f>
        <v>荻原 健史</v>
      </c>
      <c r="G1" s="36" t="str">
        <f>A18</f>
        <v>上條 里紗</v>
      </c>
      <c r="H1" s="36" t="str">
        <f>A19</f>
        <v>小森 美柚</v>
      </c>
      <c r="I1" s="36" t="str">
        <f>A20</f>
        <v>酒巻 紋子</v>
      </c>
      <c r="J1" s="36" t="str">
        <f>A21</f>
        <v>滝 真佳</v>
      </c>
      <c r="K1" s="36" t="str">
        <f>A22</f>
        <v>都筑 斉</v>
      </c>
      <c r="L1" s="36" t="str">
        <f>A23</f>
        <v>傳田 悠藍</v>
      </c>
      <c r="M1" s="36" t="str">
        <f>A24</f>
        <v>中原 照真</v>
      </c>
      <c r="N1" s="36" t="str">
        <f>A25</f>
        <v>永原 愛羅</v>
      </c>
      <c r="O1" s="36" t="str">
        <f>A26</f>
        <v>根橋 宏匡</v>
      </c>
      <c r="P1" s="36" t="str">
        <f>A27</f>
        <v>平野 悠</v>
      </c>
      <c r="Q1" s="36" t="str">
        <f>A28</f>
        <v>丸山 大河</v>
      </c>
      <c r="R1" s="36" t="str">
        <f>A29</f>
        <v>三浦 和成</v>
      </c>
      <c r="S1" s="36" t="str">
        <f>A30</f>
        <v>三澤 桜來</v>
      </c>
      <c r="T1" s="36" t="str">
        <f>A31</f>
        <v>明嵐 瑛大</v>
      </c>
      <c r="U1" s="36" t="str">
        <f>A32</f>
        <v>屋井 皓</v>
      </c>
      <c r="V1" s="36" t="str">
        <f>A33</f>
        <v>若松 優羽花</v>
      </c>
      <c r="W1" s="36" t="str">
        <f>A34</f>
        <v>渡邊 葉子</v>
      </c>
      <c r="X1" s="36" t="str">
        <f>A35</f>
        <v>綿貫 叶乃音</v>
      </c>
      <c r="Y1" s="36">
        <f>A36</f>
        <v>0</v>
      </c>
      <c r="Z1" s="36">
        <f>A37</f>
        <v>0</v>
      </c>
      <c r="AA1" s="36">
        <f>A38</f>
        <v>0</v>
      </c>
      <c r="AB1" s="36">
        <f>A39</f>
        <v>0</v>
      </c>
      <c r="AC1" s="37"/>
    </row>
    <row r="2" spans="1:30" ht="22.5" customHeight="1">
      <c r="A2" s="153" t="s">
        <v>265</v>
      </c>
      <c r="B2" s="89" t="s">
        <v>268</v>
      </c>
      <c r="C2" s="38" t="s">
        <v>26</v>
      </c>
      <c r="D2" s="39" t="s">
        <v>266</v>
      </c>
      <c r="E2" s="39" t="s">
        <v>266</v>
      </c>
      <c r="F2" s="39" t="s">
        <v>223</v>
      </c>
      <c r="G2" s="39" t="s">
        <v>223</v>
      </c>
      <c r="H2" s="39" t="s">
        <v>223</v>
      </c>
      <c r="I2" s="39" t="s">
        <v>223</v>
      </c>
      <c r="J2" s="39" t="s">
        <v>223</v>
      </c>
      <c r="K2" s="39" t="s">
        <v>222</v>
      </c>
      <c r="L2" s="39" t="s">
        <v>223</v>
      </c>
      <c r="M2" s="39" t="s">
        <v>223</v>
      </c>
      <c r="N2" s="39" t="s">
        <v>223</v>
      </c>
      <c r="O2" s="39" t="s">
        <v>223</v>
      </c>
      <c r="P2" s="39" t="s">
        <v>222</v>
      </c>
      <c r="Q2" s="39" t="s">
        <v>223</v>
      </c>
      <c r="R2" s="39" t="s">
        <v>223</v>
      </c>
      <c r="S2" s="39" t="s">
        <v>223</v>
      </c>
      <c r="T2" s="39" t="s">
        <v>223</v>
      </c>
      <c r="U2" s="39" t="s">
        <v>222</v>
      </c>
      <c r="V2" s="39" t="s">
        <v>223</v>
      </c>
      <c r="W2" s="39" t="s">
        <v>222</v>
      </c>
      <c r="X2" s="39" t="s">
        <v>223</v>
      </c>
      <c r="Y2" s="39"/>
      <c r="Z2" s="39"/>
      <c r="AA2" s="39"/>
      <c r="AB2" s="39"/>
      <c r="AC2" s="40" t="s">
        <v>223</v>
      </c>
      <c r="AD2" s="40">
        <v>1</v>
      </c>
    </row>
    <row r="3" spans="1:30" ht="22.5" customHeight="1">
      <c r="A3" s="154"/>
      <c r="B3" s="89" t="s">
        <v>139</v>
      </c>
      <c r="C3" s="38" t="s">
        <v>26</v>
      </c>
      <c r="D3" s="39" t="s">
        <v>223</v>
      </c>
      <c r="E3" s="39" t="s">
        <v>223</v>
      </c>
      <c r="F3" s="39" t="s">
        <v>223</v>
      </c>
      <c r="G3" s="39" t="s">
        <v>223</v>
      </c>
      <c r="H3" s="39" t="s">
        <v>223</v>
      </c>
      <c r="I3" s="39" t="s">
        <v>223</v>
      </c>
      <c r="J3" s="39" t="s">
        <v>223</v>
      </c>
      <c r="K3" s="39" t="s">
        <v>222</v>
      </c>
      <c r="L3" s="39" t="s">
        <v>223</v>
      </c>
      <c r="M3" s="39" t="s">
        <v>222</v>
      </c>
      <c r="N3" s="39" t="s">
        <v>222</v>
      </c>
      <c r="O3" s="39" t="s">
        <v>222</v>
      </c>
      <c r="P3" s="39" t="s">
        <v>223</v>
      </c>
      <c r="Q3" s="39" t="s">
        <v>222</v>
      </c>
      <c r="R3" s="39" t="s">
        <v>222</v>
      </c>
      <c r="S3" s="39" t="s">
        <v>223</v>
      </c>
      <c r="T3" s="39" t="s">
        <v>223</v>
      </c>
      <c r="U3" s="39" t="s">
        <v>223</v>
      </c>
      <c r="V3" s="39" t="s">
        <v>223</v>
      </c>
      <c r="W3" s="39" t="s">
        <v>223</v>
      </c>
      <c r="X3" s="39" t="s">
        <v>223</v>
      </c>
      <c r="Y3" s="39"/>
      <c r="Z3" s="39"/>
      <c r="AA3" s="39"/>
      <c r="AB3" s="39"/>
      <c r="AC3" s="40" t="s">
        <v>222</v>
      </c>
      <c r="AD3" s="40">
        <v>2</v>
      </c>
    </row>
    <row r="4" spans="1:30" ht="22.5" customHeight="1">
      <c r="A4" s="154"/>
      <c r="B4" s="89" t="s">
        <v>233</v>
      </c>
      <c r="C4" s="38" t="s">
        <v>26</v>
      </c>
      <c r="D4" s="39" t="s">
        <v>223</v>
      </c>
      <c r="E4" s="39" t="s">
        <v>223</v>
      </c>
      <c r="F4" s="39" t="s">
        <v>223</v>
      </c>
      <c r="G4" s="39" t="s">
        <v>223</v>
      </c>
      <c r="H4" s="39" t="s">
        <v>223</v>
      </c>
      <c r="I4" s="39" t="s">
        <v>223</v>
      </c>
      <c r="J4" s="39" t="s">
        <v>223</v>
      </c>
      <c r="K4" s="39" t="s">
        <v>223</v>
      </c>
      <c r="L4" s="39" t="s">
        <v>223</v>
      </c>
      <c r="M4" s="39" t="s">
        <v>222</v>
      </c>
      <c r="N4" s="39" t="s">
        <v>223</v>
      </c>
      <c r="O4" s="39" t="s">
        <v>222</v>
      </c>
      <c r="P4" s="39" t="s">
        <v>223</v>
      </c>
      <c r="Q4" s="39" t="s">
        <v>223</v>
      </c>
      <c r="R4" s="39" t="s">
        <v>222</v>
      </c>
      <c r="S4" s="39" t="s">
        <v>223</v>
      </c>
      <c r="T4" s="39" t="s">
        <v>223</v>
      </c>
      <c r="U4" s="39" t="s">
        <v>223</v>
      </c>
      <c r="V4" s="39" t="s">
        <v>223</v>
      </c>
      <c r="W4" s="39" t="s">
        <v>223</v>
      </c>
      <c r="X4" s="39" t="s">
        <v>223</v>
      </c>
      <c r="Y4" s="39"/>
      <c r="Z4" s="39"/>
      <c r="AA4" s="39"/>
      <c r="AB4" s="39"/>
      <c r="AC4" s="40" t="s">
        <v>224</v>
      </c>
      <c r="AD4" s="40">
        <v>3</v>
      </c>
    </row>
    <row r="5" spans="1:30" ht="22.5" customHeight="1">
      <c r="A5" s="154"/>
      <c r="B5" s="41"/>
      <c r="C5" s="38" t="s">
        <v>26</v>
      </c>
      <c r="D5" s="39"/>
      <c r="E5" s="39"/>
      <c r="F5" s="39"/>
      <c r="G5" s="39"/>
      <c r="H5" s="39"/>
      <c r="I5" s="39"/>
      <c r="J5" s="39"/>
      <c r="K5" s="39"/>
      <c r="L5" s="39"/>
      <c r="M5" s="39"/>
      <c r="N5" s="39"/>
      <c r="O5" s="39"/>
      <c r="P5" s="39"/>
      <c r="Q5" s="39"/>
      <c r="R5" s="39"/>
      <c r="S5" s="39"/>
      <c r="T5" s="39"/>
      <c r="U5" s="39"/>
      <c r="V5" s="39"/>
      <c r="W5" s="39"/>
      <c r="X5" s="39"/>
      <c r="Y5" s="39"/>
      <c r="Z5" s="39"/>
      <c r="AA5" s="39"/>
      <c r="AB5" s="39"/>
      <c r="AC5" s="40" t="s">
        <v>225</v>
      </c>
      <c r="AD5" s="40">
        <v>4</v>
      </c>
    </row>
    <row r="6" spans="1:30" ht="22.5" customHeight="1">
      <c r="A6" s="154"/>
      <c r="B6" s="41"/>
      <c r="C6" s="38" t="s">
        <v>26</v>
      </c>
      <c r="D6" s="39"/>
      <c r="E6" s="39"/>
      <c r="F6" s="39"/>
      <c r="G6" s="39"/>
      <c r="H6" s="39"/>
      <c r="I6" s="39"/>
      <c r="J6" s="39"/>
      <c r="K6" s="39"/>
      <c r="L6" s="39"/>
      <c r="M6" s="39"/>
      <c r="N6" s="39"/>
      <c r="O6" s="39"/>
      <c r="P6" s="39"/>
      <c r="Q6" s="39"/>
      <c r="R6" s="39"/>
      <c r="S6" s="39"/>
      <c r="T6" s="39"/>
      <c r="U6" s="39"/>
      <c r="V6" s="39"/>
      <c r="W6" s="39"/>
      <c r="X6" s="39"/>
      <c r="Y6" s="39"/>
      <c r="Z6" s="39"/>
      <c r="AA6" s="39"/>
      <c r="AB6" s="39"/>
      <c r="AC6" s="40"/>
      <c r="AD6" s="40">
        <v>5</v>
      </c>
    </row>
    <row r="7" spans="1:30" ht="22.5" customHeight="1">
      <c r="A7" s="154"/>
      <c r="B7" s="41"/>
      <c r="C7" s="38" t="s">
        <v>26</v>
      </c>
      <c r="D7" s="39"/>
      <c r="E7" s="39"/>
      <c r="F7" s="39"/>
      <c r="G7" s="39"/>
      <c r="H7" s="39"/>
      <c r="I7" s="39"/>
      <c r="J7" s="39"/>
      <c r="K7" s="39"/>
      <c r="L7" s="39"/>
      <c r="M7" s="39"/>
      <c r="N7" s="39"/>
      <c r="O7" s="39"/>
      <c r="P7" s="39"/>
      <c r="Q7" s="39"/>
      <c r="R7" s="39"/>
      <c r="S7" s="39"/>
      <c r="T7" s="39"/>
      <c r="U7" s="39"/>
      <c r="V7" s="39"/>
      <c r="W7" s="39"/>
      <c r="X7" s="39"/>
      <c r="Y7" s="39"/>
      <c r="Z7" s="39"/>
      <c r="AA7" s="39"/>
      <c r="AB7" s="39"/>
      <c r="AC7" s="40"/>
      <c r="AD7" s="40" t="s">
        <v>225</v>
      </c>
    </row>
    <row r="8" spans="1:30" ht="22.5" customHeight="1">
      <c r="A8" s="154"/>
      <c r="B8" s="41"/>
      <c r="C8" s="38" t="s">
        <v>26</v>
      </c>
      <c r="D8" s="39"/>
      <c r="E8" s="39"/>
      <c r="F8" s="39"/>
      <c r="G8" s="39"/>
      <c r="H8" s="39"/>
      <c r="I8" s="39"/>
      <c r="J8" s="39"/>
      <c r="K8" s="39"/>
      <c r="L8" s="39"/>
      <c r="M8" s="39"/>
      <c r="N8" s="39"/>
      <c r="O8" s="39"/>
      <c r="P8" s="39"/>
      <c r="Q8" s="39"/>
      <c r="R8" s="39"/>
      <c r="S8" s="39"/>
      <c r="T8" s="39"/>
      <c r="U8" s="39"/>
      <c r="V8" s="39"/>
      <c r="W8" s="39"/>
      <c r="X8" s="39"/>
      <c r="Y8" s="39"/>
      <c r="Z8" s="39"/>
      <c r="AA8" s="39"/>
      <c r="AB8" s="39"/>
    </row>
    <row r="9" spans="1:30" ht="22.5" customHeight="1">
      <c r="A9" s="154"/>
      <c r="B9" s="41"/>
      <c r="C9" s="38" t="s">
        <v>26</v>
      </c>
      <c r="D9" s="39"/>
      <c r="E9" s="39"/>
      <c r="F9" s="39"/>
      <c r="G9" s="39"/>
      <c r="H9" s="39"/>
      <c r="I9" s="39"/>
      <c r="J9" s="39"/>
      <c r="K9" s="39"/>
      <c r="L9" s="39"/>
      <c r="M9" s="39"/>
      <c r="N9" s="39"/>
      <c r="O9" s="39"/>
      <c r="P9" s="39"/>
      <c r="Q9" s="39"/>
      <c r="R9" s="39"/>
      <c r="S9" s="39"/>
      <c r="T9" s="39"/>
      <c r="U9" s="39"/>
      <c r="V9" s="39"/>
      <c r="W9" s="39"/>
      <c r="X9" s="39"/>
      <c r="Y9" s="39"/>
      <c r="Z9" s="39"/>
      <c r="AA9" s="39"/>
      <c r="AB9" s="39"/>
    </row>
    <row r="10" spans="1:30" ht="22.5" customHeight="1">
      <c r="A10" s="154"/>
      <c r="B10" s="41"/>
      <c r="C10" s="38" t="s">
        <v>26</v>
      </c>
      <c r="D10" s="39"/>
      <c r="E10" s="39"/>
      <c r="F10" s="39"/>
      <c r="G10" s="39"/>
      <c r="H10" s="39"/>
      <c r="I10" s="39"/>
      <c r="J10" s="39"/>
      <c r="K10" s="39"/>
      <c r="L10" s="39"/>
      <c r="M10" s="39"/>
      <c r="N10" s="39"/>
      <c r="O10" s="39"/>
      <c r="P10" s="39"/>
      <c r="Q10" s="39"/>
      <c r="R10" s="39"/>
      <c r="S10" s="39"/>
      <c r="T10" s="39"/>
      <c r="U10" s="39"/>
      <c r="V10" s="39"/>
      <c r="W10" s="39"/>
      <c r="X10" s="39"/>
      <c r="Y10" s="39"/>
      <c r="Z10" s="39"/>
      <c r="AA10" s="39"/>
      <c r="AB10" s="39"/>
    </row>
    <row r="11" spans="1:30" ht="22.5" customHeight="1">
      <c r="A11" s="154"/>
      <c r="B11" s="41"/>
      <c r="C11" s="38" t="s">
        <v>26</v>
      </c>
      <c r="D11" s="39"/>
      <c r="E11" s="39"/>
      <c r="F11" s="39"/>
      <c r="G11" s="39"/>
      <c r="H11" s="39"/>
      <c r="I11" s="39"/>
      <c r="J11" s="39"/>
      <c r="K11" s="39"/>
      <c r="L11" s="39"/>
      <c r="M11" s="39"/>
      <c r="N11" s="39"/>
      <c r="O11" s="39"/>
      <c r="P11" s="39"/>
      <c r="Q11" s="39"/>
      <c r="R11" s="39"/>
      <c r="S11" s="39"/>
      <c r="T11" s="39"/>
      <c r="U11" s="39"/>
      <c r="V11" s="39"/>
      <c r="W11" s="39"/>
      <c r="X11" s="39"/>
      <c r="Y11" s="39"/>
      <c r="Z11" s="39"/>
      <c r="AA11" s="39"/>
      <c r="AB11" s="39"/>
    </row>
    <row r="12" spans="1:30" ht="30" customHeight="1">
      <c r="A12" s="155"/>
      <c r="B12" s="42"/>
      <c r="C12" s="43" t="s">
        <v>27</v>
      </c>
      <c r="D12" s="39">
        <v>5</v>
      </c>
      <c r="E12" s="39">
        <v>5</v>
      </c>
      <c r="F12" s="39">
        <v>5</v>
      </c>
      <c r="G12" s="39">
        <v>5</v>
      </c>
      <c r="H12" s="39">
        <v>5</v>
      </c>
      <c r="I12" s="39">
        <v>5</v>
      </c>
      <c r="J12" s="39">
        <v>5</v>
      </c>
      <c r="K12" s="39">
        <v>3</v>
      </c>
      <c r="L12" s="39">
        <v>5</v>
      </c>
      <c r="M12" s="39">
        <v>3</v>
      </c>
      <c r="N12" s="39">
        <v>4</v>
      </c>
      <c r="O12" s="39">
        <v>3</v>
      </c>
      <c r="P12" s="39">
        <v>4</v>
      </c>
      <c r="Q12" s="39">
        <v>4</v>
      </c>
      <c r="R12" s="39">
        <v>3</v>
      </c>
      <c r="S12" s="39">
        <v>5</v>
      </c>
      <c r="T12" s="39">
        <v>5</v>
      </c>
      <c r="U12" s="39">
        <v>4</v>
      </c>
      <c r="V12" s="39">
        <v>5</v>
      </c>
      <c r="W12" s="39">
        <v>4</v>
      </c>
      <c r="X12" s="39">
        <v>5</v>
      </c>
      <c r="Y12" s="39"/>
      <c r="Z12" s="39"/>
      <c r="AA12" s="39"/>
      <c r="AB12" s="39"/>
    </row>
    <row r="13" spans="1:30" ht="26.25" customHeight="1">
      <c r="A13" s="44"/>
      <c r="B13" s="44"/>
      <c r="C13" s="81" t="s">
        <v>62</v>
      </c>
      <c r="D13" s="39"/>
      <c r="E13" s="39"/>
      <c r="F13" s="39"/>
      <c r="G13" s="39"/>
      <c r="H13" s="39"/>
      <c r="I13" s="39"/>
      <c r="J13" s="39"/>
      <c r="K13" s="39"/>
      <c r="L13" s="39"/>
      <c r="M13" s="39"/>
      <c r="N13" s="39"/>
      <c r="O13" s="39"/>
      <c r="P13" s="39"/>
      <c r="Q13" s="39"/>
      <c r="R13" s="39"/>
      <c r="S13" s="39"/>
      <c r="T13" s="39"/>
      <c r="U13" s="39"/>
      <c r="V13" s="39"/>
      <c r="W13" s="39"/>
      <c r="X13" s="39"/>
      <c r="Y13" s="39"/>
      <c r="Z13" s="39"/>
      <c r="AA13" s="39"/>
      <c r="AB13" s="39"/>
    </row>
    <row r="14" spans="1:30" ht="22.5" customHeight="1">
      <c r="A14" s="45" t="s">
        <v>28</v>
      </c>
      <c r="B14" s="156" t="s">
        <v>29</v>
      </c>
      <c r="C14" s="157"/>
      <c r="D14" s="157"/>
      <c r="E14" s="157"/>
      <c r="F14" s="157"/>
      <c r="G14" s="157"/>
      <c r="H14" s="157"/>
      <c r="I14" s="157"/>
      <c r="J14" s="157"/>
      <c r="K14" s="157"/>
      <c r="L14" s="157"/>
      <c r="M14" s="157"/>
      <c r="N14" s="157"/>
      <c r="O14" s="157"/>
      <c r="P14" s="157"/>
      <c r="Q14" s="157"/>
      <c r="R14" s="157"/>
      <c r="S14" s="157"/>
      <c r="T14" s="157"/>
      <c r="U14" s="157"/>
      <c r="V14" s="157"/>
      <c r="W14" s="157"/>
      <c r="X14" s="157"/>
      <c r="Y14" s="157"/>
      <c r="Z14" s="157"/>
      <c r="AA14" s="157"/>
      <c r="AB14" s="158"/>
    </row>
    <row r="15" spans="1:30" ht="59.25" customHeight="1">
      <c r="A15" s="46" t="s">
        <v>70</v>
      </c>
      <c r="B15" s="159" t="s">
        <v>140</v>
      </c>
      <c r="C15" s="160"/>
      <c r="D15" s="160"/>
      <c r="E15" s="160"/>
      <c r="F15" s="160"/>
      <c r="G15" s="160"/>
      <c r="H15" s="160"/>
      <c r="I15" s="160"/>
      <c r="J15" s="160"/>
      <c r="K15" s="160"/>
      <c r="L15" s="160"/>
      <c r="M15" s="160"/>
      <c r="N15" s="160"/>
      <c r="O15" s="160"/>
      <c r="P15" s="160"/>
      <c r="Q15" s="160"/>
      <c r="R15" s="160"/>
      <c r="S15" s="160"/>
      <c r="T15" s="160"/>
      <c r="U15" s="160"/>
      <c r="V15" s="160"/>
      <c r="W15" s="160"/>
      <c r="X15" s="160"/>
      <c r="Y15" s="160"/>
      <c r="Z15" s="160"/>
      <c r="AA15" s="160"/>
      <c r="AB15" s="161"/>
    </row>
    <row r="16" spans="1:30" ht="59.25" customHeight="1">
      <c r="A16" s="46" t="s">
        <v>71</v>
      </c>
      <c r="B16" s="159" t="s">
        <v>269</v>
      </c>
      <c r="C16" s="160"/>
      <c r="D16" s="160"/>
      <c r="E16" s="160"/>
      <c r="F16" s="160"/>
      <c r="G16" s="160"/>
      <c r="H16" s="160"/>
      <c r="I16" s="160"/>
      <c r="J16" s="160"/>
      <c r="K16" s="160"/>
      <c r="L16" s="160"/>
      <c r="M16" s="160"/>
      <c r="N16" s="160"/>
      <c r="O16" s="160"/>
      <c r="P16" s="160"/>
      <c r="Q16" s="160"/>
      <c r="R16" s="160"/>
      <c r="S16" s="160"/>
      <c r="T16" s="160"/>
      <c r="U16" s="160"/>
      <c r="V16" s="160"/>
      <c r="W16" s="160"/>
      <c r="X16" s="160"/>
      <c r="Y16" s="160"/>
      <c r="Z16" s="160"/>
      <c r="AA16" s="160"/>
      <c r="AB16" s="161"/>
    </row>
    <row r="17" spans="1:28" ht="59.25" customHeight="1">
      <c r="A17" s="46" t="s">
        <v>72</v>
      </c>
      <c r="B17" s="159" t="s">
        <v>270</v>
      </c>
      <c r="C17" s="160"/>
      <c r="D17" s="160"/>
      <c r="E17" s="160"/>
      <c r="F17" s="160"/>
      <c r="G17" s="160"/>
      <c r="H17" s="160"/>
      <c r="I17" s="160"/>
      <c r="J17" s="160"/>
      <c r="K17" s="160"/>
      <c r="L17" s="160"/>
      <c r="M17" s="160"/>
      <c r="N17" s="160"/>
      <c r="O17" s="160"/>
      <c r="P17" s="160"/>
      <c r="Q17" s="160"/>
      <c r="R17" s="160"/>
      <c r="S17" s="160"/>
      <c r="T17" s="160"/>
      <c r="U17" s="160"/>
      <c r="V17" s="160"/>
      <c r="W17" s="160"/>
      <c r="X17" s="160"/>
      <c r="Y17" s="160"/>
      <c r="Z17" s="160"/>
      <c r="AA17" s="160"/>
      <c r="AB17" s="161"/>
    </row>
    <row r="18" spans="1:28" ht="59.25" customHeight="1">
      <c r="A18" s="46" t="s">
        <v>73</v>
      </c>
      <c r="B18" s="159" t="s">
        <v>271</v>
      </c>
      <c r="C18" s="160"/>
      <c r="D18" s="160"/>
      <c r="E18" s="160"/>
      <c r="F18" s="160"/>
      <c r="G18" s="160"/>
      <c r="H18" s="160"/>
      <c r="I18" s="160"/>
      <c r="J18" s="160"/>
      <c r="K18" s="160"/>
      <c r="L18" s="160"/>
      <c r="M18" s="160"/>
      <c r="N18" s="160"/>
      <c r="O18" s="160"/>
      <c r="P18" s="160"/>
      <c r="Q18" s="160"/>
      <c r="R18" s="160"/>
      <c r="S18" s="160"/>
      <c r="T18" s="160"/>
      <c r="U18" s="160"/>
      <c r="V18" s="160"/>
      <c r="W18" s="160"/>
      <c r="X18" s="160"/>
      <c r="Y18" s="160"/>
      <c r="Z18" s="160"/>
      <c r="AA18" s="160"/>
      <c r="AB18" s="161"/>
    </row>
    <row r="19" spans="1:28" ht="59.25" customHeight="1">
      <c r="A19" s="46" t="s">
        <v>74</v>
      </c>
      <c r="B19" s="159" t="s">
        <v>272</v>
      </c>
      <c r="C19" s="160"/>
      <c r="D19" s="160"/>
      <c r="E19" s="160"/>
      <c r="F19" s="160"/>
      <c r="G19" s="160"/>
      <c r="H19" s="160"/>
      <c r="I19" s="160"/>
      <c r="J19" s="160"/>
      <c r="K19" s="160"/>
      <c r="L19" s="160"/>
      <c r="M19" s="160"/>
      <c r="N19" s="160"/>
      <c r="O19" s="160"/>
      <c r="P19" s="160"/>
      <c r="Q19" s="160"/>
      <c r="R19" s="160"/>
      <c r="S19" s="160"/>
      <c r="T19" s="160"/>
      <c r="U19" s="160"/>
      <c r="V19" s="160"/>
      <c r="W19" s="160"/>
      <c r="X19" s="160"/>
      <c r="Y19" s="160"/>
      <c r="Z19" s="160"/>
      <c r="AA19" s="160"/>
      <c r="AB19" s="161"/>
    </row>
    <row r="20" spans="1:28" ht="59.25" customHeight="1">
      <c r="A20" s="46" t="s">
        <v>75</v>
      </c>
      <c r="B20" s="159" t="s">
        <v>273</v>
      </c>
      <c r="C20" s="160"/>
      <c r="D20" s="160"/>
      <c r="E20" s="160"/>
      <c r="F20" s="160"/>
      <c r="G20" s="160"/>
      <c r="H20" s="160"/>
      <c r="I20" s="160"/>
      <c r="J20" s="160"/>
      <c r="K20" s="160"/>
      <c r="L20" s="160"/>
      <c r="M20" s="160"/>
      <c r="N20" s="160"/>
      <c r="O20" s="160"/>
      <c r="P20" s="160"/>
      <c r="Q20" s="160"/>
      <c r="R20" s="160"/>
      <c r="S20" s="160"/>
      <c r="T20" s="160"/>
      <c r="U20" s="160"/>
      <c r="V20" s="160"/>
      <c r="W20" s="160"/>
      <c r="X20" s="160"/>
      <c r="Y20" s="160"/>
      <c r="Z20" s="160"/>
      <c r="AA20" s="160"/>
      <c r="AB20" s="161"/>
    </row>
    <row r="21" spans="1:28" ht="59.25" customHeight="1">
      <c r="A21" s="46" t="s">
        <v>76</v>
      </c>
      <c r="B21" s="159" t="s">
        <v>234</v>
      </c>
      <c r="C21" s="160"/>
      <c r="D21" s="160"/>
      <c r="E21" s="160"/>
      <c r="F21" s="160"/>
      <c r="G21" s="160"/>
      <c r="H21" s="160"/>
      <c r="I21" s="160"/>
      <c r="J21" s="160"/>
      <c r="K21" s="160"/>
      <c r="L21" s="160"/>
      <c r="M21" s="160"/>
      <c r="N21" s="160"/>
      <c r="O21" s="160"/>
      <c r="P21" s="160"/>
      <c r="Q21" s="160"/>
      <c r="R21" s="160"/>
      <c r="S21" s="160"/>
      <c r="T21" s="160"/>
      <c r="U21" s="160"/>
      <c r="V21" s="160"/>
      <c r="W21" s="160"/>
      <c r="X21" s="160"/>
      <c r="Y21" s="160"/>
      <c r="Z21" s="160"/>
      <c r="AA21" s="160"/>
      <c r="AB21" s="161"/>
    </row>
    <row r="22" spans="1:28" ht="59.25" customHeight="1">
      <c r="A22" s="46" t="s">
        <v>77</v>
      </c>
      <c r="B22" s="159" t="s">
        <v>141</v>
      </c>
      <c r="C22" s="160"/>
      <c r="D22" s="160"/>
      <c r="E22" s="160"/>
      <c r="F22" s="160"/>
      <c r="G22" s="160"/>
      <c r="H22" s="160"/>
      <c r="I22" s="160"/>
      <c r="J22" s="160"/>
      <c r="K22" s="160"/>
      <c r="L22" s="160"/>
      <c r="M22" s="160"/>
      <c r="N22" s="160"/>
      <c r="O22" s="160"/>
      <c r="P22" s="160"/>
      <c r="Q22" s="160"/>
      <c r="R22" s="160"/>
      <c r="S22" s="160"/>
      <c r="T22" s="160"/>
      <c r="U22" s="160"/>
      <c r="V22" s="160"/>
      <c r="W22" s="160"/>
      <c r="X22" s="160"/>
      <c r="Y22" s="160"/>
      <c r="Z22" s="160"/>
      <c r="AA22" s="160"/>
      <c r="AB22" s="161"/>
    </row>
    <row r="23" spans="1:28" ht="59.25" customHeight="1">
      <c r="A23" s="46" t="s">
        <v>78</v>
      </c>
      <c r="B23" s="159" t="s">
        <v>142</v>
      </c>
      <c r="C23" s="160"/>
      <c r="D23" s="160"/>
      <c r="E23" s="160"/>
      <c r="F23" s="160"/>
      <c r="G23" s="160"/>
      <c r="H23" s="160"/>
      <c r="I23" s="160"/>
      <c r="J23" s="160"/>
      <c r="K23" s="160"/>
      <c r="L23" s="160"/>
      <c r="M23" s="160"/>
      <c r="N23" s="160"/>
      <c r="O23" s="160"/>
      <c r="P23" s="160"/>
      <c r="Q23" s="160"/>
      <c r="R23" s="160"/>
      <c r="S23" s="160"/>
      <c r="T23" s="160"/>
      <c r="U23" s="160"/>
      <c r="V23" s="160"/>
      <c r="W23" s="160"/>
      <c r="X23" s="160"/>
      <c r="Y23" s="160"/>
      <c r="Z23" s="160"/>
      <c r="AA23" s="160"/>
      <c r="AB23" s="161"/>
    </row>
    <row r="24" spans="1:28" ht="59.25" customHeight="1">
      <c r="A24" s="46" t="s">
        <v>79</v>
      </c>
      <c r="B24" s="159" t="s">
        <v>143</v>
      </c>
      <c r="C24" s="160"/>
      <c r="D24" s="160"/>
      <c r="E24" s="160"/>
      <c r="F24" s="160"/>
      <c r="G24" s="160"/>
      <c r="H24" s="160"/>
      <c r="I24" s="160"/>
      <c r="J24" s="160"/>
      <c r="K24" s="160"/>
      <c r="L24" s="160"/>
      <c r="M24" s="160"/>
      <c r="N24" s="160"/>
      <c r="O24" s="160"/>
      <c r="P24" s="160"/>
      <c r="Q24" s="160"/>
      <c r="R24" s="160"/>
      <c r="S24" s="160"/>
      <c r="T24" s="160"/>
      <c r="U24" s="160"/>
      <c r="V24" s="160"/>
      <c r="W24" s="160"/>
      <c r="X24" s="160"/>
      <c r="Y24" s="160"/>
      <c r="Z24" s="160"/>
      <c r="AA24" s="160"/>
      <c r="AB24" s="161"/>
    </row>
    <row r="25" spans="1:28" ht="59.25" customHeight="1">
      <c r="A25" s="46" t="s">
        <v>80</v>
      </c>
      <c r="B25" s="159" t="s">
        <v>144</v>
      </c>
      <c r="C25" s="160"/>
      <c r="D25" s="160"/>
      <c r="E25" s="160"/>
      <c r="F25" s="160"/>
      <c r="G25" s="160"/>
      <c r="H25" s="160"/>
      <c r="I25" s="160"/>
      <c r="J25" s="160"/>
      <c r="K25" s="160"/>
      <c r="L25" s="160"/>
      <c r="M25" s="160"/>
      <c r="N25" s="160"/>
      <c r="O25" s="160"/>
      <c r="P25" s="160"/>
      <c r="Q25" s="160"/>
      <c r="R25" s="160"/>
      <c r="S25" s="160"/>
      <c r="T25" s="160"/>
      <c r="U25" s="160"/>
      <c r="V25" s="160"/>
      <c r="W25" s="160"/>
      <c r="X25" s="160"/>
      <c r="Y25" s="160"/>
      <c r="Z25" s="160"/>
      <c r="AA25" s="160"/>
      <c r="AB25" s="161"/>
    </row>
    <row r="26" spans="1:28" ht="59.25" customHeight="1">
      <c r="A26" s="46" t="s">
        <v>81</v>
      </c>
      <c r="B26" s="159" t="s">
        <v>145</v>
      </c>
      <c r="C26" s="160"/>
      <c r="D26" s="160"/>
      <c r="E26" s="160"/>
      <c r="F26" s="160"/>
      <c r="G26" s="160"/>
      <c r="H26" s="160"/>
      <c r="I26" s="160"/>
      <c r="J26" s="160"/>
      <c r="K26" s="160"/>
      <c r="L26" s="160"/>
      <c r="M26" s="160"/>
      <c r="N26" s="160"/>
      <c r="O26" s="160"/>
      <c r="P26" s="160"/>
      <c r="Q26" s="160"/>
      <c r="R26" s="160"/>
      <c r="S26" s="160"/>
      <c r="T26" s="160"/>
      <c r="U26" s="160"/>
      <c r="V26" s="160"/>
      <c r="W26" s="160"/>
      <c r="X26" s="160"/>
      <c r="Y26" s="160"/>
      <c r="Z26" s="160"/>
      <c r="AA26" s="160"/>
      <c r="AB26" s="161"/>
    </row>
    <row r="27" spans="1:28" ht="59.25" customHeight="1">
      <c r="A27" s="46" t="s">
        <v>82</v>
      </c>
      <c r="B27" s="159" t="s">
        <v>274</v>
      </c>
      <c r="C27" s="160"/>
      <c r="D27" s="160"/>
      <c r="E27" s="160"/>
      <c r="F27" s="160"/>
      <c r="G27" s="160"/>
      <c r="H27" s="160"/>
      <c r="I27" s="160"/>
      <c r="J27" s="160"/>
      <c r="K27" s="160"/>
      <c r="L27" s="160"/>
      <c r="M27" s="160"/>
      <c r="N27" s="160"/>
      <c r="O27" s="160"/>
      <c r="P27" s="160"/>
      <c r="Q27" s="160"/>
      <c r="R27" s="160"/>
      <c r="S27" s="160"/>
      <c r="T27" s="160"/>
      <c r="U27" s="160"/>
      <c r="V27" s="160"/>
      <c r="W27" s="160"/>
      <c r="X27" s="160"/>
      <c r="Y27" s="160"/>
      <c r="Z27" s="160"/>
      <c r="AA27" s="160"/>
      <c r="AB27" s="161"/>
    </row>
    <row r="28" spans="1:28" ht="59.25" customHeight="1">
      <c r="A28" s="46" t="s">
        <v>83</v>
      </c>
      <c r="B28" s="159" t="s">
        <v>146</v>
      </c>
      <c r="C28" s="160"/>
      <c r="D28" s="160"/>
      <c r="E28" s="160"/>
      <c r="F28" s="160"/>
      <c r="G28" s="160"/>
      <c r="H28" s="160"/>
      <c r="I28" s="160"/>
      <c r="J28" s="160"/>
      <c r="K28" s="160"/>
      <c r="L28" s="160"/>
      <c r="M28" s="160"/>
      <c r="N28" s="160"/>
      <c r="O28" s="160"/>
      <c r="P28" s="160"/>
      <c r="Q28" s="160"/>
      <c r="R28" s="160"/>
      <c r="S28" s="160"/>
      <c r="T28" s="160"/>
      <c r="U28" s="160"/>
      <c r="V28" s="160"/>
      <c r="W28" s="160"/>
      <c r="X28" s="160"/>
      <c r="Y28" s="160"/>
      <c r="Z28" s="160"/>
      <c r="AA28" s="160"/>
      <c r="AB28" s="161"/>
    </row>
    <row r="29" spans="1:28" ht="59.25" customHeight="1">
      <c r="A29" s="46" t="s">
        <v>84</v>
      </c>
      <c r="B29" s="159" t="s">
        <v>147</v>
      </c>
      <c r="C29" s="160"/>
      <c r="D29" s="160"/>
      <c r="E29" s="160"/>
      <c r="F29" s="160"/>
      <c r="G29" s="160"/>
      <c r="H29" s="160"/>
      <c r="I29" s="160"/>
      <c r="J29" s="160"/>
      <c r="K29" s="160"/>
      <c r="L29" s="160"/>
      <c r="M29" s="160"/>
      <c r="N29" s="160"/>
      <c r="O29" s="160"/>
      <c r="P29" s="160"/>
      <c r="Q29" s="160"/>
      <c r="R29" s="160"/>
      <c r="S29" s="160"/>
      <c r="T29" s="160"/>
      <c r="U29" s="160"/>
      <c r="V29" s="160"/>
      <c r="W29" s="160"/>
      <c r="X29" s="160"/>
      <c r="Y29" s="160"/>
      <c r="Z29" s="160"/>
      <c r="AA29" s="160"/>
      <c r="AB29" s="161"/>
    </row>
    <row r="30" spans="1:28" ht="59.25" customHeight="1">
      <c r="A30" s="46" t="s">
        <v>85</v>
      </c>
      <c r="B30" s="159" t="s">
        <v>148</v>
      </c>
      <c r="C30" s="160"/>
      <c r="D30" s="160"/>
      <c r="E30" s="160"/>
      <c r="F30" s="160"/>
      <c r="G30" s="160"/>
      <c r="H30" s="160"/>
      <c r="I30" s="160"/>
      <c r="J30" s="160"/>
      <c r="K30" s="160"/>
      <c r="L30" s="160"/>
      <c r="M30" s="160"/>
      <c r="N30" s="160"/>
      <c r="O30" s="160"/>
      <c r="P30" s="160"/>
      <c r="Q30" s="160"/>
      <c r="R30" s="160"/>
      <c r="S30" s="160"/>
      <c r="T30" s="160"/>
      <c r="U30" s="160"/>
      <c r="V30" s="160"/>
      <c r="W30" s="160"/>
      <c r="X30" s="160"/>
      <c r="Y30" s="160"/>
      <c r="Z30" s="160"/>
      <c r="AA30" s="160"/>
      <c r="AB30" s="161"/>
    </row>
    <row r="31" spans="1:28" ht="59.25" customHeight="1">
      <c r="A31" s="46" t="s">
        <v>86</v>
      </c>
      <c r="B31" s="159" t="s">
        <v>275</v>
      </c>
      <c r="C31" s="160"/>
      <c r="D31" s="160"/>
      <c r="E31" s="160"/>
      <c r="F31" s="160"/>
      <c r="G31" s="160"/>
      <c r="H31" s="160"/>
      <c r="I31" s="160"/>
      <c r="J31" s="160"/>
      <c r="K31" s="160"/>
      <c r="L31" s="160"/>
      <c r="M31" s="160"/>
      <c r="N31" s="160"/>
      <c r="O31" s="160"/>
      <c r="P31" s="160"/>
      <c r="Q31" s="160"/>
      <c r="R31" s="160"/>
      <c r="S31" s="160"/>
      <c r="T31" s="160"/>
      <c r="U31" s="160"/>
      <c r="V31" s="160"/>
      <c r="W31" s="160"/>
      <c r="X31" s="160"/>
      <c r="Y31" s="160"/>
      <c r="Z31" s="160"/>
      <c r="AA31" s="160"/>
      <c r="AB31" s="161"/>
    </row>
    <row r="32" spans="1:28" ht="59.25" customHeight="1">
      <c r="A32" s="46" t="s">
        <v>87</v>
      </c>
      <c r="B32" s="159" t="s">
        <v>149</v>
      </c>
      <c r="C32" s="160"/>
      <c r="D32" s="160"/>
      <c r="E32" s="160"/>
      <c r="F32" s="160"/>
      <c r="G32" s="160"/>
      <c r="H32" s="160"/>
      <c r="I32" s="160"/>
      <c r="J32" s="160"/>
      <c r="K32" s="160"/>
      <c r="L32" s="160"/>
      <c r="M32" s="160"/>
      <c r="N32" s="160"/>
      <c r="O32" s="160"/>
      <c r="P32" s="160"/>
      <c r="Q32" s="160"/>
      <c r="R32" s="160"/>
      <c r="S32" s="160"/>
      <c r="T32" s="160"/>
      <c r="U32" s="160"/>
      <c r="V32" s="160"/>
      <c r="W32" s="160"/>
      <c r="X32" s="160"/>
      <c r="Y32" s="160"/>
      <c r="Z32" s="160"/>
      <c r="AA32" s="160"/>
      <c r="AB32" s="161"/>
    </row>
    <row r="33" spans="1:28" ht="59.25" customHeight="1">
      <c r="A33" s="46" t="s">
        <v>88</v>
      </c>
      <c r="B33" s="159" t="s">
        <v>235</v>
      </c>
      <c r="C33" s="160"/>
      <c r="D33" s="160"/>
      <c r="E33" s="160"/>
      <c r="F33" s="160"/>
      <c r="G33" s="160"/>
      <c r="H33" s="160"/>
      <c r="I33" s="160"/>
      <c r="J33" s="160"/>
      <c r="K33" s="160"/>
      <c r="L33" s="160"/>
      <c r="M33" s="160"/>
      <c r="N33" s="160"/>
      <c r="O33" s="160"/>
      <c r="P33" s="160"/>
      <c r="Q33" s="160"/>
      <c r="R33" s="160"/>
      <c r="S33" s="160"/>
      <c r="T33" s="160"/>
      <c r="U33" s="160"/>
      <c r="V33" s="160"/>
      <c r="W33" s="160"/>
      <c r="X33" s="160"/>
      <c r="Y33" s="160"/>
      <c r="Z33" s="160"/>
      <c r="AA33" s="160"/>
      <c r="AB33" s="161"/>
    </row>
    <row r="34" spans="1:28" ht="59.25" customHeight="1">
      <c r="A34" s="46" t="s">
        <v>89</v>
      </c>
      <c r="B34" s="159" t="s">
        <v>236</v>
      </c>
      <c r="C34" s="160"/>
      <c r="D34" s="160"/>
      <c r="E34" s="160"/>
      <c r="F34" s="160"/>
      <c r="G34" s="160"/>
      <c r="H34" s="160"/>
      <c r="I34" s="160"/>
      <c r="J34" s="160"/>
      <c r="K34" s="160"/>
      <c r="L34" s="160"/>
      <c r="M34" s="160"/>
      <c r="N34" s="160"/>
      <c r="O34" s="160"/>
      <c r="P34" s="160"/>
      <c r="Q34" s="160"/>
      <c r="R34" s="160"/>
      <c r="S34" s="160"/>
      <c r="T34" s="160"/>
      <c r="U34" s="160"/>
      <c r="V34" s="160"/>
      <c r="W34" s="160"/>
      <c r="X34" s="160"/>
      <c r="Y34" s="160"/>
      <c r="Z34" s="160"/>
      <c r="AA34" s="160"/>
      <c r="AB34" s="161"/>
    </row>
    <row r="35" spans="1:28" ht="59.25" customHeight="1">
      <c r="A35" s="46" t="s">
        <v>90</v>
      </c>
      <c r="B35" s="159" t="s">
        <v>276</v>
      </c>
      <c r="C35" s="160"/>
      <c r="D35" s="160"/>
      <c r="E35" s="160"/>
      <c r="F35" s="160"/>
      <c r="G35" s="160"/>
      <c r="H35" s="160"/>
      <c r="I35" s="160"/>
      <c r="J35" s="160"/>
      <c r="K35" s="160"/>
      <c r="L35" s="160"/>
      <c r="M35" s="160"/>
      <c r="N35" s="160"/>
      <c r="O35" s="160"/>
      <c r="P35" s="160"/>
      <c r="Q35" s="160"/>
      <c r="R35" s="160"/>
      <c r="S35" s="160"/>
      <c r="T35" s="160"/>
      <c r="U35" s="160"/>
      <c r="V35" s="160"/>
      <c r="W35" s="160"/>
      <c r="X35" s="160"/>
      <c r="Y35" s="160"/>
      <c r="Z35" s="160"/>
      <c r="AA35" s="160"/>
      <c r="AB35" s="161"/>
    </row>
    <row r="36" spans="1:28" ht="59.25" customHeight="1">
      <c r="A36" s="46"/>
      <c r="B36" s="159"/>
      <c r="C36" s="160"/>
      <c r="D36" s="160"/>
      <c r="E36" s="160"/>
      <c r="F36" s="160"/>
      <c r="G36" s="160"/>
      <c r="H36" s="160"/>
      <c r="I36" s="160"/>
      <c r="J36" s="160"/>
      <c r="K36" s="160"/>
      <c r="L36" s="160"/>
      <c r="M36" s="160"/>
      <c r="N36" s="160"/>
      <c r="O36" s="160"/>
      <c r="P36" s="160"/>
      <c r="Q36" s="160"/>
      <c r="R36" s="160"/>
      <c r="S36" s="160"/>
      <c r="T36" s="160"/>
      <c r="U36" s="160"/>
      <c r="V36" s="160"/>
      <c r="W36" s="160"/>
      <c r="X36" s="160"/>
      <c r="Y36" s="160"/>
      <c r="Z36" s="160"/>
      <c r="AA36" s="160"/>
      <c r="AB36" s="161"/>
    </row>
    <row r="37" spans="1:28" ht="59.25" customHeight="1">
      <c r="A37" s="46"/>
      <c r="B37" s="159"/>
      <c r="C37" s="160"/>
      <c r="D37" s="160"/>
      <c r="E37" s="160"/>
      <c r="F37" s="160"/>
      <c r="G37" s="160"/>
      <c r="H37" s="160"/>
      <c r="I37" s="160"/>
      <c r="J37" s="160"/>
      <c r="K37" s="160"/>
      <c r="L37" s="160"/>
      <c r="M37" s="160"/>
      <c r="N37" s="160"/>
      <c r="O37" s="160"/>
      <c r="P37" s="160"/>
      <c r="Q37" s="160"/>
      <c r="R37" s="160"/>
      <c r="S37" s="160"/>
      <c r="T37" s="160"/>
      <c r="U37" s="160"/>
      <c r="V37" s="160"/>
      <c r="W37" s="160"/>
      <c r="X37" s="160"/>
      <c r="Y37" s="160"/>
      <c r="Z37" s="160"/>
      <c r="AA37" s="160"/>
      <c r="AB37" s="161"/>
    </row>
    <row r="38" spans="1:28" ht="59.25" customHeight="1">
      <c r="A38" s="46"/>
      <c r="B38" s="159"/>
      <c r="C38" s="160"/>
      <c r="D38" s="160"/>
      <c r="E38" s="160"/>
      <c r="F38" s="160"/>
      <c r="G38" s="160"/>
      <c r="H38" s="160"/>
      <c r="I38" s="160"/>
      <c r="J38" s="160"/>
      <c r="K38" s="160"/>
      <c r="L38" s="160"/>
      <c r="M38" s="160"/>
      <c r="N38" s="160"/>
      <c r="O38" s="160"/>
      <c r="P38" s="160"/>
      <c r="Q38" s="160"/>
      <c r="R38" s="160"/>
      <c r="S38" s="160"/>
      <c r="T38" s="160"/>
      <c r="U38" s="160"/>
      <c r="V38" s="160"/>
      <c r="W38" s="160"/>
      <c r="X38" s="160"/>
      <c r="Y38" s="160"/>
      <c r="Z38" s="160"/>
      <c r="AA38" s="160"/>
      <c r="AB38" s="161"/>
    </row>
    <row r="39" spans="1:28" ht="59.25" customHeight="1">
      <c r="A39" s="46"/>
      <c r="B39" s="159"/>
      <c r="C39" s="160"/>
      <c r="D39" s="160"/>
      <c r="E39" s="160"/>
      <c r="F39" s="160"/>
      <c r="G39" s="160"/>
      <c r="H39" s="160"/>
      <c r="I39" s="160"/>
      <c r="J39" s="160"/>
      <c r="K39" s="160"/>
      <c r="L39" s="160"/>
      <c r="M39" s="160"/>
      <c r="N39" s="160"/>
      <c r="O39" s="160"/>
      <c r="P39" s="160"/>
      <c r="Q39" s="160"/>
      <c r="R39" s="160"/>
      <c r="S39" s="160"/>
      <c r="T39" s="160"/>
      <c r="U39" s="160"/>
      <c r="V39" s="160"/>
      <c r="W39" s="160"/>
      <c r="X39" s="160"/>
      <c r="Y39" s="160"/>
      <c r="Z39" s="160"/>
      <c r="AA39" s="160"/>
      <c r="AB39" s="161"/>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B39:AB39"/>
    <mergeCell ref="B23:AB23"/>
    <mergeCell ref="B24:AB24"/>
    <mergeCell ref="B25:AB25"/>
    <mergeCell ref="B26:AB26"/>
    <mergeCell ref="B27:AB27"/>
    <mergeCell ref="B28:AB28"/>
    <mergeCell ref="B29:AB29"/>
    <mergeCell ref="B30:AB30"/>
    <mergeCell ref="B31:AB31"/>
    <mergeCell ref="B32:AB32"/>
    <mergeCell ref="B33:AB33"/>
    <mergeCell ref="B34:AB34"/>
    <mergeCell ref="B35:AB35"/>
    <mergeCell ref="B36:AB36"/>
    <mergeCell ref="B37:AB37"/>
    <mergeCell ref="A2:A12"/>
    <mergeCell ref="B14:AB14"/>
    <mergeCell ref="B15:AB15"/>
    <mergeCell ref="B16:AB16"/>
    <mergeCell ref="B17:AB17"/>
    <mergeCell ref="B38:AB38"/>
    <mergeCell ref="B18:AB18"/>
    <mergeCell ref="B19:AB19"/>
    <mergeCell ref="B20:AB20"/>
    <mergeCell ref="B21:AB21"/>
    <mergeCell ref="B22:AB22"/>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1"/>
  </sheetPr>
  <dimension ref="A1:C179"/>
  <sheetViews>
    <sheetView workbookViewId="0">
      <selection sqref="A1:XFD1048576"/>
    </sheetView>
  </sheetViews>
  <sheetFormatPr defaultRowHeight="13.5"/>
  <cols>
    <col min="1" max="1" width="13.5" style="8" customWidth="1"/>
    <col min="2" max="2" width="147.75" style="8" customWidth="1"/>
    <col min="3" max="16384" width="9" style="8"/>
  </cols>
  <sheetData>
    <row r="1" spans="1:3" ht="27.75" customHeight="1">
      <c r="A1" s="33" t="str">
        <f ca="1">MID(CELL("filename",A1),FIND("[",CELL("filename",A1))+1,3)</f>
        <v>５－１</v>
      </c>
      <c r="B1" s="34" t="str">
        <f ca="1">RIGHT(CELL("filename",B1),LEN(CELL("filename",B1))-FIND("]",CELL("filename",B1)))</f>
        <v>道徳</v>
      </c>
      <c r="C1" s="47" t="s">
        <v>30</v>
      </c>
    </row>
    <row r="2" spans="1:3" ht="22.5" customHeight="1">
      <c r="A2" s="45" t="s">
        <v>28</v>
      </c>
      <c r="B2" s="48" t="s">
        <v>6</v>
      </c>
      <c r="C2" s="8" t="s">
        <v>277</v>
      </c>
    </row>
    <row r="3" spans="1:3" ht="59.25" customHeight="1">
      <c r="A3" s="46" t="s">
        <v>70</v>
      </c>
      <c r="B3" s="49" t="s">
        <v>150</v>
      </c>
      <c r="C3" s="8">
        <f>LEN(B3)</f>
        <v>183</v>
      </c>
    </row>
    <row r="4" spans="1:3" ht="59.25" customHeight="1">
      <c r="A4" s="46" t="s">
        <v>71</v>
      </c>
      <c r="B4" s="49" t="s">
        <v>150</v>
      </c>
      <c r="C4" s="8">
        <f t="shared" ref="C4:C27" si="0">LEN(B4)</f>
        <v>183</v>
      </c>
    </row>
    <row r="5" spans="1:3" ht="59.25" customHeight="1">
      <c r="A5" s="46" t="s">
        <v>72</v>
      </c>
      <c r="B5" s="49" t="s">
        <v>151</v>
      </c>
      <c r="C5" s="8">
        <f t="shared" si="0"/>
        <v>177</v>
      </c>
    </row>
    <row r="6" spans="1:3" ht="59.25" customHeight="1">
      <c r="A6" s="46" t="s">
        <v>73</v>
      </c>
      <c r="B6" s="49" t="s">
        <v>152</v>
      </c>
      <c r="C6" s="8">
        <f t="shared" si="0"/>
        <v>191</v>
      </c>
    </row>
    <row r="7" spans="1:3" ht="59.25" customHeight="1">
      <c r="A7" s="46" t="s">
        <v>74</v>
      </c>
      <c r="B7" s="49" t="s">
        <v>153</v>
      </c>
      <c r="C7" s="8">
        <f t="shared" si="0"/>
        <v>188</v>
      </c>
    </row>
    <row r="8" spans="1:3" ht="59.25" customHeight="1">
      <c r="A8" s="46" t="s">
        <v>75</v>
      </c>
      <c r="B8" s="49" t="s">
        <v>154</v>
      </c>
      <c r="C8" s="8">
        <f t="shared" si="0"/>
        <v>176</v>
      </c>
    </row>
    <row r="9" spans="1:3" ht="59.25" customHeight="1">
      <c r="A9" s="46" t="s">
        <v>76</v>
      </c>
      <c r="B9" s="49" t="s">
        <v>155</v>
      </c>
      <c r="C9" s="8">
        <f t="shared" si="0"/>
        <v>169</v>
      </c>
    </row>
    <row r="10" spans="1:3" ht="59.25" customHeight="1">
      <c r="A10" s="46" t="s">
        <v>77</v>
      </c>
      <c r="B10" s="49" t="s">
        <v>156</v>
      </c>
      <c r="C10" s="8">
        <f t="shared" si="0"/>
        <v>155</v>
      </c>
    </row>
    <row r="11" spans="1:3" ht="59.25" customHeight="1">
      <c r="A11" s="46" t="s">
        <v>78</v>
      </c>
      <c r="B11" s="49" t="s">
        <v>157</v>
      </c>
      <c r="C11" s="8">
        <f t="shared" si="0"/>
        <v>154</v>
      </c>
    </row>
    <row r="12" spans="1:3" ht="59.25" customHeight="1">
      <c r="A12" s="46" t="s">
        <v>79</v>
      </c>
      <c r="B12" s="49" t="s">
        <v>158</v>
      </c>
      <c r="C12" s="8">
        <f t="shared" si="0"/>
        <v>162</v>
      </c>
    </row>
    <row r="13" spans="1:3" ht="59.25" customHeight="1">
      <c r="A13" s="46" t="s">
        <v>80</v>
      </c>
      <c r="B13" s="49" t="s">
        <v>159</v>
      </c>
      <c r="C13" s="8">
        <f t="shared" si="0"/>
        <v>162</v>
      </c>
    </row>
    <row r="14" spans="1:3" ht="59.25" customHeight="1">
      <c r="A14" s="46" t="s">
        <v>81</v>
      </c>
      <c r="B14" s="49" t="s">
        <v>160</v>
      </c>
      <c r="C14" s="8">
        <f t="shared" si="0"/>
        <v>148</v>
      </c>
    </row>
    <row r="15" spans="1:3" ht="59.25" customHeight="1">
      <c r="A15" s="46" t="s">
        <v>82</v>
      </c>
      <c r="B15" s="49" t="s">
        <v>161</v>
      </c>
      <c r="C15" s="8">
        <f t="shared" si="0"/>
        <v>174</v>
      </c>
    </row>
    <row r="16" spans="1:3" ht="59.25" customHeight="1">
      <c r="A16" s="46" t="s">
        <v>83</v>
      </c>
      <c r="B16" s="49" t="s">
        <v>162</v>
      </c>
      <c r="C16" s="8">
        <f t="shared" si="0"/>
        <v>173</v>
      </c>
    </row>
    <row r="17" spans="1:3" ht="59.25" customHeight="1">
      <c r="A17" s="46" t="s">
        <v>84</v>
      </c>
      <c r="B17" s="49" t="s">
        <v>163</v>
      </c>
      <c r="C17" s="8">
        <f t="shared" si="0"/>
        <v>144</v>
      </c>
    </row>
    <row r="18" spans="1:3" ht="59.25" customHeight="1">
      <c r="A18" s="46" t="s">
        <v>85</v>
      </c>
      <c r="B18" s="49" t="s">
        <v>164</v>
      </c>
      <c r="C18" s="8">
        <f t="shared" si="0"/>
        <v>164</v>
      </c>
    </row>
    <row r="19" spans="1:3" ht="59.25" customHeight="1">
      <c r="A19" s="46" t="s">
        <v>86</v>
      </c>
      <c r="B19" s="49" t="s">
        <v>165</v>
      </c>
      <c r="C19" s="8">
        <f t="shared" si="0"/>
        <v>149</v>
      </c>
    </row>
    <row r="20" spans="1:3" ht="59.25" customHeight="1">
      <c r="A20" s="46" t="s">
        <v>87</v>
      </c>
      <c r="B20" s="49" t="s">
        <v>166</v>
      </c>
      <c r="C20" s="8">
        <f t="shared" si="0"/>
        <v>163</v>
      </c>
    </row>
    <row r="21" spans="1:3" ht="59.25" customHeight="1">
      <c r="A21" s="46" t="s">
        <v>88</v>
      </c>
      <c r="B21" s="49" t="s">
        <v>167</v>
      </c>
      <c r="C21" s="8">
        <f t="shared" si="0"/>
        <v>175</v>
      </c>
    </row>
    <row r="22" spans="1:3" ht="59.25" customHeight="1">
      <c r="A22" s="46" t="s">
        <v>89</v>
      </c>
      <c r="B22" s="49" t="s">
        <v>168</v>
      </c>
      <c r="C22" s="8">
        <f t="shared" si="0"/>
        <v>150</v>
      </c>
    </row>
    <row r="23" spans="1:3" ht="59.25" customHeight="1">
      <c r="A23" s="46" t="s">
        <v>90</v>
      </c>
      <c r="B23" s="49" t="s">
        <v>169</v>
      </c>
      <c r="C23" s="8">
        <f t="shared" si="0"/>
        <v>152</v>
      </c>
    </row>
    <row r="24" spans="1:3" ht="59.25" customHeight="1">
      <c r="A24" s="46"/>
      <c r="B24" s="49"/>
      <c r="C24" s="8">
        <f t="shared" si="0"/>
        <v>0</v>
      </c>
    </row>
    <row r="25" spans="1:3" ht="59.25" customHeight="1">
      <c r="A25" s="46"/>
      <c r="B25" s="49"/>
      <c r="C25" s="8">
        <f t="shared" si="0"/>
        <v>0</v>
      </c>
    </row>
    <row r="26" spans="1:3" ht="59.25" customHeight="1">
      <c r="A26" s="46"/>
      <c r="B26" s="49"/>
      <c r="C26" s="8">
        <f t="shared" si="0"/>
        <v>0</v>
      </c>
    </row>
    <row r="27" spans="1:3" ht="59.25" customHeight="1">
      <c r="A27" s="46"/>
      <c r="B27" s="49"/>
      <c r="C27" s="8">
        <f t="shared" si="0"/>
        <v>0</v>
      </c>
    </row>
    <row r="28" spans="1:3" ht="22.5" customHeight="1"/>
    <row r="29" spans="1:3" ht="22.5" customHeight="1"/>
    <row r="30" spans="1:3" ht="17.25" customHeight="1"/>
    <row r="31" spans="1:3" ht="17.25" customHeight="1"/>
    <row r="32" spans="1:3" ht="17.25" customHeight="1"/>
    <row r="33" ht="17.25" customHeight="1"/>
    <row r="34" ht="17.25" customHeight="1"/>
    <row r="35" ht="17.25" customHeight="1"/>
    <row r="36" ht="17.25" customHeight="1"/>
    <row r="37" ht="17.25" customHeight="1"/>
    <row r="38" ht="17.25" customHeight="1"/>
    <row r="39" ht="17.25" customHeight="1"/>
    <row r="40" ht="17.25" customHeight="1"/>
    <row r="41" ht="17.25" customHeight="1"/>
    <row r="42" ht="17.25" customHeight="1"/>
    <row r="43" ht="17.25" customHeight="1"/>
    <row r="44" ht="17.25" customHeight="1"/>
    <row r="45" ht="17.25" customHeight="1"/>
    <row r="46" ht="17.25" customHeight="1"/>
    <row r="47" ht="17.25" customHeight="1"/>
    <row r="4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sheetData>
  <phoneticPr fontId="1"/>
  <conditionalFormatting sqref="C27 C3:C25">
    <cfRule type="cellIs" dxfId="11" priority="4" operator="greaterThan">
      <formula>200</formula>
    </cfRule>
    <cfRule type="cellIs" dxfId="10" priority="5" operator="lessThan">
      <formula>150</formula>
    </cfRule>
    <cfRule type="cellIs" dxfId="9" priority="6" operator="between">
      <formula>150</formula>
      <formula>200</formula>
    </cfRule>
  </conditionalFormatting>
  <conditionalFormatting sqref="C26">
    <cfRule type="cellIs" dxfId="8" priority="1" operator="greaterThan">
      <formula>200</formula>
    </cfRule>
    <cfRule type="cellIs" dxfId="7" priority="2" operator="lessThan">
      <formula>150</formula>
    </cfRule>
    <cfRule type="cellIs" dxfId="6" priority="3" operator="between">
      <formula>150</formula>
      <formula>200</formula>
    </cfRule>
  </conditionalFormatting>
  <pageMargins left="0.7" right="0.7" top="0.75" bottom="0.75" header="0.3" footer="0.3"/>
  <pageSetup paperSize="9"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1"/>
  </sheetPr>
  <dimension ref="A1:AC202"/>
  <sheetViews>
    <sheetView workbookViewId="0">
      <selection sqref="A1:XFD1048576"/>
    </sheetView>
  </sheetViews>
  <sheetFormatPr defaultRowHeight="13.5"/>
  <cols>
    <col min="1" max="1" width="13.5" style="8" customWidth="1"/>
    <col min="2" max="2" width="79.125" style="8" customWidth="1"/>
    <col min="3" max="3" width="9.375" style="8" customWidth="1"/>
    <col min="4" max="28" width="4.125" style="8" customWidth="1"/>
    <col min="29" max="29" width="6" style="8" customWidth="1"/>
    <col min="30" max="16384" width="9" style="8"/>
  </cols>
  <sheetData>
    <row r="1" spans="1:29" ht="85.5" customHeight="1">
      <c r="A1" s="50" t="str">
        <f ca="1">MID(CELL("filename",A1),FIND("[",CELL("filename",A1))+1,3)</f>
        <v>５－１</v>
      </c>
      <c r="B1" s="51" t="s">
        <v>31</v>
      </c>
      <c r="C1" s="52" t="s">
        <v>25</v>
      </c>
      <c r="D1" s="36" t="str">
        <f>A13</f>
        <v>阿部 光希</v>
      </c>
      <c r="E1" s="36" t="str">
        <f>A14</f>
        <v>池田 篤也</v>
      </c>
      <c r="F1" s="36" t="str">
        <f>A15</f>
        <v>荻原 健史</v>
      </c>
      <c r="G1" s="36" t="str">
        <f>A16</f>
        <v>上條 里紗</v>
      </c>
      <c r="H1" s="36" t="str">
        <f>A17</f>
        <v>小森 美柚</v>
      </c>
      <c r="I1" s="36" t="str">
        <f>A18</f>
        <v>酒巻 紋子</v>
      </c>
      <c r="J1" s="36" t="str">
        <f>A19</f>
        <v>滝 真佳</v>
      </c>
      <c r="K1" s="36" t="str">
        <f>A20</f>
        <v>都筑 斉</v>
      </c>
      <c r="L1" s="36" t="str">
        <f>A21</f>
        <v>傳田 悠藍</v>
      </c>
      <c r="M1" s="36" t="str">
        <f>A22</f>
        <v>中原 照真</v>
      </c>
      <c r="N1" s="36" t="str">
        <f>A23</f>
        <v>永原 愛羅</v>
      </c>
      <c r="O1" s="36" t="str">
        <f>A24</f>
        <v>根橋 宏匡</v>
      </c>
      <c r="P1" s="36" t="str">
        <f>A25</f>
        <v>平野 悠</v>
      </c>
      <c r="Q1" s="36" t="str">
        <f>A26</f>
        <v>丸山 大河</v>
      </c>
      <c r="R1" s="36" t="str">
        <f>A27</f>
        <v>三浦 和成</v>
      </c>
      <c r="S1" s="36" t="str">
        <f>A28</f>
        <v>三澤 桜來</v>
      </c>
      <c r="T1" s="36" t="str">
        <f>A29</f>
        <v>明嵐 瑛大</v>
      </c>
      <c r="U1" s="36" t="str">
        <f>A30</f>
        <v>屋井 皓</v>
      </c>
      <c r="V1" s="36" t="str">
        <f>A31</f>
        <v>若松 優羽花</v>
      </c>
      <c r="W1" s="36" t="str">
        <f>A32</f>
        <v>渡邊 葉子</v>
      </c>
      <c r="X1" s="36" t="str">
        <f>A33</f>
        <v>綿貫 叶乃音</v>
      </c>
      <c r="Y1" s="36">
        <f>A34</f>
        <v>0</v>
      </c>
      <c r="Z1" s="36">
        <f>A35</f>
        <v>0</v>
      </c>
      <c r="AA1" s="36">
        <f>A36</f>
        <v>0</v>
      </c>
      <c r="AB1" s="36">
        <f>A37</f>
        <v>0</v>
      </c>
      <c r="AC1" s="37"/>
    </row>
    <row r="2" spans="1:29" ht="22.5" customHeight="1">
      <c r="A2" s="171" t="s">
        <v>32</v>
      </c>
      <c r="B2" s="73" t="s">
        <v>51</v>
      </c>
      <c r="C2" s="38" t="s">
        <v>26</v>
      </c>
      <c r="D2" s="39" t="s">
        <v>278</v>
      </c>
      <c r="E2" s="39" t="s">
        <v>278</v>
      </c>
      <c r="F2" s="39" t="s">
        <v>222</v>
      </c>
      <c r="G2" s="39" t="s">
        <v>205</v>
      </c>
      <c r="H2" s="39" t="s">
        <v>278</v>
      </c>
      <c r="I2" s="39" t="s">
        <v>223</v>
      </c>
      <c r="J2" s="39" t="s">
        <v>223</v>
      </c>
      <c r="K2" s="39" t="s">
        <v>223</v>
      </c>
      <c r="L2" s="39" t="s">
        <v>223</v>
      </c>
      <c r="M2" s="39" t="s">
        <v>278</v>
      </c>
      <c r="N2" s="39" t="s">
        <v>223</v>
      </c>
      <c r="O2" s="39" t="s">
        <v>279</v>
      </c>
      <c r="P2" s="39" t="s">
        <v>223</v>
      </c>
      <c r="Q2" s="39" t="s">
        <v>223</v>
      </c>
      <c r="R2" s="39" t="s">
        <v>222</v>
      </c>
      <c r="S2" s="39" t="s">
        <v>223</v>
      </c>
      <c r="T2" s="39" t="s">
        <v>223</v>
      </c>
      <c r="U2" s="39" t="s">
        <v>223</v>
      </c>
      <c r="V2" s="39" t="s">
        <v>278</v>
      </c>
      <c r="W2" s="39" t="s">
        <v>223</v>
      </c>
      <c r="X2" s="39" t="s">
        <v>223</v>
      </c>
      <c r="Y2" s="39"/>
      <c r="Z2" s="39"/>
      <c r="AA2" s="39"/>
      <c r="AB2" s="39"/>
      <c r="AC2" s="74" t="s">
        <v>223</v>
      </c>
    </row>
    <row r="3" spans="1:29" ht="22.5" customHeight="1">
      <c r="A3" s="172"/>
      <c r="B3" s="73" t="s">
        <v>52</v>
      </c>
      <c r="C3" s="38" t="s">
        <v>26</v>
      </c>
      <c r="D3" s="39" t="s">
        <v>222</v>
      </c>
      <c r="E3" s="39" t="s">
        <v>222</v>
      </c>
      <c r="F3" s="39" t="s">
        <v>223</v>
      </c>
      <c r="G3" s="39" t="s">
        <v>223</v>
      </c>
      <c r="H3" s="39" t="s">
        <v>222</v>
      </c>
      <c r="I3" s="39" t="s">
        <v>223</v>
      </c>
      <c r="J3" s="39" t="s">
        <v>223</v>
      </c>
      <c r="K3" s="39" t="s">
        <v>223</v>
      </c>
      <c r="L3" s="39" t="s">
        <v>223</v>
      </c>
      <c r="M3" s="39" t="s">
        <v>223</v>
      </c>
      <c r="N3" s="39" t="s">
        <v>223</v>
      </c>
      <c r="O3" s="39" t="s">
        <v>223</v>
      </c>
      <c r="P3" s="39" t="s">
        <v>223</v>
      </c>
      <c r="Q3" s="39" t="s">
        <v>223</v>
      </c>
      <c r="R3" s="39" t="s">
        <v>222</v>
      </c>
      <c r="S3" s="39" t="s">
        <v>223</v>
      </c>
      <c r="T3" s="39" t="s">
        <v>223</v>
      </c>
      <c r="U3" s="39" t="s">
        <v>222</v>
      </c>
      <c r="V3" s="39" t="s">
        <v>223</v>
      </c>
      <c r="W3" s="39" t="s">
        <v>223</v>
      </c>
      <c r="X3" s="39" t="s">
        <v>223</v>
      </c>
      <c r="Y3" s="39"/>
      <c r="Z3" s="39"/>
      <c r="AA3" s="39"/>
      <c r="AB3" s="39"/>
      <c r="AC3" s="74" t="s">
        <v>222</v>
      </c>
    </row>
    <row r="4" spans="1:29" ht="22.5" customHeight="1">
      <c r="A4" s="172"/>
      <c r="B4" s="73" t="s">
        <v>53</v>
      </c>
      <c r="C4" s="38" t="s">
        <v>26</v>
      </c>
      <c r="D4" s="39" t="s">
        <v>222</v>
      </c>
      <c r="E4" s="39" t="s">
        <v>223</v>
      </c>
      <c r="F4" s="39" t="s">
        <v>222</v>
      </c>
      <c r="G4" s="39" t="s">
        <v>223</v>
      </c>
      <c r="H4" s="39" t="s">
        <v>223</v>
      </c>
      <c r="I4" s="39" t="s">
        <v>223</v>
      </c>
      <c r="J4" s="39" t="s">
        <v>223</v>
      </c>
      <c r="K4" s="39" t="s">
        <v>223</v>
      </c>
      <c r="L4" s="39" t="s">
        <v>223</v>
      </c>
      <c r="M4" s="39" t="s">
        <v>223</v>
      </c>
      <c r="N4" s="39" t="s">
        <v>222</v>
      </c>
      <c r="O4" s="39" t="s">
        <v>222</v>
      </c>
      <c r="P4" s="39" t="s">
        <v>223</v>
      </c>
      <c r="Q4" s="39" t="s">
        <v>222</v>
      </c>
      <c r="R4" s="39" t="s">
        <v>222</v>
      </c>
      <c r="S4" s="39" t="s">
        <v>223</v>
      </c>
      <c r="T4" s="39" t="s">
        <v>223</v>
      </c>
      <c r="U4" s="39" t="s">
        <v>223</v>
      </c>
      <c r="V4" s="39" t="s">
        <v>223</v>
      </c>
      <c r="W4" s="39" t="s">
        <v>223</v>
      </c>
      <c r="X4" s="39" t="s">
        <v>223</v>
      </c>
      <c r="Y4" s="39"/>
      <c r="Z4" s="39"/>
      <c r="AA4" s="39"/>
      <c r="AB4" s="39"/>
      <c r="AC4" s="74" t="s">
        <v>224</v>
      </c>
    </row>
    <row r="5" spans="1:29" ht="22.5" customHeight="1">
      <c r="A5" s="172"/>
      <c r="B5" s="73" t="s">
        <v>54</v>
      </c>
      <c r="C5" s="38" t="s">
        <v>26</v>
      </c>
      <c r="D5" s="39" t="s">
        <v>223</v>
      </c>
      <c r="E5" s="39" t="s">
        <v>223</v>
      </c>
      <c r="F5" s="39" t="s">
        <v>223</v>
      </c>
      <c r="G5" s="39" t="s">
        <v>223</v>
      </c>
      <c r="H5" s="39" t="s">
        <v>223</v>
      </c>
      <c r="I5" s="39" t="s">
        <v>223</v>
      </c>
      <c r="J5" s="39" t="s">
        <v>222</v>
      </c>
      <c r="K5" s="39" t="s">
        <v>223</v>
      </c>
      <c r="L5" s="39" t="s">
        <v>223</v>
      </c>
      <c r="M5" s="39" t="s">
        <v>222</v>
      </c>
      <c r="N5" s="39" t="s">
        <v>223</v>
      </c>
      <c r="O5" s="39" t="s">
        <v>223</v>
      </c>
      <c r="P5" s="39" t="s">
        <v>223</v>
      </c>
      <c r="Q5" s="39" t="s">
        <v>223</v>
      </c>
      <c r="R5" s="39" t="s">
        <v>222</v>
      </c>
      <c r="S5" s="39" t="s">
        <v>223</v>
      </c>
      <c r="T5" s="39" t="s">
        <v>223</v>
      </c>
      <c r="U5" s="39" t="s">
        <v>222</v>
      </c>
      <c r="V5" s="39" t="s">
        <v>223</v>
      </c>
      <c r="W5" s="39" t="s">
        <v>223</v>
      </c>
      <c r="X5" s="39" t="s">
        <v>223</v>
      </c>
      <c r="Y5" s="39"/>
      <c r="Z5" s="39"/>
      <c r="AA5" s="39"/>
      <c r="AB5" s="39"/>
      <c r="AC5" s="74" t="s">
        <v>225</v>
      </c>
    </row>
    <row r="6" spans="1:29" ht="22.5" customHeight="1">
      <c r="A6" s="172"/>
      <c r="B6" s="73" t="s">
        <v>55</v>
      </c>
      <c r="C6" s="38" t="s">
        <v>26</v>
      </c>
      <c r="D6" s="39" t="s">
        <v>223</v>
      </c>
      <c r="E6" s="39" t="s">
        <v>222</v>
      </c>
      <c r="F6" s="39" t="s">
        <v>223</v>
      </c>
      <c r="G6" s="39" t="s">
        <v>222</v>
      </c>
      <c r="H6" s="39" t="s">
        <v>223</v>
      </c>
      <c r="I6" s="39" t="s">
        <v>222</v>
      </c>
      <c r="J6" s="39" t="s">
        <v>222</v>
      </c>
      <c r="K6" s="39" t="s">
        <v>222</v>
      </c>
      <c r="L6" s="39" t="s">
        <v>222</v>
      </c>
      <c r="M6" s="39" t="s">
        <v>223</v>
      </c>
      <c r="N6" s="39" t="s">
        <v>222</v>
      </c>
      <c r="O6" s="39" t="s">
        <v>222</v>
      </c>
      <c r="P6" s="39" t="s">
        <v>222</v>
      </c>
      <c r="Q6" s="39" t="s">
        <v>222</v>
      </c>
      <c r="R6" s="39" t="s">
        <v>222</v>
      </c>
      <c r="S6" s="39" t="s">
        <v>223</v>
      </c>
      <c r="T6" s="39" t="s">
        <v>222</v>
      </c>
      <c r="U6" s="39" t="s">
        <v>222</v>
      </c>
      <c r="V6" s="39" t="s">
        <v>222</v>
      </c>
      <c r="W6" s="39" t="s">
        <v>222</v>
      </c>
      <c r="X6" s="39" t="s">
        <v>222</v>
      </c>
      <c r="Y6" s="39"/>
      <c r="Z6" s="39"/>
      <c r="AA6" s="39"/>
      <c r="AB6" s="39"/>
    </row>
    <row r="7" spans="1:29" ht="22.5" customHeight="1">
      <c r="A7" s="172"/>
      <c r="B7" s="73" t="s">
        <v>56</v>
      </c>
      <c r="C7" s="38" t="s">
        <v>26</v>
      </c>
      <c r="D7" s="39" t="s">
        <v>223</v>
      </c>
      <c r="E7" s="39" t="s">
        <v>223</v>
      </c>
      <c r="F7" s="39" t="s">
        <v>223</v>
      </c>
      <c r="G7" s="39" t="s">
        <v>223</v>
      </c>
      <c r="H7" s="39" t="s">
        <v>223</v>
      </c>
      <c r="I7" s="39" t="s">
        <v>223</v>
      </c>
      <c r="J7" s="39" t="s">
        <v>223</v>
      </c>
      <c r="K7" s="39" t="s">
        <v>223</v>
      </c>
      <c r="L7" s="39" t="s">
        <v>223</v>
      </c>
      <c r="M7" s="39" t="s">
        <v>223</v>
      </c>
      <c r="N7" s="39" t="s">
        <v>223</v>
      </c>
      <c r="O7" s="39" t="s">
        <v>222</v>
      </c>
      <c r="P7" s="39" t="s">
        <v>223</v>
      </c>
      <c r="Q7" s="39" t="s">
        <v>222</v>
      </c>
      <c r="R7" s="39" t="s">
        <v>223</v>
      </c>
      <c r="S7" s="39" t="s">
        <v>223</v>
      </c>
      <c r="T7" s="39" t="s">
        <v>223</v>
      </c>
      <c r="U7" s="39" t="s">
        <v>223</v>
      </c>
      <c r="V7" s="39" t="s">
        <v>223</v>
      </c>
      <c r="W7" s="39" t="s">
        <v>223</v>
      </c>
      <c r="X7" s="39" t="s">
        <v>223</v>
      </c>
      <c r="Y7" s="39"/>
      <c r="Z7" s="39"/>
      <c r="AA7" s="39"/>
      <c r="AB7" s="39"/>
    </row>
    <row r="8" spans="1:29" ht="22.5" customHeight="1">
      <c r="A8" s="172"/>
      <c r="B8" s="73" t="s">
        <v>57</v>
      </c>
      <c r="C8" s="38" t="s">
        <v>26</v>
      </c>
      <c r="D8" s="39" t="s">
        <v>223</v>
      </c>
      <c r="E8" s="39" t="s">
        <v>223</v>
      </c>
      <c r="F8" s="39" t="s">
        <v>223</v>
      </c>
      <c r="G8" s="39" t="s">
        <v>223</v>
      </c>
      <c r="H8" s="39" t="s">
        <v>223</v>
      </c>
      <c r="I8" s="39" t="s">
        <v>223</v>
      </c>
      <c r="J8" s="39" t="s">
        <v>223</v>
      </c>
      <c r="K8" s="39" t="s">
        <v>223</v>
      </c>
      <c r="L8" s="39" t="s">
        <v>223</v>
      </c>
      <c r="M8" s="39" t="s">
        <v>223</v>
      </c>
      <c r="N8" s="39" t="s">
        <v>223</v>
      </c>
      <c r="O8" s="39" t="s">
        <v>223</v>
      </c>
      <c r="P8" s="39" t="s">
        <v>223</v>
      </c>
      <c r="Q8" s="39" t="s">
        <v>223</v>
      </c>
      <c r="R8" s="39" t="s">
        <v>223</v>
      </c>
      <c r="S8" s="39" t="s">
        <v>223</v>
      </c>
      <c r="T8" s="39" t="s">
        <v>223</v>
      </c>
      <c r="U8" s="39" t="s">
        <v>223</v>
      </c>
      <c r="V8" s="39" t="s">
        <v>223</v>
      </c>
      <c r="W8" s="39" t="s">
        <v>223</v>
      </c>
      <c r="X8" s="39" t="s">
        <v>223</v>
      </c>
      <c r="Y8" s="39"/>
      <c r="Z8" s="39"/>
      <c r="AA8" s="39"/>
      <c r="AB8" s="39"/>
    </row>
    <row r="9" spans="1:29" ht="22.5" customHeight="1">
      <c r="A9" s="172"/>
      <c r="B9" s="73" t="s">
        <v>58</v>
      </c>
      <c r="C9" s="38" t="s">
        <v>26</v>
      </c>
      <c r="D9" s="39" t="s">
        <v>223</v>
      </c>
      <c r="E9" s="39" t="s">
        <v>223</v>
      </c>
      <c r="F9" s="39" t="s">
        <v>223</v>
      </c>
      <c r="G9" s="39" t="s">
        <v>223</v>
      </c>
      <c r="H9" s="39" t="s">
        <v>223</v>
      </c>
      <c r="I9" s="39" t="s">
        <v>223</v>
      </c>
      <c r="J9" s="39" t="s">
        <v>223</v>
      </c>
      <c r="K9" s="39" t="s">
        <v>223</v>
      </c>
      <c r="L9" s="39" t="s">
        <v>223</v>
      </c>
      <c r="M9" s="39" t="s">
        <v>222</v>
      </c>
      <c r="N9" s="39" t="s">
        <v>222</v>
      </c>
      <c r="O9" s="39" t="s">
        <v>223</v>
      </c>
      <c r="P9" s="39" t="s">
        <v>222</v>
      </c>
      <c r="Q9" s="39" t="s">
        <v>223</v>
      </c>
      <c r="R9" s="39" t="s">
        <v>222</v>
      </c>
      <c r="S9" s="39" t="s">
        <v>223</v>
      </c>
      <c r="T9" s="39" t="s">
        <v>223</v>
      </c>
      <c r="U9" s="39" t="s">
        <v>222</v>
      </c>
      <c r="V9" s="39" t="s">
        <v>223</v>
      </c>
      <c r="W9" s="39" t="s">
        <v>223</v>
      </c>
      <c r="X9" s="39" t="s">
        <v>223</v>
      </c>
      <c r="Y9" s="39"/>
      <c r="Z9" s="39"/>
      <c r="AA9" s="39"/>
      <c r="AB9" s="39"/>
    </row>
    <row r="10" spans="1:29" ht="22.5" customHeight="1">
      <c r="A10" s="53"/>
      <c r="B10" s="75" t="s">
        <v>59</v>
      </c>
      <c r="C10" s="38" t="s">
        <v>26</v>
      </c>
      <c r="D10" s="39" t="s">
        <v>223</v>
      </c>
      <c r="E10" s="39" t="s">
        <v>223</v>
      </c>
      <c r="F10" s="39" t="s">
        <v>223</v>
      </c>
      <c r="G10" s="39" t="s">
        <v>223</v>
      </c>
      <c r="H10" s="39" t="s">
        <v>223</v>
      </c>
      <c r="I10" s="39" t="s">
        <v>223</v>
      </c>
      <c r="J10" s="39" t="s">
        <v>223</v>
      </c>
      <c r="K10" s="39" t="s">
        <v>223</v>
      </c>
      <c r="L10" s="39" t="s">
        <v>223</v>
      </c>
      <c r="M10" s="39" t="s">
        <v>222</v>
      </c>
      <c r="N10" s="39" t="s">
        <v>223</v>
      </c>
      <c r="O10" s="39" t="s">
        <v>222</v>
      </c>
      <c r="P10" s="39" t="s">
        <v>223</v>
      </c>
      <c r="Q10" s="39" t="s">
        <v>223</v>
      </c>
      <c r="R10" s="39" t="s">
        <v>223</v>
      </c>
      <c r="S10" s="39" t="s">
        <v>223</v>
      </c>
      <c r="T10" s="39" t="s">
        <v>222</v>
      </c>
      <c r="U10" s="39" t="s">
        <v>222</v>
      </c>
      <c r="V10" s="39" t="s">
        <v>222</v>
      </c>
      <c r="W10" s="39" t="s">
        <v>222</v>
      </c>
      <c r="X10" s="39" t="s">
        <v>222</v>
      </c>
      <c r="Y10" s="39"/>
      <c r="Z10" s="39"/>
      <c r="AA10" s="39"/>
      <c r="AB10" s="39"/>
    </row>
    <row r="11" spans="1:29" ht="22.5" customHeight="1">
      <c r="A11" s="53"/>
      <c r="B11" s="75" t="s">
        <v>60</v>
      </c>
      <c r="C11" s="38" t="s">
        <v>26</v>
      </c>
      <c r="D11" s="39" t="s">
        <v>223</v>
      </c>
      <c r="E11" s="39" t="s">
        <v>222</v>
      </c>
      <c r="F11" s="39" t="s">
        <v>223</v>
      </c>
      <c r="G11" s="39" t="s">
        <v>222</v>
      </c>
      <c r="H11" s="39" t="s">
        <v>223</v>
      </c>
      <c r="I11" s="39" t="s">
        <v>222</v>
      </c>
      <c r="J11" s="39" t="s">
        <v>222</v>
      </c>
      <c r="K11" s="39" t="s">
        <v>222</v>
      </c>
      <c r="L11" s="39" t="s">
        <v>222</v>
      </c>
      <c r="M11" s="39" t="s">
        <v>222</v>
      </c>
      <c r="N11" s="39" t="s">
        <v>222</v>
      </c>
      <c r="O11" s="39" t="s">
        <v>222</v>
      </c>
      <c r="P11" s="39" t="s">
        <v>222</v>
      </c>
      <c r="Q11" s="39" t="s">
        <v>222</v>
      </c>
      <c r="R11" s="39" t="s">
        <v>222</v>
      </c>
      <c r="S11" s="39" t="s">
        <v>223</v>
      </c>
      <c r="T11" s="39" t="s">
        <v>222</v>
      </c>
      <c r="U11" s="39" t="s">
        <v>222</v>
      </c>
      <c r="V11" s="39" t="s">
        <v>223</v>
      </c>
      <c r="W11" s="39" t="s">
        <v>222</v>
      </c>
      <c r="X11" s="39" t="s">
        <v>223</v>
      </c>
      <c r="Y11" s="39"/>
      <c r="Z11" s="39"/>
      <c r="AA11" s="39"/>
      <c r="AB11" s="39"/>
    </row>
    <row r="12" spans="1:29" ht="22.5" customHeight="1">
      <c r="A12" s="173" t="s">
        <v>33</v>
      </c>
      <c r="B12" s="174"/>
      <c r="C12" s="174"/>
      <c r="D12" s="174"/>
      <c r="E12" s="174"/>
      <c r="F12" s="174"/>
      <c r="G12" s="174"/>
      <c r="H12" s="174"/>
      <c r="I12" s="174"/>
      <c r="J12" s="174"/>
      <c r="K12" s="174"/>
      <c r="L12" s="174"/>
      <c r="M12" s="174"/>
      <c r="N12" s="174"/>
      <c r="O12" s="174"/>
      <c r="P12" s="174"/>
      <c r="Q12" s="174"/>
      <c r="R12" s="174"/>
      <c r="S12" s="174"/>
      <c r="T12" s="174"/>
      <c r="U12" s="174"/>
      <c r="V12" s="174"/>
      <c r="W12" s="174"/>
      <c r="X12" s="174"/>
      <c r="Y12" s="174"/>
      <c r="Z12" s="174"/>
      <c r="AA12" s="174"/>
      <c r="AB12" s="175"/>
    </row>
    <row r="13" spans="1:29" ht="22.5" customHeight="1">
      <c r="A13" s="54" t="s">
        <v>70</v>
      </c>
      <c r="B13" s="159" t="s">
        <v>170</v>
      </c>
      <c r="C13" s="160"/>
      <c r="D13" s="160"/>
      <c r="E13" s="160"/>
      <c r="F13" s="160"/>
      <c r="G13" s="160"/>
      <c r="H13" s="160"/>
      <c r="I13" s="160"/>
      <c r="J13" s="160"/>
      <c r="K13" s="160"/>
      <c r="L13" s="160"/>
      <c r="M13" s="160"/>
      <c r="N13" s="160"/>
      <c r="O13" s="160"/>
      <c r="P13" s="160"/>
      <c r="Q13" s="160"/>
      <c r="R13" s="160"/>
      <c r="S13" s="160"/>
      <c r="T13" s="160"/>
      <c r="U13" s="160"/>
      <c r="V13" s="160"/>
      <c r="W13" s="160"/>
      <c r="X13" s="160"/>
      <c r="Y13" s="160"/>
      <c r="Z13" s="160"/>
      <c r="AA13" s="160"/>
      <c r="AB13" s="161"/>
    </row>
    <row r="14" spans="1:29" ht="22.5" customHeight="1">
      <c r="A14" s="54" t="s">
        <v>71</v>
      </c>
      <c r="B14" s="159" t="s">
        <v>171</v>
      </c>
      <c r="C14" s="160"/>
      <c r="D14" s="160"/>
      <c r="E14" s="160"/>
      <c r="F14" s="160"/>
      <c r="G14" s="160"/>
      <c r="H14" s="160"/>
      <c r="I14" s="160"/>
      <c r="J14" s="160"/>
      <c r="K14" s="160"/>
      <c r="L14" s="160"/>
      <c r="M14" s="160"/>
      <c r="N14" s="160"/>
      <c r="O14" s="160"/>
      <c r="P14" s="160"/>
      <c r="Q14" s="160"/>
      <c r="R14" s="160"/>
      <c r="S14" s="160"/>
      <c r="T14" s="160"/>
      <c r="U14" s="160"/>
      <c r="V14" s="160"/>
      <c r="W14" s="160"/>
      <c r="X14" s="160"/>
      <c r="Y14" s="160"/>
      <c r="Z14" s="160"/>
      <c r="AA14" s="160"/>
      <c r="AB14" s="161"/>
    </row>
    <row r="15" spans="1:29" ht="22.5" customHeight="1">
      <c r="A15" s="54" t="s">
        <v>72</v>
      </c>
      <c r="B15" s="159" t="s">
        <v>172</v>
      </c>
      <c r="C15" s="160"/>
      <c r="D15" s="160"/>
      <c r="E15" s="160"/>
      <c r="F15" s="160"/>
      <c r="G15" s="160"/>
      <c r="H15" s="160"/>
      <c r="I15" s="160"/>
      <c r="J15" s="160"/>
      <c r="K15" s="160"/>
      <c r="L15" s="160"/>
      <c r="M15" s="160"/>
      <c r="N15" s="160"/>
      <c r="O15" s="160"/>
      <c r="P15" s="160"/>
      <c r="Q15" s="160"/>
      <c r="R15" s="160"/>
      <c r="S15" s="160"/>
      <c r="T15" s="160"/>
      <c r="U15" s="160"/>
      <c r="V15" s="160"/>
      <c r="W15" s="160"/>
      <c r="X15" s="160"/>
      <c r="Y15" s="160"/>
      <c r="Z15" s="160"/>
      <c r="AA15" s="160"/>
      <c r="AB15" s="161"/>
    </row>
    <row r="16" spans="1:29" ht="22.5" customHeight="1">
      <c r="A16" s="54" t="s">
        <v>73</v>
      </c>
      <c r="B16" s="159" t="s">
        <v>173</v>
      </c>
      <c r="C16" s="160"/>
      <c r="D16" s="160"/>
      <c r="E16" s="160"/>
      <c r="F16" s="160"/>
      <c r="G16" s="160"/>
      <c r="H16" s="160"/>
      <c r="I16" s="160"/>
      <c r="J16" s="160"/>
      <c r="K16" s="160"/>
      <c r="L16" s="160"/>
      <c r="M16" s="160"/>
      <c r="N16" s="160"/>
      <c r="O16" s="160"/>
      <c r="P16" s="160"/>
      <c r="Q16" s="160"/>
      <c r="R16" s="160"/>
      <c r="S16" s="160"/>
      <c r="T16" s="160"/>
      <c r="U16" s="160"/>
      <c r="V16" s="160"/>
      <c r="W16" s="160"/>
      <c r="X16" s="160"/>
      <c r="Y16" s="160"/>
      <c r="Z16" s="160"/>
      <c r="AA16" s="160"/>
      <c r="AB16" s="161"/>
    </row>
    <row r="17" spans="1:28" ht="22.5" customHeight="1">
      <c r="A17" s="54" t="s">
        <v>74</v>
      </c>
      <c r="B17" s="159" t="s">
        <v>174</v>
      </c>
      <c r="C17" s="160"/>
      <c r="D17" s="160"/>
      <c r="E17" s="160"/>
      <c r="F17" s="160"/>
      <c r="G17" s="160"/>
      <c r="H17" s="160"/>
      <c r="I17" s="160"/>
      <c r="J17" s="160"/>
      <c r="K17" s="160"/>
      <c r="L17" s="160"/>
      <c r="M17" s="160"/>
      <c r="N17" s="160"/>
      <c r="O17" s="160"/>
      <c r="P17" s="160"/>
      <c r="Q17" s="160"/>
      <c r="R17" s="160"/>
      <c r="S17" s="160"/>
      <c r="T17" s="160"/>
      <c r="U17" s="160"/>
      <c r="V17" s="160"/>
      <c r="W17" s="160"/>
      <c r="X17" s="160"/>
      <c r="Y17" s="160"/>
      <c r="Z17" s="160"/>
      <c r="AA17" s="160"/>
      <c r="AB17" s="161"/>
    </row>
    <row r="18" spans="1:28" ht="22.5" customHeight="1">
      <c r="A18" s="54" t="s">
        <v>75</v>
      </c>
      <c r="B18" s="159" t="s">
        <v>175</v>
      </c>
      <c r="C18" s="160"/>
      <c r="D18" s="160"/>
      <c r="E18" s="160"/>
      <c r="F18" s="160"/>
      <c r="G18" s="160"/>
      <c r="H18" s="160"/>
      <c r="I18" s="160"/>
      <c r="J18" s="160"/>
      <c r="K18" s="160"/>
      <c r="L18" s="160"/>
      <c r="M18" s="160"/>
      <c r="N18" s="160"/>
      <c r="O18" s="160"/>
      <c r="P18" s="160"/>
      <c r="Q18" s="160"/>
      <c r="R18" s="160"/>
      <c r="S18" s="160"/>
      <c r="T18" s="160"/>
      <c r="U18" s="160"/>
      <c r="V18" s="160"/>
      <c r="W18" s="160"/>
      <c r="X18" s="160"/>
      <c r="Y18" s="160"/>
      <c r="Z18" s="160"/>
      <c r="AA18" s="160"/>
      <c r="AB18" s="161"/>
    </row>
    <row r="19" spans="1:28" ht="22.5" customHeight="1">
      <c r="A19" s="54" t="s">
        <v>76</v>
      </c>
      <c r="B19" s="159" t="s">
        <v>201</v>
      </c>
      <c r="C19" s="160"/>
      <c r="D19" s="160"/>
      <c r="E19" s="160"/>
      <c r="F19" s="160"/>
      <c r="G19" s="160"/>
      <c r="H19" s="160"/>
      <c r="I19" s="160"/>
      <c r="J19" s="160"/>
      <c r="K19" s="160"/>
      <c r="L19" s="160"/>
      <c r="M19" s="160"/>
      <c r="N19" s="160"/>
      <c r="O19" s="160"/>
      <c r="P19" s="160"/>
      <c r="Q19" s="160"/>
      <c r="R19" s="160"/>
      <c r="S19" s="160"/>
      <c r="T19" s="160"/>
      <c r="U19" s="160"/>
      <c r="V19" s="160"/>
      <c r="W19" s="160"/>
      <c r="X19" s="160"/>
      <c r="Y19" s="160"/>
      <c r="Z19" s="160"/>
      <c r="AA19" s="160"/>
      <c r="AB19" s="161"/>
    </row>
    <row r="20" spans="1:28" ht="22.5" customHeight="1">
      <c r="A20" s="54" t="s">
        <v>77</v>
      </c>
      <c r="B20" s="159" t="s">
        <v>176</v>
      </c>
      <c r="C20" s="160"/>
      <c r="D20" s="160"/>
      <c r="E20" s="160"/>
      <c r="F20" s="160"/>
      <c r="G20" s="160"/>
      <c r="H20" s="160"/>
      <c r="I20" s="160"/>
      <c r="J20" s="160"/>
      <c r="K20" s="160"/>
      <c r="L20" s="160"/>
      <c r="M20" s="160"/>
      <c r="N20" s="160"/>
      <c r="O20" s="160"/>
      <c r="P20" s="160"/>
      <c r="Q20" s="160"/>
      <c r="R20" s="160"/>
      <c r="S20" s="160"/>
      <c r="T20" s="160"/>
      <c r="U20" s="160"/>
      <c r="V20" s="160"/>
      <c r="W20" s="160"/>
      <c r="X20" s="160"/>
      <c r="Y20" s="160"/>
      <c r="Z20" s="160"/>
      <c r="AA20" s="160"/>
      <c r="AB20" s="161"/>
    </row>
    <row r="21" spans="1:28" ht="22.5" customHeight="1">
      <c r="A21" s="54" t="s">
        <v>78</v>
      </c>
      <c r="B21" s="159" t="s">
        <v>177</v>
      </c>
      <c r="C21" s="160"/>
      <c r="D21" s="160"/>
      <c r="E21" s="160"/>
      <c r="F21" s="160"/>
      <c r="G21" s="160"/>
      <c r="H21" s="160"/>
      <c r="I21" s="160"/>
      <c r="J21" s="160"/>
      <c r="K21" s="160"/>
      <c r="L21" s="160"/>
      <c r="M21" s="160"/>
      <c r="N21" s="160"/>
      <c r="O21" s="160"/>
      <c r="P21" s="160"/>
      <c r="Q21" s="160"/>
      <c r="R21" s="160"/>
      <c r="S21" s="160"/>
      <c r="T21" s="160"/>
      <c r="U21" s="160"/>
      <c r="V21" s="160"/>
      <c r="W21" s="160"/>
      <c r="X21" s="160"/>
      <c r="Y21" s="160"/>
      <c r="Z21" s="160"/>
      <c r="AA21" s="160"/>
      <c r="AB21" s="161"/>
    </row>
    <row r="22" spans="1:28" ht="22.5" customHeight="1">
      <c r="A22" s="54" t="s">
        <v>79</v>
      </c>
      <c r="B22" s="159" t="s">
        <v>178</v>
      </c>
      <c r="C22" s="160"/>
      <c r="D22" s="160"/>
      <c r="E22" s="160"/>
      <c r="F22" s="160"/>
      <c r="G22" s="160"/>
      <c r="H22" s="160"/>
      <c r="I22" s="160"/>
      <c r="J22" s="160"/>
      <c r="K22" s="160"/>
      <c r="L22" s="160"/>
      <c r="M22" s="160"/>
      <c r="N22" s="160"/>
      <c r="O22" s="160"/>
      <c r="P22" s="160"/>
      <c r="Q22" s="160"/>
      <c r="R22" s="160"/>
      <c r="S22" s="160"/>
      <c r="T22" s="160"/>
      <c r="U22" s="160"/>
      <c r="V22" s="160"/>
      <c r="W22" s="160"/>
      <c r="X22" s="160"/>
      <c r="Y22" s="160"/>
      <c r="Z22" s="160"/>
      <c r="AA22" s="160"/>
      <c r="AB22" s="161"/>
    </row>
    <row r="23" spans="1:28" ht="22.5" customHeight="1">
      <c r="A23" s="54" t="s">
        <v>80</v>
      </c>
      <c r="B23" s="159" t="s">
        <v>179</v>
      </c>
      <c r="C23" s="160"/>
      <c r="D23" s="160"/>
      <c r="E23" s="160"/>
      <c r="F23" s="160"/>
      <c r="G23" s="160"/>
      <c r="H23" s="160"/>
      <c r="I23" s="160"/>
      <c r="J23" s="160"/>
      <c r="K23" s="160"/>
      <c r="L23" s="160"/>
      <c r="M23" s="160"/>
      <c r="N23" s="160"/>
      <c r="O23" s="160"/>
      <c r="P23" s="160"/>
      <c r="Q23" s="160"/>
      <c r="R23" s="160"/>
      <c r="S23" s="160"/>
      <c r="T23" s="160"/>
      <c r="U23" s="160"/>
      <c r="V23" s="160"/>
      <c r="W23" s="160"/>
      <c r="X23" s="160"/>
      <c r="Y23" s="160"/>
      <c r="Z23" s="160"/>
      <c r="AA23" s="160"/>
      <c r="AB23" s="161"/>
    </row>
    <row r="24" spans="1:28" ht="22.5" customHeight="1">
      <c r="A24" s="54" t="s">
        <v>81</v>
      </c>
      <c r="B24" s="159" t="s">
        <v>180</v>
      </c>
      <c r="C24" s="160"/>
      <c r="D24" s="160"/>
      <c r="E24" s="160"/>
      <c r="F24" s="160"/>
      <c r="G24" s="160"/>
      <c r="H24" s="160"/>
      <c r="I24" s="160"/>
      <c r="J24" s="160"/>
      <c r="K24" s="160"/>
      <c r="L24" s="160"/>
      <c r="M24" s="160"/>
      <c r="N24" s="160"/>
      <c r="O24" s="160"/>
      <c r="P24" s="160"/>
      <c r="Q24" s="160"/>
      <c r="R24" s="160"/>
      <c r="S24" s="160"/>
      <c r="T24" s="160"/>
      <c r="U24" s="160"/>
      <c r="V24" s="160"/>
      <c r="W24" s="160"/>
      <c r="X24" s="160"/>
      <c r="Y24" s="160"/>
      <c r="Z24" s="160"/>
      <c r="AA24" s="160"/>
      <c r="AB24" s="161"/>
    </row>
    <row r="25" spans="1:28" ht="22.5" customHeight="1">
      <c r="A25" s="54" t="s">
        <v>82</v>
      </c>
      <c r="B25" s="159" t="s">
        <v>181</v>
      </c>
      <c r="C25" s="160"/>
      <c r="D25" s="160"/>
      <c r="E25" s="160"/>
      <c r="F25" s="160"/>
      <c r="G25" s="160"/>
      <c r="H25" s="160"/>
      <c r="I25" s="160"/>
      <c r="J25" s="160"/>
      <c r="K25" s="160"/>
      <c r="L25" s="160"/>
      <c r="M25" s="160"/>
      <c r="N25" s="160"/>
      <c r="O25" s="160"/>
      <c r="P25" s="160"/>
      <c r="Q25" s="160"/>
      <c r="R25" s="160"/>
      <c r="S25" s="160"/>
      <c r="T25" s="160"/>
      <c r="U25" s="160"/>
      <c r="V25" s="160"/>
      <c r="W25" s="160"/>
      <c r="X25" s="160"/>
      <c r="Y25" s="160"/>
      <c r="Z25" s="160"/>
      <c r="AA25" s="160"/>
      <c r="AB25" s="161"/>
    </row>
    <row r="26" spans="1:28" ht="22.5" customHeight="1">
      <c r="A26" s="54" t="s">
        <v>83</v>
      </c>
      <c r="B26" s="159" t="s">
        <v>182</v>
      </c>
      <c r="C26" s="160"/>
      <c r="D26" s="160"/>
      <c r="E26" s="160"/>
      <c r="F26" s="160"/>
      <c r="G26" s="160"/>
      <c r="H26" s="160"/>
      <c r="I26" s="160"/>
      <c r="J26" s="160"/>
      <c r="K26" s="160"/>
      <c r="L26" s="160"/>
      <c r="M26" s="160"/>
      <c r="N26" s="160"/>
      <c r="O26" s="160"/>
      <c r="P26" s="160"/>
      <c r="Q26" s="160"/>
      <c r="R26" s="160"/>
      <c r="S26" s="160"/>
      <c r="T26" s="160"/>
      <c r="U26" s="160"/>
      <c r="V26" s="160"/>
      <c r="W26" s="160"/>
      <c r="X26" s="160"/>
      <c r="Y26" s="160"/>
      <c r="Z26" s="160"/>
      <c r="AA26" s="160"/>
      <c r="AB26" s="161"/>
    </row>
    <row r="27" spans="1:28" ht="22.5" customHeight="1">
      <c r="A27" s="54" t="s">
        <v>84</v>
      </c>
      <c r="B27" s="159" t="s">
        <v>183</v>
      </c>
      <c r="C27" s="160"/>
      <c r="D27" s="160"/>
      <c r="E27" s="160"/>
      <c r="F27" s="160"/>
      <c r="G27" s="160"/>
      <c r="H27" s="160"/>
      <c r="I27" s="160"/>
      <c r="J27" s="160"/>
      <c r="K27" s="160"/>
      <c r="L27" s="160"/>
      <c r="M27" s="160"/>
      <c r="N27" s="160"/>
      <c r="O27" s="160"/>
      <c r="P27" s="160"/>
      <c r="Q27" s="160"/>
      <c r="R27" s="160"/>
      <c r="S27" s="160"/>
      <c r="T27" s="160"/>
      <c r="U27" s="160"/>
      <c r="V27" s="160"/>
      <c r="W27" s="160"/>
      <c r="X27" s="160"/>
      <c r="Y27" s="160"/>
      <c r="Z27" s="160"/>
      <c r="AA27" s="160"/>
      <c r="AB27" s="161"/>
    </row>
    <row r="28" spans="1:28" ht="22.5" customHeight="1">
      <c r="A28" s="54" t="s">
        <v>85</v>
      </c>
      <c r="B28" s="159" t="s">
        <v>184</v>
      </c>
      <c r="C28" s="160"/>
      <c r="D28" s="160"/>
      <c r="E28" s="160"/>
      <c r="F28" s="160"/>
      <c r="G28" s="160"/>
      <c r="H28" s="160"/>
      <c r="I28" s="160"/>
      <c r="J28" s="160"/>
      <c r="K28" s="160"/>
      <c r="L28" s="160"/>
      <c r="M28" s="160"/>
      <c r="N28" s="160"/>
      <c r="O28" s="160"/>
      <c r="P28" s="160"/>
      <c r="Q28" s="160"/>
      <c r="R28" s="160"/>
      <c r="S28" s="160"/>
      <c r="T28" s="160"/>
      <c r="U28" s="160"/>
      <c r="V28" s="160"/>
      <c r="W28" s="160"/>
      <c r="X28" s="160"/>
      <c r="Y28" s="160"/>
      <c r="Z28" s="160"/>
      <c r="AA28" s="160"/>
      <c r="AB28" s="161"/>
    </row>
    <row r="29" spans="1:28" ht="22.5" customHeight="1">
      <c r="A29" s="54" t="s">
        <v>86</v>
      </c>
      <c r="B29" s="159" t="s">
        <v>185</v>
      </c>
      <c r="C29" s="160"/>
      <c r="D29" s="160"/>
      <c r="E29" s="160"/>
      <c r="F29" s="160"/>
      <c r="G29" s="160"/>
      <c r="H29" s="160"/>
      <c r="I29" s="160"/>
      <c r="J29" s="160"/>
      <c r="K29" s="160"/>
      <c r="L29" s="160"/>
      <c r="M29" s="160"/>
      <c r="N29" s="160"/>
      <c r="O29" s="160"/>
      <c r="P29" s="160"/>
      <c r="Q29" s="160"/>
      <c r="R29" s="160"/>
      <c r="S29" s="160"/>
      <c r="T29" s="160"/>
      <c r="U29" s="160"/>
      <c r="V29" s="160"/>
      <c r="W29" s="160"/>
      <c r="X29" s="160"/>
      <c r="Y29" s="160"/>
      <c r="Z29" s="160"/>
      <c r="AA29" s="160"/>
      <c r="AB29" s="161"/>
    </row>
    <row r="30" spans="1:28" ht="22.5" customHeight="1">
      <c r="A30" s="54" t="s">
        <v>87</v>
      </c>
      <c r="B30" s="159" t="s">
        <v>186</v>
      </c>
      <c r="C30" s="160"/>
      <c r="D30" s="160"/>
      <c r="E30" s="160"/>
      <c r="F30" s="160"/>
      <c r="G30" s="160"/>
      <c r="H30" s="160"/>
      <c r="I30" s="160"/>
      <c r="J30" s="160"/>
      <c r="K30" s="160"/>
      <c r="L30" s="160"/>
      <c r="M30" s="160"/>
      <c r="N30" s="160"/>
      <c r="O30" s="160"/>
      <c r="P30" s="160"/>
      <c r="Q30" s="160"/>
      <c r="R30" s="160"/>
      <c r="S30" s="160"/>
      <c r="T30" s="160"/>
      <c r="U30" s="160"/>
      <c r="V30" s="160"/>
      <c r="W30" s="160"/>
      <c r="X30" s="160"/>
      <c r="Y30" s="160"/>
      <c r="Z30" s="160"/>
      <c r="AA30" s="160"/>
      <c r="AB30" s="161"/>
    </row>
    <row r="31" spans="1:28" ht="22.5" customHeight="1">
      <c r="A31" s="54" t="s">
        <v>88</v>
      </c>
      <c r="B31" s="159" t="s">
        <v>187</v>
      </c>
      <c r="C31" s="160"/>
      <c r="D31" s="160"/>
      <c r="E31" s="160"/>
      <c r="F31" s="160"/>
      <c r="G31" s="160"/>
      <c r="H31" s="160"/>
      <c r="I31" s="160"/>
      <c r="J31" s="160"/>
      <c r="K31" s="160"/>
      <c r="L31" s="160"/>
      <c r="M31" s="160"/>
      <c r="N31" s="160"/>
      <c r="O31" s="160"/>
      <c r="P31" s="160"/>
      <c r="Q31" s="160"/>
      <c r="R31" s="160"/>
      <c r="S31" s="160"/>
      <c r="T31" s="160"/>
      <c r="U31" s="160"/>
      <c r="V31" s="160"/>
      <c r="W31" s="160"/>
      <c r="X31" s="160"/>
      <c r="Y31" s="160"/>
      <c r="Z31" s="160"/>
      <c r="AA31" s="160"/>
      <c r="AB31" s="161"/>
    </row>
    <row r="32" spans="1:28" ht="22.5" customHeight="1">
      <c r="A32" s="54" t="s">
        <v>89</v>
      </c>
      <c r="B32" s="159" t="s">
        <v>188</v>
      </c>
      <c r="C32" s="160"/>
      <c r="D32" s="160"/>
      <c r="E32" s="160"/>
      <c r="F32" s="160"/>
      <c r="G32" s="160"/>
      <c r="H32" s="160"/>
      <c r="I32" s="160"/>
      <c r="J32" s="160"/>
      <c r="K32" s="160"/>
      <c r="L32" s="160"/>
      <c r="M32" s="160"/>
      <c r="N32" s="160"/>
      <c r="O32" s="160"/>
      <c r="P32" s="160"/>
      <c r="Q32" s="160"/>
      <c r="R32" s="160"/>
      <c r="S32" s="160"/>
      <c r="T32" s="160"/>
      <c r="U32" s="160"/>
      <c r="V32" s="160"/>
      <c r="W32" s="160"/>
      <c r="X32" s="160"/>
      <c r="Y32" s="160"/>
      <c r="Z32" s="160"/>
      <c r="AA32" s="160"/>
      <c r="AB32" s="161"/>
    </row>
    <row r="33" spans="1:29" ht="22.5" customHeight="1">
      <c r="A33" s="54" t="s">
        <v>90</v>
      </c>
      <c r="B33" s="159" t="s">
        <v>189</v>
      </c>
      <c r="C33" s="160"/>
      <c r="D33" s="160"/>
      <c r="E33" s="160"/>
      <c r="F33" s="160"/>
      <c r="G33" s="160"/>
      <c r="H33" s="160"/>
      <c r="I33" s="160"/>
      <c r="J33" s="160"/>
      <c r="K33" s="160"/>
      <c r="L33" s="160"/>
      <c r="M33" s="160"/>
      <c r="N33" s="160"/>
      <c r="O33" s="160"/>
      <c r="P33" s="160"/>
      <c r="Q33" s="160"/>
      <c r="R33" s="160"/>
      <c r="S33" s="160"/>
      <c r="T33" s="160"/>
      <c r="U33" s="160"/>
      <c r="V33" s="160"/>
      <c r="W33" s="160"/>
      <c r="X33" s="160"/>
      <c r="Y33" s="160"/>
      <c r="Z33" s="160"/>
      <c r="AA33" s="160"/>
      <c r="AB33" s="161"/>
    </row>
    <row r="34" spans="1:29" ht="22.5" customHeight="1">
      <c r="A34" s="54"/>
      <c r="B34" s="159"/>
      <c r="C34" s="160"/>
      <c r="D34" s="160"/>
      <c r="E34" s="160"/>
      <c r="F34" s="160"/>
      <c r="G34" s="160"/>
      <c r="H34" s="160"/>
      <c r="I34" s="160"/>
      <c r="J34" s="160"/>
      <c r="K34" s="160"/>
      <c r="L34" s="160"/>
      <c r="M34" s="160"/>
      <c r="N34" s="160"/>
      <c r="O34" s="160"/>
      <c r="P34" s="160"/>
      <c r="Q34" s="160"/>
      <c r="R34" s="160"/>
      <c r="S34" s="160"/>
      <c r="T34" s="160"/>
      <c r="U34" s="160"/>
      <c r="V34" s="160"/>
      <c r="W34" s="160"/>
      <c r="X34" s="160"/>
      <c r="Y34" s="160"/>
      <c r="Z34" s="160"/>
      <c r="AA34" s="160"/>
      <c r="AB34" s="161"/>
    </row>
    <row r="35" spans="1:29" ht="22.5" customHeight="1">
      <c r="A35" s="54"/>
      <c r="B35" s="159"/>
      <c r="C35" s="160"/>
      <c r="D35" s="160"/>
      <c r="E35" s="160"/>
      <c r="F35" s="160"/>
      <c r="G35" s="160"/>
      <c r="H35" s="160"/>
      <c r="I35" s="160"/>
      <c r="J35" s="160"/>
      <c r="K35" s="160"/>
      <c r="L35" s="160"/>
      <c r="M35" s="160"/>
      <c r="N35" s="160"/>
      <c r="O35" s="160"/>
      <c r="P35" s="160"/>
      <c r="Q35" s="160"/>
      <c r="R35" s="160"/>
      <c r="S35" s="160"/>
      <c r="T35" s="160"/>
      <c r="U35" s="160"/>
      <c r="V35" s="160"/>
      <c r="W35" s="160"/>
      <c r="X35" s="160"/>
      <c r="Y35" s="160"/>
      <c r="Z35" s="160"/>
      <c r="AA35" s="160"/>
      <c r="AB35" s="161"/>
    </row>
    <row r="36" spans="1:29" ht="22.5" customHeight="1">
      <c r="A36" s="54"/>
      <c r="B36" s="159"/>
      <c r="C36" s="160"/>
      <c r="D36" s="160"/>
      <c r="E36" s="160"/>
      <c r="F36" s="160"/>
      <c r="G36" s="160"/>
      <c r="H36" s="160"/>
      <c r="I36" s="160"/>
      <c r="J36" s="160"/>
      <c r="K36" s="160"/>
      <c r="L36" s="160"/>
      <c r="M36" s="160"/>
      <c r="N36" s="160"/>
      <c r="O36" s="160"/>
      <c r="P36" s="160"/>
      <c r="Q36" s="160"/>
      <c r="R36" s="160"/>
      <c r="S36" s="160"/>
      <c r="T36" s="160"/>
      <c r="U36" s="160"/>
      <c r="V36" s="160"/>
      <c r="W36" s="160"/>
      <c r="X36" s="160"/>
      <c r="Y36" s="160"/>
      <c r="Z36" s="160"/>
      <c r="AA36" s="160"/>
      <c r="AB36" s="161"/>
    </row>
    <row r="37" spans="1:29" ht="22.5" customHeight="1">
      <c r="A37" s="54"/>
      <c r="B37" s="159"/>
      <c r="C37" s="160"/>
      <c r="D37" s="160"/>
      <c r="E37" s="160"/>
      <c r="F37" s="160"/>
      <c r="G37" s="160"/>
      <c r="H37" s="160"/>
      <c r="I37" s="160"/>
      <c r="J37" s="160"/>
      <c r="K37" s="160"/>
      <c r="L37" s="160"/>
      <c r="M37" s="160"/>
      <c r="N37" s="160"/>
      <c r="O37" s="160"/>
      <c r="P37" s="160"/>
      <c r="Q37" s="160"/>
      <c r="R37" s="160"/>
      <c r="S37" s="160"/>
      <c r="T37" s="160"/>
      <c r="U37" s="160"/>
      <c r="V37" s="160"/>
      <c r="W37" s="160"/>
      <c r="X37" s="160"/>
      <c r="Y37" s="160"/>
      <c r="Z37" s="160"/>
      <c r="AA37" s="160"/>
      <c r="AB37" s="161"/>
      <c r="AC37" s="47" t="s">
        <v>30</v>
      </c>
    </row>
    <row r="38" spans="1:29" ht="22.5" customHeight="1">
      <c r="A38" s="176" t="s">
        <v>237</v>
      </c>
      <c r="B38" s="177"/>
      <c r="C38" s="177"/>
      <c r="D38" s="177"/>
      <c r="E38" s="177"/>
      <c r="F38" s="177"/>
      <c r="G38" s="177"/>
      <c r="H38" s="177"/>
      <c r="I38" s="177"/>
      <c r="J38" s="177"/>
      <c r="K38" s="177"/>
      <c r="L38" s="177"/>
      <c r="M38" s="177"/>
      <c r="N38" s="177"/>
      <c r="O38" s="177"/>
      <c r="P38" s="177"/>
      <c r="Q38" s="177"/>
      <c r="R38" s="177"/>
      <c r="S38" s="177"/>
      <c r="T38" s="177"/>
      <c r="U38" s="177"/>
      <c r="V38" s="177"/>
      <c r="W38" s="177"/>
      <c r="X38" s="177"/>
      <c r="Y38" s="177"/>
      <c r="Z38" s="177"/>
      <c r="AA38" s="177"/>
      <c r="AB38" s="178"/>
      <c r="AC38" s="8" t="s">
        <v>238</v>
      </c>
    </row>
    <row r="39" spans="1:29" ht="77.25" customHeight="1">
      <c r="A39" s="76" t="str">
        <f t="shared" ref="A39:A50" si="0">A13</f>
        <v>阿部 光希</v>
      </c>
      <c r="B39" s="168" t="s">
        <v>190</v>
      </c>
      <c r="C39" s="169"/>
      <c r="D39" s="169"/>
      <c r="E39" s="169"/>
      <c r="F39" s="169"/>
      <c r="G39" s="169"/>
      <c r="H39" s="169"/>
      <c r="I39" s="169"/>
      <c r="J39" s="169"/>
      <c r="K39" s="169"/>
      <c r="L39" s="169"/>
      <c r="M39" s="169"/>
      <c r="N39" s="169"/>
      <c r="O39" s="169"/>
      <c r="P39" s="169"/>
      <c r="Q39" s="169"/>
      <c r="R39" s="169"/>
      <c r="S39" s="169"/>
      <c r="T39" s="169"/>
      <c r="U39" s="169"/>
      <c r="V39" s="169"/>
      <c r="W39" s="169"/>
      <c r="X39" s="169"/>
      <c r="Y39" s="169"/>
      <c r="Z39" s="169"/>
      <c r="AA39" s="169"/>
      <c r="AB39" s="170"/>
      <c r="AC39" s="8">
        <f t="shared" ref="AC39:AC63" si="1">LEN(B39)</f>
        <v>449</v>
      </c>
    </row>
    <row r="40" spans="1:29" ht="77.25" customHeight="1">
      <c r="A40" s="76" t="str">
        <f t="shared" si="0"/>
        <v>池田 篤也</v>
      </c>
      <c r="B40" s="168" t="s">
        <v>191</v>
      </c>
      <c r="C40" s="169"/>
      <c r="D40" s="169"/>
      <c r="E40" s="169"/>
      <c r="F40" s="169"/>
      <c r="G40" s="169"/>
      <c r="H40" s="169"/>
      <c r="I40" s="169"/>
      <c r="J40" s="169"/>
      <c r="K40" s="169"/>
      <c r="L40" s="169"/>
      <c r="M40" s="169"/>
      <c r="N40" s="169"/>
      <c r="O40" s="169"/>
      <c r="P40" s="169"/>
      <c r="Q40" s="169"/>
      <c r="R40" s="169"/>
      <c r="S40" s="169"/>
      <c r="T40" s="169"/>
      <c r="U40" s="169"/>
      <c r="V40" s="169"/>
      <c r="W40" s="169"/>
      <c r="X40" s="169"/>
      <c r="Y40" s="169"/>
      <c r="Z40" s="169"/>
      <c r="AA40" s="169"/>
      <c r="AB40" s="170"/>
      <c r="AC40" s="8">
        <f t="shared" si="1"/>
        <v>402</v>
      </c>
    </row>
    <row r="41" spans="1:29" ht="77.25" customHeight="1">
      <c r="A41" s="76" t="str">
        <f t="shared" si="0"/>
        <v>荻原 健史</v>
      </c>
      <c r="B41" s="168" t="s">
        <v>208</v>
      </c>
      <c r="C41" s="169"/>
      <c r="D41" s="169"/>
      <c r="E41" s="169"/>
      <c r="F41" s="169"/>
      <c r="G41" s="169"/>
      <c r="H41" s="169"/>
      <c r="I41" s="169"/>
      <c r="J41" s="169"/>
      <c r="K41" s="169"/>
      <c r="L41" s="169"/>
      <c r="M41" s="169"/>
      <c r="N41" s="169"/>
      <c r="O41" s="169"/>
      <c r="P41" s="169"/>
      <c r="Q41" s="169"/>
      <c r="R41" s="169"/>
      <c r="S41" s="169"/>
      <c r="T41" s="169"/>
      <c r="U41" s="169"/>
      <c r="V41" s="169"/>
      <c r="W41" s="169"/>
      <c r="X41" s="169"/>
      <c r="Y41" s="169"/>
      <c r="Z41" s="169"/>
      <c r="AA41" s="169"/>
      <c r="AB41" s="170"/>
      <c r="AC41" s="8">
        <f t="shared" si="1"/>
        <v>480</v>
      </c>
    </row>
    <row r="42" spans="1:29" ht="77.25" customHeight="1">
      <c r="A42" s="76" t="str">
        <f t="shared" si="0"/>
        <v>上條 里紗</v>
      </c>
      <c r="B42" s="168" t="s">
        <v>209</v>
      </c>
      <c r="C42" s="169"/>
      <c r="D42" s="169"/>
      <c r="E42" s="169"/>
      <c r="F42" s="169"/>
      <c r="G42" s="169"/>
      <c r="H42" s="169"/>
      <c r="I42" s="169"/>
      <c r="J42" s="169"/>
      <c r="K42" s="169"/>
      <c r="L42" s="169"/>
      <c r="M42" s="169"/>
      <c r="N42" s="169"/>
      <c r="O42" s="169"/>
      <c r="P42" s="169"/>
      <c r="Q42" s="169"/>
      <c r="R42" s="169"/>
      <c r="S42" s="169"/>
      <c r="T42" s="169"/>
      <c r="U42" s="169"/>
      <c r="V42" s="169"/>
      <c r="W42" s="169"/>
      <c r="X42" s="169"/>
      <c r="Y42" s="169"/>
      <c r="Z42" s="169"/>
      <c r="AA42" s="169"/>
      <c r="AB42" s="170"/>
      <c r="AC42" s="8">
        <f t="shared" si="1"/>
        <v>459</v>
      </c>
    </row>
    <row r="43" spans="1:29" ht="77.25" customHeight="1">
      <c r="A43" s="76" t="str">
        <f t="shared" si="0"/>
        <v>小森 美柚</v>
      </c>
      <c r="B43" s="168" t="s">
        <v>192</v>
      </c>
      <c r="C43" s="169"/>
      <c r="D43" s="169"/>
      <c r="E43" s="169"/>
      <c r="F43" s="169"/>
      <c r="G43" s="169"/>
      <c r="H43" s="169"/>
      <c r="I43" s="169"/>
      <c r="J43" s="169"/>
      <c r="K43" s="169"/>
      <c r="L43" s="169"/>
      <c r="M43" s="169"/>
      <c r="N43" s="169"/>
      <c r="O43" s="169"/>
      <c r="P43" s="169"/>
      <c r="Q43" s="169"/>
      <c r="R43" s="169"/>
      <c r="S43" s="169"/>
      <c r="T43" s="169"/>
      <c r="U43" s="169"/>
      <c r="V43" s="169"/>
      <c r="W43" s="169"/>
      <c r="X43" s="169"/>
      <c r="Y43" s="169"/>
      <c r="Z43" s="169"/>
      <c r="AA43" s="169"/>
      <c r="AB43" s="170"/>
      <c r="AC43" s="8">
        <f t="shared" si="1"/>
        <v>410</v>
      </c>
    </row>
    <row r="44" spans="1:29" ht="77.25" customHeight="1">
      <c r="A44" s="76" t="str">
        <f t="shared" si="0"/>
        <v>酒巻 紋子</v>
      </c>
      <c r="B44" s="168" t="s">
        <v>210</v>
      </c>
      <c r="C44" s="169"/>
      <c r="D44" s="169"/>
      <c r="E44" s="169"/>
      <c r="F44" s="169"/>
      <c r="G44" s="169"/>
      <c r="H44" s="169"/>
      <c r="I44" s="169"/>
      <c r="J44" s="169"/>
      <c r="K44" s="169"/>
      <c r="L44" s="169"/>
      <c r="M44" s="169"/>
      <c r="N44" s="169"/>
      <c r="O44" s="169"/>
      <c r="P44" s="169"/>
      <c r="Q44" s="169"/>
      <c r="R44" s="169"/>
      <c r="S44" s="169"/>
      <c r="T44" s="169"/>
      <c r="U44" s="169"/>
      <c r="V44" s="169"/>
      <c r="W44" s="169"/>
      <c r="X44" s="169"/>
      <c r="Y44" s="169"/>
      <c r="Z44" s="169"/>
      <c r="AA44" s="169"/>
      <c r="AB44" s="170"/>
      <c r="AC44" s="8">
        <f t="shared" si="1"/>
        <v>424</v>
      </c>
    </row>
    <row r="45" spans="1:29" ht="77.25" customHeight="1">
      <c r="A45" s="76" t="str">
        <f t="shared" si="0"/>
        <v>滝 真佳</v>
      </c>
      <c r="B45" s="168" t="s">
        <v>193</v>
      </c>
      <c r="C45" s="169"/>
      <c r="D45" s="169"/>
      <c r="E45" s="169"/>
      <c r="F45" s="169"/>
      <c r="G45" s="169"/>
      <c r="H45" s="169"/>
      <c r="I45" s="169"/>
      <c r="J45" s="169"/>
      <c r="K45" s="169"/>
      <c r="L45" s="169"/>
      <c r="M45" s="169"/>
      <c r="N45" s="169"/>
      <c r="O45" s="169"/>
      <c r="P45" s="169"/>
      <c r="Q45" s="169"/>
      <c r="R45" s="169"/>
      <c r="S45" s="169"/>
      <c r="T45" s="169"/>
      <c r="U45" s="169"/>
      <c r="V45" s="169"/>
      <c r="W45" s="169"/>
      <c r="X45" s="169"/>
      <c r="Y45" s="169"/>
      <c r="Z45" s="169"/>
      <c r="AA45" s="169"/>
      <c r="AB45" s="170"/>
      <c r="AC45" s="8">
        <f t="shared" si="1"/>
        <v>405</v>
      </c>
    </row>
    <row r="46" spans="1:29" ht="77.25" customHeight="1">
      <c r="A46" s="76" t="str">
        <f t="shared" si="0"/>
        <v>都筑 斉</v>
      </c>
      <c r="B46" s="168" t="s">
        <v>211</v>
      </c>
      <c r="C46" s="169"/>
      <c r="D46" s="169"/>
      <c r="E46" s="169"/>
      <c r="F46" s="169"/>
      <c r="G46" s="169"/>
      <c r="H46" s="169"/>
      <c r="I46" s="169"/>
      <c r="J46" s="169"/>
      <c r="K46" s="169"/>
      <c r="L46" s="169"/>
      <c r="M46" s="169"/>
      <c r="N46" s="169"/>
      <c r="O46" s="169"/>
      <c r="P46" s="169"/>
      <c r="Q46" s="169"/>
      <c r="R46" s="169"/>
      <c r="S46" s="169"/>
      <c r="T46" s="169"/>
      <c r="U46" s="169"/>
      <c r="V46" s="169"/>
      <c r="W46" s="169"/>
      <c r="X46" s="169"/>
      <c r="Y46" s="169"/>
      <c r="Z46" s="169"/>
      <c r="AA46" s="169"/>
      <c r="AB46" s="170"/>
      <c r="AC46" s="8">
        <f t="shared" si="1"/>
        <v>414</v>
      </c>
    </row>
    <row r="47" spans="1:29" ht="77.25" customHeight="1">
      <c r="A47" s="76" t="str">
        <f t="shared" si="0"/>
        <v>傳田 悠藍</v>
      </c>
      <c r="B47" s="168" t="s">
        <v>212</v>
      </c>
      <c r="C47" s="169"/>
      <c r="D47" s="169"/>
      <c r="E47" s="169"/>
      <c r="F47" s="169"/>
      <c r="G47" s="169"/>
      <c r="H47" s="169"/>
      <c r="I47" s="169"/>
      <c r="J47" s="169"/>
      <c r="K47" s="169"/>
      <c r="L47" s="169"/>
      <c r="M47" s="169"/>
      <c r="N47" s="169"/>
      <c r="O47" s="169"/>
      <c r="P47" s="169"/>
      <c r="Q47" s="169"/>
      <c r="R47" s="169"/>
      <c r="S47" s="169"/>
      <c r="T47" s="169"/>
      <c r="U47" s="169"/>
      <c r="V47" s="169"/>
      <c r="W47" s="169"/>
      <c r="X47" s="169"/>
      <c r="Y47" s="169"/>
      <c r="Z47" s="169"/>
      <c r="AA47" s="169"/>
      <c r="AB47" s="170"/>
      <c r="AC47" s="8">
        <f t="shared" si="1"/>
        <v>418</v>
      </c>
    </row>
    <row r="48" spans="1:29" ht="77.25" customHeight="1">
      <c r="A48" s="76" t="str">
        <f t="shared" si="0"/>
        <v>中原 照真</v>
      </c>
      <c r="B48" s="168" t="s">
        <v>213</v>
      </c>
      <c r="C48" s="169"/>
      <c r="D48" s="169"/>
      <c r="E48" s="169"/>
      <c r="F48" s="169"/>
      <c r="G48" s="169"/>
      <c r="H48" s="169"/>
      <c r="I48" s="169"/>
      <c r="J48" s="169"/>
      <c r="K48" s="169"/>
      <c r="L48" s="169"/>
      <c r="M48" s="169"/>
      <c r="N48" s="169"/>
      <c r="O48" s="169"/>
      <c r="P48" s="169"/>
      <c r="Q48" s="169"/>
      <c r="R48" s="169"/>
      <c r="S48" s="169"/>
      <c r="T48" s="169"/>
      <c r="U48" s="169"/>
      <c r="V48" s="169"/>
      <c r="W48" s="169"/>
      <c r="X48" s="169"/>
      <c r="Y48" s="169"/>
      <c r="Z48" s="169"/>
      <c r="AA48" s="169"/>
      <c r="AB48" s="170"/>
      <c r="AC48" s="8">
        <f t="shared" si="1"/>
        <v>511</v>
      </c>
    </row>
    <row r="49" spans="1:29" ht="77.25" customHeight="1">
      <c r="A49" s="76" t="str">
        <f t="shared" si="0"/>
        <v>永原 愛羅</v>
      </c>
      <c r="B49" s="168" t="s">
        <v>214</v>
      </c>
      <c r="C49" s="169"/>
      <c r="D49" s="169"/>
      <c r="E49" s="169"/>
      <c r="F49" s="169"/>
      <c r="G49" s="169"/>
      <c r="H49" s="169"/>
      <c r="I49" s="169"/>
      <c r="J49" s="169"/>
      <c r="K49" s="169"/>
      <c r="L49" s="169"/>
      <c r="M49" s="169"/>
      <c r="N49" s="169"/>
      <c r="O49" s="169"/>
      <c r="P49" s="169"/>
      <c r="Q49" s="169"/>
      <c r="R49" s="169"/>
      <c r="S49" s="169"/>
      <c r="T49" s="169"/>
      <c r="U49" s="169"/>
      <c r="V49" s="169"/>
      <c r="W49" s="169"/>
      <c r="X49" s="169"/>
      <c r="Y49" s="169"/>
      <c r="Z49" s="169"/>
      <c r="AA49" s="169"/>
      <c r="AB49" s="170"/>
      <c r="AC49" s="8">
        <f t="shared" si="1"/>
        <v>462</v>
      </c>
    </row>
    <row r="50" spans="1:29" ht="77.25" customHeight="1">
      <c r="A50" s="76" t="str">
        <f t="shared" si="0"/>
        <v>根橋 宏匡</v>
      </c>
      <c r="B50" s="168" t="s">
        <v>194</v>
      </c>
      <c r="C50" s="169"/>
      <c r="D50" s="169"/>
      <c r="E50" s="169"/>
      <c r="F50" s="169"/>
      <c r="G50" s="169"/>
      <c r="H50" s="169"/>
      <c r="I50" s="169"/>
      <c r="J50" s="169"/>
      <c r="K50" s="169"/>
      <c r="L50" s="169"/>
      <c r="M50" s="169"/>
      <c r="N50" s="169"/>
      <c r="O50" s="169"/>
      <c r="P50" s="169"/>
      <c r="Q50" s="169"/>
      <c r="R50" s="169"/>
      <c r="S50" s="169"/>
      <c r="T50" s="169"/>
      <c r="U50" s="169"/>
      <c r="V50" s="169"/>
      <c r="W50" s="169"/>
      <c r="X50" s="169"/>
      <c r="Y50" s="169"/>
      <c r="Z50" s="169"/>
      <c r="AA50" s="169"/>
      <c r="AB50" s="170"/>
      <c r="AC50" s="8">
        <f t="shared" si="1"/>
        <v>483</v>
      </c>
    </row>
    <row r="51" spans="1:29" ht="77.25" customHeight="1">
      <c r="A51" s="76" t="str">
        <f>A25</f>
        <v>平野 悠</v>
      </c>
      <c r="B51" s="168" t="s">
        <v>215</v>
      </c>
      <c r="C51" s="169"/>
      <c r="D51" s="169"/>
      <c r="E51" s="169"/>
      <c r="F51" s="169"/>
      <c r="G51" s="169"/>
      <c r="H51" s="169"/>
      <c r="I51" s="169"/>
      <c r="J51" s="169"/>
      <c r="K51" s="169"/>
      <c r="L51" s="169"/>
      <c r="M51" s="169"/>
      <c r="N51" s="169"/>
      <c r="O51" s="169"/>
      <c r="P51" s="169"/>
      <c r="Q51" s="169"/>
      <c r="R51" s="169"/>
      <c r="S51" s="169"/>
      <c r="T51" s="169"/>
      <c r="U51" s="169"/>
      <c r="V51" s="169"/>
      <c r="W51" s="169"/>
      <c r="X51" s="169"/>
      <c r="Y51" s="169"/>
      <c r="Z51" s="169"/>
      <c r="AA51" s="169"/>
      <c r="AB51" s="170"/>
      <c r="AC51" s="8">
        <f t="shared" si="1"/>
        <v>448</v>
      </c>
    </row>
    <row r="52" spans="1:29" ht="77.25" customHeight="1">
      <c r="A52" s="76" t="str">
        <f>A26</f>
        <v>丸山 大河</v>
      </c>
      <c r="B52" s="168" t="s">
        <v>195</v>
      </c>
      <c r="C52" s="169"/>
      <c r="D52" s="169"/>
      <c r="E52" s="169"/>
      <c r="F52" s="169"/>
      <c r="G52" s="169"/>
      <c r="H52" s="169"/>
      <c r="I52" s="169"/>
      <c r="J52" s="169"/>
      <c r="K52" s="169"/>
      <c r="L52" s="169"/>
      <c r="M52" s="169"/>
      <c r="N52" s="169"/>
      <c r="O52" s="169"/>
      <c r="P52" s="169"/>
      <c r="Q52" s="169"/>
      <c r="R52" s="169"/>
      <c r="S52" s="169"/>
      <c r="T52" s="169"/>
      <c r="U52" s="169"/>
      <c r="V52" s="169"/>
      <c r="W52" s="169"/>
      <c r="X52" s="169"/>
      <c r="Y52" s="169"/>
      <c r="Z52" s="169"/>
      <c r="AA52" s="169"/>
      <c r="AB52" s="170"/>
      <c r="AC52" s="8">
        <f t="shared" si="1"/>
        <v>446</v>
      </c>
    </row>
    <row r="53" spans="1:29" ht="77.25" customHeight="1">
      <c r="A53" s="76" t="str">
        <f t="shared" ref="A53:A63" si="2">A27</f>
        <v>三浦 和成</v>
      </c>
      <c r="B53" s="168" t="s">
        <v>196</v>
      </c>
      <c r="C53" s="169"/>
      <c r="D53" s="169"/>
      <c r="E53" s="169"/>
      <c r="F53" s="169"/>
      <c r="G53" s="169"/>
      <c r="H53" s="169"/>
      <c r="I53" s="169"/>
      <c r="J53" s="169"/>
      <c r="K53" s="169"/>
      <c r="L53" s="169"/>
      <c r="M53" s="169"/>
      <c r="N53" s="169"/>
      <c r="O53" s="169"/>
      <c r="P53" s="169"/>
      <c r="Q53" s="169"/>
      <c r="R53" s="169"/>
      <c r="S53" s="169"/>
      <c r="T53" s="169"/>
      <c r="U53" s="169"/>
      <c r="V53" s="169"/>
      <c r="W53" s="169"/>
      <c r="X53" s="169"/>
      <c r="Y53" s="169"/>
      <c r="Z53" s="169"/>
      <c r="AA53" s="169"/>
      <c r="AB53" s="170"/>
      <c r="AC53" s="8">
        <f t="shared" si="1"/>
        <v>460</v>
      </c>
    </row>
    <row r="54" spans="1:29" ht="77.25" customHeight="1">
      <c r="A54" s="76" t="str">
        <f t="shared" si="2"/>
        <v>三澤 桜來</v>
      </c>
      <c r="B54" s="168" t="s">
        <v>197</v>
      </c>
      <c r="C54" s="169"/>
      <c r="D54" s="169"/>
      <c r="E54" s="169"/>
      <c r="F54" s="169"/>
      <c r="G54" s="169"/>
      <c r="H54" s="169"/>
      <c r="I54" s="169"/>
      <c r="J54" s="169"/>
      <c r="K54" s="169"/>
      <c r="L54" s="169"/>
      <c r="M54" s="169"/>
      <c r="N54" s="169"/>
      <c r="O54" s="169"/>
      <c r="P54" s="169"/>
      <c r="Q54" s="169"/>
      <c r="R54" s="169"/>
      <c r="S54" s="169"/>
      <c r="T54" s="169"/>
      <c r="U54" s="169"/>
      <c r="V54" s="169"/>
      <c r="W54" s="169"/>
      <c r="X54" s="169"/>
      <c r="Y54" s="169"/>
      <c r="Z54" s="169"/>
      <c r="AA54" s="169"/>
      <c r="AB54" s="170"/>
      <c r="AC54" s="8">
        <f t="shared" si="1"/>
        <v>438</v>
      </c>
    </row>
    <row r="55" spans="1:29" ht="77.25" customHeight="1">
      <c r="A55" s="76" t="str">
        <f t="shared" si="2"/>
        <v>明嵐 瑛大</v>
      </c>
      <c r="B55" s="168" t="s">
        <v>198</v>
      </c>
      <c r="C55" s="169"/>
      <c r="D55" s="169"/>
      <c r="E55" s="169"/>
      <c r="F55" s="169"/>
      <c r="G55" s="169"/>
      <c r="H55" s="169"/>
      <c r="I55" s="169"/>
      <c r="J55" s="169"/>
      <c r="K55" s="169"/>
      <c r="L55" s="169"/>
      <c r="M55" s="169"/>
      <c r="N55" s="169"/>
      <c r="O55" s="169"/>
      <c r="P55" s="169"/>
      <c r="Q55" s="169"/>
      <c r="R55" s="169"/>
      <c r="S55" s="169"/>
      <c r="T55" s="169"/>
      <c r="U55" s="169"/>
      <c r="V55" s="169"/>
      <c r="W55" s="169"/>
      <c r="X55" s="169"/>
      <c r="Y55" s="169"/>
      <c r="Z55" s="169"/>
      <c r="AA55" s="169"/>
      <c r="AB55" s="170"/>
      <c r="AC55" s="8">
        <f t="shared" si="1"/>
        <v>455</v>
      </c>
    </row>
    <row r="56" spans="1:29" ht="77.25" customHeight="1">
      <c r="A56" s="76" t="str">
        <f t="shared" si="2"/>
        <v>屋井 皓</v>
      </c>
      <c r="B56" s="168" t="s">
        <v>216</v>
      </c>
      <c r="C56" s="169"/>
      <c r="D56" s="169"/>
      <c r="E56" s="169"/>
      <c r="F56" s="169"/>
      <c r="G56" s="169"/>
      <c r="H56" s="169"/>
      <c r="I56" s="169"/>
      <c r="J56" s="169"/>
      <c r="K56" s="169"/>
      <c r="L56" s="169"/>
      <c r="M56" s="169"/>
      <c r="N56" s="169"/>
      <c r="O56" s="169"/>
      <c r="P56" s="169"/>
      <c r="Q56" s="169"/>
      <c r="R56" s="169"/>
      <c r="S56" s="169"/>
      <c r="T56" s="169"/>
      <c r="U56" s="169"/>
      <c r="V56" s="169"/>
      <c r="W56" s="169"/>
      <c r="X56" s="169"/>
      <c r="Y56" s="169"/>
      <c r="Z56" s="169"/>
      <c r="AA56" s="169"/>
      <c r="AB56" s="170"/>
      <c r="AC56" s="8">
        <f t="shared" si="1"/>
        <v>402</v>
      </c>
    </row>
    <row r="57" spans="1:29" ht="77.25" customHeight="1">
      <c r="A57" s="76" t="str">
        <f t="shared" si="2"/>
        <v>若松 優羽花</v>
      </c>
      <c r="B57" s="168" t="s">
        <v>199</v>
      </c>
      <c r="C57" s="169"/>
      <c r="D57" s="169"/>
      <c r="E57" s="169"/>
      <c r="F57" s="169"/>
      <c r="G57" s="169"/>
      <c r="H57" s="169"/>
      <c r="I57" s="169"/>
      <c r="J57" s="169"/>
      <c r="K57" s="169"/>
      <c r="L57" s="169"/>
      <c r="M57" s="169"/>
      <c r="N57" s="169"/>
      <c r="O57" s="169"/>
      <c r="P57" s="169"/>
      <c r="Q57" s="169"/>
      <c r="R57" s="169"/>
      <c r="S57" s="169"/>
      <c r="T57" s="169"/>
      <c r="U57" s="169"/>
      <c r="V57" s="169"/>
      <c r="W57" s="169"/>
      <c r="X57" s="169"/>
      <c r="Y57" s="169"/>
      <c r="Z57" s="169"/>
      <c r="AA57" s="169"/>
      <c r="AB57" s="170"/>
      <c r="AC57" s="8">
        <f t="shared" si="1"/>
        <v>430</v>
      </c>
    </row>
    <row r="58" spans="1:29" ht="77.25" customHeight="1">
      <c r="A58" s="76" t="str">
        <f t="shared" si="2"/>
        <v>渡邊 葉子</v>
      </c>
      <c r="B58" s="168" t="s">
        <v>217</v>
      </c>
      <c r="C58" s="169"/>
      <c r="D58" s="169"/>
      <c r="E58" s="169"/>
      <c r="F58" s="169"/>
      <c r="G58" s="169"/>
      <c r="H58" s="169"/>
      <c r="I58" s="169"/>
      <c r="J58" s="169"/>
      <c r="K58" s="169"/>
      <c r="L58" s="169"/>
      <c r="M58" s="169"/>
      <c r="N58" s="169"/>
      <c r="O58" s="169"/>
      <c r="P58" s="169"/>
      <c r="Q58" s="169"/>
      <c r="R58" s="169"/>
      <c r="S58" s="169"/>
      <c r="T58" s="169"/>
      <c r="U58" s="169"/>
      <c r="V58" s="169"/>
      <c r="W58" s="169"/>
      <c r="X58" s="169"/>
      <c r="Y58" s="169"/>
      <c r="Z58" s="169"/>
      <c r="AA58" s="169"/>
      <c r="AB58" s="170"/>
      <c r="AC58" s="8">
        <f t="shared" si="1"/>
        <v>465</v>
      </c>
    </row>
    <row r="59" spans="1:29" ht="77.25" customHeight="1">
      <c r="A59" s="76" t="str">
        <f t="shared" si="2"/>
        <v>綿貫 叶乃音</v>
      </c>
      <c r="B59" s="168" t="s">
        <v>200</v>
      </c>
      <c r="C59" s="169"/>
      <c r="D59" s="169"/>
      <c r="E59" s="169"/>
      <c r="F59" s="169"/>
      <c r="G59" s="169"/>
      <c r="H59" s="169"/>
      <c r="I59" s="169"/>
      <c r="J59" s="169"/>
      <c r="K59" s="169"/>
      <c r="L59" s="169"/>
      <c r="M59" s="169"/>
      <c r="N59" s="169"/>
      <c r="O59" s="169"/>
      <c r="P59" s="169"/>
      <c r="Q59" s="169"/>
      <c r="R59" s="169"/>
      <c r="S59" s="169"/>
      <c r="T59" s="169"/>
      <c r="U59" s="169"/>
      <c r="V59" s="169"/>
      <c r="W59" s="169"/>
      <c r="X59" s="169"/>
      <c r="Y59" s="169"/>
      <c r="Z59" s="169"/>
      <c r="AA59" s="169"/>
      <c r="AB59" s="170"/>
      <c r="AC59" s="8">
        <f t="shared" si="1"/>
        <v>474</v>
      </c>
    </row>
    <row r="60" spans="1:29" ht="77.25" customHeight="1">
      <c r="A60" s="76">
        <f t="shared" si="2"/>
        <v>0</v>
      </c>
      <c r="B60" s="168"/>
      <c r="C60" s="169"/>
      <c r="D60" s="169"/>
      <c r="E60" s="169"/>
      <c r="F60" s="169"/>
      <c r="G60" s="169"/>
      <c r="H60" s="169"/>
      <c r="I60" s="169"/>
      <c r="J60" s="169"/>
      <c r="K60" s="169"/>
      <c r="L60" s="169"/>
      <c r="M60" s="169"/>
      <c r="N60" s="169"/>
      <c r="O60" s="169"/>
      <c r="P60" s="169"/>
      <c r="Q60" s="169"/>
      <c r="R60" s="169"/>
      <c r="S60" s="169"/>
      <c r="T60" s="169"/>
      <c r="U60" s="169"/>
      <c r="V60" s="169"/>
      <c r="W60" s="169"/>
      <c r="X60" s="169"/>
      <c r="Y60" s="169"/>
      <c r="Z60" s="169"/>
      <c r="AA60" s="169"/>
      <c r="AB60" s="170"/>
      <c r="AC60" s="8">
        <f t="shared" si="1"/>
        <v>0</v>
      </c>
    </row>
    <row r="61" spans="1:29" ht="77.25" customHeight="1">
      <c r="A61" s="76">
        <f t="shared" si="2"/>
        <v>0</v>
      </c>
      <c r="B61" s="168"/>
      <c r="C61" s="169"/>
      <c r="D61" s="169"/>
      <c r="E61" s="169"/>
      <c r="F61" s="169"/>
      <c r="G61" s="169"/>
      <c r="H61" s="169"/>
      <c r="I61" s="169"/>
      <c r="J61" s="169"/>
      <c r="K61" s="169"/>
      <c r="L61" s="169"/>
      <c r="M61" s="169"/>
      <c r="N61" s="169"/>
      <c r="O61" s="169"/>
      <c r="P61" s="169"/>
      <c r="Q61" s="169"/>
      <c r="R61" s="169"/>
      <c r="S61" s="169"/>
      <c r="T61" s="169"/>
      <c r="U61" s="169"/>
      <c r="V61" s="169"/>
      <c r="W61" s="169"/>
      <c r="X61" s="169"/>
      <c r="Y61" s="169"/>
      <c r="Z61" s="169"/>
      <c r="AA61" s="169"/>
      <c r="AB61" s="170"/>
      <c r="AC61" s="8">
        <f t="shared" si="1"/>
        <v>0</v>
      </c>
    </row>
    <row r="62" spans="1:29" ht="77.25" customHeight="1">
      <c r="A62" s="76">
        <f t="shared" si="2"/>
        <v>0</v>
      </c>
      <c r="B62" s="168"/>
      <c r="C62" s="169"/>
      <c r="D62" s="169"/>
      <c r="E62" s="169"/>
      <c r="F62" s="169"/>
      <c r="G62" s="169"/>
      <c r="H62" s="169"/>
      <c r="I62" s="169"/>
      <c r="J62" s="169"/>
      <c r="K62" s="169"/>
      <c r="L62" s="169"/>
      <c r="M62" s="169"/>
      <c r="N62" s="169"/>
      <c r="O62" s="169"/>
      <c r="P62" s="169"/>
      <c r="Q62" s="169"/>
      <c r="R62" s="169"/>
      <c r="S62" s="169"/>
      <c r="T62" s="169"/>
      <c r="U62" s="169"/>
      <c r="V62" s="169"/>
      <c r="W62" s="169"/>
      <c r="X62" s="169"/>
      <c r="Y62" s="169"/>
      <c r="Z62" s="169"/>
      <c r="AA62" s="169"/>
      <c r="AB62" s="170"/>
      <c r="AC62" s="8">
        <f t="shared" si="1"/>
        <v>0</v>
      </c>
    </row>
    <row r="63" spans="1:29" ht="77.25" customHeight="1">
      <c r="A63" s="76">
        <f t="shared" si="2"/>
        <v>0</v>
      </c>
      <c r="B63" s="168"/>
      <c r="C63" s="169"/>
      <c r="D63" s="169"/>
      <c r="E63" s="169"/>
      <c r="F63" s="169"/>
      <c r="G63" s="169"/>
      <c r="H63" s="169"/>
      <c r="I63" s="169"/>
      <c r="J63" s="169"/>
      <c r="K63" s="169"/>
      <c r="L63" s="169"/>
      <c r="M63" s="169"/>
      <c r="N63" s="169"/>
      <c r="O63" s="169"/>
      <c r="P63" s="169"/>
      <c r="Q63" s="169"/>
      <c r="R63" s="169"/>
      <c r="S63" s="169"/>
      <c r="T63" s="169"/>
      <c r="U63" s="169"/>
      <c r="V63" s="169"/>
      <c r="W63" s="169"/>
      <c r="X63" s="169"/>
      <c r="Y63" s="169"/>
      <c r="Z63" s="169"/>
      <c r="AA63" s="169"/>
      <c r="AB63" s="170"/>
      <c r="AC63" s="8">
        <f t="shared" si="1"/>
        <v>0</v>
      </c>
    </row>
    <row r="64" spans="1:29"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row r="194" ht="17.25" customHeight="1"/>
    <row r="195" ht="17.25" customHeight="1"/>
    <row r="196" ht="17.25" customHeight="1"/>
    <row r="197" ht="17.25" customHeight="1"/>
    <row r="198" ht="17.25" customHeight="1"/>
    <row r="199" ht="17.25" customHeight="1"/>
    <row r="200" ht="17.25" customHeight="1"/>
    <row r="201" ht="17.25" customHeight="1"/>
    <row r="202" ht="17.25" customHeight="1"/>
  </sheetData>
  <mergeCells count="53">
    <mergeCell ref="B48:AB48"/>
    <mergeCell ref="B63:AB63"/>
    <mergeCell ref="B58:AB58"/>
    <mergeCell ref="B59:AB59"/>
    <mergeCell ref="B60:AB60"/>
    <mergeCell ref="B61:AB61"/>
    <mergeCell ref="B62:AB62"/>
    <mergeCell ref="B56:AB56"/>
    <mergeCell ref="B57:AB57"/>
    <mergeCell ref="B49:AB49"/>
    <mergeCell ref="B50:AB50"/>
    <mergeCell ref="B51:AB51"/>
    <mergeCell ref="B52:AB52"/>
    <mergeCell ref="B53:AB53"/>
    <mergeCell ref="B54:AB54"/>
    <mergeCell ref="B55:AB55"/>
    <mergeCell ref="B43:AB43"/>
    <mergeCell ref="B44:AB44"/>
    <mergeCell ref="B45:AB45"/>
    <mergeCell ref="B46:AB46"/>
    <mergeCell ref="B47:AB47"/>
    <mergeCell ref="B24:AB24"/>
    <mergeCell ref="B25:AB25"/>
    <mergeCell ref="B26:AB26"/>
    <mergeCell ref="B27:AB27"/>
    <mergeCell ref="B28:AB28"/>
    <mergeCell ref="B40:AB40"/>
    <mergeCell ref="B29:AB29"/>
    <mergeCell ref="B30:AB30"/>
    <mergeCell ref="B31:AB31"/>
    <mergeCell ref="B32:AB32"/>
    <mergeCell ref="B33:AB33"/>
    <mergeCell ref="B34:AB34"/>
    <mergeCell ref="B35:AB35"/>
    <mergeCell ref="B36:AB36"/>
    <mergeCell ref="B37:AB37"/>
    <mergeCell ref="A38:AB38"/>
    <mergeCell ref="B41:AB41"/>
    <mergeCell ref="B42:AB42"/>
    <mergeCell ref="A2:A9"/>
    <mergeCell ref="A12:AB12"/>
    <mergeCell ref="B13:AB13"/>
    <mergeCell ref="B14:AB14"/>
    <mergeCell ref="B15:AB15"/>
    <mergeCell ref="B21:AB21"/>
    <mergeCell ref="B22:AB22"/>
    <mergeCell ref="B23:AB23"/>
    <mergeCell ref="B16:AB16"/>
    <mergeCell ref="B17:AB17"/>
    <mergeCell ref="B18:AB18"/>
    <mergeCell ref="B19:AB19"/>
    <mergeCell ref="B20:AB20"/>
    <mergeCell ref="B39:AB39"/>
  </mergeCells>
  <phoneticPr fontId="1"/>
  <conditionalFormatting sqref="AC39:AC50 AC52:AC63">
    <cfRule type="cellIs" dxfId="5" priority="4" operator="greaterThan">
      <formula>450</formula>
    </cfRule>
    <cfRule type="cellIs" dxfId="4" priority="5" operator="lessThan">
      <formula>400</formula>
    </cfRule>
    <cfRule type="cellIs" dxfId="3" priority="6" operator="between">
      <formula>400</formula>
      <formula>450</formula>
    </cfRule>
  </conditionalFormatting>
  <conditionalFormatting sqref="AC51">
    <cfRule type="cellIs" dxfId="2" priority="1" operator="greaterThan">
      <formula>450</formula>
    </cfRule>
    <cfRule type="cellIs" dxfId="1" priority="2" operator="lessThan">
      <formula>400</formula>
    </cfRule>
    <cfRule type="cellIs" dxfId="0" priority="3" operator="between">
      <formula>400</formula>
      <formula>450</formula>
    </cfRule>
  </conditionalFormatting>
  <dataValidations count="1">
    <dataValidation type="list" imeMode="disabled" allowBlank="1" showDropDown="1" showInputMessage="1" showErrorMessage="1" errorTitle="全角文字エラー" error="半角ABC=を入れて下さい。" sqref="D2:AB11">
      <formula1>$AC$2:$AC$5</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sheetPr>
  <dimension ref="A1:AC159"/>
  <sheetViews>
    <sheetView workbookViewId="0">
      <selection sqref="A1:XFD1048576"/>
    </sheetView>
  </sheetViews>
  <sheetFormatPr defaultRowHeight="13.5"/>
  <cols>
    <col min="1" max="1" width="13.5" style="8" customWidth="1"/>
    <col min="2" max="2" width="7.5" style="8" customWidth="1"/>
    <col min="3" max="3" width="9.375" style="8" customWidth="1"/>
    <col min="4" max="28" width="6.875" style="8" customWidth="1"/>
    <col min="29" max="16384" width="9" style="8"/>
  </cols>
  <sheetData>
    <row r="1" spans="1:29" ht="85.5" customHeight="1">
      <c r="A1" s="183" t="str">
        <f ca="1">MID(CELL("filename",A1),FIND("[",CELL("filename",A1))+1,3)</f>
        <v>５－１</v>
      </c>
      <c r="B1" s="184"/>
      <c r="C1" s="185"/>
      <c r="D1" s="77" t="str">
        <f>A10</f>
        <v>阿部 光希</v>
      </c>
      <c r="E1" s="77" t="str">
        <f>A11</f>
        <v>池田 篤也</v>
      </c>
      <c r="F1" s="77" t="str">
        <f>A12</f>
        <v>荻原 健史</v>
      </c>
      <c r="G1" s="77" t="str">
        <f>A13</f>
        <v>上條 里紗</v>
      </c>
      <c r="H1" s="77" t="str">
        <f>A14</f>
        <v>小森 美柚</v>
      </c>
      <c r="I1" s="77" t="str">
        <f>A15</f>
        <v>酒巻 紋子</v>
      </c>
      <c r="J1" s="77" t="str">
        <f>A16</f>
        <v>滝 真佳</v>
      </c>
      <c r="K1" s="77" t="str">
        <f>A17</f>
        <v>都筑 斉</v>
      </c>
      <c r="L1" s="77" t="str">
        <f>A18</f>
        <v>傳田 悠藍</v>
      </c>
      <c r="M1" s="77" t="str">
        <f>A19</f>
        <v>中原 照真</v>
      </c>
      <c r="N1" s="77" t="str">
        <f>A20</f>
        <v>永原 愛羅</v>
      </c>
      <c r="O1" s="77" t="str">
        <f>A21</f>
        <v>根橋 宏匡</v>
      </c>
      <c r="P1" s="77" t="str">
        <f>A22</f>
        <v>平野 悠</v>
      </c>
      <c r="Q1" s="77" t="str">
        <f>A23</f>
        <v>丸山 大河</v>
      </c>
      <c r="R1" s="77" t="str">
        <f>A24</f>
        <v>三浦 和成</v>
      </c>
      <c r="S1" s="77" t="str">
        <f>A25</f>
        <v>三澤 桜來</v>
      </c>
      <c r="T1" s="77" t="str">
        <f>A26</f>
        <v>明嵐 瑛大</v>
      </c>
      <c r="U1" s="77" t="str">
        <f>A27</f>
        <v>屋井 皓</v>
      </c>
      <c r="V1" s="77" t="str">
        <f>A28</f>
        <v>若松 優羽花</v>
      </c>
      <c r="W1" s="77" t="str">
        <f>A29</f>
        <v>渡邊 葉子</v>
      </c>
      <c r="X1" s="77" t="str">
        <f>A30</f>
        <v>綿貫 叶乃音</v>
      </c>
      <c r="Y1" s="77">
        <f>A31</f>
        <v>0</v>
      </c>
      <c r="Z1" s="77">
        <f>A32</f>
        <v>0</v>
      </c>
      <c r="AA1" s="77">
        <f>A33</f>
        <v>0</v>
      </c>
      <c r="AB1" s="77">
        <f>A34</f>
        <v>0</v>
      </c>
      <c r="AC1" s="37"/>
    </row>
    <row r="2" spans="1:29" ht="22.5" customHeight="1">
      <c r="A2" s="182" t="s">
        <v>34</v>
      </c>
      <c r="B2" s="182"/>
      <c r="C2" s="182"/>
      <c r="D2" s="55">
        <v>76</v>
      </c>
      <c r="E2" s="55">
        <v>76</v>
      </c>
      <c r="F2" s="55">
        <v>76</v>
      </c>
      <c r="G2" s="55">
        <v>76</v>
      </c>
      <c r="H2" s="55">
        <v>76</v>
      </c>
      <c r="I2" s="55">
        <v>76</v>
      </c>
      <c r="J2" s="55">
        <v>76</v>
      </c>
      <c r="K2" s="55">
        <v>76</v>
      </c>
      <c r="L2" s="55">
        <v>76</v>
      </c>
      <c r="M2" s="55">
        <v>76</v>
      </c>
      <c r="N2" s="55">
        <v>76</v>
      </c>
      <c r="O2" s="55">
        <v>76</v>
      </c>
      <c r="P2" s="55">
        <v>76</v>
      </c>
      <c r="Q2" s="55">
        <v>76</v>
      </c>
      <c r="R2" s="55">
        <v>76</v>
      </c>
      <c r="S2" s="55">
        <v>76</v>
      </c>
      <c r="T2" s="55">
        <v>76</v>
      </c>
      <c r="U2" s="55">
        <v>76</v>
      </c>
      <c r="V2" s="55">
        <v>76</v>
      </c>
      <c r="W2" s="55">
        <v>76</v>
      </c>
      <c r="X2" s="55">
        <v>76</v>
      </c>
      <c r="Y2" s="55"/>
      <c r="Z2" s="55"/>
      <c r="AA2" s="55"/>
      <c r="AB2" s="55"/>
    </row>
    <row r="3" spans="1:29" ht="22.5" customHeight="1">
      <c r="A3" s="182" t="s">
        <v>35</v>
      </c>
      <c r="B3" s="182"/>
      <c r="C3" s="182"/>
      <c r="D3" s="55">
        <v>0</v>
      </c>
      <c r="E3" s="55">
        <v>0</v>
      </c>
      <c r="F3" s="55">
        <v>0</v>
      </c>
      <c r="G3" s="55">
        <v>0</v>
      </c>
      <c r="H3" s="55">
        <v>0</v>
      </c>
      <c r="I3" s="55">
        <v>0</v>
      </c>
      <c r="J3" s="55">
        <v>5</v>
      </c>
      <c r="K3" s="55">
        <v>4</v>
      </c>
      <c r="L3" s="55">
        <v>0</v>
      </c>
      <c r="M3" s="55">
        <v>0</v>
      </c>
      <c r="N3" s="55">
        <v>0</v>
      </c>
      <c r="O3" s="55">
        <v>0</v>
      </c>
      <c r="P3" s="55">
        <v>0</v>
      </c>
      <c r="Q3" s="55">
        <v>0</v>
      </c>
      <c r="R3" s="55">
        <v>0</v>
      </c>
      <c r="S3" s="55">
        <v>0</v>
      </c>
      <c r="T3" s="55">
        <v>0</v>
      </c>
      <c r="U3" s="55">
        <v>0</v>
      </c>
      <c r="V3" s="55">
        <v>0</v>
      </c>
      <c r="W3" s="55">
        <v>0</v>
      </c>
      <c r="X3" s="55">
        <v>0</v>
      </c>
      <c r="Y3" s="55"/>
      <c r="Z3" s="55"/>
      <c r="AA3" s="55"/>
      <c r="AB3" s="55"/>
    </row>
    <row r="4" spans="1:29" ht="22.5" customHeight="1">
      <c r="A4" s="182" t="s">
        <v>36</v>
      </c>
      <c r="B4" s="182"/>
      <c r="C4" s="182"/>
      <c r="D4" s="56">
        <f t="shared" ref="D4:AB4" si="0">D2-D3</f>
        <v>76</v>
      </c>
      <c r="E4" s="56">
        <f t="shared" si="0"/>
        <v>76</v>
      </c>
      <c r="F4" s="56">
        <f t="shared" si="0"/>
        <v>76</v>
      </c>
      <c r="G4" s="56">
        <f t="shared" si="0"/>
        <v>76</v>
      </c>
      <c r="H4" s="56">
        <f t="shared" si="0"/>
        <v>76</v>
      </c>
      <c r="I4" s="56">
        <f t="shared" si="0"/>
        <v>76</v>
      </c>
      <c r="J4" s="56">
        <f t="shared" si="0"/>
        <v>71</v>
      </c>
      <c r="K4" s="56">
        <f t="shared" si="0"/>
        <v>72</v>
      </c>
      <c r="L4" s="56">
        <f t="shared" si="0"/>
        <v>76</v>
      </c>
      <c r="M4" s="56">
        <f t="shared" si="0"/>
        <v>76</v>
      </c>
      <c r="N4" s="56">
        <f t="shared" si="0"/>
        <v>76</v>
      </c>
      <c r="O4" s="56">
        <f t="shared" si="0"/>
        <v>76</v>
      </c>
      <c r="P4" s="56">
        <f t="shared" si="0"/>
        <v>76</v>
      </c>
      <c r="Q4" s="56">
        <f t="shared" si="0"/>
        <v>76</v>
      </c>
      <c r="R4" s="56">
        <f t="shared" si="0"/>
        <v>76</v>
      </c>
      <c r="S4" s="56">
        <f t="shared" si="0"/>
        <v>76</v>
      </c>
      <c r="T4" s="56">
        <f t="shared" si="0"/>
        <v>76</v>
      </c>
      <c r="U4" s="56">
        <f t="shared" si="0"/>
        <v>76</v>
      </c>
      <c r="V4" s="56">
        <f t="shared" si="0"/>
        <v>76</v>
      </c>
      <c r="W4" s="56">
        <f t="shared" si="0"/>
        <v>76</v>
      </c>
      <c r="X4" s="56">
        <f t="shared" si="0"/>
        <v>76</v>
      </c>
      <c r="Y4" s="56">
        <f t="shared" si="0"/>
        <v>0</v>
      </c>
      <c r="Z4" s="56">
        <f t="shared" si="0"/>
        <v>0</v>
      </c>
      <c r="AA4" s="56">
        <f t="shared" si="0"/>
        <v>0</v>
      </c>
      <c r="AB4" s="56">
        <f t="shared" si="0"/>
        <v>0</v>
      </c>
    </row>
    <row r="5" spans="1:29" ht="22.5" customHeight="1">
      <c r="A5" s="186" t="s">
        <v>280</v>
      </c>
      <c r="B5" s="187"/>
      <c r="C5" s="188"/>
      <c r="D5" s="56">
        <f t="shared" ref="D5:AB5" si="1">D4-D6</f>
        <v>74</v>
      </c>
      <c r="E5" s="56">
        <f t="shared" si="1"/>
        <v>74</v>
      </c>
      <c r="F5" s="56">
        <f t="shared" si="1"/>
        <v>74</v>
      </c>
      <c r="G5" s="56">
        <f t="shared" si="1"/>
        <v>76</v>
      </c>
      <c r="H5" s="56">
        <f t="shared" si="1"/>
        <v>76</v>
      </c>
      <c r="I5" s="56">
        <f t="shared" si="1"/>
        <v>76</v>
      </c>
      <c r="J5" s="56">
        <f t="shared" si="1"/>
        <v>71</v>
      </c>
      <c r="K5" s="56">
        <f t="shared" si="1"/>
        <v>72</v>
      </c>
      <c r="L5" s="56">
        <f t="shared" si="1"/>
        <v>73</v>
      </c>
      <c r="M5" s="56">
        <f t="shared" si="1"/>
        <v>76</v>
      </c>
      <c r="N5" s="56">
        <f t="shared" si="1"/>
        <v>76</v>
      </c>
      <c r="O5" s="56">
        <f t="shared" si="1"/>
        <v>75</v>
      </c>
      <c r="P5" s="56">
        <f t="shared" si="1"/>
        <v>75</v>
      </c>
      <c r="Q5" s="56">
        <f t="shared" si="1"/>
        <v>74</v>
      </c>
      <c r="R5" s="56">
        <f t="shared" si="1"/>
        <v>70</v>
      </c>
      <c r="S5" s="56">
        <f t="shared" si="1"/>
        <v>76</v>
      </c>
      <c r="T5" s="56">
        <f t="shared" si="1"/>
        <v>76</v>
      </c>
      <c r="U5" s="56">
        <f t="shared" si="1"/>
        <v>70</v>
      </c>
      <c r="V5" s="56">
        <f t="shared" si="1"/>
        <v>76</v>
      </c>
      <c r="W5" s="56">
        <f t="shared" si="1"/>
        <v>75</v>
      </c>
      <c r="X5" s="56">
        <f t="shared" si="1"/>
        <v>76</v>
      </c>
      <c r="Y5" s="56">
        <f t="shared" si="1"/>
        <v>0</v>
      </c>
      <c r="Z5" s="56">
        <f t="shared" si="1"/>
        <v>0</v>
      </c>
      <c r="AA5" s="56">
        <f t="shared" si="1"/>
        <v>0</v>
      </c>
      <c r="AB5" s="56">
        <f t="shared" si="1"/>
        <v>0</v>
      </c>
    </row>
    <row r="6" spans="1:29" ht="22.5" customHeight="1">
      <c r="A6" s="179" t="s">
        <v>281</v>
      </c>
      <c r="B6" s="180"/>
      <c r="C6" s="181"/>
      <c r="D6" s="55">
        <v>2</v>
      </c>
      <c r="E6" s="55">
        <v>2</v>
      </c>
      <c r="F6" s="55">
        <v>2</v>
      </c>
      <c r="G6" s="55">
        <v>0</v>
      </c>
      <c r="H6" s="55">
        <v>0</v>
      </c>
      <c r="I6" s="55">
        <v>0</v>
      </c>
      <c r="J6" s="55">
        <v>0</v>
      </c>
      <c r="K6" s="55">
        <v>0</v>
      </c>
      <c r="L6" s="55">
        <v>3</v>
      </c>
      <c r="M6" s="55">
        <v>0</v>
      </c>
      <c r="N6" s="55">
        <v>0</v>
      </c>
      <c r="O6" s="55">
        <v>1</v>
      </c>
      <c r="P6" s="55">
        <v>1</v>
      </c>
      <c r="Q6" s="55">
        <v>2</v>
      </c>
      <c r="R6" s="55">
        <v>6</v>
      </c>
      <c r="S6" s="55">
        <v>0</v>
      </c>
      <c r="T6" s="55">
        <v>0</v>
      </c>
      <c r="U6" s="55">
        <v>6</v>
      </c>
      <c r="V6" s="55">
        <v>0</v>
      </c>
      <c r="W6" s="55">
        <v>1</v>
      </c>
      <c r="X6" s="55">
        <v>0</v>
      </c>
      <c r="Y6" s="55"/>
      <c r="Z6" s="55"/>
      <c r="AA6" s="55"/>
      <c r="AB6" s="55"/>
    </row>
    <row r="7" spans="1:29" ht="22.5" customHeight="1">
      <c r="A7" s="182" t="s">
        <v>37</v>
      </c>
      <c r="B7" s="182"/>
      <c r="C7" s="182"/>
      <c r="D7" s="55">
        <v>0</v>
      </c>
      <c r="E7" s="55">
        <v>0</v>
      </c>
      <c r="F7" s="55">
        <v>0</v>
      </c>
      <c r="G7" s="55">
        <v>0</v>
      </c>
      <c r="H7" s="55">
        <v>0</v>
      </c>
      <c r="I7" s="55">
        <v>0</v>
      </c>
      <c r="J7" s="55">
        <v>0</v>
      </c>
      <c r="K7" s="55">
        <v>0</v>
      </c>
      <c r="L7" s="55">
        <v>0</v>
      </c>
      <c r="M7" s="55">
        <v>0</v>
      </c>
      <c r="N7" s="55">
        <v>1</v>
      </c>
      <c r="O7" s="55">
        <v>0</v>
      </c>
      <c r="P7" s="55">
        <v>0</v>
      </c>
      <c r="Q7" s="55">
        <v>0</v>
      </c>
      <c r="R7" s="55">
        <v>10</v>
      </c>
      <c r="S7" s="55">
        <v>0</v>
      </c>
      <c r="T7" s="55">
        <v>0</v>
      </c>
      <c r="U7" s="55">
        <v>0</v>
      </c>
      <c r="V7" s="55">
        <v>0</v>
      </c>
      <c r="W7" s="55">
        <v>3</v>
      </c>
      <c r="X7" s="55">
        <v>0</v>
      </c>
      <c r="Y7" s="55"/>
      <c r="Z7" s="55"/>
      <c r="AA7" s="55"/>
      <c r="AB7" s="55"/>
    </row>
    <row r="8" spans="1:29" ht="22.5" customHeight="1">
      <c r="A8" s="182" t="s">
        <v>38</v>
      </c>
      <c r="B8" s="182"/>
      <c r="C8" s="182"/>
      <c r="D8" s="55">
        <v>0</v>
      </c>
      <c r="E8" s="55">
        <v>0</v>
      </c>
      <c r="F8" s="55">
        <v>0</v>
      </c>
      <c r="G8" s="55">
        <v>0</v>
      </c>
      <c r="H8" s="55">
        <v>1</v>
      </c>
      <c r="I8" s="55">
        <v>0</v>
      </c>
      <c r="J8" s="55">
        <v>0</v>
      </c>
      <c r="K8" s="55">
        <v>0</v>
      </c>
      <c r="L8" s="55">
        <v>0</v>
      </c>
      <c r="M8" s="55">
        <v>0</v>
      </c>
      <c r="N8" s="55">
        <v>0</v>
      </c>
      <c r="O8" s="55">
        <v>0</v>
      </c>
      <c r="P8" s="55">
        <v>0</v>
      </c>
      <c r="Q8" s="55">
        <v>1</v>
      </c>
      <c r="R8" s="55">
        <v>0</v>
      </c>
      <c r="S8" s="55">
        <v>0</v>
      </c>
      <c r="T8" s="55">
        <v>0</v>
      </c>
      <c r="U8" s="55">
        <v>0</v>
      </c>
      <c r="V8" s="55">
        <v>0</v>
      </c>
      <c r="W8" s="55">
        <v>0</v>
      </c>
      <c r="X8" s="55">
        <v>0</v>
      </c>
      <c r="Y8" s="55"/>
      <c r="Z8" s="55"/>
      <c r="AA8" s="55"/>
      <c r="AB8" s="55"/>
    </row>
    <row r="9" spans="1:29" ht="22.5" customHeight="1">
      <c r="A9" s="173" t="s">
        <v>39</v>
      </c>
      <c r="B9" s="174"/>
      <c r="C9" s="174"/>
      <c r="D9" s="174"/>
      <c r="E9" s="174"/>
      <c r="F9" s="174"/>
      <c r="G9" s="174"/>
      <c r="H9" s="174"/>
      <c r="I9" s="174"/>
      <c r="J9" s="174"/>
      <c r="K9" s="174"/>
      <c r="L9" s="174"/>
      <c r="M9" s="174"/>
      <c r="N9" s="174"/>
      <c r="O9" s="174"/>
      <c r="P9" s="174"/>
      <c r="Q9" s="174"/>
      <c r="R9" s="174"/>
      <c r="S9" s="174"/>
      <c r="T9" s="174"/>
      <c r="U9" s="174"/>
      <c r="V9" s="174"/>
      <c r="W9" s="174"/>
      <c r="X9" s="174"/>
      <c r="Y9" s="174"/>
      <c r="Z9" s="174"/>
      <c r="AA9" s="174"/>
      <c r="AB9" s="175"/>
    </row>
    <row r="10" spans="1:29" ht="22.5" customHeight="1">
      <c r="A10" s="54" t="s">
        <v>70</v>
      </c>
      <c r="B10" s="159" t="s">
        <v>202</v>
      </c>
      <c r="C10" s="160"/>
      <c r="D10" s="160"/>
      <c r="E10" s="160"/>
      <c r="F10" s="160"/>
      <c r="G10" s="160"/>
      <c r="H10" s="160"/>
      <c r="I10" s="160"/>
      <c r="J10" s="160"/>
      <c r="K10" s="160"/>
      <c r="L10" s="160"/>
      <c r="M10" s="160"/>
      <c r="N10" s="160"/>
      <c r="O10" s="160"/>
      <c r="P10" s="160"/>
      <c r="Q10" s="160"/>
      <c r="R10" s="160"/>
      <c r="S10" s="160"/>
      <c r="T10" s="160"/>
      <c r="U10" s="160"/>
      <c r="V10" s="160"/>
      <c r="W10" s="160"/>
      <c r="X10" s="160"/>
      <c r="Y10" s="160"/>
      <c r="Z10" s="160"/>
      <c r="AA10" s="160"/>
      <c r="AB10" s="161"/>
    </row>
    <row r="11" spans="1:29" ht="22.5" customHeight="1">
      <c r="A11" s="54" t="s">
        <v>71</v>
      </c>
      <c r="B11" s="159" t="s">
        <v>202</v>
      </c>
      <c r="C11" s="160"/>
      <c r="D11" s="160"/>
      <c r="E11" s="160"/>
      <c r="F11" s="160"/>
      <c r="G11" s="160"/>
      <c r="H11" s="160"/>
      <c r="I11" s="160"/>
      <c r="J11" s="160"/>
      <c r="K11" s="160"/>
      <c r="L11" s="160"/>
      <c r="M11" s="160"/>
      <c r="N11" s="160"/>
      <c r="O11" s="160"/>
      <c r="P11" s="160"/>
      <c r="Q11" s="160"/>
      <c r="R11" s="160"/>
      <c r="S11" s="160"/>
      <c r="T11" s="160"/>
      <c r="U11" s="160"/>
      <c r="V11" s="160"/>
      <c r="W11" s="160"/>
      <c r="X11" s="160"/>
      <c r="Y11" s="160"/>
      <c r="Z11" s="160"/>
      <c r="AA11" s="160"/>
      <c r="AB11" s="161"/>
    </row>
    <row r="12" spans="1:29" ht="22.5" customHeight="1">
      <c r="A12" s="54" t="s">
        <v>72</v>
      </c>
      <c r="B12" s="159" t="s">
        <v>202</v>
      </c>
      <c r="C12" s="160"/>
      <c r="D12" s="160"/>
      <c r="E12" s="160"/>
      <c r="F12" s="160"/>
      <c r="G12" s="160"/>
      <c r="H12" s="160"/>
      <c r="I12" s="160"/>
      <c r="J12" s="160"/>
      <c r="K12" s="160"/>
      <c r="L12" s="160"/>
      <c r="M12" s="160"/>
      <c r="N12" s="160"/>
      <c r="O12" s="160"/>
      <c r="P12" s="160"/>
      <c r="Q12" s="160"/>
      <c r="R12" s="160"/>
      <c r="S12" s="160"/>
      <c r="T12" s="160"/>
      <c r="U12" s="160"/>
      <c r="V12" s="160"/>
      <c r="W12" s="160"/>
      <c r="X12" s="160"/>
      <c r="Y12" s="160"/>
      <c r="Z12" s="160"/>
      <c r="AA12" s="160"/>
      <c r="AB12" s="161"/>
    </row>
    <row r="13" spans="1:29" ht="22.5" customHeight="1">
      <c r="A13" s="54" t="s">
        <v>73</v>
      </c>
      <c r="B13" s="159"/>
      <c r="C13" s="160"/>
      <c r="D13" s="160"/>
      <c r="E13" s="160"/>
      <c r="F13" s="160"/>
      <c r="G13" s="160"/>
      <c r="H13" s="160"/>
      <c r="I13" s="160"/>
      <c r="J13" s="160"/>
      <c r="K13" s="160"/>
      <c r="L13" s="160"/>
      <c r="M13" s="160"/>
      <c r="N13" s="160"/>
      <c r="O13" s="160"/>
      <c r="P13" s="160"/>
      <c r="Q13" s="160"/>
      <c r="R13" s="160"/>
      <c r="S13" s="160"/>
      <c r="T13" s="160"/>
      <c r="U13" s="160"/>
      <c r="V13" s="160"/>
      <c r="W13" s="160"/>
      <c r="X13" s="160"/>
      <c r="Y13" s="160"/>
      <c r="Z13" s="160"/>
      <c r="AA13" s="160"/>
      <c r="AB13" s="161"/>
    </row>
    <row r="14" spans="1:29" ht="22.5" customHeight="1">
      <c r="A14" s="54" t="s">
        <v>74</v>
      </c>
      <c r="B14" s="159" t="s">
        <v>218</v>
      </c>
      <c r="C14" s="160"/>
      <c r="D14" s="160"/>
      <c r="E14" s="160"/>
      <c r="F14" s="160"/>
      <c r="G14" s="160"/>
      <c r="H14" s="160"/>
      <c r="I14" s="160"/>
      <c r="J14" s="160"/>
      <c r="K14" s="160"/>
      <c r="L14" s="160"/>
      <c r="M14" s="160"/>
      <c r="N14" s="160"/>
      <c r="O14" s="160"/>
      <c r="P14" s="160"/>
      <c r="Q14" s="160"/>
      <c r="R14" s="160"/>
      <c r="S14" s="160"/>
      <c r="T14" s="160"/>
      <c r="U14" s="160"/>
      <c r="V14" s="160"/>
      <c r="W14" s="160"/>
      <c r="X14" s="160"/>
      <c r="Y14" s="160"/>
      <c r="Z14" s="160"/>
      <c r="AA14" s="160"/>
      <c r="AB14" s="161"/>
    </row>
    <row r="15" spans="1:29" ht="22.5" customHeight="1">
      <c r="A15" s="54" t="s">
        <v>75</v>
      </c>
      <c r="B15" s="159"/>
      <c r="C15" s="160"/>
      <c r="D15" s="160"/>
      <c r="E15" s="160"/>
      <c r="F15" s="160"/>
      <c r="G15" s="160"/>
      <c r="H15" s="160"/>
      <c r="I15" s="160"/>
      <c r="J15" s="160"/>
      <c r="K15" s="160"/>
      <c r="L15" s="160"/>
      <c r="M15" s="160"/>
      <c r="N15" s="160"/>
      <c r="O15" s="160"/>
      <c r="P15" s="160"/>
      <c r="Q15" s="160"/>
      <c r="R15" s="160"/>
      <c r="S15" s="160"/>
      <c r="T15" s="160"/>
      <c r="U15" s="160"/>
      <c r="V15" s="160"/>
      <c r="W15" s="160"/>
      <c r="X15" s="160"/>
      <c r="Y15" s="160"/>
      <c r="Z15" s="160"/>
      <c r="AA15" s="160"/>
      <c r="AB15" s="161"/>
    </row>
    <row r="16" spans="1:29" ht="22.5" customHeight="1">
      <c r="A16" s="54" t="s">
        <v>76</v>
      </c>
      <c r="B16" s="159" t="s">
        <v>239</v>
      </c>
      <c r="C16" s="160"/>
      <c r="D16" s="160"/>
      <c r="E16" s="160"/>
      <c r="F16" s="160"/>
      <c r="G16" s="160"/>
      <c r="H16" s="160"/>
      <c r="I16" s="160"/>
      <c r="J16" s="160"/>
      <c r="K16" s="160"/>
      <c r="L16" s="160"/>
      <c r="M16" s="160"/>
      <c r="N16" s="160"/>
      <c r="O16" s="160"/>
      <c r="P16" s="160"/>
      <c r="Q16" s="160"/>
      <c r="R16" s="160"/>
      <c r="S16" s="160"/>
      <c r="T16" s="160"/>
      <c r="U16" s="160"/>
      <c r="V16" s="160"/>
      <c r="W16" s="160"/>
      <c r="X16" s="160"/>
      <c r="Y16" s="160"/>
      <c r="Z16" s="160"/>
      <c r="AA16" s="160"/>
      <c r="AB16" s="161"/>
    </row>
    <row r="17" spans="1:28" ht="22.5" customHeight="1">
      <c r="A17" s="54" t="s">
        <v>77</v>
      </c>
      <c r="B17" s="159" t="s">
        <v>282</v>
      </c>
      <c r="C17" s="160"/>
      <c r="D17" s="160"/>
      <c r="E17" s="160"/>
      <c r="F17" s="160"/>
      <c r="G17" s="160"/>
      <c r="H17" s="160"/>
      <c r="I17" s="160"/>
      <c r="J17" s="160"/>
      <c r="K17" s="160"/>
      <c r="L17" s="160"/>
      <c r="M17" s="160"/>
      <c r="N17" s="160"/>
      <c r="O17" s="160"/>
      <c r="P17" s="160"/>
      <c r="Q17" s="160"/>
      <c r="R17" s="160"/>
      <c r="S17" s="160"/>
      <c r="T17" s="160"/>
      <c r="U17" s="160"/>
      <c r="V17" s="160"/>
      <c r="W17" s="160"/>
      <c r="X17" s="160"/>
      <c r="Y17" s="160"/>
      <c r="Z17" s="160"/>
      <c r="AA17" s="160"/>
      <c r="AB17" s="161"/>
    </row>
    <row r="18" spans="1:28" ht="22.5" customHeight="1">
      <c r="A18" s="54" t="s">
        <v>78</v>
      </c>
      <c r="B18" s="159" t="s">
        <v>219</v>
      </c>
      <c r="C18" s="160"/>
      <c r="D18" s="160"/>
      <c r="E18" s="160"/>
      <c r="F18" s="160"/>
      <c r="G18" s="160"/>
      <c r="H18" s="160"/>
      <c r="I18" s="160"/>
      <c r="J18" s="160"/>
      <c r="K18" s="160"/>
      <c r="L18" s="160"/>
      <c r="M18" s="160"/>
      <c r="N18" s="160"/>
      <c r="O18" s="160"/>
      <c r="P18" s="160"/>
      <c r="Q18" s="160"/>
      <c r="R18" s="160"/>
      <c r="S18" s="160"/>
      <c r="T18" s="160"/>
      <c r="U18" s="160"/>
      <c r="V18" s="160"/>
      <c r="W18" s="160"/>
      <c r="X18" s="160"/>
      <c r="Y18" s="160"/>
      <c r="Z18" s="160"/>
      <c r="AA18" s="160"/>
      <c r="AB18" s="161"/>
    </row>
    <row r="19" spans="1:28" ht="22.5" customHeight="1">
      <c r="A19" s="54" t="s">
        <v>79</v>
      </c>
      <c r="B19" s="159"/>
      <c r="C19" s="160"/>
      <c r="D19" s="160"/>
      <c r="E19" s="160"/>
      <c r="F19" s="160"/>
      <c r="G19" s="160"/>
      <c r="H19" s="160"/>
      <c r="I19" s="160"/>
      <c r="J19" s="160"/>
      <c r="K19" s="160"/>
      <c r="L19" s="160"/>
      <c r="M19" s="160"/>
      <c r="N19" s="160"/>
      <c r="O19" s="160"/>
      <c r="P19" s="160"/>
      <c r="Q19" s="160"/>
      <c r="R19" s="160"/>
      <c r="S19" s="160"/>
      <c r="T19" s="160"/>
      <c r="U19" s="160"/>
      <c r="V19" s="160"/>
      <c r="W19" s="160"/>
      <c r="X19" s="160"/>
      <c r="Y19" s="160"/>
      <c r="Z19" s="160"/>
      <c r="AA19" s="160"/>
      <c r="AB19" s="161"/>
    </row>
    <row r="20" spans="1:28" ht="22.5" customHeight="1">
      <c r="A20" s="54" t="s">
        <v>80</v>
      </c>
      <c r="B20" s="159" t="s">
        <v>203</v>
      </c>
      <c r="C20" s="160"/>
      <c r="D20" s="160"/>
      <c r="E20" s="160"/>
      <c r="F20" s="160"/>
      <c r="G20" s="160"/>
      <c r="H20" s="160"/>
      <c r="I20" s="160"/>
      <c r="J20" s="160"/>
      <c r="K20" s="160"/>
      <c r="L20" s="160"/>
      <c r="M20" s="160"/>
      <c r="N20" s="160"/>
      <c r="O20" s="160"/>
      <c r="P20" s="160"/>
      <c r="Q20" s="160"/>
      <c r="R20" s="160"/>
      <c r="S20" s="160"/>
      <c r="T20" s="160"/>
      <c r="U20" s="160"/>
      <c r="V20" s="160"/>
      <c r="W20" s="160"/>
      <c r="X20" s="160"/>
      <c r="Y20" s="160"/>
      <c r="Z20" s="160"/>
      <c r="AA20" s="160"/>
      <c r="AB20" s="161"/>
    </row>
    <row r="21" spans="1:28" ht="22.5" customHeight="1">
      <c r="A21" s="54" t="s">
        <v>81</v>
      </c>
      <c r="B21" s="159" t="s">
        <v>204</v>
      </c>
      <c r="C21" s="160"/>
      <c r="D21" s="160"/>
      <c r="E21" s="160"/>
      <c r="F21" s="160"/>
      <c r="G21" s="160"/>
      <c r="H21" s="160"/>
      <c r="I21" s="160"/>
      <c r="J21" s="160"/>
      <c r="K21" s="160"/>
      <c r="L21" s="160"/>
      <c r="M21" s="160"/>
      <c r="N21" s="160"/>
      <c r="O21" s="160"/>
      <c r="P21" s="160"/>
      <c r="Q21" s="160"/>
      <c r="R21" s="160"/>
      <c r="S21" s="160"/>
      <c r="T21" s="160"/>
      <c r="U21" s="160"/>
      <c r="V21" s="160"/>
      <c r="W21" s="160"/>
      <c r="X21" s="160"/>
      <c r="Y21" s="160"/>
      <c r="Z21" s="160"/>
      <c r="AA21" s="160"/>
      <c r="AB21" s="161"/>
    </row>
    <row r="22" spans="1:28" ht="22.5" customHeight="1">
      <c r="A22" s="54" t="s">
        <v>82</v>
      </c>
      <c r="B22" s="159" t="s">
        <v>204</v>
      </c>
      <c r="C22" s="160"/>
      <c r="D22" s="160"/>
      <c r="E22" s="160"/>
      <c r="F22" s="160"/>
      <c r="G22" s="160"/>
      <c r="H22" s="160"/>
      <c r="I22" s="160"/>
      <c r="J22" s="160"/>
      <c r="K22" s="160"/>
      <c r="L22" s="160"/>
      <c r="M22" s="160"/>
      <c r="N22" s="160"/>
      <c r="O22" s="160"/>
      <c r="P22" s="160"/>
      <c r="Q22" s="160"/>
      <c r="R22" s="160"/>
      <c r="S22" s="160"/>
      <c r="T22" s="160"/>
      <c r="U22" s="160"/>
      <c r="V22" s="160"/>
      <c r="W22" s="160"/>
      <c r="X22" s="160"/>
      <c r="Y22" s="160"/>
      <c r="Z22" s="160"/>
      <c r="AA22" s="160"/>
      <c r="AB22" s="161"/>
    </row>
    <row r="23" spans="1:28" ht="22.5" customHeight="1">
      <c r="A23" s="54" t="s">
        <v>83</v>
      </c>
      <c r="B23" s="159" t="s">
        <v>240</v>
      </c>
      <c r="C23" s="160"/>
      <c r="D23" s="160"/>
      <c r="E23" s="160"/>
      <c r="F23" s="160"/>
      <c r="G23" s="160"/>
      <c r="H23" s="160"/>
      <c r="I23" s="160"/>
      <c r="J23" s="160"/>
      <c r="K23" s="160"/>
      <c r="L23" s="160"/>
      <c r="M23" s="160"/>
      <c r="N23" s="160"/>
      <c r="O23" s="160"/>
      <c r="P23" s="160"/>
      <c r="Q23" s="160"/>
      <c r="R23" s="160"/>
      <c r="S23" s="160"/>
      <c r="T23" s="160"/>
      <c r="U23" s="160"/>
      <c r="V23" s="160"/>
      <c r="W23" s="160"/>
      <c r="X23" s="160"/>
      <c r="Y23" s="160"/>
      <c r="Z23" s="160"/>
      <c r="AA23" s="160"/>
      <c r="AB23" s="161"/>
    </row>
    <row r="24" spans="1:28" ht="22.5" customHeight="1">
      <c r="A24" s="54" t="s">
        <v>84</v>
      </c>
      <c r="B24" s="159" t="s">
        <v>241</v>
      </c>
      <c r="C24" s="160"/>
      <c r="D24" s="160"/>
      <c r="E24" s="160"/>
      <c r="F24" s="160"/>
      <c r="G24" s="160"/>
      <c r="H24" s="160"/>
      <c r="I24" s="160"/>
      <c r="J24" s="160"/>
      <c r="K24" s="160"/>
      <c r="L24" s="160"/>
      <c r="M24" s="160"/>
      <c r="N24" s="160"/>
      <c r="O24" s="160"/>
      <c r="P24" s="160"/>
      <c r="Q24" s="160"/>
      <c r="R24" s="160"/>
      <c r="S24" s="160"/>
      <c r="T24" s="160"/>
      <c r="U24" s="160"/>
      <c r="V24" s="160"/>
      <c r="W24" s="160"/>
      <c r="X24" s="160"/>
      <c r="Y24" s="160"/>
      <c r="Z24" s="160"/>
      <c r="AA24" s="160"/>
      <c r="AB24" s="161"/>
    </row>
    <row r="25" spans="1:28" ht="22.5" customHeight="1">
      <c r="A25" s="54" t="s">
        <v>85</v>
      </c>
      <c r="B25" s="159"/>
      <c r="C25" s="160"/>
      <c r="D25" s="160"/>
      <c r="E25" s="160"/>
      <c r="F25" s="160"/>
      <c r="G25" s="160"/>
      <c r="H25" s="160"/>
      <c r="I25" s="160"/>
      <c r="J25" s="160"/>
      <c r="K25" s="160"/>
      <c r="L25" s="160"/>
      <c r="M25" s="160"/>
      <c r="N25" s="160"/>
      <c r="O25" s="160"/>
      <c r="P25" s="160"/>
      <c r="Q25" s="160"/>
      <c r="R25" s="160"/>
      <c r="S25" s="160"/>
      <c r="T25" s="160"/>
      <c r="U25" s="160"/>
      <c r="V25" s="160"/>
      <c r="W25" s="160"/>
      <c r="X25" s="160"/>
      <c r="Y25" s="160"/>
      <c r="Z25" s="160"/>
      <c r="AA25" s="160"/>
      <c r="AB25" s="161"/>
    </row>
    <row r="26" spans="1:28" ht="22.5" customHeight="1">
      <c r="A26" s="54" t="s">
        <v>86</v>
      </c>
      <c r="B26" s="159"/>
      <c r="C26" s="160"/>
      <c r="D26" s="160"/>
      <c r="E26" s="160"/>
      <c r="F26" s="160"/>
      <c r="G26" s="160"/>
      <c r="H26" s="160"/>
      <c r="I26" s="160"/>
      <c r="J26" s="160"/>
      <c r="K26" s="160"/>
      <c r="L26" s="160"/>
      <c r="M26" s="160"/>
      <c r="N26" s="160"/>
      <c r="O26" s="160"/>
      <c r="P26" s="160"/>
      <c r="Q26" s="160"/>
      <c r="R26" s="160"/>
      <c r="S26" s="160"/>
      <c r="T26" s="160"/>
      <c r="U26" s="160"/>
      <c r="V26" s="160"/>
      <c r="W26" s="160"/>
      <c r="X26" s="160"/>
      <c r="Y26" s="160"/>
      <c r="Z26" s="160"/>
      <c r="AA26" s="160"/>
      <c r="AB26" s="161"/>
    </row>
    <row r="27" spans="1:28" ht="22.5" customHeight="1">
      <c r="A27" s="54" t="s">
        <v>87</v>
      </c>
      <c r="B27" s="159" t="s">
        <v>242</v>
      </c>
      <c r="C27" s="160"/>
      <c r="D27" s="160"/>
      <c r="E27" s="160"/>
      <c r="F27" s="160"/>
      <c r="G27" s="160"/>
      <c r="H27" s="160"/>
      <c r="I27" s="160"/>
      <c r="J27" s="160"/>
      <c r="K27" s="160"/>
      <c r="L27" s="160"/>
      <c r="M27" s="160"/>
      <c r="N27" s="160"/>
      <c r="O27" s="160"/>
      <c r="P27" s="160"/>
      <c r="Q27" s="160"/>
      <c r="R27" s="160"/>
      <c r="S27" s="160"/>
      <c r="T27" s="160"/>
      <c r="U27" s="160"/>
      <c r="V27" s="160"/>
      <c r="W27" s="160"/>
      <c r="X27" s="160"/>
      <c r="Y27" s="160"/>
      <c r="Z27" s="160"/>
      <c r="AA27" s="160"/>
      <c r="AB27" s="161"/>
    </row>
    <row r="28" spans="1:28" ht="22.5" customHeight="1">
      <c r="A28" s="54" t="s">
        <v>88</v>
      </c>
      <c r="B28" s="159"/>
      <c r="C28" s="160"/>
      <c r="D28" s="160"/>
      <c r="E28" s="160"/>
      <c r="F28" s="160"/>
      <c r="G28" s="160"/>
      <c r="H28" s="160"/>
      <c r="I28" s="160"/>
      <c r="J28" s="160"/>
      <c r="K28" s="160"/>
      <c r="L28" s="160"/>
      <c r="M28" s="160"/>
      <c r="N28" s="160"/>
      <c r="O28" s="160"/>
      <c r="P28" s="160"/>
      <c r="Q28" s="160"/>
      <c r="R28" s="160"/>
      <c r="S28" s="160"/>
      <c r="T28" s="160"/>
      <c r="U28" s="160"/>
      <c r="V28" s="160"/>
      <c r="W28" s="160"/>
      <c r="X28" s="160"/>
      <c r="Y28" s="160"/>
      <c r="Z28" s="160"/>
      <c r="AA28" s="160"/>
      <c r="AB28" s="161"/>
    </row>
    <row r="29" spans="1:28" ht="22.5" customHeight="1">
      <c r="A29" s="54" t="s">
        <v>89</v>
      </c>
      <c r="B29" s="159" t="s">
        <v>221</v>
      </c>
      <c r="C29" s="160"/>
      <c r="D29" s="160"/>
      <c r="E29" s="160"/>
      <c r="F29" s="160"/>
      <c r="G29" s="160"/>
      <c r="H29" s="160"/>
      <c r="I29" s="160"/>
      <c r="J29" s="160"/>
      <c r="K29" s="160"/>
      <c r="L29" s="160"/>
      <c r="M29" s="160"/>
      <c r="N29" s="160"/>
      <c r="O29" s="160"/>
      <c r="P29" s="160"/>
      <c r="Q29" s="160"/>
      <c r="R29" s="160"/>
      <c r="S29" s="160"/>
      <c r="T29" s="160"/>
      <c r="U29" s="160"/>
      <c r="V29" s="160"/>
      <c r="W29" s="160"/>
      <c r="X29" s="160"/>
      <c r="Y29" s="160"/>
      <c r="Z29" s="160"/>
      <c r="AA29" s="160"/>
      <c r="AB29" s="161"/>
    </row>
    <row r="30" spans="1:28" ht="22.5" customHeight="1">
      <c r="A30" s="54" t="s">
        <v>90</v>
      </c>
      <c r="B30" s="159"/>
      <c r="C30" s="160"/>
      <c r="D30" s="160"/>
      <c r="E30" s="160"/>
      <c r="F30" s="160"/>
      <c r="G30" s="160"/>
      <c r="H30" s="160"/>
      <c r="I30" s="160"/>
      <c r="J30" s="160"/>
      <c r="K30" s="160"/>
      <c r="L30" s="160"/>
      <c r="M30" s="160"/>
      <c r="N30" s="160"/>
      <c r="O30" s="160"/>
      <c r="P30" s="160"/>
      <c r="Q30" s="160"/>
      <c r="R30" s="160"/>
      <c r="S30" s="160"/>
      <c r="T30" s="160"/>
      <c r="U30" s="160"/>
      <c r="V30" s="160"/>
      <c r="W30" s="160"/>
      <c r="X30" s="160"/>
      <c r="Y30" s="160"/>
      <c r="Z30" s="160"/>
      <c r="AA30" s="160"/>
      <c r="AB30" s="161"/>
    </row>
    <row r="31" spans="1:28" ht="22.5" customHeight="1">
      <c r="A31" s="54"/>
      <c r="B31" s="159"/>
      <c r="C31" s="160"/>
      <c r="D31" s="160"/>
      <c r="E31" s="160"/>
      <c r="F31" s="160"/>
      <c r="G31" s="160"/>
      <c r="H31" s="160"/>
      <c r="I31" s="160"/>
      <c r="J31" s="160"/>
      <c r="K31" s="160"/>
      <c r="L31" s="160"/>
      <c r="M31" s="160"/>
      <c r="N31" s="160"/>
      <c r="O31" s="160"/>
      <c r="P31" s="160"/>
      <c r="Q31" s="160"/>
      <c r="R31" s="160"/>
      <c r="S31" s="160"/>
      <c r="T31" s="160"/>
      <c r="U31" s="160"/>
      <c r="V31" s="160"/>
      <c r="W31" s="160"/>
      <c r="X31" s="160"/>
      <c r="Y31" s="160"/>
      <c r="Z31" s="160"/>
      <c r="AA31" s="160"/>
      <c r="AB31" s="161"/>
    </row>
    <row r="32" spans="1:28" ht="22.5" customHeight="1">
      <c r="A32" s="54"/>
      <c r="B32" s="159"/>
      <c r="C32" s="160"/>
      <c r="D32" s="160"/>
      <c r="E32" s="160"/>
      <c r="F32" s="160"/>
      <c r="G32" s="160"/>
      <c r="H32" s="160"/>
      <c r="I32" s="160"/>
      <c r="J32" s="160"/>
      <c r="K32" s="160"/>
      <c r="L32" s="160"/>
      <c r="M32" s="160"/>
      <c r="N32" s="160"/>
      <c r="O32" s="160"/>
      <c r="P32" s="160"/>
      <c r="Q32" s="160"/>
      <c r="R32" s="160"/>
      <c r="S32" s="160"/>
      <c r="T32" s="160"/>
      <c r="U32" s="160"/>
      <c r="V32" s="160"/>
      <c r="W32" s="160"/>
      <c r="X32" s="160"/>
      <c r="Y32" s="160"/>
      <c r="Z32" s="160"/>
      <c r="AA32" s="160"/>
      <c r="AB32" s="161"/>
    </row>
    <row r="33" spans="1:28" ht="22.5" customHeight="1">
      <c r="A33" s="54"/>
      <c r="B33" s="159"/>
      <c r="C33" s="160"/>
      <c r="D33" s="160"/>
      <c r="E33" s="160"/>
      <c r="F33" s="160"/>
      <c r="G33" s="160"/>
      <c r="H33" s="160"/>
      <c r="I33" s="160"/>
      <c r="J33" s="160"/>
      <c r="K33" s="160"/>
      <c r="L33" s="160"/>
      <c r="M33" s="160"/>
      <c r="N33" s="160"/>
      <c r="O33" s="160"/>
      <c r="P33" s="160"/>
      <c r="Q33" s="160"/>
      <c r="R33" s="160"/>
      <c r="S33" s="160"/>
      <c r="T33" s="160"/>
      <c r="U33" s="160"/>
      <c r="V33" s="160"/>
      <c r="W33" s="160"/>
      <c r="X33" s="160"/>
      <c r="Y33" s="160"/>
      <c r="Z33" s="160"/>
      <c r="AA33" s="160"/>
      <c r="AB33" s="161"/>
    </row>
    <row r="34" spans="1:28" ht="22.5" customHeight="1">
      <c r="A34" s="54"/>
      <c r="B34" s="159"/>
      <c r="C34" s="160"/>
      <c r="D34" s="160"/>
      <c r="E34" s="160"/>
      <c r="F34" s="160"/>
      <c r="G34" s="160"/>
      <c r="H34" s="160"/>
      <c r="I34" s="160"/>
      <c r="J34" s="160"/>
      <c r="K34" s="160"/>
      <c r="L34" s="160"/>
      <c r="M34" s="160"/>
      <c r="N34" s="160"/>
      <c r="O34" s="160"/>
      <c r="P34" s="160"/>
      <c r="Q34" s="160"/>
      <c r="R34" s="160"/>
      <c r="S34" s="160"/>
      <c r="T34" s="160"/>
      <c r="U34" s="160"/>
      <c r="V34" s="160"/>
      <c r="W34" s="160"/>
      <c r="X34" s="160"/>
      <c r="Y34" s="160"/>
      <c r="Z34" s="160"/>
      <c r="AA34" s="160"/>
      <c r="AB34" s="161"/>
    </row>
    <row r="35" spans="1:28" ht="17.25" customHeight="1"/>
    <row r="36" spans="1:28" ht="17.25" customHeight="1"/>
    <row r="37" spans="1:28" ht="17.25" customHeight="1"/>
    <row r="38" spans="1:28" ht="17.25" customHeight="1"/>
    <row r="39" spans="1:28" ht="17.25" customHeight="1"/>
    <row r="40" spans="1:28" ht="17.25" customHeight="1"/>
    <row r="41" spans="1:28" ht="17.25" customHeight="1"/>
    <row r="42" spans="1:28" ht="17.25" customHeight="1"/>
    <row r="43" spans="1:28" ht="17.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sheetData>
  <mergeCells count="34">
    <mergeCell ref="B32:AB32"/>
    <mergeCell ref="B33:AB33"/>
    <mergeCell ref="B34:AB34"/>
    <mergeCell ref="B27:AB27"/>
    <mergeCell ref="B28:AB28"/>
    <mergeCell ref="B29:AB29"/>
    <mergeCell ref="B30:AB30"/>
    <mergeCell ref="B31:AB31"/>
    <mergeCell ref="B22:AB22"/>
    <mergeCell ref="B23:AB23"/>
    <mergeCell ref="B24:AB24"/>
    <mergeCell ref="B25:AB25"/>
    <mergeCell ref="B26:AB26"/>
    <mergeCell ref="A6:C6"/>
    <mergeCell ref="A7:C7"/>
    <mergeCell ref="A8:C8"/>
    <mergeCell ref="A1:C1"/>
    <mergeCell ref="A2:C2"/>
    <mergeCell ref="A3:C3"/>
    <mergeCell ref="A4:C4"/>
    <mergeCell ref="A5:C5"/>
    <mergeCell ref="A9:AB9"/>
    <mergeCell ref="B10:AB10"/>
    <mergeCell ref="B11:AB11"/>
    <mergeCell ref="B12:AB12"/>
    <mergeCell ref="B13:AB13"/>
    <mergeCell ref="B19:AB19"/>
    <mergeCell ref="B20:AB20"/>
    <mergeCell ref="B21:AB21"/>
    <mergeCell ref="B14:AB14"/>
    <mergeCell ref="B15:AB15"/>
    <mergeCell ref="B16:AB16"/>
    <mergeCell ref="B17:AB17"/>
    <mergeCell ref="B18:AB18"/>
  </mergeCell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14</vt:i4>
      </vt:variant>
      <vt:variant>
        <vt:lpstr>名前付き一覧</vt:lpstr>
      </vt:variant>
      <vt:variant>
        <vt:i4>6</vt:i4>
      </vt:variant>
    </vt:vector>
  </HeadingPairs>
  <TitlesOfParts>
    <vt:vector size="20" baseType="lpstr">
      <vt:lpstr>通知票</vt:lpstr>
      <vt:lpstr>所見集</vt:lpstr>
      <vt:lpstr>国語</vt:lpstr>
      <vt:lpstr>算数</vt:lpstr>
      <vt:lpstr>理科</vt:lpstr>
      <vt:lpstr>社会</vt:lpstr>
      <vt:lpstr>英語</vt:lpstr>
      <vt:lpstr>音楽</vt:lpstr>
      <vt:lpstr>図工</vt:lpstr>
      <vt:lpstr>体育</vt:lpstr>
      <vt:lpstr>家庭</vt:lpstr>
      <vt:lpstr>道徳</vt:lpstr>
      <vt:lpstr>所見</vt:lpstr>
      <vt:lpstr>出欠</vt:lpstr>
      <vt:lpstr>所見集!Print_Area</vt:lpstr>
      <vt:lpstr>通知票!Print_Area</vt:lpstr>
      <vt:lpstr>至</vt:lpstr>
      <vt:lpstr>自</vt:lpstr>
      <vt:lpstr>番号</vt:lpstr>
      <vt:lpstr>番号2</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saikyo-gakuen</dc:creator>
  <cp:lastModifiedBy>巣山 孝弘</cp:lastModifiedBy>
  <cp:lastPrinted>2024-07-17T10:22:02Z</cp:lastPrinted>
  <dcterms:created xsi:type="dcterms:W3CDTF">2005-07-21T09:07:06Z</dcterms:created>
  <dcterms:modified xsi:type="dcterms:W3CDTF">2024-07-17T10:22:06Z</dcterms:modified>
</cp:coreProperties>
</file>