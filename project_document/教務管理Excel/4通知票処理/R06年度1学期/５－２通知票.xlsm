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5" yWindow="-15" windowWidth="21105" windowHeight="12660" tabRatio="783"/>
  </bookViews>
  <sheets>
    <sheet name="通知票" sheetId="1" r:id="rId1"/>
    <sheet name="所見集" sheetId="46" r:id="rId2"/>
    <sheet name="国語" sheetId="36" r:id="rId3"/>
    <sheet name="算数" sheetId="37" r:id="rId4"/>
    <sheet name="理科" sheetId="38" r:id="rId5"/>
    <sheet name="社会" sheetId="47" r:id="rId6"/>
    <sheet name="英語" sheetId="39" r:id="rId7"/>
    <sheet name="音楽" sheetId="40" r:id="rId8"/>
    <sheet name="図工" sheetId="41" r:id="rId9"/>
    <sheet name="体育" sheetId="42" r:id="rId10"/>
    <sheet name="家庭" sheetId="48" r:id="rId11"/>
    <sheet name="道徳" sheetId="43" r:id="rId12"/>
    <sheet name="所見" sheetId="44" r:id="rId13"/>
    <sheet name="出欠" sheetId="45" r:id="rId14"/>
  </sheets>
  <externalReferences>
    <externalReference r:id="rId15"/>
  </externalReferences>
  <definedNames>
    <definedName name="_xlnm.Print_Area" localSheetId="1">所見集!$A$1:$C$16</definedName>
    <definedName name="_xlnm.Print_Area" localSheetId="0">通知票!$A$1:$I$90</definedName>
    <definedName name="至">通知票!$L$9</definedName>
    <definedName name="自">通知票!$K$9</definedName>
    <definedName name="番号">通知票!$B$2</definedName>
    <definedName name="番号2">所見集!$B$2</definedName>
  </definedNames>
  <calcPr calcId="152511" iterate="1" iterateCount="1" iterateDelta="0"/>
</workbook>
</file>

<file path=xl/calcChain.xml><?xml version="1.0" encoding="utf-8"?>
<calcChain xmlns="http://schemas.openxmlformats.org/spreadsheetml/2006/main">
  <c r="X5" i="45" l="1"/>
  <c r="U5" i="45"/>
  <c r="P5" i="45"/>
  <c r="M5" i="45"/>
  <c r="H5" i="45"/>
  <c r="E5" i="45"/>
  <c r="AB4" i="45"/>
  <c r="AB5" i="45" s="1"/>
  <c r="AA4" i="45"/>
  <c r="AA5" i="45" s="1"/>
  <c r="Z4" i="45"/>
  <c r="Z5" i="45" s="1"/>
  <c r="Y4" i="45"/>
  <c r="Y5" i="45" s="1"/>
  <c r="X4" i="45"/>
  <c r="W4" i="45"/>
  <c r="W5" i="45" s="1"/>
  <c r="V4" i="45"/>
  <c r="V5" i="45" s="1"/>
  <c r="U4" i="45"/>
  <c r="T4" i="45"/>
  <c r="T5" i="45" s="1"/>
  <c r="S4" i="45"/>
  <c r="S5" i="45" s="1"/>
  <c r="R4" i="45"/>
  <c r="R5" i="45" s="1"/>
  <c r="Q4" i="45"/>
  <c r="Q5" i="45" s="1"/>
  <c r="P4" i="45"/>
  <c r="O4" i="45"/>
  <c r="O5" i="45" s="1"/>
  <c r="N4" i="45"/>
  <c r="N5" i="45" s="1"/>
  <c r="M4" i="45"/>
  <c r="L4" i="45"/>
  <c r="L5" i="45" s="1"/>
  <c r="K4" i="45"/>
  <c r="K5" i="45" s="1"/>
  <c r="J4" i="45"/>
  <c r="J5" i="45" s="1"/>
  <c r="I4" i="45"/>
  <c r="I5" i="45" s="1"/>
  <c r="H4" i="45"/>
  <c r="G4" i="45"/>
  <c r="G5" i="45" s="1"/>
  <c r="F4" i="45"/>
  <c r="F5" i="45" s="1"/>
  <c r="E4" i="45"/>
  <c r="D4" i="45"/>
  <c r="D5" i="45" s="1"/>
  <c r="AB1" i="45"/>
  <c r="AA1" i="45"/>
  <c r="Z1" i="45"/>
  <c r="Y1" i="45"/>
  <c r="X1" i="45"/>
  <c r="W1" i="45"/>
  <c r="V1" i="45"/>
  <c r="U1" i="45"/>
  <c r="T1" i="45"/>
  <c r="S1" i="45"/>
  <c r="R1" i="45"/>
  <c r="Q1" i="45"/>
  <c r="P1" i="45"/>
  <c r="O1" i="45"/>
  <c r="N1" i="45"/>
  <c r="M1" i="45"/>
  <c r="L1" i="45"/>
  <c r="K1" i="45"/>
  <c r="J1" i="45"/>
  <c r="I1" i="45"/>
  <c r="H1" i="45"/>
  <c r="G1" i="45"/>
  <c r="F1" i="45"/>
  <c r="E1" i="45"/>
  <c r="D1" i="45"/>
  <c r="A1" i="45"/>
  <c r="AC63" i="44" l="1"/>
  <c r="A63" i="44"/>
  <c r="AC62" i="44"/>
  <c r="A62" i="44"/>
  <c r="AC61" i="44"/>
  <c r="A61" i="44"/>
  <c r="AC60" i="44"/>
  <c r="A60" i="44"/>
  <c r="AC59" i="44"/>
  <c r="A59" i="44"/>
  <c r="AC58" i="44"/>
  <c r="A58" i="44"/>
  <c r="AC57" i="44"/>
  <c r="A57" i="44"/>
  <c r="AC56" i="44"/>
  <c r="A56" i="44"/>
  <c r="AC55" i="44"/>
  <c r="A55" i="44"/>
  <c r="AC54" i="44"/>
  <c r="A54" i="44"/>
  <c r="AC53" i="44"/>
  <c r="A53" i="44"/>
  <c r="AC52" i="44"/>
  <c r="A52" i="44"/>
  <c r="AC51" i="44"/>
  <c r="A51" i="44"/>
  <c r="AC50" i="44"/>
  <c r="A50" i="44"/>
  <c r="AC49" i="44"/>
  <c r="A49" i="44"/>
  <c r="AC48" i="44"/>
  <c r="A48" i="44"/>
  <c r="AC47" i="44"/>
  <c r="A47" i="44"/>
  <c r="AC46" i="44"/>
  <c r="A46" i="44"/>
  <c r="AC45" i="44"/>
  <c r="A45" i="44"/>
  <c r="AC44" i="44"/>
  <c r="A44" i="44"/>
  <c r="AC43" i="44"/>
  <c r="A43" i="44"/>
  <c r="AC42" i="44"/>
  <c r="A42" i="44"/>
  <c r="AC41" i="44"/>
  <c r="A41" i="44"/>
  <c r="AC40" i="44"/>
  <c r="A40" i="44"/>
  <c r="AC39" i="44"/>
  <c r="A39" i="44"/>
  <c r="AB1" i="44"/>
  <c r="AA1" i="44"/>
  <c r="Z1" i="44"/>
  <c r="Y1" i="44"/>
  <c r="X1" i="44"/>
  <c r="W1" i="44"/>
  <c r="V1" i="44"/>
  <c r="U1" i="44"/>
  <c r="T1" i="44"/>
  <c r="S1" i="44"/>
  <c r="R1" i="44"/>
  <c r="Q1" i="44"/>
  <c r="P1" i="44"/>
  <c r="O1" i="44"/>
  <c r="N1" i="44"/>
  <c r="M1" i="44"/>
  <c r="L1" i="44"/>
  <c r="K1" i="44"/>
  <c r="J1" i="44"/>
  <c r="I1" i="44"/>
  <c r="H1" i="44"/>
  <c r="G1" i="44"/>
  <c r="F1" i="44"/>
  <c r="E1" i="44"/>
  <c r="D1" i="44"/>
  <c r="A1" i="44"/>
  <c r="C27" i="43" l="1"/>
  <c r="C26" i="43"/>
  <c r="C25" i="43"/>
  <c r="C24" i="43"/>
  <c r="C23" i="43"/>
  <c r="C22" i="43"/>
  <c r="C21" i="43"/>
  <c r="C20" i="43"/>
  <c r="C19" i="43"/>
  <c r="C18" i="43"/>
  <c r="C17" i="43"/>
  <c r="C16" i="43"/>
  <c r="C15" i="43"/>
  <c r="C14" i="43"/>
  <c r="C13" i="43"/>
  <c r="C12" i="43"/>
  <c r="C11" i="43"/>
  <c r="C10" i="43"/>
  <c r="C9" i="43"/>
  <c r="C8" i="43"/>
  <c r="C7" i="43"/>
  <c r="C6" i="43"/>
  <c r="C5" i="43"/>
  <c r="C4" i="43"/>
  <c r="C3" i="43"/>
  <c r="B1" i="43"/>
  <c r="A1" i="43"/>
  <c r="AB1" i="48" l="1"/>
  <c r="AA1" i="48"/>
  <c r="Z1" i="48"/>
  <c r="Y1" i="48"/>
  <c r="X1" i="48"/>
  <c r="W1" i="48"/>
  <c r="V1" i="48"/>
  <c r="U1" i="48"/>
  <c r="T1" i="48"/>
  <c r="S1" i="48"/>
  <c r="R1" i="48"/>
  <c r="Q1" i="48"/>
  <c r="P1" i="48"/>
  <c r="O1" i="48"/>
  <c r="N1" i="48"/>
  <c r="M1" i="48"/>
  <c r="L1" i="48"/>
  <c r="K1" i="48"/>
  <c r="J1" i="48"/>
  <c r="I1" i="48"/>
  <c r="H1" i="48"/>
  <c r="G1" i="48"/>
  <c r="F1" i="48"/>
  <c r="E1" i="48"/>
  <c r="D1" i="48"/>
  <c r="B1" i="48"/>
  <c r="A1" i="48"/>
  <c r="AB1" i="42" l="1"/>
  <c r="AA1" i="42"/>
  <c r="Z1" i="42"/>
  <c r="Y1" i="42"/>
  <c r="X1" i="42"/>
  <c r="W1" i="42"/>
  <c r="V1" i="42"/>
  <c r="U1" i="42"/>
  <c r="T1" i="42"/>
  <c r="S1" i="42"/>
  <c r="R1" i="42"/>
  <c r="Q1" i="42"/>
  <c r="P1" i="42"/>
  <c r="O1" i="42"/>
  <c r="N1" i="42"/>
  <c r="M1" i="42"/>
  <c r="L1" i="42"/>
  <c r="K1" i="42"/>
  <c r="J1" i="42"/>
  <c r="I1" i="42"/>
  <c r="H1" i="42"/>
  <c r="G1" i="42"/>
  <c r="F1" i="42"/>
  <c r="E1" i="42"/>
  <c r="D1" i="42"/>
  <c r="B1" i="42"/>
  <c r="A1" i="42"/>
  <c r="AB1" i="41" l="1"/>
  <c r="AA1" i="41"/>
  <c r="Z1" i="41"/>
  <c r="Y1" i="41"/>
  <c r="X1" i="41"/>
  <c r="W1" i="41"/>
  <c r="V1" i="41"/>
  <c r="U1" i="41"/>
  <c r="T1" i="41"/>
  <c r="S1" i="41"/>
  <c r="R1" i="41"/>
  <c r="Q1" i="41"/>
  <c r="P1" i="41"/>
  <c r="O1" i="41"/>
  <c r="N1" i="41"/>
  <c r="M1" i="41"/>
  <c r="L1" i="41"/>
  <c r="K1" i="41"/>
  <c r="J1" i="41"/>
  <c r="I1" i="41"/>
  <c r="H1" i="41"/>
  <c r="G1" i="41"/>
  <c r="F1" i="41"/>
  <c r="E1" i="41"/>
  <c r="D1" i="41"/>
  <c r="B1" i="41"/>
  <c r="A1" i="41"/>
  <c r="AB1" i="40" l="1"/>
  <c r="AA1" i="40"/>
  <c r="Z1" i="40"/>
  <c r="Y1" i="40"/>
  <c r="X1" i="40"/>
  <c r="W1" i="40"/>
  <c r="V1" i="40"/>
  <c r="U1" i="40"/>
  <c r="T1" i="40"/>
  <c r="S1" i="40"/>
  <c r="R1" i="40"/>
  <c r="Q1" i="40"/>
  <c r="P1" i="40"/>
  <c r="O1" i="40"/>
  <c r="N1" i="40"/>
  <c r="M1" i="40"/>
  <c r="L1" i="40"/>
  <c r="K1" i="40"/>
  <c r="J1" i="40"/>
  <c r="I1" i="40"/>
  <c r="H1" i="40"/>
  <c r="G1" i="40"/>
  <c r="F1" i="40"/>
  <c r="E1" i="40"/>
  <c r="D1" i="40"/>
  <c r="B1" i="40"/>
  <c r="A1" i="40"/>
  <c r="B36" i="39" l="1"/>
  <c r="B35" i="39"/>
  <c r="B34" i="39"/>
  <c r="B33" i="39"/>
  <c r="B32" i="39"/>
  <c r="B31" i="39"/>
  <c r="B30" i="39"/>
  <c r="B29" i="39"/>
  <c r="B28" i="39"/>
  <c r="B27" i="39"/>
  <c r="B26" i="39"/>
  <c r="B25" i="39"/>
  <c r="B24" i="39"/>
  <c r="B23" i="39"/>
  <c r="B22" i="39"/>
  <c r="B21" i="39"/>
  <c r="B20" i="39"/>
  <c r="B19" i="39"/>
  <c r="B18" i="39"/>
  <c r="B16" i="39"/>
  <c r="B15" i="39"/>
  <c r="AB1" i="39"/>
  <c r="AA1" i="39"/>
  <c r="Z1" i="39"/>
  <c r="Y1" i="39"/>
  <c r="X1" i="39"/>
  <c r="W1" i="39"/>
  <c r="V1" i="39"/>
  <c r="U1" i="39"/>
  <c r="T1" i="39"/>
  <c r="S1" i="39"/>
  <c r="R1" i="39"/>
  <c r="Q1" i="39"/>
  <c r="P1" i="39"/>
  <c r="O1" i="39"/>
  <c r="N1" i="39"/>
  <c r="M1" i="39"/>
  <c r="L1" i="39"/>
  <c r="K1" i="39"/>
  <c r="J1" i="39"/>
  <c r="I1" i="39"/>
  <c r="H1" i="39"/>
  <c r="G1" i="39"/>
  <c r="F1" i="39"/>
  <c r="E1" i="39"/>
  <c r="D1" i="39"/>
  <c r="B1" i="39"/>
  <c r="A1" i="39"/>
  <c r="AB1" i="47" l="1"/>
  <c r="AA1" i="47"/>
  <c r="Z1" i="47"/>
  <c r="Y1" i="47"/>
  <c r="X1" i="47"/>
  <c r="W1" i="47"/>
  <c r="V1" i="47"/>
  <c r="U1" i="47"/>
  <c r="T1" i="47"/>
  <c r="S1" i="47"/>
  <c r="R1" i="47"/>
  <c r="Q1" i="47"/>
  <c r="P1" i="47"/>
  <c r="O1" i="47"/>
  <c r="N1" i="47"/>
  <c r="M1" i="47"/>
  <c r="L1" i="47"/>
  <c r="K1" i="47"/>
  <c r="J1" i="47"/>
  <c r="I1" i="47"/>
  <c r="H1" i="47"/>
  <c r="G1" i="47"/>
  <c r="F1" i="47"/>
  <c r="E1" i="47"/>
  <c r="D1" i="47"/>
  <c r="B1" i="47"/>
  <c r="A1" i="47"/>
  <c r="AB1" i="38" l="1"/>
  <c r="AA1" i="38"/>
  <c r="Z1" i="38"/>
  <c r="Y1" i="38"/>
  <c r="X1" i="38"/>
  <c r="W1" i="38"/>
  <c r="V1" i="38"/>
  <c r="U1" i="38"/>
  <c r="T1" i="38"/>
  <c r="S1" i="38"/>
  <c r="R1" i="38"/>
  <c r="Q1" i="38"/>
  <c r="P1" i="38"/>
  <c r="O1" i="38"/>
  <c r="N1" i="38"/>
  <c r="M1" i="38"/>
  <c r="L1" i="38"/>
  <c r="K1" i="38"/>
  <c r="J1" i="38"/>
  <c r="I1" i="38"/>
  <c r="H1" i="38"/>
  <c r="G1" i="38"/>
  <c r="F1" i="38"/>
  <c r="E1" i="38"/>
  <c r="D1" i="38"/>
  <c r="B1" i="38"/>
  <c r="A1" i="38"/>
  <c r="AB1" i="37" l="1"/>
  <c r="AA1" i="37"/>
  <c r="Z1" i="37"/>
  <c r="Y1" i="37"/>
  <c r="X1" i="37"/>
  <c r="W1" i="37"/>
  <c r="V1" i="37"/>
  <c r="U1" i="37"/>
  <c r="T1" i="37"/>
  <c r="S1" i="37"/>
  <c r="R1" i="37"/>
  <c r="Q1" i="37"/>
  <c r="P1" i="37"/>
  <c r="O1" i="37"/>
  <c r="N1" i="37"/>
  <c r="M1" i="37"/>
  <c r="L1" i="37"/>
  <c r="K1" i="37"/>
  <c r="J1" i="37"/>
  <c r="I1" i="37"/>
  <c r="H1" i="37"/>
  <c r="G1" i="37"/>
  <c r="F1" i="37"/>
  <c r="E1" i="37"/>
  <c r="D1" i="37"/>
  <c r="B1" i="37"/>
  <c r="A1" i="37"/>
  <c r="AB1" i="36" l="1"/>
  <c r="AA1" i="36"/>
  <c r="Z1" i="36"/>
  <c r="Y1" i="36"/>
  <c r="X1" i="36"/>
  <c r="W1" i="36"/>
  <c r="V1" i="36"/>
  <c r="U1" i="36"/>
  <c r="T1" i="36"/>
  <c r="S1" i="36"/>
  <c r="R1" i="36"/>
  <c r="Q1" i="36"/>
  <c r="P1" i="36"/>
  <c r="O1" i="36"/>
  <c r="N1" i="36"/>
  <c r="M1" i="36"/>
  <c r="L1" i="36"/>
  <c r="K1" i="36"/>
  <c r="J1" i="36"/>
  <c r="I1" i="36"/>
  <c r="H1" i="36"/>
  <c r="G1" i="36"/>
  <c r="F1" i="36"/>
  <c r="E1" i="36"/>
  <c r="D1" i="36"/>
  <c r="B1" i="36"/>
  <c r="A1" i="36"/>
  <c r="L85" i="1" l="1"/>
  <c r="L19" i="1"/>
  <c r="A1" i="1" l="1"/>
  <c r="P9" i="1"/>
  <c r="P14" i="1"/>
  <c r="P18" i="1"/>
  <c r="P23" i="1"/>
  <c r="P11" i="1"/>
  <c r="P27" i="1"/>
  <c r="P19" i="1"/>
  <c r="P24" i="1"/>
  <c r="C16" i="46"/>
  <c r="P17" i="1"/>
  <c r="B90" i="1"/>
  <c r="P25" i="1"/>
  <c r="P15" i="1"/>
  <c r="P28" i="1"/>
  <c r="P20" i="1"/>
  <c r="P7" i="1"/>
  <c r="P8" i="1"/>
  <c r="P10" i="1"/>
  <c r="P16" i="1"/>
  <c r="P12" i="1"/>
  <c r="P26" i="1"/>
  <c r="P22" i="1"/>
  <c r="P30" i="1"/>
  <c r="P29" i="1"/>
  <c r="P13" i="1"/>
  <c r="P6" i="1"/>
  <c r="P21" i="1"/>
  <c r="B6" i="46" l="1"/>
  <c r="C6" i="46"/>
  <c r="B12" i="46" l="1"/>
  <c r="C12" i="46"/>
  <c r="H67" i="1" l="1"/>
  <c r="G73" i="1"/>
  <c r="B73" i="1"/>
  <c r="G72" i="1"/>
  <c r="B72" i="1"/>
  <c r="G71" i="1"/>
  <c r="B71" i="1"/>
  <c r="G70" i="1"/>
  <c r="B70" i="1"/>
  <c r="G69" i="1"/>
  <c r="B69" i="1"/>
  <c r="G68" i="1"/>
  <c r="B68" i="1"/>
  <c r="G67" i="1"/>
  <c r="B67" i="1"/>
  <c r="G59" i="1"/>
  <c r="B59" i="1"/>
  <c r="G58" i="1"/>
  <c r="B58" i="1"/>
  <c r="G57" i="1"/>
  <c r="B57" i="1"/>
  <c r="G56" i="1"/>
  <c r="B56" i="1"/>
  <c r="G55" i="1"/>
  <c r="B55" i="1"/>
  <c r="G54" i="1"/>
  <c r="B54" i="1"/>
  <c r="G50" i="1"/>
  <c r="B50" i="1"/>
  <c r="G42" i="1"/>
  <c r="B42" i="1"/>
  <c r="G35" i="1"/>
  <c r="B35" i="1"/>
  <c r="G28" i="1"/>
  <c r="B28" i="1"/>
  <c r="G20" i="1"/>
  <c r="B20" i="1"/>
  <c r="G13" i="1"/>
  <c r="B13" i="1"/>
  <c r="G49" i="1" l="1"/>
  <c r="B49" i="1"/>
  <c r="G48" i="1"/>
  <c r="B48" i="1"/>
  <c r="G47" i="1"/>
  <c r="B47" i="1"/>
  <c r="G46" i="1"/>
  <c r="B46" i="1"/>
  <c r="G45" i="1"/>
  <c r="B45" i="1"/>
  <c r="G44" i="1"/>
  <c r="B44" i="1"/>
  <c r="B8" i="46" l="1"/>
  <c r="C8" i="46"/>
  <c r="C7" i="46"/>
  <c r="G66" i="1" l="1"/>
  <c r="B66" i="1"/>
  <c r="G65" i="1"/>
  <c r="B65" i="1"/>
  <c r="G64" i="1"/>
  <c r="B64" i="1"/>
  <c r="G63" i="1"/>
  <c r="B63" i="1"/>
  <c r="G62" i="1"/>
  <c r="B62" i="1"/>
  <c r="G61" i="1"/>
  <c r="B61" i="1"/>
  <c r="H29" i="1"/>
  <c r="G34" i="1"/>
  <c r="B34" i="1"/>
  <c r="G33" i="1"/>
  <c r="B33" i="1"/>
  <c r="G32" i="1"/>
  <c r="B32" i="1"/>
  <c r="G31" i="1"/>
  <c r="B31" i="1"/>
  <c r="G30" i="1"/>
  <c r="B30" i="1"/>
  <c r="G29" i="1"/>
  <c r="B29" i="1"/>
  <c r="B21" i="1"/>
  <c r="G27" i="1"/>
  <c r="B27" i="1"/>
  <c r="G26" i="1"/>
  <c r="B26" i="1"/>
  <c r="G25" i="1"/>
  <c r="B25" i="1"/>
  <c r="G24" i="1"/>
  <c r="B24" i="1"/>
  <c r="G23" i="1"/>
  <c r="B23" i="1"/>
  <c r="G22" i="1"/>
  <c r="B22" i="1"/>
  <c r="C1" i="1" l="1"/>
  <c r="B13" i="46" l="1"/>
  <c r="B11" i="46"/>
  <c r="B10" i="46"/>
  <c r="B9" i="46"/>
  <c r="B7" i="46"/>
  <c r="B5" i="46"/>
  <c r="A1" i="46"/>
  <c r="B14" i="46"/>
  <c r="C2" i="46"/>
  <c r="C10" i="46"/>
  <c r="C5" i="46"/>
  <c r="C9" i="46"/>
  <c r="C13" i="46"/>
  <c r="C11" i="46"/>
  <c r="C1" i="46" l="1"/>
  <c r="H60" i="1" l="1"/>
  <c r="G60" i="1"/>
  <c r="H53" i="1"/>
  <c r="G53" i="1"/>
  <c r="H43" i="1"/>
  <c r="G43" i="1"/>
  <c r="G41" i="1"/>
  <c r="G40" i="1"/>
  <c r="G39" i="1"/>
  <c r="G38" i="1"/>
  <c r="G37" i="1"/>
  <c r="H36" i="1"/>
  <c r="G36" i="1"/>
  <c r="H21" i="1"/>
  <c r="G21" i="1"/>
  <c r="G19" i="1"/>
  <c r="G18" i="1"/>
  <c r="G17" i="1"/>
  <c r="G16" i="1"/>
  <c r="G15" i="1"/>
  <c r="H14" i="1"/>
  <c r="G14" i="1"/>
  <c r="I83" i="1"/>
  <c r="I82" i="1"/>
  <c r="I81" i="1"/>
  <c r="I80" i="1"/>
  <c r="I79" i="1"/>
  <c r="I78" i="1"/>
  <c r="I77" i="1"/>
  <c r="D86" i="1"/>
  <c r="D85" i="1"/>
  <c r="D84" i="1"/>
  <c r="D83" i="1"/>
  <c r="D82" i="1"/>
  <c r="D81" i="1"/>
  <c r="D80" i="1"/>
  <c r="D79" i="1"/>
  <c r="D78" i="1"/>
  <c r="D77" i="1"/>
  <c r="H6" i="1"/>
  <c r="G12" i="1"/>
  <c r="G11" i="1"/>
  <c r="G10" i="1"/>
  <c r="G9" i="1"/>
  <c r="G8" i="1"/>
  <c r="G7" i="1"/>
  <c r="G6" i="1"/>
  <c r="G2" i="1"/>
  <c r="F84" i="1"/>
  <c r="B74" i="1"/>
  <c r="C88" i="1"/>
  <c r="A86" i="1" l="1"/>
  <c r="A85" i="1"/>
  <c r="A84" i="1"/>
  <c r="A83" i="1"/>
  <c r="A82" i="1"/>
  <c r="A81" i="1"/>
  <c r="A80" i="1"/>
  <c r="A79" i="1"/>
  <c r="A78" i="1"/>
  <c r="A77" i="1"/>
  <c r="B60" i="1"/>
  <c r="B53" i="1"/>
  <c r="B43" i="1"/>
  <c r="B41" i="1"/>
  <c r="B40" i="1"/>
  <c r="B39" i="1"/>
  <c r="B38" i="1"/>
  <c r="B37" i="1"/>
  <c r="B36" i="1"/>
  <c r="B19" i="1"/>
  <c r="B18" i="1"/>
  <c r="B17" i="1"/>
  <c r="B16" i="1"/>
  <c r="B15" i="1"/>
  <c r="B14" i="1"/>
  <c r="B12" i="1"/>
  <c r="B11" i="1"/>
  <c r="B10" i="1"/>
  <c r="B9" i="1"/>
  <c r="B8" i="1"/>
  <c r="B7" i="1"/>
  <c r="B6" i="1"/>
</calcChain>
</file>

<file path=xl/sharedStrings.xml><?xml version="1.0" encoding="utf-8"?>
<sst xmlns="http://schemas.openxmlformats.org/spreadsheetml/2006/main" count="1541" uniqueCount="303">
  <si>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</si>
  <si>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</si>
  <si>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</si>
  <si>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</si>
  <si>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</si>
  <si>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</si>
  <si>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</si>
  <si>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</si>
  <si>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</si>
  <si>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</si>
  <si>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</si>
  <si>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</si>
  <si>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</si>
  <si>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</si>
  <si>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</si>
  <si>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</si>
  <si>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</si>
  <si>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</si>
  <si>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</si>
  <si>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</si>
  <si>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</si>
  <si>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</si>
  <si>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</si>
  <si>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</si>
  <si>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</si>
  <si>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</si>
  <si>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</si>
  <si>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</si>
  <si>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</si>
  <si>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</si>
  <si>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</si>
  <si>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</si>
  <si>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</si>
  <si>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</si>
  <si>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</si>
  <si>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</si>
  <si>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</si>
  <si>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</si>
  <si>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</si>
  <si>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</si>
  <si>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</si>
  <si>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</si>
  <si>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</si>
  <si>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</si>
  <si>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</si>
  <si>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B</t>
  </si>
  <si>
    <t>A</t>
  </si>
  <si>
    <t>理科</t>
    <rPh sb="0" eb="2">
      <t>リカ</t>
    </rPh>
    <phoneticPr fontId="1"/>
  </si>
  <si>
    <t>社会</t>
    <rPh sb="0" eb="2">
      <t>シャカイ</t>
    </rPh>
    <phoneticPr fontId="1"/>
  </si>
  <si>
    <t>C</t>
  </si>
  <si>
    <t>家庭</t>
    <rPh sb="0" eb="2">
      <t>カテイ</t>
    </rPh>
    <phoneticPr fontId="1"/>
  </si>
  <si>
    <t>基本的な生活習慣（一日の過ごし方、時間管理、など）</t>
  </si>
  <si>
    <t>健康・体力の向上（欠席、遅刻、早退など）</t>
  </si>
  <si>
    <t>自主・自律（整理整頓、身なり、宿題、提出物など）</t>
  </si>
  <si>
    <t>責任感（係、委員会、役割など）</t>
  </si>
  <si>
    <t>創意工夫（日常生活、授業発言など）</t>
  </si>
  <si>
    <t>思いやり・協力（友人関係、共同作業など）</t>
  </si>
  <si>
    <t>生命尊重・自然愛護（自然、動植物に対する接し方など）</t>
  </si>
  <si>
    <t>勤労・奉仕（清掃、給食など）</t>
  </si>
  <si>
    <t>公正・公平（友人関係、学級での話し合いなど）</t>
  </si>
  <si>
    <t>公共心・公徳心（規律、挨拶、返事など）</t>
  </si>
  <si>
    <t>知識・技能（単元テスト・定期テスト）</t>
    <rPh sb="6" eb="8">
      <t>タンゲン</t>
    </rPh>
    <phoneticPr fontId="1"/>
  </si>
  <si>
    <r>
      <t xml:space="preserve">学年
</t>
    </r>
    <r>
      <rPr>
        <sz val="9"/>
        <rFont val="ＭＳ Ｐ明朝"/>
        <family val="1"/>
        <charset val="128"/>
      </rPr>
      <t>(3学期)</t>
    </r>
    <rPh sb="5" eb="7">
      <t>ガッキ</t>
    </rPh>
    <phoneticPr fontId="1"/>
  </si>
  <si>
    <t>思考力・表現力・判断力（単元テスト・定期テスト）</t>
  </si>
  <si>
    <t>主体的に学習に取り組む態度</t>
  </si>
  <si>
    <t>知識・技能（単元テスト・定期テスト）</t>
  </si>
  <si>
    <t>B</t>
    <phoneticPr fontId="1"/>
  </si>
  <si>
    <t>知識・技能（定期テスト・単元テスト）</t>
    <rPh sb="0" eb="2">
      <t>チシキ</t>
    </rPh>
    <rPh sb="3" eb="5">
      <t>ギノウ</t>
    </rPh>
    <rPh sb="6" eb="8">
      <t>テイキ</t>
    </rPh>
    <rPh sb="12" eb="14">
      <t>タンゲン</t>
    </rPh>
    <phoneticPr fontId="1"/>
  </si>
  <si>
    <t>伊藤 せな</t>
  </si>
  <si>
    <t>今井 帆夏</t>
  </si>
  <si>
    <t>上原 一十</t>
  </si>
  <si>
    <t>上原 誠太</t>
  </si>
  <si>
    <t>太田 奏佑</t>
  </si>
  <si>
    <t>小口 恵人</t>
  </si>
  <si>
    <t>海瀬 晴仁</t>
  </si>
  <si>
    <t>金子 愛奈</t>
  </si>
  <si>
    <t>上條 結衣</t>
  </si>
  <si>
    <t>鴨居 鈴佳</t>
  </si>
  <si>
    <t>久保田 陽佳</t>
  </si>
  <si>
    <t>小松 賢史</t>
  </si>
  <si>
    <t>塩原 七都</t>
  </si>
  <si>
    <t>新保 菜々香</t>
  </si>
  <si>
    <t>田中 百</t>
  </si>
  <si>
    <t>中村 妃花</t>
  </si>
  <si>
    <t>林 樹李</t>
  </si>
  <si>
    <t>原田 樹生</t>
  </si>
  <si>
    <t>平野 鈴</t>
  </si>
  <si>
    <t>布施谷 碧衣</t>
  </si>
  <si>
    <t>吉澤 維月</t>
  </si>
  <si>
    <t>若林 樹</t>
  </si>
  <si>
    <t>宿題をきちんと行っていますし、授業も集中して取り組んでいます。テストでは結果も出ていますので、このまま継続していってほしいです。</t>
    <rPh sb="0" eb="2">
      <t>シュクダイ</t>
    </rPh>
    <rPh sb="7" eb="8">
      <t>オコナ</t>
    </rPh>
    <rPh sb="15" eb="17">
      <t>ジュギョウ</t>
    </rPh>
    <rPh sb="18" eb="20">
      <t>シュウチュウ</t>
    </rPh>
    <rPh sb="22" eb="23">
      <t>ト</t>
    </rPh>
    <rPh sb="24" eb="25">
      <t>ク</t>
    </rPh>
    <rPh sb="36" eb="38">
      <t>ケッカ</t>
    </rPh>
    <rPh sb="39" eb="40">
      <t>デ</t>
    </rPh>
    <rPh sb="51" eb="53">
      <t>ケイゾク</t>
    </rPh>
    <phoneticPr fontId="1"/>
  </si>
  <si>
    <t>宿題をきちんと行っていますし、授業も集中して取り組んでいます。テストでは結果も出ていますので、このまま継続していってほしいです。数才クラスでは算数オリンピックにも挑戦し、生き生きと難問に挑戦している姿が見られます。</t>
    <rPh sb="0" eb="2">
      <t>シュクダイ</t>
    </rPh>
    <rPh sb="7" eb="8">
      <t>オコナ</t>
    </rPh>
    <rPh sb="15" eb="17">
      <t>ジュギョウ</t>
    </rPh>
    <rPh sb="18" eb="20">
      <t>シュウチュウ</t>
    </rPh>
    <rPh sb="22" eb="23">
      <t>ト</t>
    </rPh>
    <rPh sb="24" eb="25">
      <t>ク</t>
    </rPh>
    <rPh sb="36" eb="38">
      <t>ケッカ</t>
    </rPh>
    <rPh sb="39" eb="40">
      <t>デ</t>
    </rPh>
    <rPh sb="51" eb="53">
      <t>ケイゾク</t>
    </rPh>
    <rPh sb="99" eb="100">
      <t>スガタ</t>
    </rPh>
    <rPh sb="101" eb="102">
      <t>ミ</t>
    </rPh>
    <phoneticPr fontId="1"/>
  </si>
  <si>
    <t>宿題提出率３３％。授業に出れたり出れなかったりなので、なかなか定着しませんが、少しでも分かりそうな問題は取り組んだりと、前向きな姿勢も見えます。まずは少しずつ、ノート取りからスタートしましょう。</t>
    <rPh sb="0" eb="2">
      <t>シュクダイ</t>
    </rPh>
    <rPh sb="2" eb="5">
      <t>テイシュツリツ</t>
    </rPh>
    <rPh sb="9" eb="11">
      <t>ジュギョウ</t>
    </rPh>
    <rPh sb="12" eb="13">
      <t>デ</t>
    </rPh>
    <rPh sb="16" eb="17">
      <t>デ</t>
    </rPh>
    <rPh sb="31" eb="33">
      <t>テイチャク</t>
    </rPh>
    <rPh sb="39" eb="40">
      <t>スコ</t>
    </rPh>
    <rPh sb="43" eb="44">
      <t>ワ</t>
    </rPh>
    <rPh sb="49" eb="51">
      <t>モンダイ</t>
    </rPh>
    <rPh sb="52" eb="53">
      <t>ト</t>
    </rPh>
    <rPh sb="54" eb="55">
      <t>ク</t>
    </rPh>
    <rPh sb="60" eb="62">
      <t>マエム</t>
    </rPh>
    <rPh sb="64" eb="66">
      <t>シセイ</t>
    </rPh>
    <rPh sb="67" eb="68">
      <t>ミ</t>
    </rPh>
    <rPh sb="75" eb="76">
      <t>スコ</t>
    </rPh>
    <rPh sb="83" eb="84">
      <t>ト</t>
    </rPh>
    <phoneticPr fontId="1"/>
  </si>
  <si>
    <t>宿題の提出率が５６％と大変低く心配しています。算数の力をつけるには、家庭での丁寧な学習が欠かせません。２学期は改善することを強く望みます。</t>
    <rPh sb="0" eb="2">
      <t>シュクダイ</t>
    </rPh>
    <rPh sb="3" eb="6">
      <t>テイシュツリツ</t>
    </rPh>
    <rPh sb="11" eb="14">
      <t>タイヘンヒク</t>
    </rPh>
    <rPh sb="15" eb="17">
      <t>シンパイ</t>
    </rPh>
    <rPh sb="23" eb="25">
      <t>サンスウ</t>
    </rPh>
    <rPh sb="26" eb="27">
      <t>チカラ</t>
    </rPh>
    <rPh sb="34" eb="36">
      <t>カテイ</t>
    </rPh>
    <rPh sb="38" eb="40">
      <t>テイネイ</t>
    </rPh>
    <rPh sb="41" eb="43">
      <t>ガクシュウ</t>
    </rPh>
    <rPh sb="44" eb="45">
      <t>カ</t>
    </rPh>
    <rPh sb="52" eb="54">
      <t>ガッキ</t>
    </rPh>
    <rPh sb="55" eb="57">
      <t>カイゼン</t>
    </rPh>
    <rPh sb="62" eb="63">
      <t>ツヨ</t>
    </rPh>
    <rPh sb="64" eb="65">
      <t>ノゾ</t>
    </rPh>
    <phoneticPr fontId="1"/>
  </si>
  <si>
    <t>授業用ノート評価A、宿題提出率５７％、発言ポイント１５（No.5)。授業の集中にミラがあるのがもったいないです。算数のセンスはあるので、自分の考えに自信をもって取り組んでいきましょう。</t>
    <rPh sb="0" eb="3">
      <t>ジュギョウヨウ</t>
    </rPh>
    <rPh sb="6" eb="8">
      <t>ヒョウカ</t>
    </rPh>
    <rPh sb="10" eb="12">
      <t>シュクダイ</t>
    </rPh>
    <rPh sb="12" eb="15">
      <t>テイシュツリツ</t>
    </rPh>
    <rPh sb="19" eb="21">
      <t>ハツゲン</t>
    </rPh>
    <rPh sb="34" eb="36">
      <t>ジュギョウ</t>
    </rPh>
    <rPh sb="37" eb="39">
      <t>シュウチュウ</t>
    </rPh>
    <rPh sb="56" eb="58">
      <t>サンスウ</t>
    </rPh>
    <rPh sb="68" eb="70">
      <t>ジブン</t>
    </rPh>
    <rPh sb="71" eb="72">
      <t>カンガ</t>
    </rPh>
    <rPh sb="74" eb="76">
      <t>ジシン</t>
    </rPh>
    <rPh sb="80" eb="81">
      <t>ト</t>
    </rPh>
    <rPh sb="82" eb="83">
      <t>ク</t>
    </rPh>
    <phoneticPr fontId="1"/>
  </si>
  <si>
    <t>授業用ノート評価S、宿題提出率６１％、発言ポイント１９（No.3)。全体宿題を頑張っていましたが、後半出なくなってきたのが残念です。授業は前向きに取り組めているので2学期も継続しよう。</t>
    <rPh sb="0" eb="3">
      <t>ジュギョウヨウ</t>
    </rPh>
    <rPh sb="6" eb="8">
      <t>ヒョウカ</t>
    </rPh>
    <rPh sb="10" eb="12">
      <t>シュクダイ</t>
    </rPh>
    <rPh sb="12" eb="15">
      <t>テイシュツリツ</t>
    </rPh>
    <rPh sb="19" eb="21">
      <t>ハツゲン</t>
    </rPh>
    <rPh sb="34" eb="36">
      <t>ゼンタイ</t>
    </rPh>
    <rPh sb="36" eb="38">
      <t>シュクダイ</t>
    </rPh>
    <rPh sb="39" eb="41">
      <t>ガンバ</t>
    </rPh>
    <rPh sb="49" eb="51">
      <t>コウハン</t>
    </rPh>
    <rPh sb="51" eb="52">
      <t>デ</t>
    </rPh>
    <rPh sb="61" eb="63">
      <t>ザンネン</t>
    </rPh>
    <rPh sb="66" eb="68">
      <t>ジュギョウ</t>
    </rPh>
    <rPh sb="69" eb="71">
      <t>マエム</t>
    </rPh>
    <rPh sb="73" eb="74">
      <t>ト</t>
    </rPh>
    <rPh sb="75" eb="76">
      <t>ク</t>
    </rPh>
    <rPh sb="83" eb="85">
      <t>ガッキ</t>
    </rPh>
    <rPh sb="86" eb="88">
      <t>ケイゾク</t>
    </rPh>
    <phoneticPr fontId="1"/>
  </si>
  <si>
    <t>授業用ノート評価S、宿題提出率１００％、発言ポイント２９（No.1）。毎時間意欲的に取り組めています。難しい問題も自分なりに考えられていてすばらしい！２学期も継続しよう‼</t>
    <rPh sb="0" eb="3">
      <t>ジュギョウヨウ</t>
    </rPh>
    <rPh sb="6" eb="8">
      <t>ヒョウカ</t>
    </rPh>
    <rPh sb="10" eb="12">
      <t>シュクダイ</t>
    </rPh>
    <rPh sb="12" eb="15">
      <t>テイシュツリツ</t>
    </rPh>
    <rPh sb="20" eb="22">
      <t>ハツゲン</t>
    </rPh>
    <rPh sb="35" eb="38">
      <t>マイジカン</t>
    </rPh>
    <rPh sb="38" eb="41">
      <t>イヨクテキ</t>
    </rPh>
    <rPh sb="42" eb="43">
      <t>ト</t>
    </rPh>
    <rPh sb="44" eb="45">
      <t>ク</t>
    </rPh>
    <rPh sb="51" eb="52">
      <t>ムズカ</t>
    </rPh>
    <rPh sb="54" eb="56">
      <t>モンダイ</t>
    </rPh>
    <rPh sb="57" eb="59">
      <t>ジブン</t>
    </rPh>
    <rPh sb="62" eb="63">
      <t>カンガ</t>
    </rPh>
    <rPh sb="76" eb="78">
      <t>ガッキ</t>
    </rPh>
    <rPh sb="79" eb="81">
      <t>ケイゾク</t>
    </rPh>
    <phoneticPr fontId="1"/>
  </si>
  <si>
    <t>授業用ノート評価S、宿題提出率９１％、発言ポイント２０（No.2）。毎時間意欲的に取り組めています。難しい問題も自分なりに考えられていてすばらしい！２学期も継続しよう‼</t>
    <rPh sb="0" eb="3">
      <t>ジュギョウヨウ</t>
    </rPh>
    <rPh sb="6" eb="8">
      <t>ヒョウカ</t>
    </rPh>
    <rPh sb="10" eb="12">
      <t>シュクダイ</t>
    </rPh>
    <rPh sb="12" eb="15">
      <t>テイシュツリツ</t>
    </rPh>
    <rPh sb="19" eb="21">
      <t>ハツゲン</t>
    </rPh>
    <phoneticPr fontId="1"/>
  </si>
  <si>
    <t>授業用ノート評価A、宿題提出率８７％、発言ポイント５。１学期スタートの頃に比べると、特に計算力がつきましたね！１つ１つがゆっくりなので、みんなのペースに追いついて取り組めるとさらに良いですね。</t>
    <rPh sb="0" eb="3">
      <t>ジュギョウヨウ</t>
    </rPh>
    <rPh sb="6" eb="8">
      <t>ヒョウカ</t>
    </rPh>
    <rPh sb="10" eb="12">
      <t>シュクダイ</t>
    </rPh>
    <rPh sb="12" eb="15">
      <t>テイシュツリツ</t>
    </rPh>
    <rPh sb="19" eb="21">
      <t>ハツゲン</t>
    </rPh>
    <rPh sb="28" eb="30">
      <t>ガッキ</t>
    </rPh>
    <rPh sb="35" eb="36">
      <t>コロ</t>
    </rPh>
    <rPh sb="37" eb="38">
      <t>クラ</t>
    </rPh>
    <rPh sb="42" eb="43">
      <t>トク</t>
    </rPh>
    <rPh sb="44" eb="47">
      <t>ケイサンリョク</t>
    </rPh>
    <rPh sb="76" eb="77">
      <t>オ</t>
    </rPh>
    <rPh sb="81" eb="82">
      <t>ト</t>
    </rPh>
    <rPh sb="83" eb="84">
      <t>ク</t>
    </rPh>
    <rPh sb="90" eb="91">
      <t>ヨ</t>
    </rPh>
    <phoneticPr fontId="1"/>
  </si>
  <si>
    <t>授業用ノート評価S、宿題提出率８５％、発言ポイント１２。良くも悪くも、上手く手を抜きますね～。「めんどくさい」と感じたときほど、丁寧に取り組みましょう。</t>
    <rPh sb="0" eb="3">
      <t>ジュギョウヨウ</t>
    </rPh>
    <rPh sb="6" eb="8">
      <t>ヒョウカ</t>
    </rPh>
    <rPh sb="10" eb="12">
      <t>シュクダイ</t>
    </rPh>
    <rPh sb="12" eb="14">
      <t>テイシュツ</t>
    </rPh>
    <rPh sb="14" eb="15">
      <t>リツ</t>
    </rPh>
    <rPh sb="19" eb="21">
      <t>ハツゲン</t>
    </rPh>
    <rPh sb="28" eb="29">
      <t>ヨ</t>
    </rPh>
    <rPh sb="31" eb="32">
      <t>ワル</t>
    </rPh>
    <rPh sb="35" eb="37">
      <t>ウマ</t>
    </rPh>
    <rPh sb="38" eb="39">
      <t>テ</t>
    </rPh>
    <rPh sb="40" eb="41">
      <t>ヌ</t>
    </rPh>
    <rPh sb="56" eb="57">
      <t>カン</t>
    </rPh>
    <rPh sb="64" eb="66">
      <t>テイネイ</t>
    </rPh>
    <rPh sb="67" eb="68">
      <t>ト</t>
    </rPh>
    <rPh sb="69" eb="70">
      <t>ク</t>
    </rPh>
    <phoneticPr fontId="1"/>
  </si>
  <si>
    <t>授業用ノート評価S、宿題提出率１００％、発言ポイント１３。毎時間意欲的に取り組めています。難しい問題も自分なりに考えられていてすばらしい！２学期も継続しよう‼</t>
    <rPh sb="0" eb="3">
      <t>ジュギョウヨウ</t>
    </rPh>
    <rPh sb="6" eb="8">
      <t>ヒョウカ</t>
    </rPh>
    <rPh sb="10" eb="12">
      <t>シュクダイ</t>
    </rPh>
    <rPh sb="12" eb="15">
      <t>テイシュツリツ</t>
    </rPh>
    <rPh sb="20" eb="22">
      <t>ハツゲン</t>
    </rPh>
    <phoneticPr fontId="1"/>
  </si>
  <si>
    <t>宿題のやり方がとても丁寧で感心しました。ノートの書き方のお手本として、Aコースに配布したほどです。その一方で、授業ではなかなか集中できずにうるさくしてしまうことがあります。早急な改善を希望します。</t>
    <rPh sb="0" eb="2">
      <t>シュクダイ</t>
    </rPh>
    <rPh sb="5" eb="6">
      <t>カタ</t>
    </rPh>
    <rPh sb="10" eb="12">
      <t>テイネイ</t>
    </rPh>
    <rPh sb="13" eb="15">
      <t>カンシン</t>
    </rPh>
    <rPh sb="24" eb="25">
      <t>カ</t>
    </rPh>
    <rPh sb="26" eb="27">
      <t>カタ</t>
    </rPh>
    <rPh sb="29" eb="31">
      <t>テホン</t>
    </rPh>
    <rPh sb="40" eb="42">
      <t>ハイフ</t>
    </rPh>
    <rPh sb="51" eb="53">
      <t>イッポウ</t>
    </rPh>
    <rPh sb="55" eb="57">
      <t>ジュギョウ</t>
    </rPh>
    <rPh sb="63" eb="65">
      <t>シュウチュウ</t>
    </rPh>
    <rPh sb="86" eb="88">
      <t>ソウキュウ</t>
    </rPh>
    <rPh sb="89" eb="91">
      <t>カイゼン</t>
    </rPh>
    <rPh sb="92" eb="94">
      <t>キボウ</t>
    </rPh>
    <phoneticPr fontId="1"/>
  </si>
  <si>
    <t>授業用ノート評価A、宿題提出率１００％、発言ポイント５。自分のペースで静かに取り組んでいることが多いですが、「分からない」はそのままにせず「分かった！」にしていく努力を丁寧にしていきましょう。</t>
    <rPh sb="0" eb="3">
      <t>ジュギョウヨウ</t>
    </rPh>
    <rPh sb="6" eb="8">
      <t>ヒョウカ</t>
    </rPh>
    <rPh sb="10" eb="12">
      <t>シュクダイ</t>
    </rPh>
    <rPh sb="12" eb="15">
      <t>テイシュツリツ</t>
    </rPh>
    <rPh sb="20" eb="22">
      <t>ハツゲン</t>
    </rPh>
    <rPh sb="28" eb="30">
      <t>ジブン</t>
    </rPh>
    <rPh sb="35" eb="36">
      <t>シズ</t>
    </rPh>
    <rPh sb="38" eb="39">
      <t>ト</t>
    </rPh>
    <rPh sb="40" eb="41">
      <t>ク</t>
    </rPh>
    <rPh sb="48" eb="49">
      <t>オオ</t>
    </rPh>
    <rPh sb="55" eb="56">
      <t>ワ</t>
    </rPh>
    <rPh sb="70" eb="71">
      <t>ワ</t>
    </rPh>
    <rPh sb="81" eb="83">
      <t>ドリョク</t>
    </rPh>
    <rPh sb="84" eb="86">
      <t>テイネイ</t>
    </rPh>
    <phoneticPr fontId="1"/>
  </si>
  <si>
    <t>授業用ノート評価A、宿題提出率１００％、発言ポイント９。分かったつもりで進んでしまっている単元もあるので、授業はもちろん宿題や自主勉強等で丁寧に問題に向かっていきましょう。</t>
    <rPh sb="0" eb="3">
      <t>ジュギョウヨウ</t>
    </rPh>
    <rPh sb="6" eb="8">
      <t>ヒョウカ</t>
    </rPh>
    <rPh sb="10" eb="15">
      <t>シュクダイテイシュツリツ</t>
    </rPh>
    <rPh sb="20" eb="22">
      <t>ハツゲン</t>
    </rPh>
    <rPh sb="28" eb="29">
      <t>ワ</t>
    </rPh>
    <rPh sb="36" eb="37">
      <t>スス</t>
    </rPh>
    <rPh sb="45" eb="47">
      <t>タンゲン</t>
    </rPh>
    <rPh sb="53" eb="55">
      <t>ジュギョウ</t>
    </rPh>
    <rPh sb="60" eb="62">
      <t>シュクダイ</t>
    </rPh>
    <rPh sb="63" eb="67">
      <t>ジシュベンキョウ</t>
    </rPh>
    <rPh sb="67" eb="68">
      <t>トウ</t>
    </rPh>
    <rPh sb="69" eb="71">
      <t>テイネイ</t>
    </rPh>
    <rPh sb="72" eb="74">
      <t>モンダイ</t>
    </rPh>
    <rPh sb="75" eb="76">
      <t>ム</t>
    </rPh>
    <phoneticPr fontId="1"/>
  </si>
  <si>
    <t>算数係として、責任をもって仕事をしてくれています。授業も身を乗り出して楽しそうに取り組んでいます。後半になって、宿題を出さないことがときどきありました。特にワークがあまり進んでいません。夏休みにしっかりと取り組んでほしいです。数才クラスでは算数オリンピックにも挑戦し、生き生きと難問に挑戦している姿が見られます。</t>
    <rPh sb="0" eb="3">
      <t>サンスウカカリ</t>
    </rPh>
    <rPh sb="7" eb="9">
      <t>セキニン</t>
    </rPh>
    <rPh sb="13" eb="15">
      <t>シゴト</t>
    </rPh>
    <rPh sb="25" eb="27">
      <t>ジュギョウ</t>
    </rPh>
    <rPh sb="28" eb="29">
      <t>ミ</t>
    </rPh>
    <rPh sb="30" eb="31">
      <t>ノ</t>
    </rPh>
    <rPh sb="32" eb="33">
      <t>ダ</t>
    </rPh>
    <rPh sb="35" eb="36">
      <t>タノ</t>
    </rPh>
    <rPh sb="40" eb="41">
      <t>ト</t>
    </rPh>
    <rPh sb="42" eb="43">
      <t>ク</t>
    </rPh>
    <rPh sb="49" eb="51">
      <t>コウハン</t>
    </rPh>
    <rPh sb="56" eb="58">
      <t>シュクダイ</t>
    </rPh>
    <rPh sb="59" eb="60">
      <t>ダ</t>
    </rPh>
    <rPh sb="76" eb="77">
      <t>トク</t>
    </rPh>
    <rPh sb="85" eb="86">
      <t>スス</t>
    </rPh>
    <rPh sb="93" eb="95">
      <t>ナツヤス</t>
    </rPh>
    <rPh sb="102" eb="103">
      <t>ト</t>
    </rPh>
    <rPh sb="104" eb="105">
      <t>ク</t>
    </rPh>
    <rPh sb="113" eb="115">
      <t>スウサイ</t>
    </rPh>
    <rPh sb="120" eb="122">
      <t>サンスウ</t>
    </rPh>
    <rPh sb="130" eb="132">
      <t>チョウセン</t>
    </rPh>
    <rPh sb="134" eb="135">
      <t>イ</t>
    </rPh>
    <rPh sb="136" eb="137">
      <t>イ</t>
    </rPh>
    <rPh sb="139" eb="141">
      <t>ナンモン</t>
    </rPh>
    <rPh sb="142" eb="144">
      <t>チョウセン</t>
    </rPh>
    <rPh sb="148" eb="149">
      <t>スガタ</t>
    </rPh>
    <rPh sb="150" eb="151">
      <t>ミ</t>
    </rPh>
    <phoneticPr fontId="1"/>
  </si>
  <si>
    <t>授業用ノート評価A、宿題提出率８５％、発言ポイント１２。分かったつもりで進んでしまっている単元もあるので、授業はもちろん宿題や自主勉強等で丁寧に問題に向かっていきましょう。</t>
    <rPh sb="0" eb="3">
      <t>ジュギョウヨウ</t>
    </rPh>
    <rPh sb="6" eb="8">
      <t>ヒョウカ</t>
    </rPh>
    <rPh sb="10" eb="12">
      <t>シュクダイ</t>
    </rPh>
    <rPh sb="12" eb="15">
      <t>テイシュツリツ</t>
    </rPh>
    <rPh sb="19" eb="21">
      <t>ハツゲン</t>
    </rPh>
    <phoneticPr fontId="1"/>
  </si>
  <si>
    <t>授業用ノート評価S、宿題提出率１００％、発言ポイント９。毎時間意欲的に取り組めています。難しい問題も自分なりに考えられていてすばらしい！２学期も継続しよう‼</t>
    <rPh sb="0" eb="2">
      <t>ジュギョウ</t>
    </rPh>
    <rPh sb="2" eb="3">
      <t>ヨウ</t>
    </rPh>
    <rPh sb="6" eb="8">
      <t>ヒョウカ</t>
    </rPh>
    <rPh sb="10" eb="12">
      <t>シュクダイ</t>
    </rPh>
    <rPh sb="12" eb="14">
      <t>テイシュツ</t>
    </rPh>
    <rPh sb="14" eb="15">
      <t>リツ</t>
    </rPh>
    <rPh sb="20" eb="22">
      <t>ハツゲン</t>
    </rPh>
    <rPh sb="28" eb="31">
      <t>マイジカン</t>
    </rPh>
    <rPh sb="31" eb="33">
      <t>イヨク</t>
    </rPh>
    <rPh sb="33" eb="34">
      <t>テキ</t>
    </rPh>
    <rPh sb="35" eb="36">
      <t>ト</t>
    </rPh>
    <rPh sb="37" eb="38">
      <t>ク</t>
    </rPh>
    <rPh sb="44" eb="45">
      <t>ムズカ</t>
    </rPh>
    <rPh sb="47" eb="49">
      <t>モンダイ</t>
    </rPh>
    <rPh sb="50" eb="52">
      <t>ジブン</t>
    </rPh>
    <rPh sb="55" eb="56">
      <t>カンガ</t>
    </rPh>
    <rPh sb="69" eb="71">
      <t>ガッキ</t>
    </rPh>
    <rPh sb="72" eb="74">
      <t>ケイゾクジュギョウヨウヒョウカシュクダイテイシュツリツハツゲン</t>
    </rPh>
    <phoneticPr fontId="1"/>
  </si>
  <si>
    <t>授業は集中して取り組んでいます。できたときは得意そうな表情を、わからないときは悔しそうな表情を見せてくれます。このまま、純粋に算数を楽しんでほしいです。数才クラスでも楽しそうに難問に挑戦している姿が見られます。</t>
    <rPh sb="0" eb="2">
      <t>ジュギョウ</t>
    </rPh>
    <rPh sb="3" eb="5">
      <t>シュウチュウ</t>
    </rPh>
    <rPh sb="7" eb="8">
      <t>ト</t>
    </rPh>
    <rPh sb="9" eb="10">
      <t>ク</t>
    </rPh>
    <rPh sb="22" eb="24">
      <t>トクイ</t>
    </rPh>
    <rPh sb="27" eb="29">
      <t>ヒョウジョウ</t>
    </rPh>
    <rPh sb="47" eb="48">
      <t>ミ</t>
    </rPh>
    <rPh sb="60" eb="62">
      <t>ジュンスイ</t>
    </rPh>
    <rPh sb="63" eb="65">
      <t>サンスウ</t>
    </rPh>
    <rPh sb="66" eb="67">
      <t>タノ</t>
    </rPh>
    <rPh sb="76" eb="78">
      <t>スウサイ</t>
    </rPh>
    <rPh sb="83" eb="84">
      <t>タノ</t>
    </rPh>
    <rPh sb="88" eb="90">
      <t>ナンモン</t>
    </rPh>
    <rPh sb="91" eb="93">
      <t>チョウセン</t>
    </rPh>
    <rPh sb="97" eb="98">
      <t>スガタ</t>
    </rPh>
    <rPh sb="99" eb="100">
      <t>ミ</t>
    </rPh>
    <phoneticPr fontId="1"/>
  </si>
  <si>
    <t>授業用ノート評価A、宿題提出率１００％、発言ポイント１８（No.4）。毎時間意欲的に取り組めています。難しい問題も自分なりに考えられていてすばらしい！２学期も継続しよう‼</t>
    <rPh sb="0" eb="3">
      <t>ジュギョウヨウ</t>
    </rPh>
    <rPh sb="6" eb="8">
      <t>ヒョウカ</t>
    </rPh>
    <rPh sb="10" eb="15">
      <t>シュクダイテイシュツリツ</t>
    </rPh>
    <rPh sb="20" eb="22">
      <t>ハツゲン</t>
    </rPh>
    <phoneticPr fontId="1"/>
  </si>
  <si>
    <t>授業内での発言回数も多く、積極的に取り組む姿が見られた。</t>
    <rPh sb="0" eb="3">
      <t>ジュギョウナイ</t>
    </rPh>
    <rPh sb="5" eb="9">
      <t>ハツゲンカイスウ</t>
    </rPh>
    <rPh sb="10" eb="11">
      <t>オオ</t>
    </rPh>
    <rPh sb="13" eb="16">
      <t>セッキョクテキ</t>
    </rPh>
    <rPh sb="17" eb="18">
      <t>ト</t>
    </rPh>
    <rPh sb="19" eb="20">
      <t>ク</t>
    </rPh>
    <rPh sb="21" eb="22">
      <t>スガタ</t>
    </rPh>
    <rPh sb="23" eb="24">
      <t>ミ</t>
    </rPh>
    <phoneticPr fontId="1"/>
  </si>
  <si>
    <t>提出物が1度も出されていない。授業中も集中できていない様子が見られた。</t>
    <rPh sb="0" eb="3">
      <t>テイシュツブツ</t>
    </rPh>
    <rPh sb="5" eb="6">
      <t>ド</t>
    </rPh>
    <rPh sb="7" eb="8">
      <t>ダ</t>
    </rPh>
    <rPh sb="15" eb="17">
      <t>ジュギョウ</t>
    </rPh>
    <rPh sb="17" eb="18">
      <t>ナカ</t>
    </rPh>
    <rPh sb="19" eb="21">
      <t>シュウチュウ</t>
    </rPh>
    <rPh sb="27" eb="29">
      <t>ヨウス</t>
    </rPh>
    <rPh sb="30" eb="31">
      <t>ミ</t>
    </rPh>
    <phoneticPr fontId="1"/>
  </si>
  <si>
    <t>提出物について、未提出が多い。</t>
    <rPh sb="0" eb="3">
      <t>テイシュツブツ</t>
    </rPh>
    <rPh sb="8" eb="11">
      <t>ミテイシュツ</t>
    </rPh>
    <rPh sb="12" eb="13">
      <t>オオ</t>
    </rPh>
    <phoneticPr fontId="1"/>
  </si>
  <si>
    <t>知識・技能(定期テスト・ワークテスト）</t>
  </si>
  <si>
    <t>思考力・表現力・判断力（音読・リスニング・英作文）</t>
    <rPh sb="12" eb="14">
      <t>オンドク</t>
    </rPh>
    <phoneticPr fontId="1"/>
  </si>
  <si>
    <t>主体的に学習に取り組む態度（授業態度・宿題提出率・ミニテスト）</t>
  </si>
  <si>
    <t>5</t>
  </si>
  <si>
    <t>1</t>
  </si>
  <si>
    <t>3</t>
  </si>
  <si>
    <t>4</t>
  </si>
  <si>
    <t>知識・技能(提出物、演奏聴取、ワークシート)</t>
    <rPh sb="0" eb="2">
      <t>チシキ</t>
    </rPh>
    <rPh sb="3" eb="5">
      <t>ギノウ</t>
    </rPh>
    <rPh sb="6" eb="9">
      <t>テイシュツブツ</t>
    </rPh>
    <rPh sb="10" eb="14">
      <t>エンソウチョウシュ</t>
    </rPh>
    <phoneticPr fontId="1"/>
  </si>
  <si>
    <t>思考力・判断力・表現力(提出物、演奏聴取、ワークシート)</t>
    <rPh sb="0" eb="3">
      <t>シコウリョク</t>
    </rPh>
    <rPh sb="4" eb="7">
      <t>ハンダンリョク</t>
    </rPh>
    <rPh sb="8" eb="11">
      <t>ヒョウゲンリョク</t>
    </rPh>
    <rPh sb="12" eb="15">
      <t>テイシュツブツ</t>
    </rPh>
    <rPh sb="16" eb="20">
      <t>エンソウチョウシュ</t>
    </rPh>
    <phoneticPr fontId="1"/>
  </si>
  <si>
    <t>主体的に学習に取り組む態度</t>
    <rPh sb="0" eb="3">
      <t>シュタイテキ</t>
    </rPh>
    <rPh sb="4" eb="6">
      <t>ガクシュウ</t>
    </rPh>
    <rPh sb="7" eb="8">
      <t>ト</t>
    </rPh>
    <rPh sb="9" eb="10">
      <t>ク</t>
    </rPh>
    <rPh sb="11" eb="13">
      <t>タイド</t>
    </rPh>
    <phoneticPr fontId="1"/>
  </si>
  <si>
    <t>授業の出席が少なかったです。忘れ物も目立ちました。</t>
    <rPh sb="0" eb="2">
      <t>ジュギョウ</t>
    </rPh>
    <rPh sb="3" eb="5">
      <t>シュッセキ</t>
    </rPh>
    <rPh sb="6" eb="7">
      <t>スク</t>
    </rPh>
    <rPh sb="14" eb="15">
      <t>ワス</t>
    </rPh>
    <rPh sb="16" eb="17">
      <t>モノ</t>
    </rPh>
    <rPh sb="18" eb="20">
      <t>メダ</t>
    </rPh>
    <phoneticPr fontId="1"/>
  </si>
  <si>
    <t>主体的な態度（振り返りシート・授業態度・提出物・持ち物）</t>
  </si>
  <si>
    <t>知識・技能（実技テスト）</t>
    <rPh sb="6" eb="8">
      <t>ジツギ</t>
    </rPh>
    <phoneticPr fontId="1"/>
  </si>
  <si>
    <t>思考力・表現力・判断力（実技テスト・授業での練習）</t>
    <rPh sb="12" eb="14">
      <t>ジツギ</t>
    </rPh>
    <rPh sb="18" eb="20">
      <t>ジュギョウ</t>
    </rPh>
    <rPh sb="22" eb="24">
      <t>レンシュウ</t>
    </rPh>
    <phoneticPr fontId="1"/>
  </si>
  <si>
    <t>主体的に学習に取り組む態度（授業態度）</t>
    <rPh sb="14" eb="18">
      <t>ジュギョウタイド</t>
    </rPh>
    <phoneticPr fontId="1"/>
  </si>
  <si>
    <t>思考力・表現力・判断力（調理実習・レポート・ノート）</t>
    <rPh sb="12" eb="16">
      <t>チョウリジッシュウ</t>
    </rPh>
    <phoneticPr fontId="18"/>
  </si>
  <si>
    <t>【まとめテスト９６点A、GWレポートA、調理実習レポートA、ノートA】</t>
    <rPh sb="9" eb="10">
      <t>テン</t>
    </rPh>
    <rPh sb="20" eb="24">
      <t>チョウリジッシュウ</t>
    </rPh>
    <phoneticPr fontId="1"/>
  </si>
  <si>
    <t>【GWレポートC】
期日から遅れて提出したものの、「特にない」「（手伝いを）しない」と書いて提出。「靴ならべでも食器運びでもなんでもいいから、お家の手伝いをやってみようよ。」という教師からの声かけにも、「これでいい。」との一点張り。ゆで卵の観察の時は、楽しそうにレポートを書いていた。</t>
    <rPh sb="10" eb="12">
      <t>キジツ</t>
    </rPh>
    <rPh sb="14" eb="15">
      <t>オク</t>
    </rPh>
    <rPh sb="17" eb="19">
      <t>テイシュツ</t>
    </rPh>
    <rPh sb="26" eb="27">
      <t>トク</t>
    </rPh>
    <rPh sb="33" eb="35">
      <t>テツダ</t>
    </rPh>
    <rPh sb="43" eb="44">
      <t>カ</t>
    </rPh>
    <rPh sb="46" eb="48">
      <t>テイシュツ</t>
    </rPh>
    <rPh sb="50" eb="51">
      <t>クツ</t>
    </rPh>
    <rPh sb="56" eb="58">
      <t>ショッキ</t>
    </rPh>
    <rPh sb="58" eb="59">
      <t>ハコ</t>
    </rPh>
    <rPh sb="72" eb="73">
      <t>ウチ</t>
    </rPh>
    <rPh sb="74" eb="76">
      <t>テツダ</t>
    </rPh>
    <rPh sb="90" eb="92">
      <t>キョウシ</t>
    </rPh>
    <rPh sb="95" eb="96">
      <t>コエ</t>
    </rPh>
    <rPh sb="111" eb="114">
      <t>イッテンバ</t>
    </rPh>
    <rPh sb="118" eb="119">
      <t>タマゴ</t>
    </rPh>
    <rPh sb="120" eb="122">
      <t>カンサツ</t>
    </rPh>
    <rPh sb="123" eb="124">
      <t>トキ</t>
    </rPh>
    <rPh sb="126" eb="127">
      <t>タノ</t>
    </rPh>
    <rPh sb="136" eb="137">
      <t>カ</t>
    </rPh>
    <phoneticPr fontId="1"/>
  </si>
  <si>
    <t>【まとめテスト７２点B、GWレポートA、調理実習レポートA、ノートB】
私語が多い。周りを巻き込んで色々話しているので、集中してほしい。自分から積極的に発言する姿が見られ、やる気はあるのにもったいない。ノートを忘れたり、調理実習の日に給食着を忘れたり、忘れ物が多くあった。また、ノートも途中までしか書いていない時があった。後半、家庭科のノートを用意できたので、２学期はしっかりと書いてほしい。</t>
    <rPh sb="36" eb="38">
      <t>シゴ</t>
    </rPh>
    <rPh sb="39" eb="40">
      <t>オオ</t>
    </rPh>
    <rPh sb="42" eb="43">
      <t>マワ</t>
    </rPh>
    <rPh sb="45" eb="46">
      <t>マ</t>
    </rPh>
    <rPh sb="47" eb="48">
      <t>コ</t>
    </rPh>
    <rPh sb="50" eb="52">
      <t>イロイロ</t>
    </rPh>
    <rPh sb="52" eb="53">
      <t>ハナ</t>
    </rPh>
    <rPh sb="60" eb="62">
      <t>シュウチュウ</t>
    </rPh>
    <rPh sb="68" eb="70">
      <t>ジブン</t>
    </rPh>
    <rPh sb="72" eb="75">
      <t>セッキョクテキ</t>
    </rPh>
    <rPh sb="76" eb="78">
      <t>ハツゲン</t>
    </rPh>
    <rPh sb="80" eb="81">
      <t>スガタ</t>
    </rPh>
    <rPh sb="82" eb="83">
      <t>ミ</t>
    </rPh>
    <rPh sb="88" eb="89">
      <t>キ</t>
    </rPh>
    <rPh sb="105" eb="106">
      <t>ワス</t>
    </rPh>
    <rPh sb="110" eb="114">
      <t>チョウリジッシュウ</t>
    </rPh>
    <rPh sb="115" eb="116">
      <t>ヒ</t>
    </rPh>
    <rPh sb="117" eb="120">
      <t>キュウショクギ</t>
    </rPh>
    <rPh sb="121" eb="122">
      <t>ワス</t>
    </rPh>
    <rPh sb="126" eb="127">
      <t>ワス</t>
    </rPh>
    <rPh sb="128" eb="129">
      <t>モノ</t>
    </rPh>
    <rPh sb="130" eb="131">
      <t>オオ</t>
    </rPh>
    <rPh sb="143" eb="145">
      <t>トチュウ</t>
    </rPh>
    <rPh sb="149" eb="150">
      <t>カ</t>
    </rPh>
    <rPh sb="155" eb="156">
      <t>トキ</t>
    </rPh>
    <rPh sb="161" eb="163">
      <t>コウハン</t>
    </rPh>
    <rPh sb="164" eb="167">
      <t>カテイカ</t>
    </rPh>
    <rPh sb="172" eb="174">
      <t>ヨウイ</t>
    </rPh>
    <rPh sb="181" eb="183">
      <t>ガッキ</t>
    </rPh>
    <rPh sb="189" eb="190">
      <t>カ</t>
    </rPh>
    <phoneticPr fontId="1"/>
  </si>
  <si>
    <t>【まとめテスト８０点A、GWレポートA、調理実習レポートA、ノートA】
調理実習のとき、ものすごく手際がよい。包丁を使ったじゃがいもの皮むきが上手だった。</t>
    <rPh sb="36" eb="40">
      <t>チョウリジッシュウ</t>
    </rPh>
    <rPh sb="49" eb="51">
      <t>テギワ</t>
    </rPh>
    <rPh sb="55" eb="57">
      <t>ホウチョウ</t>
    </rPh>
    <rPh sb="58" eb="59">
      <t>ツカ</t>
    </rPh>
    <rPh sb="67" eb="68">
      <t>カワ</t>
    </rPh>
    <rPh sb="71" eb="73">
      <t>ジョウズ</t>
    </rPh>
    <phoneticPr fontId="1"/>
  </si>
  <si>
    <t>【まとめテスト８９点A、GWレポートA、調理実習レポートA、ノートB】
家庭科のノートをなかなか用意せず、違うノートに書いて提出したことがあった。後半、ノートを用意したので、２学期はしっかりと書いて提出してほしい。</t>
    <rPh sb="36" eb="39">
      <t>カテイカ</t>
    </rPh>
    <rPh sb="48" eb="50">
      <t>ヨウイ</t>
    </rPh>
    <rPh sb="53" eb="54">
      <t>チガ</t>
    </rPh>
    <rPh sb="59" eb="60">
      <t>カ</t>
    </rPh>
    <rPh sb="62" eb="64">
      <t>テイシュツ</t>
    </rPh>
    <rPh sb="73" eb="75">
      <t>コウハン</t>
    </rPh>
    <rPh sb="80" eb="82">
      <t>ヨウイ</t>
    </rPh>
    <rPh sb="88" eb="90">
      <t>ガッキ</t>
    </rPh>
    <rPh sb="96" eb="97">
      <t>カ</t>
    </rPh>
    <rPh sb="99" eb="101">
      <t>テイシュツ</t>
    </rPh>
    <phoneticPr fontId="1"/>
  </si>
  <si>
    <t>【まとめテスト８３点B（水からゆでるもの、お湯からゆでるものが分かっていない）、GWレポートA、調理実習レポートA、ノートA】</t>
    <rPh sb="12" eb="13">
      <t>ミズ</t>
    </rPh>
    <rPh sb="22" eb="23">
      <t>ユ</t>
    </rPh>
    <rPh sb="31" eb="32">
      <t>ワ</t>
    </rPh>
    <phoneticPr fontId="1"/>
  </si>
  <si>
    <t>「いこいの広場」では、責任ある行動とはどんなものなのか、みんなで話し合い、考えを深めました。「みんなの広場」で、キャッチボールをしようとしていた中学生と、それを注意したおじさんの話から、共同で使う場所は、みんなで譲り合ったり、折り合いをつけたりすることで、みんなが楽しい場所にすることが大切だと考えました。</t>
    <rPh sb="93" eb="95">
      <t>キョウドウ</t>
    </rPh>
    <rPh sb="96" eb="97">
      <t>ツカ</t>
    </rPh>
    <rPh sb="98" eb="100">
      <t>バショ</t>
    </rPh>
    <rPh sb="106" eb="107">
      <t>ユズ</t>
    </rPh>
    <rPh sb="108" eb="109">
      <t>ア</t>
    </rPh>
    <rPh sb="113" eb="114">
      <t>オ</t>
    </rPh>
    <rPh sb="115" eb="116">
      <t>ア</t>
    </rPh>
    <rPh sb="132" eb="133">
      <t>タノ</t>
    </rPh>
    <rPh sb="135" eb="137">
      <t>バショ</t>
    </rPh>
    <rPh sb="143" eb="145">
      <t>タイセツ</t>
    </rPh>
    <rPh sb="147" eb="148">
      <t>カンガ</t>
    </rPh>
    <phoneticPr fontId="1"/>
  </si>
  <si>
    <t>「わたしは飼育委員」では、自分の役割を果たすためには、どんなことが大切なのか考えました。最初は飼育委員の仕事に後ろ向きだった加菜が、最後の場面では足取りが軽くなって教室へ戻る姿を見て、人の行動を認め、声にして伝える素晴らしさと、任されたからには責任をもって役割を果たす大切さについて、あらためて気づきました。</t>
    <rPh sb="5" eb="9">
      <t>シイクイイン</t>
    </rPh>
    <rPh sb="13" eb="15">
      <t>ジブン</t>
    </rPh>
    <rPh sb="16" eb="18">
      <t>ヤクワリ</t>
    </rPh>
    <rPh sb="19" eb="20">
      <t>ハ</t>
    </rPh>
    <rPh sb="33" eb="35">
      <t>タイセツ</t>
    </rPh>
    <rPh sb="38" eb="39">
      <t>カンガ</t>
    </rPh>
    <rPh sb="44" eb="46">
      <t>サイショ</t>
    </rPh>
    <rPh sb="47" eb="51">
      <t>シイクイイン</t>
    </rPh>
    <rPh sb="52" eb="54">
      <t>シゴト</t>
    </rPh>
    <rPh sb="55" eb="56">
      <t>ウシ</t>
    </rPh>
    <rPh sb="57" eb="58">
      <t>ム</t>
    </rPh>
    <rPh sb="62" eb="63">
      <t>カ</t>
    </rPh>
    <rPh sb="63" eb="64">
      <t>ナ</t>
    </rPh>
    <rPh sb="66" eb="68">
      <t>サイゴ</t>
    </rPh>
    <rPh sb="69" eb="71">
      <t>バメン</t>
    </rPh>
    <rPh sb="73" eb="75">
      <t>アシド</t>
    </rPh>
    <rPh sb="77" eb="78">
      <t>カル</t>
    </rPh>
    <rPh sb="82" eb="84">
      <t>キョウシツ</t>
    </rPh>
    <rPh sb="85" eb="86">
      <t>モド</t>
    </rPh>
    <rPh sb="87" eb="88">
      <t>スガタ</t>
    </rPh>
    <rPh sb="89" eb="90">
      <t>ミ</t>
    </rPh>
    <rPh sb="92" eb="93">
      <t>ヒト</t>
    </rPh>
    <rPh sb="94" eb="96">
      <t>コウドウ</t>
    </rPh>
    <rPh sb="97" eb="98">
      <t>ミト</t>
    </rPh>
    <rPh sb="100" eb="101">
      <t>コエ</t>
    </rPh>
    <rPh sb="104" eb="105">
      <t>ツタ</t>
    </rPh>
    <rPh sb="107" eb="109">
      <t>スバ</t>
    </rPh>
    <rPh sb="114" eb="115">
      <t>マカ</t>
    </rPh>
    <rPh sb="122" eb="124">
      <t>セキニン</t>
    </rPh>
    <rPh sb="128" eb="130">
      <t>ヤクワリ</t>
    </rPh>
    <rPh sb="131" eb="132">
      <t>ハ</t>
    </rPh>
    <rPh sb="134" eb="136">
      <t>タイセツ</t>
    </rPh>
    <rPh sb="147" eb="148">
      <t>キ</t>
    </rPh>
    <phoneticPr fontId="1"/>
  </si>
  <si>
    <t>道徳の授業を受けることはできませんでしたが、日常生活の中で、道徳的な頑張りと成長が見られました。図書委員会の仕事を、担当の先生といっしょに取り組む姿があり、役割を責任を持って果たそうとする姿勢が感じられました。また、休み時間にみんなで遊ぶときには、自分だけでなく、みんなが楽しめることを考えて遊ぶ姿が見られました。</t>
    <rPh sb="0" eb="2">
      <t>ドウトク</t>
    </rPh>
    <rPh sb="3" eb="5">
      <t>ジュギョウ</t>
    </rPh>
    <rPh sb="6" eb="7">
      <t>ウ</t>
    </rPh>
    <rPh sb="22" eb="26">
      <t>ニチジョウセイカツ</t>
    </rPh>
    <rPh sb="27" eb="28">
      <t>ナカ</t>
    </rPh>
    <rPh sb="30" eb="33">
      <t>ドウトクテキ</t>
    </rPh>
    <rPh sb="34" eb="36">
      <t>ガンバ</t>
    </rPh>
    <rPh sb="38" eb="40">
      <t>セイチョウ</t>
    </rPh>
    <rPh sb="41" eb="42">
      <t>ミ</t>
    </rPh>
    <rPh sb="48" eb="53">
      <t>トショイインカイ</t>
    </rPh>
    <rPh sb="54" eb="56">
      <t>シゴト</t>
    </rPh>
    <rPh sb="58" eb="60">
      <t>タントウ</t>
    </rPh>
    <rPh sb="61" eb="63">
      <t>センセイ</t>
    </rPh>
    <rPh sb="69" eb="70">
      <t>ト</t>
    </rPh>
    <rPh sb="71" eb="72">
      <t>ク</t>
    </rPh>
    <rPh sb="73" eb="74">
      <t>スガタ</t>
    </rPh>
    <rPh sb="78" eb="80">
      <t>ヤクワリ</t>
    </rPh>
    <rPh sb="81" eb="83">
      <t>セキニン</t>
    </rPh>
    <rPh sb="84" eb="85">
      <t>モ</t>
    </rPh>
    <rPh sb="87" eb="88">
      <t>ハ</t>
    </rPh>
    <rPh sb="108" eb="109">
      <t>ヤス</t>
    </rPh>
    <rPh sb="110" eb="112">
      <t>ジカン</t>
    </rPh>
    <rPh sb="117" eb="118">
      <t>アソ</t>
    </rPh>
    <rPh sb="124" eb="126">
      <t>ジブン</t>
    </rPh>
    <rPh sb="136" eb="137">
      <t>タノ</t>
    </rPh>
    <rPh sb="143" eb="144">
      <t>カンガ</t>
    </rPh>
    <rPh sb="146" eb="147">
      <t>アソ</t>
    </rPh>
    <rPh sb="148" eb="149">
      <t>スガタ</t>
    </rPh>
    <rPh sb="150" eb="151">
      <t>ミ</t>
    </rPh>
    <phoneticPr fontId="1"/>
  </si>
  <si>
    <t>「わたしは飼育委員」では、自分の役割を果たすためには、どんなことが大切なのか考えました。最初は飼育委員の仕事に後ろ向きだった加菜が、最後の場面では足取りが軽くなって教室へ戻る姿を見て、責任をもって役割を果たす大切さと、自分がしっかり仕事をしたことがみんなの役に立ったという実感が、充実感につながると考えました。</t>
    <rPh sb="92" eb="94">
      <t>セキニン</t>
    </rPh>
    <rPh sb="98" eb="100">
      <t>ヤクワリ</t>
    </rPh>
    <rPh sb="101" eb="102">
      <t>ハ</t>
    </rPh>
    <rPh sb="104" eb="106">
      <t>タイセツ</t>
    </rPh>
    <rPh sb="109" eb="111">
      <t>ジブン</t>
    </rPh>
    <rPh sb="116" eb="118">
      <t>シゴト</t>
    </rPh>
    <rPh sb="128" eb="129">
      <t>ヤク</t>
    </rPh>
    <rPh sb="130" eb="131">
      <t>タ</t>
    </rPh>
    <rPh sb="136" eb="138">
      <t>ジッカン</t>
    </rPh>
    <rPh sb="140" eb="143">
      <t>ジュウジツカン</t>
    </rPh>
    <rPh sb="149" eb="150">
      <t>カンガ</t>
    </rPh>
    <phoneticPr fontId="1"/>
  </si>
  <si>
    <t>「わたしは飼育委員」では、自分の役割を果たすためには、どんなことが大切なのか考えました。最初は飼育委員の仕事に後ろ向きだった加菜が、最後の場面では足取りが軽くなって教室へ戻る姿を見て、自分の仕事で喜んでくれる人の存在がやりがいになることに気づきました。また、前向きに取り組む気持ちで、役割を果たすことが大切だと考えました。</t>
    <rPh sb="92" eb="94">
      <t>ジブン</t>
    </rPh>
    <rPh sb="95" eb="97">
      <t>シゴト</t>
    </rPh>
    <rPh sb="98" eb="99">
      <t>ヨロコ</t>
    </rPh>
    <rPh sb="104" eb="105">
      <t>ヒト</t>
    </rPh>
    <rPh sb="106" eb="108">
      <t>ソンザイ</t>
    </rPh>
    <rPh sb="119" eb="120">
      <t>キ</t>
    </rPh>
    <rPh sb="129" eb="131">
      <t>マエム</t>
    </rPh>
    <rPh sb="133" eb="134">
      <t>ト</t>
    </rPh>
    <rPh sb="135" eb="136">
      <t>ク</t>
    </rPh>
    <rPh sb="137" eb="139">
      <t>キモ</t>
    </rPh>
    <rPh sb="142" eb="144">
      <t>ヤクワリ</t>
    </rPh>
    <rPh sb="145" eb="146">
      <t>ハ</t>
    </rPh>
    <rPh sb="151" eb="153">
      <t>タイセツ</t>
    </rPh>
    <rPh sb="155" eb="156">
      <t>カンガ</t>
    </rPh>
    <phoneticPr fontId="1"/>
  </si>
  <si>
    <t>「夢を実現するためには」では、夢や目標を実現するために大切なのはどんなことなのか考えました。また、目標達成シートを使った学習活動では、よりよい１年にするための項目で、「相手の気持ちを考える」や「思いやる」、「えがお」など、みんなで良い雰囲気を作っていくために大切にしたい温かな言葉をたくさん書くことができました。</t>
    <rPh sb="49" eb="53">
      <t>モクヒョウタッセイ</t>
    </rPh>
    <rPh sb="57" eb="58">
      <t>ツカ</t>
    </rPh>
    <rPh sb="60" eb="64">
      <t>ガクシュウカツドウ</t>
    </rPh>
    <rPh sb="72" eb="73">
      <t>ネン</t>
    </rPh>
    <rPh sb="79" eb="81">
      <t>コウモク</t>
    </rPh>
    <rPh sb="84" eb="86">
      <t>アイテ</t>
    </rPh>
    <rPh sb="87" eb="89">
      <t>キモ</t>
    </rPh>
    <rPh sb="91" eb="92">
      <t>カンガ</t>
    </rPh>
    <rPh sb="97" eb="98">
      <t>オモ</t>
    </rPh>
    <rPh sb="115" eb="116">
      <t>ヨ</t>
    </rPh>
    <rPh sb="117" eb="120">
      <t>フンイキ</t>
    </rPh>
    <rPh sb="121" eb="122">
      <t>ツク</t>
    </rPh>
    <rPh sb="129" eb="131">
      <t>タイセツ</t>
    </rPh>
    <rPh sb="135" eb="136">
      <t>アタタ</t>
    </rPh>
    <rPh sb="138" eb="140">
      <t>コトバ</t>
    </rPh>
    <rPh sb="145" eb="146">
      <t>カ</t>
    </rPh>
    <phoneticPr fontId="1"/>
  </si>
  <si>
    <t>「わたしは飼育委員」では、自分の役割を果たすためには、どんなことが大切なのか考えました。最初は飼育委員の仕事に後ろ向きだった加菜が、最後の場面では足取りが軽くなって教室へ戻る姿を見て、自分が頑張って仕事をしたことで、よろこんでくれたり、ほめてくれたりする言葉が、役割を果たすやりがいになるのだと気づきました。</t>
    <rPh sb="92" eb="94">
      <t>ジブン</t>
    </rPh>
    <rPh sb="95" eb="97">
      <t>ガンバ</t>
    </rPh>
    <rPh sb="99" eb="101">
      <t>シゴト</t>
    </rPh>
    <rPh sb="127" eb="129">
      <t>コトバ</t>
    </rPh>
    <rPh sb="131" eb="133">
      <t>ヤクワリ</t>
    </rPh>
    <rPh sb="134" eb="135">
      <t>ハ</t>
    </rPh>
    <rPh sb="147" eb="148">
      <t>キ</t>
    </rPh>
    <phoneticPr fontId="1"/>
  </si>
  <si>
    <t>「わたしは飼育委員」では、自分の役割を果たすためには、どんなことが大切なのか考えました。また、最初は飼育委員の仕事に後ろ向きだった加菜が、最後の場面では足取りが軽くなって教室へ戻る姿を見て、自分の仕事がみんなの役に立っている実感や、「ありがとう。」などの感謝の言葉がやりがいにつながるのだと確かめました。</t>
    <rPh sb="95" eb="97">
      <t>ジブン</t>
    </rPh>
    <rPh sb="98" eb="100">
      <t>シゴト</t>
    </rPh>
    <rPh sb="105" eb="106">
      <t>ヤク</t>
    </rPh>
    <rPh sb="127" eb="129">
      <t>カンシャ</t>
    </rPh>
    <rPh sb="130" eb="132">
      <t>コトバ</t>
    </rPh>
    <rPh sb="145" eb="146">
      <t>タシ</t>
    </rPh>
    <phoneticPr fontId="1"/>
  </si>
  <si>
    <t>「いこいの広場」では、責任ある行動とはどんなものなのか、みんなで話し合い、考えを深めました。「みんなの広場」で、キャッチボールをしようとしていた中学生と、それを注意したおじさんの話から、みんなが使う広場だからこそ、みんなが笑顔になるように気をつけなけばならないと気づきました。また、周りの気持ちを考えることがみんなが安全に楽しく遊べることにつながると考えました。</t>
    <rPh sb="97" eb="98">
      <t>ツカ</t>
    </rPh>
    <rPh sb="99" eb="101">
      <t>ヒロバ</t>
    </rPh>
    <rPh sb="111" eb="113">
      <t>エガオ</t>
    </rPh>
    <rPh sb="119" eb="120">
      <t>キ</t>
    </rPh>
    <rPh sb="131" eb="132">
      <t>キ</t>
    </rPh>
    <rPh sb="141" eb="142">
      <t>マワ</t>
    </rPh>
    <rPh sb="144" eb="146">
      <t>キモ</t>
    </rPh>
    <rPh sb="148" eb="149">
      <t>カンガ</t>
    </rPh>
    <rPh sb="158" eb="160">
      <t>アンゼン</t>
    </rPh>
    <rPh sb="161" eb="162">
      <t>タノ</t>
    </rPh>
    <rPh sb="164" eb="165">
      <t>アソ</t>
    </rPh>
    <rPh sb="175" eb="176">
      <t>カンガ</t>
    </rPh>
    <phoneticPr fontId="1"/>
  </si>
  <si>
    <t>「わたしは飼育委員」では、自分の役割を果たすためには、どんなことが大切なのか考えました。最初は飼育委員の仕事に後ろ向きだった加菜が、最後の場面では足取りが軽くなって教室へ戻る姿を見て、誰かにほめてもらえたり、一生懸命任されたことに取り組み、みんなの役に立つことが、仕事のやりがいにつながるのだと気づきました。</t>
    <rPh sb="92" eb="93">
      <t>ダレ</t>
    </rPh>
    <rPh sb="104" eb="108">
      <t>イッショウケンメイ</t>
    </rPh>
    <rPh sb="108" eb="109">
      <t>マカ</t>
    </rPh>
    <rPh sb="115" eb="116">
      <t>ト</t>
    </rPh>
    <rPh sb="117" eb="118">
      <t>ク</t>
    </rPh>
    <rPh sb="124" eb="125">
      <t>ヤク</t>
    </rPh>
    <rPh sb="126" eb="127">
      <t>タ</t>
    </rPh>
    <rPh sb="132" eb="134">
      <t>シゴト</t>
    </rPh>
    <rPh sb="147" eb="148">
      <t>キ</t>
    </rPh>
    <phoneticPr fontId="1"/>
  </si>
  <si>
    <t>「夢を実現するためには」では、夢や目標を実現するために大切なのはどんなことなのか考えました。大谷翔平選手が夢を実現できたのは、必ず目標を達成するんだという強い心と、地道な練習を日々積み重ねる努力があったからだと考えました。また、目標達成シートを使った活動では、具体的でよく考えられた内容を記入することができました。</t>
    <rPh sb="1" eb="2">
      <t>ユメ</t>
    </rPh>
    <rPh sb="3" eb="5">
      <t>ジツゲン</t>
    </rPh>
    <rPh sb="15" eb="16">
      <t>ユメ</t>
    </rPh>
    <rPh sb="17" eb="19">
      <t>モクヒョウ</t>
    </rPh>
    <rPh sb="20" eb="22">
      <t>ジツゲン</t>
    </rPh>
    <rPh sb="27" eb="29">
      <t>タイセツ</t>
    </rPh>
    <rPh sb="40" eb="41">
      <t>カンガ</t>
    </rPh>
    <rPh sb="46" eb="52">
      <t>オオタニショウヘイセンシュ</t>
    </rPh>
    <rPh sb="53" eb="54">
      <t>ユメ</t>
    </rPh>
    <rPh sb="55" eb="57">
      <t>ジツゲン</t>
    </rPh>
    <rPh sb="63" eb="64">
      <t>カナラ</t>
    </rPh>
    <rPh sb="65" eb="67">
      <t>モクヒョウ</t>
    </rPh>
    <rPh sb="68" eb="70">
      <t>タッセイ</t>
    </rPh>
    <rPh sb="77" eb="78">
      <t>ツヨ</t>
    </rPh>
    <rPh sb="79" eb="80">
      <t>ココロ</t>
    </rPh>
    <rPh sb="82" eb="84">
      <t>ジミチ</t>
    </rPh>
    <rPh sb="85" eb="87">
      <t>レンシュウ</t>
    </rPh>
    <rPh sb="88" eb="90">
      <t>ヒビ</t>
    </rPh>
    <rPh sb="90" eb="91">
      <t>ツ</t>
    </rPh>
    <rPh sb="92" eb="93">
      <t>カサ</t>
    </rPh>
    <rPh sb="95" eb="97">
      <t>ドリョク</t>
    </rPh>
    <rPh sb="105" eb="106">
      <t>カンガ</t>
    </rPh>
    <rPh sb="114" eb="118">
      <t>モクヒョウタッセイ</t>
    </rPh>
    <rPh sb="122" eb="123">
      <t>ツカ</t>
    </rPh>
    <rPh sb="125" eb="127">
      <t>カツドウ</t>
    </rPh>
    <rPh sb="130" eb="133">
      <t>グタイテキ</t>
    </rPh>
    <rPh sb="136" eb="137">
      <t>カンガ</t>
    </rPh>
    <rPh sb="141" eb="143">
      <t>ナイヨウ</t>
    </rPh>
    <rPh sb="144" eb="146">
      <t>キニュウ</t>
    </rPh>
    <phoneticPr fontId="1"/>
  </si>
  <si>
    <t>「いこいの広場」では、責任ある行動とはどんなものなのか、みんなで話し合い、考えを深めました。「みんなの広場」で、キャッチボールをしようとしていた中学生と、それを注意したおじさんの話から、「みんなの広場」は、自分たちだけが楽しく使えたらよいのではなく、その場にいるすべての人が気持ちよく使える場所であるべきだと考えました。</t>
    <rPh sb="98" eb="100">
      <t>ヒロバ</t>
    </rPh>
    <rPh sb="103" eb="105">
      <t>ジブン</t>
    </rPh>
    <rPh sb="110" eb="111">
      <t>タノ</t>
    </rPh>
    <rPh sb="113" eb="114">
      <t>ツカ</t>
    </rPh>
    <rPh sb="127" eb="128">
      <t>バ</t>
    </rPh>
    <rPh sb="135" eb="136">
      <t>ヒト</t>
    </rPh>
    <rPh sb="137" eb="139">
      <t>キモ</t>
    </rPh>
    <rPh sb="142" eb="143">
      <t>ツカ</t>
    </rPh>
    <rPh sb="145" eb="147">
      <t>バショ</t>
    </rPh>
    <rPh sb="154" eb="155">
      <t>カンガ</t>
    </rPh>
    <phoneticPr fontId="1"/>
  </si>
  <si>
    <t>「わたしは飼育委員」では、自分の役割を果たすためには、どんなことが大切なのか考えました。最初は飼育委員の仕事に後ろ向きだった加菜が、最後の場面では足取りが軽くなって教室へ戻る姿を見て、任された役割を一生懸命取り組み、それが、みんなの役に立ったのだという実感が仕事のやりがいにつながるのだと気づきました。</t>
    <rPh sb="92" eb="93">
      <t>マカ</t>
    </rPh>
    <rPh sb="96" eb="98">
      <t>ヤクワリ</t>
    </rPh>
    <rPh sb="99" eb="103">
      <t>イッショウケンメイ</t>
    </rPh>
    <rPh sb="103" eb="104">
      <t>ト</t>
    </rPh>
    <rPh sb="105" eb="106">
      <t>ク</t>
    </rPh>
    <rPh sb="116" eb="117">
      <t>ヤク</t>
    </rPh>
    <rPh sb="118" eb="119">
      <t>タ</t>
    </rPh>
    <rPh sb="126" eb="128">
      <t>ジッカン</t>
    </rPh>
    <rPh sb="129" eb="131">
      <t>シゴト</t>
    </rPh>
    <rPh sb="144" eb="145">
      <t>キ</t>
    </rPh>
    <phoneticPr fontId="1"/>
  </si>
  <si>
    <t>「いこいの広場」では、責任ある行動とはどんなものなのか、みんなで話し合い、考えを深めました。「みんなの広場」で、キャッチボールをしようとしていた中学生と、それを注意したおじさんの話から、「みんなの広場」だからこそ、みんなの気持ちを考え、だれもいやな思いをしていないか考えて使わなければならないと考えました。</t>
    <rPh sb="5" eb="7">
      <t>ヒロバ</t>
    </rPh>
    <rPh sb="98" eb="100">
      <t>ヒロバ</t>
    </rPh>
    <rPh sb="111" eb="113">
      <t>キモ</t>
    </rPh>
    <rPh sb="115" eb="116">
      <t>カンガ</t>
    </rPh>
    <rPh sb="124" eb="125">
      <t>オモ</t>
    </rPh>
    <rPh sb="133" eb="134">
      <t>カンガ</t>
    </rPh>
    <rPh sb="136" eb="137">
      <t>ツカ</t>
    </rPh>
    <rPh sb="147" eb="148">
      <t>カンガ</t>
    </rPh>
    <phoneticPr fontId="1"/>
  </si>
  <si>
    <t>「いこいの広場」では、責任ある行動とはどんなものなのか、みんなで話し合い、考えを深めました。みんなが使う場所では、周囲に対する気遣いの気持ちを持って使用することが大切だということに気づきました。また、注意されたときには、素直に受け入れて、反省の気持ちを持ち、自分自身の行動を改めることが大切だと考えました。</t>
    <rPh sb="50" eb="51">
      <t>ツカ</t>
    </rPh>
    <rPh sb="52" eb="54">
      <t>バショ</t>
    </rPh>
    <rPh sb="57" eb="59">
      <t>シュウイ</t>
    </rPh>
    <rPh sb="60" eb="61">
      <t>タイ</t>
    </rPh>
    <rPh sb="63" eb="65">
      <t>キヅカ</t>
    </rPh>
    <rPh sb="67" eb="69">
      <t>キモ</t>
    </rPh>
    <rPh sb="71" eb="72">
      <t>モ</t>
    </rPh>
    <rPh sb="74" eb="76">
      <t>シヨウ</t>
    </rPh>
    <rPh sb="81" eb="83">
      <t>タイセツ</t>
    </rPh>
    <rPh sb="90" eb="91">
      <t>キ</t>
    </rPh>
    <rPh sb="100" eb="102">
      <t>チュウイ</t>
    </rPh>
    <rPh sb="110" eb="112">
      <t>スナオ</t>
    </rPh>
    <rPh sb="113" eb="114">
      <t>ウ</t>
    </rPh>
    <rPh sb="115" eb="116">
      <t>イ</t>
    </rPh>
    <rPh sb="119" eb="121">
      <t>ハンセイ</t>
    </rPh>
    <rPh sb="122" eb="124">
      <t>キモ</t>
    </rPh>
    <rPh sb="126" eb="127">
      <t>モ</t>
    </rPh>
    <rPh sb="129" eb="133">
      <t>ジブンジシン</t>
    </rPh>
    <rPh sb="134" eb="136">
      <t>コウドウ</t>
    </rPh>
    <rPh sb="137" eb="138">
      <t>アラタ</t>
    </rPh>
    <rPh sb="143" eb="145">
      <t>タイセツ</t>
    </rPh>
    <rPh sb="147" eb="148">
      <t>カンガ</t>
    </rPh>
    <phoneticPr fontId="1"/>
  </si>
  <si>
    <t>「いこいの広場」では、責任ある行動とはどんなものなのか、みんなで話し合い、考えを深めました。公共の場所では、好き勝手に行動すると、周りの人に迷惑をかけてしまうことを確かめました。また、自分たちだけが楽しむという考えではなく、周りの人も笑顔になるためにはどうしたら良いのかと考えることが大切だと気づきました。</t>
    <rPh sb="46" eb="48">
      <t>コウキョウ</t>
    </rPh>
    <rPh sb="49" eb="51">
      <t>バショ</t>
    </rPh>
    <rPh sb="54" eb="55">
      <t>ス</t>
    </rPh>
    <rPh sb="56" eb="58">
      <t>カッテ</t>
    </rPh>
    <rPh sb="59" eb="61">
      <t>コウドウ</t>
    </rPh>
    <rPh sb="65" eb="66">
      <t>マワ</t>
    </rPh>
    <rPh sb="68" eb="69">
      <t>ヒト</t>
    </rPh>
    <rPh sb="70" eb="72">
      <t>メイワク</t>
    </rPh>
    <rPh sb="82" eb="83">
      <t>タシ</t>
    </rPh>
    <rPh sb="92" eb="94">
      <t>ジブン</t>
    </rPh>
    <rPh sb="99" eb="100">
      <t>タノ</t>
    </rPh>
    <rPh sb="105" eb="106">
      <t>カンガ</t>
    </rPh>
    <rPh sb="112" eb="113">
      <t>マワ</t>
    </rPh>
    <rPh sb="115" eb="116">
      <t>ヒト</t>
    </rPh>
    <rPh sb="117" eb="119">
      <t>エガオ</t>
    </rPh>
    <rPh sb="131" eb="132">
      <t>ヨ</t>
    </rPh>
    <rPh sb="136" eb="137">
      <t>カンガ</t>
    </rPh>
    <rPh sb="142" eb="144">
      <t>タイセツ</t>
    </rPh>
    <rPh sb="146" eb="147">
      <t>キ</t>
    </rPh>
    <phoneticPr fontId="1"/>
  </si>
  <si>
    <t>「いこいの広場」では、責任ある行動とはどんなものなのか、みんなで話し合い、考えを深めました。「みんなの広場」で、キャッチボールをしようとしていた中学生と、それを注意したおじさんの話から、「みんなの広場」だからこそ、みんなが気持ちよく過ごすことができるように、思いやる気持ちを持たなければならないと考えました。</t>
    <rPh sb="98" eb="100">
      <t>ヒロバ</t>
    </rPh>
    <rPh sb="111" eb="113">
      <t>キモ</t>
    </rPh>
    <rPh sb="116" eb="117">
      <t>ス</t>
    </rPh>
    <rPh sb="129" eb="130">
      <t>オモ</t>
    </rPh>
    <rPh sb="133" eb="135">
      <t>キモ</t>
    </rPh>
    <rPh sb="137" eb="138">
      <t>モ</t>
    </rPh>
    <rPh sb="148" eb="149">
      <t>カンガ</t>
    </rPh>
    <phoneticPr fontId="1"/>
  </si>
  <si>
    <t>「いこいの広場」では、責任ある行動とはどんなものなのか、みんなで話し合い、考えを深めました。「みんなの広場」で、キャッチボールをしようとしていた中学生と、それを注意したおじさんの話から、「みんなの広場」を使う時は、その場にいるみんなが安心して楽しく過ごせるために、他の人の気持ちを考えることや、安全に配慮することが大切だと気づきました。</t>
    <rPh sb="98" eb="100">
      <t>ヒロバ</t>
    </rPh>
    <rPh sb="102" eb="103">
      <t>ツカ</t>
    </rPh>
    <rPh sb="104" eb="105">
      <t>トキ</t>
    </rPh>
    <rPh sb="109" eb="110">
      <t>バ</t>
    </rPh>
    <rPh sb="117" eb="119">
      <t>アンシン</t>
    </rPh>
    <rPh sb="121" eb="122">
      <t>タノ</t>
    </rPh>
    <rPh sb="124" eb="125">
      <t>ス</t>
    </rPh>
    <rPh sb="132" eb="133">
      <t>タ</t>
    </rPh>
    <rPh sb="134" eb="135">
      <t>ヒト</t>
    </rPh>
    <rPh sb="136" eb="138">
      <t>キモ</t>
    </rPh>
    <rPh sb="140" eb="141">
      <t>カンガ</t>
    </rPh>
    <rPh sb="147" eb="149">
      <t>アンゼン</t>
    </rPh>
    <rPh sb="150" eb="152">
      <t>ハイリョ</t>
    </rPh>
    <rPh sb="157" eb="159">
      <t>タイセツ</t>
    </rPh>
    <rPh sb="161" eb="162">
      <t>キ</t>
    </rPh>
    <phoneticPr fontId="1"/>
  </si>
  <si>
    <t>「夢を実現するためには」では、夢や目標を実現するために大切なのはどんなことなのか考えました。大谷翔平選手が夢を実現できたのは、日々、努力を積み重ねることができたからだと考えました。また、目標達成シートを使った活動では、より良い一年間にするための項目を、具体的でよく考えられた内容で記入することができました。</t>
    <rPh sb="69" eb="70">
      <t>ツ</t>
    </rPh>
    <rPh sb="71" eb="72">
      <t>カサ</t>
    </rPh>
    <rPh sb="111" eb="112">
      <t>ヨ</t>
    </rPh>
    <rPh sb="113" eb="116">
      <t>イチネンカン</t>
    </rPh>
    <rPh sb="122" eb="124">
      <t>コウモク</t>
    </rPh>
    <phoneticPr fontId="1"/>
  </si>
  <si>
    <t>「いこいの広場」では、責任ある行動とはどんなものなのか、みんなで話し合い、考えを深めました。「みんなの広場」で、キャッチボールをしようとしていた中学生と、それを注意したおじさんの話から、「みんなの広場」の「みんな」とは、自分たちだけでなく、広場にいる全員であって、すべての人が笑顔で過ごせる場所であるべきだと考えました。</t>
    <rPh sb="5" eb="7">
      <t>ヒロバ</t>
    </rPh>
    <rPh sb="11" eb="13">
      <t>セキニン</t>
    </rPh>
    <rPh sb="15" eb="17">
      <t>コウドウ</t>
    </rPh>
    <rPh sb="32" eb="33">
      <t>ハナ</t>
    </rPh>
    <rPh sb="34" eb="35">
      <t>ア</t>
    </rPh>
    <rPh sb="37" eb="38">
      <t>カンガ</t>
    </rPh>
    <rPh sb="40" eb="41">
      <t>フカ</t>
    </rPh>
    <rPh sb="51" eb="53">
      <t>ヒロバ</t>
    </rPh>
    <rPh sb="72" eb="75">
      <t>チュウガクセイ</t>
    </rPh>
    <rPh sb="80" eb="82">
      <t>チュウイ</t>
    </rPh>
    <rPh sb="89" eb="90">
      <t>ハナ</t>
    </rPh>
    <rPh sb="98" eb="100">
      <t>ヒロバ</t>
    </rPh>
    <rPh sb="110" eb="112">
      <t>ジブン</t>
    </rPh>
    <rPh sb="120" eb="122">
      <t>ヒロバ</t>
    </rPh>
    <rPh sb="125" eb="127">
      <t>ゼンイン</t>
    </rPh>
    <rPh sb="136" eb="137">
      <t>ヒト</t>
    </rPh>
    <rPh sb="138" eb="140">
      <t>エガオ</t>
    </rPh>
    <rPh sb="141" eb="142">
      <t>ス</t>
    </rPh>
    <rPh sb="145" eb="147">
      <t>バショ</t>
    </rPh>
    <rPh sb="154" eb="155">
      <t>カンガ</t>
    </rPh>
    <phoneticPr fontId="1"/>
  </si>
  <si>
    <t>「わたしは飼育委員」では、自分の役割を果たすためには、どんなことが大切なのか考えました。最初は飼育委員の仕事に後ろ向きだった加菜が、最後の場面では足取りが軽くなって教室へ戻る姿を見て、頑張っている人に努力を認める声かけをする大切さに気づきました。また、任された仕事は、自分から進んで取り組むことが大切だと考えました。</t>
    <rPh sb="92" eb="94">
      <t>ガンバ</t>
    </rPh>
    <rPh sb="98" eb="99">
      <t>ヒト</t>
    </rPh>
    <rPh sb="100" eb="102">
      <t>ドリョク</t>
    </rPh>
    <rPh sb="103" eb="104">
      <t>ミト</t>
    </rPh>
    <rPh sb="106" eb="107">
      <t>コエ</t>
    </rPh>
    <rPh sb="112" eb="114">
      <t>タイセツ</t>
    </rPh>
    <rPh sb="116" eb="117">
      <t>キ</t>
    </rPh>
    <rPh sb="126" eb="127">
      <t>マカ</t>
    </rPh>
    <rPh sb="130" eb="132">
      <t>シゴト</t>
    </rPh>
    <rPh sb="134" eb="136">
      <t>ジブン</t>
    </rPh>
    <rPh sb="138" eb="139">
      <t>スス</t>
    </rPh>
    <rPh sb="141" eb="142">
      <t>ト</t>
    </rPh>
    <rPh sb="143" eb="144">
      <t>ク</t>
    </rPh>
    <rPh sb="148" eb="150">
      <t>タイセツ</t>
    </rPh>
    <rPh sb="152" eb="153">
      <t>カンガ</t>
    </rPh>
    <phoneticPr fontId="1"/>
  </si>
  <si>
    <t>「わたしは飼育委員」では、自分の役割を果たすためには、どんなことが大切なのか考えました。最初は飼育委員の仕事に後ろ向きだった加菜が、最後の場面では足取りが軽くなって教室へ戻る姿を見て、他の人からの頑張りを認めてくれる声かけが、やる気につながることに気づきました。また、責任をもって役割を果たす大切さに気づきました。</t>
    <rPh sb="92" eb="93">
      <t>タ</t>
    </rPh>
    <rPh sb="94" eb="95">
      <t>ヒト</t>
    </rPh>
    <rPh sb="98" eb="100">
      <t>ガンバ</t>
    </rPh>
    <rPh sb="102" eb="103">
      <t>ミト</t>
    </rPh>
    <rPh sb="115" eb="116">
      <t>キ</t>
    </rPh>
    <rPh sb="124" eb="125">
      <t>キ</t>
    </rPh>
    <rPh sb="134" eb="136">
      <t>セキニン</t>
    </rPh>
    <rPh sb="140" eb="142">
      <t>ヤクワリ</t>
    </rPh>
    <rPh sb="143" eb="144">
      <t>ハ</t>
    </rPh>
    <rPh sb="146" eb="148">
      <t>タイセツ</t>
    </rPh>
    <phoneticPr fontId="1"/>
  </si>
  <si>
    <t>愛奈さんは、小学生らしい元気の良さがとても素敵です。朝もしっかりとした元気な声で「おはようございます。」と挨拶することができていました。また、とてもはっきりとした良い声を出すことができています。授業で指名された時の声も、人前に立って話をするときの声も、とても立派です。４月の生徒会オリエンテーションでは５年生を代表して挨拶のスピーチをしました。緊張しながらもとても堂々と話をすることができていて、たくさんの先輩たちから褒めてもらいました。学習面では、積極的に手を挙げて、自分の意見をどんどん発表しようとする姿勢が見られました。ぜひ継続してほしいと思います。一方で、整理整頓ができていない時がたまにあります。後回しにせず、その都度整える習慣をつけてほしいです。体育祭では、応援係を立派に務めました。本番直前の体調不良で心配しましたが、持ち前の責任感の強さで、立派に役割を果たす姿が見られ、頼もしく思いました。２学期の活躍を期待しています。</t>
    <rPh sb="0" eb="2">
      <t>アイナ</t>
    </rPh>
    <rPh sb="6" eb="9">
      <t>ショウガクセイ</t>
    </rPh>
    <rPh sb="12" eb="14">
      <t>ゲンキ</t>
    </rPh>
    <rPh sb="15" eb="16">
      <t>ヨ</t>
    </rPh>
    <rPh sb="21" eb="23">
      <t>ステキ</t>
    </rPh>
    <rPh sb="26" eb="27">
      <t>アサ</t>
    </rPh>
    <rPh sb="35" eb="37">
      <t>ゲンキ</t>
    </rPh>
    <rPh sb="38" eb="39">
      <t>コエ</t>
    </rPh>
    <rPh sb="53" eb="55">
      <t>アイサツ</t>
    </rPh>
    <rPh sb="209" eb="210">
      <t>ホ</t>
    </rPh>
    <rPh sb="219" eb="222">
      <t>ガクシュウメン</t>
    </rPh>
    <rPh sb="265" eb="267">
      <t>ケイゾク</t>
    </rPh>
    <rPh sb="273" eb="274">
      <t>オモ</t>
    </rPh>
    <rPh sb="278" eb="280">
      <t>イッポウ</t>
    </rPh>
    <rPh sb="282" eb="286">
      <t>セイリセイトン</t>
    </rPh>
    <rPh sb="293" eb="294">
      <t>トキ</t>
    </rPh>
    <rPh sb="303" eb="305">
      <t>アトマワ</t>
    </rPh>
    <rPh sb="312" eb="314">
      <t>ツド</t>
    </rPh>
    <rPh sb="314" eb="315">
      <t>トトノ</t>
    </rPh>
    <rPh sb="317" eb="319">
      <t>シュウカン</t>
    </rPh>
    <rPh sb="329" eb="332">
      <t>タイイクサイ</t>
    </rPh>
    <rPh sb="335" eb="338">
      <t>オウエンガカリ</t>
    </rPh>
    <rPh sb="339" eb="341">
      <t>リッパ</t>
    </rPh>
    <rPh sb="342" eb="343">
      <t>ツト</t>
    </rPh>
    <rPh sb="348" eb="352">
      <t>ホンバンチョクゼン</t>
    </rPh>
    <rPh sb="353" eb="357">
      <t>タイチョウフリョウ</t>
    </rPh>
    <rPh sb="358" eb="360">
      <t>シンパイ</t>
    </rPh>
    <rPh sb="366" eb="367">
      <t>モ</t>
    </rPh>
    <rPh sb="378" eb="380">
      <t>リッパ</t>
    </rPh>
    <rPh sb="381" eb="383">
      <t>ヤクワリ</t>
    </rPh>
    <rPh sb="384" eb="385">
      <t>ハ</t>
    </rPh>
    <rPh sb="387" eb="388">
      <t>スガタ</t>
    </rPh>
    <rPh sb="389" eb="390">
      <t>ミ</t>
    </rPh>
    <rPh sb="393" eb="394">
      <t>タノ</t>
    </rPh>
    <rPh sb="397" eb="398">
      <t>オモ</t>
    </rPh>
    <rPh sb="404" eb="406">
      <t>ガッキ</t>
    </rPh>
    <rPh sb="407" eb="409">
      <t>カツヤク</t>
    </rPh>
    <rPh sb="410" eb="412">
      <t>キタイ</t>
    </rPh>
    <phoneticPr fontId="1"/>
  </si>
  <si>
    <t>子どもらしく元気いっぱいに活動した１学期でした。昼休みや放課後は、学年みんなでドッジボールをして楽しみました。また、体育祭では、応援団に立候補し、立派に役割を果たす姿を見ることができました。学習面では、授業中に、積極的に自分の意見を発表しようとする姿が見られました。また、ノートも丁寧にとることができていたように思います。宿題や提出物についても、常に漏れることなく提出することができていました。一方で、気を抜くと、姿勢が崩れてしまうことがあります。授業では、ある程度の緊張感を保つことが大切です。頑張ってほしいと思います。賢史くんが５年生になってから大きく成長したように思うのは、友達との関係です。トラブルにならないように、落ち着いて理性的に考え、行動できている姿がずいぶん増えました。また、友達に対する言葉や態度も、柔らかくなってきました。雰囲気や立ち居振る舞いに、高学年らしい落ち着きを感じるようになってきました。２学期の、さらなる成長を期待しています。</t>
    <rPh sb="0" eb="1">
      <t>コ</t>
    </rPh>
    <rPh sb="6" eb="8">
      <t>ゲンキ</t>
    </rPh>
    <rPh sb="13" eb="15">
      <t>カツドウ</t>
    </rPh>
    <rPh sb="18" eb="20">
      <t>ガッキ</t>
    </rPh>
    <rPh sb="24" eb="26">
      <t>ヒルヤス</t>
    </rPh>
    <rPh sb="28" eb="31">
      <t>ホウカゴ</t>
    </rPh>
    <rPh sb="33" eb="35">
      <t>ガクネン</t>
    </rPh>
    <rPh sb="48" eb="49">
      <t>タノ</t>
    </rPh>
    <rPh sb="58" eb="61">
      <t>タイイクサイ</t>
    </rPh>
    <rPh sb="64" eb="67">
      <t>オウエンダン</t>
    </rPh>
    <rPh sb="68" eb="71">
      <t>リッコウホ</t>
    </rPh>
    <rPh sb="73" eb="75">
      <t>リッパ</t>
    </rPh>
    <rPh sb="76" eb="78">
      <t>ヤクワリ</t>
    </rPh>
    <rPh sb="79" eb="80">
      <t>ハ</t>
    </rPh>
    <rPh sb="82" eb="83">
      <t>スガタ</t>
    </rPh>
    <rPh sb="84" eb="85">
      <t>ミ</t>
    </rPh>
    <rPh sb="95" eb="98">
      <t>ガクシュウメン</t>
    </rPh>
    <rPh sb="101" eb="104">
      <t>ジュギョウチュウ</t>
    </rPh>
    <rPh sb="106" eb="109">
      <t>セッキョクテキ</t>
    </rPh>
    <rPh sb="110" eb="112">
      <t>ジブン</t>
    </rPh>
    <rPh sb="113" eb="115">
      <t>イケン</t>
    </rPh>
    <rPh sb="116" eb="118">
      <t>ハッピョウ</t>
    </rPh>
    <rPh sb="124" eb="125">
      <t>スガタ</t>
    </rPh>
    <rPh sb="126" eb="127">
      <t>ミ</t>
    </rPh>
    <rPh sb="140" eb="142">
      <t>テイネイ</t>
    </rPh>
    <rPh sb="156" eb="157">
      <t>オモ</t>
    </rPh>
    <rPh sb="161" eb="163">
      <t>シュクダイ</t>
    </rPh>
    <rPh sb="164" eb="167">
      <t>テイシュツブツ</t>
    </rPh>
    <rPh sb="173" eb="174">
      <t>ツネ</t>
    </rPh>
    <rPh sb="175" eb="176">
      <t>モ</t>
    </rPh>
    <rPh sb="182" eb="184">
      <t>テイシュツ</t>
    </rPh>
    <rPh sb="197" eb="199">
      <t>イッポウ</t>
    </rPh>
    <rPh sb="201" eb="202">
      <t>キ</t>
    </rPh>
    <rPh sb="203" eb="204">
      <t>ヌ</t>
    </rPh>
    <rPh sb="207" eb="209">
      <t>シセイ</t>
    </rPh>
    <rPh sb="210" eb="211">
      <t>クズ</t>
    </rPh>
    <rPh sb="224" eb="226">
      <t>ジュギョウ</t>
    </rPh>
    <rPh sb="231" eb="233">
      <t>テイド</t>
    </rPh>
    <rPh sb="234" eb="237">
      <t>キンチョウカン</t>
    </rPh>
    <rPh sb="238" eb="239">
      <t>タモ</t>
    </rPh>
    <rPh sb="243" eb="245">
      <t>タイセツ</t>
    </rPh>
    <rPh sb="248" eb="250">
      <t>ガンバ</t>
    </rPh>
    <rPh sb="256" eb="257">
      <t>オモ</t>
    </rPh>
    <rPh sb="267" eb="269">
      <t>ネンセイ</t>
    </rPh>
    <rPh sb="285" eb="286">
      <t>オモ</t>
    </rPh>
    <rPh sb="337" eb="338">
      <t>フ</t>
    </rPh>
    <rPh sb="410" eb="412">
      <t>ガッキ</t>
    </rPh>
    <rPh sb="418" eb="420">
      <t>セイチョウ</t>
    </rPh>
    <rPh sb="421" eb="423">
      <t>キタイ</t>
    </rPh>
    <phoneticPr fontId="1"/>
  </si>
  <si>
    <t>毎日、落ち着いて学校生活を送ることができていました。時間については、余裕をもって次の授業の準備を整え、自分自身の目で時間を確認し、早めに行動することができていました。また、掃除の時間は、任された女子更衣室の掃除を、責任をもって美しくすることができました。何事もまじめに一生懸命取り組むことができていた妃花さんですが、休み時間は子どもらしく無邪気に遊ぶ姿も見られ、充実した１学期を過ごすことができていたように思います。体育祭では、綱引き、大玉運びのどちらも全力で取り組みました。特に大玉運びは最初苦戦しましたが、同じチームの友達がやりやすいようにうまくサポートして、見事な上達を見せました。リレー選手としての活躍も見事でした。体力測定では、シャトルランを最後まであきらめずに自分の限界に挑戦する姿が見られました。学習面では、授業中に自分の意見を積極的に発表する姿や、丁寧にノートをとる姿など、正しく頑張ることができていたように思います。２学期も継続した頑張りを期待しています。</t>
    <rPh sb="0" eb="2">
      <t>マイニチ</t>
    </rPh>
    <rPh sb="3" eb="4">
      <t>オ</t>
    </rPh>
    <rPh sb="5" eb="6">
      <t>ツ</t>
    </rPh>
    <rPh sb="8" eb="12">
      <t>ガッコウセイカツ</t>
    </rPh>
    <rPh sb="13" eb="14">
      <t>オク</t>
    </rPh>
    <rPh sb="26" eb="28">
      <t>ジカン</t>
    </rPh>
    <rPh sb="34" eb="36">
      <t>ヨユウ</t>
    </rPh>
    <rPh sb="40" eb="41">
      <t>ツギ</t>
    </rPh>
    <rPh sb="42" eb="44">
      <t>ジュギョウ</t>
    </rPh>
    <rPh sb="45" eb="47">
      <t>ジュンビ</t>
    </rPh>
    <rPh sb="48" eb="49">
      <t>トトノ</t>
    </rPh>
    <rPh sb="51" eb="55">
      <t>ジブンジシン</t>
    </rPh>
    <rPh sb="56" eb="57">
      <t>メ</t>
    </rPh>
    <rPh sb="58" eb="60">
      <t>ジカン</t>
    </rPh>
    <rPh sb="61" eb="63">
      <t>カクニン</t>
    </rPh>
    <rPh sb="65" eb="66">
      <t>ハヤ</t>
    </rPh>
    <rPh sb="68" eb="70">
      <t>コウドウ</t>
    </rPh>
    <rPh sb="86" eb="88">
      <t>ソウジ</t>
    </rPh>
    <rPh sb="89" eb="91">
      <t>ジカン</t>
    </rPh>
    <rPh sb="93" eb="94">
      <t>マカ</t>
    </rPh>
    <rPh sb="97" eb="102">
      <t>ジョシコウイシツ</t>
    </rPh>
    <rPh sb="103" eb="105">
      <t>ソウジ</t>
    </rPh>
    <rPh sb="107" eb="109">
      <t>セキニン</t>
    </rPh>
    <rPh sb="113" eb="114">
      <t>ウツク</t>
    </rPh>
    <rPh sb="127" eb="129">
      <t>ナニゴト</t>
    </rPh>
    <rPh sb="134" eb="138">
      <t>イッショウケンメイ</t>
    </rPh>
    <rPh sb="138" eb="139">
      <t>ト</t>
    </rPh>
    <rPh sb="140" eb="141">
      <t>ク</t>
    </rPh>
    <rPh sb="150" eb="152">
      <t>ヒナ</t>
    </rPh>
    <rPh sb="158" eb="159">
      <t>ヤス</t>
    </rPh>
    <rPh sb="160" eb="162">
      <t>ジカン</t>
    </rPh>
    <rPh sb="163" eb="164">
      <t>コ</t>
    </rPh>
    <rPh sb="169" eb="172">
      <t>ムジャキ</t>
    </rPh>
    <rPh sb="173" eb="174">
      <t>アソ</t>
    </rPh>
    <rPh sb="175" eb="176">
      <t>スガタ</t>
    </rPh>
    <rPh sb="177" eb="178">
      <t>ミ</t>
    </rPh>
    <rPh sb="181" eb="183">
      <t>ジュウジツ</t>
    </rPh>
    <rPh sb="186" eb="188">
      <t>ガッキ</t>
    </rPh>
    <rPh sb="189" eb="190">
      <t>ス</t>
    </rPh>
    <rPh sb="203" eb="204">
      <t>オモ</t>
    </rPh>
    <rPh sb="208" eb="211">
      <t>タイイクサイ</t>
    </rPh>
    <rPh sb="214" eb="216">
      <t>ツナヒ</t>
    </rPh>
    <rPh sb="255" eb="256">
      <t>オナ</t>
    </rPh>
    <rPh sb="261" eb="263">
      <t>トモダチ</t>
    </rPh>
    <rPh sb="282" eb="284">
      <t>ミゴト</t>
    </rPh>
    <rPh sb="285" eb="287">
      <t>ジョウタツ</t>
    </rPh>
    <rPh sb="288" eb="289">
      <t>ミ</t>
    </rPh>
    <rPh sb="297" eb="299">
      <t>センシュ</t>
    </rPh>
    <rPh sb="303" eb="305">
      <t>カツヤク</t>
    </rPh>
    <rPh sb="306" eb="308">
      <t>ミゴト</t>
    </rPh>
    <rPh sb="312" eb="316">
      <t>タイリョクソクテイ</t>
    </rPh>
    <rPh sb="326" eb="328">
      <t>サイゴ</t>
    </rPh>
    <rPh sb="336" eb="338">
      <t>ジブン</t>
    </rPh>
    <rPh sb="339" eb="341">
      <t>ゲンカイ</t>
    </rPh>
    <rPh sb="342" eb="344">
      <t>チョウセン</t>
    </rPh>
    <rPh sb="355" eb="358">
      <t>ガクシュウメン</t>
    </rPh>
    <rPh sb="361" eb="364">
      <t>ジュギョウチュウ</t>
    </rPh>
    <rPh sb="365" eb="367">
      <t>ジブン</t>
    </rPh>
    <rPh sb="368" eb="370">
      <t>イケン</t>
    </rPh>
    <rPh sb="371" eb="374">
      <t>セッキョクテキ</t>
    </rPh>
    <rPh sb="375" eb="377">
      <t>ハッピョウ</t>
    </rPh>
    <rPh sb="379" eb="380">
      <t>スガタ</t>
    </rPh>
    <rPh sb="382" eb="384">
      <t>テイネイ</t>
    </rPh>
    <rPh sb="391" eb="392">
      <t>スガタ</t>
    </rPh>
    <rPh sb="395" eb="396">
      <t>タダ</t>
    </rPh>
    <rPh sb="398" eb="400">
      <t>ガンバ</t>
    </rPh>
    <rPh sb="412" eb="413">
      <t>オモ</t>
    </rPh>
    <rPh sb="418" eb="420">
      <t>ガッキ</t>
    </rPh>
    <rPh sb="421" eb="423">
      <t>ケイゾク</t>
    </rPh>
    <rPh sb="425" eb="427">
      <t>ガンバ</t>
    </rPh>
    <rPh sb="429" eb="431">
      <t>キタイ</t>
    </rPh>
    <phoneticPr fontId="1"/>
  </si>
  <si>
    <t>１学期の５年２組の学級長として、頑張りました。学級長だけでなく、いろいろなことに積極的に挑戦し、やる以上はきっちり役割を果たそうと、責任をもって取り組めるのが樹李さんの良いところだと思います。体育祭では白組のリーダーを務め、より良い集団になるように声をかけるなど、みんなのために自分の力を使いました。大切にしてほしいと思います。学習面では、積極的に手を挙げて、自分の意見を発表しようとする姿を見ることができました。また、発表の内容も的を射ることができていて、深く考えることができている証だと思います。自主学習も、毎日提出することができました。自分の力をより伸ばそうと、能動的に学習することができていて、とても素晴らしいと思います。昼休みや放課後は、元気にグラウンドに飛び出し、学年みんなでドッジボールをして盛り上がりました。真剣に学ぶときと、楽しく遊ぶときのバランスがとても良いと思います。２学期も活躍することを期待しています。</t>
    <rPh sb="1" eb="3">
      <t>ガッキ</t>
    </rPh>
    <rPh sb="5" eb="6">
      <t>ネン</t>
    </rPh>
    <rPh sb="7" eb="8">
      <t>クミ</t>
    </rPh>
    <rPh sb="9" eb="12">
      <t>ガッキュウチョウ</t>
    </rPh>
    <rPh sb="16" eb="18">
      <t>ガンバ</t>
    </rPh>
    <rPh sb="23" eb="26">
      <t>ガッキュウチョウ</t>
    </rPh>
    <rPh sb="40" eb="43">
      <t>セッキョクテキ</t>
    </rPh>
    <rPh sb="44" eb="46">
      <t>チョウセン</t>
    </rPh>
    <rPh sb="50" eb="52">
      <t>イジョウ</t>
    </rPh>
    <rPh sb="57" eb="59">
      <t>ヤクワリ</t>
    </rPh>
    <rPh sb="60" eb="61">
      <t>ハ</t>
    </rPh>
    <rPh sb="66" eb="68">
      <t>セキニン</t>
    </rPh>
    <rPh sb="72" eb="73">
      <t>ト</t>
    </rPh>
    <rPh sb="74" eb="75">
      <t>ク</t>
    </rPh>
    <rPh sb="79" eb="81">
      <t>ジュリ</t>
    </rPh>
    <rPh sb="84" eb="85">
      <t>ヨ</t>
    </rPh>
    <rPh sb="91" eb="92">
      <t>オモ</t>
    </rPh>
    <rPh sb="96" eb="99">
      <t>タイイクサイ</t>
    </rPh>
    <rPh sb="101" eb="103">
      <t>シログミ</t>
    </rPh>
    <rPh sb="109" eb="110">
      <t>ツト</t>
    </rPh>
    <rPh sb="114" eb="115">
      <t>ヨ</t>
    </rPh>
    <rPh sb="116" eb="118">
      <t>シュウダン</t>
    </rPh>
    <rPh sb="124" eb="125">
      <t>コエ</t>
    </rPh>
    <rPh sb="139" eb="141">
      <t>ジブン</t>
    </rPh>
    <rPh sb="142" eb="143">
      <t>チカラ</t>
    </rPh>
    <rPh sb="144" eb="145">
      <t>ツカ</t>
    </rPh>
    <rPh sb="150" eb="152">
      <t>タイセツ</t>
    </rPh>
    <rPh sb="159" eb="160">
      <t>オモ</t>
    </rPh>
    <rPh sb="164" eb="167">
      <t>ガクシュウメン</t>
    </rPh>
    <rPh sb="170" eb="173">
      <t>セッキョクテキ</t>
    </rPh>
    <rPh sb="174" eb="175">
      <t>テ</t>
    </rPh>
    <rPh sb="176" eb="177">
      <t>ア</t>
    </rPh>
    <rPh sb="180" eb="182">
      <t>ジブン</t>
    </rPh>
    <rPh sb="183" eb="185">
      <t>イケン</t>
    </rPh>
    <rPh sb="186" eb="188">
      <t>ハッピョウ</t>
    </rPh>
    <rPh sb="194" eb="195">
      <t>スガタ</t>
    </rPh>
    <rPh sb="196" eb="197">
      <t>ミ</t>
    </rPh>
    <rPh sb="210" eb="212">
      <t>ハッピョウ</t>
    </rPh>
    <rPh sb="213" eb="215">
      <t>ナイヨウ</t>
    </rPh>
    <rPh sb="216" eb="217">
      <t>マト</t>
    </rPh>
    <rPh sb="218" eb="219">
      <t>イ</t>
    </rPh>
    <rPh sb="229" eb="230">
      <t>フカ</t>
    </rPh>
    <rPh sb="231" eb="232">
      <t>カンガ</t>
    </rPh>
    <rPh sb="242" eb="243">
      <t>アカシ</t>
    </rPh>
    <rPh sb="245" eb="246">
      <t>オモ</t>
    </rPh>
    <rPh sb="250" eb="254">
      <t>ジシュガクシュウ</t>
    </rPh>
    <rPh sb="256" eb="258">
      <t>マイニチ</t>
    </rPh>
    <rPh sb="258" eb="260">
      <t>テイシュツ</t>
    </rPh>
    <rPh sb="271" eb="273">
      <t>ジブン</t>
    </rPh>
    <rPh sb="274" eb="275">
      <t>チカラ</t>
    </rPh>
    <rPh sb="278" eb="279">
      <t>ノ</t>
    </rPh>
    <rPh sb="284" eb="287">
      <t>ノウドウテキ</t>
    </rPh>
    <rPh sb="288" eb="290">
      <t>ガクシュウ</t>
    </rPh>
    <rPh sb="304" eb="306">
      <t>スバ</t>
    </rPh>
    <rPh sb="310" eb="311">
      <t>オモ</t>
    </rPh>
    <rPh sb="315" eb="317">
      <t>ヒルヤス</t>
    </rPh>
    <rPh sb="319" eb="322">
      <t>ホウカゴ</t>
    </rPh>
    <rPh sb="324" eb="326">
      <t>ゲンキ</t>
    </rPh>
    <rPh sb="333" eb="334">
      <t>ト</t>
    </rPh>
    <rPh sb="335" eb="336">
      <t>ダ</t>
    </rPh>
    <rPh sb="338" eb="340">
      <t>ガクネン</t>
    </rPh>
    <rPh sb="353" eb="354">
      <t>モ</t>
    </rPh>
    <rPh sb="355" eb="356">
      <t>ア</t>
    </rPh>
    <rPh sb="362" eb="364">
      <t>シンケン</t>
    </rPh>
    <rPh sb="365" eb="366">
      <t>マナ</t>
    </rPh>
    <rPh sb="371" eb="372">
      <t>タノ</t>
    </rPh>
    <rPh sb="374" eb="375">
      <t>アソ</t>
    </rPh>
    <rPh sb="387" eb="388">
      <t>ヨ</t>
    </rPh>
    <rPh sb="390" eb="391">
      <t>オモ</t>
    </rPh>
    <rPh sb="396" eb="398">
      <t>ガッキ</t>
    </rPh>
    <rPh sb="399" eb="401">
      <t>カツヤク</t>
    </rPh>
    <rPh sb="406" eb="408">
      <t>キタイ</t>
    </rPh>
    <phoneticPr fontId="1"/>
  </si>
  <si>
    <t>明るく元気に学校生活を送ることができていました。授業では、自分の考えを発表しようと積極的に手を挙げる姿がたくさん見られました。学習に対して前向きに取り組むことができていて、とても素晴らしいです。また、ふだんから丁寧な字で書くことができています。ぜひ継続してほしいです。また、自分が興味を持てたことには夢中になって話を聞けたり、取り組めたりする姿があり、感心しました。１学期、大きく成長したと感じるのは、素直さです。教師から指摘されたことについて、自分の言い分を先に立てるのではなく、まず反省し、受け入れることができるようになりました。人が成長するためには、指摘を受け入れ、より良く変わろうとする素直さが大切さです。その気持ちが大きく成長したことをとてもうれしく思います。一方で、整理整頓については、課題が残ります。昨年までよりも頑張ってはいますが、まだまだ不十分です。引き出しの中や教材を入れる棚など、その都度美しく整えられるようになってほしいです。２学期に期待しています。</t>
    <rPh sb="0" eb="1">
      <t>アカ</t>
    </rPh>
    <rPh sb="3" eb="5">
      <t>ゲンキ</t>
    </rPh>
    <rPh sb="6" eb="10">
      <t>ガッコウセイカツ</t>
    </rPh>
    <rPh sb="11" eb="12">
      <t>オク</t>
    </rPh>
    <rPh sb="137" eb="139">
      <t>ジブン</t>
    </rPh>
    <rPh sb="140" eb="142">
      <t>キョウミ</t>
    </rPh>
    <rPh sb="143" eb="144">
      <t>モ</t>
    </rPh>
    <rPh sb="150" eb="152">
      <t>ムチュウ</t>
    </rPh>
    <rPh sb="156" eb="157">
      <t>ハナシ</t>
    </rPh>
    <rPh sb="158" eb="159">
      <t>キ</t>
    </rPh>
    <rPh sb="163" eb="164">
      <t>ト</t>
    </rPh>
    <rPh sb="165" eb="166">
      <t>ク</t>
    </rPh>
    <rPh sb="171" eb="172">
      <t>スガタ</t>
    </rPh>
    <rPh sb="176" eb="178">
      <t>カンシン</t>
    </rPh>
    <rPh sb="184" eb="186">
      <t>ガッキ</t>
    </rPh>
    <rPh sb="187" eb="188">
      <t>オオ</t>
    </rPh>
    <rPh sb="190" eb="192">
      <t>セイチョウ</t>
    </rPh>
    <rPh sb="195" eb="196">
      <t>カン</t>
    </rPh>
    <rPh sb="201" eb="203">
      <t>スナオ</t>
    </rPh>
    <rPh sb="207" eb="209">
      <t>キョウシ</t>
    </rPh>
    <rPh sb="211" eb="213">
      <t>シテキ</t>
    </rPh>
    <rPh sb="223" eb="225">
      <t>ジブン</t>
    </rPh>
    <rPh sb="226" eb="227">
      <t>イ</t>
    </rPh>
    <rPh sb="228" eb="229">
      <t>ブン</t>
    </rPh>
    <rPh sb="230" eb="231">
      <t>サキ</t>
    </rPh>
    <rPh sb="232" eb="233">
      <t>タ</t>
    </rPh>
    <rPh sb="243" eb="245">
      <t>ハンセイ</t>
    </rPh>
    <rPh sb="247" eb="248">
      <t>ウ</t>
    </rPh>
    <rPh sb="249" eb="250">
      <t>イ</t>
    </rPh>
    <rPh sb="267" eb="268">
      <t>ヒト</t>
    </rPh>
    <rPh sb="269" eb="271">
      <t>セイチョウ</t>
    </rPh>
    <rPh sb="278" eb="280">
      <t>シテキ</t>
    </rPh>
    <rPh sb="281" eb="282">
      <t>ウ</t>
    </rPh>
    <rPh sb="283" eb="284">
      <t>イ</t>
    </rPh>
    <rPh sb="288" eb="289">
      <t>ヨ</t>
    </rPh>
    <rPh sb="290" eb="291">
      <t>カ</t>
    </rPh>
    <rPh sb="297" eb="299">
      <t>スナオ</t>
    </rPh>
    <rPh sb="301" eb="303">
      <t>タイセツ</t>
    </rPh>
    <rPh sb="309" eb="311">
      <t>キモ</t>
    </rPh>
    <rPh sb="313" eb="314">
      <t>オオ</t>
    </rPh>
    <rPh sb="316" eb="318">
      <t>セイチョウ</t>
    </rPh>
    <rPh sb="330" eb="331">
      <t>オモ</t>
    </rPh>
    <rPh sb="349" eb="351">
      <t>カダイ</t>
    </rPh>
    <rPh sb="352" eb="353">
      <t>ノコ</t>
    </rPh>
    <rPh sb="357" eb="359">
      <t>サクネン</t>
    </rPh>
    <rPh sb="364" eb="366">
      <t>ガンバ</t>
    </rPh>
    <rPh sb="426" eb="428">
      <t>ガッキ</t>
    </rPh>
    <rPh sb="429" eb="431">
      <t>キタイ</t>
    </rPh>
    <phoneticPr fontId="1"/>
  </si>
  <si>
    <t>いつも朗らかで元気に学校生活を送ることができました。また、碧衣さんの穏やかながらも明るい雰囲気が、教室全体にも良い影響を与えていたと思います。授業中は、いつもしっかりと前を向き、しっかり話を聞くことができていたのが印象的でした。また、手を挙げて、自分の意見を積極的に発表する姿も見られました。自分自身も、より良い授業をつくる一人なのだと考えることができている証です。ぜひ継続してほしいと思います。ノートや宿題の字も、ふだんからとても丁寧に書くことができています。学習に対して正しく向き合えていて素晴らしいと思います。また、係の仕事など、自分に任された役割をしっかり果たそうとする責任感もあり、頼もしく感じました。休み時間は、子どもらしく無邪気に楽しそうな表情で明るく元気な姿を見ることができました。メリハリがついた、とても良い学校生活を送ることができているように思います。２学期の活躍も期待しています。</t>
    <rPh sb="3" eb="4">
      <t>ホガ</t>
    </rPh>
    <rPh sb="7" eb="9">
      <t>ゲンキ</t>
    </rPh>
    <rPh sb="10" eb="14">
      <t>ガッコウセイカツ</t>
    </rPh>
    <rPh sb="15" eb="16">
      <t>オク</t>
    </rPh>
    <rPh sb="29" eb="31">
      <t>アオイ</t>
    </rPh>
    <rPh sb="34" eb="35">
      <t>オダ</t>
    </rPh>
    <rPh sb="41" eb="42">
      <t>アカ</t>
    </rPh>
    <rPh sb="44" eb="47">
      <t>フンイキ</t>
    </rPh>
    <rPh sb="49" eb="53">
      <t>キョウシツゼンタイ</t>
    </rPh>
    <rPh sb="55" eb="56">
      <t>ヨ</t>
    </rPh>
    <rPh sb="57" eb="59">
      <t>エイキョウ</t>
    </rPh>
    <rPh sb="60" eb="61">
      <t>アタ</t>
    </rPh>
    <rPh sb="66" eb="67">
      <t>オモ</t>
    </rPh>
    <rPh sb="71" eb="74">
      <t>ジュギョウチュウ</t>
    </rPh>
    <rPh sb="84" eb="85">
      <t>マエ</t>
    </rPh>
    <rPh sb="86" eb="87">
      <t>ム</t>
    </rPh>
    <rPh sb="93" eb="94">
      <t>ハナシ</t>
    </rPh>
    <rPh sb="95" eb="96">
      <t>キ</t>
    </rPh>
    <rPh sb="117" eb="118">
      <t>テ</t>
    </rPh>
    <rPh sb="119" eb="120">
      <t>ア</t>
    </rPh>
    <rPh sb="123" eb="125">
      <t>ジブン</t>
    </rPh>
    <rPh sb="126" eb="128">
      <t>イケン</t>
    </rPh>
    <rPh sb="129" eb="132">
      <t>セッキョクテキ</t>
    </rPh>
    <rPh sb="133" eb="135">
      <t>ハッピョウ</t>
    </rPh>
    <rPh sb="137" eb="138">
      <t>スガタ</t>
    </rPh>
    <rPh sb="139" eb="140">
      <t>ミ</t>
    </rPh>
    <rPh sb="146" eb="148">
      <t>ジブン</t>
    </rPh>
    <rPh sb="148" eb="150">
      <t>ジシン</t>
    </rPh>
    <rPh sb="162" eb="164">
      <t>ヒトリ</t>
    </rPh>
    <rPh sb="168" eb="169">
      <t>カンガ</t>
    </rPh>
    <rPh sb="202" eb="204">
      <t>シュクダイ</t>
    </rPh>
    <rPh sb="205" eb="206">
      <t>ジ</t>
    </rPh>
    <rPh sb="216" eb="218">
      <t>テイネイ</t>
    </rPh>
    <rPh sb="219" eb="220">
      <t>カ</t>
    </rPh>
    <rPh sb="231" eb="233">
      <t>ガクシュウ</t>
    </rPh>
    <rPh sb="234" eb="235">
      <t>タイ</t>
    </rPh>
    <rPh sb="237" eb="238">
      <t>タダ</t>
    </rPh>
    <rPh sb="240" eb="241">
      <t>ム</t>
    </rPh>
    <rPh sb="242" eb="243">
      <t>ア</t>
    </rPh>
    <rPh sb="247" eb="249">
      <t>スバ</t>
    </rPh>
    <rPh sb="253" eb="254">
      <t>オモ</t>
    </rPh>
    <rPh sb="261" eb="262">
      <t>カカリ</t>
    </rPh>
    <rPh sb="263" eb="265">
      <t>シゴト</t>
    </rPh>
    <rPh sb="268" eb="270">
      <t>ジブン</t>
    </rPh>
    <rPh sb="271" eb="272">
      <t>マカ</t>
    </rPh>
    <rPh sb="275" eb="277">
      <t>ヤクワリ</t>
    </rPh>
    <rPh sb="282" eb="283">
      <t>ハ</t>
    </rPh>
    <rPh sb="289" eb="292">
      <t>セキニンカン</t>
    </rPh>
    <rPh sb="296" eb="297">
      <t>タノ</t>
    </rPh>
    <rPh sb="300" eb="301">
      <t>カン</t>
    </rPh>
    <rPh sb="306" eb="307">
      <t>ヤス</t>
    </rPh>
    <rPh sb="308" eb="310">
      <t>ジカン</t>
    </rPh>
    <rPh sb="312" eb="313">
      <t>コ</t>
    </rPh>
    <rPh sb="318" eb="321">
      <t>ムジャキ</t>
    </rPh>
    <rPh sb="322" eb="323">
      <t>タノ</t>
    </rPh>
    <rPh sb="327" eb="329">
      <t>ヒョウジョウ</t>
    </rPh>
    <rPh sb="330" eb="331">
      <t>アカ</t>
    </rPh>
    <rPh sb="333" eb="335">
      <t>ゲンキ</t>
    </rPh>
    <rPh sb="336" eb="337">
      <t>スガタ</t>
    </rPh>
    <rPh sb="338" eb="339">
      <t>ミ</t>
    </rPh>
    <rPh sb="361" eb="362">
      <t>ヨ</t>
    </rPh>
    <rPh sb="363" eb="367">
      <t>ガッコウセイカツ</t>
    </rPh>
    <rPh sb="368" eb="369">
      <t>オク</t>
    </rPh>
    <rPh sb="381" eb="382">
      <t>オモ</t>
    </rPh>
    <rPh sb="387" eb="389">
      <t>ガッキ</t>
    </rPh>
    <rPh sb="390" eb="392">
      <t>カツヤク</t>
    </rPh>
    <rPh sb="393" eb="395">
      <t>キタイ</t>
    </rPh>
    <phoneticPr fontId="1"/>
  </si>
  <si>
    <t>欠席４（家事都合１　風邪３）</t>
    <rPh sb="0" eb="2">
      <t>ケッセキ</t>
    </rPh>
    <rPh sb="4" eb="8">
      <t>カジツゴウ</t>
    </rPh>
    <rPh sb="10" eb="12">
      <t>カゼ</t>
    </rPh>
    <phoneticPr fontId="1"/>
  </si>
  <si>
    <t>遅刻１（体調不良１）</t>
    <rPh sb="0" eb="2">
      <t>チコク</t>
    </rPh>
    <rPh sb="4" eb="6">
      <t>タイチョウ</t>
    </rPh>
    <rPh sb="6" eb="8">
      <t>フリョウ</t>
    </rPh>
    <phoneticPr fontId="1"/>
  </si>
  <si>
    <t>欠席１（頭痛１）　遅刻１（皮膚科通院１）　早退１（吐き気）</t>
    <rPh sb="0" eb="2">
      <t>ケッセキ</t>
    </rPh>
    <rPh sb="4" eb="6">
      <t>ズツウ</t>
    </rPh>
    <rPh sb="9" eb="11">
      <t>チコク</t>
    </rPh>
    <rPh sb="13" eb="18">
      <t>ヒフカツウイン</t>
    </rPh>
    <rPh sb="21" eb="23">
      <t>ソウタイ</t>
    </rPh>
    <rPh sb="25" eb="26">
      <t>ハ</t>
    </rPh>
    <rPh sb="27" eb="28">
      <t>ケ</t>
    </rPh>
    <phoneticPr fontId="1"/>
  </si>
  <si>
    <t>出席停止６（水疱瘡６）　欠席１（発熱１）　</t>
    <rPh sb="0" eb="4">
      <t>シュッセキテイシ</t>
    </rPh>
    <rPh sb="6" eb="9">
      <t>ミズボウソウ</t>
    </rPh>
    <rPh sb="12" eb="14">
      <t>ケッセキ</t>
    </rPh>
    <rPh sb="16" eb="18">
      <t>ハツネツ</t>
    </rPh>
    <phoneticPr fontId="1"/>
  </si>
  <si>
    <t>欠席１（家事都合１）</t>
    <rPh sb="0" eb="2">
      <t>ケッセキ</t>
    </rPh>
    <rPh sb="4" eb="8">
      <t>カジツゴウ</t>
    </rPh>
    <phoneticPr fontId="1"/>
  </si>
  <si>
    <t>遅刻１（耳鼻科通院１）</t>
    <rPh sb="0" eb="2">
      <t>チコク</t>
    </rPh>
    <rPh sb="4" eb="9">
      <t>ジビカツウイン</t>
    </rPh>
    <phoneticPr fontId="1"/>
  </si>
  <si>
    <t>早退１（体調不良１）</t>
    <rPh sb="0" eb="2">
      <t>ソウタイ</t>
    </rPh>
    <rPh sb="4" eb="6">
      <t>タイチョウ</t>
    </rPh>
    <rPh sb="6" eb="8">
      <t>フリョウ</t>
    </rPh>
    <phoneticPr fontId="1"/>
  </si>
  <si>
    <t>思考力・判断力・表現力（期末テスト、音読、俳句づくり）</t>
    <rPh sb="18" eb="20">
      <t>オンドク</t>
    </rPh>
    <rPh sb="21" eb="23">
      <t>ハイク</t>
    </rPh>
    <phoneticPr fontId="1"/>
  </si>
  <si>
    <t>園芸委員会　将棋クラブ　プリント係</t>
    <rPh sb="0" eb="2">
      <t>エンゲイ</t>
    </rPh>
    <rPh sb="2" eb="5">
      <t>イインカイ</t>
    </rPh>
    <rPh sb="6" eb="8">
      <t>ショウギ</t>
    </rPh>
    <rPh sb="16" eb="17">
      <t>カカリ</t>
    </rPh>
    <phoneticPr fontId="1"/>
  </si>
  <si>
    <t>報道委員会　算数難問研究クラブ　卓球部　数才クラス　生活記録係　体育祭実行委員</t>
    <rPh sb="0" eb="5">
      <t>ホウドウイインカイ</t>
    </rPh>
    <rPh sb="6" eb="8">
      <t>サンスウ</t>
    </rPh>
    <rPh sb="8" eb="10">
      <t>ナンモン</t>
    </rPh>
    <rPh sb="10" eb="12">
      <t>ケンキュウ</t>
    </rPh>
    <rPh sb="16" eb="19">
      <t>タッキュウブ</t>
    </rPh>
    <rPh sb="20" eb="22">
      <t>スウサイ</t>
    </rPh>
    <rPh sb="26" eb="31">
      <t>セイカツキロクカカリ</t>
    </rPh>
    <rPh sb="32" eb="39">
      <t>タイイクサイジッコウイイン</t>
    </rPh>
    <phoneticPr fontId="1"/>
  </si>
  <si>
    <t>図書委員会　将棋クラブ　図工係</t>
    <rPh sb="0" eb="2">
      <t>トショ</t>
    </rPh>
    <rPh sb="2" eb="5">
      <t>イインカイ</t>
    </rPh>
    <rPh sb="6" eb="8">
      <t>ショウギ</t>
    </rPh>
    <rPh sb="12" eb="14">
      <t>ズコウ</t>
    </rPh>
    <rPh sb="14" eb="15">
      <t>カカリ</t>
    </rPh>
    <phoneticPr fontId="1"/>
  </si>
  <si>
    <t>SDGｓ委員会　算数難問研究クラブ　卓球部　電気係</t>
    <rPh sb="4" eb="7">
      <t>イインカイ</t>
    </rPh>
    <rPh sb="8" eb="10">
      <t>サンスウ</t>
    </rPh>
    <rPh sb="10" eb="14">
      <t>ナンモンケンキュウ</t>
    </rPh>
    <rPh sb="18" eb="21">
      <t>タッキュウブ</t>
    </rPh>
    <rPh sb="22" eb="25">
      <t>デンキカカリ</t>
    </rPh>
    <phoneticPr fontId="1"/>
  </si>
  <si>
    <t>倫理委員会　将棋クラブ　バスケットボール部　理科係</t>
    <rPh sb="0" eb="2">
      <t>リンリ</t>
    </rPh>
    <rPh sb="2" eb="5">
      <t>イインカイ</t>
    </rPh>
    <rPh sb="6" eb="8">
      <t>ショウギ</t>
    </rPh>
    <rPh sb="20" eb="21">
      <t>ブ</t>
    </rPh>
    <rPh sb="22" eb="25">
      <t>リカカカリ</t>
    </rPh>
    <phoneticPr fontId="1"/>
  </si>
  <si>
    <t>体育委員会　将棋クラブ　美術部　黒板係</t>
    <rPh sb="0" eb="5">
      <t>タイイクイインカイ</t>
    </rPh>
    <rPh sb="6" eb="8">
      <t>ショウギ</t>
    </rPh>
    <rPh sb="12" eb="15">
      <t>ビジュツブ</t>
    </rPh>
    <rPh sb="16" eb="19">
      <t>コクバンカカリ</t>
    </rPh>
    <phoneticPr fontId="1"/>
  </si>
  <si>
    <t>SDGｓ委員会　算数難問研究クラブ　バスケットボール部　学級長</t>
    <rPh sb="4" eb="7">
      <t>イインカイ</t>
    </rPh>
    <rPh sb="8" eb="10">
      <t>サンスウ</t>
    </rPh>
    <rPh sb="10" eb="12">
      <t>ナンモン</t>
    </rPh>
    <rPh sb="12" eb="14">
      <t>ケンキュウ</t>
    </rPh>
    <rPh sb="26" eb="27">
      <t>ブ</t>
    </rPh>
    <rPh sb="28" eb="31">
      <t>ガッキュウチョウ</t>
    </rPh>
    <phoneticPr fontId="1"/>
  </si>
  <si>
    <t>倫理委員会　歌唱クラブ　テニス部　算数係　体育祭実行委員</t>
    <rPh sb="0" eb="2">
      <t>リンリ</t>
    </rPh>
    <rPh sb="2" eb="5">
      <t>イインカイ</t>
    </rPh>
    <rPh sb="6" eb="8">
      <t>カショウ</t>
    </rPh>
    <rPh sb="15" eb="16">
      <t>ブ</t>
    </rPh>
    <rPh sb="17" eb="19">
      <t>サンスウ</t>
    </rPh>
    <rPh sb="19" eb="20">
      <t>カカリ</t>
    </rPh>
    <rPh sb="21" eb="28">
      <t>タイイクサイジッコウイイン</t>
    </rPh>
    <phoneticPr fontId="1"/>
  </si>
  <si>
    <t>環境委員会　将棋クラブ　チョーク係</t>
    <rPh sb="0" eb="5">
      <t>カンキョウイインカイ</t>
    </rPh>
    <rPh sb="6" eb="8">
      <t>ショウギ</t>
    </rPh>
    <rPh sb="16" eb="17">
      <t>カカリ</t>
    </rPh>
    <phoneticPr fontId="1"/>
  </si>
  <si>
    <t>衛生委員会　歌唱クラブ　バスケットボール部　カレンダー係</t>
    <rPh sb="0" eb="5">
      <t>エイセイイインカイ</t>
    </rPh>
    <rPh sb="6" eb="8">
      <t>カショウ</t>
    </rPh>
    <rPh sb="20" eb="21">
      <t>ブ</t>
    </rPh>
    <rPh sb="27" eb="28">
      <t>カカリ</t>
    </rPh>
    <phoneticPr fontId="1"/>
  </si>
  <si>
    <t>福祉委員会　将棋クラブ　卓球部　音楽係</t>
    <rPh sb="0" eb="2">
      <t>フクシ</t>
    </rPh>
    <rPh sb="2" eb="5">
      <t>イインカイ</t>
    </rPh>
    <rPh sb="6" eb="8">
      <t>ショウギ</t>
    </rPh>
    <rPh sb="12" eb="15">
      <t>タッキュウブ</t>
    </rPh>
    <rPh sb="16" eb="18">
      <t>オンガク</t>
    </rPh>
    <rPh sb="18" eb="19">
      <t>カカリ</t>
    </rPh>
    <phoneticPr fontId="1"/>
  </si>
  <si>
    <t>体育委員会　リペアクラブ　バスケットボール部　体育係　体育祭実行委員</t>
    <rPh sb="0" eb="5">
      <t>タイイクイインカイ</t>
    </rPh>
    <rPh sb="21" eb="22">
      <t>ブ</t>
    </rPh>
    <rPh sb="23" eb="25">
      <t>タイイク</t>
    </rPh>
    <rPh sb="25" eb="26">
      <t>カカリ</t>
    </rPh>
    <rPh sb="27" eb="34">
      <t>タイイクサイジッコウイイン</t>
    </rPh>
    <phoneticPr fontId="1"/>
  </si>
  <si>
    <t>福祉委員会　リペアクラブ　音楽係</t>
    <rPh sb="0" eb="5">
      <t>フクシイインカイ</t>
    </rPh>
    <rPh sb="13" eb="15">
      <t>オンガク</t>
    </rPh>
    <rPh sb="15" eb="16">
      <t>カカリ</t>
    </rPh>
    <phoneticPr fontId="1"/>
  </si>
  <si>
    <t>環境委員会　陶芸クラブ　社会係</t>
    <rPh sb="0" eb="5">
      <t>カンキョウイインカイ</t>
    </rPh>
    <rPh sb="6" eb="8">
      <t>トウゲイ</t>
    </rPh>
    <rPh sb="12" eb="14">
      <t>シャカイ</t>
    </rPh>
    <rPh sb="14" eb="15">
      <t>カカリ</t>
    </rPh>
    <phoneticPr fontId="1"/>
  </si>
  <si>
    <t>報道委員会　スポーツクラブ　家庭係</t>
    <rPh sb="0" eb="5">
      <t>ホウドウイインカイ</t>
    </rPh>
    <rPh sb="14" eb="16">
      <t>カテイ</t>
    </rPh>
    <rPh sb="16" eb="17">
      <t>カカリ</t>
    </rPh>
    <phoneticPr fontId="1"/>
  </si>
  <si>
    <t>園芸委員会　歌唱クラブ　英語係</t>
    <rPh sb="0" eb="5">
      <t>エンゲイイインカイ</t>
    </rPh>
    <rPh sb="6" eb="8">
      <t>カショウ</t>
    </rPh>
    <rPh sb="12" eb="14">
      <t>エイゴ</t>
    </rPh>
    <rPh sb="14" eb="15">
      <t>カカリ</t>
    </rPh>
    <phoneticPr fontId="1"/>
  </si>
  <si>
    <t>代表委員会　算数難問研究クラブ　数才クラス　算数係　体育祭実行委員</t>
    <rPh sb="0" eb="5">
      <t>ダイヒョウイインカイ</t>
    </rPh>
    <rPh sb="6" eb="8">
      <t>サンスウ</t>
    </rPh>
    <rPh sb="8" eb="12">
      <t>ナンモンケンキュウ</t>
    </rPh>
    <rPh sb="16" eb="18">
      <t>スウサイ</t>
    </rPh>
    <rPh sb="22" eb="24">
      <t>サンスウ</t>
    </rPh>
    <rPh sb="24" eb="25">
      <t>カカリ</t>
    </rPh>
    <rPh sb="26" eb="33">
      <t>タイイクサイジッコウイイン</t>
    </rPh>
    <phoneticPr fontId="1"/>
  </si>
  <si>
    <t>倫理委員会　リペアクラブ　バスケットボール部　英語係</t>
    <rPh sb="0" eb="2">
      <t>リンリ</t>
    </rPh>
    <rPh sb="2" eb="5">
      <t>イインカイ</t>
    </rPh>
    <rPh sb="21" eb="22">
      <t>ブ</t>
    </rPh>
    <rPh sb="23" eb="25">
      <t>エイゴ</t>
    </rPh>
    <rPh sb="25" eb="26">
      <t>カカリ</t>
    </rPh>
    <phoneticPr fontId="1"/>
  </si>
  <si>
    <t>図書委員会　歌唱クラブ　卓球部　国語係</t>
    <rPh sb="0" eb="2">
      <t>トショ</t>
    </rPh>
    <rPh sb="2" eb="5">
      <t>イインカイ</t>
    </rPh>
    <rPh sb="6" eb="8">
      <t>カショウ</t>
    </rPh>
    <rPh sb="12" eb="15">
      <t>タッキュウブ</t>
    </rPh>
    <rPh sb="16" eb="18">
      <t>コクゴ</t>
    </rPh>
    <rPh sb="18" eb="19">
      <t>カカリ</t>
    </rPh>
    <phoneticPr fontId="1"/>
  </si>
  <si>
    <t>代表委員会　将棋クラブ　数才クラス　理科係</t>
    <rPh sb="0" eb="5">
      <t>ダイヒョウイインカイ</t>
    </rPh>
    <rPh sb="6" eb="8">
      <t>ショウギ</t>
    </rPh>
    <rPh sb="12" eb="14">
      <t>スウサイ</t>
    </rPh>
    <rPh sb="18" eb="20">
      <t>リカ</t>
    </rPh>
    <rPh sb="20" eb="21">
      <t>カカリ</t>
    </rPh>
    <phoneticPr fontId="1"/>
  </si>
  <si>
    <t>C</t>
    <phoneticPr fontId="1"/>
  </si>
  <si>
    <t>衛生委員会　スポーツクラブ　卓球部　学級長 体育祭リーダー</t>
    <rPh sb="0" eb="2">
      <t>エイセイ</t>
    </rPh>
    <rPh sb="2" eb="5">
      <t>イインカイ</t>
    </rPh>
    <rPh sb="14" eb="17">
      <t>タッキュウブ</t>
    </rPh>
    <rPh sb="18" eb="21">
      <t>ガッキュウチョウ</t>
    </rPh>
    <rPh sb="22" eb="25">
      <t>タイイクサイ</t>
    </rPh>
    <phoneticPr fontId="1"/>
  </si>
  <si>
    <t>体育委員会　将棋クラブ　吹奏楽部　国語係　体育祭リーダー</t>
    <rPh sb="0" eb="5">
      <t>タイイクイインカイ</t>
    </rPh>
    <rPh sb="6" eb="8">
      <t>ショウギ</t>
    </rPh>
    <rPh sb="12" eb="16">
      <t>スイソウガクブ</t>
    </rPh>
    <rPh sb="17" eb="19">
      <t>コクゴ</t>
    </rPh>
    <rPh sb="19" eb="20">
      <t>カカリ</t>
    </rPh>
    <rPh sb="21" eb="24">
      <t>タイイクサイ</t>
    </rPh>
    <phoneticPr fontId="1"/>
  </si>
  <si>
    <t>毎朝、「おはようございます。」と、はきはきとした声であいさつをして、教室に入ってくるのが印象的でした。せなさんの素晴らしいところは、周りに流されることなく、自分で今すべきことを考え行動できることだと思います。特に、時間の管理は、自分の目で時計を見て、余裕を持って行動することができていました。まずやらなければならないことをしっかりと取り組み、やり切ってから自分のやりたいことをする習慣がついています。とても立派です。また、整理整頓についても、常に整った状態を保つことができていました。教科書やノートなどを入れている棚は、常に美しく保たれていて、みんなのお手本でした。また、授業では、積極的に手を挙げ、自分の意見を発表しようとする姿が見られました。受け身ではなく、積極的に授業に参加しようとする気持ちは大切です。ぜひ継続してほしいと思います。休み時間は積極的に外に出て、体を動かして遊ぶ姿が見られ、メリハリをつけた学校生活を送ることができていたように思います。２学期も継続した頑張りを期待しています。</t>
    <rPh sb="0" eb="2">
      <t>マイアサ</t>
    </rPh>
    <rPh sb="24" eb="25">
      <t>コエ</t>
    </rPh>
    <rPh sb="34" eb="36">
      <t>キョウシツ</t>
    </rPh>
    <rPh sb="37" eb="38">
      <t>ハイ</t>
    </rPh>
    <rPh sb="44" eb="47">
      <t>インショウテキ</t>
    </rPh>
    <rPh sb="56" eb="58">
      <t>スバ</t>
    </rPh>
    <rPh sb="66" eb="67">
      <t>マワ</t>
    </rPh>
    <rPh sb="69" eb="70">
      <t>ナガ</t>
    </rPh>
    <rPh sb="78" eb="80">
      <t>ジブン</t>
    </rPh>
    <rPh sb="81" eb="82">
      <t>イマ</t>
    </rPh>
    <rPh sb="88" eb="89">
      <t>カンガ</t>
    </rPh>
    <rPh sb="90" eb="92">
      <t>コウドウ</t>
    </rPh>
    <rPh sb="99" eb="100">
      <t>オモ</t>
    </rPh>
    <rPh sb="104" eb="105">
      <t>トク</t>
    </rPh>
    <rPh sb="107" eb="109">
      <t>ジカン</t>
    </rPh>
    <rPh sb="110" eb="112">
      <t>カンリ</t>
    </rPh>
    <rPh sb="166" eb="167">
      <t>ト</t>
    </rPh>
    <rPh sb="168" eb="169">
      <t>ク</t>
    </rPh>
    <rPh sb="173" eb="174">
      <t>キ</t>
    </rPh>
    <rPh sb="178" eb="180">
      <t>ジブン</t>
    </rPh>
    <rPh sb="190" eb="192">
      <t>シュウカン</t>
    </rPh>
    <rPh sb="203" eb="205">
      <t>リッパ</t>
    </rPh>
    <rPh sb="221" eb="222">
      <t>ツネ</t>
    </rPh>
    <rPh sb="242" eb="245">
      <t>キョウカショ</t>
    </rPh>
    <rPh sb="252" eb="253">
      <t>イ</t>
    </rPh>
    <rPh sb="257" eb="258">
      <t>タナ</t>
    </rPh>
    <rPh sb="260" eb="261">
      <t>ツネ</t>
    </rPh>
    <rPh sb="262" eb="263">
      <t>ウツク</t>
    </rPh>
    <rPh sb="265" eb="266">
      <t>タモ</t>
    </rPh>
    <rPh sb="277" eb="279">
      <t>テホン</t>
    </rPh>
    <rPh sb="291" eb="294">
      <t>セッキョクテキ</t>
    </rPh>
    <rPh sb="295" eb="296">
      <t>テ</t>
    </rPh>
    <rPh sb="297" eb="298">
      <t>ア</t>
    </rPh>
    <rPh sb="300" eb="302">
      <t>ジブン</t>
    </rPh>
    <rPh sb="303" eb="305">
      <t>イケン</t>
    </rPh>
    <rPh sb="306" eb="308">
      <t>ハッピョウ</t>
    </rPh>
    <rPh sb="314" eb="315">
      <t>スガタ</t>
    </rPh>
    <rPh sb="316" eb="317">
      <t>ミ</t>
    </rPh>
    <rPh sb="346" eb="348">
      <t>キモ</t>
    </rPh>
    <rPh sb="350" eb="352">
      <t>タイセツ</t>
    </rPh>
    <rPh sb="357" eb="359">
      <t>ケイゾク</t>
    </rPh>
    <rPh sb="365" eb="366">
      <t>オモ</t>
    </rPh>
    <rPh sb="370" eb="371">
      <t>ヤス</t>
    </rPh>
    <rPh sb="372" eb="374">
      <t>ジカン</t>
    </rPh>
    <rPh sb="375" eb="378">
      <t>セッキョクテキ</t>
    </rPh>
    <rPh sb="379" eb="380">
      <t>ソト</t>
    </rPh>
    <rPh sb="381" eb="382">
      <t>デ</t>
    </rPh>
    <rPh sb="384" eb="385">
      <t>カラダ</t>
    </rPh>
    <rPh sb="386" eb="387">
      <t>ウゴ</t>
    </rPh>
    <rPh sb="390" eb="391">
      <t>アソ</t>
    </rPh>
    <rPh sb="406" eb="410">
      <t>ガッコウセイカツ</t>
    </rPh>
    <rPh sb="411" eb="412">
      <t>オク</t>
    </rPh>
    <rPh sb="424" eb="425">
      <t>オモ</t>
    </rPh>
    <rPh sb="430" eb="432">
      <t>ガッキ</t>
    </rPh>
    <rPh sb="433" eb="435">
      <t>ケイゾク</t>
    </rPh>
    <rPh sb="437" eb="439">
      <t>ガンバ</t>
    </rPh>
    <rPh sb="441" eb="443">
      <t>キタイ</t>
    </rPh>
    <phoneticPr fontId="1"/>
  </si>
  <si>
    <t>授業では、いつも真剣なまなざしで、一生懸命授業を受けることができていました。頑張るのではなく、頑張り続けることを実践できていたように思います。ぜひ継続してほしいと思います。また、ノートもていねいに書くことができました。発表についても頑張りが見られましたが、まだ遠慮しているときがあるように思います。２学期は、さらに積極的に前に出てくる姿が見られたら、うれしく思います。宿題に関しては、しっかり取り組めていますが、たまに抜けていることがあったので、気をつけてほしいです。整理整頓は、常にきれいに整った状態を保つことができていました。また、掃除の時間は、誰よりも早く準備を整え、取りかかることができていました。一つ一つのことを素早く行動できています。体育祭ではリレー選手や応援団を務めました。どれも全力で取り組み、頑張り切ることができていたように思います。大変だったと思いますが、いろいろなことにチャレンジし、充実した１学期だったように思います。</t>
    <rPh sb="0" eb="2">
      <t>ジュギョウ</t>
    </rPh>
    <rPh sb="8" eb="10">
      <t>シンケン</t>
    </rPh>
    <rPh sb="17" eb="23">
      <t>イッショウケンメイジュギョウ</t>
    </rPh>
    <rPh sb="24" eb="25">
      <t>ウ</t>
    </rPh>
    <rPh sb="38" eb="40">
      <t>ガンバ</t>
    </rPh>
    <rPh sb="47" eb="49">
      <t>ガンバ</t>
    </rPh>
    <rPh sb="50" eb="51">
      <t>ツヅ</t>
    </rPh>
    <rPh sb="56" eb="58">
      <t>ジッセン</t>
    </rPh>
    <rPh sb="66" eb="67">
      <t>オモ</t>
    </rPh>
    <rPh sb="73" eb="75">
      <t>ケイゾク</t>
    </rPh>
    <rPh sb="81" eb="82">
      <t>オモ</t>
    </rPh>
    <rPh sb="98" eb="99">
      <t>カ</t>
    </rPh>
    <rPh sb="109" eb="111">
      <t>ハッピョウ</t>
    </rPh>
    <rPh sb="116" eb="118">
      <t>ガンバ</t>
    </rPh>
    <rPh sb="120" eb="121">
      <t>ミ</t>
    </rPh>
    <rPh sb="130" eb="132">
      <t>エンリョ</t>
    </rPh>
    <rPh sb="144" eb="145">
      <t>オモ</t>
    </rPh>
    <rPh sb="150" eb="152">
      <t>ガッキ</t>
    </rPh>
    <rPh sb="157" eb="160">
      <t>セッキョクテキ</t>
    </rPh>
    <rPh sb="161" eb="162">
      <t>マエ</t>
    </rPh>
    <rPh sb="163" eb="164">
      <t>デ</t>
    </rPh>
    <rPh sb="167" eb="168">
      <t>スガタ</t>
    </rPh>
    <rPh sb="169" eb="170">
      <t>ミ</t>
    </rPh>
    <rPh sb="179" eb="180">
      <t>オモ</t>
    </rPh>
    <rPh sb="184" eb="186">
      <t>シュクダイ</t>
    </rPh>
    <rPh sb="187" eb="188">
      <t>カン</t>
    </rPh>
    <rPh sb="196" eb="197">
      <t>ト</t>
    </rPh>
    <rPh sb="198" eb="199">
      <t>ク</t>
    </rPh>
    <rPh sb="209" eb="210">
      <t>ヌ</t>
    </rPh>
    <rPh sb="223" eb="224">
      <t>キ</t>
    </rPh>
    <rPh sb="240" eb="241">
      <t>ツネ</t>
    </rPh>
    <rPh sb="287" eb="288">
      <t>ト</t>
    </rPh>
    <rPh sb="311" eb="313">
      <t>スバヤ</t>
    </rPh>
    <rPh sb="323" eb="326">
      <t>タイイクサイ</t>
    </rPh>
    <rPh sb="331" eb="333">
      <t>センシュ</t>
    </rPh>
    <rPh sb="334" eb="337">
      <t>オウエンダン</t>
    </rPh>
    <rPh sb="338" eb="339">
      <t>ツト</t>
    </rPh>
    <rPh sb="347" eb="349">
      <t>ゼンリョク</t>
    </rPh>
    <rPh sb="350" eb="351">
      <t>ト</t>
    </rPh>
    <rPh sb="352" eb="353">
      <t>ク</t>
    </rPh>
    <rPh sb="355" eb="357">
      <t>ガンバ</t>
    </rPh>
    <rPh sb="358" eb="359">
      <t>キ</t>
    </rPh>
    <rPh sb="371" eb="372">
      <t>オモ</t>
    </rPh>
    <rPh sb="376" eb="378">
      <t>タイヘン</t>
    </rPh>
    <rPh sb="382" eb="383">
      <t>オモ</t>
    </rPh>
    <rPh sb="403" eb="405">
      <t>ジュウジツ</t>
    </rPh>
    <rPh sb="408" eb="410">
      <t>ガッキ</t>
    </rPh>
    <rPh sb="416" eb="417">
      <t>オモ</t>
    </rPh>
    <phoneticPr fontId="1"/>
  </si>
  <si>
    <t>明るく元気に学校生活を送ることができていたように思います。また、休み時間はみんなとドッジボールをして元気いっぱいに体を動かすことができていました。学習面では、算数のAコースに入りました。頑張っているからこそだと思います。ただ、宿題の提出については課題があります。宿題を提出することが習慣になるように、意識を変え、実践することを期待しています。また、整理整頓についても、頑張りが必要です。片づけるときに、決められた順番通りに向きをそろえて、片づける意識を持ってほしいです。ちょっとしたひと手間を惜しまない習慣をつけてほしいと思います。授業では、自分の意見を発表しようと手を挙げる姿が何度も見られました。ただ、まだ遠慮している時があるように感じます。発表できるときは、まずは手を挙げる意識で臨んでほしいです。学習内容については理解できていると思いますが、字については、意識してていねいに書くようにがんばってほしいと思います。２学期の頑張りに期待しています。</t>
    <rPh sb="223" eb="225">
      <t>イシキ</t>
    </rPh>
    <rPh sb="226" eb="227">
      <t>モ</t>
    </rPh>
    <rPh sb="251" eb="253">
      <t>シュウカン</t>
    </rPh>
    <rPh sb="261" eb="262">
      <t>オモ</t>
    </rPh>
    <rPh sb="283" eb="284">
      <t>テ</t>
    </rPh>
    <rPh sb="285" eb="286">
      <t>ア</t>
    </rPh>
    <rPh sb="288" eb="289">
      <t>スガタ</t>
    </rPh>
    <rPh sb="290" eb="292">
      <t>ナンド</t>
    </rPh>
    <rPh sb="293" eb="294">
      <t>ミ</t>
    </rPh>
    <rPh sb="305" eb="307">
      <t>エンリョ</t>
    </rPh>
    <rPh sb="311" eb="312">
      <t>トキ</t>
    </rPh>
    <rPh sb="323" eb="325">
      <t>ハッピョウ</t>
    </rPh>
    <rPh sb="335" eb="336">
      <t>テ</t>
    </rPh>
    <rPh sb="337" eb="338">
      <t>ア</t>
    </rPh>
    <rPh sb="340" eb="342">
      <t>イシキ</t>
    </rPh>
    <rPh sb="343" eb="344">
      <t>ノゾ</t>
    </rPh>
    <rPh sb="352" eb="356">
      <t>ガクシュウナイヨウ</t>
    </rPh>
    <rPh sb="361" eb="363">
      <t>リカイ</t>
    </rPh>
    <rPh sb="369" eb="370">
      <t>オモ</t>
    </rPh>
    <rPh sb="375" eb="376">
      <t>ジ</t>
    </rPh>
    <phoneticPr fontId="1"/>
  </si>
  <si>
    <t>休み時間は、学年みんなでドッジボールをして楽しみました。最初は自分が投げたいという思いが強かったですが、今では味方にパスを回せるようになりました。遊びの時間は、友達との関わり合いが学べる絶好の場です。周りを見てチームプレーができるようになってきたのは、大きな成長です。学習面では、積極的に手を挙げて発表する姿がたくさん見られました。その良さを大切にしてほしいと思います。ただ、ノートについてはもうひと頑張りです。丁寧な字でノートをとることは学習の基本です。今のうちに身に着けてほしいです。宿題については、なかなか安定して提出することができませんでした。より良い習慣をつくるまでは頑張ってほしいです。生活面では、友達と仲良く関わる姿がたくさん見られた一方、友達と思いがかみ合わなかったときの感情のコントロールが、うまくいかないことがあります。また、先生からの指摘も素直に受け止められないことがありました。客観的な周囲からの声を自分の糧だと受け止められれば、奏佑くんの成長につながります。２学期に期待しています。</t>
    <rPh sb="0" eb="1">
      <t>ヤス</t>
    </rPh>
    <rPh sb="2" eb="4">
      <t>ジカン</t>
    </rPh>
    <rPh sb="6" eb="8">
      <t>ガクネン</t>
    </rPh>
    <rPh sb="21" eb="22">
      <t>タノ</t>
    </rPh>
    <rPh sb="28" eb="30">
      <t>サイショ</t>
    </rPh>
    <rPh sb="52" eb="53">
      <t>イマ</t>
    </rPh>
    <rPh sb="55" eb="57">
      <t>ミカタ</t>
    </rPh>
    <rPh sb="61" eb="62">
      <t>マワ</t>
    </rPh>
    <rPh sb="73" eb="74">
      <t>アソ</t>
    </rPh>
    <rPh sb="76" eb="78">
      <t>ジカン</t>
    </rPh>
    <rPh sb="80" eb="82">
      <t>トモダチ</t>
    </rPh>
    <rPh sb="84" eb="85">
      <t>カカ</t>
    </rPh>
    <rPh sb="87" eb="88">
      <t>ア</t>
    </rPh>
    <rPh sb="90" eb="91">
      <t>マナ</t>
    </rPh>
    <rPh sb="93" eb="95">
      <t>ゼッコウ</t>
    </rPh>
    <rPh sb="96" eb="97">
      <t>バ</t>
    </rPh>
    <rPh sb="100" eb="101">
      <t>マワ</t>
    </rPh>
    <rPh sb="103" eb="104">
      <t>ミ</t>
    </rPh>
    <rPh sb="126" eb="127">
      <t>オオ</t>
    </rPh>
    <rPh sb="129" eb="131">
      <t>セイチョウ</t>
    </rPh>
    <rPh sb="134" eb="137">
      <t>ガクシュウメン</t>
    </rPh>
    <rPh sb="140" eb="143">
      <t>セッキョクテキ</t>
    </rPh>
    <rPh sb="144" eb="145">
      <t>テ</t>
    </rPh>
    <rPh sb="146" eb="147">
      <t>ア</t>
    </rPh>
    <rPh sb="149" eb="151">
      <t>ハッピョウ</t>
    </rPh>
    <rPh sb="153" eb="154">
      <t>スガタ</t>
    </rPh>
    <rPh sb="159" eb="160">
      <t>ミ</t>
    </rPh>
    <rPh sb="168" eb="169">
      <t>ヨ</t>
    </rPh>
    <rPh sb="171" eb="173">
      <t>タイセツ</t>
    </rPh>
    <rPh sb="180" eb="181">
      <t>オモ</t>
    </rPh>
    <rPh sb="200" eb="202">
      <t>ガンバ</t>
    </rPh>
    <rPh sb="206" eb="208">
      <t>テイネイ</t>
    </rPh>
    <rPh sb="209" eb="210">
      <t>ジ</t>
    </rPh>
    <rPh sb="220" eb="222">
      <t>ガクシュウ</t>
    </rPh>
    <rPh sb="223" eb="225">
      <t>キホン</t>
    </rPh>
    <rPh sb="228" eb="229">
      <t>イマ</t>
    </rPh>
    <rPh sb="233" eb="234">
      <t>ミ</t>
    </rPh>
    <rPh sb="235" eb="236">
      <t>ツ</t>
    </rPh>
    <rPh sb="244" eb="246">
      <t>シュクダイ</t>
    </rPh>
    <rPh sb="256" eb="258">
      <t>アンテイ</t>
    </rPh>
    <rPh sb="260" eb="262">
      <t>テイシュツ</t>
    </rPh>
    <rPh sb="278" eb="279">
      <t>ヨ</t>
    </rPh>
    <rPh sb="280" eb="282">
      <t>シュウカン</t>
    </rPh>
    <rPh sb="289" eb="291">
      <t>ガンバ</t>
    </rPh>
    <rPh sb="299" eb="302">
      <t>セイカツメン</t>
    </rPh>
    <rPh sb="305" eb="307">
      <t>トモダチ</t>
    </rPh>
    <rPh sb="308" eb="310">
      <t>ナカヨ</t>
    </rPh>
    <rPh sb="311" eb="312">
      <t>カカ</t>
    </rPh>
    <rPh sb="324" eb="326">
      <t>イッポウ</t>
    </rPh>
    <rPh sb="327" eb="329">
      <t>トモダチ</t>
    </rPh>
    <rPh sb="330" eb="331">
      <t>オモ</t>
    </rPh>
    <rPh sb="335" eb="336">
      <t>ア</t>
    </rPh>
    <rPh sb="344" eb="346">
      <t>カンジョウ</t>
    </rPh>
    <rPh sb="373" eb="375">
      <t>センセイ</t>
    </rPh>
    <rPh sb="378" eb="380">
      <t>シテキ</t>
    </rPh>
    <rPh sb="381" eb="383">
      <t>スナオ</t>
    </rPh>
    <rPh sb="384" eb="385">
      <t>ウ</t>
    </rPh>
    <rPh sb="386" eb="387">
      <t>ト</t>
    </rPh>
    <rPh sb="401" eb="404">
      <t>キャッカンテキ</t>
    </rPh>
    <rPh sb="405" eb="407">
      <t>シュウイ</t>
    </rPh>
    <rPh sb="410" eb="411">
      <t>コエ</t>
    </rPh>
    <phoneticPr fontId="1"/>
  </si>
  <si>
    <t>明るく、元気いっぱいに学校生活を送ることができていました。昼休みや放課後は、学年のみんなといっしょにドッジボールをするなど、子どもらしく、元気いっぱいに活動することができました。体育のシャトルランでは、苦しくなってからも、心が折れることなく最後まで記録を伸ばそうと頑張る姿が見られました。また、困っている友達がいたら、声をかけたり、助けてあげたりする姿が見られました。恵人くんの人に対する優しい気持ちが感じられました。とても素敵なことだと思います。一方で、休み時間に、友達と関わっているときに楽しくなりすぎると、校舎内での過ごし方の約束事を逸脱してしまうことがあります。常に「心のブレーキ」を持ち続けることは、さらに成長していくのに大切なことです。これからの成長に期待しています。授業では、良い姿勢でしっかりと前を向き、先生の話を聞くことができていました。また、積極的に手を挙げて、自分の意見を発表しようとする姿も見られました。ぜひ継続してほしいと思います。</t>
    <rPh sb="0" eb="1">
      <t>アカ</t>
    </rPh>
    <rPh sb="4" eb="6">
      <t>ゲンキ</t>
    </rPh>
    <rPh sb="11" eb="15">
      <t>ガッコウセイカツ</t>
    </rPh>
    <rPh sb="16" eb="17">
      <t>オク</t>
    </rPh>
    <rPh sb="29" eb="31">
      <t>ヒルヤス</t>
    </rPh>
    <rPh sb="33" eb="36">
      <t>ホウカゴ</t>
    </rPh>
    <rPh sb="38" eb="40">
      <t>ガクネン</t>
    </rPh>
    <rPh sb="62" eb="63">
      <t>コ</t>
    </rPh>
    <rPh sb="69" eb="71">
      <t>ゲンキ</t>
    </rPh>
    <rPh sb="76" eb="78">
      <t>カツドウ</t>
    </rPh>
    <rPh sb="89" eb="91">
      <t>タイイク</t>
    </rPh>
    <rPh sb="101" eb="102">
      <t>クル</t>
    </rPh>
    <rPh sb="111" eb="112">
      <t>ココロ</t>
    </rPh>
    <rPh sb="113" eb="114">
      <t>オ</t>
    </rPh>
    <rPh sb="120" eb="122">
      <t>サイゴ</t>
    </rPh>
    <rPh sb="124" eb="126">
      <t>キロク</t>
    </rPh>
    <rPh sb="127" eb="128">
      <t>ノ</t>
    </rPh>
    <rPh sb="132" eb="134">
      <t>ガンバ</t>
    </rPh>
    <rPh sb="147" eb="148">
      <t>コマ</t>
    </rPh>
    <rPh sb="152" eb="154">
      <t>トモダチ</t>
    </rPh>
    <rPh sb="159" eb="160">
      <t>コエ</t>
    </rPh>
    <rPh sb="166" eb="167">
      <t>タス</t>
    </rPh>
    <rPh sb="175" eb="176">
      <t>スガタ</t>
    </rPh>
    <rPh sb="177" eb="178">
      <t>ミ</t>
    </rPh>
    <rPh sb="340" eb="342">
      <t>ジュギョウ</t>
    </rPh>
    <rPh sb="345" eb="346">
      <t>ヨ</t>
    </rPh>
    <rPh sb="347" eb="349">
      <t>シセイ</t>
    </rPh>
    <rPh sb="355" eb="356">
      <t>マエ</t>
    </rPh>
    <rPh sb="357" eb="358">
      <t>ム</t>
    </rPh>
    <rPh sb="360" eb="362">
      <t>センセイ</t>
    </rPh>
    <rPh sb="363" eb="364">
      <t>ハナシ</t>
    </rPh>
    <rPh sb="365" eb="366">
      <t>キ</t>
    </rPh>
    <rPh sb="381" eb="384">
      <t>セッキョクテキ</t>
    </rPh>
    <rPh sb="385" eb="386">
      <t>テ</t>
    </rPh>
    <rPh sb="387" eb="388">
      <t>ア</t>
    </rPh>
    <rPh sb="391" eb="393">
      <t>ジブン</t>
    </rPh>
    <rPh sb="394" eb="396">
      <t>イケン</t>
    </rPh>
    <rPh sb="397" eb="399">
      <t>ハッピョウ</t>
    </rPh>
    <rPh sb="405" eb="406">
      <t>スガタ</t>
    </rPh>
    <rPh sb="407" eb="408">
      <t>ミ</t>
    </rPh>
    <rPh sb="416" eb="418">
      <t>ケイゾク</t>
    </rPh>
    <rPh sb="424" eb="425">
      <t>オモ</t>
    </rPh>
    <phoneticPr fontId="1"/>
  </si>
  <si>
    <t>明るく元気いっぱいに学校生活を送ることができた１学期でした。昼休みや放課後は、積極的にグラウンドに出て、元気いっぱいに体を動かし、学年のみんなといっしょにドッジボールで盛り上がりました。また、学級長として、範を示そうと頑張っている姿をたくさん見ることができました。晴仁くんの特に素晴らしいところは、誰に対しても分け隔てなく優しく接することができるところです。また、角が立たないような柔らかな声のかけ方をすることで、クラスを良い方向に導こうと頑張りました。１学期は、学級長という立場でした。それにふさわしい態度と頑張りを見せてくれたように思います。体育祭では、自分のチームの勝利に貢献しようと、全力で頑張る姿見られました。また、授業中は、積極的に手を挙げて自分の意見を発表しようとする姿がありました。自分もより良い授業をつくる一人なのだという自覚を持つことができていることが伝わりました。学習内容の定着に、貪欲な姿勢がさらに出てくれば、結果につながってきます。２学期のさらなる成長を期待しています。</t>
    <rPh sb="0" eb="1">
      <t>アカ</t>
    </rPh>
    <rPh sb="3" eb="5">
      <t>ゲンキ</t>
    </rPh>
    <rPh sb="10" eb="14">
      <t>ガッコウセイカツ</t>
    </rPh>
    <rPh sb="15" eb="16">
      <t>オク</t>
    </rPh>
    <rPh sb="24" eb="26">
      <t>ガッキ</t>
    </rPh>
    <rPh sb="30" eb="32">
      <t>ヒルヤス</t>
    </rPh>
    <rPh sb="34" eb="37">
      <t>ホウカゴ</t>
    </rPh>
    <rPh sb="39" eb="42">
      <t>セッキョクテキ</t>
    </rPh>
    <rPh sb="49" eb="50">
      <t>デ</t>
    </rPh>
    <rPh sb="52" eb="54">
      <t>ゲンキ</t>
    </rPh>
    <rPh sb="59" eb="60">
      <t>カラダ</t>
    </rPh>
    <rPh sb="61" eb="62">
      <t>ウゴ</t>
    </rPh>
    <rPh sb="65" eb="67">
      <t>ガクネン</t>
    </rPh>
    <rPh sb="84" eb="85">
      <t>モ</t>
    </rPh>
    <rPh sb="86" eb="87">
      <t>ア</t>
    </rPh>
    <rPh sb="96" eb="99">
      <t>ガッキュウチョウ</t>
    </rPh>
    <rPh sb="103" eb="104">
      <t>ハン</t>
    </rPh>
    <rPh sb="105" eb="106">
      <t>シメ</t>
    </rPh>
    <rPh sb="109" eb="111">
      <t>ガンバ</t>
    </rPh>
    <rPh sb="115" eb="116">
      <t>スガタ</t>
    </rPh>
    <rPh sb="121" eb="122">
      <t>ミ</t>
    </rPh>
    <rPh sb="132" eb="134">
      <t>ハルト</t>
    </rPh>
    <rPh sb="137" eb="138">
      <t>トク</t>
    </rPh>
    <rPh sb="139" eb="141">
      <t>スバ</t>
    </rPh>
    <rPh sb="149" eb="150">
      <t>ダレ</t>
    </rPh>
    <rPh sb="151" eb="152">
      <t>タイ</t>
    </rPh>
    <rPh sb="155" eb="156">
      <t>ワ</t>
    </rPh>
    <rPh sb="157" eb="158">
      <t>ヘダ</t>
    </rPh>
    <rPh sb="161" eb="162">
      <t>ヤサ</t>
    </rPh>
    <rPh sb="164" eb="165">
      <t>セッ</t>
    </rPh>
    <rPh sb="182" eb="183">
      <t>カド</t>
    </rPh>
    <rPh sb="184" eb="185">
      <t>タ</t>
    </rPh>
    <rPh sb="191" eb="192">
      <t>ヤワ</t>
    </rPh>
    <rPh sb="195" eb="196">
      <t>コエ</t>
    </rPh>
    <rPh sb="199" eb="200">
      <t>カタ</t>
    </rPh>
    <rPh sb="211" eb="212">
      <t>ヨ</t>
    </rPh>
    <rPh sb="213" eb="215">
      <t>ホウコウ</t>
    </rPh>
    <rPh sb="216" eb="217">
      <t>ミチビ</t>
    </rPh>
    <rPh sb="220" eb="222">
      <t>ガンバ</t>
    </rPh>
    <rPh sb="228" eb="230">
      <t>ガッキ</t>
    </rPh>
    <rPh sb="232" eb="235">
      <t>ガッキュウチョウ</t>
    </rPh>
    <rPh sb="238" eb="240">
      <t>タチバ</t>
    </rPh>
    <rPh sb="252" eb="254">
      <t>タイド</t>
    </rPh>
    <rPh sb="255" eb="257">
      <t>ガンバ</t>
    </rPh>
    <rPh sb="259" eb="260">
      <t>ミ</t>
    </rPh>
    <rPh sb="268" eb="269">
      <t>オモ</t>
    </rPh>
    <rPh sb="273" eb="276">
      <t>タイイクサイ</t>
    </rPh>
    <rPh sb="279" eb="281">
      <t>ジブン</t>
    </rPh>
    <rPh sb="286" eb="288">
      <t>ショウリ</t>
    </rPh>
    <rPh sb="289" eb="291">
      <t>コウケン</t>
    </rPh>
    <rPh sb="296" eb="298">
      <t>ゼンリョク</t>
    </rPh>
    <rPh sb="299" eb="301">
      <t>ガンバ</t>
    </rPh>
    <rPh sb="302" eb="304">
      <t>スガタミ</t>
    </rPh>
    <rPh sb="313" eb="316">
      <t>ジュギョウチュウ</t>
    </rPh>
    <rPh sb="318" eb="321">
      <t>セッキョクテキ</t>
    </rPh>
    <rPh sb="322" eb="323">
      <t>テ</t>
    </rPh>
    <rPh sb="324" eb="325">
      <t>ア</t>
    </rPh>
    <rPh sb="327" eb="329">
      <t>ジブン</t>
    </rPh>
    <rPh sb="330" eb="332">
      <t>イケン</t>
    </rPh>
    <rPh sb="333" eb="335">
      <t>ハッピョウ</t>
    </rPh>
    <rPh sb="341" eb="342">
      <t>スガタ</t>
    </rPh>
    <rPh sb="349" eb="351">
      <t>ジブン</t>
    </rPh>
    <rPh sb="354" eb="355">
      <t>ヨ</t>
    </rPh>
    <rPh sb="356" eb="358">
      <t>ジュギョウ</t>
    </rPh>
    <rPh sb="362" eb="364">
      <t>ヒトリ</t>
    </rPh>
    <rPh sb="370" eb="372">
      <t>ジカク</t>
    </rPh>
    <rPh sb="373" eb="374">
      <t>モ</t>
    </rPh>
    <rPh sb="386" eb="387">
      <t>ツタ</t>
    </rPh>
    <rPh sb="393" eb="397">
      <t>ガクシュウナイヨウ</t>
    </rPh>
    <rPh sb="398" eb="400">
      <t>テイチャク</t>
    </rPh>
    <rPh sb="402" eb="404">
      <t>ドンヨク</t>
    </rPh>
    <rPh sb="405" eb="407">
      <t>シセイ</t>
    </rPh>
    <rPh sb="411" eb="412">
      <t>デ</t>
    </rPh>
    <rPh sb="417" eb="419">
      <t>ケッカ</t>
    </rPh>
    <rPh sb="430" eb="432">
      <t>ガッキ</t>
    </rPh>
    <rPh sb="437" eb="439">
      <t>セイチョウ</t>
    </rPh>
    <rPh sb="440" eb="442">
      <t>キタイ</t>
    </rPh>
    <phoneticPr fontId="1"/>
  </si>
  <si>
    <t>明るく元気に学校生活を送ることができていたように思います。また、率先して給食の片づけをしてくれたりと、自分の時間や力をみんなのために使う姿も見られました。休み時間は、友達と楽しそうに話をしている姿が見られました。一方で、一人で素早く行動しなければならない時に、友だちといっしょに行動することで動きが遅くなってしまうことが何度かありました。友だちと関わることと一人になれることは、共に大切なことです。これからの成長に期待しています。学習面では、授業中に積極的に手を挙げて発表しようとする姿が見られました。まだ遠慮しているときがあるように思いますが、よく頑張っています。宿題については、提出漏れが何度かありました。生活の記録のメモを見ながら、一つひとつ、しっかり確認して、きっちり提出できるように意識を高めてほしいと思います。授業開始前の姿勢や机の上を整えることは、とても立派にできていて、みんなのお手本でした。引き続き頑張ってほしいと思います。</t>
    <rPh sb="0" eb="1">
      <t>アカ</t>
    </rPh>
    <rPh sb="3" eb="5">
      <t>ゲンキ</t>
    </rPh>
    <rPh sb="6" eb="10">
      <t>ガッコウセイカツ</t>
    </rPh>
    <rPh sb="11" eb="12">
      <t>オク</t>
    </rPh>
    <rPh sb="24" eb="25">
      <t>オモ</t>
    </rPh>
    <rPh sb="32" eb="34">
      <t>ソッセン</t>
    </rPh>
    <rPh sb="36" eb="38">
      <t>キュウショク</t>
    </rPh>
    <rPh sb="39" eb="40">
      <t>カタ</t>
    </rPh>
    <rPh sb="51" eb="53">
      <t>ジブン</t>
    </rPh>
    <rPh sb="54" eb="56">
      <t>ジカン</t>
    </rPh>
    <rPh sb="57" eb="58">
      <t>チカラ</t>
    </rPh>
    <rPh sb="66" eb="67">
      <t>ツカ</t>
    </rPh>
    <rPh sb="68" eb="69">
      <t>スガタ</t>
    </rPh>
    <rPh sb="70" eb="71">
      <t>ミ</t>
    </rPh>
    <rPh sb="77" eb="78">
      <t>ヤス</t>
    </rPh>
    <rPh sb="79" eb="81">
      <t>ジカン</t>
    </rPh>
    <rPh sb="83" eb="85">
      <t>トモダチ</t>
    </rPh>
    <rPh sb="97" eb="98">
      <t>スガタ</t>
    </rPh>
    <rPh sb="99" eb="100">
      <t>ミ</t>
    </rPh>
    <rPh sb="215" eb="218">
      <t>ガクシュウメン</t>
    </rPh>
    <rPh sb="377" eb="380">
      <t>ジュギョウチュウ</t>
    </rPh>
    <rPh sb="381" eb="384">
      <t>セッキョクテキ</t>
    </rPh>
    <rPh sb="385" eb="386">
      <t>テ</t>
    </rPh>
    <rPh sb="387" eb="388">
      <t>ア</t>
    </rPh>
    <rPh sb="419" eb="421">
      <t>エンリョガンバジュギョウカイシマエシセイツクエウエトトノリッパヒツヅガンバオモ</t>
    </rPh>
    <phoneticPr fontId="1"/>
  </si>
  <si>
    <t>いつも朗らかな笑顔で学校生活を送ることができていました。休み時間は、子どもらしく、元気いっぱいに遊ぶ姿が見られました。部活動もバスケットボール部に入部し、頑張って活動しています。鈴佳さんの素晴らしいところは、誰に対しても角が立たない柔らかな接し方ができるところだと思います。周りの友達に注意する声かけの仕方がとても上手です。また、誰に対しても公平に接することができていて、人を大切にする気持ちを持っていることが伝わってきます。ぜひ大切にしてほしいと思います。学習面では、授業中に一生懸命話を聞く姿勢が見られました。また、手を挙げて自分の意見を発表しようとする積極性も見られました。一方、宿題の提出については課題です。提出するものは、期限を守ってしっかりと仕上げて提出するのが当たり前だという意識を持ってほしいです。また、連絡帳に記入したものを漏れないように一つ一つチェックするなど、工夫してほしいと思います。２学期に期待しています。</t>
    <rPh sb="3" eb="4">
      <t>ホガ</t>
    </rPh>
    <rPh sb="7" eb="9">
      <t>エガオ</t>
    </rPh>
    <rPh sb="10" eb="14">
      <t>ガッコウセイカツ</t>
    </rPh>
    <rPh sb="15" eb="16">
      <t>オク</t>
    </rPh>
    <rPh sb="28" eb="29">
      <t>ヤス</t>
    </rPh>
    <rPh sb="30" eb="32">
      <t>ジカン</t>
    </rPh>
    <rPh sb="34" eb="35">
      <t>コ</t>
    </rPh>
    <rPh sb="41" eb="43">
      <t>ゲンキ</t>
    </rPh>
    <rPh sb="48" eb="49">
      <t>アソ</t>
    </rPh>
    <rPh sb="50" eb="51">
      <t>スガタ</t>
    </rPh>
    <rPh sb="52" eb="53">
      <t>ミ</t>
    </rPh>
    <rPh sb="59" eb="62">
      <t>ブカツドウ</t>
    </rPh>
    <rPh sb="71" eb="72">
      <t>ブ</t>
    </rPh>
    <rPh sb="73" eb="75">
      <t>ニュウブ</t>
    </rPh>
    <rPh sb="77" eb="79">
      <t>ガンバ</t>
    </rPh>
    <rPh sb="81" eb="83">
      <t>カツドウ</t>
    </rPh>
    <rPh sb="89" eb="91">
      <t>スズカ</t>
    </rPh>
    <rPh sb="94" eb="96">
      <t>スバ</t>
    </rPh>
    <rPh sb="104" eb="105">
      <t>ダレ</t>
    </rPh>
    <rPh sb="106" eb="107">
      <t>タイ</t>
    </rPh>
    <rPh sb="110" eb="111">
      <t>カド</t>
    </rPh>
    <rPh sb="112" eb="113">
      <t>タ</t>
    </rPh>
    <rPh sb="116" eb="117">
      <t>ヤワ</t>
    </rPh>
    <rPh sb="120" eb="121">
      <t>セッ</t>
    </rPh>
    <rPh sb="122" eb="123">
      <t>カタ</t>
    </rPh>
    <rPh sb="132" eb="133">
      <t>オモ</t>
    </rPh>
    <rPh sb="137" eb="138">
      <t>マワ</t>
    </rPh>
    <rPh sb="140" eb="142">
      <t>トモダチ</t>
    </rPh>
    <rPh sb="143" eb="145">
      <t>チュウイ</t>
    </rPh>
    <rPh sb="165" eb="166">
      <t>ダレ</t>
    </rPh>
    <rPh sb="167" eb="168">
      <t>タイ</t>
    </rPh>
    <rPh sb="171" eb="173">
      <t>コウヘイ</t>
    </rPh>
    <rPh sb="174" eb="175">
      <t>セッ</t>
    </rPh>
    <rPh sb="186" eb="187">
      <t>ヒト</t>
    </rPh>
    <rPh sb="188" eb="190">
      <t>タイセツ</t>
    </rPh>
    <rPh sb="193" eb="195">
      <t>キモ</t>
    </rPh>
    <rPh sb="197" eb="198">
      <t>モ</t>
    </rPh>
    <rPh sb="205" eb="206">
      <t>ツタ</t>
    </rPh>
    <rPh sb="215" eb="217">
      <t>タイセツ</t>
    </rPh>
    <rPh sb="224" eb="225">
      <t>オモ</t>
    </rPh>
    <rPh sb="229" eb="232">
      <t>ガクシュウメン</t>
    </rPh>
    <rPh sb="235" eb="238">
      <t>ジュギョウチュウ</t>
    </rPh>
    <rPh sb="239" eb="243">
      <t>イッショウケンメイ</t>
    </rPh>
    <rPh sb="243" eb="244">
      <t>ハナシ</t>
    </rPh>
    <rPh sb="245" eb="246">
      <t>キ</t>
    </rPh>
    <rPh sb="247" eb="249">
      <t>シセイ</t>
    </rPh>
    <rPh sb="250" eb="251">
      <t>ミ</t>
    </rPh>
    <rPh sb="260" eb="261">
      <t>テ</t>
    </rPh>
    <rPh sb="262" eb="263">
      <t>ア</t>
    </rPh>
    <rPh sb="265" eb="267">
      <t>ジブン</t>
    </rPh>
    <rPh sb="268" eb="270">
      <t>イケン</t>
    </rPh>
    <rPh sb="271" eb="273">
      <t>ハッピョウ</t>
    </rPh>
    <rPh sb="279" eb="282">
      <t>セッキョクセイ</t>
    </rPh>
    <rPh sb="283" eb="284">
      <t>ミ</t>
    </rPh>
    <rPh sb="290" eb="292">
      <t>イッポウ</t>
    </rPh>
    <rPh sb="293" eb="295">
      <t>シュクダイ</t>
    </rPh>
    <rPh sb="296" eb="298">
      <t>テイシュツ</t>
    </rPh>
    <rPh sb="303" eb="305">
      <t>カダイ</t>
    </rPh>
    <rPh sb="308" eb="310">
      <t>テイシュツ</t>
    </rPh>
    <rPh sb="316" eb="318">
      <t>キゲン</t>
    </rPh>
    <rPh sb="319" eb="320">
      <t>マモ</t>
    </rPh>
    <rPh sb="327" eb="329">
      <t>シア</t>
    </rPh>
    <rPh sb="331" eb="333">
      <t>テイシュツ</t>
    </rPh>
    <rPh sb="337" eb="338">
      <t>ア</t>
    </rPh>
    <rPh sb="340" eb="341">
      <t>マエ</t>
    </rPh>
    <rPh sb="345" eb="347">
      <t>イシキ</t>
    </rPh>
    <rPh sb="348" eb="349">
      <t>モ</t>
    </rPh>
    <rPh sb="360" eb="363">
      <t>レンラクチョウ</t>
    </rPh>
    <rPh sb="364" eb="366">
      <t>キニュウ</t>
    </rPh>
    <rPh sb="371" eb="372">
      <t>モ</t>
    </rPh>
    <rPh sb="378" eb="379">
      <t>ヒト</t>
    </rPh>
    <rPh sb="380" eb="381">
      <t>ヒト</t>
    </rPh>
    <rPh sb="391" eb="393">
      <t>クフウ</t>
    </rPh>
    <rPh sb="399" eb="400">
      <t>オモ</t>
    </rPh>
    <rPh sb="405" eb="407">
      <t>ガッキ</t>
    </rPh>
    <rPh sb="408" eb="410">
      <t>キタイ</t>
    </rPh>
    <phoneticPr fontId="1"/>
  </si>
  <si>
    <t>毎朝、朗らかな笑顔で教室に入ってくるのが印象的でした。また、友だちとも楽しそうに関わり合う姿も見られ、楽しく学校生活を送ることができていたように思います。一方で、一人で素早く行動しなければならない時に、友だちといっしょに行動することで、動きが遅くなってしまうことが何度かありました。友だちと関わることと一人になれることは、共に大切なことです。これからの成長に期待しています。学習面では、授業中、自分の意見を手を挙げて発表しようとする姿が見られ、授業に積極的に参加しようという気持ちが伝わってきました。また、文字については、いつもていねいに書くことができていました。テストの時はもちろんのこと、普段のノートや、生活の記録など一文字一文字、手を抜くことなく書いていることが伝わりました。生活の記録の作文は、一日をふり返り、しっかり考えて書けているものがたくさんありました。いろいろなことをていねいに取り組めるのが、陽佳さんの良さだと思います。継続してほしいと思います。</t>
    <rPh sb="0" eb="2">
      <t>マイアサ</t>
    </rPh>
    <rPh sb="3" eb="4">
      <t>ホガ</t>
    </rPh>
    <rPh sb="7" eb="9">
      <t>エガオ</t>
    </rPh>
    <rPh sb="10" eb="12">
      <t>キョウシツ</t>
    </rPh>
    <rPh sb="13" eb="14">
      <t>ハイ</t>
    </rPh>
    <rPh sb="20" eb="23">
      <t>インショウテキ</t>
    </rPh>
    <rPh sb="30" eb="31">
      <t>トモ</t>
    </rPh>
    <rPh sb="35" eb="36">
      <t>タノ</t>
    </rPh>
    <rPh sb="40" eb="41">
      <t>カカ</t>
    </rPh>
    <rPh sb="43" eb="44">
      <t>ア</t>
    </rPh>
    <rPh sb="45" eb="46">
      <t>スガタ</t>
    </rPh>
    <rPh sb="47" eb="48">
      <t>ミ</t>
    </rPh>
    <rPh sb="51" eb="52">
      <t>タノ</t>
    </rPh>
    <rPh sb="54" eb="58">
      <t>ガッコウセイカツ</t>
    </rPh>
    <rPh sb="59" eb="60">
      <t>オク</t>
    </rPh>
    <rPh sb="72" eb="73">
      <t>オモ</t>
    </rPh>
    <rPh sb="77" eb="79">
      <t>イッポウ</t>
    </rPh>
    <rPh sb="81" eb="83">
      <t>ヒトリ</t>
    </rPh>
    <rPh sb="84" eb="86">
      <t>スバヤ</t>
    </rPh>
    <rPh sb="87" eb="89">
      <t>コウドウ</t>
    </rPh>
    <rPh sb="253" eb="255">
      <t>モジ</t>
    </rPh>
    <rPh sb="269" eb="270">
      <t>カ</t>
    </rPh>
    <rPh sb="286" eb="287">
      <t>トキ</t>
    </rPh>
    <rPh sb="296" eb="298">
      <t>フダン</t>
    </rPh>
    <rPh sb="304" eb="306">
      <t>セイカツ</t>
    </rPh>
    <rPh sb="307" eb="309">
      <t>キロク</t>
    </rPh>
    <rPh sb="397" eb="398">
      <t>ト</t>
    </rPh>
    <rPh sb="399" eb="400">
      <t>ク</t>
    </rPh>
    <rPh sb="405" eb="407">
      <t>ハルカ</t>
    </rPh>
    <rPh sb="410" eb="411">
      <t>ヨ</t>
    </rPh>
    <rPh sb="414" eb="415">
      <t>オモ</t>
    </rPh>
    <rPh sb="419" eb="421">
      <t>ケイゾク</t>
    </rPh>
    <rPh sb="427" eb="428">
      <t>オモ</t>
    </rPh>
    <phoneticPr fontId="1"/>
  </si>
  <si>
    <t>落ち着いて学校生活を送ることができていました。休み時間には、友だちと楽しそうに関わる姿も見られました。仲の良い友だちだけでなく、たくさんの友だちと関わる姿が見られました。生活面では、ロッカーや教材をおいている棚など、美しく保つことができていました。また、時間の管理についても、余裕を持って行動できていました。七都さんの素晴らしいのは、継続して正しく行動できているところです。その調子で頑張り続けてほしいと思います。宿題についても、いつももれなくきっちりと提出することができていました。生活の記録の作文も、いつもしっかりと書けていて立派でした。学習面については、授業中に手を挙げて発表することを、頑張ろうとしていることが伝わります。自分に意見があるときに発表することは、自分の頭の中の考えを整理することにもつながります。学校は成長するための場所です。間違えても全然かまわないので、どんどん積極的に手を挙げることを習慣にしてほしいと思います。</t>
    <rPh sb="0" eb="1">
      <t>オ</t>
    </rPh>
    <rPh sb="2" eb="3">
      <t>ツ</t>
    </rPh>
    <rPh sb="5" eb="9">
      <t>ガッコウセイカツ</t>
    </rPh>
    <rPh sb="10" eb="11">
      <t>オク</t>
    </rPh>
    <rPh sb="23" eb="24">
      <t>ヤス</t>
    </rPh>
    <rPh sb="25" eb="27">
      <t>ジカン</t>
    </rPh>
    <rPh sb="30" eb="31">
      <t>トモ</t>
    </rPh>
    <rPh sb="34" eb="35">
      <t>タノ</t>
    </rPh>
    <rPh sb="39" eb="40">
      <t>カカ</t>
    </rPh>
    <rPh sb="42" eb="43">
      <t>スガタ</t>
    </rPh>
    <rPh sb="44" eb="45">
      <t>ミ</t>
    </rPh>
    <rPh sb="51" eb="52">
      <t>ナカ</t>
    </rPh>
    <rPh sb="53" eb="54">
      <t>ヨ</t>
    </rPh>
    <rPh sb="55" eb="56">
      <t>トモ</t>
    </rPh>
    <rPh sb="69" eb="70">
      <t>トモ</t>
    </rPh>
    <rPh sb="73" eb="74">
      <t>カカ</t>
    </rPh>
    <rPh sb="85" eb="89">
      <t>セイリセイトン</t>
    </rPh>
    <rPh sb="96" eb="98">
      <t>キョウザイ</t>
    </rPh>
    <rPh sb="104" eb="105">
      <t>タナ</t>
    </rPh>
    <rPh sb="108" eb="109">
      <t>ウツク</t>
    </rPh>
    <rPh sb="111" eb="112">
      <t>タモ</t>
    </rPh>
    <rPh sb="138" eb="140">
      <t>ヨユウ</t>
    </rPh>
    <rPh sb="141" eb="142">
      <t>モ</t>
    </rPh>
    <rPh sb="144" eb="146">
      <t>コウドウ</t>
    </rPh>
    <rPh sb="154" eb="156">
      <t>ナツ</t>
    </rPh>
    <rPh sb="159" eb="161">
      <t>スバ</t>
    </rPh>
    <rPh sb="167" eb="169">
      <t>ケイゾク</t>
    </rPh>
    <rPh sb="171" eb="172">
      <t>タダ</t>
    </rPh>
    <rPh sb="174" eb="176">
      <t>コウドウ</t>
    </rPh>
    <rPh sb="189" eb="191">
      <t>チョウシ</t>
    </rPh>
    <rPh sb="192" eb="194">
      <t>ガンバ</t>
    </rPh>
    <rPh sb="195" eb="196">
      <t>ツヅ</t>
    </rPh>
    <rPh sb="202" eb="203">
      <t>オモ</t>
    </rPh>
    <rPh sb="207" eb="209">
      <t>シュクダイ</t>
    </rPh>
    <rPh sb="227" eb="229">
      <t>テイシュツ</t>
    </rPh>
    <rPh sb="242" eb="244">
      <t>セイカツ</t>
    </rPh>
    <rPh sb="245" eb="247">
      <t>キロク</t>
    </rPh>
    <rPh sb="248" eb="250">
      <t>サクブン</t>
    </rPh>
    <rPh sb="260" eb="261">
      <t>カ</t>
    </rPh>
    <rPh sb="265" eb="267">
      <t>リッパ</t>
    </rPh>
    <rPh sb="271" eb="274">
      <t>ガクシュウメン</t>
    </rPh>
    <rPh sb="280" eb="283">
      <t>ジュギョウチュウ</t>
    </rPh>
    <rPh sb="284" eb="285">
      <t>テ</t>
    </rPh>
    <rPh sb="286" eb="287">
      <t>ア</t>
    </rPh>
    <rPh sb="289" eb="291">
      <t>ハッピョウ</t>
    </rPh>
    <rPh sb="297" eb="299">
      <t>ガンバ</t>
    </rPh>
    <rPh sb="309" eb="310">
      <t>ツタ</t>
    </rPh>
    <rPh sb="315" eb="317">
      <t>ジブン</t>
    </rPh>
    <rPh sb="318" eb="320">
      <t>イケン</t>
    </rPh>
    <rPh sb="326" eb="328">
      <t>ハッピョウ</t>
    </rPh>
    <rPh sb="334" eb="336">
      <t>ジブン</t>
    </rPh>
    <rPh sb="337" eb="338">
      <t>アタマ</t>
    </rPh>
    <rPh sb="339" eb="340">
      <t>ナカ</t>
    </rPh>
    <rPh sb="341" eb="342">
      <t>カンガ</t>
    </rPh>
    <rPh sb="344" eb="346">
      <t>セイリ</t>
    </rPh>
    <rPh sb="359" eb="361">
      <t>ガッコウ</t>
    </rPh>
    <rPh sb="362" eb="364">
      <t>セイチョウ</t>
    </rPh>
    <rPh sb="369" eb="371">
      <t>バショ</t>
    </rPh>
    <rPh sb="374" eb="376">
      <t>マチガ</t>
    </rPh>
    <rPh sb="379" eb="381">
      <t>ゼンゼン</t>
    </rPh>
    <rPh sb="393" eb="396">
      <t>セッキョクテキ</t>
    </rPh>
    <rPh sb="397" eb="398">
      <t>テ</t>
    </rPh>
    <rPh sb="399" eb="400">
      <t>ア</t>
    </rPh>
    <rPh sb="405" eb="407">
      <t>シュウカン</t>
    </rPh>
    <rPh sb="414" eb="415">
      <t>オモ</t>
    </rPh>
    <phoneticPr fontId="1"/>
  </si>
  <si>
    <t>いつも朗らかで元気に学校生活を送ることができました。また、菜々香さんの穏やかながらも明るい雰囲気が、教室全体にも良い影響を与えていたと思います。学習面では、いつもしっかりと前を向き、しっかり話を聞くことができていたのが印象的でした。また、手を挙げて、自分の意見を積極的に発表する場面をたくさん見ることができました。自分自身もより良い授業をつくる一人だと考えることができているからだと思います。継続してほしいです。生活面では、整理整頓についても、提出物についても、しっかりと頑張り続けることができました。また、話を聞くときは、話し手の目を見て聞くことが、身についていて、とても立派です。真剣に聞くときは真剣に、また、くだけた話の時は、楽しそうに笑顔で話を聞いてくれるので、しっかり話を聞いていることがとても伝わってきました。学習面についても生活面についても、良いものがしっかりと定着しています。その調子で２学期も頑張ってほしいと思います。</t>
    <rPh sb="3" eb="4">
      <t>ホガ</t>
    </rPh>
    <rPh sb="7" eb="9">
      <t>ゲンキ</t>
    </rPh>
    <rPh sb="10" eb="14">
      <t>ガッコウセイカツ</t>
    </rPh>
    <rPh sb="15" eb="16">
      <t>オク</t>
    </rPh>
    <rPh sb="29" eb="32">
      <t>ナナカ</t>
    </rPh>
    <rPh sb="35" eb="36">
      <t>オダ</t>
    </rPh>
    <rPh sb="42" eb="43">
      <t>アカ</t>
    </rPh>
    <rPh sb="45" eb="48">
      <t>フンイキ</t>
    </rPh>
    <rPh sb="50" eb="54">
      <t>キョウシツゼンタイ</t>
    </rPh>
    <rPh sb="56" eb="57">
      <t>ヨ</t>
    </rPh>
    <rPh sb="58" eb="60">
      <t>エイキョウ</t>
    </rPh>
    <rPh sb="61" eb="62">
      <t>アタ</t>
    </rPh>
    <rPh sb="67" eb="68">
      <t>オモ</t>
    </rPh>
    <rPh sb="72" eb="75">
      <t>ガクシュウメン</t>
    </rPh>
    <rPh sb="86" eb="87">
      <t>マエ</t>
    </rPh>
    <rPh sb="88" eb="89">
      <t>ム</t>
    </rPh>
    <rPh sb="95" eb="96">
      <t>ハナシ</t>
    </rPh>
    <rPh sb="97" eb="98">
      <t>キ</t>
    </rPh>
    <rPh sb="119" eb="120">
      <t>テ</t>
    </rPh>
    <rPh sb="121" eb="122">
      <t>ア</t>
    </rPh>
    <rPh sb="125" eb="127">
      <t>ジブン</t>
    </rPh>
    <rPh sb="128" eb="130">
      <t>イケン</t>
    </rPh>
    <rPh sb="131" eb="134">
      <t>セッキョクテキ</t>
    </rPh>
    <rPh sb="135" eb="137">
      <t>ハッピョウ</t>
    </rPh>
    <rPh sb="139" eb="141">
      <t>バメン</t>
    </rPh>
    <rPh sb="146" eb="147">
      <t>ミ</t>
    </rPh>
    <rPh sb="157" eb="161">
      <t>ジブンジシン</t>
    </rPh>
    <rPh sb="164" eb="165">
      <t>ヨ</t>
    </rPh>
    <rPh sb="166" eb="168">
      <t>ジュギョウ</t>
    </rPh>
    <rPh sb="172" eb="174">
      <t>ヒトリ</t>
    </rPh>
    <rPh sb="176" eb="177">
      <t>カンガ</t>
    </rPh>
    <rPh sb="191" eb="192">
      <t>オモ</t>
    </rPh>
    <rPh sb="196" eb="198">
      <t>ケイゾク</t>
    </rPh>
    <rPh sb="206" eb="209">
      <t>セイカツメン</t>
    </rPh>
    <rPh sb="212" eb="216">
      <t>セイリセイトン</t>
    </rPh>
    <rPh sb="222" eb="225">
      <t>テイシュツブツ</t>
    </rPh>
    <rPh sb="236" eb="238">
      <t>ガンバ</t>
    </rPh>
    <rPh sb="239" eb="240">
      <t>ツヅ</t>
    </rPh>
    <rPh sb="254" eb="255">
      <t>ハナシ</t>
    </rPh>
    <rPh sb="256" eb="257">
      <t>キ</t>
    </rPh>
    <rPh sb="262" eb="263">
      <t>ハナ</t>
    </rPh>
    <rPh sb="264" eb="265">
      <t>テ</t>
    </rPh>
    <rPh sb="266" eb="267">
      <t>メ</t>
    </rPh>
    <rPh sb="268" eb="269">
      <t>ミ</t>
    </rPh>
    <rPh sb="270" eb="271">
      <t>キ</t>
    </rPh>
    <rPh sb="276" eb="277">
      <t>ミ</t>
    </rPh>
    <rPh sb="287" eb="289">
      <t>リッパ</t>
    </rPh>
    <rPh sb="292" eb="294">
      <t>シンケン</t>
    </rPh>
    <rPh sb="295" eb="296">
      <t>キ</t>
    </rPh>
    <rPh sb="300" eb="302">
      <t>シンケン</t>
    </rPh>
    <rPh sb="311" eb="312">
      <t>ハナシ</t>
    </rPh>
    <rPh sb="313" eb="314">
      <t>トキ</t>
    </rPh>
    <rPh sb="316" eb="317">
      <t>タノ</t>
    </rPh>
    <rPh sb="321" eb="323">
      <t>エガオ</t>
    </rPh>
    <rPh sb="324" eb="325">
      <t>ハナシ</t>
    </rPh>
    <rPh sb="326" eb="327">
      <t>キ</t>
    </rPh>
    <rPh sb="339" eb="340">
      <t>ハナシ</t>
    </rPh>
    <rPh sb="341" eb="342">
      <t>キ</t>
    </rPh>
    <rPh sb="352" eb="353">
      <t>ツタ</t>
    </rPh>
    <rPh sb="361" eb="364">
      <t>ガクシュウメン</t>
    </rPh>
    <rPh sb="369" eb="372">
      <t>セイカツメン</t>
    </rPh>
    <rPh sb="378" eb="379">
      <t>ヨ</t>
    </rPh>
    <rPh sb="388" eb="390">
      <t>テイチャク</t>
    </rPh>
    <rPh sb="398" eb="400">
      <t>チョウシ</t>
    </rPh>
    <rPh sb="402" eb="404">
      <t>ガッキ</t>
    </rPh>
    <rPh sb="405" eb="407">
      <t>ガンバ</t>
    </rPh>
    <rPh sb="413" eb="414">
      <t>オモ</t>
    </rPh>
    <phoneticPr fontId="1"/>
  </si>
  <si>
    <t>毎日、明るく元気に登校することができました。鈴さんの元気の良い声で、教室全体に活気が出てくるように思います。持ち前の明るさと元気よさで、これからもクラスを元気にしてほしいと思います。また、バスケットボール部や休み時間のドッジボールなど、元気いっぱいに体を動かし充実した学校生活を送ることができていたように思います。また、メリハリをつけて行動できているところがとても素晴らしいです。印象的だったのは体育祭での練習です。練習の間の休憩時間、鈴さんは、水分補給を終えたら、友達とおしゃべりすることなく、、前を向き、一人で静かに次の指示を待っていました。集団で活動しているときに大切にしないといけないことを正しく理解し、行動に移すことができていて、とても立派でした。ふだんの生活でも、授業前の机の上や姿勢がしっかり整っていて、成長を感じました。一方で、宿題の提出については、もうひとがんばりです。しっかり提出できている日もありますが、忘れてしまったことも少なからずありました。２学期に期待しています。</t>
    <rPh sb="0" eb="2">
      <t>マイニチ</t>
    </rPh>
    <rPh sb="3" eb="4">
      <t>アカ</t>
    </rPh>
    <rPh sb="6" eb="8">
      <t>ゲンキ</t>
    </rPh>
    <rPh sb="9" eb="11">
      <t>トウコウ</t>
    </rPh>
    <rPh sb="22" eb="23">
      <t>リン</t>
    </rPh>
    <rPh sb="26" eb="28">
      <t>ゲンキ</t>
    </rPh>
    <rPh sb="29" eb="30">
      <t>ヨ</t>
    </rPh>
    <rPh sb="31" eb="32">
      <t>コエ</t>
    </rPh>
    <rPh sb="34" eb="38">
      <t>キョウシツゼンタイ</t>
    </rPh>
    <rPh sb="39" eb="41">
      <t>カッキ</t>
    </rPh>
    <rPh sb="42" eb="43">
      <t>デ</t>
    </rPh>
    <rPh sb="49" eb="50">
      <t>オモ</t>
    </rPh>
    <rPh sb="54" eb="55">
      <t>モ</t>
    </rPh>
    <rPh sb="56" eb="57">
      <t>マエ</t>
    </rPh>
    <rPh sb="58" eb="59">
      <t>アカ</t>
    </rPh>
    <rPh sb="62" eb="64">
      <t>ゲンキ</t>
    </rPh>
    <rPh sb="77" eb="79">
      <t>ゲンキ</t>
    </rPh>
    <rPh sb="86" eb="87">
      <t>オモ</t>
    </rPh>
    <rPh sb="130" eb="132">
      <t>ジュウジツ</t>
    </rPh>
    <rPh sb="134" eb="138">
      <t>ガッコウセイカツ</t>
    </rPh>
    <rPh sb="139" eb="140">
      <t>オク</t>
    </rPh>
    <rPh sb="152" eb="153">
      <t>オモ</t>
    </rPh>
    <rPh sb="168" eb="170">
      <t>コウドウ</t>
    </rPh>
    <rPh sb="182" eb="184">
      <t>スバ</t>
    </rPh>
    <rPh sb="190" eb="193">
      <t>インショウテキ</t>
    </rPh>
    <rPh sb="198" eb="201">
      <t>タイイクサイ</t>
    </rPh>
    <rPh sb="203" eb="205">
      <t>レンシュウ</t>
    </rPh>
    <rPh sb="208" eb="210">
      <t>レンシュウ</t>
    </rPh>
    <rPh sb="211" eb="212">
      <t>アイダ</t>
    </rPh>
    <rPh sb="213" eb="217">
      <t>キュウケイジカン</t>
    </rPh>
    <rPh sb="218" eb="219">
      <t>リン</t>
    </rPh>
    <rPh sb="233" eb="235">
      <t>トモダチ</t>
    </rPh>
    <rPh sb="249" eb="250">
      <t>マエ</t>
    </rPh>
    <rPh sb="251" eb="252">
      <t>ム</t>
    </rPh>
    <rPh sb="254" eb="256">
      <t>ヒトリ</t>
    </rPh>
    <rPh sb="257" eb="258">
      <t>シズ</t>
    </rPh>
    <rPh sb="260" eb="261">
      <t>ツギ</t>
    </rPh>
    <rPh sb="262" eb="264">
      <t>シジ</t>
    </rPh>
    <rPh sb="265" eb="266">
      <t>マ</t>
    </rPh>
    <rPh sb="273" eb="275">
      <t>シュウダン</t>
    </rPh>
    <rPh sb="276" eb="278">
      <t>カツドウ</t>
    </rPh>
    <rPh sb="285" eb="287">
      <t>タイセツ</t>
    </rPh>
    <rPh sb="299" eb="300">
      <t>タダ</t>
    </rPh>
    <rPh sb="302" eb="304">
      <t>リカイ</t>
    </rPh>
    <rPh sb="306" eb="308">
      <t>コウドウ</t>
    </rPh>
    <rPh sb="309" eb="310">
      <t>ウツ</t>
    </rPh>
    <rPh sb="323" eb="325">
      <t>リッパ</t>
    </rPh>
    <rPh sb="333" eb="335">
      <t>セイカツ</t>
    </rPh>
    <rPh sb="338" eb="341">
      <t>ジュギョウマエ</t>
    </rPh>
    <rPh sb="342" eb="343">
      <t>ツクエ</t>
    </rPh>
    <rPh sb="344" eb="345">
      <t>ウエ</t>
    </rPh>
    <rPh sb="346" eb="348">
      <t>シセイ</t>
    </rPh>
    <rPh sb="353" eb="354">
      <t>トトノ</t>
    </rPh>
    <rPh sb="359" eb="361">
      <t>セイチョウ</t>
    </rPh>
    <rPh sb="362" eb="363">
      <t>カン</t>
    </rPh>
    <rPh sb="368" eb="370">
      <t>イッポウ</t>
    </rPh>
    <rPh sb="372" eb="374">
      <t>シュクダイ</t>
    </rPh>
    <rPh sb="375" eb="377">
      <t>テイシュツ</t>
    </rPh>
    <rPh sb="398" eb="400">
      <t>テイシュツ</t>
    </rPh>
    <rPh sb="405" eb="406">
      <t>ヒ</t>
    </rPh>
    <rPh sb="413" eb="414">
      <t>ワス</t>
    </rPh>
    <rPh sb="423" eb="424">
      <t>スク</t>
    </rPh>
    <rPh sb="435" eb="437">
      <t>ガッキ</t>
    </rPh>
    <rPh sb="438" eb="440">
      <t>キタイ</t>
    </rPh>
    <phoneticPr fontId="1"/>
  </si>
  <si>
    <t>学習面については、積極的に手を挙げて意見を発表したり、問題演習の時には集中して取り組む姿が見られたりと、頑張りを感じることができました。算数は、Aコースに移りました。楽しんで勉強できているような、良い姿を見せてくれています。一方で、教室で静寂をつくっているときに頭に思い浮かんだ言葉を声に出してしまったり、大きく姿勢が崩れてしまったりすることがあります。集団で学習している場では、自分以外のみんなが、気持ちよく勉強できているのかを、お互いに気遣い合う意識が大切です。周りへの意識を高めてほしいです。生活面では、整理整頓について課題があります。片づけを後回しにするので、引き出しの中や棚がすぐに乱れてしまいます。やりたいことよりもやらなければならないことから取り組んでほしいです。また、自分の思い通りにならなかったときや、困ったときに、感情的になってしまいます。自分自身の気持ちのコントロールをできるようになってほしいです。２学期に期待しています。</t>
    <rPh sb="0" eb="3">
      <t>ガクシュウメン</t>
    </rPh>
    <rPh sb="9" eb="12">
      <t>セッキョクテキ</t>
    </rPh>
    <rPh sb="13" eb="14">
      <t>テ</t>
    </rPh>
    <rPh sb="15" eb="16">
      <t>ア</t>
    </rPh>
    <rPh sb="18" eb="20">
      <t>イケン</t>
    </rPh>
    <rPh sb="21" eb="23">
      <t>ハッピョウ</t>
    </rPh>
    <rPh sb="27" eb="31">
      <t>モンダイエンシュウ</t>
    </rPh>
    <rPh sb="32" eb="33">
      <t>トキ</t>
    </rPh>
    <rPh sb="35" eb="37">
      <t>シュウチュウ</t>
    </rPh>
    <rPh sb="39" eb="40">
      <t>ト</t>
    </rPh>
    <rPh sb="41" eb="42">
      <t>ク</t>
    </rPh>
    <rPh sb="43" eb="44">
      <t>スガタ</t>
    </rPh>
    <rPh sb="45" eb="46">
      <t>ミ</t>
    </rPh>
    <rPh sb="52" eb="54">
      <t>ガンバ</t>
    </rPh>
    <rPh sb="56" eb="57">
      <t>カン</t>
    </rPh>
    <rPh sb="68" eb="70">
      <t>サンスウ</t>
    </rPh>
    <rPh sb="77" eb="78">
      <t>ウツ</t>
    </rPh>
    <rPh sb="83" eb="84">
      <t>タノ</t>
    </rPh>
    <rPh sb="87" eb="89">
      <t>ベンキョウ</t>
    </rPh>
    <rPh sb="98" eb="99">
      <t>ヨ</t>
    </rPh>
    <rPh sb="100" eb="101">
      <t>スガタ</t>
    </rPh>
    <rPh sb="102" eb="103">
      <t>ミ</t>
    </rPh>
    <rPh sb="112" eb="114">
      <t>イッポウ</t>
    </rPh>
    <rPh sb="116" eb="118">
      <t>キョウシツ</t>
    </rPh>
    <rPh sb="119" eb="121">
      <t>セイジャク</t>
    </rPh>
    <rPh sb="131" eb="132">
      <t>アタマ</t>
    </rPh>
    <rPh sb="133" eb="134">
      <t>オモ</t>
    </rPh>
    <rPh sb="135" eb="136">
      <t>ウ</t>
    </rPh>
    <rPh sb="139" eb="141">
      <t>コトバ</t>
    </rPh>
    <rPh sb="142" eb="143">
      <t>コエ</t>
    </rPh>
    <rPh sb="144" eb="145">
      <t>ダ</t>
    </rPh>
    <rPh sb="153" eb="154">
      <t>オオ</t>
    </rPh>
    <rPh sb="156" eb="158">
      <t>シセイ</t>
    </rPh>
    <rPh sb="159" eb="160">
      <t>クズ</t>
    </rPh>
    <rPh sb="177" eb="179">
      <t>シュウダン</t>
    </rPh>
    <rPh sb="180" eb="182">
      <t>ガクシュウ</t>
    </rPh>
    <rPh sb="186" eb="187">
      <t>バ</t>
    </rPh>
    <rPh sb="190" eb="194">
      <t>ジブンイガイ</t>
    </rPh>
    <rPh sb="200" eb="202">
      <t>キモ</t>
    </rPh>
    <rPh sb="205" eb="207">
      <t>ベンキョウ</t>
    </rPh>
    <rPh sb="217" eb="218">
      <t>タガ</t>
    </rPh>
    <rPh sb="220" eb="222">
      <t>キヅカ</t>
    </rPh>
    <rPh sb="223" eb="224">
      <t>ア</t>
    </rPh>
    <rPh sb="225" eb="227">
      <t>イシキ</t>
    </rPh>
    <rPh sb="228" eb="230">
      <t>タイセツ</t>
    </rPh>
    <rPh sb="233" eb="234">
      <t>マワ</t>
    </rPh>
    <rPh sb="237" eb="239">
      <t>イシキ</t>
    </rPh>
    <rPh sb="240" eb="241">
      <t>タカ</t>
    </rPh>
    <rPh sb="249" eb="252">
      <t>セイカツメン</t>
    </rPh>
    <rPh sb="255" eb="259">
      <t>セイリセイトン</t>
    </rPh>
    <rPh sb="263" eb="265">
      <t>カダイ</t>
    </rPh>
    <rPh sb="271" eb="272">
      <t>カタ</t>
    </rPh>
    <rPh sb="275" eb="277">
      <t>アトマワ</t>
    </rPh>
    <rPh sb="284" eb="285">
      <t>ヒ</t>
    </rPh>
    <rPh sb="286" eb="287">
      <t>ダ</t>
    </rPh>
    <rPh sb="289" eb="290">
      <t>ナカ</t>
    </rPh>
    <rPh sb="291" eb="292">
      <t>タナ</t>
    </rPh>
    <rPh sb="296" eb="297">
      <t>ミダ</t>
    </rPh>
    <rPh sb="328" eb="329">
      <t>ト</t>
    </rPh>
    <rPh sb="330" eb="331">
      <t>ク</t>
    </rPh>
    <rPh sb="342" eb="344">
      <t>ジブン</t>
    </rPh>
    <rPh sb="345" eb="346">
      <t>オモ</t>
    </rPh>
    <rPh sb="347" eb="348">
      <t>ドオ</t>
    </rPh>
    <rPh sb="360" eb="361">
      <t>コマ</t>
    </rPh>
    <rPh sb="367" eb="370">
      <t>カンジョウテキ</t>
    </rPh>
    <rPh sb="380" eb="384">
      <t>ジブンジシン</t>
    </rPh>
    <rPh sb="385" eb="387">
      <t>キモ</t>
    </rPh>
    <rPh sb="412" eb="414">
      <t>ガッキ</t>
    </rPh>
    <rPh sb="415" eb="417">
      <t>キタイ</t>
    </rPh>
    <phoneticPr fontId="1"/>
  </si>
  <si>
    <t>明るく元気いっぱいに学校生活を送る姿が見られました。樹くんの素敵なところは、人当たりの柔らかさです。誰に対しても、穏やかな雰囲気で、接することができています。ぜひその良さを大切にしてほしいと思います。体育祭では、赤組の学年リーダーを務めました。みんなの前に立ち、よりよくまとまることができるように、積極的に声をかける姿が見られ、頼もしく思いました。授業では、積極的に手を挙げて発表することが当たり前の習慣になっていて、とても素晴らしいと思います。宿題についても、きっちりと提出できていました。整理整頓については、ほぼできていましたが、教科書やノートを入れている棚が、時折乱れています。その都度丁寧に入れることと、常に美しい状態を保つことを意識してほしいと思います。部活動についても、吹奏楽部に入部し、一生懸命取り組むことができました。２学期も、樹くんの良さを大切にしながら、さらに活躍することを期待しています。</t>
    <rPh sb="0" eb="1">
      <t>アカ</t>
    </rPh>
    <rPh sb="3" eb="5">
      <t>ゲンキ</t>
    </rPh>
    <rPh sb="10" eb="14">
      <t>ガッコウセイカツ</t>
    </rPh>
    <rPh sb="15" eb="16">
      <t>オク</t>
    </rPh>
    <rPh sb="17" eb="18">
      <t>スガタ</t>
    </rPh>
    <rPh sb="19" eb="20">
      <t>ミ</t>
    </rPh>
    <rPh sb="26" eb="27">
      <t>イツキ</t>
    </rPh>
    <rPh sb="30" eb="32">
      <t>ステキ</t>
    </rPh>
    <rPh sb="38" eb="40">
      <t>ヒトア</t>
    </rPh>
    <rPh sb="43" eb="44">
      <t>ヤワ</t>
    </rPh>
    <rPh sb="50" eb="51">
      <t>ダレ</t>
    </rPh>
    <rPh sb="52" eb="53">
      <t>タイ</t>
    </rPh>
    <rPh sb="57" eb="58">
      <t>オダ</t>
    </rPh>
    <rPh sb="61" eb="64">
      <t>フンイキ</t>
    </rPh>
    <rPh sb="66" eb="67">
      <t>セッ</t>
    </rPh>
    <rPh sb="83" eb="84">
      <t>ヨ</t>
    </rPh>
    <rPh sb="86" eb="88">
      <t>タイセツ</t>
    </rPh>
    <rPh sb="95" eb="96">
      <t>オモ</t>
    </rPh>
    <rPh sb="100" eb="103">
      <t>タイイクサイ</t>
    </rPh>
    <rPh sb="106" eb="108">
      <t>アカグミ</t>
    </rPh>
    <rPh sb="109" eb="111">
      <t>ガクネン</t>
    </rPh>
    <rPh sb="116" eb="117">
      <t>ツト</t>
    </rPh>
    <rPh sb="126" eb="127">
      <t>マエ</t>
    </rPh>
    <rPh sb="128" eb="129">
      <t>タ</t>
    </rPh>
    <rPh sb="149" eb="152">
      <t>セッキョクテキ</t>
    </rPh>
    <rPh sb="153" eb="154">
      <t>コエ</t>
    </rPh>
    <rPh sb="164" eb="165">
      <t>タノ</t>
    </rPh>
    <rPh sb="168" eb="169">
      <t>オモ</t>
    </rPh>
    <rPh sb="174" eb="176">
      <t>ジュギョウ</t>
    </rPh>
    <rPh sb="179" eb="182">
      <t>セッキョクテキ</t>
    </rPh>
    <rPh sb="183" eb="184">
      <t>テ</t>
    </rPh>
    <rPh sb="185" eb="186">
      <t>ア</t>
    </rPh>
    <rPh sb="188" eb="190">
      <t>ハッピョウ</t>
    </rPh>
    <rPh sb="195" eb="196">
      <t>ア</t>
    </rPh>
    <rPh sb="198" eb="199">
      <t>マエ</t>
    </rPh>
    <rPh sb="200" eb="202">
      <t>シュウカン</t>
    </rPh>
    <rPh sb="212" eb="214">
      <t>スバ</t>
    </rPh>
    <rPh sb="218" eb="219">
      <t>オモ</t>
    </rPh>
    <rPh sb="223" eb="225">
      <t>シュクダイ</t>
    </rPh>
    <rPh sb="236" eb="238">
      <t>テイシュツ</t>
    </rPh>
    <rPh sb="246" eb="250">
      <t>セイリセイトン</t>
    </rPh>
    <rPh sb="267" eb="270">
      <t>キョウカショ</t>
    </rPh>
    <rPh sb="275" eb="276">
      <t>イ</t>
    </rPh>
    <rPh sb="280" eb="281">
      <t>タナ</t>
    </rPh>
    <rPh sb="283" eb="285">
      <t>トキオリ</t>
    </rPh>
    <rPh sb="285" eb="286">
      <t>ミダ</t>
    </rPh>
    <rPh sb="294" eb="296">
      <t>ツド</t>
    </rPh>
    <rPh sb="296" eb="298">
      <t>テイネイ</t>
    </rPh>
    <rPh sb="299" eb="300">
      <t>イ</t>
    </rPh>
    <rPh sb="306" eb="307">
      <t>ツネ</t>
    </rPh>
    <rPh sb="308" eb="309">
      <t>ウツク</t>
    </rPh>
    <rPh sb="311" eb="313">
      <t>ジョウタイ</t>
    </rPh>
    <rPh sb="314" eb="315">
      <t>タモ</t>
    </rPh>
    <rPh sb="319" eb="321">
      <t>イシキ</t>
    </rPh>
    <rPh sb="327" eb="328">
      <t>オモ</t>
    </rPh>
    <rPh sb="332" eb="335">
      <t>ブカツドウ</t>
    </rPh>
    <rPh sb="341" eb="344">
      <t>スイソウガク</t>
    </rPh>
    <rPh sb="344" eb="345">
      <t>ブ</t>
    </rPh>
    <rPh sb="346" eb="348">
      <t>ニュウブ</t>
    </rPh>
    <rPh sb="350" eb="355">
      <t>イッショウケンメイト</t>
    </rPh>
    <rPh sb="356" eb="357">
      <t>ク</t>
    </rPh>
    <rPh sb="368" eb="370">
      <t>ガッキ</t>
    </rPh>
    <rPh sb="372" eb="373">
      <t>イツキ</t>
    </rPh>
    <rPh sb="376" eb="377">
      <t>ヨ</t>
    </rPh>
    <rPh sb="379" eb="381">
      <t>タイセツ</t>
    </rPh>
    <rPh sb="390" eb="392">
      <t>カツヤク</t>
    </rPh>
    <rPh sb="397" eb="399">
      <t>キタイガンバミオモタイイクサイジブンショウリコウケンゼンリョクガンバスガタミジュギョウチュウセッキョクテキテアジブンイケンハッピョウスガタジブンヨジュギョウヒトリジカクモツタガクシュウナイヨウテイチャクドンヨクシセイデヨオモガッキセイチョウキタイ</t>
    </rPh>
    <phoneticPr fontId="1"/>
  </si>
  <si>
    <t>出席停止４（コロナ４）　欠席２（風邪１、家事都合１）　早退１（胃腸炎）</t>
    <rPh sb="0" eb="4">
      <t>シュッセキテイシ</t>
    </rPh>
    <rPh sb="12" eb="14">
      <t>ケッセキ</t>
    </rPh>
    <rPh sb="16" eb="18">
      <t>カゼ</t>
    </rPh>
    <rPh sb="20" eb="24">
      <t>カジツゴウ</t>
    </rPh>
    <rPh sb="27" eb="29">
      <t>ソウタイ</t>
    </rPh>
    <rPh sb="31" eb="34">
      <t>イチョウエン</t>
    </rPh>
    <phoneticPr fontId="1"/>
  </si>
  <si>
    <t>欠席１（頭痛１）</t>
    <rPh sb="0" eb="2">
      <t>ケッセキ</t>
    </rPh>
    <rPh sb="4" eb="6">
      <t>ズツウ</t>
    </rPh>
    <phoneticPr fontId="1"/>
  </si>
  <si>
    <t>欠席１（風邪１、中耳炎１）</t>
    <rPh sb="0" eb="2">
      <t>ケッセキ</t>
    </rPh>
    <rPh sb="4" eb="6">
      <t>カゼ</t>
    </rPh>
    <rPh sb="8" eb="11">
      <t>チュウジエン</t>
    </rPh>
    <phoneticPr fontId="1"/>
  </si>
  <si>
    <t>欠席２（家事都合１、咳１）</t>
    <rPh sb="0" eb="2">
      <t>ケッセキ</t>
    </rPh>
    <rPh sb="4" eb="8">
      <t>カジツゴウ</t>
    </rPh>
    <rPh sb="10" eb="11">
      <t>セキ</t>
    </rPh>
    <phoneticPr fontId="1"/>
  </si>
  <si>
    <t>欠席２（発熱１、咳１）　遅刻１（咳１）</t>
    <rPh sb="0" eb="2">
      <t>ケッセキ</t>
    </rPh>
    <rPh sb="4" eb="6">
      <t>ハツネツ</t>
    </rPh>
    <rPh sb="8" eb="9">
      <t>セキ</t>
    </rPh>
    <rPh sb="12" eb="14">
      <t>チコク</t>
    </rPh>
    <rPh sb="16" eb="17">
      <t>セキ</t>
    </rPh>
    <phoneticPr fontId="1"/>
  </si>
  <si>
    <t>この項目は適宜変更して下さい。
※注意※
ただし、項目数は１０個まで。仮に少ない場合も行の削除は絶対に行わないで下さい。</t>
    <phoneticPr fontId="1"/>
  </si>
  <si>
    <t>A</t>
    <phoneticPr fontId="1"/>
  </si>
  <si>
    <t>欠席２８（頭痛１　発熱１　小児科通院１　体調不良２４　風邪１）　遅刻３５（体調不良３５）</t>
    <rPh sb="0" eb="2">
      <t>ケッセキ</t>
    </rPh>
    <rPh sb="5" eb="7">
      <t>ズツウ</t>
    </rPh>
    <rPh sb="9" eb="11">
      <t>ハツネツ</t>
    </rPh>
    <rPh sb="13" eb="18">
      <t>ショウニカツウイン</t>
    </rPh>
    <rPh sb="20" eb="24">
      <t>タイチョウフリョウ</t>
    </rPh>
    <rPh sb="27" eb="29">
      <t>カゼ</t>
    </rPh>
    <rPh sb="32" eb="34">
      <t>チコク</t>
    </rPh>
    <rPh sb="37" eb="41">
      <t>タイチョウフリョウ</t>
    </rPh>
    <phoneticPr fontId="1"/>
  </si>
  <si>
    <t>欠席５（頭痛２、体調不良３）　　早退２（頭痛２）</t>
    <rPh sb="0" eb="2">
      <t>ケッセキ</t>
    </rPh>
    <rPh sb="4" eb="6">
      <t>ズツウ</t>
    </rPh>
    <rPh sb="8" eb="12">
      <t>タイチョウフリョウ</t>
    </rPh>
    <rPh sb="16" eb="18">
      <t>ソウタイ</t>
    </rPh>
    <rPh sb="20" eb="22">
      <t>ズツウ</t>
    </rPh>
    <phoneticPr fontId="1"/>
  </si>
  <si>
    <t>出席停止４（コロナ４）　欠席１（風邪１）</t>
    <rPh sb="0" eb="4">
      <t>シュッセキテイシ</t>
    </rPh>
    <rPh sb="12" eb="14">
      <t>ケッセキ</t>
    </rPh>
    <rPh sb="16" eb="18">
      <t>カゼ</t>
    </rPh>
    <phoneticPr fontId="1"/>
  </si>
  <si>
    <t>授業に出てきても、寝ていたり、なかなか授業に参加することができません。一方、オンラインでは、nativeの先生とのやり取りに積極的な様子も見られました。会話などから英語への興味が引き出せていかれるとよいかと思います。</t>
    <phoneticPr fontId="1"/>
  </si>
  <si>
    <t>C</t>
    <phoneticPr fontId="1"/>
  </si>
  <si>
    <t>B</t>
    <phoneticPr fontId="1"/>
  </si>
  <si>
    <t>A</t>
    <phoneticPr fontId="1"/>
  </si>
  <si>
    <t>-</t>
    <phoneticPr fontId="1"/>
  </si>
  <si>
    <t>この項目は適宜変更して下さい。
※注意※
ただし、項目数は１０個まで。仮に少ない場合も行の削除は絶対に行わないで下さい。</t>
    <phoneticPr fontId="1"/>
  </si>
  <si>
    <t>A</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</si>
  <si>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</si>
  <si>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</si>
  <si>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</si>
  <si>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</si>
  <si>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</si>
  <si>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B</t>
    <phoneticPr fontId="1"/>
  </si>
  <si>
    <t>この項目は適宜変更して下さい。
※注意※
ただし、項目数は１０個まで。仮に少ない場合も行の削除は絶対に行わないで下さい。</t>
    <phoneticPr fontId="1"/>
  </si>
  <si>
    <t>B</t>
    <phoneticPr fontId="1"/>
  </si>
  <si>
    <t>-</t>
    <phoneticPr fontId="1"/>
  </si>
  <si>
    <t>A</t>
    <phoneticPr fontId="1"/>
  </si>
  <si>
    <t>B</t>
    <phoneticPr fontId="1"/>
  </si>
  <si>
    <t>主体的に学習に取り組む態度</t>
    <phoneticPr fontId="1"/>
  </si>
  <si>
    <t>【まとめテスト８３点A、GWレポートA、調理実習レポートA、ノートA】</t>
    <phoneticPr fontId="1"/>
  </si>
  <si>
    <t>【まとめテスト９２点A、GWレポートA、調理実習レポートA、ノートA】</t>
    <phoneticPr fontId="1"/>
  </si>
  <si>
    <t>【まとめテスト９３点A、GWレポートA、調理実習レポートA、ノートA】</t>
    <phoneticPr fontId="1"/>
  </si>
  <si>
    <t>【まとめテスト９３点A、GWレポートA、調理実習レポートA、ノートA】</t>
    <phoneticPr fontId="1"/>
  </si>
  <si>
    <t>【まとめテスト７８点B、GWレポートA、調理実習レポートA、ノートA】</t>
    <phoneticPr fontId="1"/>
  </si>
  <si>
    <t>【まとめテスト９５点A、GWレポートA、調理実習レポートA、ノートA】</t>
    <phoneticPr fontId="1"/>
  </si>
  <si>
    <t>自分の気持ちに負けずに、頑張って登校してきた日が多くあり、うれしく思いました。昼休みや放課後は、元気いっぱいに子どもらしく無邪気に体を動かしてみんなといっしょにドッジボールを楽しみました。一方で、学習面については、課題があります。授業で態度については。先生が前で説明しているのに、突っ伏して寝てしまっていたり、ノートをとらずにコンパスやのりで遊んでいたり、テストの全面に鉛筆で線を落書きしたりと、残念な姿が見られました。教わる立場として、教えてくださる先生への敬意を常に持つべきです。また、謙虚に学ぶ姿勢を忘れないでほしいと思います。ただ、立派に頑張っている姿も少なからず見せてくれました。わからない単元でも、一生懸命ノートをとったり、できる問題を何とか解こうとしていました。やればできる姿を見せてくれています。２学期に期待しています。学力面では、前学年までの内容が定着していないことが気がかりです。特に算数のいろいろな計算については、長期休暇もうまく活用して復習してほしいと思います。</t>
    <rPh sb="0" eb="2">
      <t>ジブン</t>
    </rPh>
    <rPh sb="3" eb="5">
      <t>キモ</t>
    </rPh>
    <rPh sb="7" eb="8">
      <t>マ</t>
    </rPh>
    <rPh sb="12" eb="14">
      <t>ガンバ</t>
    </rPh>
    <rPh sb="16" eb="18">
      <t>トウコウ</t>
    </rPh>
    <rPh sb="22" eb="23">
      <t>ヒ</t>
    </rPh>
    <rPh sb="24" eb="25">
      <t>オオ</t>
    </rPh>
    <rPh sb="33" eb="34">
      <t>オモ</t>
    </rPh>
    <rPh sb="94" eb="96">
      <t>イッポウ</t>
    </rPh>
    <rPh sb="98" eb="101">
      <t>ガクシュウメン</t>
    </rPh>
    <rPh sb="107" eb="109">
      <t>カダイ</t>
    </rPh>
    <rPh sb="115" eb="117">
      <t>ジュギョウ</t>
    </rPh>
    <rPh sb="118" eb="120">
      <t>タイド</t>
    </rPh>
    <rPh sb="126" eb="128">
      <t>センセイ</t>
    </rPh>
    <rPh sb="129" eb="130">
      <t>マエ</t>
    </rPh>
    <rPh sb="131" eb="133">
      <t>セツメイ</t>
    </rPh>
    <rPh sb="140" eb="141">
      <t>ツ</t>
    </rPh>
    <rPh sb="142" eb="143">
      <t>プ</t>
    </rPh>
    <rPh sb="145" eb="146">
      <t>ネ</t>
    </rPh>
    <rPh sb="171" eb="172">
      <t>アソ</t>
    </rPh>
    <rPh sb="182" eb="184">
      <t>ゼンメン</t>
    </rPh>
    <rPh sb="185" eb="187">
      <t>エンピツ</t>
    </rPh>
    <rPh sb="188" eb="189">
      <t>セン</t>
    </rPh>
    <rPh sb="190" eb="192">
      <t>ラクガ</t>
    </rPh>
    <rPh sb="198" eb="200">
      <t>ザンネン</t>
    </rPh>
    <rPh sb="201" eb="202">
      <t>スガタ</t>
    </rPh>
    <rPh sb="203" eb="204">
      <t>ミ</t>
    </rPh>
    <rPh sb="210" eb="211">
      <t>オシ</t>
    </rPh>
    <rPh sb="213" eb="215">
      <t>タチバ</t>
    </rPh>
    <rPh sb="219" eb="220">
      <t>オシ</t>
    </rPh>
    <rPh sb="226" eb="228">
      <t>センセイ</t>
    </rPh>
    <rPh sb="230" eb="232">
      <t>ケイイ</t>
    </rPh>
    <rPh sb="233" eb="234">
      <t>ツネ</t>
    </rPh>
    <rPh sb="235" eb="236">
      <t>モ</t>
    </rPh>
    <rPh sb="245" eb="247">
      <t>ケンキョ</t>
    </rPh>
    <rPh sb="248" eb="249">
      <t>マナ</t>
    </rPh>
    <rPh sb="250" eb="252">
      <t>シセイ</t>
    </rPh>
    <rPh sb="253" eb="254">
      <t>ワス</t>
    </rPh>
    <rPh sb="262" eb="263">
      <t>オモ</t>
    </rPh>
    <rPh sb="270" eb="272">
      <t>リッパ</t>
    </rPh>
    <rPh sb="273" eb="275">
      <t>ガンバ</t>
    </rPh>
    <rPh sb="279" eb="280">
      <t>スガタ</t>
    </rPh>
    <rPh sb="281" eb="282">
      <t>スク</t>
    </rPh>
    <rPh sb="286" eb="287">
      <t>ミ</t>
    </rPh>
    <rPh sb="344" eb="345">
      <t>スガタ</t>
    </rPh>
    <rPh sb="346" eb="347">
      <t>ミ</t>
    </rPh>
    <rPh sb="357" eb="359">
      <t>ガッキ</t>
    </rPh>
    <rPh sb="360" eb="362">
      <t>キタイ</t>
    </rPh>
    <rPh sb="374" eb="377">
      <t>ゼンガクネン</t>
    </rPh>
    <rPh sb="380" eb="382">
      <t>ナイヨウ</t>
    </rPh>
    <rPh sb="383" eb="385">
      <t>テイチャク</t>
    </rPh>
    <rPh sb="393" eb="394">
      <t>キ</t>
    </rPh>
    <rPh sb="400" eb="401">
      <t>トク</t>
    </rPh>
    <rPh sb="402" eb="404">
      <t>サンスウ</t>
    </rPh>
    <rPh sb="418" eb="422">
      <t>チョウキキュウカ</t>
    </rPh>
    <rPh sb="426" eb="428">
      <t>カツヨウ</t>
    </rPh>
    <rPh sb="430" eb="432">
      <t>フクシュウ</t>
    </rPh>
    <rPh sb="438" eb="439">
      <t>オモ</t>
    </rPh>
    <phoneticPr fontId="1"/>
  </si>
  <si>
    <t>毎日、落ち着いて学校生活を送ることができていました。生活面で頑張らなければならないことは、しっかりできていたように感じます。ロッカーや引き出しの中など、いつも美しく整理整頓された状態を保つことができていました。また、時間を意識して早めの行動をとることもできていました。宿題や提出物についても、いつもきっちりと提出することができていて、とても立派です。授業中は、先生の話を聞き逃すまいと、一生懸命前を向いて、話を聞く姿が見られました。ノートなどの文字については、いつも丁寧に書くことができています。ぜひ続けてほしいと思います。また、手を挙げて発表する姿が何度も見られました。頑張って発表しようという積極的な気持ちが伝わってきます。ぜひ今後も続けてほしいと思います。頑張るべき場面では一生懸命頑張り、休み時間は友達と楽しそうに過ごすことができていて、メリハリがついた、良い１学期でした。２学期の頑張りも期待しています。</t>
    <rPh sb="0" eb="2">
      <t>マイニチ</t>
    </rPh>
    <rPh sb="3" eb="4">
      <t>オ</t>
    </rPh>
    <rPh sb="5" eb="6">
      <t>ツ</t>
    </rPh>
    <rPh sb="8" eb="12">
      <t>ガッコウセイカツ</t>
    </rPh>
    <rPh sb="13" eb="14">
      <t>オク</t>
    </rPh>
    <rPh sb="26" eb="29">
      <t>セイカツメン</t>
    </rPh>
    <rPh sb="30" eb="32">
      <t>ガンバ</t>
    </rPh>
    <rPh sb="57" eb="58">
      <t>カン</t>
    </rPh>
    <rPh sb="67" eb="68">
      <t>ヒ</t>
    </rPh>
    <rPh sb="69" eb="70">
      <t>ダ</t>
    </rPh>
    <rPh sb="72" eb="73">
      <t>ナカ</t>
    </rPh>
    <rPh sb="79" eb="80">
      <t>ウツク</t>
    </rPh>
    <rPh sb="82" eb="86">
      <t>セイリセイトン</t>
    </rPh>
    <rPh sb="89" eb="91">
      <t>ジョウタイ</t>
    </rPh>
    <rPh sb="92" eb="93">
      <t>タモ</t>
    </rPh>
    <rPh sb="108" eb="110">
      <t>ジカン</t>
    </rPh>
    <rPh sb="111" eb="113">
      <t>イシキ</t>
    </rPh>
    <rPh sb="115" eb="116">
      <t>ハヤ</t>
    </rPh>
    <rPh sb="118" eb="120">
      <t>コウドウ</t>
    </rPh>
    <rPh sb="134" eb="136">
      <t>シュクダイ</t>
    </rPh>
    <rPh sb="137" eb="140">
      <t>テイシュツブツ</t>
    </rPh>
    <rPh sb="154" eb="156">
      <t>テイシュツ</t>
    </rPh>
    <rPh sb="170" eb="172">
      <t>リッパ</t>
    </rPh>
    <rPh sb="175" eb="178">
      <t>ジュギョウチュウ</t>
    </rPh>
    <rPh sb="180" eb="182">
      <t>センセイ</t>
    </rPh>
    <rPh sb="183" eb="184">
      <t>ハナシ</t>
    </rPh>
    <rPh sb="185" eb="186">
      <t>キ</t>
    </rPh>
    <rPh sb="187" eb="188">
      <t>ノガ</t>
    </rPh>
    <rPh sb="193" eb="197">
      <t>イッショウケンメイ</t>
    </rPh>
    <rPh sb="197" eb="198">
      <t>マエ</t>
    </rPh>
    <rPh sb="199" eb="200">
      <t>ム</t>
    </rPh>
    <rPh sb="203" eb="204">
      <t>ハナシ</t>
    </rPh>
    <rPh sb="205" eb="206">
      <t>キ</t>
    </rPh>
    <rPh sb="207" eb="208">
      <t>スガタ</t>
    </rPh>
    <rPh sb="209" eb="210">
      <t>ミ</t>
    </rPh>
    <rPh sb="222" eb="224">
      <t>モジ</t>
    </rPh>
    <rPh sb="233" eb="235">
      <t>テイネイ</t>
    </rPh>
    <rPh sb="236" eb="237">
      <t>カ</t>
    </rPh>
    <rPh sb="250" eb="251">
      <t>ツヅ</t>
    </rPh>
    <rPh sb="257" eb="258">
      <t>オモ</t>
    </rPh>
    <rPh sb="265" eb="266">
      <t>テ</t>
    </rPh>
    <rPh sb="267" eb="268">
      <t>ア</t>
    </rPh>
    <rPh sb="270" eb="272">
      <t>ハッピョウ</t>
    </rPh>
    <rPh sb="274" eb="275">
      <t>スガタ</t>
    </rPh>
    <rPh sb="276" eb="278">
      <t>ナンド</t>
    </rPh>
    <rPh sb="279" eb="280">
      <t>ミ</t>
    </rPh>
    <rPh sb="286" eb="288">
      <t>ガンバ</t>
    </rPh>
    <rPh sb="290" eb="292">
      <t>ハッピョウ</t>
    </rPh>
    <rPh sb="298" eb="301">
      <t>セッキョクテキ</t>
    </rPh>
    <rPh sb="302" eb="304">
      <t>キモ</t>
    </rPh>
    <rPh sb="306" eb="307">
      <t>ツタ</t>
    </rPh>
    <rPh sb="316" eb="318">
      <t>コンゴ</t>
    </rPh>
    <rPh sb="319" eb="320">
      <t>ツヅ</t>
    </rPh>
    <rPh sb="326" eb="327">
      <t>オモ</t>
    </rPh>
    <rPh sb="331" eb="333">
      <t>ガンバ</t>
    </rPh>
    <rPh sb="336" eb="338">
      <t>バメン</t>
    </rPh>
    <rPh sb="340" eb="346">
      <t>イッショウケンメイガンバ</t>
    </rPh>
    <rPh sb="348" eb="349">
      <t>ヤス</t>
    </rPh>
    <rPh sb="350" eb="352">
      <t>ジカン</t>
    </rPh>
    <rPh sb="353" eb="355">
      <t>トモダチ</t>
    </rPh>
    <rPh sb="356" eb="357">
      <t>タノ</t>
    </rPh>
    <rPh sb="361" eb="362">
      <t>ス</t>
    </rPh>
    <rPh sb="382" eb="383">
      <t>ヨ</t>
    </rPh>
    <rPh sb="385" eb="387">
      <t>ガッキ</t>
    </rPh>
    <rPh sb="392" eb="394">
      <t>ガッキ</t>
    </rPh>
    <rPh sb="395" eb="397">
      <t>ガンバ</t>
    </rPh>
    <rPh sb="399" eb="401">
      <t>キタイ</t>
    </rPh>
    <phoneticPr fontId="1"/>
  </si>
  <si>
    <t xml:space="preserve"> 出席日数（自動計算）</t>
    <phoneticPr fontId="1"/>
  </si>
  <si>
    <t xml:space="preserve"> 欠席日数</t>
    <phoneticPr fontId="1"/>
  </si>
  <si>
    <t>知識・技能（期末テスト、漢字テスト）</t>
    <phoneticPr fontId="1"/>
  </si>
  <si>
    <t>B</t>
    <phoneticPr fontId="1"/>
  </si>
  <si>
    <t>主体的に取り組む態度（提出物、授業態度）</t>
    <phoneticPr fontId="1"/>
  </si>
  <si>
    <t>A</t>
    <phoneticPr fontId="1"/>
  </si>
  <si>
    <t>思考力・表現力・判断力（単元テスト・定期テスト）</t>
    <phoneticPr fontId="1"/>
  </si>
  <si>
    <t>B</t>
    <phoneticPr fontId="1"/>
  </si>
  <si>
    <t>C</t>
    <phoneticPr fontId="1"/>
  </si>
  <si>
    <t>思考力・表現力・判断力（定期テスト・単元テスト・まとめノート）</t>
    <phoneticPr fontId="17"/>
  </si>
  <si>
    <t>B</t>
    <phoneticPr fontId="1"/>
  </si>
  <si>
    <t>A</t>
    <phoneticPr fontId="1"/>
  </si>
  <si>
    <t>A</t>
    <phoneticPr fontId="1"/>
  </si>
  <si>
    <t>C</t>
    <phoneticPr fontId="1"/>
  </si>
  <si>
    <t>-</t>
    <phoneticPr fontId="1"/>
  </si>
  <si>
    <t>この項目は適宜変更して下さい。
※注意※
ただし、項目数は１０個まで。仮に少ない場合も行の削除は絶対に行わないで下さい。</t>
    <phoneticPr fontId="1"/>
  </si>
  <si>
    <t>C</t>
    <phoneticPr fontId="1"/>
  </si>
  <si>
    <t>C</t>
    <phoneticPr fontId="1"/>
  </si>
  <si>
    <t>B</t>
    <phoneticPr fontId="1"/>
  </si>
  <si>
    <t>A</t>
    <phoneticPr fontId="1"/>
  </si>
  <si>
    <t>A</t>
    <phoneticPr fontId="1"/>
  </si>
  <si>
    <t>C</t>
    <phoneticPr fontId="1"/>
  </si>
  <si>
    <t>A</t>
    <phoneticPr fontId="1"/>
  </si>
  <si>
    <t>B</t>
    <phoneticPr fontId="1"/>
  </si>
  <si>
    <t>-</t>
    <phoneticPr fontId="1"/>
  </si>
  <si>
    <t>A</t>
    <phoneticPr fontId="1"/>
  </si>
  <si>
    <t>B</t>
    <phoneticPr fontId="1"/>
  </si>
  <si>
    <t>C</t>
    <phoneticPr fontId="1"/>
  </si>
  <si>
    <t>この項目は適宜変更して下さい。
※注意※
ただし、項目数は１０個まで。仮に少ない場合も行の削除は絶対に行わないで下さい。</t>
    <phoneticPr fontId="1"/>
  </si>
  <si>
    <t>A</t>
    <phoneticPr fontId="1"/>
  </si>
  <si>
    <t>B</t>
    <phoneticPr fontId="1"/>
  </si>
  <si>
    <t>知識・技能（クロッキー・見取り）</t>
    <phoneticPr fontId="1"/>
  </si>
  <si>
    <t>B</t>
    <phoneticPr fontId="1"/>
  </si>
  <si>
    <t>A</t>
    <phoneticPr fontId="1"/>
  </si>
  <si>
    <t>思考・判断・表現（作品）</t>
    <phoneticPr fontId="1"/>
  </si>
  <si>
    <t>A</t>
    <phoneticPr fontId="1"/>
  </si>
  <si>
    <t>B</t>
    <phoneticPr fontId="1"/>
  </si>
  <si>
    <t>B</t>
    <phoneticPr fontId="1"/>
  </si>
  <si>
    <t>この項目は適宜変更して下さい。
※注意※
ただし、項目数は１０個まで。仮に少ない場合も行の削除は絶対に行わないで下さい。</t>
    <phoneticPr fontId="1"/>
  </si>
  <si>
    <t>B</t>
    <phoneticPr fontId="1"/>
  </si>
  <si>
    <t>B</t>
    <phoneticPr fontId="1"/>
  </si>
  <si>
    <t>C</t>
    <phoneticPr fontId="1"/>
  </si>
  <si>
    <t>-</t>
    <phoneticPr fontId="1"/>
  </si>
  <si>
    <t>-</t>
    <phoneticPr fontId="1"/>
  </si>
  <si>
    <t>知識・技能（まとめテスト・レポート）</t>
    <phoneticPr fontId="18"/>
  </si>
  <si>
    <t>【まとめテスト８８点A、GWレポートA、調理実習レポートA、ノートA】</t>
    <phoneticPr fontId="1"/>
  </si>
  <si>
    <t>【まとめテスト６９点B、GWレポートA、調理実習レポートA、ノートA】</t>
    <phoneticPr fontId="1"/>
  </si>
  <si>
    <t>【まとめテスト７９点B（水からゆでるもの、お湯からゆでるものが分かっていない）、GWレポートA、調理実習レポートA、ノートA】</t>
    <phoneticPr fontId="1"/>
  </si>
  <si>
    <t>【まとめテスト８１点B（水からゆでるもの、お湯からゆでるものが分かっていない）、GWレポートA、調理実習レポートA、ノートA】</t>
    <phoneticPr fontId="1"/>
  </si>
  <si>
    <t>【まとめテスト７５点B、GWレポートA、調理実習レポートA、ノートA】</t>
    <phoneticPr fontId="1"/>
  </si>
  <si>
    <t>【まとめテスト８０点B（水からゆでるもの、お湯からゆでるものが分かっていない）、GWレポートA、調理実習レポートA、ノートA】</t>
    <phoneticPr fontId="1"/>
  </si>
  <si>
    <t>【まとめテスト９８点A、GWレポートA、調理実習レポートA、ノートA】</t>
    <phoneticPr fontId="1"/>
  </si>
  <si>
    <t>【まとめテスト８２点B（水からゆでるもの、お湯からゆでるものが分かっていない）、GWレポートA、調理実習レポートA、ノートA】</t>
    <phoneticPr fontId="1"/>
  </si>
  <si>
    <t>150～200</t>
    <phoneticPr fontId="10" type="Hiragana" alignment="distributed"/>
  </si>
  <si>
    <t>A</t>
    <phoneticPr fontId="1"/>
  </si>
  <si>
    <t>C</t>
    <phoneticPr fontId="1"/>
  </si>
  <si>
    <t>B</t>
    <phoneticPr fontId="1"/>
  </si>
  <si>
    <t>総合所見</t>
    <phoneticPr fontId="1"/>
  </si>
  <si>
    <t>400～450</t>
    <phoneticPr fontId="10" type="Hiragana" alignment="distributed"/>
  </si>
</sst>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name val="ＭＳ Ｐゴシック"/>
      <family val="3"/>
      <charset val="128"/>
      <scheme val="minor"/>
    </font>
    <font>
      <b/>
      <sz val="12"/>
      <color theme="0"/>
      <name val="ＭＳ Ｐ明朝"/>
      <family val="1"/>
      <charset val="128"/>
    </font>
    <font>
      <b/>
      <sz val="11"/>
      <color indexed="63"/>
      <name val="ＭＳ Ｐゴシック"/>
      <family val="3"/>
      <charset val="128"/>
    </font>
    <font>
      <sz val="11"/>
      <color rgb="FF9C6500"/>
      <name val="ＭＳ Ｐゴシック"/>
      <family val="2"/>
      <charset val="128"/>
      <scheme val="minor"/>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89">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3" fillId="0" borderId="14" xfId="0" applyNumberFormat="1" applyFont="1" applyFill="1" applyBorder="1" applyAlignment="1" applyProtection="1">
      <alignment horizontal="left" vertical="center" wrapText="1"/>
      <protection locked="0"/>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15" fillId="0" borderId="14" xfId="0" applyFont="1" applyBorder="1" applyProtection="1">
      <alignment vertical="center"/>
      <protection locked="0"/>
    </xf>
    <xf numFmtId="0" fontId="15" fillId="0" borderId="30" xfId="0" applyFont="1" applyBorder="1" applyProtection="1">
      <alignment vertical="center"/>
      <protection locked="0"/>
    </xf>
    <xf numFmtId="0" fontId="3" fillId="3" borderId="14" xfId="0" applyFont="1" applyFill="1" applyBorder="1" applyAlignment="1">
      <alignment vertical="top" textRotation="255" shrinkToFit="1"/>
    </xf>
    <xf numFmtId="0" fontId="3" fillId="0" borderId="30" xfId="0" applyFont="1" applyBorder="1" applyAlignment="1" applyProtection="1">
      <alignment horizontal="left" vertical="center" shrinkToFit="1"/>
      <protection locked="0"/>
    </xf>
    <xf numFmtId="0" fontId="3" fillId="0" borderId="14" xfId="0" applyFont="1" applyFill="1" applyBorder="1" applyAlignment="1">
      <alignment horizontal="right" vertical="center"/>
    </xf>
    <xf numFmtId="0" fontId="16"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2" fillId="0" borderId="14" xfId="0" applyFont="1" applyBorder="1" applyAlignment="1" applyProtection="1">
      <alignment horizontal="center" vertical="center"/>
      <protection locked="0"/>
    </xf>
    <xf numFmtId="0" fontId="9" fillId="0" borderId="0" xfId="0" applyFont="1">
      <alignment vertical="center"/>
    </xf>
    <xf numFmtId="0" fontId="3" fillId="0" borderId="31" xfId="0" applyFont="1" applyBorder="1" applyAlignment="1">
      <alignment horizontal="left" vertical="center" wrapText="1"/>
    </xf>
    <xf numFmtId="0" fontId="2" fillId="3" borderId="14" xfId="0" applyFont="1" applyFill="1" applyBorder="1" applyProtection="1">
      <alignment vertical="center"/>
      <protection locked="0"/>
    </xf>
    <xf numFmtId="0" fontId="0" fillId="0" borderId="0" xfId="0" applyProtection="1">
      <alignment vertical="center"/>
      <protection locked="0"/>
    </xf>
    <xf numFmtId="0" fontId="11" fillId="7" borderId="14" xfId="0" applyNumberFormat="1" applyFont="1" applyFill="1" applyBorder="1" applyAlignment="1">
      <alignment horizontal="center" vertical="center"/>
    </xf>
    <xf numFmtId="0" fontId="9" fillId="0" borderId="0" xfId="0" applyFont="1" applyFill="1" applyProtection="1">
      <alignment vertical="center"/>
      <protection locked="0"/>
    </xf>
    <xf numFmtId="0" fontId="3" fillId="8" borderId="0" xfId="0" applyFont="1" applyFill="1" applyBorder="1" applyAlignment="1">
      <alignment horizontal="left" vertical="center" wrapText="1"/>
    </xf>
    <xf numFmtId="0" fontId="3" fillId="3" borderId="14" xfId="0" applyFont="1" applyFill="1" applyBorder="1" applyAlignment="1" applyProtection="1">
      <alignment vertical="center"/>
      <protection locked="0"/>
    </xf>
    <xf numFmtId="0" fontId="3" fillId="3" borderId="14" xfId="0" applyFont="1" applyFill="1" applyBorder="1" applyAlignment="1" applyProtection="1">
      <alignment vertical="center"/>
    </xf>
    <xf numFmtId="0" fontId="2" fillId="0" borderId="14" xfId="0" applyFont="1" applyFill="1" applyBorder="1" applyProtection="1">
      <alignment vertical="center"/>
      <protection locked="0"/>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16"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24" xfId="0" applyFont="1" applyFill="1" applyBorder="1" applyAlignment="1">
      <alignment horizontal="left" vertical="center"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6" fillId="0" borderId="42" xfId="0" applyFont="1" applyFill="1" applyBorder="1" applyAlignment="1">
      <alignment horizontal="left" vertical="top" wrapText="1"/>
    </xf>
    <xf numFmtId="0" fontId="6" fillId="0" borderId="31" xfId="0" applyFont="1" applyFill="1" applyBorder="1" applyAlignment="1">
      <alignment horizontal="left" vertical="top" wrapText="1"/>
    </xf>
    <xf numFmtId="0" fontId="6" fillId="0" borderId="32" xfId="0" applyFont="1" applyFill="1" applyBorder="1" applyAlignment="1">
      <alignment horizontal="left" vertical="top" wrapTex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0" borderId="30" xfId="0" applyNumberFormat="1" applyFont="1" applyFill="1" applyBorder="1" applyAlignment="1" applyProtection="1">
      <alignment horizontal="left" vertical="top" wrapText="1"/>
      <protection locked="0"/>
    </xf>
    <xf numFmtId="0" fontId="3" fillId="0" borderId="31" xfId="0" applyNumberFormat="1" applyFont="1" applyFill="1" applyBorder="1" applyAlignment="1" applyProtection="1">
      <alignment horizontal="left" vertical="top" wrapText="1"/>
      <protection locked="0"/>
    </xf>
    <xf numFmtId="0" fontId="3" fillId="0" borderId="32" xfId="0" applyNumberFormat="1" applyFont="1" applyFill="1" applyBorder="1" applyAlignment="1" applyProtection="1">
      <alignment horizontal="left" vertical="top" wrapText="1"/>
      <protection locked="0"/>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xf numFmtId="0" fontId="3" fillId="8" borderId="14" xfId="0" applyFont="1" applyFill="1" applyBorder="1" applyAlignment="1">
      <alignment horizontal="left" vertical="center"/>
    </xf>
    <xf numFmtId="0" fontId="11" fillId="7" borderId="30" xfId="0" applyNumberFormat="1" applyFont="1" applyFill="1" applyBorder="1" applyAlignment="1">
      <alignment horizontal="center" vertical="center"/>
    </xf>
    <xf numFmtId="0" fontId="11" fillId="7" borderId="31" xfId="0" applyNumberFormat="1" applyFont="1" applyFill="1" applyBorder="1" applyAlignment="1">
      <alignment horizontal="center" vertical="center"/>
    </xf>
    <xf numFmtId="0" fontId="11" fillId="7" borderId="32" xfId="0" applyNumberFormat="1" applyFont="1" applyFill="1" applyBorder="1" applyAlignment="1">
      <alignment horizontal="center"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cellXfs>
  <cellStyles count="1">
    <cellStyle name="標準" xfId="0" builtinId="0"/>
  </cellStyles>
  <dxfs count="45">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15</xdr:col>
      <xdr:colOff>1247776</xdr:colOff>
      <xdr:row>5</xdr:row>
      <xdr:rowOff>76200</xdr:rowOff>
    </xdr:from>
    <xdr:to>
      <xdr:col>17</xdr:col>
      <xdr:colOff>666750</xdr:colOff>
      <xdr:row>10</xdr:row>
      <xdr:rowOff>171451</xdr:rowOff>
    </xdr:to>
    <xdr:sp macro="" textlink="">
      <xdr:nvSpPr>
        <xdr:cNvPr id="7" name="テキスト ボックス 6"/>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R6%20&#23567;&#65301;\5-2&#35413;&#20385;&#12467;&#12513;&#12531;&#1248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row r="2">
          <cell r="B2" t="str">
            <v>授業ではよく発言し、積極的です。提出率もよく、知識も豊富です。</v>
          </cell>
        </row>
        <row r="3">
          <cell r="B3" t="str">
            <v>授業では、発言は少なく静かですが、非常にまじめに取り組んでいます。</v>
          </cell>
        </row>
        <row r="5">
          <cell r="B5" t="str">
            <v>授業でのノートがなかなか取れません。提出率も非常に低いです。丁寧に取り組んで欲しいです。</v>
          </cell>
        </row>
        <row r="6">
          <cell r="B6" t="str">
            <v>授業でのノートがなかなか取れません。提出率も非常に低いです。丁寧に取り組んで欲しいです。</v>
          </cell>
        </row>
        <row r="7">
          <cell r="B7" t="str">
            <v>授業では、わかることは挙手も積極的です。提出物を頑張りたいです。</v>
          </cell>
        </row>
        <row r="8">
          <cell r="B8" t="str">
            <v>授業ではよく発言し、積極的です。提出率は高いですが、単語練習などの練習量が少ないので、さらに取り組んで知識を増やしていきたいです。</v>
          </cell>
        </row>
        <row r="9">
          <cell r="B9" t="str">
            <v>積極的な生徒です。提出物の再提出や、やり直しなどが面倒なようで、提出率がさがったり、知識が定着しなかったりしています。</v>
          </cell>
        </row>
        <row r="10">
          <cell r="B10" t="str">
            <v>提出プリントなど、だいぶ前のものを忘れたころに提出することがよくあります。出せることは素晴らしいです。整理して期限に出せるようにしていきたいです。</v>
          </cell>
        </row>
        <row r="11">
          <cell r="B11" t="str">
            <v>regularの授業では、ノートを取ることが難しいようです。Writingでは、積極的に質問してくれました。</v>
          </cell>
        </row>
        <row r="12">
          <cell r="B12" t="str">
            <v>授業では、発言は少なく静かですが、まじめに取り組んでいます。提出物も頑張れています。</v>
          </cell>
        </row>
        <row r="13">
          <cell r="B13" t="str">
            <v>授業中に疑問があればすぐに尋ね、積極的です。提出率も高いです。</v>
          </cell>
        </row>
        <row r="14">
          <cell r="B14" t="str">
            <v>授業では、発言は少なく静かですが、まじめに取り組んでいます。提出率も高いです。知識の定着に力を入れたいです。</v>
          </cell>
        </row>
        <row r="15">
          <cell r="B15" t="str">
            <v>提出率100%です。わかれば授業でも挙手し、積極性も見られ、真剣に取り組んでいます。</v>
          </cell>
        </row>
        <row r="16">
          <cell r="B16" t="str">
            <v>授業では、発言は少なく静かですが、非常にまじめに取り組んでいます。</v>
          </cell>
        </row>
        <row r="17">
          <cell r="B17" t="str">
            <v>授業では、発言は少なく静かですが、非常にまじめに取り組んでいます。</v>
          </cell>
        </row>
        <row r="18">
          <cell r="B18" t="str">
            <v>授業では、発言は少なく静かですが、非常にまじめに取り組んでいます。</v>
          </cell>
        </row>
        <row r="19">
          <cell r="B19" t="str">
            <v>授業ではたいてい、１番に挙手をしているように思えます。授業外でも会うと英語であいさつをしてくれます。素直で知識欲もあります。</v>
          </cell>
        </row>
        <row r="20">
          <cell r="B20" t="str">
            <v>授業では、わかることは挙手して積極的に参加しています。英語係の仕事も責任をもってやってくれています。</v>
          </cell>
        </row>
        <row r="21">
          <cell r="B21" t="str">
            <v>授業はまじめに聞いて積極的に参加しています。提出率も高く、知識も豊富です。</v>
          </cell>
        </row>
        <row r="22">
          <cell r="B22" t="str">
            <v>授業では積極的に発言してくれます。提出物の答え合わせが適当で、毎回間違っているのに〇になっていることが気になります。</v>
          </cell>
        </row>
        <row r="23">
          <cell r="B23" t="str">
            <v>提出率100％です。意欲もあり、積極的に頑張っています。</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0"/>
  <sheetViews>
    <sheetView tabSelected="1" view="pageBreakPreview" zoomScaleNormal="85" zoomScaleSheetLayoutView="100" workbookViewId="0">
      <selection activeCell="O10" sqref="O10"/>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35" t="str">
        <f ca="1">MID(CELL("filename",A1),FIND("[",CELL("filename",A1))+1,3)</f>
        <v>５－２</v>
      </c>
      <c r="B1" s="135"/>
      <c r="C1" s="136" t="str">
        <f ca="1">RIGHT(LEFT(CELL("filename",A1),FIND("[",CELL("filename",A1))-2),3)</f>
        <v>1学期</v>
      </c>
      <c r="D1" s="136"/>
      <c r="E1" s="136"/>
      <c r="F1" s="136"/>
      <c r="G1" s="136"/>
      <c r="H1" s="5"/>
      <c r="I1" s="5"/>
    </row>
    <row r="2" spans="1:17" ht="18.75" customHeight="1">
      <c r="A2" s="2" t="s">
        <v>18</v>
      </c>
      <c r="B2" s="1">
        <v>16</v>
      </c>
      <c r="F2" s="4" t="s">
        <v>17</v>
      </c>
      <c r="G2" s="137" t="str">
        <f ca="1">INDIRECT("'所見'!A"&amp;12+B2)</f>
        <v>中村 妃花</v>
      </c>
      <c r="H2" s="137"/>
      <c r="I2" s="137"/>
    </row>
    <row r="3" spans="1:17" ht="12" customHeight="1">
      <c r="C3" s="9"/>
      <c r="D3" s="9"/>
      <c r="E3" s="9"/>
      <c r="F3" s="9"/>
      <c r="G3" s="9"/>
      <c r="H3" s="9"/>
      <c r="I3" s="9"/>
    </row>
    <row r="4" spans="1:17" ht="18.75" customHeight="1">
      <c r="A4" s="109" t="s">
        <v>19</v>
      </c>
      <c r="B4" s="110"/>
      <c r="C4" s="110"/>
      <c r="D4" s="110"/>
      <c r="E4" s="110"/>
      <c r="F4" s="110"/>
      <c r="G4" s="110"/>
      <c r="H4" s="110"/>
      <c r="I4" s="111"/>
    </row>
    <row r="5" spans="1:17" ht="18.75" customHeight="1">
      <c r="A5" s="19" t="s">
        <v>4</v>
      </c>
      <c r="B5" s="143" t="s">
        <v>5</v>
      </c>
      <c r="C5" s="143"/>
      <c r="D5" s="143"/>
      <c r="E5" s="143"/>
      <c r="F5" s="143"/>
      <c r="G5" s="20" t="s">
        <v>6</v>
      </c>
      <c r="H5" s="143" t="s">
        <v>7</v>
      </c>
      <c r="I5" s="144"/>
      <c r="Q5" s="73">
        <v>38</v>
      </c>
    </row>
    <row r="6" spans="1:17" ht="18.75" customHeight="1" thickBot="1">
      <c r="A6" s="120" t="s">
        <v>8</v>
      </c>
      <c r="B6" s="123" t="str">
        <f>国語!B2</f>
        <v>知識・技能（期末テスト、漢字テスト）</v>
      </c>
      <c r="C6" s="124"/>
      <c r="D6" s="124"/>
      <c r="E6" s="124"/>
      <c r="F6" s="125"/>
      <c r="G6" s="21" t="str">
        <f ca="1">OFFSET(国語!C2,0,$B$2)</f>
        <v>A</v>
      </c>
      <c r="H6" s="129">
        <f ca="1">OFFSET(国語!C12,0,$B$2)</f>
        <v>5</v>
      </c>
      <c r="I6" s="130"/>
      <c r="O6" s="8">
        <v>1</v>
      </c>
      <c r="P6" s="55" t="str">
        <f ca="1">INDIRECT("'出欠'!A"&amp;9+O6)</f>
        <v>伊藤 せな</v>
      </c>
    </row>
    <row r="7" spans="1:17" ht="18.75" customHeight="1" thickBot="1">
      <c r="A7" s="121"/>
      <c r="B7" s="119" t="str">
        <f>国語!B3</f>
        <v>思考力・判断力・表現力（期末テスト、音読、俳句づくり）</v>
      </c>
      <c r="C7" s="113"/>
      <c r="D7" s="113"/>
      <c r="E7" s="113"/>
      <c r="F7" s="114"/>
      <c r="G7" s="17" t="str">
        <f ca="1">OFFSET(国語!C3,0,$B$2)</f>
        <v>A</v>
      </c>
      <c r="H7" s="131"/>
      <c r="I7" s="132"/>
      <c r="K7" s="138" t="s">
        <v>40</v>
      </c>
      <c r="L7" s="139"/>
      <c r="O7" s="8">
        <v>2</v>
      </c>
      <c r="P7" s="55" t="str">
        <f t="shared" ref="P7:P30" ca="1" si="0">INDIRECT("'出欠'!A"&amp;9+O7)</f>
        <v>今井 帆夏</v>
      </c>
    </row>
    <row r="8" spans="1:17" ht="18.75" customHeight="1" thickBot="1">
      <c r="A8" s="121"/>
      <c r="B8" s="119" t="str">
        <f>国語!B4</f>
        <v>主体的に取り組む態度（提出物、授業態度）</v>
      </c>
      <c r="C8" s="113"/>
      <c r="D8" s="113"/>
      <c r="E8" s="113"/>
      <c r="F8" s="114"/>
      <c r="G8" s="17" t="str">
        <f ca="1">OFFSET(国語!C4,0,$B$2)</f>
        <v>A</v>
      </c>
      <c r="H8" s="131"/>
      <c r="I8" s="132"/>
      <c r="K8" s="54" t="s">
        <v>41</v>
      </c>
      <c r="L8" s="54" t="s">
        <v>42</v>
      </c>
      <c r="O8" s="8">
        <v>3</v>
      </c>
      <c r="P8" s="55" t="str">
        <f t="shared" ca="1" si="0"/>
        <v>上原 一十</v>
      </c>
    </row>
    <row r="9" spans="1:17" ht="18.75" customHeight="1" thickBot="1">
      <c r="A9" s="121"/>
      <c r="B9" s="119">
        <f>国語!B5</f>
        <v>0</v>
      </c>
      <c r="C9" s="113"/>
      <c r="D9" s="113"/>
      <c r="E9" s="113"/>
      <c r="F9" s="114"/>
      <c r="G9" s="17">
        <f ca="1">OFFSET(国語!C5,0,$B$2)</f>
        <v>0</v>
      </c>
      <c r="H9" s="131"/>
      <c r="I9" s="132"/>
      <c r="K9" s="53">
        <v>15</v>
      </c>
      <c r="L9" s="53">
        <v>15</v>
      </c>
      <c r="O9" s="8">
        <v>4</v>
      </c>
      <c r="P9" s="55" t="str">
        <f t="shared" ca="1" si="0"/>
        <v>上原 誠太</v>
      </c>
    </row>
    <row r="10" spans="1:17" ht="18.75" customHeight="1">
      <c r="A10" s="121"/>
      <c r="B10" s="119">
        <f>国語!B6</f>
        <v>0</v>
      </c>
      <c r="C10" s="113"/>
      <c r="D10" s="113"/>
      <c r="E10" s="113"/>
      <c r="F10" s="114"/>
      <c r="G10" s="17">
        <f ca="1">OFFSET(国語!C6,0,$B$2)</f>
        <v>0</v>
      </c>
      <c r="H10" s="131"/>
      <c r="I10" s="132"/>
      <c r="O10" s="8">
        <v>5</v>
      </c>
      <c r="P10" s="55" t="str">
        <f t="shared" ca="1" si="0"/>
        <v>太田 奏佑</v>
      </c>
    </row>
    <row r="11" spans="1:17" ht="18.75" customHeight="1">
      <c r="A11" s="121"/>
      <c r="B11" s="119">
        <f>国語!B7</f>
        <v>0</v>
      </c>
      <c r="C11" s="113"/>
      <c r="D11" s="113"/>
      <c r="E11" s="113"/>
      <c r="F11" s="114"/>
      <c r="G11" s="17">
        <f ca="1">OFFSET(国語!C7,0,$B$2)</f>
        <v>0</v>
      </c>
      <c r="H11" s="131"/>
      <c r="I11" s="132"/>
      <c r="O11" s="8">
        <v>6</v>
      </c>
      <c r="P11" s="55" t="str">
        <f t="shared" ca="1" si="0"/>
        <v>小口 恵人</v>
      </c>
    </row>
    <row r="12" spans="1:17" ht="18.75" customHeight="1">
      <c r="A12" s="121"/>
      <c r="B12" s="119">
        <f>国語!B8</f>
        <v>0</v>
      </c>
      <c r="C12" s="113"/>
      <c r="D12" s="113"/>
      <c r="E12" s="113"/>
      <c r="F12" s="114"/>
      <c r="G12" s="17">
        <f ca="1">OFFSET(国語!C8,0,$B$2)</f>
        <v>0</v>
      </c>
      <c r="H12" s="131"/>
      <c r="I12" s="132"/>
      <c r="O12" s="8">
        <v>7</v>
      </c>
      <c r="P12" s="55" t="str">
        <f t="shared" ca="1" si="0"/>
        <v>海瀬 晴仁</v>
      </c>
    </row>
    <row r="13" spans="1:17" ht="18.75" customHeight="1">
      <c r="A13" s="122"/>
      <c r="B13" s="119">
        <f>国語!B9</f>
        <v>0</v>
      </c>
      <c r="C13" s="113"/>
      <c r="D13" s="113"/>
      <c r="E13" s="113"/>
      <c r="F13" s="114"/>
      <c r="G13" s="18">
        <f ca="1">OFFSET(国語!C9,0,$B$2)</f>
        <v>0</v>
      </c>
      <c r="H13" s="131"/>
      <c r="I13" s="132"/>
      <c r="O13" s="8">
        <v>8</v>
      </c>
      <c r="P13" s="55" t="str">
        <f t="shared" ca="1" si="0"/>
        <v>金子 愛奈</v>
      </c>
    </row>
    <row r="14" spans="1:17" ht="18.75" customHeight="1">
      <c r="A14" s="120" t="s">
        <v>0</v>
      </c>
      <c r="B14" s="123" t="str">
        <f>算数!B2</f>
        <v>知識・技能（単元テスト・定期テスト）</v>
      </c>
      <c r="C14" s="124"/>
      <c r="D14" s="124"/>
      <c r="E14" s="124"/>
      <c r="F14" s="125"/>
      <c r="G14" s="21" t="str">
        <f ca="1">OFFSET(算数!C2,0,$B$2)</f>
        <v>A</v>
      </c>
      <c r="H14" s="129">
        <f ca="1">OFFSET(算数!C12,0,$B$2)</f>
        <v>5</v>
      </c>
      <c r="I14" s="130"/>
      <c r="O14" s="8">
        <v>9</v>
      </c>
      <c r="P14" s="55" t="str">
        <f t="shared" ca="1" si="0"/>
        <v>上條 結衣</v>
      </c>
    </row>
    <row r="15" spans="1:17" ht="18.75" customHeight="1">
      <c r="A15" s="121"/>
      <c r="B15" s="119" t="str">
        <f>算数!B3</f>
        <v>思考力・表現力・判断力（単元テスト・定期テスト）</v>
      </c>
      <c r="C15" s="113"/>
      <c r="D15" s="113"/>
      <c r="E15" s="113"/>
      <c r="F15" s="114"/>
      <c r="G15" s="17" t="str">
        <f ca="1">OFFSET(算数!C3,0,$B$2)</f>
        <v>A</v>
      </c>
      <c r="H15" s="131"/>
      <c r="I15" s="132"/>
      <c r="O15" s="8">
        <v>10</v>
      </c>
      <c r="P15" s="55" t="str">
        <f t="shared" ca="1" si="0"/>
        <v>鴨居 鈴佳</v>
      </c>
    </row>
    <row r="16" spans="1:17" ht="18.75" customHeight="1">
      <c r="A16" s="121"/>
      <c r="B16" s="119" t="str">
        <f>算数!B4</f>
        <v>主体的に学習に取り組む態度</v>
      </c>
      <c r="C16" s="113"/>
      <c r="D16" s="113"/>
      <c r="E16" s="113"/>
      <c r="F16" s="114"/>
      <c r="G16" s="17" t="str">
        <f ca="1">OFFSET(算数!C4,0,$B$2)</f>
        <v>A</v>
      </c>
      <c r="H16" s="131"/>
      <c r="I16" s="132"/>
      <c r="O16" s="8">
        <v>11</v>
      </c>
      <c r="P16" s="55" t="str">
        <f t="shared" ca="1" si="0"/>
        <v>久保田 陽佳</v>
      </c>
    </row>
    <row r="17" spans="1:16" ht="18.75" customHeight="1">
      <c r="A17" s="121"/>
      <c r="B17" s="119">
        <f>算数!B5</f>
        <v>0</v>
      </c>
      <c r="C17" s="113"/>
      <c r="D17" s="113"/>
      <c r="E17" s="113"/>
      <c r="F17" s="114"/>
      <c r="G17" s="17">
        <f ca="1">OFFSET(算数!C5,0,$B$2)</f>
        <v>0</v>
      </c>
      <c r="H17" s="131"/>
      <c r="I17" s="132"/>
      <c r="L17" s="30"/>
      <c r="M17" s="30"/>
      <c r="O17" s="8">
        <v>12</v>
      </c>
      <c r="P17" s="55" t="str">
        <f t="shared" ca="1" si="0"/>
        <v>小松 賢史</v>
      </c>
    </row>
    <row r="18" spans="1:16" ht="18.75" customHeight="1">
      <c r="A18" s="121"/>
      <c r="B18" s="119">
        <f>算数!B6</f>
        <v>0</v>
      </c>
      <c r="C18" s="113"/>
      <c r="D18" s="113"/>
      <c r="E18" s="113"/>
      <c r="F18" s="114"/>
      <c r="G18" s="17">
        <f ca="1">OFFSET(算数!C6,0,$B$2)</f>
        <v>0</v>
      </c>
      <c r="H18" s="131"/>
      <c r="I18" s="132"/>
      <c r="L18" s="30"/>
      <c r="M18" s="30"/>
      <c r="O18" s="8">
        <v>13</v>
      </c>
      <c r="P18" s="55" t="str">
        <f t="shared" ca="1" si="0"/>
        <v>塩原 七都</v>
      </c>
    </row>
    <row r="19" spans="1:16" ht="18.75" customHeight="1">
      <c r="A19" s="121"/>
      <c r="B19" s="119">
        <f>算数!B7</f>
        <v>0</v>
      </c>
      <c r="C19" s="113"/>
      <c r="D19" s="113"/>
      <c r="E19" s="113"/>
      <c r="F19" s="114"/>
      <c r="G19" s="17">
        <f ca="1">OFFSET(算数!C7,0,$B$2)</f>
        <v>0</v>
      </c>
      <c r="H19" s="131"/>
      <c r="I19" s="132"/>
      <c r="L19" s="74">
        <f>番号</f>
        <v>16</v>
      </c>
      <c r="M19" s="30"/>
      <c r="O19" s="8">
        <v>14</v>
      </c>
      <c r="P19" s="55" t="str">
        <f t="shared" ca="1" si="0"/>
        <v>新保 菜々香</v>
      </c>
    </row>
    <row r="20" spans="1:16" ht="18.75" customHeight="1">
      <c r="A20" s="122"/>
      <c r="B20" s="119">
        <f>算数!B8</f>
        <v>0</v>
      </c>
      <c r="C20" s="113"/>
      <c r="D20" s="113"/>
      <c r="E20" s="113"/>
      <c r="F20" s="114"/>
      <c r="G20" s="18">
        <f ca="1">OFFSET(算数!C8,0,$B$2)</f>
        <v>0</v>
      </c>
      <c r="H20" s="131"/>
      <c r="I20" s="132"/>
      <c r="L20" s="30"/>
      <c r="M20" s="30"/>
      <c r="O20" s="8">
        <v>15</v>
      </c>
      <c r="P20" s="55" t="str">
        <f t="shared" ca="1" si="0"/>
        <v>田中 百</v>
      </c>
    </row>
    <row r="21" spans="1:16" ht="18.75" customHeight="1">
      <c r="A21" s="120" t="s">
        <v>47</v>
      </c>
      <c r="B21" s="123" t="str">
        <f>理科!B2</f>
        <v>知識・技能（定期テスト・単元テスト）</v>
      </c>
      <c r="C21" s="124"/>
      <c r="D21" s="124"/>
      <c r="E21" s="124"/>
      <c r="F21" s="125"/>
      <c r="G21" s="21" t="str">
        <f ca="1">OFFSET(理科!C2,0,$B$2)</f>
        <v>A</v>
      </c>
      <c r="H21" s="129">
        <f ca="1">OFFSET(理科!C12,0,$B$2)</f>
        <v>5</v>
      </c>
      <c r="I21" s="130"/>
      <c r="O21" s="8">
        <v>16</v>
      </c>
      <c r="P21" s="55" t="str">
        <f t="shared" ca="1" si="0"/>
        <v>中村 妃花</v>
      </c>
    </row>
    <row r="22" spans="1:16" ht="18.75" customHeight="1">
      <c r="A22" s="121"/>
      <c r="B22" s="119" t="str">
        <f>理科!B3</f>
        <v>思考力・表現力・判断力（定期テスト・単元テスト・まとめノート）</v>
      </c>
      <c r="C22" s="113"/>
      <c r="D22" s="113"/>
      <c r="E22" s="113"/>
      <c r="F22" s="114"/>
      <c r="G22" s="17" t="str">
        <f ca="1">OFFSET(理科!C3,0,$B$2)</f>
        <v>A</v>
      </c>
      <c r="H22" s="131"/>
      <c r="I22" s="132"/>
      <c r="O22" s="8">
        <v>17</v>
      </c>
      <c r="P22" s="55" t="str">
        <f t="shared" ca="1" si="0"/>
        <v>林 樹李</v>
      </c>
    </row>
    <row r="23" spans="1:16" ht="18.75" customHeight="1">
      <c r="A23" s="121"/>
      <c r="B23" s="119" t="str">
        <f>理科!B4</f>
        <v>主体的に学習に取り組む態度</v>
      </c>
      <c r="C23" s="113"/>
      <c r="D23" s="113"/>
      <c r="E23" s="113"/>
      <c r="F23" s="114"/>
      <c r="G23" s="17" t="str">
        <f ca="1">OFFSET(理科!C4,0,$B$2)</f>
        <v>A</v>
      </c>
      <c r="H23" s="131"/>
      <c r="I23" s="132"/>
      <c r="O23" s="8">
        <v>18</v>
      </c>
      <c r="P23" s="55" t="str">
        <f t="shared" ca="1" si="0"/>
        <v>原田 樹生</v>
      </c>
    </row>
    <row r="24" spans="1:16" ht="18.75" customHeight="1">
      <c r="A24" s="121"/>
      <c r="B24" s="119">
        <f>理科!B5</f>
        <v>0</v>
      </c>
      <c r="C24" s="113"/>
      <c r="D24" s="113"/>
      <c r="E24" s="113"/>
      <c r="F24" s="114"/>
      <c r="G24" s="17">
        <f ca="1">OFFSET(理科!C5,0,$B$2)</f>
        <v>0</v>
      </c>
      <c r="H24" s="131"/>
      <c r="I24" s="132"/>
      <c r="O24" s="8">
        <v>19</v>
      </c>
      <c r="P24" s="55" t="str">
        <f t="shared" ca="1" si="0"/>
        <v>平野 鈴</v>
      </c>
    </row>
    <row r="25" spans="1:16" ht="18.75" customHeight="1">
      <c r="A25" s="121"/>
      <c r="B25" s="119">
        <f>理科!B6</f>
        <v>0</v>
      </c>
      <c r="C25" s="113"/>
      <c r="D25" s="113"/>
      <c r="E25" s="113"/>
      <c r="F25" s="114"/>
      <c r="G25" s="17">
        <f ca="1">OFFSET(理科!C6,0,$B$2)</f>
        <v>0</v>
      </c>
      <c r="H25" s="131"/>
      <c r="I25" s="132"/>
      <c r="O25" s="8">
        <v>20</v>
      </c>
      <c r="P25" s="55" t="str">
        <f t="shared" ca="1" si="0"/>
        <v>布施谷 碧衣</v>
      </c>
    </row>
    <row r="26" spans="1:16" ht="18.75" customHeight="1">
      <c r="A26" s="121"/>
      <c r="B26" s="119">
        <f>理科!B7</f>
        <v>0</v>
      </c>
      <c r="C26" s="113"/>
      <c r="D26" s="113"/>
      <c r="E26" s="113"/>
      <c r="F26" s="114"/>
      <c r="G26" s="17">
        <f ca="1">OFFSET(理科!C7,0,$B$2)</f>
        <v>0</v>
      </c>
      <c r="H26" s="131"/>
      <c r="I26" s="132"/>
      <c r="O26" s="8">
        <v>21</v>
      </c>
      <c r="P26" s="55" t="str">
        <f t="shared" ca="1" si="0"/>
        <v>吉澤 維月</v>
      </c>
    </row>
    <row r="27" spans="1:16" ht="18.75" customHeight="1">
      <c r="A27" s="121"/>
      <c r="B27" s="119">
        <f>理科!B8</f>
        <v>0</v>
      </c>
      <c r="C27" s="113"/>
      <c r="D27" s="113"/>
      <c r="E27" s="113"/>
      <c r="F27" s="114"/>
      <c r="G27" s="17">
        <f ca="1">OFFSET(理科!C8,0,$B$2)</f>
        <v>0</v>
      </c>
      <c r="H27" s="131"/>
      <c r="I27" s="132"/>
      <c r="O27" s="8">
        <v>22</v>
      </c>
      <c r="P27" s="55" t="str">
        <f t="shared" ca="1" si="0"/>
        <v>若林 樹</v>
      </c>
    </row>
    <row r="28" spans="1:16" ht="18.75" customHeight="1">
      <c r="A28" s="122"/>
      <c r="B28" s="119">
        <f>理科!B9</f>
        <v>0</v>
      </c>
      <c r="C28" s="113"/>
      <c r="D28" s="113"/>
      <c r="E28" s="113"/>
      <c r="F28" s="114"/>
      <c r="G28" s="18">
        <f ca="1">OFFSET(理科!C9,0,$B$2)</f>
        <v>0</v>
      </c>
      <c r="H28" s="131"/>
      <c r="I28" s="132"/>
      <c r="O28" s="8">
        <v>23</v>
      </c>
      <c r="P28" s="55">
        <f t="shared" ca="1" si="0"/>
        <v>0</v>
      </c>
    </row>
    <row r="29" spans="1:16" ht="18.75" customHeight="1">
      <c r="A29" s="120" t="s">
        <v>48</v>
      </c>
      <c r="B29" s="123" t="str">
        <f>社会!B2</f>
        <v>知識・技能（単元テスト・定期テスト）</v>
      </c>
      <c r="C29" s="124"/>
      <c r="D29" s="124"/>
      <c r="E29" s="124"/>
      <c r="F29" s="125"/>
      <c r="G29" s="21" t="str">
        <f ca="1">OFFSET(社会!C2,0,$B$2)</f>
        <v>A</v>
      </c>
      <c r="H29" s="129">
        <f ca="1">OFFSET(社会!C12,0,$B$2)</f>
        <v>5</v>
      </c>
      <c r="I29" s="130"/>
      <c r="O29" s="8">
        <v>24</v>
      </c>
      <c r="P29" s="55">
        <f t="shared" ca="1" si="0"/>
        <v>0</v>
      </c>
    </row>
    <row r="30" spans="1:16" ht="18.75" customHeight="1">
      <c r="A30" s="121"/>
      <c r="B30" s="119" t="str">
        <f>社会!B3</f>
        <v>思考力・表現力・判断力（単元テスト・定期テスト）</v>
      </c>
      <c r="C30" s="113"/>
      <c r="D30" s="113"/>
      <c r="E30" s="113"/>
      <c r="F30" s="114"/>
      <c r="G30" s="17" t="str">
        <f ca="1">OFFSET(社会!C3,0,$B$2)</f>
        <v>A</v>
      </c>
      <c r="H30" s="131"/>
      <c r="I30" s="132"/>
      <c r="O30" s="8">
        <v>25</v>
      </c>
      <c r="P30" s="55">
        <f t="shared" ca="1" si="0"/>
        <v>0</v>
      </c>
    </row>
    <row r="31" spans="1:16" ht="18.75" customHeight="1">
      <c r="A31" s="121"/>
      <c r="B31" s="119" t="str">
        <f>社会!B4</f>
        <v>主体的に学習に取り組む態度</v>
      </c>
      <c r="C31" s="113"/>
      <c r="D31" s="113"/>
      <c r="E31" s="113"/>
      <c r="F31" s="114"/>
      <c r="G31" s="17" t="str">
        <f ca="1">OFFSET(社会!C4,0,$B$2)</f>
        <v>A</v>
      </c>
      <c r="H31" s="131"/>
      <c r="I31" s="132"/>
    </row>
    <row r="32" spans="1:16" ht="18.75" customHeight="1">
      <c r="A32" s="121"/>
      <c r="B32" s="119">
        <f>社会!B5</f>
        <v>0</v>
      </c>
      <c r="C32" s="113"/>
      <c r="D32" s="113"/>
      <c r="E32" s="113"/>
      <c r="F32" s="114"/>
      <c r="G32" s="17">
        <f ca="1">OFFSET(社会!C5,0,$B$2)</f>
        <v>0</v>
      </c>
      <c r="H32" s="131"/>
      <c r="I32" s="132"/>
    </row>
    <row r="33" spans="1:9" ht="18.75" customHeight="1">
      <c r="A33" s="121"/>
      <c r="B33" s="119">
        <f>社会!B6</f>
        <v>0</v>
      </c>
      <c r="C33" s="113"/>
      <c r="D33" s="113"/>
      <c r="E33" s="113"/>
      <c r="F33" s="114"/>
      <c r="G33" s="17">
        <f ca="1">OFFSET(社会!C6,0,$B$2)</f>
        <v>0</v>
      </c>
      <c r="H33" s="131"/>
      <c r="I33" s="132"/>
    </row>
    <row r="34" spans="1:9" ht="18.75" customHeight="1">
      <c r="A34" s="121"/>
      <c r="B34" s="119">
        <f>社会!B7</f>
        <v>0</v>
      </c>
      <c r="C34" s="113"/>
      <c r="D34" s="113"/>
      <c r="E34" s="113"/>
      <c r="F34" s="114"/>
      <c r="G34" s="17">
        <f ca="1">OFFSET(社会!C7,0,$B$2)</f>
        <v>0</v>
      </c>
      <c r="H34" s="131"/>
      <c r="I34" s="132"/>
    </row>
    <row r="35" spans="1:9" ht="18.75" customHeight="1">
      <c r="A35" s="122"/>
      <c r="B35" s="119">
        <f>社会!B8</f>
        <v>0</v>
      </c>
      <c r="C35" s="113"/>
      <c r="D35" s="113"/>
      <c r="E35" s="113"/>
      <c r="F35" s="114"/>
      <c r="G35" s="18">
        <f ca="1">OFFSET(社会!C8,0,$B$2)</f>
        <v>0</v>
      </c>
      <c r="H35" s="131"/>
      <c r="I35" s="132"/>
    </row>
    <row r="36" spans="1:9" ht="18.75" customHeight="1">
      <c r="A36" s="120" t="s">
        <v>9</v>
      </c>
      <c r="B36" s="123" t="str">
        <f>英語!B2</f>
        <v>知識・技能(定期テスト・ワークテスト）</v>
      </c>
      <c r="C36" s="124"/>
      <c r="D36" s="124"/>
      <c r="E36" s="124"/>
      <c r="F36" s="125"/>
      <c r="G36" s="21" t="str">
        <f ca="1">OFFSET(英語!C2,0,$B$2)</f>
        <v>A</v>
      </c>
      <c r="H36" s="129" t="str">
        <f ca="1">OFFSET(英語!C12,0,$B$2)</f>
        <v>5</v>
      </c>
      <c r="I36" s="130"/>
    </row>
    <row r="37" spans="1:9" ht="18.75" customHeight="1">
      <c r="A37" s="121"/>
      <c r="B37" s="119" t="str">
        <f>英語!B3</f>
        <v>思考力・表現力・判断力（音読・リスニング・英作文）</v>
      </c>
      <c r="C37" s="113"/>
      <c r="D37" s="113"/>
      <c r="E37" s="113"/>
      <c r="F37" s="114"/>
      <c r="G37" s="17" t="str">
        <f ca="1">OFFSET(英語!C3,0,$B$2)</f>
        <v>A</v>
      </c>
      <c r="H37" s="131"/>
      <c r="I37" s="132"/>
    </row>
    <row r="38" spans="1:9" ht="18.75" customHeight="1">
      <c r="A38" s="121"/>
      <c r="B38" s="119" t="str">
        <f>英語!B4</f>
        <v>主体的に学習に取り組む態度（授業態度・宿題提出率・ミニテスト）</v>
      </c>
      <c r="C38" s="113"/>
      <c r="D38" s="113"/>
      <c r="E38" s="113"/>
      <c r="F38" s="114"/>
      <c r="G38" s="17" t="str">
        <f ca="1">OFFSET(英語!C4,0,$B$2)</f>
        <v>A</v>
      </c>
      <c r="H38" s="131"/>
      <c r="I38" s="132"/>
    </row>
    <row r="39" spans="1:9" ht="18.75" customHeight="1">
      <c r="A39" s="121"/>
      <c r="B39" s="119">
        <f>英語!B5</f>
        <v>0</v>
      </c>
      <c r="C39" s="113"/>
      <c r="D39" s="113"/>
      <c r="E39" s="113"/>
      <c r="F39" s="114"/>
      <c r="G39" s="17">
        <f ca="1">OFFSET(英語!C5,0,$B$2)</f>
        <v>0</v>
      </c>
      <c r="H39" s="131"/>
      <c r="I39" s="132"/>
    </row>
    <row r="40" spans="1:9" ht="18.75" customHeight="1">
      <c r="A40" s="121"/>
      <c r="B40" s="119">
        <f>英語!B6</f>
        <v>0</v>
      </c>
      <c r="C40" s="113"/>
      <c r="D40" s="113"/>
      <c r="E40" s="113"/>
      <c r="F40" s="114"/>
      <c r="G40" s="17">
        <f ca="1">OFFSET(英語!C6,0,$B$2)</f>
        <v>0</v>
      </c>
      <c r="H40" s="131"/>
      <c r="I40" s="132"/>
    </row>
    <row r="41" spans="1:9" ht="18.75" customHeight="1">
      <c r="A41" s="121"/>
      <c r="B41" s="119">
        <f>英語!B7</f>
        <v>0</v>
      </c>
      <c r="C41" s="113"/>
      <c r="D41" s="113"/>
      <c r="E41" s="113"/>
      <c r="F41" s="114"/>
      <c r="G41" s="17">
        <f ca="1">OFFSET(英語!C7,0,$B$2)</f>
        <v>0</v>
      </c>
      <c r="H41" s="131"/>
      <c r="I41" s="132"/>
    </row>
    <row r="42" spans="1:9" ht="18.75" customHeight="1">
      <c r="A42" s="122"/>
      <c r="B42" s="119">
        <f>英語!B8</f>
        <v>0</v>
      </c>
      <c r="C42" s="113"/>
      <c r="D42" s="113"/>
      <c r="E42" s="113"/>
      <c r="F42" s="114"/>
      <c r="G42" s="18">
        <f ca="1">OFFSET(英語!C8,0,$B$2)</f>
        <v>0</v>
      </c>
      <c r="H42" s="131"/>
      <c r="I42" s="132"/>
    </row>
    <row r="43" spans="1:9" ht="18.75" customHeight="1">
      <c r="A43" s="120" t="s">
        <v>3</v>
      </c>
      <c r="B43" s="123" t="str">
        <f>音楽!B2</f>
        <v>知識・技能(提出物、演奏聴取、ワークシート)</v>
      </c>
      <c r="C43" s="124"/>
      <c r="D43" s="124"/>
      <c r="E43" s="124"/>
      <c r="F43" s="125"/>
      <c r="G43" s="21" t="str">
        <f ca="1">OFFSET(音楽!C2,0,$B$2)</f>
        <v>A</v>
      </c>
      <c r="H43" s="129">
        <f ca="1">OFFSET(音楽!C12,0,$B$2)</f>
        <v>5</v>
      </c>
      <c r="I43" s="130"/>
    </row>
    <row r="44" spans="1:9" ht="18.75" customHeight="1">
      <c r="A44" s="121"/>
      <c r="B44" s="119" t="str">
        <f>音楽!B3</f>
        <v>思考力・判断力・表現力(提出物、演奏聴取、ワークシート)</v>
      </c>
      <c r="C44" s="113"/>
      <c r="D44" s="113"/>
      <c r="E44" s="113"/>
      <c r="F44" s="114"/>
      <c r="G44" s="17" t="str">
        <f ca="1">OFFSET(音楽!C3,0,$B$2)</f>
        <v>A</v>
      </c>
      <c r="H44" s="131"/>
      <c r="I44" s="132"/>
    </row>
    <row r="45" spans="1:9" ht="18.75" customHeight="1">
      <c r="A45" s="121"/>
      <c r="B45" s="119" t="str">
        <f>音楽!B4</f>
        <v>主体的に学習に取り組む態度</v>
      </c>
      <c r="C45" s="113"/>
      <c r="D45" s="113"/>
      <c r="E45" s="113"/>
      <c r="F45" s="114"/>
      <c r="G45" s="17" t="str">
        <f ca="1">OFFSET(音楽!C4,0,$B$2)</f>
        <v>A</v>
      </c>
      <c r="H45" s="131"/>
      <c r="I45" s="132"/>
    </row>
    <row r="46" spans="1:9" ht="18.75" customHeight="1">
      <c r="A46" s="121"/>
      <c r="B46" s="119">
        <f>音楽!B5</f>
        <v>0</v>
      </c>
      <c r="C46" s="113"/>
      <c r="D46" s="113"/>
      <c r="E46" s="113"/>
      <c r="F46" s="114"/>
      <c r="G46" s="17">
        <f ca="1">OFFSET(音楽!C5,0,$B$2)</f>
        <v>0</v>
      </c>
      <c r="H46" s="131"/>
      <c r="I46" s="132"/>
    </row>
    <row r="47" spans="1:9" ht="18.75" customHeight="1">
      <c r="A47" s="121"/>
      <c r="B47" s="119">
        <f>音楽!B6</f>
        <v>0</v>
      </c>
      <c r="C47" s="113"/>
      <c r="D47" s="113"/>
      <c r="E47" s="113"/>
      <c r="F47" s="114"/>
      <c r="G47" s="17">
        <f ca="1">OFFSET(音楽!C6,0,$B$2)</f>
        <v>0</v>
      </c>
      <c r="H47" s="131"/>
      <c r="I47" s="132"/>
    </row>
    <row r="48" spans="1:9" ht="18.75" customHeight="1">
      <c r="A48" s="121"/>
      <c r="B48" s="119">
        <f>音楽!B7</f>
        <v>0</v>
      </c>
      <c r="C48" s="113"/>
      <c r="D48" s="113"/>
      <c r="E48" s="113"/>
      <c r="F48" s="114"/>
      <c r="G48" s="17">
        <f ca="1">OFFSET(音楽!C7,0,$B$2)</f>
        <v>0</v>
      </c>
      <c r="H48" s="131"/>
      <c r="I48" s="132"/>
    </row>
    <row r="49" spans="1:9" ht="18.75" customHeight="1">
      <c r="A49" s="121"/>
      <c r="B49" s="119">
        <f>音楽!B8</f>
        <v>0</v>
      </c>
      <c r="C49" s="113"/>
      <c r="D49" s="113"/>
      <c r="E49" s="113"/>
      <c r="F49" s="114"/>
      <c r="G49" s="17">
        <f ca="1">OFFSET(音楽!C8,0,$B$2)</f>
        <v>0</v>
      </c>
      <c r="H49" s="131"/>
      <c r="I49" s="132"/>
    </row>
    <row r="50" spans="1:9" ht="18.75" customHeight="1">
      <c r="A50" s="122"/>
      <c r="B50" s="119">
        <f>音楽!B9</f>
        <v>0</v>
      </c>
      <c r="C50" s="113"/>
      <c r="D50" s="113"/>
      <c r="E50" s="113"/>
      <c r="F50" s="114"/>
      <c r="G50" s="18">
        <f ca="1">OFFSET(音楽!C9,0,$B$2)</f>
        <v>0</v>
      </c>
      <c r="H50" s="131"/>
      <c r="I50" s="132"/>
    </row>
    <row r="51" spans="1:9" ht="30" customHeight="1">
      <c r="A51" s="6"/>
      <c r="B51" s="31"/>
      <c r="C51" s="10"/>
      <c r="D51" s="10"/>
      <c r="E51" s="10"/>
      <c r="F51" s="10"/>
      <c r="G51" s="6"/>
      <c r="H51" s="7"/>
      <c r="I51" s="7"/>
    </row>
    <row r="52" spans="1:9" ht="7.5" customHeight="1">
      <c r="A52" s="1"/>
      <c r="B52" s="32"/>
      <c r="C52" s="11"/>
      <c r="D52" s="11"/>
      <c r="E52" s="11"/>
      <c r="F52" s="11"/>
      <c r="G52" s="1"/>
      <c r="H52" s="3"/>
      <c r="I52" s="3"/>
    </row>
    <row r="53" spans="1:9" ht="18.75" customHeight="1">
      <c r="A53" s="120" t="s">
        <v>1</v>
      </c>
      <c r="B53" s="123" t="str">
        <f>図工!B2</f>
        <v>知識・技能（クロッキー・見取り）</v>
      </c>
      <c r="C53" s="124"/>
      <c r="D53" s="124"/>
      <c r="E53" s="124"/>
      <c r="F53" s="125"/>
      <c r="G53" s="21" t="str">
        <f ca="1">OFFSET(図工!C2,0,$B$2)</f>
        <v>B</v>
      </c>
      <c r="H53" s="129">
        <f ca="1">OFFSET(図工!C12,0,$B$2)</f>
        <v>4</v>
      </c>
      <c r="I53" s="130"/>
    </row>
    <row r="54" spans="1:9" ht="18.75" customHeight="1">
      <c r="A54" s="121"/>
      <c r="B54" s="119" t="str">
        <f>図工!B3</f>
        <v>思考・判断・表現（作品）</v>
      </c>
      <c r="C54" s="113"/>
      <c r="D54" s="113"/>
      <c r="E54" s="113"/>
      <c r="F54" s="114"/>
      <c r="G54" s="17" t="str">
        <f ca="1">OFFSET(図工!C3,0,$B$2)</f>
        <v>A</v>
      </c>
      <c r="H54" s="131"/>
      <c r="I54" s="132"/>
    </row>
    <row r="55" spans="1:9" ht="18.75" customHeight="1">
      <c r="A55" s="121"/>
      <c r="B55" s="119" t="str">
        <f>図工!B4</f>
        <v>主体的な態度（振り返りシート・授業態度・提出物・持ち物）</v>
      </c>
      <c r="C55" s="113"/>
      <c r="D55" s="113"/>
      <c r="E55" s="113"/>
      <c r="F55" s="114"/>
      <c r="G55" s="17" t="str">
        <f ca="1">OFFSET(図工!C4,0,$B$2)</f>
        <v>A</v>
      </c>
      <c r="H55" s="131"/>
      <c r="I55" s="132"/>
    </row>
    <row r="56" spans="1:9" ht="18.75" customHeight="1">
      <c r="A56" s="121"/>
      <c r="B56" s="119">
        <f>図工!B5</f>
        <v>0</v>
      </c>
      <c r="C56" s="113"/>
      <c r="D56" s="113"/>
      <c r="E56" s="113"/>
      <c r="F56" s="114"/>
      <c r="G56" s="17">
        <f ca="1">OFFSET(図工!C5,0,$B$2)</f>
        <v>0</v>
      </c>
      <c r="H56" s="131"/>
      <c r="I56" s="132"/>
    </row>
    <row r="57" spans="1:9" ht="18.75" customHeight="1">
      <c r="A57" s="121"/>
      <c r="B57" s="119">
        <f>図工!B6</f>
        <v>0</v>
      </c>
      <c r="C57" s="113"/>
      <c r="D57" s="113"/>
      <c r="E57" s="113"/>
      <c r="F57" s="114"/>
      <c r="G57" s="17">
        <f ca="1">OFFSET(図工!C6,0,$B$2)</f>
        <v>0</v>
      </c>
      <c r="H57" s="131"/>
      <c r="I57" s="132"/>
    </row>
    <row r="58" spans="1:9" ht="18.75" customHeight="1">
      <c r="A58" s="121"/>
      <c r="B58" s="119">
        <f>図工!B7</f>
        <v>0</v>
      </c>
      <c r="C58" s="113"/>
      <c r="D58" s="113"/>
      <c r="E58" s="113"/>
      <c r="F58" s="114"/>
      <c r="G58" s="17">
        <f ca="1">OFFSET(図工!C7,0,$B$2)</f>
        <v>0</v>
      </c>
      <c r="H58" s="131"/>
      <c r="I58" s="132"/>
    </row>
    <row r="59" spans="1:9" ht="18.75" customHeight="1">
      <c r="A59" s="122"/>
      <c r="B59" s="119">
        <f>図工!B8</f>
        <v>0</v>
      </c>
      <c r="C59" s="113"/>
      <c r="D59" s="113"/>
      <c r="E59" s="113"/>
      <c r="F59" s="114"/>
      <c r="G59" s="18">
        <f ca="1">OFFSET(図工!C8,0,$B$2)</f>
        <v>0</v>
      </c>
      <c r="H59" s="131"/>
      <c r="I59" s="132"/>
    </row>
    <row r="60" spans="1:9" ht="18.75" customHeight="1">
      <c r="A60" s="120" t="s">
        <v>2</v>
      </c>
      <c r="B60" s="123" t="str">
        <f>体育!B2</f>
        <v>知識・技能（実技テスト）</v>
      </c>
      <c r="C60" s="124"/>
      <c r="D60" s="124"/>
      <c r="E60" s="124"/>
      <c r="F60" s="125"/>
      <c r="G60" s="21" t="str">
        <f ca="1">OFFSET(体育!C2,0,$B$2)</f>
        <v>A</v>
      </c>
      <c r="H60" s="129">
        <f ca="1">OFFSET(体育!C12,0,$B$2)</f>
        <v>5</v>
      </c>
      <c r="I60" s="130"/>
    </row>
    <row r="61" spans="1:9" ht="18.75" customHeight="1">
      <c r="A61" s="121"/>
      <c r="B61" s="119" t="str">
        <f>体育!B3</f>
        <v>思考力・表現力・判断力（実技テスト・授業での練習）</v>
      </c>
      <c r="C61" s="113"/>
      <c r="D61" s="113"/>
      <c r="E61" s="113"/>
      <c r="F61" s="114"/>
      <c r="G61" s="17" t="str">
        <f ca="1">OFFSET(体育!C3,0,$B$2)</f>
        <v>A</v>
      </c>
      <c r="H61" s="131"/>
      <c r="I61" s="132"/>
    </row>
    <row r="62" spans="1:9" ht="18.75" customHeight="1">
      <c r="A62" s="121"/>
      <c r="B62" s="119" t="str">
        <f>体育!B4</f>
        <v>主体的に学習に取り組む態度（授業態度）</v>
      </c>
      <c r="C62" s="113"/>
      <c r="D62" s="113"/>
      <c r="E62" s="113"/>
      <c r="F62" s="114"/>
      <c r="G62" s="17" t="str">
        <f ca="1">OFFSET(体育!C4,0,$B$2)</f>
        <v>A</v>
      </c>
      <c r="H62" s="131"/>
      <c r="I62" s="132"/>
    </row>
    <row r="63" spans="1:9" ht="18.75" customHeight="1">
      <c r="A63" s="121"/>
      <c r="B63" s="119">
        <f>体育!B5</f>
        <v>0</v>
      </c>
      <c r="C63" s="113"/>
      <c r="D63" s="113"/>
      <c r="E63" s="113"/>
      <c r="F63" s="114"/>
      <c r="G63" s="17">
        <f ca="1">OFFSET(体育!C5,0,$B$2)</f>
        <v>0</v>
      </c>
      <c r="H63" s="131"/>
      <c r="I63" s="132"/>
    </row>
    <row r="64" spans="1:9" ht="18.75" customHeight="1">
      <c r="A64" s="121"/>
      <c r="B64" s="119">
        <f>体育!B6</f>
        <v>0</v>
      </c>
      <c r="C64" s="113"/>
      <c r="D64" s="113"/>
      <c r="E64" s="113"/>
      <c r="F64" s="114"/>
      <c r="G64" s="17">
        <f ca="1">OFFSET(体育!C6,0,$B$2)</f>
        <v>0</v>
      </c>
      <c r="H64" s="131"/>
      <c r="I64" s="132"/>
    </row>
    <row r="65" spans="1:14" ht="18.75" customHeight="1">
      <c r="A65" s="121"/>
      <c r="B65" s="119">
        <f>体育!B7</f>
        <v>0</v>
      </c>
      <c r="C65" s="113"/>
      <c r="D65" s="113"/>
      <c r="E65" s="113"/>
      <c r="F65" s="114"/>
      <c r="G65" s="17">
        <f ca="1">OFFSET(体育!C7,0,$B$2)</f>
        <v>0</v>
      </c>
      <c r="H65" s="131"/>
      <c r="I65" s="132"/>
    </row>
    <row r="66" spans="1:14" ht="18.75" customHeight="1">
      <c r="A66" s="122"/>
      <c r="B66" s="126">
        <f>体育!B8</f>
        <v>0</v>
      </c>
      <c r="C66" s="127"/>
      <c r="D66" s="127"/>
      <c r="E66" s="127"/>
      <c r="F66" s="128"/>
      <c r="G66" s="18">
        <f ca="1">OFFSET(体育!C8,0,$B$2)</f>
        <v>0</v>
      </c>
      <c r="H66" s="133"/>
      <c r="I66" s="134"/>
    </row>
    <row r="67" spans="1:14" ht="18.75" customHeight="1">
      <c r="A67" s="120" t="s">
        <v>50</v>
      </c>
      <c r="B67" s="123" t="str">
        <f>家庭!B2</f>
        <v>知識・技能（まとめテスト・レポート）</v>
      </c>
      <c r="C67" s="124"/>
      <c r="D67" s="124"/>
      <c r="E67" s="124"/>
      <c r="F67" s="125"/>
      <c r="G67" s="21" t="str">
        <f ca="1">OFFSET(家庭!C2,0,$B$2)</f>
        <v>B</v>
      </c>
      <c r="H67" s="129">
        <f ca="1">OFFSET(家庭!C12,0,$B$2)</f>
        <v>4</v>
      </c>
      <c r="I67" s="130"/>
    </row>
    <row r="68" spans="1:14" ht="18.75" customHeight="1">
      <c r="A68" s="121"/>
      <c r="B68" s="119" t="str">
        <f>家庭!B3</f>
        <v>思考力・表現力・判断力（調理実習・レポート・ノート）</v>
      </c>
      <c r="C68" s="113"/>
      <c r="D68" s="113"/>
      <c r="E68" s="113"/>
      <c r="F68" s="114"/>
      <c r="G68" s="17" t="str">
        <f ca="1">OFFSET(家庭!C3,0,$B$2)</f>
        <v>A</v>
      </c>
      <c r="H68" s="131"/>
      <c r="I68" s="132"/>
    </row>
    <row r="69" spans="1:14" ht="18.75" customHeight="1">
      <c r="A69" s="121"/>
      <c r="B69" s="119" t="str">
        <f>家庭!B4</f>
        <v>主体的に学習に取り組む態度</v>
      </c>
      <c r="C69" s="113"/>
      <c r="D69" s="113"/>
      <c r="E69" s="113"/>
      <c r="F69" s="114"/>
      <c r="G69" s="17" t="str">
        <f ca="1">OFFSET(家庭!C4,0,$B$2)</f>
        <v>A</v>
      </c>
      <c r="H69" s="131"/>
      <c r="I69" s="132"/>
    </row>
    <row r="70" spans="1:14" ht="18.75" customHeight="1">
      <c r="A70" s="121"/>
      <c r="B70" s="119">
        <f>家庭!B5</f>
        <v>0</v>
      </c>
      <c r="C70" s="113"/>
      <c r="D70" s="113"/>
      <c r="E70" s="113"/>
      <c r="F70" s="114"/>
      <c r="G70" s="17">
        <f ca="1">OFFSET(家庭!C5,0,$B$2)</f>
        <v>0</v>
      </c>
      <c r="H70" s="131"/>
      <c r="I70" s="132"/>
    </row>
    <row r="71" spans="1:14" ht="18.75" customHeight="1">
      <c r="A71" s="121"/>
      <c r="B71" s="119">
        <f>家庭!B6</f>
        <v>0</v>
      </c>
      <c r="C71" s="113"/>
      <c r="D71" s="113"/>
      <c r="E71" s="113"/>
      <c r="F71" s="114"/>
      <c r="G71" s="17">
        <f ca="1">OFFSET(家庭!C6,0,$B$2)</f>
        <v>0</v>
      </c>
      <c r="H71" s="131"/>
      <c r="I71" s="132"/>
    </row>
    <row r="72" spans="1:14" ht="18.75" customHeight="1">
      <c r="A72" s="121"/>
      <c r="B72" s="119">
        <f>家庭!B7</f>
        <v>0</v>
      </c>
      <c r="C72" s="113"/>
      <c r="D72" s="113"/>
      <c r="E72" s="113"/>
      <c r="F72" s="114"/>
      <c r="G72" s="17">
        <f ca="1">OFFSET(家庭!C7,0,$B$2)</f>
        <v>0</v>
      </c>
      <c r="H72" s="131"/>
      <c r="I72" s="132"/>
    </row>
    <row r="73" spans="1:14" ht="18.75" customHeight="1">
      <c r="A73" s="122"/>
      <c r="B73" s="126">
        <f>家庭!B8</f>
        <v>0</v>
      </c>
      <c r="C73" s="127"/>
      <c r="D73" s="127"/>
      <c r="E73" s="127"/>
      <c r="F73" s="128"/>
      <c r="G73" s="18">
        <f ca="1">OFFSET(家庭!C8,0,$B$2)</f>
        <v>0</v>
      </c>
      <c r="H73" s="133"/>
      <c r="I73" s="134"/>
    </row>
    <row r="74" spans="1:14" ht="75" customHeight="1">
      <c r="A74" s="23" t="s">
        <v>24</v>
      </c>
      <c r="B74" s="145" t="str">
        <f ca="1">INDIRECT("'道徳'!B"&amp;2+$B$2)</f>
        <v>「いこいの広場」では、責任ある行動とはどんなものなのか、みんなで話し合い、考えを深めました。公共の場所では、好き勝手に行動すると、周りの人に迷惑をかけてしまうことを確かめました。また、自分たちだけが楽しむという考えではなく、周りの人も笑顔になるためにはどうしたら良いのかと考えることが大切だと気づきました。</v>
      </c>
      <c r="C74" s="145"/>
      <c r="D74" s="145"/>
      <c r="E74" s="145"/>
      <c r="F74" s="145"/>
      <c r="G74" s="145"/>
      <c r="H74" s="145"/>
      <c r="I74" s="146"/>
    </row>
    <row r="75" spans="1:14" ht="9" customHeight="1">
      <c r="D75" s="14"/>
      <c r="E75" s="12"/>
      <c r="N75" s="12"/>
    </row>
    <row r="76" spans="1:14" ht="18.75" customHeight="1">
      <c r="A76" s="109" t="s">
        <v>22</v>
      </c>
      <c r="B76" s="110"/>
      <c r="C76" s="110"/>
      <c r="D76" s="111"/>
      <c r="F76" s="109" t="s">
        <v>10</v>
      </c>
      <c r="G76" s="110"/>
      <c r="H76" s="110"/>
      <c r="I76" s="111"/>
      <c r="N76" s="30"/>
    </row>
    <row r="77" spans="1:14" ht="19.5" customHeight="1">
      <c r="A77" s="147" t="str">
        <f>所見!B2</f>
        <v>基本的な生活習慣（一日の過ごし方、時間管理、など）</v>
      </c>
      <c r="B77" s="148"/>
      <c r="C77" s="149"/>
      <c r="D77" s="27" t="str">
        <f ca="1">OFFSET(所見!C2,0,$B$2)</f>
        <v>A</v>
      </c>
      <c r="F77" s="117" t="s">
        <v>12</v>
      </c>
      <c r="G77" s="118"/>
      <c r="H77" s="118"/>
      <c r="I77" s="22">
        <f ca="1">OFFSET(出欠!C2,0,$B$2)</f>
        <v>76</v>
      </c>
      <c r="L77" s="14"/>
      <c r="M77" s="12"/>
      <c r="N77" s="30"/>
    </row>
    <row r="78" spans="1:14" ht="19.5" customHeight="1">
      <c r="A78" s="103" t="str">
        <f>所見!B3</f>
        <v>健康・体力の向上（欠席、遅刻、早退など）</v>
      </c>
      <c r="B78" s="104"/>
      <c r="C78" s="105"/>
      <c r="D78" s="13" t="str">
        <f ca="1">OFFSET(所見!C3,0,$B$2)</f>
        <v>A</v>
      </c>
      <c r="F78" s="115" t="s">
        <v>13</v>
      </c>
      <c r="G78" s="116"/>
      <c r="H78" s="116"/>
      <c r="I78" s="13">
        <f ca="1">OFFSET(出欠!C3,0,$B$2)</f>
        <v>0</v>
      </c>
      <c r="L78" s="14"/>
      <c r="M78" s="30"/>
      <c r="N78" s="30"/>
    </row>
    <row r="79" spans="1:14" ht="19.5" customHeight="1">
      <c r="A79" s="103" t="str">
        <f>所見!B4</f>
        <v>自主・自律（整理整頓、身なり、宿題、提出物など）</v>
      </c>
      <c r="B79" s="104"/>
      <c r="C79" s="105"/>
      <c r="D79" s="13" t="str">
        <f ca="1">OFFSET(所見!C4,0,$B$2)</f>
        <v>A</v>
      </c>
      <c r="F79" s="112" t="s">
        <v>20</v>
      </c>
      <c r="G79" s="113"/>
      <c r="H79" s="114"/>
      <c r="I79" s="13">
        <f ca="1">OFFSET(出欠!C4,0,$B$2)</f>
        <v>76</v>
      </c>
      <c r="L79" s="30"/>
      <c r="M79" s="30"/>
      <c r="N79" s="30"/>
    </row>
    <row r="80" spans="1:14" ht="19.5" customHeight="1">
      <c r="A80" s="103" t="str">
        <f>所見!B5</f>
        <v>責任感（係、委員会、役割など）</v>
      </c>
      <c r="B80" s="104"/>
      <c r="C80" s="105"/>
      <c r="D80" s="13" t="str">
        <f ca="1">OFFSET(所見!C5,0,$B$2)</f>
        <v>A</v>
      </c>
      <c r="F80" s="115" t="s">
        <v>14</v>
      </c>
      <c r="G80" s="116"/>
      <c r="H80" s="116"/>
      <c r="I80" s="13">
        <f ca="1">OFFSET(出欠!C5,0,$B$2)</f>
        <v>75</v>
      </c>
      <c r="L80" s="30"/>
      <c r="M80" s="30"/>
      <c r="N80" s="30"/>
    </row>
    <row r="81" spans="1:14" ht="19.5" customHeight="1">
      <c r="A81" s="103" t="str">
        <f>所見!B6</f>
        <v>創意工夫（日常生活、授業発言など）</v>
      </c>
      <c r="B81" s="104"/>
      <c r="C81" s="105"/>
      <c r="D81" s="13" t="str">
        <f ca="1">OFFSET(所見!C6,0,$B$2)</f>
        <v>B</v>
      </c>
      <c r="F81" s="115" t="s">
        <v>21</v>
      </c>
      <c r="G81" s="116"/>
      <c r="H81" s="116"/>
      <c r="I81" s="13">
        <f ca="1">OFFSET(出欠!C6,0,$B$2)</f>
        <v>1</v>
      </c>
      <c r="L81" s="30"/>
      <c r="M81" s="30"/>
      <c r="N81" s="30"/>
    </row>
    <row r="82" spans="1:14" ht="19.5" customHeight="1">
      <c r="A82" s="103" t="str">
        <f>所見!B7</f>
        <v>思いやり・協力（友人関係、共同作業など）</v>
      </c>
      <c r="B82" s="104"/>
      <c r="C82" s="105"/>
      <c r="D82" s="13" t="str">
        <f ca="1">OFFSET(所見!C7,0,$B$2)</f>
        <v>A</v>
      </c>
      <c r="F82" s="115" t="s">
        <v>15</v>
      </c>
      <c r="G82" s="116"/>
      <c r="H82" s="116"/>
      <c r="I82" s="13">
        <f ca="1">OFFSET(出欠!C7,0,$B$2)</f>
        <v>0</v>
      </c>
      <c r="L82" s="30"/>
      <c r="M82" s="30"/>
      <c r="N82" s="30"/>
    </row>
    <row r="83" spans="1:14" ht="19.5" customHeight="1">
      <c r="A83" s="103" t="str">
        <f>所見!B8</f>
        <v>生命尊重・自然愛護（自然、動植物に対する接し方など）</v>
      </c>
      <c r="B83" s="104"/>
      <c r="C83" s="105"/>
      <c r="D83" s="13" t="str">
        <f ca="1">OFFSET(所見!C8,0,$B$2)</f>
        <v>A</v>
      </c>
      <c r="F83" s="115" t="s">
        <v>16</v>
      </c>
      <c r="G83" s="116"/>
      <c r="H83" s="116"/>
      <c r="I83" s="13">
        <f ca="1">OFFSET(出欠!C8,0,$B$2)</f>
        <v>0</v>
      </c>
      <c r="L83" s="30"/>
      <c r="M83" s="30"/>
      <c r="N83" s="30"/>
    </row>
    <row r="84" spans="1:14" ht="19.5" customHeight="1">
      <c r="A84" s="103" t="str">
        <f>所見!B9</f>
        <v>勤労・奉仕（清掃、給食など）</v>
      </c>
      <c r="B84" s="104"/>
      <c r="C84" s="105"/>
      <c r="D84" s="15" t="str">
        <f ca="1">OFFSET(所見!C9,0,$B$2)</f>
        <v>A</v>
      </c>
      <c r="F84" s="94" t="str">
        <f ca="1">"備考： "&amp;INDIRECT("'出欠'!B"&amp;9+$B$2)</f>
        <v>備考： 欠席１（家事都合１）</v>
      </c>
      <c r="G84" s="95"/>
      <c r="H84" s="95"/>
      <c r="I84" s="96"/>
      <c r="L84" s="30"/>
      <c r="M84" s="30"/>
      <c r="N84" s="30"/>
    </row>
    <row r="85" spans="1:14" ht="19.5" customHeight="1">
      <c r="A85" s="103" t="str">
        <f>所見!B10</f>
        <v>公正・公平（友人関係、学級での話し合いなど）</v>
      </c>
      <c r="B85" s="104"/>
      <c r="C85" s="105"/>
      <c r="D85" s="15" t="str">
        <f ca="1">OFFSET(所見!C10,0,$B$2)</f>
        <v>A</v>
      </c>
      <c r="F85" s="97"/>
      <c r="G85" s="98"/>
      <c r="H85" s="98"/>
      <c r="I85" s="99"/>
      <c r="L85" s="74">
        <f>番号</f>
        <v>16</v>
      </c>
      <c r="M85" s="30"/>
      <c r="N85" s="30"/>
    </row>
    <row r="86" spans="1:14" ht="19.5" customHeight="1">
      <c r="A86" s="106" t="str">
        <f>所見!B11</f>
        <v>公共心・公徳心（規律、挨拶、返事など）</v>
      </c>
      <c r="B86" s="107"/>
      <c r="C86" s="108"/>
      <c r="D86" s="16" t="str">
        <f ca="1">OFFSET(所見!C11,0,$B$2)</f>
        <v>A</v>
      </c>
      <c r="F86" s="100"/>
      <c r="G86" s="101"/>
      <c r="H86" s="101"/>
      <c r="I86" s="102"/>
      <c r="L86" s="30"/>
      <c r="M86" s="30"/>
      <c r="N86" s="25"/>
    </row>
    <row r="87" spans="1:14" ht="9" customHeight="1">
      <c r="A87" s="26"/>
      <c r="B87" s="28"/>
      <c r="C87" s="28"/>
      <c r="D87" s="29"/>
      <c r="F87" s="24"/>
      <c r="G87" s="24"/>
      <c r="H87" s="24"/>
      <c r="I87" s="24"/>
      <c r="L87" s="25"/>
      <c r="M87" s="25"/>
      <c r="N87" s="25"/>
    </row>
    <row r="88" spans="1:14" ht="39" customHeight="1">
      <c r="A88" s="90" t="s">
        <v>23</v>
      </c>
      <c r="B88" s="91"/>
      <c r="C88" s="92" t="str">
        <f ca="1">INDIRECT("'所見'!B"&amp;12+$B$2)</f>
        <v>園芸委員会　歌唱クラブ　英語係</v>
      </c>
      <c r="D88" s="92"/>
      <c r="E88" s="92"/>
      <c r="F88" s="92"/>
      <c r="G88" s="92"/>
      <c r="H88" s="92"/>
      <c r="I88" s="93"/>
      <c r="L88" s="25"/>
      <c r="M88" s="25"/>
    </row>
    <row r="89" spans="1:14" ht="9" customHeight="1">
      <c r="C89" s="14"/>
    </row>
    <row r="90" spans="1:14" ht="186.75" customHeight="1">
      <c r="A90" s="23" t="s">
        <v>11</v>
      </c>
      <c r="B90" s="140" t="str">
        <f ca="1">INDIRECT("'所見'!B"&amp;$Q$5+B2)</f>
        <v>毎日、落ち着いて学校生活を送ることができていました。時間については、余裕をもって次の授業の準備を整え、自分自身の目で時間を確認し、早めに行動することができていました。また、掃除の時間は、任された女子更衣室の掃除を、責任をもって美しくすることができました。何事もまじめに一生懸命取り組むことができていた妃花さんですが、休み時間は子どもらしく無邪気に遊ぶ姿も見られ、充実した１学期を過ごすことができていたように思います。体育祭では、綱引き、大玉運びのどちらも全力で取り組みました。特に大玉運びは最初苦戦しましたが、同じチームの友達がやりやすいようにうまくサポートして、見事な上達を見せました。リレー選手としての活躍も見事でした。体力測定では、シャトルランを最後まであきらめずに自分の限界に挑戦する姿が見られました。学習面では、授業中に自分の意見を積極的に発表する姿や、丁寧にノートをとる姿など、正しく頑張ることができていたように思います。２学期も継続した頑張りを期待しています。</v>
      </c>
      <c r="C90" s="141"/>
      <c r="D90" s="141"/>
      <c r="E90" s="141"/>
      <c r="F90" s="141"/>
      <c r="G90" s="141"/>
      <c r="H90" s="141"/>
      <c r="I90" s="142"/>
    </row>
  </sheetData>
  <mergeCells count="115">
    <mergeCell ref="K7:L7"/>
    <mergeCell ref="B90:I90"/>
    <mergeCell ref="A4:I4"/>
    <mergeCell ref="B6:F6"/>
    <mergeCell ref="B7:F7"/>
    <mergeCell ref="B8:F8"/>
    <mergeCell ref="H5:I5"/>
    <mergeCell ref="F81:H81"/>
    <mergeCell ref="H53:I59"/>
    <mergeCell ref="H43:I50"/>
    <mergeCell ref="B49:F49"/>
    <mergeCell ref="B25:F25"/>
    <mergeCell ref="B28:F28"/>
    <mergeCell ref="B42:F42"/>
    <mergeCell ref="B47:F47"/>
    <mergeCell ref="B48:F48"/>
    <mergeCell ref="B50:F50"/>
    <mergeCell ref="B5:F5"/>
    <mergeCell ref="B74:I74"/>
    <mergeCell ref="A14:A20"/>
    <mergeCell ref="H60:I66"/>
    <mergeCell ref="A77:C77"/>
    <mergeCell ref="A78:C78"/>
    <mergeCell ref="A79:C79"/>
    <mergeCell ref="A1:B1"/>
    <mergeCell ref="C1:G1"/>
    <mergeCell ref="G2:I2"/>
    <mergeCell ref="H6:I13"/>
    <mergeCell ref="A6:A13"/>
    <mergeCell ref="B40:F40"/>
    <mergeCell ref="B41:F41"/>
    <mergeCell ref="H36:I42"/>
    <mergeCell ref="H14:I20"/>
    <mergeCell ref="H21:I28"/>
    <mergeCell ref="B13:F13"/>
    <mergeCell ref="B20:F20"/>
    <mergeCell ref="A21:A28"/>
    <mergeCell ref="B21:F21"/>
    <mergeCell ref="B22:F22"/>
    <mergeCell ref="B23:F23"/>
    <mergeCell ref="B24:F24"/>
    <mergeCell ref="A36:A42"/>
    <mergeCell ref="B36:F36"/>
    <mergeCell ref="B37:F37"/>
    <mergeCell ref="B38:F38"/>
    <mergeCell ref="B39:F39"/>
    <mergeCell ref="A29:A35"/>
    <mergeCell ref="B9:F9"/>
    <mergeCell ref="B64:F64"/>
    <mergeCell ref="B65:F65"/>
    <mergeCell ref="A67:A73"/>
    <mergeCell ref="B67:F67"/>
    <mergeCell ref="H67:I73"/>
    <mergeCell ref="B68:F68"/>
    <mergeCell ref="B69:F69"/>
    <mergeCell ref="B70:F70"/>
    <mergeCell ref="B71:F71"/>
    <mergeCell ref="B72:F72"/>
    <mergeCell ref="B10:F10"/>
    <mergeCell ref="B11:F11"/>
    <mergeCell ref="B12:F12"/>
    <mergeCell ref="B56:F56"/>
    <mergeCell ref="B14:F14"/>
    <mergeCell ref="B15:F15"/>
    <mergeCell ref="B16:F16"/>
    <mergeCell ref="B17:F17"/>
    <mergeCell ref="B18:F18"/>
    <mergeCell ref="B19:F19"/>
    <mergeCell ref="B26:F26"/>
    <mergeCell ref="B27:F27"/>
    <mergeCell ref="B29:F29"/>
    <mergeCell ref="B45:F45"/>
    <mergeCell ref="B46:F46"/>
    <mergeCell ref="B59:F59"/>
    <mergeCell ref="A53:A59"/>
    <mergeCell ref="B53:F53"/>
    <mergeCell ref="B54:F54"/>
    <mergeCell ref="B55:F55"/>
    <mergeCell ref="B58:F58"/>
    <mergeCell ref="B57:F57"/>
    <mergeCell ref="B73:F73"/>
    <mergeCell ref="H29:I35"/>
    <mergeCell ref="B30:F30"/>
    <mergeCell ref="B31:F31"/>
    <mergeCell ref="B32:F32"/>
    <mergeCell ref="B33:F33"/>
    <mergeCell ref="B34:F34"/>
    <mergeCell ref="B35:F35"/>
    <mergeCell ref="A43:A50"/>
    <mergeCell ref="B43:F43"/>
    <mergeCell ref="B44:F44"/>
    <mergeCell ref="B66:F66"/>
    <mergeCell ref="B60:F60"/>
    <mergeCell ref="B61:F61"/>
    <mergeCell ref="B62:F62"/>
    <mergeCell ref="A60:A66"/>
    <mergeCell ref="B63:F63"/>
    <mergeCell ref="A88:B88"/>
    <mergeCell ref="C88:I88"/>
    <mergeCell ref="F84:I86"/>
    <mergeCell ref="A84:C84"/>
    <mergeCell ref="A85:C85"/>
    <mergeCell ref="A86:C86"/>
    <mergeCell ref="A76:D76"/>
    <mergeCell ref="F79:H79"/>
    <mergeCell ref="F78:H78"/>
    <mergeCell ref="F82:H82"/>
    <mergeCell ref="F83:H83"/>
    <mergeCell ref="F76:I76"/>
    <mergeCell ref="F80:H80"/>
    <mergeCell ref="A80:C80"/>
    <mergeCell ref="A81:C81"/>
    <mergeCell ref="A82:C82"/>
    <mergeCell ref="A83:C83"/>
    <mergeCell ref="F77:H77"/>
  </mergeCells>
  <phoneticPr fontId="1"/>
  <conditionalFormatting sqref="F84 B90 D77:D87 A77:A87 C88 C51:F52 L87:M88 N76:N87 B6:B25 G6:G25 B28:B50 B53:B57 G28:G57 G59:G66 B59:B66 B74">
    <cfRule type="cellIs" dxfId="44" priority="8" stopIfTrue="1" operator="equal">
      <formula>0</formula>
    </cfRule>
  </conditionalFormatting>
  <conditionalFormatting sqref="G26:G27 B26:B27">
    <cfRule type="cellIs" dxfId="43" priority="7" stopIfTrue="1" operator="equal">
      <formula>0</formula>
    </cfRule>
  </conditionalFormatting>
  <conditionalFormatting sqref="B58 G58">
    <cfRule type="cellIs" dxfId="42" priority="4" stopIfTrue="1" operator="equal">
      <formula>0</formula>
    </cfRule>
  </conditionalFormatting>
  <conditionalFormatting sqref="G67:G73 B67:B73">
    <cfRule type="cellIs" dxfId="41" priority="3" stopIfTrue="1" operator="equal">
      <formula>0</formula>
    </cfRule>
  </conditionalFormatting>
  <conditionalFormatting sqref="L79:M86 M78">
    <cfRule type="cellIs" dxfId="40" priority="2" stopIfTrue="1" operator="equal">
      <formula>0</formula>
    </cfRule>
  </conditionalFormatting>
  <conditionalFormatting sqref="L17:M20">
    <cfRule type="cellIs" dxfId="39"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4" fitToHeight="2" orientation="portrait" horizontalDpi="300" verticalDpi="300" r:id="rId1"/>
  <headerFooter alignWithMargins="0"/>
  <rowBreaks count="1" manualBreakCount="1">
    <brk id="51"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先">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前">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6"/>
  <sheetViews>
    <sheetView view="pageBreakPreview" topLeftCell="A16" zoomScaleNormal="70" zoomScaleSheetLayoutView="100" workbookViewId="0">
      <selection activeCell="B4" sqref="B4"/>
    </sheetView>
  </sheetViews>
  <sheetFormatPr defaultRowHeight="13.5"/>
  <cols>
    <col min="1" max="2" width="4.25" style="8" customWidth="1"/>
    <col min="3" max="3" width="95" style="8" customWidth="1"/>
    <col min="4" max="16384" width="9" style="8"/>
  </cols>
  <sheetData>
    <row r="1" spans="1:3" ht="18.75" customHeight="1">
      <c r="A1" s="150" t="str">
        <f ca="1">通知票!A1</f>
        <v>５－２</v>
      </c>
      <c r="B1" s="135"/>
      <c r="C1" s="56" t="str">
        <f ca="1">通知票!C1</f>
        <v>1学期</v>
      </c>
    </row>
    <row r="2" spans="1:3" ht="18.75" customHeight="1">
      <c r="A2" s="57" t="s">
        <v>43</v>
      </c>
      <c r="B2" s="56">
        <v>23</v>
      </c>
      <c r="C2" s="68">
        <f ca="1">INDIRECT("'所見'!A"&amp;12+$B$2)</f>
        <v>0</v>
      </c>
    </row>
    <row r="3" spans="1:3" ht="12" customHeight="1">
      <c r="C3" s="9"/>
    </row>
    <row r="4" spans="1:3" ht="18.75" customHeight="1">
      <c r="A4" s="58" t="s">
        <v>4</v>
      </c>
      <c r="B4" s="59" t="s">
        <v>6</v>
      </c>
      <c r="C4" s="22" t="s">
        <v>44</v>
      </c>
    </row>
    <row r="5" spans="1:3" ht="67.5" customHeight="1">
      <c r="A5" s="60" t="s">
        <v>8</v>
      </c>
      <c r="B5" s="61">
        <f ca="1">OFFSET(国語!C12,0,$B$2)</f>
        <v>0</v>
      </c>
      <c r="C5" s="62">
        <f ca="1">INDIRECT("'国語'!B"&amp;14+$B$2)</f>
        <v>0</v>
      </c>
    </row>
    <row r="6" spans="1:3" ht="67.5" customHeight="1">
      <c r="A6" s="63" t="s">
        <v>0</v>
      </c>
      <c r="B6" s="64">
        <f ca="1">OFFSET(算数!C12,0,$B$2)</f>
        <v>0</v>
      </c>
      <c r="C6" s="65">
        <f ca="1">INDIRECT("'算数'!B"&amp;14+$B$2)</f>
        <v>0</v>
      </c>
    </row>
    <row r="7" spans="1:3" ht="67.5" customHeight="1">
      <c r="A7" s="60" t="s">
        <v>47</v>
      </c>
      <c r="B7" s="61">
        <f ca="1">OFFSET(理科!C12,0,$B$2)</f>
        <v>0</v>
      </c>
      <c r="C7" s="62">
        <f ca="1">INDIRECT("'理科'!B"&amp;14+$B$2)</f>
        <v>0</v>
      </c>
    </row>
    <row r="8" spans="1:3" ht="67.5" customHeight="1">
      <c r="A8" s="60" t="s">
        <v>48</v>
      </c>
      <c r="B8" s="61">
        <f ca="1">OFFSET(社会!C12,0,$B$2)</f>
        <v>0</v>
      </c>
      <c r="C8" s="62">
        <f ca="1">INDIRECT("'社会'!B"&amp;14+$B$2)</f>
        <v>0</v>
      </c>
    </row>
    <row r="9" spans="1:3" ht="67.5" customHeight="1">
      <c r="A9" s="63" t="s">
        <v>9</v>
      </c>
      <c r="B9" s="64">
        <f ca="1">OFFSET(英語!C12,0,$B$2)</f>
        <v>0</v>
      </c>
      <c r="C9" s="65">
        <f ca="1">INDIRECT("'英語'!B"&amp;14+$B$2)</f>
        <v>0</v>
      </c>
    </row>
    <row r="10" spans="1:3" ht="67.5" customHeight="1">
      <c r="A10" s="60" t="s">
        <v>3</v>
      </c>
      <c r="B10" s="61">
        <f ca="1">OFFSET(音楽!C12,0,$B$2)</f>
        <v>0</v>
      </c>
      <c r="C10" s="62">
        <f ca="1">INDIRECT("'音楽'!B"&amp;14+$B$2)</f>
        <v>0</v>
      </c>
    </row>
    <row r="11" spans="1:3" ht="67.5" customHeight="1">
      <c r="A11" s="63" t="s">
        <v>1</v>
      </c>
      <c r="B11" s="64">
        <f ca="1">OFFSET(図工!C12,0,$B$2)</f>
        <v>0</v>
      </c>
      <c r="C11" s="65">
        <f ca="1">INDIRECT("'図工'!B"&amp;14+$B$2)</f>
        <v>0</v>
      </c>
    </row>
    <row r="12" spans="1:3" ht="67.5" customHeight="1">
      <c r="A12" s="60" t="s">
        <v>50</v>
      </c>
      <c r="B12" s="61">
        <f ca="1">OFFSET(家庭!C12,0,$B$2)</f>
        <v>0</v>
      </c>
      <c r="C12" s="62">
        <f ca="1">INDIRECT("'家庭'!B"&amp;14+$B$2)</f>
        <v>0</v>
      </c>
    </row>
    <row r="13" spans="1:3" ht="67.5" customHeight="1">
      <c r="A13" s="60" t="s">
        <v>2</v>
      </c>
      <c r="B13" s="61">
        <f ca="1">OFFSET(体育!C12,0,$B$2)</f>
        <v>0</v>
      </c>
      <c r="C13" s="62">
        <f ca="1">INDIRECT("'体育'!B"&amp;14+$B$2)</f>
        <v>0</v>
      </c>
    </row>
    <row r="14" spans="1:3" ht="67.5" customHeight="1">
      <c r="A14" s="60" t="s">
        <v>24</v>
      </c>
      <c r="B14" s="151">
        <f ca="1">INDIRECT("'道徳'!B"&amp;2+$B$2)</f>
        <v>0</v>
      </c>
      <c r="C14" s="152"/>
    </row>
    <row r="15" spans="1:3" ht="15" customHeight="1">
      <c r="C15" s="66"/>
    </row>
    <row r="16" spans="1:3" ht="188.25" customHeight="1">
      <c r="A16" s="23" t="s">
        <v>11</v>
      </c>
      <c r="B16" s="67"/>
      <c r="C16" s="62">
        <f ca="1">INDIRECT("'所見'!B"&amp;通知票!$Q$5+B2)</f>
        <v>0</v>
      </c>
    </row>
  </sheetData>
  <mergeCells count="2">
    <mergeCell ref="A1:B1"/>
    <mergeCell ref="B14:C14"/>
  </mergeCells>
  <phoneticPr fontId="1"/>
  <conditionalFormatting sqref="C16 C5:C7 C9:C11 C13">
    <cfRule type="cellIs" dxfId="38" priority="3" stopIfTrue="1" operator="equal">
      <formula>0</formula>
    </cfRule>
  </conditionalFormatting>
  <conditionalFormatting sqref="C8">
    <cfRule type="cellIs" dxfId="37" priority="2" stopIfTrue="1" operator="equal">
      <formula>0</formula>
    </cfRule>
  </conditionalFormatting>
  <conditionalFormatting sqref="C12">
    <cfRule type="cellIs" dxfId="36"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0"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５－２</v>
      </c>
      <c r="B1" s="34" t="str">
        <f ca="1">RIGHT(CELL("filename",B1),LEN(CELL("filename",B1))-FIND("]",CELL("filename",B1)))</f>
        <v>国語</v>
      </c>
      <c r="C1" s="35" t="s">
        <v>25</v>
      </c>
      <c r="D1" s="36" t="str">
        <f>A15</f>
        <v>伊藤 せな</v>
      </c>
      <c r="E1" s="36" t="str">
        <f>A16</f>
        <v>今井 帆夏</v>
      </c>
      <c r="F1" s="36" t="str">
        <f>A17</f>
        <v>上原 一十</v>
      </c>
      <c r="G1" s="36" t="str">
        <f>A18</f>
        <v>上原 誠太</v>
      </c>
      <c r="H1" s="36" t="str">
        <f>A19</f>
        <v>太田 奏佑</v>
      </c>
      <c r="I1" s="36" t="str">
        <f>A20</f>
        <v>小口 恵人</v>
      </c>
      <c r="J1" s="36" t="str">
        <f>A21</f>
        <v>海瀬 晴仁</v>
      </c>
      <c r="K1" s="36" t="str">
        <f>A22</f>
        <v>金子 愛奈</v>
      </c>
      <c r="L1" s="36" t="str">
        <f>A23</f>
        <v>上條 結衣</v>
      </c>
      <c r="M1" s="36" t="str">
        <f>A24</f>
        <v>鴨居 鈴佳</v>
      </c>
      <c r="N1" s="36" t="str">
        <f>A25</f>
        <v>久保田 陽佳</v>
      </c>
      <c r="O1" s="36" t="str">
        <f>A26</f>
        <v>小松 賢史</v>
      </c>
      <c r="P1" s="36" t="str">
        <f>A27</f>
        <v>塩原 七都</v>
      </c>
      <c r="Q1" s="36" t="str">
        <f>A28</f>
        <v>新保 菜々香</v>
      </c>
      <c r="R1" s="36" t="str">
        <f>A29</f>
        <v>田中 百</v>
      </c>
      <c r="S1" s="36" t="str">
        <f>A30</f>
        <v>中村 妃花</v>
      </c>
      <c r="T1" s="36" t="str">
        <f>A31</f>
        <v>林 樹李</v>
      </c>
      <c r="U1" s="36" t="str">
        <f>A32</f>
        <v>原田 樹生</v>
      </c>
      <c r="V1" s="36" t="str">
        <f>A33</f>
        <v>平野 鈴</v>
      </c>
      <c r="W1" s="36" t="str">
        <f>A34</f>
        <v>布施谷 碧衣</v>
      </c>
      <c r="X1" s="36" t="str">
        <f>A35</f>
        <v>吉澤 維月</v>
      </c>
      <c r="Y1" s="36" t="str">
        <f>A36</f>
        <v>若林 樹</v>
      </c>
      <c r="Z1" s="36">
        <f>A37</f>
        <v>0</v>
      </c>
      <c r="AA1" s="36">
        <f>A38</f>
        <v>0</v>
      </c>
      <c r="AB1" s="36">
        <f>A39</f>
        <v>0</v>
      </c>
      <c r="AC1" s="37"/>
    </row>
    <row r="2" spans="1:30" ht="22.5" customHeight="1">
      <c r="A2" s="156" t="s">
        <v>222</v>
      </c>
      <c r="B2" s="72" t="s">
        <v>246</v>
      </c>
      <c r="C2" s="38" t="s">
        <v>26</v>
      </c>
      <c r="D2" s="39" t="s">
        <v>223</v>
      </c>
      <c r="E2" s="39" t="s">
        <v>247</v>
      </c>
      <c r="F2" s="39" t="s">
        <v>225</v>
      </c>
      <c r="G2" s="39" t="s">
        <v>218</v>
      </c>
      <c r="H2" s="39" t="s">
        <v>224</v>
      </c>
      <c r="I2" s="39" t="s">
        <v>247</v>
      </c>
      <c r="J2" s="39" t="s">
        <v>247</v>
      </c>
      <c r="K2" s="39" t="s">
        <v>247</v>
      </c>
      <c r="L2" s="39" t="s">
        <v>219</v>
      </c>
      <c r="M2" s="39" t="s">
        <v>247</v>
      </c>
      <c r="N2" s="39" t="s">
        <v>219</v>
      </c>
      <c r="O2" s="39" t="s">
        <v>223</v>
      </c>
      <c r="P2" s="39" t="s">
        <v>224</v>
      </c>
      <c r="Q2" s="39" t="s">
        <v>223</v>
      </c>
      <c r="R2" s="39" t="s">
        <v>247</v>
      </c>
      <c r="S2" s="39" t="s">
        <v>223</v>
      </c>
      <c r="T2" s="39" t="s">
        <v>223</v>
      </c>
      <c r="U2" s="39" t="s">
        <v>220</v>
      </c>
      <c r="V2" s="39" t="s">
        <v>219</v>
      </c>
      <c r="W2" s="39" t="s">
        <v>223</v>
      </c>
      <c r="X2" s="39" t="s">
        <v>219</v>
      </c>
      <c r="Y2" s="39" t="s">
        <v>220</v>
      </c>
      <c r="Z2" s="39"/>
      <c r="AA2" s="39"/>
      <c r="AB2" s="39"/>
      <c r="AC2" s="40" t="s">
        <v>223</v>
      </c>
      <c r="AD2" s="40">
        <v>1</v>
      </c>
    </row>
    <row r="3" spans="1:30" ht="22.5" customHeight="1">
      <c r="A3" s="157"/>
      <c r="B3" s="72" t="s">
        <v>169</v>
      </c>
      <c r="C3" s="38" t="s">
        <v>26</v>
      </c>
      <c r="D3" s="39" t="s">
        <v>220</v>
      </c>
      <c r="E3" s="39" t="s">
        <v>223</v>
      </c>
      <c r="F3" s="39" t="s">
        <v>219</v>
      </c>
      <c r="G3" s="39" t="s">
        <v>247</v>
      </c>
      <c r="H3" s="39" t="s">
        <v>247</v>
      </c>
      <c r="I3" s="39" t="s">
        <v>223</v>
      </c>
      <c r="J3" s="39" t="s">
        <v>223</v>
      </c>
      <c r="K3" s="39" t="s">
        <v>223</v>
      </c>
      <c r="L3" s="39" t="s">
        <v>223</v>
      </c>
      <c r="M3" s="39" t="s">
        <v>220</v>
      </c>
      <c r="N3" s="39" t="s">
        <v>219</v>
      </c>
      <c r="O3" s="39" t="s">
        <v>220</v>
      </c>
      <c r="P3" s="39" t="s">
        <v>219</v>
      </c>
      <c r="Q3" s="39" t="s">
        <v>223</v>
      </c>
      <c r="R3" s="39" t="s">
        <v>247</v>
      </c>
      <c r="S3" s="39" t="s">
        <v>223</v>
      </c>
      <c r="T3" s="39" t="s">
        <v>220</v>
      </c>
      <c r="U3" s="39" t="s">
        <v>223</v>
      </c>
      <c r="V3" s="39" t="s">
        <v>220</v>
      </c>
      <c r="W3" s="39" t="s">
        <v>220</v>
      </c>
      <c r="X3" s="39" t="s">
        <v>219</v>
      </c>
      <c r="Y3" s="39" t="s">
        <v>220</v>
      </c>
      <c r="Z3" s="39"/>
      <c r="AA3" s="39"/>
      <c r="AB3" s="39"/>
      <c r="AC3" s="40" t="s">
        <v>219</v>
      </c>
      <c r="AD3" s="40">
        <v>2</v>
      </c>
    </row>
    <row r="4" spans="1:30" ht="22.5" customHeight="1">
      <c r="A4" s="157"/>
      <c r="B4" s="72" t="s">
        <v>248</v>
      </c>
      <c r="C4" s="38" t="s">
        <v>26</v>
      </c>
      <c r="D4" s="39" t="s">
        <v>223</v>
      </c>
      <c r="E4" s="39" t="s">
        <v>220</v>
      </c>
      <c r="F4" s="39" t="s">
        <v>218</v>
      </c>
      <c r="G4" s="39" t="s">
        <v>218</v>
      </c>
      <c r="H4" s="39" t="s">
        <v>218</v>
      </c>
      <c r="I4" s="39" t="s">
        <v>219</v>
      </c>
      <c r="J4" s="39" t="s">
        <v>220</v>
      </c>
      <c r="K4" s="39" t="s">
        <v>220</v>
      </c>
      <c r="L4" s="39" t="s">
        <v>223</v>
      </c>
      <c r="M4" s="39" t="s">
        <v>220</v>
      </c>
      <c r="N4" s="39" t="s">
        <v>220</v>
      </c>
      <c r="O4" s="39" t="s">
        <v>220</v>
      </c>
      <c r="P4" s="39" t="s">
        <v>247</v>
      </c>
      <c r="Q4" s="39" t="s">
        <v>220</v>
      </c>
      <c r="R4" s="39" t="s">
        <v>219</v>
      </c>
      <c r="S4" s="39" t="s">
        <v>220</v>
      </c>
      <c r="T4" s="39" t="s">
        <v>220</v>
      </c>
      <c r="U4" s="39" t="s">
        <v>219</v>
      </c>
      <c r="V4" s="39" t="s">
        <v>220</v>
      </c>
      <c r="W4" s="39" t="s">
        <v>220</v>
      </c>
      <c r="X4" s="39" t="s">
        <v>219</v>
      </c>
      <c r="Y4" s="39" t="s">
        <v>223</v>
      </c>
      <c r="Z4" s="39"/>
      <c r="AA4" s="39"/>
      <c r="AB4" s="39"/>
      <c r="AC4" s="40" t="s">
        <v>218</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221</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221</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4</v>
      </c>
      <c r="F12" s="39" t="s">
        <v>225</v>
      </c>
      <c r="G12" s="39">
        <v>2</v>
      </c>
      <c r="H12" s="39">
        <v>2</v>
      </c>
      <c r="I12" s="39">
        <v>4</v>
      </c>
      <c r="J12" s="39">
        <v>4</v>
      </c>
      <c r="K12" s="39">
        <v>4</v>
      </c>
      <c r="L12" s="39">
        <v>4</v>
      </c>
      <c r="M12" s="39">
        <v>4</v>
      </c>
      <c r="N12" s="39">
        <v>4</v>
      </c>
      <c r="O12" s="39">
        <v>5</v>
      </c>
      <c r="P12" s="39">
        <v>3</v>
      </c>
      <c r="Q12" s="39">
        <v>5</v>
      </c>
      <c r="R12" s="39">
        <v>3</v>
      </c>
      <c r="S12" s="39">
        <v>5</v>
      </c>
      <c r="T12" s="39">
        <v>5</v>
      </c>
      <c r="U12" s="39">
        <v>4</v>
      </c>
      <c r="V12" s="39">
        <v>4</v>
      </c>
      <c r="W12" s="39">
        <v>5</v>
      </c>
      <c r="X12" s="39">
        <v>3</v>
      </c>
      <c r="Y12" s="39">
        <v>5</v>
      </c>
      <c r="Z12" s="39"/>
      <c r="AA12" s="39"/>
      <c r="AB12" s="39"/>
    </row>
    <row r="13" spans="1:30" ht="26.25" customHeight="1">
      <c r="A13" s="44"/>
      <c r="B13" s="44"/>
      <c r="C13" s="75"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68</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69</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70</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71</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72</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73</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74</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75</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77</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78</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79</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80</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81</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82</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83</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84</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85</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t="s">
        <v>86</v>
      </c>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t="s">
        <v>87</v>
      </c>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t="s">
        <v>88</v>
      </c>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t="s">
        <v>89</v>
      </c>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0:AB30"/>
    <mergeCell ref="B31:AB31"/>
    <mergeCell ref="B32:AB32"/>
    <mergeCell ref="B33:AB33"/>
    <mergeCell ref="B34:AB34"/>
    <mergeCell ref="B35:AB35"/>
    <mergeCell ref="B36:AB36"/>
    <mergeCell ref="B37:AB37"/>
    <mergeCell ref="B25:AB25"/>
    <mergeCell ref="B26:AB26"/>
    <mergeCell ref="B27:AB27"/>
    <mergeCell ref="B28:AB28"/>
    <mergeCell ref="B29:AB29"/>
    <mergeCell ref="A2:A12"/>
    <mergeCell ref="B14:AB14"/>
    <mergeCell ref="B15:AB15"/>
    <mergeCell ref="B16:AB16"/>
    <mergeCell ref="B17:AB17"/>
    <mergeCell ref="B23:AB23"/>
    <mergeCell ref="B24:AB24"/>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５－２</v>
      </c>
      <c r="B1" s="34" t="str">
        <f ca="1">RIGHT(CELL("filename",B1),LEN(CELL("filename",B1))-FIND("]",CELL("filename",B1)))</f>
        <v>算数</v>
      </c>
      <c r="C1" s="35" t="s">
        <v>25</v>
      </c>
      <c r="D1" s="36" t="str">
        <f>A15</f>
        <v>伊藤 せな</v>
      </c>
      <c r="E1" s="36" t="str">
        <f>A16</f>
        <v>今井 帆夏</v>
      </c>
      <c r="F1" s="36" t="str">
        <f>A17</f>
        <v>上原 一十</v>
      </c>
      <c r="G1" s="36" t="str">
        <f>A18</f>
        <v>上原 誠太</v>
      </c>
      <c r="H1" s="36" t="str">
        <f>A19</f>
        <v>太田 奏佑</v>
      </c>
      <c r="I1" s="36" t="str">
        <f>A20</f>
        <v>小口 恵人</v>
      </c>
      <c r="J1" s="36" t="str">
        <f>A21</f>
        <v>海瀬 晴仁</v>
      </c>
      <c r="K1" s="36" t="str">
        <f>A22</f>
        <v>金子 愛奈</v>
      </c>
      <c r="L1" s="36" t="str">
        <f>A23</f>
        <v>上條 結衣</v>
      </c>
      <c r="M1" s="36" t="str">
        <f>A24</f>
        <v>鴨居 鈴佳</v>
      </c>
      <c r="N1" s="36" t="str">
        <f>A25</f>
        <v>久保田 陽佳</v>
      </c>
      <c r="O1" s="36" t="str">
        <f>A26</f>
        <v>小松 賢史</v>
      </c>
      <c r="P1" s="36" t="str">
        <f>A27</f>
        <v>塩原 七都</v>
      </c>
      <c r="Q1" s="36" t="str">
        <f>A28</f>
        <v>新保 菜々香</v>
      </c>
      <c r="R1" s="36" t="str">
        <f>A29</f>
        <v>田中 百</v>
      </c>
      <c r="S1" s="36" t="str">
        <f>A30</f>
        <v>中村 妃花</v>
      </c>
      <c r="T1" s="36" t="str">
        <f>A31</f>
        <v>林 樹李</v>
      </c>
      <c r="U1" s="36" t="str">
        <f>A32</f>
        <v>原田 樹生</v>
      </c>
      <c r="V1" s="36" t="str">
        <f>A33</f>
        <v>平野 鈴</v>
      </c>
      <c r="W1" s="36" t="str">
        <f>A34</f>
        <v>布施谷 碧衣</v>
      </c>
      <c r="X1" s="36" t="str">
        <f>A35</f>
        <v>吉澤 維月</v>
      </c>
      <c r="Y1" s="36" t="str">
        <f>A36</f>
        <v>若林 樹</v>
      </c>
      <c r="Z1" s="36">
        <f>A37</f>
        <v>0</v>
      </c>
      <c r="AA1" s="36">
        <f>A38</f>
        <v>0</v>
      </c>
      <c r="AB1" s="36">
        <f>A39</f>
        <v>0</v>
      </c>
      <c r="AC1" s="37"/>
    </row>
    <row r="2" spans="1:30" ht="22.5" customHeight="1">
      <c r="A2" s="156" t="s">
        <v>230</v>
      </c>
      <c r="B2" s="72" t="s">
        <v>61</v>
      </c>
      <c r="C2" s="38" t="s">
        <v>26</v>
      </c>
      <c r="D2" s="39" t="s">
        <v>46</v>
      </c>
      <c r="E2" s="39" t="s">
        <v>46</v>
      </c>
      <c r="F2" s="39" t="s">
        <v>49</v>
      </c>
      <c r="G2" s="39" t="s">
        <v>46</v>
      </c>
      <c r="H2" s="39" t="s">
        <v>45</v>
      </c>
      <c r="I2" s="39" t="s">
        <v>45</v>
      </c>
      <c r="J2" s="39" t="s">
        <v>45</v>
      </c>
      <c r="K2" s="39" t="s">
        <v>45</v>
      </c>
      <c r="L2" s="39" t="s">
        <v>45</v>
      </c>
      <c r="M2" s="39" t="s">
        <v>45</v>
      </c>
      <c r="N2" s="39" t="s">
        <v>45</v>
      </c>
      <c r="O2" s="39" t="s">
        <v>46</v>
      </c>
      <c r="P2" s="39" t="s">
        <v>45</v>
      </c>
      <c r="Q2" s="39" t="s">
        <v>46</v>
      </c>
      <c r="R2" s="39" t="s">
        <v>45</v>
      </c>
      <c r="S2" s="39" t="s">
        <v>46</v>
      </c>
      <c r="T2" s="39" t="s">
        <v>46</v>
      </c>
      <c r="U2" s="39" t="s">
        <v>46</v>
      </c>
      <c r="V2" s="39" t="s">
        <v>45</v>
      </c>
      <c r="W2" s="39" t="s">
        <v>46</v>
      </c>
      <c r="X2" s="39" t="s">
        <v>46</v>
      </c>
      <c r="Y2" s="39" t="s">
        <v>46</v>
      </c>
      <c r="Z2" s="39"/>
      <c r="AA2" s="39"/>
      <c r="AB2" s="39"/>
      <c r="AC2" s="40" t="s">
        <v>249</v>
      </c>
      <c r="AD2" s="40">
        <v>1</v>
      </c>
    </row>
    <row r="3" spans="1:30" ht="22.5" customHeight="1">
      <c r="A3" s="157"/>
      <c r="B3" s="72" t="s">
        <v>250</v>
      </c>
      <c r="C3" s="38" t="s">
        <v>26</v>
      </c>
      <c r="D3" s="39" t="s">
        <v>46</v>
      </c>
      <c r="E3" s="39" t="s">
        <v>46</v>
      </c>
      <c r="F3" s="39" t="s">
        <v>49</v>
      </c>
      <c r="G3" s="39" t="s">
        <v>46</v>
      </c>
      <c r="H3" s="39" t="s">
        <v>45</v>
      </c>
      <c r="I3" s="39" t="s">
        <v>45</v>
      </c>
      <c r="J3" s="39" t="s">
        <v>45</v>
      </c>
      <c r="K3" s="39" t="s">
        <v>45</v>
      </c>
      <c r="L3" s="39" t="s">
        <v>45</v>
      </c>
      <c r="M3" s="39" t="s">
        <v>45</v>
      </c>
      <c r="N3" s="39" t="s">
        <v>45</v>
      </c>
      <c r="O3" s="39" t="s">
        <v>46</v>
      </c>
      <c r="P3" s="39" t="s">
        <v>49</v>
      </c>
      <c r="Q3" s="39" t="s">
        <v>46</v>
      </c>
      <c r="R3" s="39" t="s">
        <v>45</v>
      </c>
      <c r="S3" s="39" t="s">
        <v>46</v>
      </c>
      <c r="T3" s="39" t="s">
        <v>46</v>
      </c>
      <c r="U3" s="39" t="s">
        <v>46</v>
      </c>
      <c r="V3" s="39" t="s">
        <v>45</v>
      </c>
      <c r="W3" s="39" t="s">
        <v>46</v>
      </c>
      <c r="X3" s="39" t="s">
        <v>46</v>
      </c>
      <c r="Y3" s="39" t="s">
        <v>45</v>
      </c>
      <c r="Z3" s="39"/>
      <c r="AA3" s="39"/>
      <c r="AB3" s="39"/>
      <c r="AC3" s="40" t="s">
        <v>251</v>
      </c>
      <c r="AD3" s="40">
        <v>2</v>
      </c>
    </row>
    <row r="4" spans="1:30" ht="22.5" customHeight="1">
      <c r="A4" s="157"/>
      <c r="B4" s="72" t="s">
        <v>235</v>
      </c>
      <c r="C4" s="38" t="s">
        <v>26</v>
      </c>
      <c r="D4" s="39" t="s">
        <v>46</v>
      </c>
      <c r="E4" s="39" t="s">
        <v>46</v>
      </c>
      <c r="F4" s="39" t="s">
        <v>49</v>
      </c>
      <c r="G4" s="39" t="s">
        <v>45</v>
      </c>
      <c r="H4" s="39" t="s">
        <v>45</v>
      </c>
      <c r="I4" s="39" t="s">
        <v>45</v>
      </c>
      <c r="J4" s="39" t="s">
        <v>46</v>
      </c>
      <c r="K4" s="39" t="s">
        <v>46</v>
      </c>
      <c r="L4" s="39" t="s">
        <v>46</v>
      </c>
      <c r="M4" s="39" t="s">
        <v>46</v>
      </c>
      <c r="N4" s="39" t="s">
        <v>46</v>
      </c>
      <c r="O4" s="39" t="s">
        <v>46</v>
      </c>
      <c r="P4" s="39" t="s">
        <v>46</v>
      </c>
      <c r="Q4" s="39" t="s">
        <v>46</v>
      </c>
      <c r="R4" s="39" t="s">
        <v>46</v>
      </c>
      <c r="S4" s="39" t="s">
        <v>46</v>
      </c>
      <c r="T4" s="39" t="s">
        <v>46</v>
      </c>
      <c r="U4" s="39" t="s">
        <v>46</v>
      </c>
      <c r="V4" s="39" t="s">
        <v>46</v>
      </c>
      <c r="W4" s="39" t="s">
        <v>46</v>
      </c>
      <c r="X4" s="39" t="s">
        <v>46</v>
      </c>
      <c r="Y4" s="39" t="s">
        <v>46</v>
      </c>
      <c r="Z4" s="39"/>
      <c r="AA4" s="39"/>
      <c r="AB4" s="39"/>
      <c r="AC4" s="40" t="s">
        <v>252</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221</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221</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5</v>
      </c>
      <c r="F12" s="39">
        <v>1</v>
      </c>
      <c r="G12" s="39">
        <v>4</v>
      </c>
      <c r="H12" s="39">
        <v>3</v>
      </c>
      <c r="I12" s="39">
        <v>3</v>
      </c>
      <c r="J12" s="39">
        <v>4</v>
      </c>
      <c r="K12" s="39">
        <v>4</v>
      </c>
      <c r="L12" s="39">
        <v>3</v>
      </c>
      <c r="M12" s="39">
        <v>4</v>
      </c>
      <c r="N12" s="39">
        <v>4</v>
      </c>
      <c r="O12" s="39">
        <v>5</v>
      </c>
      <c r="P12" s="39">
        <v>3</v>
      </c>
      <c r="Q12" s="39">
        <v>5</v>
      </c>
      <c r="R12" s="39">
        <v>4</v>
      </c>
      <c r="S12" s="39">
        <v>5</v>
      </c>
      <c r="T12" s="39">
        <v>5</v>
      </c>
      <c r="U12" s="39">
        <v>5</v>
      </c>
      <c r="V12" s="39">
        <v>3</v>
      </c>
      <c r="W12" s="39">
        <v>5</v>
      </c>
      <c r="X12" s="39">
        <v>5</v>
      </c>
      <c r="Y12" s="39">
        <v>4</v>
      </c>
      <c r="Z12" s="39"/>
      <c r="AA12" s="39"/>
      <c r="AB12" s="39"/>
    </row>
    <row r="13" spans="1:30" ht="26.25" customHeight="1">
      <c r="A13" s="44"/>
      <c r="B13" s="44"/>
      <c r="C13" s="75"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68</v>
      </c>
      <c r="B15" s="153" t="s">
        <v>90</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69</v>
      </c>
      <c r="B16" s="153" t="s">
        <v>91</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70</v>
      </c>
      <c r="B17" s="153" t="s">
        <v>92</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71</v>
      </c>
      <c r="B18" s="153" t="s">
        <v>93</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72</v>
      </c>
      <c r="B19" s="153" t="s">
        <v>94</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73</v>
      </c>
      <c r="B20" s="153" t="s">
        <v>95</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74</v>
      </c>
      <c r="B21" s="153" t="s">
        <v>96</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75</v>
      </c>
      <c r="B22" s="153" t="s">
        <v>97</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t="s">
        <v>98</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77</v>
      </c>
      <c r="B24" s="153" t="s">
        <v>99</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78</v>
      </c>
      <c r="B25" s="153" t="s">
        <v>100</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79</v>
      </c>
      <c r="B26" s="153" t="s">
        <v>101</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80</v>
      </c>
      <c r="B27" s="153" t="s">
        <v>102</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81</v>
      </c>
      <c r="B28" s="153" t="s">
        <v>90</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82</v>
      </c>
      <c r="B29" s="153" t="s">
        <v>103</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83</v>
      </c>
      <c r="B30" s="153" t="s">
        <v>90</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84</v>
      </c>
      <c r="B31" s="153" t="s">
        <v>90</v>
      </c>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85</v>
      </c>
      <c r="B32" s="153" t="s">
        <v>104</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t="s">
        <v>86</v>
      </c>
      <c r="B33" s="153" t="s">
        <v>105</v>
      </c>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t="s">
        <v>87</v>
      </c>
      <c r="B34" s="153" t="s">
        <v>106</v>
      </c>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t="s">
        <v>88</v>
      </c>
      <c r="B35" s="153" t="s">
        <v>107</v>
      </c>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t="s">
        <v>89</v>
      </c>
      <c r="B36" s="153" t="s">
        <v>108</v>
      </c>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0:AB30"/>
    <mergeCell ref="B31:AB31"/>
    <mergeCell ref="B32:AB32"/>
    <mergeCell ref="B33:AB33"/>
    <mergeCell ref="B34:AB34"/>
    <mergeCell ref="B35:AB35"/>
    <mergeCell ref="B36:AB36"/>
    <mergeCell ref="B37:AB37"/>
    <mergeCell ref="B25:AB25"/>
    <mergeCell ref="B26:AB26"/>
    <mergeCell ref="B27:AB27"/>
    <mergeCell ref="B28:AB28"/>
    <mergeCell ref="B29:AB29"/>
    <mergeCell ref="A2:A12"/>
    <mergeCell ref="B14:AB14"/>
    <mergeCell ref="B15:AB15"/>
    <mergeCell ref="B16:AB16"/>
    <mergeCell ref="B17:AB17"/>
    <mergeCell ref="B23:AB23"/>
    <mergeCell ref="B24:AB24"/>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５－２</v>
      </c>
      <c r="B1" s="34" t="str">
        <f ca="1">RIGHT(CELL("filename",B1),LEN(CELL("filename",B1))-FIND("]",CELL("filename",B1)))</f>
        <v>理科</v>
      </c>
      <c r="C1" s="35" t="s">
        <v>25</v>
      </c>
      <c r="D1" s="36" t="str">
        <f>A15</f>
        <v>伊藤 せな</v>
      </c>
      <c r="E1" s="36" t="str">
        <f>A16</f>
        <v>今井 帆夏</v>
      </c>
      <c r="F1" s="36" t="str">
        <f>A17</f>
        <v>上原 一十</v>
      </c>
      <c r="G1" s="36" t="str">
        <f>A18</f>
        <v>上原 誠太</v>
      </c>
      <c r="H1" s="36" t="str">
        <f>A19</f>
        <v>太田 奏佑</v>
      </c>
      <c r="I1" s="36" t="str">
        <f>A20</f>
        <v>小口 恵人</v>
      </c>
      <c r="J1" s="36" t="str">
        <f>A21</f>
        <v>海瀬 晴仁</v>
      </c>
      <c r="K1" s="36" t="str">
        <f>A22</f>
        <v>金子 愛奈</v>
      </c>
      <c r="L1" s="36" t="str">
        <f>A23</f>
        <v>上條 結衣</v>
      </c>
      <c r="M1" s="36" t="str">
        <f>A24</f>
        <v>鴨居 鈴佳</v>
      </c>
      <c r="N1" s="36" t="str">
        <f>A25</f>
        <v>久保田 陽佳</v>
      </c>
      <c r="O1" s="36" t="str">
        <f>A26</f>
        <v>小松 賢史</v>
      </c>
      <c r="P1" s="36" t="str">
        <f>A27</f>
        <v>塩原 七都</v>
      </c>
      <c r="Q1" s="36" t="str">
        <f>A28</f>
        <v>新保 菜々香</v>
      </c>
      <c r="R1" s="36" t="str">
        <f>A29</f>
        <v>田中 百</v>
      </c>
      <c r="S1" s="36" t="str">
        <f>A30</f>
        <v>中村 妃花</v>
      </c>
      <c r="T1" s="36" t="str">
        <f>A31</f>
        <v>林 樹李</v>
      </c>
      <c r="U1" s="36" t="str">
        <f>A32</f>
        <v>原田 樹生</v>
      </c>
      <c r="V1" s="36" t="str">
        <f>A33</f>
        <v>平野 鈴</v>
      </c>
      <c r="W1" s="36" t="str">
        <f>A34</f>
        <v>布施谷 碧衣</v>
      </c>
      <c r="X1" s="36" t="str">
        <f>A35</f>
        <v>吉澤 維月</v>
      </c>
      <c r="Y1" s="36" t="str">
        <f>A36</f>
        <v>若林 樹</v>
      </c>
      <c r="Z1" s="36">
        <f>A37</f>
        <v>0</v>
      </c>
      <c r="AA1" s="36">
        <f>A38</f>
        <v>0</v>
      </c>
      <c r="AB1" s="36">
        <f>A39</f>
        <v>0</v>
      </c>
      <c r="AC1" s="37"/>
    </row>
    <row r="2" spans="1:30" ht="22.5" customHeight="1">
      <c r="A2" s="156" t="s">
        <v>212</v>
      </c>
      <c r="B2" s="72" t="s">
        <v>67</v>
      </c>
      <c r="C2" s="38" t="s">
        <v>26</v>
      </c>
      <c r="D2" s="39" t="s">
        <v>46</v>
      </c>
      <c r="E2" s="39" t="s">
        <v>46</v>
      </c>
      <c r="F2" s="39" t="s">
        <v>49</v>
      </c>
      <c r="G2" s="39" t="s">
        <v>46</v>
      </c>
      <c r="H2" s="39" t="s">
        <v>45</v>
      </c>
      <c r="I2" s="39" t="s">
        <v>45</v>
      </c>
      <c r="J2" s="39" t="s">
        <v>46</v>
      </c>
      <c r="K2" s="39" t="s">
        <v>46</v>
      </c>
      <c r="L2" s="39" t="s">
        <v>45</v>
      </c>
      <c r="M2" s="39" t="s">
        <v>46</v>
      </c>
      <c r="N2" s="39" t="s">
        <v>45</v>
      </c>
      <c r="O2" s="39" t="s">
        <v>46</v>
      </c>
      <c r="P2" s="39" t="s">
        <v>45</v>
      </c>
      <c r="Q2" s="39" t="s">
        <v>46</v>
      </c>
      <c r="R2" s="39" t="s">
        <v>45</v>
      </c>
      <c r="S2" s="39" t="s">
        <v>46</v>
      </c>
      <c r="T2" s="39" t="s">
        <v>46</v>
      </c>
      <c r="U2" s="39" t="s">
        <v>46</v>
      </c>
      <c r="V2" s="39" t="s">
        <v>45</v>
      </c>
      <c r="W2" s="39" t="s">
        <v>46</v>
      </c>
      <c r="X2" s="39" t="s">
        <v>46</v>
      </c>
      <c r="Y2" s="39" t="s">
        <v>45</v>
      </c>
      <c r="Z2" s="39"/>
      <c r="AA2" s="39"/>
      <c r="AB2" s="39"/>
      <c r="AC2" s="40" t="s">
        <v>213</v>
      </c>
      <c r="AD2" s="40">
        <v>1</v>
      </c>
    </row>
    <row r="3" spans="1:30" ht="22.5" customHeight="1">
      <c r="A3" s="157"/>
      <c r="B3" s="72" t="s">
        <v>253</v>
      </c>
      <c r="C3" s="38" t="s">
        <v>26</v>
      </c>
      <c r="D3" s="39" t="s">
        <v>46</v>
      </c>
      <c r="E3" s="39" t="s">
        <v>46</v>
      </c>
      <c r="F3" s="39" t="s">
        <v>49</v>
      </c>
      <c r="G3" s="39" t="s">
        <v>46</v>
      </c>
      <c r="H3" s="39" t="s">
        <v>45</v>
      </c>
      <c r="I3" s="39" t="s">
        <v>45</v>
      </c>
      <c r="J3" s="39" t="s">
        <v>45</v>
      </c>
      <c r="K3" s="39" t="s">
        <v>46</v>
      </c>
      <c r="L3" s="39" t="s">
        <v>45</v>
      </c>
      <c r="M3" s="39" t="s">
        <v>46</v>
      </c>
      <c r="N3" s="39" t="s">
        <v>46</v>
      </c>
      <c r="O3" s="39" t="s">
        <v>46</v>
      </c>
      <c r="P3" s="39" t="s">
        <v>45</v>
      </c>
      <c r="Q3" s="39" t="s">
        <v>46</v>
      </c>
      <c r="R3" s="39" t="s">
        <v>45</v>
      </c>
      <c r="S3" s="39" t="s">
        <v>46</v>
      </c>
      <c r="T3" s="39" t="s">
        <v>46</v>
      </c>
      <c r="U3" s="39" t="s">
        <v>46</v>
      </c>
      <c r="V3" s="39" t="s">
        <v>45</v>
      </c>
      <c r="W3" s="39" t="s">
        <v>46</v>
      </c>
      <c r="X3" s="39" t="s">
        <v>45</v>
      </c>
      <c r="Y3" s="39" t="s">
        <v>46</v>
      </c>
      <c r="Z3" s="39"/>
      <c r="AA3" s="39"/>
      <c r="AB3" s="39"/>
      <c r="AC3" s="40" t="s">
        <v>254</v>
      </c>
      <c r="AD3" s="40">
        <v>2</v>
      </c>
    </row>
    <row r="4" spans="1:30" ht="22.5" customHeight="1">
      <c r="A4" s="157"/>
      <c r="B4" s="41" t="s">
        <v>64</v>
      </c>
      <c r="C4" s="38" t="s">
        <v>26</v>
      </c>
      <c r="D4" s="39" t="s">
        <v>220</v>
      </c>
      <c r="E4" s="39" t="s">
        <v>213</v>
      </c>
      <c r="F4" s="39" t="s">
        <v>219</v>
      </c>
      <c r="G4" s="39" t="s">
        <v>255</v>
      </c>
      <c r="H4" s="39" t="s">
        <v>254</v>
      </c>
      <c r="I4" s="39" t="s">
        <v>213</v>
      </c>
      <c r="J4" s="39" t="s">
        <v>255</v>
      </c>
      <c r="K4" s="39" t="s">
        <v>255</v>
      </c>
      <c r="L4" s="39" t="s">
        <v>213</v>
      </c>
      <c r="M4" s="39" t="s">
        <v>256</v>
      </c>
      <c r="N4" s="39" t="s">
        <v>220</v>
      </c>
      <c r="O4" s="39" t="s">
        <v>220</v>
      </c>
      <c r="P4" s="39" t="s">
        <v>256</v>
      </c>
      <c r="Q4" s="39" t="s">
        <v>220</v>
      </c>
      <c r="R4" s="39" t="s">
        <v>220</v>
      </c>
      <c r="S4" s="39" t="s">
        <v>220</v>
      </c>
      <c r="T4" s="39" t="s">
        <v>255</v>
      </c>
      <c r="U4" s="39" t="s">
        <v>220</v>
      </c>
      <c r="V4" s="39" t="s">
        <v>220</v>
      </c>
      <c r="W4" s="39" t="s">
        <v>220</v>
      </c>
      <c r="X4" s="39" t="s">
        <v>220</v>
      </c>
      <c r="Y4" s="39" t="s">
        <v>220</v>
      </c>
      <c r="Z4" s="39"/>
      <c r="AA4" s="39"/>
      <c r="AB4" s="39"/>
      <c r="AC4" s="40" t="s">
        <v>257</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221</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258</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5</v>
      </c>
      <c r="F12" s="39">
        <v>2</v>
      </c>
      <c r="G12" s="39">
        <v>5</v>
      </c>
      <c r="H12" s="39">
        <v>3</v>
      </c>
      <c r="I12" s="39">
        <v>4</v>
      </c>
      <c r="J12" s="39">
        <v>4</v>
      </c>
      <c r="K12" s="39">
        <v>5</v>
      </c>
      <c r="L12" s="39">
        <v>4</v>
      </c>
      <c r="M12" s="39">
        <v>5</v>
      </c>
      <c r="N12" s="39">
        <v>4</v>
      </c>
      <c r="O12" s="39">
        <v>5</v>
      </c>
      <c r="P12" s="39">
        <v>4</v>
      </c>
      <c r="Q12" s="39">
        <v>5</v>
      </c>
      <c r="R12" s="39">
        <v>4</v>
      </c>
      <c r="S12" s="39">
        <v>5</v>
      </c>
      <c r="T12" s="39">
        <v>5</v>
      </c>
      <c r="U12" s="39">
        <v>5</v>
      </c>
      <c r="V12" s="39">
        <v>4</v>
      </c>
      <c r="W12" s="39">
        <v>5</v>
      </c>
      <c r="X12" s="39">
        <v>4</v>
      </c>
      <c r="Y12" s="39">
        <v>4</v>
      </c>
      <c r="Z12" s="39"/>
      <c r="AA12" s="39"/>
      <c r="AB12" s="39"/>
    </row>
    <row r="13" spans="1:30" ht="26.25" customHeight="1">
      <c r="A13" s="44"/>
      <c r="B13" s="44"/>
      <c r="C13" s="75"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68</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69</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70</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71</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72</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73</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74</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75</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77</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78</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79</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80</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81</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82</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83</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84</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85</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t="s">
        <v>86</v>
      </c>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t="s">
        <v>87</v>
      </c>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t="s">
        <v>88</v>
      </c>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t="s">
        <v>89</v>
      </c>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0:AB30"/>
    <mergeCell ref="B31:AB31"/>
    <mergeCell ref="B32:AB32"/>
    <mergeCell ref="B33:AB33"/>
    <mergeCell ref="B34:AB34"/>
    <mergeCell ref="B35:AB35"/>
    <mergeCell ref="B36:AB36"/>
    <mergeCell ref="B37:AB37"/>
    <mergeCell ref="B25:AB25"/>
    <mergeCell ref="B26:AB26"/>
    <mergeCell ref="B27:AB27"/>
    <mergeCell ref="B28:AB28"/>
    <mergeCell ref="B29:AB29"/>
    <mergeCell ref="A2:A12"/>
    <mergeCell ref="B14:AB14"/>
    <mergeCell ref="B15:AB15"/>
    <mergeCell ref="B16:AB16"/>
    <mergeCell ref="B17:AB17"/>
    <mergeCell ref="B23:AB23"/>
    <mergeCell ref="B24:AB24"/>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D193"/>
  <sheetViews>
    <sheetView workbookViewId="0">
      <selection sqref="A1:XFD1048576"/>
    </sheetView>
  </sheetViews>
  <sheetFormatPr defaultColWidth="9" defaultRowHeight="13.5"/>
  <cols>
    <col min="1" max="1" width="13.5" style="78" customWidth="1"/>
    <col min="2" max="2" width="79.125" style="78" customWidth="1"/>
    <col min="3" max="3" width="9.375" style="78" customWidth="1"/>
    <col min="4" max="28" width="4.125" style="78" customWidth="1"/>
    <col min="29" max="16384" width="9" style="78"/>
  </cols>
  <sheetData>
    <row r="1" spans="1:30" ht="85.5" customHeight="1">
      <c r="A1" s="76" t="str">
        <f ca="1">MID(CELL("filename",A1),FIND("[",CELL("filename",A1))+1,3)</f>
        <v>５－２</v>
      </c>
      <c r="B1" s="34" t="str">
        <f ca="1">RIGHT(CELL("filename",B1),LEN(CELL("filename",B1))-FIND("]",CELL("filename",B1)))</f>
        <v>社会</v>
      </c>
      <c r="C1" s="35" t="s">
        <v>25</v>
      </c>
      <c r="D1" s="36" t="str">
        <f>A15</f>
        <v>伊藤 せな</v>
      </c>
      <c r="E1" s="36" t="str">
        <f>A16</f>
        <v>今井 帆夏</v>
      </c>
      <c r="F1" s="36" t="str">
        <f>A17</f>
        <v>上原 一十</v>
      </c>
      <c r="G1" s="36" t="str">
        <f>A18</f>
        <v>上原 誠太</v>
      </c>
      <c r="H1" s="36" t="str">
        <f>A19</f>
        <v>太田 奏佑</v>
      </c>
      <c r="I1" s="36" t="str">
        <f>A20</f>
        <v>小口 恵人</v>
      </c>
      <c r="J1" s="36" t="str">
        <f>A21</f>
        <v>海瀬 晴仁</v>
      </c>
      <c r="K1" s="36" t="str">
        <f>A22</f>
        <v>金子 愛奈</v>
      </c>
      <c r="L1" s="36" t="str">
        <f>A23</f>
        <v>上條 結衣</v>
      </c>
      <c r="M1" s="36" t="str">
        <f>A24</f>
        <v>鴨居 鈴佳</v>
      </c>
      <c r="N1" s="36" t="str">
        <f>A25</f>
        <v>久保田 陽佳</v>
      </c>
      <c r="O1" s="36" t="str">
        <f>A26</f>
        <v>小松 賢史</v>
      </c>
      <c r="P1" s="36" t="str">
        <f>A27</f>
        <v>塩原 七都</v>
      </c>
      <c r="Q1" s="36" t="str">
        <f>A28</f>
        <v>新保 菜々香</v>
      </c>
      <c r="R1" s="36" t="str">
        <f>A29</f>
        <v>田中 百</v>
      </c>
      <c r="S1" s="36" t="str">
        <f>A30</f>
        <v>中村 妃花</v>
      </c>
      <c r="T1" s="36" t="str">
        <f>A31</f>
        <v>林 樹李</v>
      </c>
      <c r="U1" s="36" t="str">
        <f>A32</f>
        <v>原田 樹生</v>
      </c>
      <c r="V1" s="36" t="str">
        <f>A33</f>
        <v>平野 鈴</v>
      </c>
      <c r="W1" s="36" t="str">
        <f>A34</f>
        <v>布施谷 碧衣</v>
      </c>
      <c r="X1" s="36" t="str">
        <f>A35</f>
        <v>吉澤 維月</v>
      </c>
      <c r="Y1" s="36" t="str">
        <f>A36</f>
        <v>若林 樹</v>
      </c>
      <c r="Z1" s="36">
        <f>A37</f>
        <v>0</v>
      </c>
      <c r="AA1" s="36">
        <f>A38</f>
        <v>0</v>
      </c>
      <c r="AB1" s="36">
        <f>A39</f>
        <v>0</v>
      </c>
      <c r="AC1" s="77"/>
    </row>
    <row r="2" spans="1:30" ht="22.5" customHeight="1">
      <c r="A2" s="156" t="s">
        <v>259</v>
      </c>
      <c r="B2" s="72" t="s">
        <v>65</v>
      </c>
      <c r="C2" s="38" t="s">
        <v>26</v>
      </c>
      <c r="D2" s="79" t="s">
        <v>227</v>
      </c>
      <c r="E2" s="79" t="s">
        <v>227</v>
      </c>
      <c r="F2" s="79" t="s">
        <v>260</v>
      </c>
      <c r="G2" s="79" t="s">
        <v>228</v>
      </c>
      <c r="H2" s="79" t="s">
        <v>228</v>
      </c>
      <c r="I2" s="79" t="s">
        <v>261</v>
      </c>
      <c r="J2" s="79" t="s">
        <v>228</v>
      </c>
      <c r="K2" s="79" t="s">
        <v>231</v>
      </c>
      <c r="L2" s="79" t="s">
        <v>261</v>
      </c>
      <c r="M2" s="79" t="s">
        <v>66</v>
      </c>
      <c r="N2" s="79" t="s">
        <v>228</v>
      </c>
      <c r="O2" s="79" t="s">
        <v>219</v>
      </c>
      <c r="P2" s="79" t="s">
        <v>262</v>
      </c>
      <c r="Q2" s="79" t="s">
        <v>227</v>
      </c>
      <c r="R2" s="79" t="s">
        <v>228</v>
      </c>
      <c r="S2" s="79" t="s">
        <v>220</v>
      </c>
      <c r="T2" s="79" t="s">
        <v>227</v>
      </c>
      <c r="U2" s="79" t="s">
        <v>263</v>
      </c>
      <c r="V2" s="79" t="s">
        <v>219</v>
      </c>
      <c r="W2" s="79" t="s">
        <v>227</v>
      </c>
      <c r="X2" s="79" t="s">
        <v>220</v>
      </c>
      <c r="Y2" s="79" t="s">
        <v>227</v>
      </c>
      <c r="Z2" s="79"/>
      <c r="AA2" s="79"/>
      <c r="AB2" s="79"/>
      <c r="AC2" s="80" t="s">
        <v>264</v>
      </c>
      <c r="AD2" s="80">
        <v>1</v>
      </c>
    </row>
    <row r="3" spans="1:30" ht="22.5" customHeight="1">
      <c r="A3" s="157"/>
      <c r="B3" s="72" t="s">
        <v>63</v>
      </c>
      <c r="C3" s="38" t="s">
        <v>26</v>
      </c>
      <c r="D3" s="79" t="s">
        <v>264</v>
      </c>
      <c r="E3" s="79" t="s">
        <v>220</v>
      </c>
      <c r="F3" s="79" t="s">
        <v>261</v>
      </c>
      <c r="G3" s="79" t="s">
        <v>219</v>
      </c>
      <c r="H3" s="79" t="s">
        <v>219</v>
      </c>
      <c r="I3" s="79" t="s">
        <v>228</v>
      </c>
      <c r="J3" s="79" t="s">
        <v>228</v>
      </c>
      <c r="K3" s="79" t="s">
        <v>219</v>
      </c>
      <c r="L3" s="79" t="s">
        <v>218</v>
      </c>
      <c r="M3" s="79" t="s">
        <v>219</v>
      </c>
      <c r="N3" s="79" t="s">
        <v>219</v>
      </c>
      <c r="O3" s="79" t="s">
        <v>219</v>
      </c>
      <c r="P3" s="79" t="s">
        <v>228</v>
      </c>
      <c r="Q3" s="79" t="s">
        <v>227</v>
      </c>
      <c r="R3" s="79" t="s">
        <v>219</v>
      </c>
      <c r="S3" s="79" t="s">
        <v>220</v>
      </c>
      <c r="T3" s="79" t="s">
        <v>219</v>
      </c>
      <c r="U3" s="79" t="s">
        <v>227</v>
      </c>
      <c r="V3" s="79" t="s">
        <v>228</v>
      </c>
      <c r="W3" s="79" t="s">
        <v>220</v>
      </c>
      <c r="X3" s="79" t="s">
        <v>220</v>
      </c>
      <c r="Y3" s="79" t="s">
        <v>228</v>
      </c>
      <c r="Z3" s="79"/>
      <c r="AA3" s="79"/>
      <c r="AB3" s="79"/>
      <c r="AC3" s="80" t="s">
        <v>228</v>
      </c>
      <c r="AD3" s="80">
        <v>2</v>
      </c>
    </row>
    <row r="4" spans="1:30" ht="22.5" customHeight="1">
      <c r="A4" s="157"/>
      <c r="B4" s="72" t="s">
        <v>64</v>
      </c>
      <c r="C4" s="38" t="s">
        <v>26</v>
      </c>
      <c r="D4" s="79" t="s">
        <v>227</v>
      </c>
      <c r="E4" s="79" t="s">
        <v>227</v>
      </c>
      <c r="F4" s="79" t="s">
        <v>265</v>
      </c>
      <c r="G4" s="79" t="s">
        <v>261</v>
      </c>
      <c r="H4" s="79" t="s">
        <v>190</v>
      </c>
      <c r="I4" s="79" t="s">
        <v>219</v>
      </c>
      <c r="J4" s="79" t="s">
        <v>219</v>
      </c>
      <c r="K4" s="79" t="s">
        <v>266</v>
      </c>
      <c r="L4" s="79" t="s">
        <v>220</v>
      </c>
      <c r="M4" s="79" t="s">
        <v>219</v>
      </c>
      <c r="N4" s="79" t="s">
        <v>220</v>
      </c>
      <c r="O4" s="79" t="s">
        <v>220</v>
      </c>
      <c r="P4" s="79" t="s">
        <v>227</v>
      </c>
      <c r="Q4" s="79" t="s">
        <v>220</v>
      </c>
      <c r="R4" s="79" t="s">
        <v>227</v>
      </c>
      <c r="S4" s="79" t="s">
        <v>213</v>
      </c>
      <c r="T4" s="79" t="s">
        <v>220</v>
      </c>
      <c r="U4" s="79" t="s">
        <v>264</v>
      </c>
      <c r="V4" s="79" t="s">
        <v>267</v>
      </c>
      <c r="W4" s="79" t="s">
        <v>220</v>
      </c>
      <c r="X4" s="79" t="s">
        <v>227</v>
      </c>
      <c r="Y4" s="79" t="s">
        <v>220</v>
      </c>
      <c r="Z4" s="79"/>
      <c r="AA4" s="79"/>
      <c r="AB4" s="79"/>
      <c r="AC4" s="80" t="s">
        <v>218</v>
      </c>
      <c r="AD4" s="80">
        <v>3</v>
      </c>
    </row>
    <row r="5" spans="1:30" ht="22.5" customHeight="1">
      <c r="A5" s="157"/>
      <c r="B5" s="41"/>
      <c r="C5" s="38" t="s">
        <v>26</v>
      </c>
      <c r="D5" s="79"/>
      <c r="E5" s="79"/>
      <c r="F5" s="79"/>
      <c r="G5" s="79"/>
      <c r="H5" s="79"/>
      <c r="I5" s="79"/>
      <c r="J5" s="79"/>
      <c r="K5" s="79"/>
      <c r="L5" s="79"/>
      <c r="M5" s="79"/>
      <c r="N5" s="79"/>
      <c r="O5" s="79"/>
      <c r="P5" s="79"/>
      <c r="Q5" s="79"/>
      <c r="R5" s="79"/>
      <c r="S5" s="79"/>
      <c r="T5" s="79"/>
      <c r="U5" s="79"/>
      <c r="V5" s="79"/>
      <c r="W5" s="79"/>
      <c r="X5" s="79"/>
      <c r="Y5" s="79"/>
      <c r="Z5" s="79"/>
      <c r="AA5" s="79"/>
      <c r="AB5" s="79"/>
      <c r="AC5" s="80" t="s">
        <v>221</v>
      </c>
      <c r="AD5" s="80">
        <v>4</v>
      </c>
    </row>
    <row r="6" spans="1:30" ht="22.5" customHeight="1">
      <c r="A6" s="157"/>
      <c r="B6" s="41"/>
      <c r="C6" s="38" t="s">
        <v>26</v>
      </c>
      <c r="D6" s="79"/>
      <c r="E6" s="79"/>
      <c r="F6" s="79"/>
      <c r="G6" s="79"/>
      <c r="H6" s="79"/>
      <c r="I6" s="79"/>
      <c r="J6" s="79"/>
      <c r="K6" s="79"/>
      <c r="L6" s="79"/>
      <c r="M6" s="79"/>
      <c r="N6" s="79"/>
      <c r="O6" s="79"/>
      <c r="P6" s="79"/>
      <c r="Q6" s="79"/>
      <c r="R6" s="79"/>
      <c r="S6" s="79"/>
      <c r="T6" s="79"/>
      <c r="U6" s="79"/>
      <c r="V6" s="79"/>
      <c r="W6" s="79"/>
      <c r="X6" s="79"/>
      <c r="Y6" s="79"/>
      <c r="Z6" s="79"/>
      <c r="AA6" s="79"/>
      <c r="AB6" s="79"/>
      <c r="AC6" s="80"/>
      <c r="AD6" s="80">
        <v>5</v>
      </c>
    </row>
    <row r="7" spans="1:30" ht="22.5" customHeight="1">
      <c r="A7" s="157"/>
      <c r="B7" s="41"/>
      <c r="C7" s="38" t="s">
        <v>26</v>
      </c>
      <c r="D7" s="79"/>
      <c r="E7" s="79"/>
      <c r="F7" s="79"/>
      <c r="G7" s="79"/>
      <c r="H7" s="79"/>
      <c r="I7" s="79"/>
      <c r="J7" s="79"/>
      <c r="K7" s="79"/>
      <c r="L7" s="79"/>
      <c r="M7" s="79"/>
      <c r="N7" s="79"/>
      <c r="O7" s="79"/>
      <c r="P7" s="79"/>
      <c r="Q7" s="79"/>
      <c r="R7" s="79"/>
      <c r="S7" s="79"/>
      <c r="T7" s="79"/>
      <c r="U7" s="79"/>
      <c r="V7" s="79"/>
      <c r="W7" s="79"/>
      <c r="X7" s="79"/>
      <c r="Y7" s="79"/>
      <c r="Z7" s="79"/>
      <c r="AA7" s="79"/>
      <c r="AB7" s="79"/>
      <c r="AC7" s="80"/>
      <c r="AD7" s="80" t="s">
        <v>268</v>
      </c>
    </row>
    <row r="8" spans="1:30" ht="22.5" customHeight="1">
      <c r="A8" s="157"/>
      <c r="B8" s="41"/>
      <c r="C8" s="38" t="s">
        <v>26</v>
      </c>
      <c r="D8" s="79"/>
      <c r="E8" s="79"/>
      <c r="F8" s="79"/>
      <c r="G8" s="79"/>
      <c r="H8" s="79"/>
      <c r="I8" s="79"/>
      <c r="J8" s="79"/>
      <c r="K8" s="79"/>
      <c r="L8" s="79"/>
      <c r="M8" s="79"/>
      <c r="N8" s="79"/>
      <c r="O8" s="79"/>
      <c r="P8" s="79"/>
      <c r="Q8" s="79"/>
      <c r="R8" s="79"/>
      <c r="S8" s="79"/>
      <c r="T8" s="79"/>
      <c r="U8" s="79"/>
      <c r="V8" s="79"/>
      <c r="W8" s="79"/>
      <c r="X8" s="79"/>
      <c r="Y8" s="79"/>
      <c r="Z8" s="79"/>
      <c r="AA8" s="79"/>
      <c r="AB8" s="79"/>
    </row>
    <row r="9" spans="1:30" ht="22.5" customHeight="1">
      <c r="A9" s="157"/>
      <c r="B9" s="41"/>
      <c r="C9" s="38" t="s">
        <v>26</v>
      </c>
      <c r="D9" s="79"/>
      <c r="E9" s="79"/>
      <c r="F9" s="79"/>
      <c r="G9" s="79"/>
      <c r="H9" s="79"/>
      <c r="I9" s="79"/>
      <c r="J9" s="79"/>
      <c r="K9" s="79"/>
      <c r="L9" s="79"/>
      <c r="M9" s="79"/>
      <c r="N9" s="79"/>
      <c r="O9" s="79"/>
      <c r="P9" s="79"/>
      <c r="Q9" s="79"/>
      <c r="R9" s="79"/>
      <c r="S9" s="79"/>
      <c r="T9" s="79"/>
      <c r="U9" s="79"/>
      <c r="V9" s="79"/>
      <c r="W9" s="79"/>
      <c r="X9" s="79"/>
      <c r="Y9" s="79"/>
      <c r="Z9" s="79"/>
      <c r="AA9" s="79"/>
      <c r="AB9" s="79"/>
    </row>
    <row r="10" spans="1:30" ht="22.5" customHeight="1">
      <c r="A10" s="157"/>
      <c r="B10" s="41"/>
      <c r="C10" s="38" t="s">
        <v>26</v>
      </c>
      <c r="D10" s="79"/>
      <c r="E10" s="79"/>
      <c r="F10" s="79"/>
      <c r="G10" s="79"/>
      <c r="H10" s="79"/>
      <c r="I10" s="79"/>
      <c r="J10" s="79"/>
      <c r="K10" s="79"/>
      <c r="L10" s="79"/>
      <c r="M10" s="79"/>
      <c r="N10" s="79"/>
      <c r="O10" s="79"/>
      <c r="P10" s="79"/>
      <c r="Q10" s="79"/>
      <c r="R10" s="79"/>
      <c r="S10" s="79"/>
      <c r="T10" s="79"/>
      <c r="U10" s="79"/>
      <c r="V10" s="79"/>
      <c r="W10" s="79"/>
      <c r="X10" s="79"/>
      <c r="Y10" s="79"/>
      <c r="Z10" s="79"/>
      <c r="AA10" s="79"/>
      <c r="AB10" s="79"/>
    </row>
    <row r="11" spans="1:30" ht="22.5" customHeight="1">
      <c r="A11" s="157"/>
      <c r="B11" s="41"/>
      <c r="C11" s="38" t="s">
        <v>26</v>
      </c>
      <c r="D11" s="79"/>
      <c r="E11" s="79"/>
      <c r="F11" s="79"/>
      <c r="G11" s="79"/>
      <c r="H11" s="79"/>
      <c r="I11" s="79"/>
      <c r="J11" s="79"/>
      <c r="K11" s="79"/>
      <c r="L11" s="79"/>
      <c r="M11" s="79"/>
      <c r="N11" s="79"/>
      <c r="O11" s="79"/>
      <c r="P11" s="79"/>
      <c r="Q11" s="79"/>
      <c r="R11" s="79"/>
      <c r="S11" s="79"/>
      <c r="T11" s="79"/>
      <c r="U11" s="79"/>
      <c r="V11" s="79"/>
      <c r="W11" s="79"/>
      <c r="X11" s="79"/>
      <c r="Y11" s="79"/>
      <c r="Z11" s="79"/>
      <c r="AA11" s="79"/>
      <c r="AB11" s="79"/>
    </row>
    <row r="12" spans="1:30" ht="30" customHeight="1">
      <c r="A12" s="158"/>
      <c r="B12" s="42"/>
      <c r="C12" s="43" t="s">
        <v>27</v>
      </c>
      <c r="D12" s="79">
        <v>5</v>
      </c>
      <c r="E12" s="79">
        <v>5</v>
      </c>
      <c r="F12" s="79">
        <v>1</v>
      </c>
      <c r="G12" s="79">
        <v>3</v>
      </c>
      <c r="H12" s="79">
        <v>3</v>
      </c>
      <c r="I12" s="79">
        <v>3</v>
      </c>
      <c r="J12" s="79">
        <v>3</v>
      </c>
      <c r="K12" s="79">
        <v>3</v>
      </c>
      <c r="L12" s="79">
        <v>3</v>
      </c>
      <c r="M12" s="79">
        <v>3</v>
      </c>
      <c r="N12" s="79">
        <v>3</v>
      </c>
      <c r="O12" s="79">
        <v>3</v>
      </c>
      <c r="P12" s="79">
        <v>3</v>
      </c>
      <c r="Q12" s="79">
        <v>5</v>
      </c>
      <c r="R12" s="79">
        <v>3</v>
      </c>
      <c r="S12" s="79">
        <v>5</v>
      </c>
      <c r="T12" s="79">
        <v>4</v>
      </c>
      <c r="U12" s="79">
        <v>5</v>
      </c>
      <c r="V12" s="79">
        <v>3</v>
      </c>
      <c r="W12" s="79">
        <v>5</v>
      </c>
      <c r="X12" s="79">
        <v>5</v>
      </c>
      <c r="Y12" s="79">
        <v>4</v>
      </c>
      <c r="Z12" s="79"/>
      <c r="AA12" s="79"/>
      <c r="AB12" s="79"/>
    </row>
    <row r="13" spans="1:30" ht="26.25" customHeight="1">
      <c r="A13" s="81"/>
      <c r="B13" s="81"/>
      <c r="C13" s="75" t="s">
        <v>62</v>
      </c>
      <c r="D13" s="79"/>
      <c r="E13" s="79"/>
      <c r="F13" s="79"/>
      <c r="G13" s="79"/>
      <c r="H13" s="79"/>
      <c r="I13" s="79"/>
      <c r="J13" s="79"/>
      <c r="K13" s="79"/>
      <c r="L13" s="79"/>
      <c r="M13" s="79"/>
      <c r="N13" s="79"/>
      <c r="O13" s="79"/>
      <c r="P13" s="79"/>
      <c r="Q13" s="79"/>
      <c r="R13" s="79"/>
      <c r="S13" s="79"/>
      <c r="T13" s="79"/>
      <c r="U13" s="79"/>
      <c r="V13" s="79"/>
      <c r="W13" s="79"/>
      <c r="X13" s="79"/>
      <c r="Y13" s="79"/>
      <c r="Z13" s="79"/>
      <c r="AA13" s="79"/>
      <c r="AB13" s="79"/>
    </row>
    <row r="14" spans="1:30" ht="22.5" customHeight="1">
      <c r="A14" s="45" t="s">
        <v>28</v>
      </c>
      <c r="B14" s="165" t="s">
        <v>29</v>
      </c>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7"/>
    </row>
    <row r="15" spans="1:30" ht="59.25" customHeight="1">
      <c r="A15" s="82" t="s">
        <v>68</v>
      </c>
      <c r="B15" s="162" t="s">
        <v>109</v>
      </c>
      <c r="C15" s="163"/>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63"/>
      <c r="AB15" s="164"/>
    </row>
    <row r="16" spans="1:30" ht="59.25" customHeight="1">
      <c r="A16" s="82" t="s">
        <v>69</v>
      </c>
      <c r="B16" s="162"/>
      <c r="C16" s="163"/>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4"/>
    </row>
    <row r="17" spans="1:28" ht="59.25" customHeight="1">
      <c r="A17" s="82" t="s">
        <v>70</v>
      </c>
      <c r="B17" s="162" t="s">
        <v>110</v>
      </c>
      <c r="C17" s="163"/>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4"/>
    </row>
    <row r="18" spans="1:28" ht="59.25" customHeight="1">
      <c r="A18" s="82" t="s">
        <v>71</v>
      </c>
      <c r="B18" s="162" t="s">
        <v>111</v>
      </c>
      <c r="C18" s="163"/>
      <c r="D18" s="163"/>
      <c r="E18" s="163"/>
      <c r="F18" s="163"/>
      <c r="G18" s="163"/>
      <c r="H18" s="163"/>
      <c r="I18" s="163"/>
      <c r="J18" s="163"/>
      <c r="K18" s="163"/>
      <c r="L18" s="163"/>
      <c r="M18" s="163"/>
      <c r="N18" s="163"/>
      <c r="O18" s="163"/>
      <c r="P18" s="163"/>
      <c r="Q18" s="163"/>
      <c r="R18" s="163"/>
      <c r="S18" s="163"/>
      <c r="T18" s="163"/>
      <c r="U18" s="163"/>
      <c r="V18" s="163"/>
      <c r="W18" s="163"/>
      <c r="X18" s="163"/>
      <c r="Y18" s="163"/>
      <c r="Z18" s="163"/>
      <c r="AA18" s="163"/>
      <c r="AB18" s="164"/>
    </row>
    <row r="19" spans="1:28" ht="59.25" customHeight="1">
      <c r="A19" s="82" t="s">
        <v>72</v>
      </c>
      <c r="B19" s="162" t="s">
        <v>111</v>
      </c>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4"/>
    </row>
    <row r="20" spans="1:28" ht="59.25" customHeight="1">
      <c r="A20" s="82" t="s">
        <v>73</v>
      </c>
      <c r="B20" s="162"/>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4"/>
    </row>
    <row r="21" spans="1:28" ht="59.25" customHeight="1">
      <c r="A21" s="82" t="s">
        <v>74</v>
      </c>
      <c r="B21" s="16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4"/>
    </row>
    <row r="22" spans="1:28" ht="59.25" customHeight="1">
      <c r="A22" s="82" t="s">
        <v>75</v>
      </c>
      <c r="B22" s="162" t="s">
        <v>109</v>
      </c>
      <c r="C22" s="16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163"/>
      <c r="AB22" s="164"/>
    </row>
    <row r="23" spans="1:28" ht="59.25" customHeight="1">
      <c r="A23" s="82" t="s">
        <v>76</v>
      </c>
      <c r="B23" s="162"/>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4"/>
    </row>
    <row r="24" spans="1:28" ht="59.25" customHeight="1">
      <c r="A24" s="82" t="s">
        <v>77</v>
      </c>
      <c r="B24" s="162"/>
      <c r="C24" s="16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4"/>
    </row>
    <row r="25" spans="1:28" ht="59.25" customHeight="1">
      <c r="A25" s="82" t="s">
        <v>78</v>
      </c>
      <c r="B25" s="162"/>
      <c r="C25" s="163"/>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4"/>
    </row>
    <row r="26" spans="1:28" ht="59.25" customHeight="1">
      <c r="A26" s="82" t="s">
        <v>79</v>
      </c>
      <c r="B26" s="162"/>
      <c r="C26" s="163"/>
      <c r="D26" s="163"/>
      <c r="E26" s="163"/>
      <c r="F26" s="163"/>
      <c r="G26" s="163"/>
      <c r="H26" s="163"/>
      <c r="I26" s="163"/>
      <c r="J26" s="163"/>
      <c r="K26" s="163"/>
      <c r="L26" s="163"/>
      <c r="M26" s="163"/>
      <c r="N26" s="163"/>
      <c r="O26" s="163"/>
      <c r="P26" s="163"/>
      <c r="Q26" s="163"/>
      <c r="R26" s="163"/>
      <c r="S26" s="163"/>
      <c r="T26" s="163"/>
      <c r="U26" s="163"/>
      <c r="V26" s="163"/>
      <c r="W26" s="163"/>
      <c r="X26" s="163"/>
      <c r="Y26" s="163"/>
      <c r="Z26" s="163"/>
      <c r="AA26" s="163"/>
      <c r="AB26" s="164"/>
    </row>
    <row r="27" spans="1:28" ht="59.25" customHeight="1">
      <c r="A27" s="82" t="s">
        <v>80</v>
      </c>
      <c r="B27" s="162"/>
      <c r="C27" s="163"/>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4"/>
    </row>
    <row r="28" spans="1:28" ht="59.25" customHeight="1">
      <c r="A28" s="82" t="s">
        <v>81</v>
      </c>
      <c r="B28" s="162"/>
      <c r="C28" s="163"/>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4"/>
    </row>
    <row r="29" spans="1:28" ht="59.25" customHeight="1">
      <c r="A29" s="82" t="s">
        <v>82</v>
      </c>
      <c r="B29" s="162"/>
      <c r="C29" s="163"/>
      <c r="D29" s="163"/>
      <c r="E29" s="163"/>
      <c r="F29" s="163"/>
      <c r="G29" s="163"/>
      <c r="H29" s="163"/>
      <c r="I29" s="163"/>
      <c r="J29" s="163"/>
      <c r="K29" s="163"/>
      <c r="L29" s="163"/>
      <c r="M29" s="163"/>
      <c r="N29" s="163"/>
      <c r="O29" s="163"/>
      <c r="P29" s="163"/>
      <c r="Q29" s="163"/>
      <c r="R29" s="163"/>
      <c r="S29" s="163"/>
      <c r="T29" s="163"/>
      <c r="U29" s="163"/>
      <c r="V29" s="163"/>
      <c r="W29" s="163"/>
      <c r="X29" s="163"/>
      <c r="Y29" s="163"/>
      <c r="Z29" s="163"/>
      <c r="AA29" s="163"/>
      <c r="AB29" s="164"/>
    </row>
    <row r="30" spans="1:28" ht="59.25" customHeight="1">
      <c r="A30" s="82" t="s">
        <v>83</v>
      </c>
      <c r="B30" s="162"/>
      <c r="C30" s="163"/>
      <c r="D30" s="163"/>
      <c r="E30" s="163"/>
      <c r="F30" s="163"/>
      <c r="G30" s="163"/>
      <c r="H30" s="163"/>
      <c r="I30" s="163"/>
      <c r="J30" s="163"/>
      <c r="K30" s="163"/>
      <c r="L30" s="163"/>
      <c r="M30" s="163"/>
      <c r="N30" s="163"/>
      <c r="O30" s="163"/>
      <c r="P30" s="163"/>
      <c r="Q30" s="163"/>
      <c r="R30" s="163"/>
      <c r="S30" s="163"/>
      <c r="T30" s="163"/>
      <c r="U30" s="163"/>
      <c r="V30" s="163"/>
      <c r="W30" s="163"/>
      <c r="X30" s="163"/>
      <c r="Y30" s="163"/>
      <c r="Z30" s="163"/>
      <c r="AA30" s="163"/>
      <c r="AB30" s="164"/>
    </row>
    <row r="31" spans="1:28" ht="59.25" customHeight="1">
      <c r="A31" s="82" t="s">
        <v>84</v>
      </c>
      <c r="B31" s="162"/>
      <c r="C31" s="163"/>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4"/>
    </row>
    <row r="32" spans="1:28" ht="59.25" customHeight="1">
      <c r="A32" s="82" t="s">
        <v>85</v>
      </c>
      <c r="B32" s="162" t="s">
        <v>109</v>
      </c>
      <c r="C32" s="16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4"/>
    </row>
    <row r="33" spans="1:28" ht="59.25" customHeight="1">
      <c r="A33" s="82" t="s">
        <v>86</v>
      </c>
      <c r="B33" s="162"/>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4"/>
    </row>
    <row r="34" spans="1:28" ht="59.25" customHeight="1">
      <c r="A34" s="82" t="s">
        <v>87</v>
      </c>
      <c r="B34" s="162"/>
      <c r="C34" s="163"/>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4"/>
    </row>
    <row r="35" spans="1:28" ht="59.25" customHeight="1">
      <c r="A35" s="82" t="s">
        <v>88</v>
      </c>
      <c r="B35" s="162" t="s">
        <v>109</v>
      </c>
      <c r="C35" s="163"/>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4"/>
    </row>
    <row r="36" spans="1:28" ht="59.25" customHeight="1">
      <c r="A36" s="82" t="s">
        <v>89</v>
      </c>
      <c r="B36" s="162"/>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4"/>
    </row>
    <row r="37" spans="1:28" ht="59.25" customHeight="1">
      <c r="A37" s="82"/>
      <c r="B37" s="162"/>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4"/>
    </row>
    <row r="38" spans="1:28" ht="59.25" customHeight="1">
      <c r="A38" s="82"/>
      <c r="B38" s="162"/>
      <c r="C38" s="163"/>
      <c r="D38" s="163"/>
      <c r="E38" s="163"/>
      <c r="F38" s="163"/>
      <c r="G38" s="163"/>
      <c r="H38" s="163"/>
      <c r="I38" s="163"/>
      <c r="J38" s="163"/>
      <c r="K38" s="163"/>
      <c r="L38" s="163"/>
      <c r="M38" s="163"/>
      <c r="N38" s="163"/>
      <c r="O38" s="163"/>
      <c r="P38" s="163"/>
      <c r="Q38" s="163"/>
      <c r="R38" s="163"/>
      <c r="S38" s="163"/>
      <c r="T38" s="163"/>
      <c r="U38" s="163"/>
      <c r="V38" s="163"/>
      <c r="W38" s="163"/>
      <c r="X38" s="163"/>
      <c r="Y38" s="163"/>
      <c r="Z38" s="163"/>
      <c r="AA38" s="163"/>
      <c r="AB38" s="164"/>
    </row>
    <row r="39" spans="1:28" ht="59.25" customHeight="1">
      <c r="A39" s="82"/>
      <c r="B39" s="16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4"/>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3:AB33"/>
    <mergeCell ref="B34:AB34"/>
    <mergeCell ref="B35:AB35"/>
    <mergeCell ref="B36:AB36"/>
    <mergeCell ref="B37:AB37"/>
    <mergeCell ref="B28:AB28"/>
    <mergeCell ref="B29:AB29"/>
    <mergeCell ref="B30:AB30"/>
    <mergeCell ref="B31:AB31"/>
    <mergeCell ref="B32:AB32"/>
    <mergeCell ref="B25:AB25"/>
    <mergeCell ref="B26:AB26"/>
    <mergeCell ref="B27:AB27"/>
    <mergeCell ref="A2:A12"/>
    <mergeCell ref="B14:AB14"/>
    <mergeCell ref="B15:AB15"/>
    <mergeCell ref="B16:AB16"/>
    <mergeCell ref="B17:AB17"/>
    <mergeCell ref="B18:AB18"/>
    <mergeCell ref="B19:AB19"/>
    <mergeCell ref="B20:AB20"/>
    <mergeCell ref="B21:AB21"/>
    <mergeCell ref="B22:AB22"/>
    <mergeCell ref="B23:AB23"/>
    <mergeCell ref="B24:AB2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５－２</v>
      </c>
      <c r="B1" s="34" t="str">
        <f ca="1">RIGHT(CELL("filename",B1),LEN(CELL("filename",B1))-FIND("]",CELL("filename",B1)))</f>
        <v>英語</v>
      </c>
      <c r="C1" s="35" t="s">
        <v>25</v>
      </c>
      <c r="D1" s="36" t="str">
        <f>A15</f>
        <v>伊藤 せな</v>
      </c>
      <c r="E1" s="36" t="str">
        <f>A16</f>
        <v>今井 帆夏</v>
      </c>
      <c r="F1" s="36" t="str">
        <f>A17</f>
        <v>上原 一十</v>
      </c>
      <c r="G1" s="36" t="str">
        <f>A18</f>
        <v>上原 誠太</v>
      </c>
      <c r="H1" s="36" t="str">
        <f>A19</f>
        <v>太田 奏佑</v>
      </c>
      <c r="I1" s="36" t="str">
        <f>A20</f>
        <v>小口 恵人</v>
      </c>
      <c r="J1" s="36" t="str">
        <f>A21</f>
        <v>海瀬 晴仁</v>
      </c>
      <c r="K1" s="36" t="str">
        <f>A22</f>
        <v>金子 愛奈</v>
      </c>
      <c r="L1" s="36" t="str">
        <f>A23</f>
        <v>上條 結衣</v>
      </c>
      <c r="M1" s="36" t="str">
        <f>A24</f>
        <v>鴨居 鈴佳</v>
      </c>
      <c r="N1" s="36" t="str">
        <f>A25</f>
        <v>久保田 陽佳</v>
      </c>
      <c r="O1" s="36" t="str">
        <f>A26</f>
        <v>小松 賢史</v>
      </c>
      <c r="P1" s="36" t="str">
        <f>A27</f>
        <v>塩原 七都</v>
      </c>
      <c r="Q1" s="36" t="str">
        <f>A28</f>
        <v>新保 菜々香</v>
      </c>
      <c r="R1" s="36" t="str">
        <f>A29</f>
        <v>田中 百</v>
      </c>
      <c r="S1" s="36" t="str">
        <f>A30</f>
        <v>中村 妃花</v>
      </c>
      <c r="T1" s="36" t="str">
        <f>A31</f>
        <v>林 樹李</v>
      </c>
      <c r="U1" s="36" t="str">
        <f>A32</f>
        <v>原田 樹生</v>
      </c>
      <c r="V1" s="36" t="str">
        <f>A33</f>
        <v>平野 鈴</v>
      </c>
      <c r="W1" s="36" t="str">
        <f>A34</f>
        <v>布施谷 碧衣</v>
      </c>
      <c r="X1" s="36" t="str">
        <f>A35</f>
        <v>吉澤 維月</v>
      </c>
      <c r="Y1" s="36" t="str">
        <f>A36</f>
        <v>若林 樹</v>
      </c>
      <c r="Z1" s="36">
        <f>A37</f>
        <v>0</v>
      </c>
      <c r="AA1" s="36">
        <f>A38</f>
        <v>0</v>
      </c>
      <c r="AB1" s="36">
        <f>A39</f>
        <v>0</v>
      </c>
      <c r="AC1" s="37"/>
    </row>
    <row r="2" spans="1:30" ht="22.5" customHeight="1">
      <c r="A2" s="156" t="s">
        <v>212</v>
      </c>
      <c r="B2" s="72" t="s">
        <v>112</v>
      </c>
      <c r="C2" s="38" t="s">
        <v>26</v>
      </c>
      <c r="D2" s="39" t="s">
        <v>46</v>
      </c>
      <c r="E2" s="39" t="s">
        <v>46</v>
      </c>
      <c r="F2" s="39" t="s">
        <v>49</v>
      </c>
      <c r="G2" s="39" t="s">
        <v>45</v>
      </c>
      <c r="H2" s="39" t="s">
        <v>45</v>
      </c>
      <c r="I2" s="39" t="s">
        <v>45</v>
      </c>
      <c r="J2" s="39" t="s">
        <v>45</v>
      </c>
      <c r="K2" s="39" t="s">
        <v>45</v>
      </c>
      <c r="L2" s="39" t="s">
        <v>45</v>
      </c>
      <c r="M2" s="39" t="s">
        <v>46</v>
      </c>
      <c r="N2" s="39" t="s">
        <v>46</v>
      </c>
      <c r="O2" s="39" t="s">
        <v>46</v>
      </c>
      <c r="P2" s="39" t="s">
        <v>45</v>
      </c>
      <c r="Q2" s="39" t="s">
        <v>46</v>
      </c>
      <c r="R2" s="39" t="s">
        <v>46</v>
      </c>
      <c r="S2" s="39" t="s">
        <v>46</v>
      </c>
      <c r="T2" s="39" t="s">
        <v>46</v>
      </c>
      <c r="U2" s="39" t="s">
        <v>46</v>
      </c>
      <c r="V2" s="39" t="s">
        <v>46</v>
      </c>
      <c r="W2" s="39" t="s">
        <v>46</v>
      </c>
      <c r="X2" s="39" t="s">
        <v>45</v>
      </c>
      <c r="Y2" s="39" t="s">
        <v>46</v>
      </c>
      <c r="Z2" s="39"/>
      <c r="AA2" s="39"/>
      <c r="AB2" s="39"/>
      <c r="AC2" s="40" t="s">
        <v>269</v>
      </c>
      <c r="AD2" s="40">
        <v>1</v>
      </c>
    </row>
    <row r="3" spans="1:30" ht="22.5" customHeight="1">
      <c r="A3" s="157"/>
      <c r="B3" s="72" t="s">
        <v>113</v>
      </c>
      <c r="C3" s="38" t="s">
        <v>26</v>
      </c>
      <c r="D3" s="39" t="s">
        <v>46</v>
      </c>
      <c r="E3" s="39" t="s">
        <v>46</v>
      </c>
      <c r="F3" s="39" t="s">
        <v>49</v>
      </c>
      <c r="G3" s="39" t="s">
        <v>45</v>
      </c>
      <c r="H3" s="39" t="s">
        <v>45</v>
      </c>
      <c r="I3" s="39" t="s">
        <v>45</v>
      </c>
      <c r="J3" s="39" t="s">
        <v>45</v>
      </c>
      <c r="K3" s="39" t="s">
        <v>46</v>
      </c>
      <c r="L3" s="39" t="s">
        <v>45</v>
      </c>
      <c r="M3" s="39" t="s">
        <v>46</v>
      </c>
      <c r="N3" s="39" t="s">
        <v>46</v>
      </c>
      <c r="O3" s="39" t="s">
        <v>45</v>
      </c>
      <c r="P3" s="39" t="s">
        <v>45</v>
      </c>
      <c r="Q3" s="39" t="s">
        <v>46</v>
      </c>
      <c r="R3" s="39" t="s">
        <v>46</v>
      </c>
      <c r="S3" s="39" t="s">
        <v>46</v>
      </c>
      <c r="T3" s="39" t="s">
        <v>46</v>
      </c>
      <c r="U3" s="39" t="s">
        <v>46</v>
      </c>
      <c r="V3" s="39" t="s">
        <v>46</v>
      </c>
      <c r="W3" s="39" t="s">
        <v>46</v>
      </c>
      <c r="X3" s="39" t="s">
        <v>45</v>
      </c>
      <c r="Y3" s="39" t="s">
        <v>46</v>
      </c>
      <c r="Z3" s="39"/>
      <c r="AA3" s="39"/>
      <c r="AB3" s="39"/>
      <c r="AC3" s="40" t="s">
        <v>270</v>
      </c>
      <c r="AD3" s="40">
        <v>2</v>
      </c>
    </row>
    <row r="4" spans="1:30" ht="22.5" customHeight="1">
      <c r="A4" s="157"/>
      <c r="B4" s="72" t="s">
        <v>114</v>
      </c>
      <c r="C4" s="38" t="s">
        <v>26</v>
      </c>
      <c r="D4" s="39" t="s">
        <v>46</v>
      </c>
      <c r="E4" s="39" t="s">
        <v>46</v>
      </c>
      <c r="F4" s="39" t="s">
        <v>49</v>
      </c>
      <c r="G4" s="39" t="s">
        <v>45</v>
      </c>
      <c r="H4" s="39" t="s">
        <v>45</v>
      </c>
      <c r="I4" s="39" t="s">
        <v>45</v>
      </c>
      <c r="J4" s="39" t="s">
        <v>46</v>
      </c>
      <c r="K4" s="39" t="s">
        <v>46</v>
      </c>
      <c r="L4" s="39" t="s">
        <v>45</v>
      </c>
      <c r="M4" s="39" t="s">
        <v>45</v>
      </c>
      <c r="N4" s="39" t="s">
        <v>46</v>
      </c>
      <c r="O4" s="39" t="s">
        <v>46</v>
      </c>
      <c r="P4" s="39" t="s">
        <v>45</v>
      </c>
      <c r="Q4" s="39" t="s">
        <v>46</v>
      </c>
      <c r="R4" s="39" t="s">
        <v>46</v>
      </c>
      <c r="S4" s="39" t="s">
        <v>46</v>
      </c>
      <c r="T4" s="39" t="s">
        <v>46</v>
      </c>
      <c r="U4" s="39" t="s">
        <v>46</v>
      </c>
      <c r="V4" s="39" t="s">
        <v>46</v>
      </c>
      <c r="W4" s="39" t="s">
        <v>46</v>
      </c>
      <c r="X4" s="39" t="s">
        <v>46</v>
      </c>
      <c r="Y4" s="39" t="s">
        <v>46</v>
      </c>
      <c r="Z4" s="39"/>
      <c r="AA4" s="39"/>
      <c r="AB4" s="39"/>
      <c r="AC4" s="40" t="s">
        <v>271</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221</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232</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t="s">
        <v>115</v>
      </c>
      <c r="E12" s="39" t="s">
        <v>115</v>
      </c>
      <c r="F12" s="39" t="s">
        <v>116</v>
      </c>
      <c r="G12" s="39" t="s">
        <v>117</v>
      </c>
      <c r="H12" s="39" t="s">
        <v>117</v>
      </c>
      <c r="I12" s="39" t="s">
        <v>117</v>
      </c>
      <c r="J12" s="39" t="s">
        <v>117</v>
      </c>
      <c r="K12" s="39" t="s">
        <v>118</v>
      </c>
      <c r="L12" s="39" t="s">
        <v>117</v>
      </c>
      <c r="M12" s="39" t="s">
        <v>118</v>
      </c>
      <c r="N12" s="39" t="s">
        <v>115</v>
      </c>
      <c r="O12" s="39" t="s">
        <v>118</v>
      </c>
      <c r="P12" s="39" t="s">
        <v>117</v>
      </c>
      <c r="Q12" s="39" t="s">
        <v>115</v>
      </c>
      <c r="R12" s="39" t="s">
        <v>115</v>
      </c>
      <c r="S12" s="39" t="s">
        <v>115</v>
      </c>
      <c r="T12" s="39" t="s">
        <v>115</v>
      </c>
      <c r="U12" s="39" t="s">
        <v>115</v>
      </c>
      <c r="V12" s="39" t="s">
        <v>115</v>
      </c>
      <c r="W12" s="39" t="s">
        <v>115</v>
      </c>
      <c r="X12" s="39" t="s">
        <v>117</v>
      </c>
      <c r="Y12" s="39" t="s">
        <v>115</v>
      </c>
      <c r="Z12" s="39"/>
      <c r="AA12" s="39"/>
      <c r="AB12" s="39"/>
    </row>
    <row r="13" spans="1:30" ht="26.25" customHeight="1">
      <c r="A13" s="44"/>
      <c r="B13" s="44"/>
      <c r="C13" s="75"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68</v>
      </c>
      <c r="B15" s="153" t="str">
        <f>[1]Sheet1!B2</f>
        <v>授業ではよく発言し、積極的です。提出率もよく、知識も豊富です。</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69</v>
      </c>
      <c r="B16" s="153" t="str">
        <f>[1]Sheet1!B3</f>
        <v>授業では、発言は少なく静かですが、非常にまじめに取り組んでいます。</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70</v>
      </c>
      <c r="B17" s="153" t="s">
        <v>217</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71</v>
      </c>
      <c r="B18" s="153" t="str">
        <f>[1]Sheet1!B5</f>
        <v>授業でのノートがなかなか取れません。提出率も非常に低いです。丁寧に取り組んで欲しいです。</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72</v>
      </c>
      <c r="B19" s="153" t="str">
        <f>[1]Sheet1!B6</f>
        <v>授業でのノートがなかなか取れません。提出率も非常に低いです。丁寧に取り組んで欲しいです。</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73</v>
      </c>
      <c r="B20" s="153" t="str">
        <f>[1]Sheet1!B7</f>
        <v>授業では、わかることは挙手も積極的です。提出物を頑張りたいです。</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74</v>
      </c>
      <c r="B21" s="153" t="str">
        <f>[1]Sheet1!B8</f>
        <v>授業ではよく発言し、積極的です。提出率は高いですが、単語練習などの練習量が少ないので、さらに取り組んで知識を増やしていきたいです。</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75</v>
      </c>
      <c r="B22" s="153" t="str">
        <f>[1]Sheet1!B9</f>
        <v>積極的な生徒です。提出物の再提出や、やり直しなどが面倒なようで、提出率がさがったり、知識が定着しなかったりしています。</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t="str">
        <f>[1]Sheet1!B10</f>
        <v>提出プリントなど、だいぶ前のものを忘れたころに提出することがよくあります。出せることは素晴らしいです。整理して期限に出せるようにしていきたいです。</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77</v>
      </c>
      <c r="B24" s="153" t="str">
        <f>[1]Sheet1!B11</f>
        <v>regularの授業では、ノートを取ることが難しいようです。Writingでは、積極的に質問してくれました。</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78</v>
      </c>
      <c r="B25" s="153" t="str">
        <f>[1]Sheet1!B12</f>
        <v>授業では、発言は少なく静かですが、まじめに取り組んでいます。提出物も頑張れています。</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79</v>
      </c>
      <c r="B26" s="153" t="str">
        <f>[1]Sheet1!B13</f>
        <v>授業中に疑問があればすぐに尋ね、積極的です。提出率も高いです。</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80</v>
      </c>
      <c r="B27" s="153" t="str">
        <f>[1]Sheet1!B14</f>
        <v>授業では、発言は少なく静かですが、まじめに取り組んでいます。提出率も高いです。知識の定着に力を入れたいです。</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81</v>
      </c>
      <c r="B28" s="153" t="str">
        <f>[1]Sheet1!B15</f>
        <v>提出率100%です。わかれば授業でも挙手し、積極性も見られ、真剣に取り組んでいます。</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82</v>
      </c>
      <c r="B29" s="153" t="str">
        <f>[1]Sheet1!B16</f>
        <v>授業では、発言は少なく静かですが、非常にまじめに取り組んでいます。</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83</v>
      </c>
      <c r="B30" s="153" t="str">
        <f>[1]Sheet1!B17</f>
        <v>授業では、発言は少なく静かですが、非常にまじめに取り組んでいます。</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84</v>
      </c>
      <c r="B31" s="153" t="str">
        <f>[1]Sheet1!B18</f>
        <v>授業では、発言は少なく静かですが、非常にまじめに取り組んでいます。</v>
      </c>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85</v>
      </c>
      <c r="B32" s="153" t="str">
        <f>[1]Sheet1!B19</f>
        <v>授業ではたいてい、１番に挙手をしているように思えます。授業外でも会うと英語であいさつをしてくれます。素直で知識欲もあります。</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t="s">
        <v>86</v>
      </c>
      <c r="B33" s="153" t="str">
        <f>[1]Sheet1!B20</f>
        <v>授業では、わかることは挙手して積極的に参加しています。英語係の仕事も責任をもってやってくれています。</v>
      </c>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t="s">
        <v>87</v>
      </c>
      <c r="B34" s="153" t="str">
        <f>[1]Sheet1!B21</f>
        <v>授業はまじめに聞いて積極的に参加しています。提出率も高く、知識も豊富です。</v>
      </c>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t="s">
        <v>88</v>
      </c>
      <c r="B35" s="153" t="str">
        <f>[1]Sheet1!B22</f>
        <v>授業では積極的に発言してくれます。提出物の答え合わせが適当で、毎回間違っているのに〇になっていることが気になります。</v>
      </c>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t="s">
        <v>89</v>
      </c>
      <c r="B36" s="153" t="str">
        <f>[1]Sheet1!B23</f>
        <v>提出率100％です。意欲もあり、積極的に頑張っています。</v>
      </c>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0:AB30"/>
    <mergeCell ref="B31:AB31"/>
    <mergeCell ref="B32:AB32"/>
    <mergeCell ref="B33:AB33"/>
    <mergeCell ref="B34:AB34"/>
    <mergeCell ref="B35:AB35"/>
    <mergeCell ref="B36:AB36"/>
    <mergeCell ref="B37:AB37"/>
    <mergeCell ref="B25:AB25"/>
    <mergeCell ref="B26:AB26"/>
    <mergeCell ref="B27:AB27"/>
    <mergeCell ref="B28:AB28"/>
    <mergeCell ref="B29:AB29"/>
    <mergeCell ref="A2:A12"/>
    <mergeCell ref="B14:AB14"/>
    <mergeCell ref="B15:AB15"/>
    <mergeCell ref="B16:AB16"/>
    <mergeCell ref="B17:AB17"/>
    <mergeCell ref="B23:AB23"/>
    <mergeCell ref="B24:AB24"/>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５－２</v>
      </c>
      <c r="B1" s="34" t="str">
        <f ca="1">RIGHT(CELL("filename",B1),LEN(CELL("filename",B1))-FIND("]",CELL("filename",B1)))</f>
        <v>音楽</v>
      </c>
      <c r="C1" s="35" t="s">
        <v>25</v>
      </c>
      <c r="D1" s="36" t="str">
        <f>A15</f>
        <v>伊藤 せな</v>
      </c>
      <c r="E1" s="36" t="str">
        <f>A16</f>
        <v>今井 帆夏</v>
      </c>
      <c r="F1" s="36" t="str">
        <f>A17</f>
        <v>上原 一十</v>
      </c>
      <c r="G1" s="36" t="str">
        <f>A18</f>
        <v>上原 誠太</v>
      </c>
      <c r="H1" s="36" t="str">
        <f>A19</f>
        <v>太田 奏佑</v>
      </c>
      <c r="I1" s="36" t="str">
        <f>A20</f>
        <v>小口 恵人</v>
      </c>
      <c r="J1" s="36" t="str">
        <f>A21</f>
        <v>海瀬 晴仁</v>
      </c>
      <c r="K1" s="36" t="str">
        <f>A22</f>
        <v>金子 愛奈</v>
      </c>
      <c r="L1" s="36" t="str">
        <f>A23</f>
        <v>上條 結衣</v>
      </c>
      <c r="M1" s="36" t="str">
        <f>A24</f>
        <v>鴨居 鈴佳</v>
      </c>
      <c r="N1" s="36" t="str">
        <f>A25</f>
        <v>久保田 陽佳</v>
      </c>
      <c r="O1" s="36" t="str">
        <f>A26</f>
        <v>小松 賢史</v>
      </c>
      <c r="P1" s="36" t="str">
        <f>A27</f>
        <v>塩原 七都</v>
      </c>
      <c r="Q1" s="36" t="str">
        <f>A28</f>
        <v>新保 菜々香</v>
      </c>
      <c r="R1" s="36" t="str">
        <f>A29</f>
        <v>田中 百</v>
      </c>
      <c r="S1" s="36" t="str">
        <f>A30</f>
        <v>中村 妃花</v>
      </c>
      <c r="T1" s="36" t="str">
        <f>A31</f>
        <v>林 樹李</v>
      </c>
      <c r="U1" s="36" t="str">
        <f>A32</f>
        <v>原田 樹生</v>
      </c>
      <c r="V1" s="36" t="str">
        <f>A33</f>
        <v>平野 鈴</v>
      </c>
      <c r="W1" s="36" t="str">
        <f>A34</f>
        <v>布施谷 碧衣</v>
      </c>
      <c r="X1" s="36" t="str">
        <f>A35</f>
        <v>吉澤 維月</v>
      </c>
      <c r="Y1" s="36" t="str">
        <f>A36</f>
        <v>若林 樹</v>
      </c>
      <c r="Z1" s="36">
        <f>A37</f>
        <v>0</v>
      </c>
      <c r="AA1" s="36">
        <f>A38</f>
        <v>0</v>
      </c>
      <c r="AB1" s="36">
        <f>A39</f>
        <v>0</v>
      </c>
      <c r="AC1" s="37"/>
    </row>
    <row r="2" spans="1:30" ht="22.5" customHeight="1">
      <c r="A2" s="156" t="s">
        <v>272</v>
      </c>
      <c r="B2" s="72" t="s">
        <v>119</v>
      </c>
      <c r="C2" s="38" t="s">
        <v>26</v>
      </c>
      <c r="D2" s="39" t="s">
        <v>46</v>
      </c>
      <c r="E2" s="39" t="s">
        <v>46</v>
      </c>
      <c r="F2" s="39" t="s">
        <v>49</v>
      </c>
      <c r="G2" s="39" t="s">
        <v>46</v>
      </c>
      <c r="H2" s="39" t="s">
        <v>46</v>
      </c>
      <c r="I2" s="39" t="s">
        <v>46</v>
      </c>
      <c r="J2" s="39" t="s">
        <v>46</v>
      </c>
      <c r="K2" s="39" t="s">
        <v>46</v>
      </c>
      <c r="L2" s="39" t="s">
        <v>45</v>
      </c>
      <c r="M2" s="39" t="s">
        <v>46</v>
      </c>
      <c r="N2" s="39" t="s">
        <v>46</v>
      </c>
      <c r="O2" s="39" t="s">
        <v>46</v>
      </c>
      <c r="P2" s="39" t="s">
        <v>46</v>
      </c>
      <c r="Q2" s="39" t="s">
        <v>46</v>
      </c>
      <c r="R2" s="39" t="s">
        <v>46</v>
      </c>
      <c r="S2" s="39" t="s">
        <v>46</v>
      </c>
      <c r="T2" s="39" t="s">
        <v>46</v>
      </c>
      <c r="U2" s="39" t="s">
        <v>46</v>
      </c>
      <c r="V2" s="39" t="s">
        <v>46</v>
      </c>
      <c r="W2" s="39" t="s">
        <v>46</v>
      </c>
      <c r="X2" s="39" t="s">
        <v>46</v>
      </c>
      <c r="Y2" s="39" t="s">
        <v>46</v>
      </c>
      <c r="Z2" s="39"/>
      <c r="AA2" s="39"/>
      <c r="AB2" s="39"/>
      <c r="AC2" s="40" t="s">
        <v>273</v>
      </c>
      <c r="AD2" s="40">
        <v>1</v>
      </c>
    </row>
    <row r="3" spans="1:30" ht="22.5" customHeight="1">
      <c r="A3" s="157"/>
      <c r="B3" s="72" t="s">
        <v>120</v>
      </c>
      <c r="C3" s="38" t="s">
        <v>26</v>
      </c>
      <c r="D3" s="39" t="s">
        <v>46</v>
      </c>
      <c r="E3" s="39" t="s">
        <v>46</v>
      </c>
      <c r="F3" s="39" t="s">
        <v>49</v>
      </c>
      <c r="G3" s="39" t="s">
        <v>45</v>
      </c>
      <c r="H3" s="39" t="s">
        <v>45</v>
      </c>
      <c r="I3" s="39" t="s">
        <v>46</v>
      </c>
      <c r="J3" s="39" t="s">
        <v>46</v>
      </c>
      <c r="K3" s="39" t="s">
        <v>46</v>
      </c>
      <c r="L3" s="39" t="s">
        <v>46</v>
      </c>
      <c r="M3" s="39" t="s">
        <v>45</v>
      </c>
      <c r="N3" s="39" t="s">
        <v>46</v>
      </c>
      <c r="O3" s="39" t="s">
        <v>45</v>
      </c>
      <c r="P3" s="39" t="s">
        <v>45</v>
      </c>
      <c r="Q3" s="39" t="s">
        <v>46</v>
      </c>
      <c r="R3" s="39" t="s">
        <v>46</v>
      </c>
      <c r="S3" s="39" t="s">
        <v>46</v>
      </c>
      <c r="T3" s="39" t="s">
        <v>46</v>
      </c>
      <c r="U3" s="39" t="s">
        <v>46</v>
      </c>
      <c r="V3" s="39" t="s">
        <v>46</v>
      </c>
      <c r="W3" s="39" t="s">
        <v>46</v>
      </c>
      <c r="X3" s="39" t="s">
        <v>46</v>
      </c>
      <c r="Y3" s="39" t="s">
        <v>46</v>
      </c>
      <c r="Z3" s="39"/>
      <c r="AA3" s="39"/>
      <c r="AB3" s="39"/>
      <c r="AC3" s="40" t="s">
        <v>274</v>
      </c>
      <c r="AD3" s="40">
        <v>2</v>
      </c>
    </row>
    <row r="4" spans="1:30" ht="22.5" customHeight="1">
      <c r="A4" s="157"/>
      <c r="B4" s="72" t="s">
        <v>121</v>
      </c>
      <c r="C4" s="38" t="s">
        <v>26</v>
      </c>
      <c r="D4" s="39" t="s">
        <v>46</v>
      </c>
      <c r="E4" s="39" t="s">
        <v>46</v>
      </c>
      <c r="F4" s="39" t="s">
        <v>45</v>
      </c>
      <c r="G4" s="39" t="s">
        <v>46</v>
      </c>
      <c r="H4" s="39" t="s">
        <v>45</v>
      </c>
      <c r="I4" s="39" t="s">
        <v>45</v>
      </c>
      <c r="J4" s="39" t="s">
        <v>45</v>
      </c>
      <c r="K4" s="39" t="s">
        <v>46</v>
      </c>
      <c r="L4" s="39" t="s">
        <v>46</v>
      </c>
      <c r="M4" s="39" t="s">
        <v>46</v>
      </c>
      <c r="N4" s="39" t="s">
        <v>46</v>
      </c>
      <c r="O4" s="39" t="s">
        <v>45</v>
      </c>
      <c r="P4" s="39" t="s">
        <v>46</v>
      </c>
      <c r="Q4" s="39" t="s">
        <v>46</v>
      </c>
      <c r="R4" s="39" t="s">
        <v>46</v>
      </c>
      <c r="S4" s="39" t="s">
        <v>46</v>
      </c>
      <c r="T4" s="39" t="s">
        <v>46</v>
      </c>
      <c r="U4" s="39" t="s">
        <v>46</v>
      </c>
      <c r="V4" s="39" t="s">
        <v>46</v>
      </c>
      <c r="W4" s="39" t="s">
        <v>46</v>
      </c>
      <c r="X4" s="39" t="s">
        <v>46</v>
      </c>
      <c r="Y4" s="39" t="s">
        <v>46</v>
      </c>
      <c r="Z4" s="39"/>
      <c r="AA4" s="39"/>
      <c r="AB4" s="39"/>
      <c r="AC4" s="40" t="s">
        <v>218</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221</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221</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5</v>
      </c>
      <c r="F12" s="39">
        <v>2</v>
      </c>
      <c r="G12" s="39">
        <v>4</v>
      </c>
      <c r="H12" s="39">
        <v>3</v>
      </c>
      <c r="I12" s="39">
        <v>4</v>
      </c>
      <c r="J12" s="39">
        <v>4</v>
      </c>
      <c r="K12" s="39">
        <v>5</v>
      </c>
      <c r="L12" s="39">
        <v>4</v>
      </c>
      <c r="M12" s="39">
        <v>4</v>
      </c>
      <c r="N12" s="39">
        <v>5</v>
      </c>
      <c r="O12" s="39">
        <v>3</v>
      </c>
      <c r="P12" s="39">
        <v>4</v>
      </c>
      <c r="Q12" s="39">
        <v>5</v>
      </c>
      <c r="R12" s="39">
        <v>5</v>
      </c>
      <c r="S12" s="39">
        <v>5</v>
      </c>
      <c r="T12" s="39">
        <v>5</v>
      </c>
      <c r="U12" s="39">
        <v>5</v>
      </c>
      <c r="V12" s="39">
        <v>5</v>
      </c>
      <c r="W12" s="39">
        <v>5</v>
      </c>
      <c r="X12" s="39">
        <v>5</v>
      </c>
      <c r="Y12" s="39">
        <v>5</v>
      </c>
      <c r="Z12" s="39"/>
      <c r="AA12" s="39"/>
      <c r="AB12" s="39"/>
    </row>
    <row r="13" spans="1:30" ht="26.25" customHeight="1">
      <c r="A13" s="44"/>
      <c r="B13" s="44"/>
      <c r="C13" s="75"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68</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69</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70</v>
      </c>
      <c r="B17" s="153" t="s">
        <v>122</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71</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72</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73</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74</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75</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77</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78</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79</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80</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81</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82</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83</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84</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85</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t="s">
        <v>86</v>
      </c>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t="s">
        <v>87</v>
      </c>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t="s">
        <v>88</v>
      </c>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t="s">
        <v>89</v>
      </c>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0:AB30"/>
    <mergeCell ref="B31:AB31"/>
    <mergeCell ref="B32:AB32"/>
    <mergeCell ref="B33:AB33"/>
    <mergeCell ref="B34:AB34"/>
    <mergeCell ref="B35:AB35"/>
    <mergeCell ref="B36:AB36"/>
    <mergeCell ref="B37:AB37"/>
    <mergeCell ref="B25:AB25"/>
    <mergeCell ref="B26:AB26"/>
    <mergeCell ref="B27:AB27"/>
    <mergeCell ref="B28:AB28"/>
    <mergeCell ref="B29:AB29"/>
    <mergeCell ref="A2:A12"/>
    <mergeCell ref="B14:AB14"/>
    <mergeCell ref="B15:AB15"/>
    <mergeCell ref="B16:AB16"/>
    <mergeCell ref="B17:AB17"/>
    <mergeCell ref="B23:AB23"/>
    <mergeCell ref="B24:AB24"/>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５－２</v>
      </c>
      <c r="B1" s="34" t="str">
        <f ca="1">RIGHT(CELL("filename",B1),LEN(CELL("filename",B1))-FIND("]",CELL("filename",B1)))</f>
        <v>図工</v>
      </c>
      <c r="C1" s="35" t="s">
        <v>25</v>
      </c>
      <c r="D1" s="36" t="str">
        <f>A15</f>
        <v>伊藤 せな</v>
      </c>
      <c r="E1" s="36" t="str">
        <f>A16</f>
        <v>今井 帆夏</v>
      </c>
      <c r="F1" s="36" t="str">
        <f>A17</f>
        <v>上原 一十</v>
      </c>
      <c r="G1" s="36" t="str">
        <f>A18</f>
        <v>上原 誠太</v>
      </c>
      <c r="H1" s="36" t="str">
        <f>A19</f>
        <v>太田 奏佑</v>
      </c>
      <c r="I1" s="36" t="str">
        <f>A20</f>
        <v>小口 恵人</v>
      </c>
      <c r="J1" s="36" t="str">
        <f>A21</f>
        <v>海瀬 晴仁</v>
      </c>
      <c r="K1" s="36" t="str">
        <f>A22</f>
        <v>金子 愛奈</v>
      </c>
      <c r="L1" s="36" t="str">
        <f>A23</f>
        <v>上條 結衣</v>
      </c>
      <c r="M1" s="36" t="str">
        <f>A24</f>
        <v>鴨居 鈴佳</v>
      </c>
      <c r="N1" s="36" t="str">
        <f>A25</f>
        <v>久保田 陽佳</v>
      </c>
      <c r="O1" s="36" t="str">
        <f>A26</f>
        <v>小松 賢史</v>
      </c>
      <c r="P1" s="36" t="str">
        <f>A27</f>
        <v>塩原 七都</v>
      </c>
      <c r="Q1" s="36" t="str">
        <f>A28</f>
        <v>新保 菜々香</v>
      </c>
      <c r="R1" s="36" t="str">
        <f>A29</f>
        <v>田中 百</v>
      </c>
      <c r="S1" s="36" t="str">
        <f>A30</f>
        <v>中村 妃花</v>
      </c>
      <c r="T1" s="36" t="str">
        <f>A31</f>
        <v>林 樹李</v>
      </c>
      <c r="U1" s="36" t="str">
        <f>A32</f>
        <v>原田 樹生</v>
      </c>
      <c r="V1" s="36" t="str">
        <f>A33</f>
        <v>平野 鈴</v>
      </c>
      <c r="W1" s="36" t="str">
        <f>A34</f>
        <v>布施谷 碧衣</v>
      </c>
      <c r="X1" s="36" t="str">
        <f>A35</f>
        <v>吉澤 維月</v>
      </c>
      <c r="Y1" s="36" t="str">
        <f>A36</f>
        <v>若林 樹</v>
      </c>
      <c r="Z1" s="36">
        <f>A37</f>
        <v>0</v>
      </c>
      <c r="AA1" s="36">
        <f>A38</f>
        <v>0</v>
      </c>
      <c r="AB1" s="36">
        <f>A39</f>
        <v>0</v>
      </c>
      <c r="AC1" s="37"/>
    </row>
    <row r="2" spans="1:30" ht="22.5" customHeight="1">
      <c r="A2" s="156" t="s">
        <v>212</v>
      </c>
      <c r="B2" s="72" t="s">
        <v>275</v>
      </c>
      <c r="C2" s="38" t="s">
        <v>26</v>
      </c>
      <c r="D2" s="39" t="s">
        <v>276</v>
      </c>
      <c r="E2" s="39" t="s">
        <v>277</v>
      </c>
      <c r="F2" s="39" t="s">
        <v>229</v>
      </c>
      <c r="G2" s="39" t="s">
        <v>233</v>
      </c>
      <c r="H2" s="39" t="s">
        <v>66</v>
      </c>
      <c r="I2" s="39" t="s">
        <v>220</v>
      </c>
      <c r="J2" s="39" t="s">
        <v>66</v>
      </c>
      <c r="K2" s="39" t="s">
        <v>234</v>
      </c>
      <c r="L2" s="39" t="s">
        <v>219</v>
      </c>
      <c r="M2" s="39" t="s">
        <v>66</v>
      </c>
      <c r="N2" s="39" t="s">
        <v>219</v>
      </c>
      <c r="O2" s="39" t="s">
        <v>219</v>
      </c>
      <c r="P2" s="39" t="s">
        <v>219</v>
      </c>
      <c r="Q2" s="39" t="s">
        <v>234</v>
      </c>
      <c r="R2" s="39" t="s">
        <v>219</v>
      </c>
      <c r="S2" s="39" t="s">
        <v>66</v>
      </c>
      <c r="T2" s="39" t="s">
        <v>66</v>
      </c>
      <c r="U2" s="39" t="s">
        <v>219</v>
      </c>
      <c r="V2" s="39" t="s">
        <v>219</v>
      </c>
      <c r="W2" s="39" t="s">
        <v>277</v>
      </c>
      <c r="X2" s="39" t="s">
        <v>219</v>
      </c>
      <c r="Y2" s="39" t="s">
        <v>219</v>
      </c>
      <c r="Z2" s="39"/>
      <c r="AA2" s="39"/>
      <c r="AB2" s="39"/>
      <c r="AC2" s="40" t="s">
        <v>220</v>
      </c>
      <c r="AD2" s="40">
        <v>1</v>
      </c>
    </row>
    <row r="3" spans="1:30" ht="22.5" customHeight="1">
      <c r="A3" s="157"/>
      <c r="B3" s="72" t="s">
        <v>278</v>
      </c>
      <c r="C3" s="38" t="s">
        <v>26</v>
      </c>
      <c r="D3" s="39" t="s">
        <v>213</v>
      </c>
      <c r="E3" s="39" t="s">
        <v>220</v>
      </c>
      <c r="F3" s="39" t="s">
        <v>220</v>
      </c>
      <c r="G3" s="39" t="s">
        <v>233</v>
      </c>
      <c r="H3" s="39" t="s">
        <v>234</v>
      </c>
      <c r="I3" s="39" t="s">
        <v>220</v>
      </c>
      <c r="J3" s="39" t="s">
        <v>220</v>
      </c>
      <c r="K3" s="39" t="s">
        <v>220</v>
      </c>
      <c r="L3" s="39" t="s">
        <v>229</v>
      </c>
      <c r="M3" s="39" t="s">
        <v>277</v>
      </c>
      <c r="N3" s="39" t="s">
        <v>220</v>
      </c>
      <c r="O3" s="39" t="s">
        <v>219</v>
      </c>
      <c r="P3" s="39" t="s">
        <v>219</v>
      </c>
      <c r="Q3" s="39" t="s">
        <v>220</v>
      </c>
      <c r="R3" s="39" t="s">
        <v>220</v>
      </c>
      <c r="S3" s="39" t="s">
        <v>220</v>
      </c>
      <c r="T3" s="39" t="s">
        <v>220</v>
      </c>
      <c r="U3" s="39" t="s">
        <v>220</v>
      </c>
      <c r="V3" s="39" t="s">
        <v>220</v>
      </c>
      <c r="W3" s="39" t="s">
        <v>220</v>
      </c>
      <c r="X3" s="39" t="s">
        <v>220</v>
      </c>
      <c r="Y3" s="39" t="s">
        <v>279</v>
      </c>
      <c r="Z3" s="39"/>
      <c r="AA3" s="39"/>
      <c r="AB3" s="39"/>
      <c r="AC3" s="40" t="s">
        <v>219</v>
      </c>
      <c r="AD3" s="40">
        <v>2</v>
      </c>
    </row>
    <row r="4" spans="1:30" ht="22.5" customHeight="1">
      <c r="A4" s="157"/>
      <c r="B4" s="72" t="s">
        <v>123</v>
      </c>
      <c r="C4" s="38" t="s">
        <v>26</v>
      </c>
      <c r="D4" s="39" t="s">
        <v>277</v>
      </c>
      <c r="E4" s="39" t="s">
        <v>220</v>
      </c>
      <c r="F4" s="39" t="s">
        <v>190</v>
      </c>
      <c r="G4" s="39" t="s">
        <v>219</v>
      </c>
      <c r="H4" s="39" t="s">
        <v>219</v>
      </c>
      <c r="I4" s="39" t="s">
        <v>280</v>
      </c>
      <c r="J4" s="39" t="s">
        <v>213</v>
      </c>
      <c r="K4" s="39" t="s">
        <v>219</v>
      </c>
      <c r="L4" s="39" t="s">
        <v>220</v>
      </c>
      <c r="M4" s="39" t="s">
        <v>220</v>
      </c>
      <c r="N4" s="39" t="s">
        <v>281</v>
      </c>
      <c r="O4" s="39" t="s">
        <v>66</v>
      </c>
      <c r="P4" s="39" t="s">
        <v>220</v>
      </c>
      <c r="Q4" s="39" t="s">
        <v>213</v>
      </c>
      <c r="R4" s="39" t="s">
        <v>220</v>
      </c>
      <c r="S4" s="39" t="s">
        <v>220</v>
      </c>
      <c r="T4" s="39" t="s">
        <v>220</v>
      </c>
      <c r="U4" s="39" t="s">
        <v>219</v>
      </c>
      <c r="V4" s="39" t="s">
        <v>219</v>
      </c>
      <c r="W4" s="39" t="s">
        <v>219</v>
      </c>
      <c r="X4" s="39" t="s">
        <v>220</v>
      </c>
      <c r="Y4" s="39" t="s">
        <v>229</v>
      </c>
      <c r="Z4" s="39"/>
      <c r="AA4" s="39"/>
      <c r="AB4" s="39"/>
      <c r="AC4" s="40" t="s">
        <v>218</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221</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221</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4</v>
      </c>
      <c r="E12" s="39">
        <v>5</v>
      </c>
      <c r="F12" s="39">
        <v>3</v>
      </c>
      <c r="G12" s="39">
        <v>4</v>
      </c>
      <c r="H12" s="39">
        <v>3</v>
      </c>
      <c r="I12" s="39">
        <v>4</v>
      </c>
      <c r="J12" s="39">
        <v>4</v>
      </c>
      <c r="K12" s="39">
        <v>4</v>
      </c>
      <c r="L12" s="39">
        <v>3</v>
      </c>
      <c r="M12" s="39">
        <v>4</v>
      </c>
      <c r="N12" s="39">
        <v>4</v>
      </c>
      <c r="O12" s="39">
        <v>3</v>
      </c>
      <c r="P12" s="39">
        <v>3</v>
      </c>
      <c r="Q12" s="39">
        <v>4</v>
      </c>
      <c r="R12" s="39">
        <v>4</v>
      </c>
      <c r="S12" s="39">
        <v>4</v>
      </c>
      <c r="T12" s="39">
        <v>4</v>
      </c>
      <c r="U12" s="39">
        <v>3</v>
      </c>
      <c r="V12" s="39">
        <v>3</v>
      </c>
      <c r="W12" s="39">
        <v>4</v>
      </c>
      <c r="X12" s="39">
        <v>4</v>
      </c>
      <c r="Y12" s="39">
        <v>4</v>
      </c>
      <c r="Z12" s="39"/>
      <c r="AA12" s="39"/>
      <c r="AB12" s="39"/>
    </row>
    <row r="13" spans="1:30" ht="26.25" customHeight="1">
      <c r="A13" s="44"/>
      <c r="B13" s="44"/>
      <c r="C13" s="75"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68</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69</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70</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71</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72</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73</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74</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75</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77</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78</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79</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80</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81</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82</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83</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84</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85</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t="s">
        <v>86</v>
      </c>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t="s">
        <v>87</v>
      </c>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t="s">
        <v>88</v>
      </c>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t="s">
        <v>89</v>
      </c>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0:AB30"/>
    <mergeCell ref="B31:AB31"/>
    <mergeCell ref="B32:AB32"/>
    <mergeCell ref="B33:AB33"/>
    <mergeCell ref="B34:AB34"/>
    <mergeCell ref="B35:AB35"/>
    <mergeCell ref="B36:AB36"/>
    <mergeCell ref="B37:AB37"/>
    <mergeCell ref="B25:AB25"/>
    <mergeCell ref="B26:AB26"/>
    <mergeCell ref="B27:AB27"/>
    <mergeCell ref="B28:AB28"/>
    <mergeCell ref="B29:AB29"/>
    <mergeCell ref="A2:A12"/>
    <mergeCell ref="B14:AB14"/>
    <mergeCell ref="B15:AB15"/>
    <mergeCell ref="B16:AB16"/>
    <mergeCell ref="B17:AB17"/>
    <mergeCell ref="B23:AB23"/>
    <mergeCell ref="B24:AB24"/>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５－２</v>
      </c>
      <c r="B1" s="34" t="str">
        <f ca="1">RIGHT(CELL("filename",B1),LEN(CELL("filename",B1))-FIND("]",CELL("filename",B1)))</f>
        <v>体育</v>
      </c>
      <c r="C1" s="35" t="s">
        <v>25</v>
      </c>
      <c r="D1" s="36" t="str">
        <f>A15</f>
        <v>伊藤 せな</v>
      </c>
      <c r="E1" s="36" t="str">
        <f>A16</f>
        <v>今井 帆夏</v>
      </c>
      <c r="F1" s="36" t="str">
        <f>A17</f>
        <v>上原 一十</v>
      </c>
      <c r="G1" s="36" t="str">
        <f>A18</f>
        <v>上原 誠太</v>
      </c>
      <c r="H1" s="36" t="str">
        <f>A19</f>
        <v>太田 奏佑</v>
      </c>
      <c r="I1" s="36" t="str">
        <f>A20</f>
        <v>小口 恵人</v>
      </c>
      <c r="J1" s="36" t="str">
        <f>A21</f>
        <v>海瀬 晴仁</v>
      </c>
      <c r="K1" s="36" t="str">
        <f>A22</f>
        <v>金子 愛奈</v>
      </c>
      <c r="L1" s="36" t="str">
        <f>A23</f>
        <v>上條 結衣</v>
      </c>
      <c r="M1" s="36" t="str">
        <f>A24</f>
        <v>鴨居 鈴佳</v>
      </c>
      <c r="N1" s="36" t="str">
        <f>A25</f>
        <v>久保田 陽佳</v>
      </c>
      <c r="O1" s="36" t="str">
        <f>A26</f>
        <v>小松 賢史</v>
      </c>
      <c r="P1" s="36" t="str">
        <f>A27</f>
        <v>塩原 七都</v>
      </c>
      <c r="Q1" s="36" t="str">
        <f>A28</f>
        <v>新保 菜々香</v>
      </c>
      <c r="R1" s="36" t="str">
        <f>A29</f>
        <v>田中 百</v>
      </c>
      <c r="S1" s="36" t="str">
        <f>A30</f>
        <v>中村 妃花</v>
      </c>
      <c r="T1" s="36" t="str">
        <f>A31</f>
        <v>林 樹李</v>
      </c>
      <c r="U1" s="36" t="str">
        <f>A32</f>
        <v>原田 樹生</v>
      </c>
      <c r="V1" s="36" t="str">
        <f>A33</f>
        <v>平野 鈴</v>
      </c>
      <c r="W1" s="36" t="str">
        <f>A34</f>
        <v>布施谷 碧衣</v>
      </c>
      <c r="X1" s="36" t="str">
        <f>A35</f>
        <v>吉澤 維月</v>
      </c>
      <c r="Y1" s="36" t="str">
        <f>A36</f>
        <v>若林 樹</v>
      </c>
      <c r="Z1" s="36">
        <f>A37</f>
        <v>0</v>
      </c>
      <c r="AA1" s="36">
        <f>A38</f>
        <v>0</v>
      </c>
      <c r="AB1" s="36">
        <f>A39</f>
        <v>0</v>
      </c>
      <c r="AC1" s="37"/>
    </row>
    <row r="2" spans="1:30" ht="22.5" customHeight="1">
      <c r="A2" s="156" t="s">
        <v>282</v>
      </c>
      <c r="B2" s="72" t="s">
        <v>124</v>
      </c>
      <c r="C2" s="38" t="s">
        <v>26</v>
      </c>
      <c r="D2" s="39" t="s">
        <v>45</v>
      </c>
      <c r="E2" s="39" t="s">
        <v>46</v>
      </c>
      <c r="F2" s="39" t="s">
        <v>283</v>
      </c>
      <c r="G2" s="39" t="s">
        <v>45</v>
      </c>
      <c r="H2" s="39" t="s">
        <v>45</v>
      </c>
      <c r="I2" s="39" t="s">
        <v>45</v>
      </c>
      <c r="J2" s="39" t="s">
        <v>45</v>
      </c>
      <c r="K2" s="39" t="s">
        <v>45</v>
      </c>
      <c r="L2" s="39" t="s">
        <v>45</v>
      </c>
      <c r="M2" s="39" t="s">
        <v>45</v>
      </c>
      <c r="N2" s="39" t="s">
        <v>45</v>
      </c>
      <c r="O2" s="39" t="s">
        <v>45</v>
      </c>
      <c r="P2" s="39" t="s">
        <v>45</v>
      </c>
      <c r="Q2" s="39" t="s">
        <v>45</v>
      </c>
      <c r="R2" s="39" t="s">
        <v>45</v>
      </c>
      <c r="S2" s="39" t="s">
        <v>46</v>
      </c>
      <c r="T2" s="39" t="s">
        <v>46</v>
      </c>
      <c r="U2" s="39" t="s">
        <v>45</v>
      </c>
      <c r="V2" s="39" t="s">
        <v>45</v>
      </c>
      <c r="W2" s="39" t="s">
        <v>45</v>
      </c>
      <c r="X2" s="39" t="s">
        <v>45</v>
      </c>
      <c r="Y2" s="39" t="s">
        <v>45</v>
      </c>
      <c r="Z2" s="39"/>
      <c r="AA2" s="39"/>
      <c r="AB2" s="39"/>
      <c r="AC2" s="40" t="s">
        <v>227</v>
      </c>
      <c r="AD2" s="40">
        <v>1</v>
      </c>
    </row>
    <row r="3" spans="1:30" ht="22.5" customHeight="1">
      <c r="A3" s="157"/>
      <c r="B3" s="72" t="s">
        <v>125</v>
      </c>
      <c r="C3" s="38" t="s">
        <v>26</v>
      </c>
      <c r="D3" s="39" t="s">
        <v>46</v>
      </c>
      <c r="E3" s="39" t="s">
        <v>46</v>
      </c>
      <c r="F3" s="39" t="s">
        <v>231</v>
      </c>
      <c r="G3" s="39" t="s">
        <v>46</v>
      </c>
      <c r="H3" s="39" t="s">
        <v>46</v>
      </c>
      <c r="I3" s="39" t="s">
        <v>46</v>
      </c>
      <c r="J3" s="39" t="s">
        <v>46</v>
      </c>
      <c r="K3" s="39" t="s">
        <v>46</v>
      </c>
      <c r="L3" s="39" t="s">
        <v>46</v>
      </c>
      <c r="M3" s="39" t="s">
        <v>46</v>
      </c>
      <c r="N3" s="39" t="s">
        <v>46</v>
      </c>
      <c r="O3" s="39" t="s">
        <v>46</v>
      </c>
      <c r="P3" s="39" t="s">
        <v>46</v>
      </c>
      <c r="Q3" s="39" t="s">
        <v>46</v>
      </c>
      <c r="R3" s="39" t="s">
        <v>46</v>
      </c>
      <c r="S3" s="39" t="s">
        <v>46</v>
      </c>
      <c r="T3" s="39" t="s">
        <v>46</v>
      </c>
      <c r="U3" s="39" t="s">
        <v>46</v>
      </c>
      <c r="V3" s="39" t="s">
        <v>46</v>
      </c>
      <c r="W3" s="39" t="s">
        <v>46</v>
      </c>
      <c r="X3" s="39" t="s">
        <v>46</v>
      </c>
      <c r="Y3" s="39" t="s">
        <v>46</v>
      </c>
      <c r="Z3" s="39"/>
      <c r="AA3" s="39"/>
      <c r="AB3" s="39"/>
      <c r="AC3" s="40" t="s">
        <v>284</v>
      </c>
      <c r="AD3" s="40">
        <v>2</v>
      </c>
    </row>
    <row r="4" spans="1:30" ht="22.5" customHeight="1">
      <c r="A4" s="157"/>
      <c r="B4" s="72" t="s">
        <v>126</v>
      </c>
      <c r="C4" s="38" t="s">
        <v>26</v>
      </c>
      <c r="D4" s="39" t="s">
        <v>46</v>
      </c>
      <c r="E4" s="39" t="s">
        <v>46</v>
      </c>
      <c r="F4" s="39" t="s">
        <v>218</v>
      </c>
      <c r="G4" s="39" t="s">
        <v>46</v>
      </c>
      <c r="H4" s="39" t="s">
        <v>46</v>
      </c>
      <c r="I4" s="39" t="s">
        <v>46</v>
      </c>
      <c r="J4" s="39" t="s">
        <v>46</v>
      </c>
      <c r="K4" s="39" t="s">
        <v>46</v>
      </c>
      <c r="L4" s="39" t="s">
        <v>46</v>
      </c>
      <c r="M4" s="39" t="s">
        <v>46</v>
      </c>
      <c r="N4" s="39" t="s">
        <v>46</v>
      </c>
      <c r="O4" s="39" t="s">
        <v>46</v>
      </c>
      <c r="P4" s="39" t="s">
        <v>45</v>
      </c>
      <c r="Q4" s="39" t="s">
        <v>46</v>
      </c>
      <c r="R4" s="39" t="s">
        <v>45</v>
      </c>
      <c r="S4" s="39" t="s">
        <v>46</v>
      </c>
      <c r="T4" s="39" t="s">
        <v>46</v>
      </c>
      <c r="U4" s="39" t="s">
        <v>45</v>
      </c>
      <c r="V4" s="39" t="s">
        <v>46</v>
      </c>
      <c r="W4" s="39" t="s">
        <v>46</v>
      </c>
      <c r="X4" s="39" t="s">
        <v>45</v>
      </c>
      <c r="Y4" s="39" t="s">
        <v>46</v>
      </c>
      <c r="Z4" s="39"/>
      <c r="AA4" s="39"/>
      <c r="AB4" s="39"/>
      <c r="AC4" s="40" t="s">
        <v>285</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286</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287</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4</v>
      </c>
      <c r="E12" s="39">
        <v>5</v>
      </c>
      <c r="F12" s="39">
        <v>2</v>
      </c>
      <c r="G12" s="39">
        <v>4</v>
      </c>
      <c r="H12" s="39">
        <v>4</v>
      </c>
      <c r="I12" s="39">
        <v>4</v>
      </c>
      <c r="J12" s="39">
        <v>4</v>
      </c>
      <c r="K12" s="39">
        <v>4</v>
      </c>
      <c r="L12" s="39">
        <v>4</v>
      </c>
      <c r="M12" s="39">
        <v>4</v>
      </c>
      <c r="N12" s="39">
        <v>4</v>
      </c>
      <c r="O12" s="39">
        <v>4</v>
      </c>
      <c r="P12" s="39">
        <v>3</v>
      </c>
      <c r="Q12" s="39">
        <v>4</v>
      </c>
      <c r="R12" s="39">
        <v>3</v>
      </c>
      <c r="S12" s="39">
        <v>5</v>
      </c>
      <c r="T12" s="39">
        <v>5</v>
      </c>
      <c r="U12" s="39">
        <v>3</v>
      </c>
      <c r="V12" s="39">
        <v>4</v>
      </c>
      <c r="W12" s="39">
        <v>4</v>
      </c>
      <c r="X12" s="39">
        <v>3</v>
      </c>
      <c r="Y12" s="39">
        <v>4</v>
      </c>
      <c r="Z12" s="39"/>
      <c r="AA12" s="39"/>
      <c r="AB12" s="39"/>
    </row>
    <row r="13" spans="1:30" ht="26.25" customHeight="1">
      <c r="A13" s="44"/>
      <c r="B13" s="44"/>
      <c r="C13" s="75"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68</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69</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70</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71</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72</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73</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74</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75</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77</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78</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79</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80</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81</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82</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83</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84</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85</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t="s">
        <v>86</v>
      </c>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t="s">
        <v>87</v>
      </c>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t="s">
        <v>88</v>
      </c>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t="s">
        <v>89</v>
      </c>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0:AB30"/>
    <mergeCell ref="B31:AB31"/>
    <mergeCell ref="B32:AB32"/>
    <mergeCell ref="B33:AB33"/>
    <mergeCell ref="B34:AB34"/>
    <mergeCell ref="B35:AB35"/>
    <mergeCell ref="B36:AB36"/>
    <mergeCell ref="B37:AB37"/>
    <mergeCell ref="B25:AB25"/>
    <mergeCell ref="B26:AB26"/>
    <mergeCell ref="B27:AB27"/>
    <mergeCell ref="B28:AB28"/>
    <mergeCell ref="B29:AB29"/>
    <mergeCell ref="A2:A12"/>
    <mergeCell ref="B14:AB14"/>
    <mergeCell ref="B15:AB15"/>
    <mergeCell ref="B16:AB16"/>
    <mergeCell ref="B17:AB17"/>
    <mergeCell ref="B23:AB23"/>
    <mergeCell ref="B24:AB24"/>
    <mergeCell ref="B18:AB18"/>
    <mergeCell ref="B19:AB19"/>
    <mergeCell ref="B20:AB20"/>
    <mergeCell ref="B21:AB21"/>
    <mergeCell ref="B22:AB22"/>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５－２</v>
      </c>
      <c r="B1" s="34" t="str">
        <f ca="1">RIGHT(CELL("filename",B1),LEN(CELL("filename",B1))-FIND("]",CELL("filename",B1)))</f>
        <v>家庭</v>
      </c>
      <c r="C1" s="35" t="s">
        <v>25</v>
      </c>
      <c r="D1" s="36" t="str">
        <f>A15</f>
        <v>伊藤 せな</v>
      </c>
      <c r="E1" s="36" t="str">
        <f>A16</f>
        <v>今井 帆夏</v>
      </c>
      <c r="F1" s="36" t="str">
        <f>A17</f>
        <v>上原 一十</v>
      </c>
      <c r="G1" s="36" t="str">
        <f>A18</f>
        <v>上原 誠太</v>
      </c>
      <c r="H1" s="36" t="str">
        <f>A19</f>
        <v>太田 奏佑</v>
      </c>
      <c r="I1" s="36" t="str">
        <f>A20</f>
        <v>小口 恵人</v>
      </c>
      <c r="J1" s="36" t="str">
        <f>A21</f>
        <v>海瀬 晴仁</v>
      </c>
      <c r="K1" s="36" t="str">
        <f>A22</f>
        <v>金子 愛奈</v>
      </c>
      <c r="L1" s="36" t="str">
        <f>A23</f>
        <v>上條 結衣</v>
      </c>
      <c r="M1" s="36" t="str">
        <f>A24</f>
        <v>鴨居 鈴佳</v>
      </c>
      <c r="N1" s="36" t="str">
        <f>A25</f>
        <v>久保田 陽佳</v>
      </c>
      <c r="O1" s="36" t="str">
        <f>A26</f>
        <v>小松 賢史</v>
      </c>
      <c r="P1" s="36" t="str">
        <f>A27</f>
        <v>塩原 七都</v>
      </c>
      <c r="Q1" s="36" t="str">
        <f>A28</f>
        <v>新保 菜々香</v>
      </c>
      <c r="R1" s="36" t="str">
        <f>A29</f>
        <v>田中 百</v>
      </c>
      <c r="S1" s="36" t="str">
        <f>A30</f>
        <v>中村 妃花</v>
      </c>
      <c r="T1" s="36" t="str">
        <f>A31</f>
        <v>林 樹李</v>
      </c>
      <c r="U1" s="36" t="str">
        <f>A32</f>
        <v>原田 樹生</v>
      </c>
      <c r="V1" s="36" t="str">
        <f>A33</f>
        <v>平野 鈴</v>
      </c>
      <c r="W1" s="36" t="str">
        <f>A34</f>
        <v>布施谷 碧衣</v>
      </c>
      <c r="X1" s="36" t="str">
        <f>A35</f>
        <v>吉澤 維月</v>
      </c>
      <c r="Y1" s="36" t="str">
        <f>A36</f>
        <v>若林 樹</v>
      </c>
      <c r="Z1" s="36">
        <f>A37</f>
        <v>0</v>
      </c>
      <c r="AA1" s="36">
        <f>A38</f>
        <v>0</v>
      </c>
      <c r="AB1" s="36">
        <f>A39</f>
        <v>0</v>
      </c>
      <c r="AC1" s="37"/>
    </row>
    <row r="2" spans="1:30" ht="22.5" customHeight="1">
      <c r="A2" s="156" t="s">
        <v>226</v>
      </c>
      <c r="B2" s="83" t="s">
        <v>288</v>
      </c>
      <c r="C2" s="38" t="s">
        <v>26</v>
      </c>
      <c r="D2" s="39" t="s">
        <v>227</v>
      </c>
      <c r="E2" s="39" t="s">
        <v>227</v>
      </c>
      <c r="F2" s="39" t="s">
        <v>268</v>
      </c>
      <c r="G2" s="39" t="s">
        <v>227</v>
      </c>
      <c r="H2" s="39" t="s">
        <v>228</v>
      </c>
      <c r="I2" s="39" t="s">
        <v>219</v>
      </c>
      <c r="J2" s="39" t="s">
        <v>227</v>
      </c>
      <c r="K2" s="39" t="s">
        <v>220</v>
      </c>
      <c r="L2" s="39" t="s">
        <v>228</v>
      </c>
      <c r="M2" s="39" t="s">
        <v>219</v>
      </c>
      <c r="N2" s="39" t="s">
        <v>228</v>
      </c>
      <c r="O2" s="39" t="s">
        <v>227</v>
      </c>
      <c r="P2" s="39" t="s">
        <v>220</v>
      </c>
      <c r="Q2" s="39" t="s">
        <v>220</v>
      </c>
      <c r="R2" s="39" t="s">
        <v>227</v>
      </c>
      <c r="S2" s="39" t="s">
        <v>219</v>
      </c>
      <c r="T2" s="39" t="s">
        <v>227</v>
      </c>
      <c r="U2" s="39" t="s">
        <v>227</v>
      </c>
      <c r="V2" s="39" t="s">
        <v>228</v>
      </c>
      <c r="W2" s="39" t="s">
        <v>220</v>
      </c>
      <c r="X2" s="39" t="s">
        <v>219</v>
      </c>
      <c r="Y2" s="39" t="s">
        <v>219</v>
      </c>
      <c r="Z2" s="39"/>
      <c r="AA2" s="39"/>
      <c r="AB2" s="39"/>
      <c r="AC2" s="40" t="s">
        <v>220</v>
      </c>
      <c r="AD2" s="40">
        <v>1</v>
      </c>
    </row>
    <row r="3" spans="1:30" ht="22.5" customHeight="1">
      <c r="A3" s="157"/>
      <c r="B3" s="83" t="s">
        <v>127</v>
      </c>
      <c r="C3" s="38" t="s">
        <v>26</v>
      </c>
      <c r="D3" s="39" t="s">
        <v>220</v>
      </c>
      <c r="E3" s="39" t="s">
        <v>220</v>
      </c>
      <c r="F3" s="39" t="s">
        <v>221</v>
      </c>
      <c r="G3" s="39" t="s">
        <v>227</v>
      </c>
      <c r="H3" s="39" t="s">
        <v>220</v>
      </c>
      <c r="I3" s="39" t="s">
        <v>227</v>
      </c>
      <c r="J3" s="39" t="s">
        <v>227</v>
      </c>
      <c r="K3" s="39" t="s">
        <v>227</v>
      </c>
      <c r="L3" s="39" t="s">
        <v>220</v>
      </c>
      <c r="M3" s="39" t="s">
        <v>227</v>
      </c>
      <c r="N3" s="39" t="s">
        <v>227</v>
      </c>
      <c r="O3" s="39" t="s">
        <v>227</v>
      </c>
      <c r="P3" s="39" t="s">
        <v>220</v>
      </c>
      <c r="Q3" s="39" t="s">
        <v>227</v>
      </c>
      <c r="R3" s="39" t="s">
        <v>220</v>
      </c>
      <c r="S3" s="39" t="s">
        <v>220</v>
      </c>
      <c r="T3" s="39" t="s">
        <v>220</v>
      </c>
      <c r="U3" s="39" t="s">
        <v>220</v>
      </c>
      <c r="V3" s="39" t="s">
        <v>227</v>
      </c>
      <c r="W3" s="39" t="s">
        <v>220</v>
      </c>
      <c r="X3" s="39" t="s">
        <v>227</v>
      </c>
      <c r="Y3" s="39" t="s">
        <v>227</v>
      </c>
      <c r="Z3" s="39"/>
      <c r="AA3" s="39"/>
      <c r="AB3" s="39"/>
      <c r="AC3" s="40" t="s">
        <v>219</v>
      </c>
      <c r="AD3" s="40">
        <v>2</v>
      </c>
    </row>
    <row r="4" spans="1:30" ht="22.5" customHeight="1">
      <c r="A4" s="157"/>
      <c r="B4" s="83" t="s">
        <v>235</v>
      </c>
      <c r="C4" s="38" t="s">
        <v>26</v>
      </c>
      <c r="D4" s="39" t="s">
        <v>220</v>
      </c>
      <c r="E4" s="39" t="s">
        <v>220</v>
      </c>
      <c r="F4" s="39" t="s">
        <v>261</v>
      </c>
      <c r="G4" s="39" t="s">
        <v>220</v>
      </c>
      <c r="H4" s="39" t="s">
        <v>228</v>
      </c>
      <c r="I4" s="39" t="s">
        <v>227</v>
      </c>
      <c r="J4" s="39" t="s">
        <v>220</v>
      </c>
      <c r="K4" s="39" t="s">
        <v>227</v>
      </c>
      <c r="L4" s="39" t="s">
        <v>220</v>
      </c>
      <c r="M4" s="39" t="s">
        <v>220</v>
      </c>
      <c r="N4" s="39" t="s">
        <v>220</v>
      </c>
      <c r="O4" s="39" t="s">
        <v>220</v>
      </c>
      <c r="P4" s="39" t="s">
        <v>220</v>
      </c>
      <c r="Q4" s="39" t="s">
        <v>220</v>
      </c>
      <c r="R4" s="39" t="s">
        <v>220</v>
      </c>
      <c r="S4" s="39" t="s">
        <v>220</v>
      </c>
      <c r="T4" s="39" t="s">
        <v>220</v>
      </c>
      <c r="U4" s="39" t="s">
        <v>228</v>
      </c>
      <c r="V4" s="39" t="s">
        <v>227</v>
      </c>
      <c r="W4" s="39" t="s">
        <v>220</v>
      </c>
      <c r="X4" s="39" t="s">
        <v>220</v>
      </c>
      <c r="Y4" s="39" t="s">
        <v>220</v>
      </c>
      <c r="Z4" s="39"/>
      <c r="AA4" s="39"/>
      <c r="AB4" s="39"/>
      <c r="AC4" s="40" t="s">
        <v>218</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221</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221</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5</v>
      </c>
      <c r="F12" s="39" t="s">
        <v>268</v>
      </c>
      <c r="G12" s="39">
        <v>5</v>
      </c>
      <c r="H12" s="39">
        <v>3</v>
      </c>
      <c r="I12" s="39">
        <v>4</v>
      </c>
      <c r="J12" s="39">
        <v>5</v>
      </c>
      <c r="K12" s="39">
        <v>5</v>
      </c>
      <c r="L12" s="39">
        <v>4</v>
      </c>
      <c r="M12" s="39">
        <v>4</v>
      </c>
      <c r="N12" s="39">
        <v>4</v>
      </c>
      <c r="O12" s="39">
        <v>5</v>
      </c>
      <c r="P12" s="39">
        <v>5</v>
      </c>
      <c r="Q12" s="39">
        <v>5</v>
      </c>
      <c r="R12" s="39">
        <v>5</v>
      </c>
      <c r="S12" s="39">
        <v>4</v>
      </c>
      <c r="T12" s="39">
        <v>5</v>
      </c>
      <c r="U12" s="39">
        <v>4</v>
      </c>
      <c r="V12" s="39">
        <v>4</v>
      </c>
      <c r="W12" s="39">
        <v>5</v>
      </c>
      <c r="X12" s="39">
        <v>4</v>
      </c>
      <c r="Y12" s="39">
        <v>4</v>
      </c>
      <c r="Z12" s="39"/>
      <c r="AA12" s="39"/>
      <c r="AB12" s="39"/>
    </row>
    <row r="13" spans="1:30" ht="26.25" customHeight="1">
      <c r="A13" s="44"/>
      <c r="B13" s="44"/>
      <c r="C13" s="75" t="s">
        <v>62</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68</v>
      </c>
      <c r="B15" s="153" t="s">
        <v>128</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69</v>
      </c>
      <c r="B16" s="153" t="s">
        <v>289</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70</v>
      </c>
      <c r="B17" s="153" t="s">
        <v>129</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71</v>
      </c>
      <c r="B18" s="153" t="s">
        <v>236</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72</v>
      </c>
      <c r="B19" s="153" t="s">
        <v>130</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73</v>
      </c>
      <c r="B20" s="153" t="s">
        <v>290</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74</v>
      </c>
      <c r="B21" s="153" t="s">
        <v>131</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75</v>
      </c>
      <c r="B22" s="153" t="s">
        <v>237</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t="s">
        <v>291</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77</v>
      </c>
      <c r="B24" s="153" t="s">
        <v>292</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78</v>
      </c>
      <c r="B25" s="153" t="s">
        <v>293</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79</v>
      </c>
      <c r="B26" s="153" t="s">
        <v>237</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80</v>
      </c>
      <c r="B27" s="153" t="s">
        <v>236</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81</v>
      </c>
      <c r="B28" s="153" t="s">
        <v>239</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82</v>
      </c>
      <c r="B29" s="153" t="s">
        <v>238</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83</v>
      </c>
      <c r="B30" s="153" t="s">
        <v>240</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84</v>
      </c>
      <c r="B31" s="153" t="s">
        <v>241</v>
      </c>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85</v>
      </c>
      <c r="B32" s="153" t="s">
        <v>132</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t="s">
        <v>86</v>
      </c>
      <c r="B33" s="153" t="s">
        <v>294</v>
      </c>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t="s">
        <v>87</v>
      </c>
      <c r="B34" s="153" t="s">
        <v>295</v>
      </c>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t="s">
        <v>88</v>
      </c>
      <c r="B35" s="153" t="s">
        <v>133</v>
      </c>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t="s">
        <v>89</v>
      </c>
      <c r="B36" s="153" t="s">
        <v>296</v>
      </c>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3:AB33"/>
    <mergeCell ref="B34:AB34"/>
    <mergeCell ref="B35:AB35"/>
    <mergeCell ref="B36:AB36"/>
    <mergeCell ref="B37:AB37"/>
    <mergeCell ref="B28:AB28"/>
    <mergeCell ref="B29:AB29"/>
    <mergeCell ref="B30:AB30"/>
    <mergeCell ref="B31:AB31"/>
    <mergeCell ref="B32:AB32"/>
    <mergeCell ref="B25:AB25"/>
    <mergeCell ref="B26:AB26"/>
    <mergeCell ref="B27:AB27"/>
    <mergeCell ref="A2:A12"/>
    <mergeCell ref="B14:AB14"/>
    <mergeCell ref="B15:AB15"/>
    <mergeCell ref="B16:AB16"/>
    <mergeCell ref="B17:AB17"/>
    <mergeCell ref="B18:AB18"/>
    <mergeCell ref="B19:AB19"/>
    <mergeCell ref="B20:AB20"/>
    <mergeCell ref="B21:AB21"/>
    <mergeCell ref="B22:AB22"/>
    <mergeCell ref="B23:AB23"/>
    <mergeCell ref="B24:AB2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9"/>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５－２</v>
      </c>
      <c r="B1" s="34" t="str">
        <f ca="1">RIGHT(CELL("filename",B1),LEN(CELL("filename",B1))-FIND("]",CELL("filename",B1)))</f>
        <v>道徳</v>
      </c>
      <c r="C1" s="47" t="s">
        <v>30</v>
      </c>
    </row>
    <row r="2" spans="1:3" ht="22.5" customHeight="1">
      <c r="A2" s="45" t="s">
        <v>28</v>
      </c>
      <c r="B2" s="48" t="s">
        <v>6</v>
      </c>
      <c r="C2" s="8" t="s">
        <v>297</v>
      </c>
    </row>
    <row r="3" spans="1:3" ht="59.25" customHeight="1">
      <c r="A3" s="46" t="s">
        <v>68</v>
      </c>
      <c r="B3" s="49" t="s">
        <v>134</v>
      </c>
      <c r="C3" s="8">
        <f>LEN(B3)</f>
        <v>153</v>
      </c>
    </row>
    <row r="4" spans="1:3" ht="59.25" customHeight="1">
      <c r="A4" s="46" t="s">
        <v>69</v>
      </c>
      <c r="B4" s="49" t="s">
        <v>135</v>
      </c>
      <c r="C4" s="8">
        <f t="shared" ref="C4:C27" si="0">LEN(B4)</f>
        <v>154</v>
      </c>
    </row>
    <row r="5" spans="1:3" ht="59.25" customHeight="1">
      <c r="A5" s="46" t="s">
        <v>70</v>
      </c>
      <c r="B5" s="49" t="s">
        <v>136</v>
      </c>
      <c r="C5" s="8">
        <f t="shared" si="0"/>
        <v>157</v>
      </c>
    </row>
    <row r="6" spans="1:3" ht="59.25" customHeight="1">
      <c r="A6" s="46" t="s">
        <v>71</v>
      </c>
      <c r="B6" s="49" t="s">
        <v>137</v>
      </c>
      <c r="C6" s="8">
        <f t="shared" si="0"/>
        <v>155</v>
      </c>
    </row>
    <row r="7" spans="1:3" ht="59.25" customHeight="1">
      <c r="A7" s="46" t="s">
        <v>72</v>
      </c>
      <c r="B7" s="49" t="s">
        <v>138</v>
      </c>
      <c r="C7" s="8">
        <f t="shared" si="0"/>
        <v>161</v>
      </c>
    </row>
    <row r="8" spans="1:3" ht="59.25" customHeight="1">
      <c r="A8" s="46" t="s">
        <v>73</v>
      </c>
      <c r="B8" s="49" t="s">
        <v>139</v>
      </c>
      <c r="C8" s="8">
        <f t="shared" si="0"/>
        <v>156</v>
      </c>
    </row>
    <row r="9" spans="1:3" ht="59.25" customHeight="1">
      <c r="A9" s="46" t="s">
        <v>74</v>
      </c>
      <c r="B9" s="49" t="s">
        <v>140</v>
      </c>
      <c r="C9" s="8">
        <f t="shared" si="0"/>
        <v>154</v>
      </c>
    </row>
    <row r="10" spans="1:3" ht="59.25" customHeight="1">
      <c r="A10" s="46" t="s">
        <v>75</v>
      </c>
      <c r="B10" s="49" t="s">
        <v>141</v>
      </c>
      <c r="C10" s="8">
        <f t="shared" si="0"/>
        <v>152</v>
      </c>
    </row>
    <row r="11" spans="1:3" ht="59.25" customHeight="1">
      <c r="A11" s="46" t="s">
        <v>76</v>
      </c>
      <c r="B11" s="49" t="s">
        <v>142</v>
      </c>
      <c r="C11" s="8">
        <f t="shared" si="0"/>
        <v>181</v>
      </c>
    </row>
    <row r="12" spans="1:3" ht="59.25" customHeight="1">
      <c r="A12" s="46" t="s">
        <v>77</v>
      </c>
      <c r="B12" s="49" t="s">
        <v>143</v>
      </c>
      <c r="C12" s="8">
        <f t="shared" si="0"/>
        <v>154</v>
      </c>
    </row>
    <row r="13" spans="1:3" ht="59.25" customHeight="1">
      <c r="A13" s="46" t="s">
        <v>78</v>
      </c>
      <c r="B13" s="49" t="s">
        <v>144</v>
      </c>
      <c r="C13" s="8">
        <f t="shared" si="0"/>
        <v>157</v>
      </c>
    </row>
    <row r="14" spans="1:3" ht="59.25" customHeight="1">
      <c r="A14" s="46" t="s">
        <v>79</v>
      </c>
      <c r="B14" s="49" t="s">
        <v>145</v>
      </c>
      <c r="C14" s="8">
        <f t="shared" si="0"/>
        <v>160</v>
      </c>
    </row>
    <row r="15" spans="1:3" ht="59.25" customHeight="1">
      <c r="A15" s="46" t="s">
        <v>80</v>
      </c>
      <c r="B15" s="49" t="s">
        <v>146</v>
      </c>
      <c r="C15" s="8">
        <f t="shared" si="0"/>
        <v>151</v>
      </c>
    </row>
    <row r="16" spans="1:3" ht="59.25" customHeight="1">
      <c r="A16" s="46" t="s">
        <v>81</v>
      </c>
      <c r="B16" s="49" t="s">
        <v>147</v>
      </c>
      <c r="C16" s="8">
        <f t="shared" si="0"/>
        <v>153</v>
      </c>
    </row>
    <row r="17" spans="1:3" ht="59.25" customHeight="1">
      <c r="A17" s="46" t="s">
        <v>82</v>
      </c>
      <c r="B17" s="49" t="s">
        <v>148</v>
      </c>
      <c r="C17" s="8">
        <f t="shared" si="0"/>
        <v>153</v>
      </c>
    </row>
    <row r="18" spans="1:3" ht="59.25" customHeight="1">
      <c r="A18" s="46" t="s">
        <v>83</v>
      </c>
      <c r="B18" s="49" t="s">
        <v>149</v>
      </c>
      <c r="C18" s="8">
        <f t="shared" si="0"/>
        <v>153</v>
      </c>
    </row>
    <row r="19" spans="1:3" ht="59.25" customHeight="1">
      <c r="A19" s="46" t="s">
        <v>84</v>
      </c>
      <c r="B19" s="49" t="s">
        <v>150</v>
      </c>
      <c r="C19" s="8">
        <f t="shared" si="0"/>
        <v>154</v>
      </c>
    </row>
    <row r="20" spans="1:3" ht="59.25" customHeight="1">
      <c r="A20" s="46" t="s">
        <v>85</v>
      </c>
      <c r="B20" s="49" t="s">
        <v>151</v>
      </c>
      <c r="C20" s="8">
        <f t="shared" si="0"/>
        <v>168</v>
      </c>
    </row>
    <row r="21" spans="1:3" ht="59.25" customHeight="1">
      <c r="A21" s="46" t="s">
        <v>86</v>
      </c>
      <c r="B21" s="49" t="s">
        <v>152</v>
      </c>
      <c r="C21" s="8">
        <f t="shared" si="0"/>
        <v>153</v>
      </c>
    </row>
    <row r="22" spans="1:3" ht="59.25" customHeight="1">
      <c r="A22" s="46" t="s">
        <v>87</v>
      </c>
      <c r="B22" s="49" t="s">
        <v>153</v>
      </c>
      <c r="C22" s="8">
        <f t="shared" si="0"/>
        <v>160</v>
      </c>
    </row>
    <row r="23" spans="1:3" ht="59.25" customHeight="1">
      <c r="A23" s="46" t="s">
        <v>88</v>
      </c>
      <c r="B23" s="49" t="s">
        <v>154</v>
      </c>
      <c r="C23" s="8">
        <f t="shared" si="0"/>
        <v>158</v>
      </c>
    </row>
    <row r="24" spans="1:3" ht="59.25" customHeight="1">
      <c r="A24" s="46" t="s">
        <v>89</v>
      </c>
      <c r="B24" s="49" t="s">
        <v>155</v>
      </c>
      <c r="C24" s="8">
        <f t="shared" si="0"/>
        <v>157</v>
      </c>
    </row>
    <row r="25" spans="1:3" ht="59.25" customHeight="1">
      <c r="A25" s="46"/>
      <c r="B25" s="49"/>
      <c r="C25" s="8">
        <f t="shared" si="0"/>
        <v>0</v>
      </c>
    </row>
    <row r="26" spans="1:3" ht="59.25" customHeight="1">
      <c r="A26" s="46"/>
      <c r="B26" s="49"/>
      <c r="C26" s="8">
        <f t="shared" si="0"/>
        <v>0</v>
      </c>
    </row>
    <row r="27" spans="1:3" ht="59.25" customHeight="1">
      <c r="A27" s="46"/>
      <c r="B27" s="49"/>
      <c r="C27" s="8">
        <f t="shared" si="0"/>
        <v>0</v>
      </c>
    </row>
    <row r="28" spans="1:3" ht="22.5" customHeight="1"/>
    <row r="29" spans="1:3" ht="2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sheetData>
  <phoneticPr fontId="1"/>
  <conditionalFormatting sqref="C27 C3:C25">
    <cfRule type="cellIs" dxfId="11" priority="4" operator="greaterThan">
      <formula>200</formula>
    </cfRule>
    <cfRule type="cellIs" dxfId="10" priority="5" operator="lessThan">
      <formula>150</formula>
    </cfRule>
    <cfRule type="cellIs" dxfId="9" priority="6" operator="between">
      <formula>150</formula>
      <formula>200</formula>
    </cfRule>
  </conditionalFormatting>
  <conditionalFormatting sqref="C26">
    <cfRule type="cellIs" dxfId="8" priority="1" operator="greaterThan">
      <formula>200</formula>
    </cfRule>
    <cfRule type="cellIs" dxfId="7" priority="2" operator="lessThan">
      <formula>150</formula>
    </cfRule>
    <cfRule type="cellIs" dxfId="6" priority="3" operator="between">
      <formula>150</formula>
      <formula>200</formula>
    </cfRule>
  </conditionalFormatting>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AC202"/>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29" width="6" style="8" customWidth="1"/>
    <col min="30" max="16384" width="9" style="8"/>
  </cols>
  <sheetData>
    <row r="1" spans="1:29" ht="85.5" customHeight="1">
      <c r="A1" s="84" t="str">
        <f ca="1">MID(CELL("filename",A1),FIND("[",CELL("filename",A1))+1,3)</f>
        <v>５－２</v>
      </c>
      <c r="B1" s="50" t="s">
        <v>31</v>
      </c>
      <c r="C1" s="51" t="s">
        <v>25</v>
      </c>
      <c r="D1" s="36" t="str">
        <f>A13</f>
        <v>伊藤 せな</v>
      </c>
      <c r="E1" s="36" t="str">
        <f>A14</f>
        <v>今井 帆夏</v>
      </c>
      <c r="F1" s="36" t="str">
        <f>A15</f>
        <v>上原 一十</v>
      </c>
      <c r="G1" s="36" t="str">
        <f>A16</f>
        <v>上原 誠太</v>
      </c>
      <c r="H1" s="36" t="str">
        <f>A17</f>
        <v>太田 奏佑</v>
      </c>
      <c r="I1" s="36" t="str">
        <f>A18</f>
        <v>小口 恵人</v>
      </c>
      <c r="J1" s="36" t="str">
        <f>A19</f>
        <v>海瀬 晴仁</v>
      </c>
      <c r="K1" s="36" t="str">
        <f>A20</f>
        <v>金子 愛奈</v>
      </c>
      <c r="L1" s="36" t="str">
        <f>A21</f>
        <v>上條 結衣</v>
      </c>
      <c r="M1" s="36" t="str">
        <f>A22</f>
        <v>鴨居 鈴佳</v>
      </c>
      <c r="N1" s="36" t="str">
        <f>A23</f>
        <v>久保田 陽佳</v>
      </c>
      <c r="O1" s="36" t="str">
        <f>A24</f>
        <v>小松 賢史</v>
      </c>
      <c r="P1" s="36" t="str">
        <f>A25</f>
        <v>塩原 七都</v>
      </c>
      <c r="Q1" s="36" t="str">
        <f>A26</f>
        <v>新保 菜々香</v>
      </c>
      <c r="R1" s="36" t="str">
        <f>A27</f>
        <v>田中 百</v>
      </c>
      <c r="S1" s="36" t="str">
        <f>A28</f>
        <v>中村 妃花</v>
      </c>
      <c r="T1" s="36" t="str">
        <f>A29</f>
        <v>林 樹李</v>
      </c>
      <c r="U1" s="36" t="str">
        <f>A30</f>
        <v>原田 樹生</v>
      </c>
      <c r="V1" s="36" t="str">
        <f>A31</f>
        <v>平野 鈴</v>
      </c>
      <c r="W1" s="36" t="str">
        <f>A32</f>
        <v>布施谷 碧衣</v>
      </c>
      <c r="X1" s="36" t="str">
        <f>A33</f>
        <v>吉澤 維月</v>
      </c>
      <c r="Y1" s="36" t="str">
        <f>A34</f>
        <v>若林 樹</v>
      </c>
      <c r="Z1" s="36">
        <f>A35</f>
        <v>0</v>
      </c>
      <c r="AA1" s="36">
        <f>A36</f>
        <v>0</v>
      </c>
      <c r="AB1" s="36">
        <f>A37</f>
        <v>0</v>
      </c>
      <c r="AC1" s="37"/>
    </row>
    <row r="2" spans="1:29" ht="22.5" customHeight="1">
      <c r="A2" s="174" t="s">
        <v>32</v>
      </c>
      <c r="B2" s="69" t="s">
        <v>51</v>
      </c>
      <c r="C2" s="38" t="s">
        <v>26</v>
      </c>
      <c r="D2" s="39" t="s">
        <v>298</v>
      </c>
      <c r="E2" s="39" t="s">
        <v>298</v>
      </c>
      <c r="F2" s="39" t="s">
        <v>299</v>
      </c>
      <c r="G2" s="39" t="s">
        <v>300</v>
      </c>
      <c r="H2" s="39" t="s">
        <v>300</v>
      </c>
      <c r="I2" s="39" t="s">
        <v>300</v>
      </c>
      <c r="J2" s="39" t="s">
        <v>298</v>
      </c>
      <c r="K2" s="39" t="s">
        <v>298</v>
      </c>
      <c r="L2" s="39" t="s">
        <v>219</v>
      </c>
      <c r="M2" s="39" t="s">
        <v>300</v>
      </c>
      <c r="N2" s="39" t="s">
        <v>300</v>
      </c>
      <c r="O2" s="39" t="s">
        <v>300</v>
      </c>
      <c r="P2" s="39" t="s">
        <v>300</v>
      </c>
      <c r="Q2" s="39" t="s">
        <v>220</v>
      </c>
      <c r="R2" s="39" t="s">
        <v>298</v>
      </c>
      <c r="S2" s="39" t="s">
        <v>298</v>
      </c>
      <c r="T2" s="39" t="s">
        <v>298</v>
      </c>
      <c r="U2" s="39" t="s">
        <v>218</v>
      </c>
      <c r="V2" s="39" t="s">
        <v>298</v>
      </c>
      <c r="W2" s="39" t="s">
        <v>298</v>
      </c>
      <c r="X2" s="39" t="s">
        <v>218</v>
      </c>
      <c r="Y2" s="39" t="s">
        <v>298</v>
      </c>
      <c r="Z2" s="39"/>
      <c r="AA2" s="39"/>
      <c r="AB2" s="39"/>
      <c r="AC2" s="85" t="s">
        <v>298</v>
      </c>
    </row>
    <row r="3" spans="1:29" ht="22.5" customHeight="1">
      <c r="A3" s="175"/>
      <c r="B3" s="69" t="s">
        <v>52</v>
      </c>
      <c r="C3" s="38" t="s">
        <v>26</v>
      </c>
      <c r="D3" s="39" t="s">
        <v>298</v>
      </c>
      <c r="E3" s="39" t="s">
        <v>298</v>
      </c>
      <c r="F3" s="39" t="s">
        <v>299</v>
      </c>
      <c r="G3" s="39" t="s">
        <v>298</v>
      </c>
      <c r="H3" s="39" t="s">
        <v>220</v>
      </c>
      <c r="I3" s="39" t="s">
        <v>220</v>
      </c>
      <c r="J3" s="39" t="s">
        <v>300</v>
      </c>
      <c r="K3" s="39" t="s">
        <v>220</v>
      </c>
      <c r="L3" s="39" t="s">
        <v>298</v>
      </c>
      <c r="M3" s="39" t="s">
        <v>298</v>
      </c>
      <c r="N3" s="39" t="s">
        <v>298</v>
      </c>
      <c r="O3" s="39" t="s">
        <v>298</v>
      </c>
      <c r="P3" s="39" t="s">
        <v>298</v>
      </c>
      <c r="Q3" s="39" t="s">
        <v>298</v>
      </c>
      <c r="R3" s="39" t="s">
        <v>220</v>
      </c>
      <c r="S3" s="39" t="s">
        <v>220</v>
      </c>
      <c r="T3" s="39" t="s">
        <v>220</v>
      </c>
      <c r="U3" s="39" t="s">
        <v>298</v>
      </c>
      <c r="V3" s="39" t="s">
        <v>298</v>
      </c>
      <c r="W3" s="39" t="s">
        <v>298</v>
      </c>
      <c r="X3" s="39" t="s">
        <v>220</v>
      </c>
      <c r="Y3" s="39" t="s">
        <v>298</v>
      </c>
      <c r="Z3" s="39"/>
      <c r="AA3" s="39"/>
      <c r="AB3" s="39"/>
      <c r="AC3" s="85" t="s">
        <v>219</v>
      </c>
    </row>
    <row r="4" spans="1:29" ht="22.5" customHeight="1">
      <c r="A4" s="175"/>
      <c r="B4" s="69" t="s">
        <v>53</v>
      </c>
      <c r="C4" s="38" t="s">
        <v>26</v>
      </c>
      <c r="D4" s="39" t="s">
        <v>298</v>
      </c>
      <c r="E4" s="39" t="s">
        <v>220</v>
      </c>
      <c r="F4" s="39" t="s">
        <v>218</v>
      </c>
      <c r="G4" s="39" t="s">
        <v>299</v>
      </c>
      <c r="H4" s="39" t="s">
        <v>299</v>
      </c>
      <c r="I4" s="39" t="s">
        <v>219</v>
      </c>
      <c r="J4" s="39" t="s">
        <v>220</v>
      </c>
      <c r="K4" s="39" t="s">
        <v>219</v>
      </c>
      <c r="L4" s="39" t="s">
        <v>219</v>
      </c>
      <c r="M4" s="39" t="s">
        <v>219</v>
      </c>
      <c r="N4" s="39" t="s">
        <v>220</v>
      </c>
      <c r="O4" s="39" t="s">
        <v>220</v>
      </c>
      <c r="P4" s="39" t="s">
        <v>220</v>
      </c>
      <c r="Q4" s="39" t="s">
        <v>220</v>
      </c>
      <c r="R4" s="39" t="s">
        <v>220</v>
      </c>
      <c r="S4" s="39" t="s">
        <v>220</v>
      </c>
      <c r="T4" s="39" t="s">
        <v>220</v>
      </c>
      <c r="U4" s="39" t="s">
        <v>218</v>
      </c>
      <c r="V4" s="39" t="s">
        <v>219</v>
      </c>
      <c r="W4" s="39" t="s">
        <v>220</v>
      </c>
      <c r="X4" s="39" t="s">
        <v>219</v>
      </c>
      <c r="Y4" s="39" t="s">
        <v>219</v>
      </c>
      <c r="Z4" s="39"/>
      <c r="AA4" s="39"/>
      <c r="AB4" s="39"/>
      <c r="AC4" s="85" t="s">
        <v>218</v>
      </c>
    </row>
    <row r="5" spans="1:29" ht="22.5" customHeight="1">
      <c r="A5" s="175"/>
      <c r="B5" s="69" t="s">
        <v>54</v>
      </c>
      <c r="C5" s="38" t="s">
        <v>26</v>
      </c>
      <c r="D5" s="39" t="s">
        <v>220</v>
      </c>
      <c r="E5" s="39" t="s">
        <v>220</v>
      </c>
      <c r="F5" s="39" t="s">
        <v>218</v>
      </c>
      <c r="G5" s="39" t="s">
        <v>219</v>
      </c>
      <c r="H5" s="39" t="s">
        <v>220</v>
      </c>
      <c r="I5" s="39" t="s">
        <v>220</v>
      </c>
      <c r="J5" s="39" t="s">
        <v>220</v>
      </c>
      <c r="K5" s="39" t="s">
        <v>220</v>
      </c>
      <c r="L5" s="39" t="s">
        <v>220</v>
      </c>
      <c r="M5" s="39" t="s">
        <v>220</v>
      </c>
      <c r="N5" s="39" t="s">
        <v>220</v>
      </c>
      <c r="O5" s="39" t="s">
        <v>220</v>
      </c>
      <c r="P5" s="39" t="s">
        <v>220</v>
      </c>
      <c r="Q5" s="39" t="s">
        <v>220</v>
      </c>
      <c r="R5" s="39" t="s">
        <v>220</v>
      </c>
      <c r="S5" s="39" t="s">
        <v>220</v>
      </c>
      <c r="T5" s="39" t="s">
        <v>220</v>
      </c>
      <c r="U5" s="39" t="s">
        <v>220</v>
      </c>
      <c r="V5" s="39" t="s">
        <v>220</v>
      </c>
      <c r="W5" s="39" t="s">
        <v>220</v>
      </c>
      <c r="X5" s="39" t="s">
        <v>220</v>
      </c>
      <c r="Y5" s="39" t="s">
        <v>220</v>
      </c>
      <c r="Z5" s="39"/>
      <c r="AA5" s="39"/>
      <c r="AB5" s="39"/>
      <c r="AC5" s="85" t="s">
        <v>221</v>
      </c>
    </row>
    <row r="6" spans="1:29" ht="22.5" customHeight="1">
      <c r="A6" s="175"/>
      <c r="B6" s="69" t="s">
        <v>55</v>
      </c>
      <c r="C6" s="38" t="s">
        <v>26</v>
      </c>
      <c r="D6" s="39" t="s">
        <v>220</v>
      </c>
      <c r="E6" s="39" t="s">
        <v>219</v>
      </c>
      <c r="F6" s="39" t="s">
        <v>218</v>
      </c>
      <c r="G6" s="39" t="s">
        <v>219</v>
      </c>
      <c r="H6" s="39" t="s">
        <v>219</v>
      </c>
      <c r="I6" s="39" t="s">
        <v>220</v>
      </c>
      <c r="J6" s="39" t="s">
        <v>220</v>
      </c>
      <c r="K6" s="39" t="s">
        <v>220</v>
      </c>
      <c r="L6" s="39" t="s">
        <v>219</v>
      </c>
      <c r="M6" s="39" t="s">
        <v>219</v>
      </c>
      <c r="N6" s="39" t="s">
        <v>219</v>
      </c>
      <c r="O6" s="39" t="s">
        <v>220</v>
      </c>
      <c r="P6" s="39" t="s">
        <v>218</v>
      </c>
      <c r="Q6" s="39" t="s">
        <v>220</v>
      </c>
      <c r="R6" s="39" t="s">
        <v>219</v>
      </c>
      <c r="S6" s="39" t="s">
        <v>219</v>
      </c>
      <c r="T6" s="39" t="s">
        <v>220</v>
      </c>
      <c r="U6" s="39" t="s">
        <v>220</v>
      </c>
      <c r="V6" s="39" t="s">
        <v>220</v>
      </c>
      <c r="W6" s="39" t="s">
        <v>220</v>
      </c>
      <c r="X6" s="39" t="s">
        <v>219</v>
      </c>
      <c r="Y6" s="39" t="s">
        <v>220</v>
      </c>
      <c r="Z6" s="39"/>
      <c r="AA6" s="39"/>
      <c r="AB6" s="39"/>
    </row>
    <row r="7" spans="1:29" ht="22.5" customHeight="1">
      <c r="A7" s="175"/>
      <c r="B7" s="69" t="s">
        <v>56</v>
      </c>
      <c r="C7" s="38" t="s">
        <v>26</v>
      </c>
      <c r="D7" s="39" t="s">
        <v>219</v>
      </c>
      <c r="E7" s="39" t="s">
        <v>220</v>
      </c>
      <c r="F7" s="39" t="s">
        <v>219</v>
      </c>
      <c r="G7" s="39" t="s">
        <v>219</v>
      </c>
      <c r="H7" s="39" t="s">
        <v>219</v>
      </c>
      <c r="I7" s="39" t="s">
        <v>220</v>
      </c>
      <c r="J7" s="39" t="s">
        <v>220</v>
      </c>
      <c r="K7" s="39" t="s">
        <v>220</v>
      </c>
      <c r="L7" s="39" t="s">
        <v>220</v>
      </c>
      <c r="M7" s="39" t="s">
        <v>220</v>
      </c>
      <c r="N7" s="39" t="s">
        <v>220</v>
      </c>
      <c r="O7" s="39" t="s">
        <v>220</v>
      </c>
      <c r="P7" s="39" t="s">
        <v>219</v>
      </c>
      <c r="Q7" s="39" t="s">
        <v>220</v>
      </c>
      <c r="R7" s="39" t="s">
        <v>220</v>
      </c>
      <c r="S7" s="39" t="s">
        <v>220</v>
      </c>
      <c r="T7" s="39" t="s">
        <v>220</v>
      </c>
      <c r="U7" s="39" t="s">
        <v>218</v>
      </c>
      <c r="V7" s="39" t="s">
        <v>220</v>
      </c>
      <c r="W7" s="39" t="s">
        <v>220</v>
      </c>
      <c r="X7" s="39" t="s">
        <v>218</v>
      </c>
      <c r="Y7" s="39" t="s">
        <v>220</v>
      </c>
      <c r="Z7" s="39"/>
      <c r="AA7" s="39"/>
      <c r="AB7" s="39"/>
    </row>
    <row r="8" spans="1:29" ht="22.5" customHeight="1">
      <c r="A8" s="175"/>
      <c r="B8" s="69" t="s">
        <v>57</v>
      </c>
      <c r="C8" s="38" t="s">
        <v>26</v>
      </c>
      <c r="D8" s="39" t="s">
        <v>220</v>
      </c>
      <c r="E8" s="39" t="s">
        <v>220</v>
      </c>
      <c r="F8" s="39" t="s">
        <v>219</v>
      </c>
      <c r="G8" s="39" t="s">
        <v>220</v>
      </c>
      <c r="H8" s="39" t="s">
        <v>220</v>
      </c>
      <c r="I8" s="39" t="s">
        <v>220</v>
      </c>
      <c r="J8" s="39" t="s">
        <v>220</v>
      </c>
      <c r="K8" s="39" t="s">
        <v>220</v>
      </c>
      <c r="L8" s="39" t="s">
        <v>220</v>
      </c>
      <c r="M8" s="39" t="s">
        <v>220</v>
      </c>
      <c r="N8" s="39" t="s">
        <v>220</v>
      </c>
      <c r="O8" s="39" t="s">
        <v>220</v>
      </c>
      <c r="P8" s="39" t="s">
        <v>220</v>
      </c>
      <c r="Q8" s="39" t="s">
        <v>220</v>
      </c>
      <c r="R8" s="39" t="s">
        <v>220</v>
      </c>
      <c r="S8" s="39" t="s">
        <v>220</v>
      </c>
      <c r="T8" s="39" t="s">
        <v>220</v>
      </c>
      <c r="U8" s="39" t="s">
        <v>220</v>
      </c>
      <c r="V8" s="39" t="s">
        <v>220</v>
      </c>
      <c r="W8" s="39" t="s">
        <v>220</v>
      </c>
      <c r="X8" s="39" t="s">
        <v>219</v>
      </c>
      <c r="Y8" s="39" t="s">
        <v>220</v>
      </c>
      <c r="Z8" s="39"/>
      <c r="AA8" s="39"/>
      <c r="AB8" s="39"/>
    </row>
    <row r="9" spans="1:29" ht="22.5" customHeight="1">
      <c r="A9" s="175"/>
      <c r="B9" s="69" t="s">
        <v>58</v>
      </c>
      <c r="C9" s="38" t="s">
        <v>26</v>
      </c>
      <c r="D9" s="39" t="s">
        <v>220</v>
      </c>
      <c r="E9" s="39" t="s">
        <v>220</v>
      </c>
      <c r="F9" s="39" t="s">
        <v>219</v>
      </c>
      <c r="G9" s="39" t="s">
        <v>219</v>
      </c>
      <c r="H9" s="39" t="s">
        <v>219</v>
      </c>
      <c r="I9" s="39" t="s">
        <v>220</v>
      </c>
      <c r="J9" s="39" t="s">
        <v>220</v>
      </c>
      <c r="K9" s="39" t="s">
        <v>220</v>
      </c>
      <c r="L9" s="39" t="s">
        <v>220</v>
      </c>
      <c r="M9" s="39" t="s">
        <v>220</v>
      </c>
      <c r="N9" s="39" t="s">
        <v>220</v>
      </c>
      <c r="O9" s="39" t="s">
        <v>220</v>
      </c>
      <c r="P9" s="39" t="s">
        <v>220</v>
      </c>
      <c r="Q9" s="39" t="s">
        <v>220</v>
      </c>
      <c r="R9" s="39" t="s">
        <v>220</v>
      </c>
      <c r="S9" s="39" t="s">
        <v>220</v>
      </c>
      <c r="T9" s="39" t="s">
        <v>220</v>
      </c>
      <c r="U9" s="39" t="s">
        <v>219</v>
      </c>
      <c r="V9" s="39" t="s">
        <v>220</v>
      </c>
      <c r="W9" s="39" t="s">
        <v>220</v>
      </c>
      <c r="X9" s="39" t="s">
        <v>219</v>
      </c>
      <c r="Y9" s="39" t="s">
        <v>220</v>
      </c>
      <c r="Z9" s="39"/>
      <c r="AA9" s="39"/>
      <c r="AB9" s="39"/>
    </row>
    <row r="10" spans="1:29" ht="22.5" customHeight="1">
      <c r="A10" s="86"/>
      <c r="B10" s="70" t="s">
        <v>59</v>
      </c>
      <c r="C10" s="38" t="s">
        <v>26</v>
      </c>
      <c r="D10" s="39" t="s">
        <v>220</v>
      </c>
      <c r="E10" s="39" t="s">
        <v>220</v>
      </c>
      <c r="F10" s="39" t="s">
        <v>218</v>
      </c>
      <c r="G10" s="39" t="s">
        <v>219</v>
      </c>
      <c r="H10" s="39" t="s">
        <v>218</v>
      </c>
      <c r="I10" s="39" t="s">
        <v>220</v>
      </c>
      <c r="J10" s="39" t="s">
        <v>220</v>
      </c>
      <c r="K10" s="39" t="s">
        <v>220</v>
      </c>
      <c r="L10" s="39" t="s">
        <v>220</v>
      </c>
      <c r="M10" s="39" t="s">
        <v>220</v>
      </c>
      <c r="N10" s="39" t="s">
        <v>219</v>
      </c>
      <c r="O10" s="39" t="s">
        <v>219</v>
      </c>
      <c r="P10" s="39" t="s">
        <v>219</v>
      </c>
      <c r="Q10" s="39" t="s">
        <v>220</v>
      </c>
      <c r="R10" s="39" t="s">
        <v>219</v>
      </c>
      <c r="S10" s="39" t="s">
        <v>220</v>
      </c>
      <c r="T10" s="39" t="s">
        <v>220</v>
      </c>
      <c r="U10" s="39" t="s">
        <v>219</v>
      </c>
      <c r="V10" s="39" t="s">
        <v>220</v>
      </c>
      <c r="W10" s="39" t="s">
        <v>220</v>
      </c>
      <c r="X10" s="39" t="s">
        <v>218</v>
      </c>
      <c r="Y10" s="39" t="s">
        <v>220</v>
      </c>
      <c r="Z10" s="39"/>
      <c r="AA10" s="39"/>
      <c r="AB10" s="39"/>
    </row>
    <row r="11" spans="1:29" ht="22.5" customHeight="1">
      <c r="A11" s="86"/>
      <c r="B11" s="70" t="s">
        <v>60</v>
      </c>
      <c r="C11" s="38" t="s">
        <v>26</v>
      </c>
      <c r="D11" s="39" t="s">
        <v>220</v>
      </c>
      <c r="E11" s="39" t="s">
        <v>220</v>
      </c>
      <c r="F11" s="39" t="s">
        <v>218</v>
      </c>
      <c r="G11" s="39" t="s">
        <v>219</v>
      </c>
      <c r="H11" s="39" t="s">
        <v>219</v>
      </c>
      <c r="I11" s="39" t="s">
        <v>219</v>
      </c>
      <c r="J11" s="39" t="s">
        <v>219</v>
      </c>
      <c r="K11" s="39" t="s">
        <v>220</v>
      </c>
      <c r="L11" s="39" t="s">
        <v>219</v>
      </c>
      <c r="M11" s="39" t="s">
        <v>219</v>
      </c>
      <c r="N11" s="39" t="s">
        <v>219</v>
      </c>
      <c r="O11" s="39" t="s">
        <v>219</v>
      </c>
      <c r="P11" s="39" t="s">
        <v>219</v>
      </c>
      <c r="Q11" s="39" t="s">
        <v>220</v>
      </c>
      <c r="R11" s="39" t="s">
        <v>219</v>
      </c>
      <c r="S11" s="39" t="s">
        <v>220</v>
      </c>
      <c r="T11" s="39" t="s">
        <v>219</v>
      </c>
      <c r="U11" s="39" t="s">
        <v>219</v>
      </c>
      <c r="V11" s="39" t="s">
        <v>220</v>
      </c>
      <c r="W11" s="39" t="s">
        <v>220</v>
      </c>
      <c r="X11" s="39" t="s">
        <v>219</v>
      </c>
      <c r="Y11" s="39" t="s">
        <v>220</v>
      </c>
      <c r="Z11" s="39"/>
      <c r="AA11" s="39"/>
      <c r="AB11" s="39"/>
    </row>
    <row r="12" spans="1:29" ht="22.5" customHeight="1">
      <c r="A12" s="176" t="s">
        <v>33</v>
      </c>
      <c r="B12" s="177"/>
      <c r="C12" s="177"/>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7"/>
      <c r="AB12" s="178"/>
    </row>
    <row r="13" spans="1:29" ht="22.5" customHeight="1">
      <c r="A13" s="87" t="s">
        <v>68</v>
      </c>
      <c r="B13" s="153" t="s">
        <v>170</v>
      </c>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5"/>
    </row>
    <row r="14" spans="1:29" ht="22.5" customHeight="1">
      <c r="A14" s="87" t="s">
        <v>69</v>
      </c>
      <c r="B14" s="153" t="s">
        <v>171</v>
      </c>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5"/>
    </row>
    <row r="15" spans="1:29" ht="22.5" customHeight="1">
      <c r="A15" s="87" t="s">
        <v>70</v>
      </c>
      <c r="B15" s="153" t="s">
        <v>172</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29" ht="22.5" customHeight="1">
      <c r="A16" s="87" t="s">
        <v>71</v>
      </c>
      <c r="B16" s="153" t="s">
        <v>173</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22.5" customHeight="1">
      <c r="A17" s="87" t="s">
        <v>72</v>
      </c>
      <c r="B17" s="153" t="s">
        <v>174</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22.5" customHeight="1">
      <c r="A18" s="87" t="s">
        <v>73</v>
      </c>
      <c r="B18" s="153" t="s">
        <v>175</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22.5" customHeight="1">
      <c r="A19" s="87" t="s">
        <v>74</v>
      </c>
      <c r="B19" s="153" t="s">
        <v>176</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22.5" customHeight="1">
      <c r="A20" s="87" t="s">
        <v>75</v>
      </c>
      <c r="B20" s="153" t="s">
        <v>177</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22.5" customHeight="1">
      <c r="A21" s="87" t="s">
        <v>76</v>
      </c>
      <c r="B21" s="153" t="s">
        <v>178</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22.5" customHeight="1">
      <c r="A22" s="87" t="s">
        <v>77</v>
      </c>
      <c r="B22" s="153" t="s">
        <v>179</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22.5" customHeight="1">
      <c r="A23" s="87" t="s">
        <v>78</v>
      </c>
      <c r="B23" s="153" t="s">
        <v>180</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22.5" customHeight="1">
      <c r="A24" s="87" t="s">
        <v>79</v>
      </c>
      <c r="B24" s="153" t="s">
        <v>181</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22.5" customHeight="1">
      <c r="A25" s="87" t="s">
        <v>80</v>
      </c>
      <c r="B25" s="153" t="s">
        <v>182</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22.5" customHeight="1">
      <c r="A26" s="87" t="s">
        <v>81</v>
      </c>
      <c r="B26" s="153" t="s">
        <v>183</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22.5" customHeight="1">
      <c r="A27" s="87" t="s">
        <v>82</v>
      </c>
      <c r="B27" s="153" t="s">
        <v>184</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22.5" customHeight="1">
      <c r="A28" s="87" t="s">
        <v>83</v>
      </c>
      <c r="B28" s="153" t="s">
        <v>185</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22.5" customHeight="1">
      <c r="A29" s="87" t="s">
        <v>84</v>
      </c>
      <c r="B29" s="153" t="s">
        <v>191</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22.5" customHeight="1">
      <c r="A30" s="87" t="s">
        <v>85</v>
      </c>
      <c r="B30" s="153" t="s">
        <v>186</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22.5" customHeight="1">
      <c r="A31" s="87" t="s">
        <v>86</v>
      </c>
      <c r="B31" s="153" t="s">
        <v>187</v>
      </c>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22.5" customHeight="1">
      <c r="A32" s="87" t="s">
        <v>87</v>
      </c>
      <c r="B32" s="153" t="s">
        <v>188</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9" ht="22.5" customHeight="1">
      <c r="A33" s="87" t="s">
        <v>88</v>
      </c>
      <c r="B33" s="153" t="s">
        <v>189</v>
      </c>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9" ht="22.5" customHeight="1">
      <c r="A34" s="87" t="s">
        <v>89</v>
      </c>
      <c r="B34" s="153" t="s">
        <v>192</v>
      </c>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9" ht="22.5" customHeight="1">
      <c r="A35" s="87"/>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9" ht="22.5" customHeight="1">
      <c r="A36" s="87"/>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9" ht="22.5" customHeight="1">
      <c r="A37" s="87"/>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c r="AC37" s="47" t="s">
        <v>30</v>
      </c>
    </row>
    <row r="38" spans="1:29" ht="22.5" customHeight="1">
      <c r="A38" s="171" t="s">
        <v>301</v>
      </c>
      <c r="B38" s="172"/>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3"/>
      <c r="AC38" s="8" t="s">
        <v>302</v>
      </c>
    </row>
    <row r="39" spans="1:29" ht="77.25" customHeight="1">
      <c r="A39" s="88" t="str">
        <f t="shared" ref="A39:A50" si="0">A13</f>
        <v>伊藤 せな</v>
      </c>
      <c r="B39" s="168" t="s">
        <v>193</v>
      </c>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c r="AC39" s="8">
        <f t="shared" ref="AC39:AC63" si="1">LEN(B39)</f>
        <v>449</v>
      </c>
    </row>
    <row r="40" spans="1:29" ht="77.25" customHeight="1">
      <c r="A40" s="88" t="str">
        <f t="shared" si="0"/>
        <v>今井 帆夏</v>
      </c>
      <c r="B40" s="168" t="s">
        <v>194</v>
      </c>
      <c r="C40" s="169"/>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70"/>
      <c r="AC40" s="8">
        <f t="shared" si="1"/>
        <v>421</v>
      </c>
    </row>
    <row r="41" spans="1:29" ht="77.25" customHeight="1">
      <c r="A41" s="88" t="str">
        <f t="shared" si="0"/>
        <v>上原 一十</v>
      </c>
      <c r="B41" s="168" t="s">
        <v>242</v>
      </c>
      <c r="C41" s="169"/>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70"/>
      <c r="AC41" s="8">
        <f t="shared" si="1"/>
        <v>443</v>
      </c>
    </row>
    <row r="42" spans="1:29" ht="77.25" customHeight="1">
      <c r="A42" s="88" t="str">
        <f t="shared" si="0"/>
        <v>上原 誠太</v>
      </c>
      <c r="B42" s="168" t="s">
        <v>195</v>
      </c>
      <c r="C42" s="169"/>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69"/>
      <c r="AB42" s="170"/>
      <c r="AC42" s="8">
        <f t="shared" si="1"/>
        <v>426</v>
      </c>
    </row>
    <row r="43" spans="1:29" ht="77.25" customHeight="1">
      <c r="A43" s="88" t="str">
        <f t="shared" si="0"/>
        <v>太田 奏佑</v>
      </c>
      <c r="B43" s="168" t="s">
        <v>196</v>
      </c>
      <c r="C43" s="169"/>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70"/>
      <c r="AC43" s="8">
        <f t="shared" si="1"/>
        <v>454</v>
      </c>
    </row>
    <row r="44" spans="1:29" ht="77.25" customHeight="1">
      <c r="A44" s="88" t="str">
        <f t="shared" si="0"/>
        <v>小口 恵人</v>
      </c>
      <c r="B44" s="168" t="s">
        <v>197</v>
      </c>
      <c r="C44" s="169"/>
      <c r="D44" s="169"/>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70"/>
      <c r="AC44" s="8">
        <f t="shared" si="1"/>
        <v>429</v>
      </c>
    </row>
    <row r="45" spans="1:29" ht="77.25" customHeight="1">
      <c r="A45" s="88" t="str">
        <f t="shared" si="0"/>
        <v>海瀬 晴仁</v>
      </c>
      <c r="B45" s="168" t="s">
        <v>198</v>
      </c>
      <c r="C45" s="169"/>
      <c r="D45" s="169"/>
      <c r="E45" s="169"/>
      <c r="F45" s="169"/>
      <c r="G45" s="169"/>
      <c r="H45" s="169"/>
      <c r="I45" s="169"/>
      <c r="J45" s="169"/>
      <c r="K45" s="169"/>
      <c r="L45" s="169"/>
      <c r="M45" s="169"/>
      <c r="N45" s="169"/>
      <c r="O45" s="169"/>
      <c r="P45" s="169"/>
      <c r="Q45" s="169"/>
      <c r="R45" s="169"/>
      <c r="S45" s="169"/>
      <c r="T45" s="169"/>
      <c r="U45" s="169"/>
      <c r="V45" s="169"/>
      <c r="W45" s="169"/>
      <c r="X45" s="169"/>
      <c r="Y45" s="169"/>
      <c r="Z45" s="169"/>
      <c r="AA45" s="169"/>
      <c r="AB45" s="170"/>
      <c r="AC45" s="8">
        <f t="shared" si="1"/>
        <v>448</v>
      </c>
    </row>
    <row r="46" spans="1:29" ht="77.25" customHeight="1">
      <c r="A46" s="88" t="str">
        <f t="shared" si="0"/>
        <v>金子 愛奈</v>
      </c>
      <c r="B46" s="168" t="s">
        <v>156</v>
      </c>
      <c r="C46" s="169"/>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169"/>
      <c r="AB46" s="170"/>
      <c r="AC46" s="8">
        <f t="shared" si="1"/>
        <v>418</v>
      </c>
    </row>
    <row r="47" spans="1:29" ht="77.25" customHeight="1">
      <c r="A47" s="88" t="str">
        <f t="shared" si="0"/>
        <v>上條 結衣</v>
      </c>
      <c r="B47" s="168" t="s">
        <v>199</v>
      </c>
      <c r="C47" s="169"/>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169"/>
      <c r="AB47" s="170"/>
      <c r="AC47" s="8">
        <f t="shared" si="1"/>
        <v>421</v>
      </c>
    </row>
    <row r="48" spans="1:29" ht="77.25" customHeight="1">
      <c r="A48" s="88" t="str">
        <f t="shared" si="0"/>
        <v>鴨居 鈴佳</v>
      </c>
      <c r="B48" s="168" t="s">
        <v>200</v>
      </c>
      <c r="C48" s="169"/>
      <c r="D48" s="169"/>
      <c r="E48" s="169"/>
      <c r="F48" s="169"/>
      <c r="G48" s="169"/>
      <c r="H48" s="169"/>
      <c r="I48" s="169"/>
      <c r="J48" s="169"/>
      <c r="K48" s="169"/>
      <c r="L48" s="169"/>
      <c r="M48" s="169"/>
      <c r="N48" s="169"/>
      <c r="O48" s="169"/>
      <c r="P48" s="169"/>
      <c r="Q48" s="169"/>
      <c r="R48" s="169"/>
      <c r="S48" s="169"/>
      <c r="T48" s="169"/>
      <c r="U48" s="169"/>
      <c r="V48" s="169"/>
      <c r="W48" s="169"/>
      <c r="X48" s="169"/>
      <c r="Y48" s="169"/>
      <c r="Z48" s="169"/>
      <c r="AA48" s="169"/>
      <c r="AB48" s="170"/>
      <c r="AC48" s="8">
        <f t="shared" si="1"/>
        <v>416</v>
      </c>
    </row>
    <row r="49" spans="1:29" ht="77.25" customHeight="1">
      <c r="A49" s="88" t="str">
        <f t="shared" si="0"/>
        <v>久保田 陽佳</v>
      </c>
      <c r="B49" s="168" t="s">
        <v>201</v>
      </c>
      <c r="C49" s="169"/>
      <c r="D49" s="169"/>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70"/>
      <c r="AC49" s="8">
        <f t="shared" si="1"/>
        <v>432</v>
      </c>
    </row>
    <row r="50" spans="1:29" ht="77.25" customHeight="1">
      <c r="A50" s="88" t="str">
        <f t="shared" si="0"/>
        <v>小松 賢史</v>
      </c>
      <c r="B50" s="168" t="s">
        <v>157</v>
      </c>
      <c r="C50" s="169"/>
      <c r="D50" s="169"/>
      <c r="E50" s="169"/>
      <c r="F50" s="169"/>
      <c r="G50" s="169"/>
      <c r="H50" s="169"/>
      <c r="I50" s="169"/>
      <c r="J50" s="169"/>
      <c r="K50" s="169"/>
      <c r="L50" s="169"/>
      <c r="M50" s="169"/>
      <c r="N50" s="169"/>
      <c r="O50" s="169"/>
      <c r="P50" s="169"/>
      <c r="Q50" s="169"/>
      <c r="R50" s="169"/>
      <c r="S50" s="169"/>
      <c r="T50" s="169"/>
      <c r="U50" s="169"/>
      <c r="V50" s="169"/>
      <c r="W50" s="169"/>
      <c r="X50" s="169"/>
      <c r="Y50" s="169"/>
      <c r="Z50" s="169"/>
      <c r="AA50" s="169"/>
      <c r="AB50" s="170"/>
      <c r="AC50" s="8">
        <f t="shared" si="1"/>
        <v>429</v>
      </c>
    </row>
    <row r="51" spans="1:29" ht="77.25" customHeight="1">
      <c r="A51" s="88" t="str">
        <f>A25</f>
        <v>塩原 七都</v>
      </c>
      <c r="B51" s="168" t="s">
        <v>202</v>
      </c>
      <c r="C51" s="169"/>
      <c r="D51" s="169"/>
      <c r="E51" s="169"/>
      <c r="F51" s="169"/>
      <c r="G51" s="169"/>
      <c r="H51" s="169"/>
      <c r="I51" s="169"/>
      <c r="J51" s="169"/>
      <c r="K51" s="169"/>
      <c r="L51" s="169"/>
      <c r="M51" s="169"/>
      <c r="N51" s="169"/>
      <c r="O51" s="169"/>
      <c r="P51" s="169"/>
      <c r="Q51" s="169"/>
      <c r="R51" s="169"/>
      <c r="S51" s="169"/>
      <c r="T51" s="169"/>
      <c r="U51" s="169"/>
      <c r="V51" s="169"/>
      <c r="W51" s="169"/>
      <c r="X51" s="169"/>
      <c r="Y51" s="169"/>
      <c r="Z51" s="169"/>
      <c r="AA51" s="169"/>
      <c r="AB51" s="170"/>
      <c r="AC51" s="8">
        <f t="shared" si="1"/>
        <v>419</v>
      </c>
    </row>
    <row r="52" spans="1:29" ht="77.25" customHeight="1">
      <c r="A52" s="88" t="str">
        <f>A26</f>
        <v>新保 菜々香</v>
      </c>
      <c r="B52" s="168" t="s">
        <v>203</v>
      </c>
      <c r="C52" s="169"/>
      <c r="D52" s="169"/>
      <c r="E52" s="169"/>
      <c r="F52" s="169"/>
      <c r="G52" s="169"/>
      <c r="H52" s="169"/>
      <c r="I52" s="169"/>
      <c r="J52" s="169"/>
      <c r="K52" s="169"/>
      <c r="L52" s="169"/>
      <c r="M52" s="169"/>
      <c r="N52" s="169"/>
      <c r="O52" s="169"/>
      <c r="P52" s="169"/>
      <c r="Q52" s="169"/>
      <c r="R52" s="169"/>
      <c r="S52" s="169"/>
      <c r="T52" s="169"/>
      <c r="U52" s="169"/>
      <c r="V52" s="169"/>
      <c r="W52" s="169"/>
      <c r="X52" s="169"/>
      <c r="Y52" s="169"/>
      <c r="Z52" s="169"/>
      <c r="AA52" s="169"/>
      <c r="AB52" s="170"/>
      <c r="AC52" s="8">
        <f t="shared" si="1"/>
        <v>418</v>
      </c>
    </row>
    <row r="53" spans="1:29" ht="77.25" customHeight="1">
      <c r="A53" s="88" t="str">
        <f t="shared" ref="A53:A63" si="2">A27</f>
        <v>田中 百</v>
      </c>
      <c r="B53" s="168" t="s">
        <v>243</v>
      </c>
      <c r="C53" s="169"/>
      <c r="D53" s="169"/>
      <c r="E53" s="169"/>
      <c r="F53" s="169"/>
      <c r="G53" s="169"/>
      <c r="H53" s="169"/>
      <c r="I53" s="169"/>
      <c r="J53" s="169"/>
      <c r="K53" s="169"/>
      <c r="L53" s="169"/>
      <c r="M53" s="169"/>
      <c r="N53" s="169"/>
      <c r="O53" s="169"/>
      <c r="P53" s="169"/>
      <c r="Q53" s="169"/>
      <c r="R53" s="169"/>
      <c r="S53" s="169"/>
      <c r="T53" s="169"/>
      <c r="U53" s="169"/>
      <c r="V53" s="169"/>
      <c r="W53" s="169"/>
      <c r="X53" s="169"/>
      <c r="Y53" s="169"/>
      <c r="Z53" s="169"/>
      <c r="AA53" s="169"/>
      <c r="AB53" s="170"/>
      <c r="AC53" s="8">
        <f t="shared" si="1"/>
        <v>407</v>
      </c>
    </row>
    <row r="54" spans="1:29" ht="77.25" customHeight="1">
      <c r="A54" s="88" t="str">
        <f t="shared" si="2"/>
        <v>中村 妃花</v>
      </c>
      <c r="B54" s="168" t="s">
        <v>158</v>
      </c>
      <c r="C54" s="169"/>
      <c r="D54" s="169"/>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70"/>
      <c r="AC54" s="8">
        <f t="shared" si="1"/>
        <v>437</v>
      </c>
    </row>
    <row r="55" spans="1:29" ht="77.25" customHeight="1">
      <c r="A55" s="88" t="str">
        <f t="shared" si="2"/>
        <v>林 樹李</v>
      </c>
      <c r="B55" s="168" t="s">
        <v>159</v>
      </c>
      <c r="C55" s="169"/>
      <c r="D55" s="169"/>
      <c r="E55" s="169"/>
      <c r="F55" s="169"/>
      <c r="G55" s="169"/>
      <c r="H55" s="169"/>
      <c r="I55" s="169"/>
      <c r="J55" s="169"/>
      <c r="K55" s="169"/>
      <c r="L55" s="169"/>
      <c r="M55" s="169"/>
      <c r="N55" s="169"/>
      <c r="O55" s="169"/>
      <c r="P55" s="169"/>
      <c r="Q55" s="169"/>
      <c r="R55" s="169"/>
      <c r="S55" s="169"/>
      <c r="T55" s="169"/>
      <c r="U55" s="169"/>
      <c r="V55" s="169"/>
      <c r="W55" s="169"/>
      <c r="X55" s="169"/>
      <c r="Y55" s="169"/>
      <c r="Z55" s="169"/>
      <c r="AA55" s="169"/>
      <c r="AB55" s="170"/>
      <c r="AC55" s="8">
        <f t="shared" si="1"/>
        <v>414</v>
      </c>
    </row>
    <row r="56" spans="1:29" ht="77.25" customHeight="1">
      <c r="A56" s="88" t="str">
        <f t="shared" si="2"/>
        <v>原田 樹生</v>
      </c>
      <c r="B56" s="168" t="s">
        <v>160</v>
      </c>
      <c r="C56" s="169"/>
      <c r="D56" s="169"/>
      <c r="E56" s="169"/>
      <c r="F56" s="169"/>
      <c r="G56" s="169"/>
      <c r="H56" s="169"/>
      <c r="I56" s="169"/>
      <c r="J56" s="169"/>
      <c r="K56" s="169"/>
      <c r="L56" s="169"/>
      <c r="M56" s="169"/>
      <c r="N56" s="169"/>
      <c r="O56" s="169"/>
      <c r="P56" s="169"/>
      <c r="Q56" s="169"/>
      <c r="R56" s="169"/>
      <c r="S56" s="169"/>
      <c r="T56" s="169"/>
      <c r="U56" s="169"/>
      <c r="V56" s="169"/>
      <c r="W56" s="169"/>
      <c r="X56" s="169"/>
      <c r="Y56" s="169"/>
      <c r="Z56" s="169"/>
      <c r="AA56" s="169"/>
      <c r="AB56" s="170"/>
      <c r="AC56" s="8">
        <f t="shared" si="1"/>
        <v>437</v>
      </c>
    </row>
    <row r="57" spans="1:29" ht="77.25" customHeight="1">
      <c r="A57" s="88" t="str">
        <f t="shared" si="2"/>
        <v>平野 鈴</v>
      </c>
      <c r="B57" s="168" t="s">
        <v>204</v>
      </c>
      <c r="C57" s="169"/>
      <c r="D57" s="169"/>
      <c r="E57" s="169"/>
      <c r="F57" s="169"/>
      <c r="G57" s="169"/>
      <c r="H57" s="169"/>
      <c r="I57" s="169"/>
      <c r="J57" s="169"/>
      <c r="K57" s="169"/>
      <c r="L57" s="169"/>
      <c r="M57" s="169"/>
      <c r="N57" s="169"/>
      <c r="O57" s="169"/>
      <c r="P57" s="169"/>
      <c r="Q57" s="169"/>
      <c r="R57" s="169"/>
      <c r="S57" s="169"/>
      <c r="T57" s="169"/>
      <c r="U57" s="169"/>
      <c r="V57" s="169"/>
      <c r="W57" s="169"/>
      <c r="X57" s="169"/>
      <c r="Y57" s="169"/>
      <c r="Z57" s="169"/>
      <c r="AA57" s="169"/>
      <c r="AB57" s="170"/>
      <c r="AC57" s="8">
        <f t="shared" si="1"/>
        <v>446</v>
      </c>
    </row>
    <row r="58" spans="1:29" ht="77.25" customHeight="1">
      <c r="A58" s="88" t="str">
        <f t="shared" si="2"/>
        <v>布施谷 碧衣</v>
      </c>
      <c r="B58" s="168" t="s">
        <v>161</v>
      </c>
      <c r="C58" s="169"/>
      <c r="D58" s="169"/>
      <c r="E58" s="169"/>
      <c r="F58" s="169"/>
      <c r="G58" s="169"/>
      <c r="H58" s="169"/>
      <c r="I58" s="169"/>
      <c r="J58" s="169"/>
      <c r="K58" s="169"/>
      <c r="L58" s="169"/>
      <c r="M58" s="169"/>
      <c r="N58" s="169"/>
      <c r="O58" s="169"/>
      <c r="P58" s="169"/>
      <c r="Q58" s="169"/>
      <c r="R58" s="169"/>
      <c r="S58" s="169"/>
      <c r="T58" s="169"/>
      <c r="U58" s="169"/>
      <c r="V58" s="169"/>
      <c r="W58" s="169"/>
      <c r="X58" s="169"/>
      <c r="Y58" s="169"/>
      <c r="Z58" s="169"/>
      <c r="AA58" s="169"/>
      <c r="AB58" s="170"/>
      <c r="AC58" s="8">
        <f t="shared" si="1"/>
        <v>401</v>
      </c>
    </row>
    <row r="59" spans="1:29" ht="77.25" customHeight="1">
      <c r="A59" s="88" t="str">
        <f t="shared" si="2"/>
        <v>吉澤 維月</v>
      </c>
      <c r="B59" s="168" t="s">
        <v>205</v>
      </c>
      <c r="C59" s="169"/>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70"/>
      <c r="AC59" s="8">
        <f t="shared" si="1"/>
        <v>423</v>
      </c>
    </row>
    <row r="60" spans="1:29" ht="77.25" customHeight="1">
      <c r="A60" s="88" t="str">
        <f t="shared" si="2"/>
        <v>若林 樹</v>
      </c>
      <c r="B60" s="168" t="s">
        <v>206</v>
      </c>
      <c r="C60" s="169"/>
      <c r="D60" s="169"/>
      <c r="E60" s="169"/>
      <c r="F60" s="169"/>
      <c r="G60" s="169"/>
      <c r="H60" s="169"/>
      <c r="I60" s="169"/>
      <c r="J60" s="169"/>
      <c r="K60" s="169"/>
      <c r="L60" s="169"/>
      <c r="M60" s="169"/>
      <c r="N60" s="169"/>
      <c r="O60" s="169"/>
      <c r="P60" s="169"/>
      <c r="Q60" s="169"/>
      <c r="R60" s="169"/>
      <c r="S60" s="169"/>
      <c r="T60" s="169"/>
      <c r="U60" s="169"/>
      <c r="V60" s="169"/>
      <c r="W60" s="169"/>
      <c r="X60" s="169"/>
      <c r="Y60" s="169"/>
      <c r="Z60" s="169"/>
      <c r="AA60" s="169"/>
      <c r="AB60" s="170"/>
      <c r="AC60" s="8">
        <f t="shared" si="1"/>
        <v>405</v>
      </c>
    </row>
    <row r="61" spans="1:29" ht="77.25" customHeight="1">
      <c r="A61" s="88">
        <f t="shared" si="2"/>
        <v>0</v>
      </c>
      <c r="B61" s="168"/>
      <c r="C61" s="169"/>
      <c r="D61" s="169"/>
      <c r="E61" s="169"/>
      <c r="F61" s="169"/>
      <c r="G61" s="169"/>
      <c r="H61" s="169"/>
      <c r="I61" s="169"/>
      <c r="J61" s="169"/>
      <c r="K61" s="169"/>
      <c r="L61" s="169"/>
      <c r="M61" s="169"/>
      <c r="N61" s="169"/>
      <c r="O61" s="169"/>
      <c r="P61" s="169"/>
      <c r="Q61" s="169"/>
      <c r="R61" s="169"/>
      <c r="S61" s="169"/>
      <c r="T61" s="169"/>
      <c r="U61" s="169"/>
      <c r="V61" s="169"/>
      <c r="W61" s="169"/>
      <c r="X61" s="169"/>
      <c r="Y61" s="169"/>
      <c r="Z61" s="169"/>
      <c r="AA61" s="169"/>
      <c r="AB61" s="170"/>
      <c r="AC61" s="8">
        <f t="shared" si="1"/>
        <v>0</v>
      </c>
    </row>
    <row r="62" spans="1:29" ht="77.25" customHeight="1">
      <c r="A62" s="88">
        <f t="shared" si="2"/>
        <v>0</v>
      </c>
      <c r="B62" s="168"/>
      <c r="C62" s="169"/>
      <c r="D62" s="169"/>
      <c r="E62" s="169"/>
      <c r="F62" s="169"/>
      <c r="G62" s="169"/>
      <c r="H62" s="169"/>
      <c r="I62" s="169"/>
      <c r="J62" s="169"/>
      <c r="K62" s="169"/>
      <c r="L62" s="169"/>
      <c r="M62" s="169"/>
      <c r="N62" s="169"/>
      <c r="O62" s="169"/>
      <c r="P62" s="169"/>
      <c r="Q62" s="169"/>
      <c r="R62" s="169"/>
      <c r="S62" s="169"/>
      <c r="T62" s="169"/>
      <c r="U62" s="169"/>
      <c r="V62" s="169"/>
      <c r="W62" s="169"/>
      <c r="X62" s="169"/>
      <c r="Y62" s="169"/>
      <c r="Z62" s="169"/>
      <c r="AA62" s="169"/>
      <c r="AB62" s="170"/>
      <c r="AC62" s="8">
        <f t="shared" si="1"/>
        <v>0</v>
      </c>
    </row>
    <row r="63" spans="1:29" ht="77.25" customHeight="1">
      <c r="A63" s="88">
        <f t="shared" si="2"/>
        <v>0</v>
      </c>
      <c r="B63" s="168"/>
      <c r="C63" s="169"/>
      <c r="D63" s="169"/>
      <c r="E63" s="169"/>
      <c r="F63" s="169"/>
      <c r="G63" s="169"/>
      <c r="H63" s="169"/>
      <c r="I63" s="169"/>
      <c r="J63" s="169"/>
      <c r="K63" s="169"/>
      <c r="L63" s="169"/>
      <c r="M63" s="169"/>
      <c r="N63" s="169"/>
      <c r="O63" s="169"/>
      <c r="P63" s="169"/>
      <c r="Q63" s="169"/>
      <c r="R63" s="169"/>
      <c r="S63" s="169"/>
      <c r="T63" s="169"/>
      <c r="U63" s="169"/>
      <c r="V63" s="169"/>
      <c r="W63" s="169"/>
      <c r="X63" s="169"/>
      <c r="Y63" s="169"/>
      <c r="Z63" s="169"/>
      <c r="AA63" s="169"/>
      <c r="AB63" s="170"/>
      <c r="AC63" s="8">
        <f t="shared" si="1"/>
        <v>0</v>
      </c>
    </row>
    <row r="64" spans="1:29"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row r="194" ht="17.25" customHeight="1"/>
    <row r="195" ht="17.25" customHeight="1"/>
    <row r="196" ht="17.25" customHeight="1"/>
    <row r="197" ht="17.25" customHeight="1"/>
    <row r="198" ht="17.25" customHeight="1"/>
    <row r="199" ht="17.25" customHeight="1"/>
    <row r="200" ht="17.25" customHeight="1"/>
    <row r="201" ht="17.25" customHeight="1"/>
    <row r="202" ht="17.25" customHeight="1"/>
  </sheetData>
  <mergeCells count="53">
    <mergeCell ref="B25:AB25"/>
    <mergeCell ref="B26:AB26"/>
    <mergeCell ref="B27:AB27"/>
    <mergeCell ref="B28:AB28"/>
    <mergeCell ref="B63:AB63"/>
    <mergeCell ref="B58:AB58"/>
    <mergeCell ref="B59:AB59"/>
    <mergeCell ref="B60:AB60"/>
    <mergeCell ref="B61:AB61"/>
    <mergeCell ref="B62:AB62"/>
    <mergeCell ref="B56:AB56"/>
    <mergeCell ref="B57:AB57"/>
    <mergeCell ref="B46:AB46"/>
    <mergeCell ref="B47:AB47"/>
    <mergeCell ref="B48:AB48"/>
    <mergeCell ref="B49:AB49"/>
    <mergeCell ref="B50:AB50"/>
    <mergeCell ref="B51:AB51"/>
    <mergeCell ref="B52:AB52"/>
    <mergeCell ref="B53:AB53"/>
    <mergeCell ref="B54:AB54"/>
    <mergeCell ref="B55:AB55"/>
    <mergeCell ref="A2:A9"/>
    <mergeCell ref="A12:AB12"/>
    <mergeCell ref="B13:AB13"/>
    <mergeCell ref="B14:AB14"/>
    <mergeCell ref="B15:AB15"/>
    <mergeCell ref="B16:AB16"/>
    <mergeCell ref="B17:AB17"/>
    <mergeCell ref="B18:AB18"/>
    <mergeCell ref="B39:AB39"/>
    <mergeCell ref="B40:AB40"/>
    <mergeCell ref="B29:AB29"/>
    <mergeCell ref="B30:AB30"/>
    <mergeCell ref="B31:AB31"/>
    <mergeCell ref="B32:AB32"/>
    <mergeCell ref="B33:AB33"/>
    <mergeCell ref="B45:AB45"/>
    <mergeCell ref="B19:AB19"/>
    <mergeCell ref="B41:AB41"/>
    <mergeCell ref="B42:AB42"/>
    <mergeCell ref="B43:AB43"/>
    <mergeCell ref="B44:AB44"/>
    <mergeCell ref="B34:AB34"/>
    <mergeCell ref="B35:AB35"/>
    <mergeCell ref="B36:AB36"/>
    <mergeCell ref="B37:AB37"/>
    <mergeCell ref="A38:AB38"/>
    <mergeCell ref="B20:AB20"/>
    <mergeCell ref="B21:AB21"/>
    <mergeCell ref="B22:AB22"/>
    <mergeCell ref="B23:AB23"/>
    <mergeCell ref="B24:AB24"/>
  </mergeCells>
  <phoneticPr fontId="1"/>
  <conditionalFormatting sqref="AC39:AC50 AC52:AC63">
    <cfRule type="cellIs" dxfId="5" priority="4" operator="greaterThan">
      <formula>450</formula>
    </cfRule>
    <cfRule type="cellIs" dxfId="4" priority="5" operator="lessThan">
      <formula>400</formula>
    </cfRule>
    <cfRule type="cellIs" dxfId="3" priority="6" operator="between">
      <formula>400</formula>
      <formula>450</formula>
    </cfRule>
  </conditionalFormatting>
  <conditionalFormatting sqref="AC51">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disabled" allowBlank="1" showDropDown="1" showInputMessage="1" showErrorMessage="1" errorTitle="全角文字エラー" error="半角ABC=を入れて下さい。" sqref="D2:AB11">
      <formula1>$AC$2:$AC$5</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AC159"/>
  <sheetViews>
    <sheetView workbookViewId="0">
      <selection sqref="A1:XFD1048576"/>
    </sheetView>
  </sheetViews>
  <sheetFormatPr defaultRowHeight="13.5"/>
  <cols>
    <col min="1" max="1" width="13.5" style="8" customWidth="1"/>
    <col min="2" max="2" width="7.5" style="8" customWidth="1"/>
    <col min="3" max="3" width="9.375" style="8" customWidth="1"/>
    <col min="4" max="28" width="6.875" style="8" customWidth="1"/>
    <col min="29" max="16384" width="9" style="8"/>
  </cols>
  <sheetData>
    <row r="1" spans="1:29" ht="85.5" customHeight="1">
      <c r="A1" s="183" t="str">
        <f ca="1">MID(CELL("filename",A1),FIND("[",CELL("filename",A1))+1,3)</f>
        <v>５－２</v>
      </c>
      <c r="B1" s="184"/>
      <c r="C1" s="185"/>
      <c r="D1" s="71" t="str">
        <f>A10</f>
        <v>伊藤 せな</v>
      </c>
      <c r="E1" s="71" t="str">
        <f>A11</f>
        <v>今井 帆夏</v>
      </c>
      <c r="F1" s="71" t="str">
        <f>A12</f>
        <v>上原 一十</v>
      </c>
      <c r="G1" s="71" t="str">
        <f>A13</f>
        <v>上原 誠太</v>
      </c>
      <c r="H1" s="71" t="str">
        <f>A14</f>
        <v>太田 奏佑</v>
      </c>
      <c r="I1" s="71" t="str">
        <f>A15</f>
        <v>小口 恵人</v>
      </c>
      <c r="J1" s="71" t="str">
        <f>A16</f>
        <v>海瀬 晴仁</v>
      </c>
      <c r="K1" s="71" t="str">
        <f>A17</f>
        <v>金子 愛奈</v>
      </c>
      <c r="L1" s="71" t="str">
        <f>A18</f>
        <v>上條 結衣</v>
      </c>
      <c r="M1" s="71" t="str">
        <f>A19</f>
        <v>鴨居 鈴佳</v>
      </c>
      <c r="N1" s="71" t="str">
        <f>A20</f>
        <v>久保田 陽佳</v>
      </c>
      <c r="O1" s="71" t="str">
        <f>A21</f>
        <v>小松 賢史</v>
      </c>
      <c r="P1" s="71" t="str">
        <f>A22</f>
        <v>塩原 七都</v>
      </c>
      <c r="Q1" s="71" t="str">
        <f>A23</f>
        <v>新保 菜々香</v>
      </c>
      <c r="R1" s="71" t="str">
        <f>A24</f>
        <v>田中 百</v>
      </c>
      <c r="S1" s="71" t="str">
        <f>A25</f>
        <v>中村 妃花</v>
      </c>
      <c r="T1" s="71" t="str">
        <f>A26</f>
        <v>林 樹李</v>
      </c>
      <c r="U1" s="71" t="str">
        <f>A27</f>
        <v>原田 樹生</v>
      </c>
      <c r="V1" s="71" t="str">
        <f>A28</f>
        <v>平野 鈴</v>
      </c>
      <c r="W1" s="71" t="str">
        <f>A29</f>
        <v>布施谷 碧衣</v>
      </c>
      <c r="X1" s="71" t="str">
        <f>A30</f>
        <v>吉澤 維月</v>
      </c>
      <c r="Y1" s="71" t="str">
        <f>A31</f>
        <v>若林 樹</v>
      </c>
      <c r="Z1" s="71">
        <f>A32</f>
        <v>0</v>
      </c>
      <c r="AA1" s="71">
        <f>A33</f>
        <v>0</v>
      </c>
      <c r="AB1" s="71">
        <f>A34</f>
        <v>0</v>
      </c>
      <c r="AC1" s="37"/>
    </row>
    <row r="2" spans="1:29" ht="22.5" customHeight="1">
      <c r="A2" s="182" t="s">
        <v>34</v>
      </c>
      <c r="B2" s="182"/>
      <c r="C2" s="182"/>
      <c r="D2" s="89">
        <v>76</v>
      </c>
      <c r="E2" s="89">
        <v>76</v>
      </c>
      <c r="F2" s="89">
        <v>76</v>
      </c>
      <c r="G2" s="89">
        <v>76</v>
      </c>
      <c r="H2" s="89">
        <v>76</v>
      </c>
      <c r="I2" s="89">
        <v>76</v>
      </c>
      <c r="J2" s="89">
        <v>76</v>
      </c>
      <c r="K2" s="89">
        <v>76</v>
      </c>
      <c r="L2" s="89">
        <v>76</v>
      </c>
      <c r="M2" s="89">
        <v>76</v>
      </c>
      <c r="N2" s="89">
        <v>76</v>
      </c>
      <c r="O2" s="89">
        <v>76</v>
      </c>
      <c r="P2" s="89">
        <v>76</v>
      </c>
      <c r="Q2" s="89">
        <v>76</v>
      </c>
      <c r="R2" s="89">
        <v>76</v>
      </c>
      <c r="S2" s="89">
        <v>76</v>
      </c>
      <c r="T2" s="89">
        <v>76</v>
      </c>
      <c r="U2" s="89">
        <v>76</v>
      </c>
      <c r="V2" s="89">
        <v>76</v>
      </c>
      <c r="W2" s="89">
        <v>76</v>
      </c>
      <c r="X2" s="89">
        <v>76</v>
      </c>
      <c r="Y2" s="89">
        <v>76</v>
      </c>
      <c r="Z2" s="89"/>
      <c r="AA2" s="89"/>
      <c r="AB2" s="89"/>
    </row>
    <row r="3" spans="1:29" ht="22.5" customHeight="1">
      <c r="A3" s="182" t="s">
        <v>35</v>
      </c>
      <c r="B3" s="182"/>
      <c r="C3" s="182"/>
      <c r="D3" s="89">
        <v>0</v>
      </c>
      <c r="E3" s="89">
        <v>0</v>
      </c>
      <c r="F3" s="89">
        <v>0</v>
      </c>
      <c r="G3" s="89">
        <v>0</v>
      </c>
      <c r="H3" s="89">
        <v>0</v>
      </c>
      <c r="I3" s="89">
        <v>4</v>
      </c>
      <c r="J3" s="89">
        <v>0</v>
      </c>
      <c r="K3" s="89">
        <v>6</v>
      </c>
      <c r="L3" s="89">
        <v>0</v>
      </c>
      <c r="M3" s="89">
        <v>0</v>
      </c>
      <c r="N3" s="89">
        <v>0</v>
      </c>
      <c r="O3" s="89">
        <v>0</v>
      </c>
      <c r="P3" s="89">
        <v>0</v>
      </c>
      <c r="Q3" s="89">
        <v>4</v>
      </c>
      <c r="R3" s="89">
        <v>0</v>
      </c>
      <c r="S3" s="89">
        <v>0</v>
      </c>
      <c r="T3" s="89">
        <v>0</v>
      </c>
      <c r="U3" s="89">
        <v>0</v>
      </c>
      <c r="V3" s="89">
        <v>0</v>
      </c>
      <c r="W3" s="89">
        <v>0</v>
      </c>
      <c r="X3" s="89">
        <v>0</v>
      </c>
      <c r="Y3" s="89">
        <v>0</v>
      </c>
      <c r="Z3" s="89"/>
      <c r="AA3" s="89"/>
      <c r="AB3" s="89"/>
    </row>
    <row r="4" spans="1:29" ht="22.5" customHeight="1">
      <c r="A4" s="182" t="s">
        <v>36</v>
      </c>
      <c r="B4" s="182"/>
      <c r="C4" s="182"/>
      <c r="D4" s="52">
        <f t="shared" ref="D4:AB4" si="0">D2-D3</f>
        <v>76</v>
      </c>
      <c r="E4" s="52">
        <f t="shared" si="0"/>
        <v>76</v>
      </c>
      <c r="F4" s="52">
        <f t="shared" si="0"/>
        <v>76</v>
      </c>
      <c r="G4" s="52">
        <f t="shared" si="0"/>
        <v>76</v>
      </c>
      <c r="H4" s="52">
        <f t="shared" si="0"/>
        <v>76</v>
      </c>
      <c r="I4" s="52">
        <f t="shared" si="0"/>
        <v>72</v>
      </c>
      <c r="J4" s="52">
        <f t="shared" si="0"/>
        <v>76</v>
      </c>
      <c r="K4" s="52">
        <f t="shared" si="0"/>
        <v>70</v>
      </c>
      <c r="L4" s="52">
        <f t="shared" si="0"/>
        <v>76</v>
      </c>
      <c r="M4" s="52">
        <f t="shared" si="0"/>
        <v>76</v>
      </c>
      <c r="N4" s="52">
        <f t="shared" si="0"/>
        <v>76</v>
      </c>
      <c r="O4" s="52">
        <f t="shared" si="0"/>
        <v>76</v>
      </c>
      <c r="P4" s="52">
        <f t="shared" si="0"/>
        <v>76</v>
      </c>
      <c r="Q4" s="52">
        <f t="shared" si="0"/>
        <v>72</v>
      </c>
      <c r="R4" s="52">
        <f t="shared" si="0"/>
        <v>76</v>
      </c>
      <c r="S4" s="52">
        <f t="shared" si="0"/>
        <v>76</v>
      </c>
      <c r="T4" s="52">
        <f t="shared" si="0"/>
        <v>76</v>
      </c>
      <c r="U4" s="52">
        <f t="shared" si="0"/>
        <v>76</v>
      </c>
      <c r="V4" s="52">
        <f t="shared" si="0"/>
        <v>76</v>
      </c>
      <c r="W4" s="52">
        <f t="shared" si="0"/>
        <v>76</v>
      </c>
      <c r="X4" s="52">
        <f t="shared" si="0"/>
        <v>76</v>
      </c>
      <c r="Y4" s="52">
        <f t="shared" si="0"/>
        <v>76</v>
      </c>
      <c r="Z4" s="52">
        <f t="shared" si="0"/>
        <v>0</v>
      </c>
      <c r="AA4" s="52">
        <f t="shared" si="0"/>
        <v>0</v>
      </c>
      <c r="AB4" s="52">
        <f t="shared" si="0"/>
        <v>0</v>
      </c>
    </row>
    <row r="5" spans="1:29" ht="22.5" customHeight="1">
      <c r="A5" s="186" t="s">
        <v>244</v>
      </c>
      <c r="B5" s="187"/>
      <c r="C5" s="188"/>
      <c r="D5" s="52">
        <f t="shared" ref="D5:AB5" si="1">D4-D6</f>
        <v>76</v>
      </c>
      <c r="E5" s="52">
        <f t="shared" si="1"/>
        <v>72</v>
      </c>
      <c r="F5" s="52">
        <f t="shared" si="1"/>
        <v>48</v>
      </c>
      <c r="G5" s="52">
        <f t="shared" si="1"/>
        <v>76</v>
      </c>
      <c r="H5" s="52">
        <f t="shared" si="1"/>
        <v>75</v>
      </c>
      <c r="I5" s="52">
        <f t="shared" si="1"/>
        <v>70</v>
      </c>
      <c r="J5" s="52">
        <f t="shared" si="1"/>
        <v>71</v>
      </c>
      <c r="K5" s="52">
        <f t="shared" si="1"/>
        <v>69</v>
      </c>
      <c r="L5" s="52">
        <f t="shared" si="1"/>
        <v>76</v>
      </c>
      <c r="M5" s="52">
        <f t="shared" si="1"/>
        <v>75</v>
      </c>
      <c r="N5" s="52">
        <f t="shared" si="1"/>
        <v>76</v>
      </c>
      <c r="O5" s="52">
        <f t="shared" si="1"/>
        <v>74</v>
      </c>
      <c r="P5" s="52">
        <f t="shared" si="1"/>
        <v>76</v>
      </c>
      <c r="Q5" s="52">
        <f t="shared" si="1"/>
        <v>71</v>
      </c>
      <c r="R5" s="52">
        <f t="shared" si="1"/>
        <v>76</v>
      </c>
      <c r="S5" s="52">
        <f t="shared" si="1"/>
        <v>75</v>
      </c>
      <c r="T5" s="52">
        <f t="shared" si="1"/>
        <v>76</v>
      </c>
      <c r="U5" s="52">
        <f t="shared" si="1"/>
        <v>74</v>
      </c>
      <c r="V5" s="52">
        <f t="shared" si="1"/>
        <v>76</v>
      </c>
      <c r="W5" s="52">
        <f t="shared" si="1"/>
        <v>76</v>
      </c>
      <c r="X5" s="52">
        <f t="shared" si="1"/>
        <v>74</v>
      </c>
      <c r="Y5" s="52">
        <f t="shared" si="1"/>
        <v>76</v>
      </c>
      <c r="Z5" s="52">
        <f t="shared" si="1"/>
        <v>0</v>
      </c>
      <c r="AA5" s="52">
        <f t="shared" si="1"/>
        <v>0</v>
      </c>
      <c r="AB5" s="52">
        <f t="shared" si="1"/>
        <v>0</v>
      </c>
    </row>
    <row r="6" spans="1:29" ht="22.5" customHeight="1">
      <c r="A6" s="179" t="s">
        <v>245</v>
      </c>
      <c r="B6" s="180"/>
      <c r="C6" s="181"/>
      <c r="D6" s="89">
        <v>0</v>
      </c>
      <c r="E6" s="89">
        <v>4</v>
      </c>
      <c r="F6" s="89">
        <v>28</v>
      </c>
      <c r="G6" s="89">
        <v>0</v>
      </c>
      <c r="H6" s="89">
        <v>1</v>
      </c>
      <c r="I6" s="89">
        <v>2</v>
      </c>
      <c r="J6" s="89">
        <v>5</v>
      </c>
      <c r="K6" s="89">
        <v>1</v>
      </c>
      <c r="L6" s="89">
        <v>0</v>
      </c>
      <c r="M6" s="89">
        <v>1</v>
      </c>
      <c r="N6" s="89">
        <v>0</v>
      </c>
      <c r="O6" s="89">
        <v>2</v>
      </c>
      <c r="P6" s="89">
        <v>0</v>
      </c>
      <c r="Q6" s="89">
        <v>1</v>
      </c>
      <c r="R6" s="89">
        <v>0</v>
      </c>
      <c r="S6" s="89">
        <v>1</v>
      </c>
      <c r="T6" s="89">
        <v>0</v>
      </c>
      <c r="U6" s="89">
        <v>2</v>
      </c>
      <c r="V6" s="89">
        <v>0</v>
      </c>
      <c r="W6" s="89">
        <v>0</v>
      </c>
      <c r="X6" s="89">
        <v>2</v>
      </c>
      <c r="Y6" s="89">
        <v>0</v>
      </c>
      <c r="Z6" s="89"/>
      <c r="AA6" s="89"/>
      <c r="AB6" s="89"/>
    </row>
    <row r="7" spans="1:29" ht="22.5" customHeight="1">
      <c r="A7" s="182" t="s">
        <v>37</v>
      </c>
      <c r="B7" s="182"/>
      <c r="C7" s="182"/>
      <c r="D7" s="89">
        <v>0</v>
      </c>
      <c r="E7" s="89">
        <v>0</v>
      </c>
      <c r="F7" s="89">
        <v>35</v>
      </c>
      <c r="G7" s="89">
        <v>1</v>
      </c>
      <c r="H7" s="89">
        <v>1</v>
      </c>
      <c r="I7" s="89">
        <v>0</v>
      </c>
      <c r="J7" s="89">
        <v>0</v>
      </c>
      <c r="K7" s="89">
        <v>0</v>
      </c>
      <c r="L7" s="89">
        <v>0</v>
      </c>
      <c r="M7" s="89">
        <v>0</v>
      </c>
      <c r="N7" s="89">
        <v>0</v>
      </c>
      <c r="O7" s="89">
        <v>0</v>
      </c>
      <c r="P7" s="89">
        <v>0</v>
      </c>
      <c r="Q7" s="89">
        <v>0</v>
      </c>
      <c r="R7" s="89">
        <v>0</v>
      </c>
      <c r="S7" s="89">
        <v>0</v>
      </c>
      <c r="T7" s="89">
        <v>1</v>
      </c>
      <c r="U7" s="89">
        <v>0</v>
      </c>
      <c r="V7" s="89">
        <v>0</v>
      </c>
      <c r="W7" s="89">
        <v>0</v>
      </c>
      <c r="X7" s="89">
        <v>1</v>
      </c>
      <c r="Y7" s="89">
        <v>0</v>
      </c>
      <c r="Z7" s="89"/>
      <c r="AA7" s="89"/>
      <c r="AB7" s="89"/>
    </row>
    <row r="8" spans="1:29" ht="22.5" customHeight="1">
      <c r="A8" s="182" t="s">
        <v>38</v>
      </c>
      <c r="B8" s="182"/>
      <c r="C8" s="182"/>
      <c r="D8" s="89">
        <v>0</v>
      </c>
      <c r="E8" s="89">
        <v>0</v>
      </c>
      <c r="F8" s="89">
        <v>0</v>
      </c>
      <c r="G8" s="89">
        <v>0</v>
      </c>
      <c r="H8" s="89">
        <v>1</v>
      </c>
      <c r="I8" s="89">
        <v>1</v>
      </c>
      <c r="J8" s="89">
        <v>2</v>
      </c>
      <c r="K8" s="89">
        <v>0</v>
      </c>
      <c r="L8" s="89">
        <v>0</v>
      </c>
      <c r="M8" s="89">
        <v>0</v>
      </c>
      <c r="N8" s="89">
        <v>0</v>
      </c>
      <c r="O8" s="89">
        <v>0</v>
      </c>
      <c r="P8" s="89">
        <v>0</v>
      </c>
      <c r="Q8" s="89">
        <v>0</v>
      </c>
      <c r="R8" s="89">
        <v>0</v>
      </c>
      <c r="S8" s="89">
        <v>0</v>
      </c>
      <c r="T8" s="89">
        <v>0</v>
      </c>
      <c r="U8" s="89">
        <v>0</v>
      </c>
      <c r="V8" s="89">
        <v>0</v>
      </c>
      <c r="W8" s="89">
        <v>1</v>
      </c>
      <c r="X8" s="89">
        <v>0</v>
      </c>
      <c r="Y8" s="89">
        <v>0</v>
      </c>
      <c r="Z8" s="89"/>
      <c r="AA8" s="89"/>
      <c r="AB8" s="89"/>
    </row>
    <row r="9" spans="1:29" ht="22.5" customHeight="1">
      <c r="A9" s="176" t="s">
        <v>39</v>
      </c>
      <c r="B9" s="177"/>
      <c r="C9" s="177"/>
      <c r="D9" s="177"/>
      <c r="E9" s="177"/>
      <c r="F9" s="177"/>
      <c r="G9" s="177"/>
      <c r="H9" s="177"/>
      <c r="I9" s="177"/>
      <c r="J9" s="177"/>
      <c r="K9" s="177"/>
      <c r="L9" s="177"/>
      <c r="M9" s="177"/>
      <c r="N9" s="177"/>
      <c r="O9" s="177"/>
      <c r="P9" s="177"/>
      <c r="Q9" s="177"/>
      <c r="R9" s="177"/>
      <c r="S9" s="177"/>
      <c r="T9" s="177"/>
      <c r="U9" s="177"/>
      <c r="V9" s="177"/>
      <c r="W9" s="177"/>
      <c r="X9" s="177"/>
      <c r="Y9" s="177"/>
      <c r="Z9" s="177"/>
      <c r="AA9" s="177"/>
      <c r="AB9" s="178"/>
    </row>
    <row r="10" spans="1:29" ht="22.5" customHeight="1">
      <c r="A10" s="87" t="s">
        <v>68</v>
      </c>
      <c r="B10" s="153"/>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5"/>
    </row>
    <row r="11" spans="1:29" ht="22.5" customHeight="1">
      <c r="A11" s="87" t="s">
        <v>69</v>
      </c>
      <c r="B11" s="153" t="s">
        <v>162</v>
      </c>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5"/>
    </row>
    <row r="12" spans="1:29" ht="22.5" customHeight="1">
      <c r="A12" s="87" t="s">
        <v>70</v>
      </c>
      <c r="B12" s="153" t="s">
        <v>214</v>
      </c>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5"/>
    </row>
    <row r="13" spans="1:29" ht="22.5" customHeight="1">
      <c r="A13" s="87" t="s">
        <v>71</v>
      </c>
      <c r="B13" s="153" t="s">
        <v>163</v>
      </c>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5"/>
    </row>
    <row r="14" spans="1:29" ht="22.5" customHeight="1">
      <c r="A14" s="87" t="s">
        <v>72</v>
      </c>
      <c r="B14" s="153" t="s">
        <v>164</v>
      </c>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5"/>
    </row>
    <row r="15" spans="1:29" ht="22.5" customHeight="1">
      <c r="A15" s="87" t="s">
        <v>73</v>
      </c>
      <c r="B15" s="153" t="s">
        <v>207</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29" ht="22.5" customHeight="1">
      <c r="A16" s="87" t="s">
        <v>74</v>
      </c>
      <c r="B16" s="153" t="s">
        <v>215</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22.5" customHeight="1">
      <c r="A17" s="87" t="s">
        <v>75</v>
      </c>
      <c r="B17" s="153" t="s">
        <v>165</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22.5" customHeight="1">
      <c r="A18" s="87" t="s">
        <v>76</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22.5" customHeight="1">
      <c r="A19" s="87" t="s">
        <v>77</v>
      </c>
      <c r="B19" s="153" t="s">
        <v>208</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22.5" customHeight="1">
      <c r="A20" s="87" t="s">
        <v>78</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22.5" customHeight="1">
      <c r="A21" s="87" t="s">
        <v>79</v>
      </c>
      <c r="B21" s="153" t="s">
        <v>209</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22.5" customHeight="1">
      <c r="A22" s="87" t="s">
        <v>80</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22.5" customHeight="1">
      <c r="A23" s="87" t="s">
        <v>81</v>
      </c>
      <c r="B23" s="153" t="s">
        <v>216</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22.5" customHeight="1">
      <c r="A24" s="87" t="s">
        <v>82</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22.5" customHeight="1">
      <c r="A25" s="87" t="s">
        <v>83</v>
      </c>
      <c r="B25" s="153" t="s">
        <v>166</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22.5" customHeight="1">
      <c r="A26" s="87" t="s">
        <v>84</v>
      </c>
      <c r="B26" s="153" t="s">
        <v>167</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22.5" customHeight="1">
      <c r="A27" s="87" t="s">
        <v>85</v>
      </c>
      <c r="B27" s="153" t="s">
        <v>210</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22.5" customHeight="1">
      <c r="A28" s="87"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22.5" customHeight="1">
      <c r="A29" s="87" t="s">
        <v>87</v>
      </c>
      <c r="B29" s="153" t="s">
        <v>168</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22.5" customHeight="1">
      <c r="A30" s="87" t="s">
        <v>88</v>
      </c>
      <c r="B30" s="153" t="s">
        <v>211</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22.5" customHeight="1">
      <c r="A31" s="87" t="s">
        <v>89</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22.5" customHeight="1">
      <c r="A32" s="87"/>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22.5" customHeight="1">
      <c r="A33" s="87"/>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22.5" customHeight="1">
      <c r="A34" s="87"/>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17.25" customHeight="1"/>
    <row r="36" spans="1:28" ht="17.25" customHeight="1"/>
    <row r="37" spans="1:28" ht="17.25" customHeight="1"/>
    <row r="38" spans="1:28" ht="17.25" customHeight="1"/>
    <row r="39" spans="1:28" ht="17.25" customHeight="1"/>
    <row r="40" spans="1:28" ht="17.25" customHeight="1"/>
    <row r="41" spans="1:28" ht="17.25" customHeight="1"/>
    <row r="42" spans="1:28" ht="17.25" customHeight="1"/>
    <row r="43" spans="1:28" ht="17.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sheetData>
  <mergeCells count="34">
    <mergeCell ref="B33:AB33"/>
    <mergeCell ref="B34:AB34"/>
    <mergeCell ref="B20:AB20"/>
    <mergeCell ref="B21:AB21"/>
    <mergeCell ref="B22:AB22"/>
    <mergeCell ref="B23:AB23"/>
    <mergeCell ref="B24:AB24"/>
    <mergeCell ref="B28:AB28"/>
    <mergeCell ref="B29:AB29"/>
    <mergeCell ref="B30:AB30"/>
    <mergeCell ref="B31:AB31"/>
    <mergeCell ref="B32:AB32"/>
    <mergeCell ref="B26:AB26"/>
    <mergeCell ref="B27:AB27"/>
    <mergeCell ref="A1:C1"/>
    <mergeCell ref="A2:C2"/>
    <mergeCell ref="A3:C3"/>
    <mergeCell ref="A4:C4"/>
    <mergeCell ref="A5:C5"/>
    <mergeCell ref="A6:C6"/>
    <mergeCell ref="A7:C7"/>
    <mergeCell ref="A8:C8"/>
    <mergeCell ref="A9:AB9"/>
    <mergeCell ref="B25:AB25"/>
    <mergeCell ref="B10:AB10"/>
    <mergeCell ref="B11:AB11"/>
    <mergeCell ref="B12:AB12"/>
    <mergeCell ref="B13:AB13"/>
    <mergeCell ref="B14:AB14"/>
    <mergeCell ref="B15:AB15"/>
    <mergeCell ref="B16:AB16"/>
    <mergeCell ref="B17:AB17"/>
    <mergeCell ref="B18:AB18"/>
    <mergeCell ref="B19:AB19"/>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通知票</vt:lpstr>
      <vt:lpstr>所見集</vt:lpstr>
      <vt:lpstr>国語</vt:lpstr>
      <vt:lpstr>算数</vt:lpstr>
      <vt:lpstr>理科</vt:lpstr>
      <vt:lpstr>社会</vt:lpstr>
      <vt:lpstr>英語</vt:lpstr>
      <vt:lpstr>音楽</vt:lpstr>
      <vt:lpstr>図工</vt:lpstr>
      <vt:lpstr>体育</vt:lpstr>
      <vt:lpstr>家庭</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2024-07-17T11:07:08Z</cp:lastPrinted>
  <dcterms:created xsi:type="dcterms:W3CDTF">2005-07-21T09:07:06Z</dcterms:created>
  <dcterms:modified xsi:type="dcterms:W3CDTF">2024-07-17T11:07:14Z</dcterms:modified>
</cp:coreProperties>
</file>