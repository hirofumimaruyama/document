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15" yWindow="-15" windowWidth="11670" windowHeight="12660" tabRatio="783"/>
  </bookViews>
  <sheets>
    <sheet name="通知票" sheetId="1" r:id="rId1"/>
    <sheet name="所見集" sheetId="46" r:id="rId2"/>
    <sheet name="国語" sheetId="36" r:id="rId3"/>
    <sheet name="算数" sheetId="37" r:id="rId4"/>
    <sheet name="理科" sheetId="38" r:id="rId5"/>
    <sheet name="社会" sheetId="47" r:id="rId6"/>
    <sheet name="英語" sheetId="39" r:id="rId7"/>
    <sheet name="音楽" sheetId="40" r:id="rId8"/>
    <sheet name="図工" sheetId="41" r:id="rId9"/>
    <sheet name="体育" sheetId="42" r:id="rId10"/>
    <sheet name="家庭" sheetId="48" r:id="rId11"/>
    <sheet name="道徳" sheetId="43" r:id="rId12"/>
    <sheet name="所見" sheetId="44" r:id="rId13"/>
    <sheet name="出欠" sheetId="45" r:id="rId14"/>
  </sheets>
  <definedNames>
    <definedName name="_xlnm.Print_Area" localSheetId="1">所見集!$A$1:$C$16</definedName>
    <definedName name="_xlnm.Print_Area" localSheetId="0">通知票!$A$1:$I$91</definedName>
    <definedName name="至">通知票!$L$9</definedName>
    <definedName name="自">通知票!$K$9</definedName>
    <definedName name="番号">通知票!$B$2</definedName>
    <definedName name="番号2">所見集!$B$2</definedName>
  </definedNames>
  <calcPr calcId="152511"/>
</workbook>
</file>

<file path=xl/calcChain.xml><?xml version="1.0" encoding="utf-8"?>
<calcChain xmlns="http://schemas.openxmlformats.org/spreadsheetml/2006/main">
  <c r="AA5" i="45" l="1"/>
  <c r="X5" i="45"/>
  <c r="V5" i="45"/>
  <c r="S5" i="45"/>
  <c r="P5" i="45"/>
  <c r="N5" i="45"/>
  <c r="K5" i="45"/>
  <c r="H5" i="45"/>
  <c r="F5" i="45"/>
  <c r="AB4" i="45"/>
  <c r="AB5" i="45" s="1"/>
  <c r="AA4" i="45"/>
  <c r="Z4" i="45"/>
  <c r="Z5" i="45" s="1"/>
  <c r="Y4" i="45"/>
  <c r="Y5" i="45" s="1"/>
  <c r="X4" i="45"/>
  <c r="W4" i="45"/>
  <c r="W5" i="45" s="1"/>
  <c r="V4" i="45"/>
  <c r="U4" i="45"/>
  <c r="U5" i="45" s="1"/>
  <c r="T4" i="45"/>
  <c r="T5" i="45" s="1"/>
  <c r="S4" i="45"/>
  <c r="R4" i="45"/>
  <c r="R5" i="45" s="1"/>
  <c r="Q4" i="45"/>
  <c r="Q5" i="45" s="1"/>
  <c r="P4" i="45"/>
  <c r="O4" i="45"/>
  <c r="O5" i="45" s="1"/>
  <c r="N4" i="45"/>
  <c r="M4" i="45"/>
  <c r="M5" i="45" s="1"/>
  <c r="L4" i="45"/>
  <c r="L5" i="45" s="1"/>
  <c r="K4" i="45"/>
  <c r="J4" i="45"/>
  <c r="J5" i="45" s="1"/>
  <c r="I4" i="45"/>
  <c r="I5" i="45" s="1"/>
  <c r="H4" i="45"/>
  <c r="G4" i="45"/>
  <c r="G5" i="45" s="1"/>
  <c r="F4" i="45"/>
  <c r="E4" i="45"/>
  <c r="E5" i="45" s="1"/>
  <c r="D4" i="45"/>
  <c r="D5" i="45" s="1"/>
  <c r="AB1" i="45"/>
  <c r="AA1" i="45"/>
  <c r="Z1" i="45"/>
  <c r="Y1" i="45"/>
  <c r="X1" i="45"/>
  <c r="W1" i="45"/>
  <c r="V1" i="45"/>
  <c r="U1" i="45"/>
  <c r="T1" i="45"/>
  <c r="S1" i="45"/>
  <c r="R1" i="45"/>
  <c r="Q1" i="45"/>
  <c r="P1" i="45"/>
  <c r="O1" i="45"/>
  <c r="N1" i="45"/>
  <c r="M1" i="45"/>
  <c r="L1" i="45"/>
  <c r="K1" i="45"/>
  <c r="J1" i="45"/>
  <c r="I1" i="45"/>
  <c r="H1" i="45"/>
  <c r="G1" i="45"/>
  <c r="F1" i="45"/>
  <c r="E1" i="45"/>
  <c r="D1" i="45"/>
  <c r="A1" i="45"/>
  <c r="AC63" i="44" l="1"/>
  <c r="A63" i="44"/>
  <c r="AC62" i="44"/>
  <c r="A62" i="44"/>
  <c r="AC61" i="44"/>
  <c r="A61" i="44"/>
  <c r="AC60" i="44"/>
  <c r="A60" i="44"/>
  <c r="AC59" i="44"/>
  <c r="A59" i="44"/>
  <c r="AC58" i="44"/>
  <c r="A58" i="44"/>
  <c r="AC57" i="44"/>
  <c r="A57" i="44"/>
  <c r="AC56" i="44"/>
  <c r="A56" i="44"/>
  <c r="AC55" i="44"/>
  <c r="A55" i="44"/>
  <c r="AC54" i="44"/>
  <c r="A54" i="44"/>
  <c r="AC53" i="44"/>
  <c r="A53" i="44"/>
  <c r="AC52" i="44"/>
  <c r="A52" i="44"/>
  <c r="AC51" i="44"/>
  <c r="A51" i="44"/>
  <c r="AC50" i="44"/>
  <c r="A50" i="44"/>
  <c r="AC49" i="44"/>
  <c r="A49" i="44"/>
  <c r="AC48" i="44"/>
  <c r="A48" i="44"/>
  <c r="AC47" i="44"/>
  <c r="A47" i="44"/>
  <c r="AC46" i="44"/>
  <c r="A46" i="44"/>
  <c r="AC45" i="44"/>
  <c r="A45" i="44"/>
  <c r="AC44" i="44"/>
  <c r="A44" i="44"/>
  <c r="AC43" i="44"/>
  <c r="A43" i="44"/>
  <c r="AC42" i="44"/>
  <c r="A42" i="44"/>
  <c r="AC41" i="44"/>
  <c r="A41" i="44"/>
  <c r="AC40" i="44"/>
  <c r="A40" i="44"/>
  <c r="AC39" i="44"/>
  <c r="A39" i="44"/>
  <c r="AB1" i="44"/>
  <c r="AA1" i="44"/>
  <c r="Z1" i="44"/>
  <c r="Y1" i="44"/>
  <c r="X1" i="44"/>
  <c r="W1" i="44"/>
  <c r="V1" i="44"/>
  <c r="U1" i="44"/>
  <c r="T1" i="44"/>
  <c r="S1" i="44"/>
  <c r="R1" i="44"/>
  <c r="Q1" i="44"/>
  <c r="P1" i="44"/>
  <c r="O1" i="44"/>
  <c r="N1" i="44"/>
  <c r="M1" i="44"/>
  <c r="L1" i="44"/>
  <c r="K1" i="44"/>
  <c r="J1" i="44"/>
  <c r="I1" i="44"/>
  <c r="H1" i="44"/>
  <c r="G1" i="44"/>
  <c r="F1" i="44"/>
  <c r="E1" i="44"/>
  <c r="D1" i="44"/>
  <c r="A1" i="44"/>
  <c r="C27" i="43" l="1"/>
  <c r="C26" i="43"/>
  <c r="C25" i="43"/>
  <c r="C24" i="43"/>
  <c r="C23" i="43"/>
  <c r="C22" i="43"/>
  <c r="C21" i="43"/>
  <c r="C20" i="43"/>
  <c r="C19" i="43"/>
  <c r="C18" i="43"/>
  <c r="C17" i="43"/>
  <c r="C16" i="43"/>
  <c r="C15" i="43"/>
  <c r="C14" i="43"/>
  <c r="C13" i="43"/>
  <c r="C12" i="43"/>
  <c r="C11" i="43"/>
  <c r="C10" i="43"/>
  <c r="C9" i="43"/>
  <c r="C8" i="43"/>
  <c r="C7" i="43"/>
  <c r="C6" i="43"/>
  <c r="C5" i="43"/>
  <c r="C4" i="43"/>
  <c r="C3" i="43"/>
  <c r="B1" i="43"/>
  <c r="A1" i="43"/>
  <c r="AB1" i="48" l="1"/>
  <c r="AA1" i="48"/>
  <c r="Z1" i="48"/>
  <c r="Y1" i="48"/>
  <c r="X1" i="48"/>
  <c r="W1" i="48"/>
  <c r="V1" i="48"/>
  <c r="U1" i="48"/>
  <c r="T1" i="48"/>
  <c r="S1" i="48"/>
  <c r="R1" i="48"/>
  <c r="Q1" i="48"/>
  <c r="P1" i="48"/>
  <c r="O1" i="48"/>
  <c r="N1" i="48"/>
  <c r="M1" i="48"/>
  <c r="L1" i="48"/>
  <c r="K1" i="48"/>
  <c r="J1" i="48"/>
  <c r="I1" i="48"/>
  <c r="H1" i="48"/>
  <c r="G1" i="48"/>
  <c r="F1" i="48"/>
  <c r="E1" i="48"/>
  <c r="D1" i="48"/>
  <c r="B1" i="48"/>
  <c r="A1" i="48"/>
  <c r="AB1" i="42" l="1"/>
  <c r="AA1" i="42"/>
  <c r="Z1" i="42"/>
  <c r="Y1" i="42"/>
  <c r="X1" i="42"/>
  <c r="W1" i="42"/>
  <c r="V1" i="42"/>
  <c r="U1" i="42"/>
  <c r="T1" i="42"/>
  <c r="S1" i="42"/>
  <c r="R1" i="42"/>
  <c r="Q1" i="42"/>
  <c r="P1" i="42"/>
  <c r="O1" i="42"/>
  <c r="N1" i="42"/>
  <c r="M1" i="42"/>
  <c r="L1" i="42"/>
  <c r="K1" i="42"/>
  <c r="J1" i="42"/>
  <c r="I1" i="42"/>
  <c r="H1" i="42"/>
  <c r="G1" i="42"/>
  <c r="F1" i="42"/>
  <c r="E1" i="42"/>
  <c r="D1" i="42"/>
  <c r="B1" i="42"/>
  <c r="A1" i="42"/>
  <c r="AB1" i="41" l="1"/>
  <c r="AA1" i="41"/>
  <c r="Z1" i="41"/>
  <c r="Y1" i="41"/>
  <c r="X1" i="41"/>
  <c r="W1" i="41"/>
  <c r="V1" i="41"/>
  <c r="U1" i="41"/>
  <c r="T1" i="41"/>
  <c r="S1" i="41"/>
  <c r="R1" i="41"/>
  <c r="Q1" i="41"/>
  <c r="P1" i="41"/>
  <c r="O1" i="41"/>
  <c r="N1" i="41"/>
  <c r="M1" i="41"/>
  <c r="L1" i="41"/>
  <c r="K1" i="41"/>
  <c r="J1" i="41"/>
  <c r="I1" i="41"/>
  <c r="H1" i="41"/>
  <c r="G1" i="41"/>
  <c r="F1" i="41"/>
  <c r="E1" i="41"/>
  <c r="D1" i="41"/>
  <c r="B1" i="41"/>
  <c r="A1" i="41"/>
  <c r="AB1" i="40" l="1"/>
  <c r="AA1" i="40"/>
  <c r="Z1" i="40"/>
  <c r="Y1" i="40"/>
  <c r="X1" i="40"/>
  <c r="W1" i="40"/>
  <c r="V1" i="40"/>
  <c r="U1" i="40"/>
  <c r="T1" i="40"/>
  <c r="S1" i="40"/>
  <c r="R1" i="40"/>
  <c r="Q1" i="40"/>
  <c r="P1" i="40"/>
  <c r="O1" i="40"/>
  <c r="N1" i="40"/>
  <c r="M1" i="40"/>
  <c r="L1" i="40"/>
  <c r="K1" i="40"/>
  <c r="J1" i="40"/>
  <c r="I1" i="40"/>
  <c r="H1" i="40"/>
  <c r="G1" i="40"/>
  <c r="F1" i="40"/>
  <c r="E1" i="40"/>
  <c r="D1" i="40"/>
  <c r="B1" i="40"/>
  <c r="A1" i="40"/>
  <c r="AB1" i="39" l="1"/>
  <c r="AA1" i="39"/>
  <c r="Z1" i="39"/>
  <c r="Y1" i="39"/>
  <c r="X1" i="39"/>
  <c r="W1" i="39"/>
  <c r="V1" i="39"/>
  <c r="U1" i="39"/>
  <c r="T1" i="39"/>
  <c r="S1" i="39"/>
  <c r="R1" i="39"/>
  <c r="Q1" i="39"/>
  <c r="P1" i="39"/>
  <c r="O1" i="39"/>
  <c r="N1" i="39"/>
  <c r="M1" i="39"/>
  <c r="L1" i="39"/>
  <c r="K1" i="39"/>
  <c r="J1" i="39"/>
  <c r="I1" i="39"/>
  <c r="H1" i="39"/>
  <c r="G1" i="39"/>
  <c r="F1" i="39"/>
  <c r="E1" i="39"/>
  <c r="D1" i="39"/>
  <c r="B1" i="39"/>
  <c r="A1" i="39"/>
  <c r="AB1" i="47" l="1"/>
  <c r="AA1" i="47"/>
  <c r="Z1" i="47"/>
  <c r="Y1" i="47"/>
  <c r="X1" i="47"/>
  <c r="W1" i="47"/>
  <c r="V1" i="47"/>
  <c r="U1" i="47"/>
  <c r="T1" i="47"/>
  <c r="S1" i="47"/>
  <c r="R1" i="47"/>
  <c r="Q1" i="47"/>
  <c r="P1" i="47"/>
  <c r="O1" i="47"/>
  <c r="N1" i="47"/>
  <c r="M1" i="47"/>
  <c r="L1" i="47"/>
  <c r="K1" i="47"/>
  <c r="J1" i="47"/>
  <c r="I1" i="47"/>
  <c r="H1" i="47"/>
  <c r="G1" i="47"/>
  <c r="F1" i="47"/>
  <c r="E1" i="47"/>
  <c r="D1" i="47"/>
  <c r="B1" i="47"/>
  <c r="A1" i="47"/>
  <c r="AB1" i="38" l="1"/>
  <c r="AA1" i="38"/>
  <c r="Z1" i="38"/>
  <c r="Y1" i="38"/>
  <c r="X1" i="38"/>
  <c r="W1" i="38"/>
  <c r="V1" i="38"/>
  <c r="U1" i="38"/>
  <c r="T1" i="38"/>
  <c r="S1" i="38"/>
  <c r="R1" i="38"/>
  <c r="Q1" i="38"/>
  <c r="P1" i="38"/>
  <c r="O1" i="38"/>
  <c r="N1" i="38"/>
  <c r="M1" i="38"/>
  <c r="L1" i="38"/>
  <c r="K1" i="38"/>
  <c r="J1" i="38"/>
  <c r="I1" i="38"/>
  <c r="H1" i="38"/>
  <c r="G1" i="38"/>
  <c r="F1" i="38"/>
  <c r="E1" i="38"/>
  <c r="D1" i="38"/>
  <c r="B1" i="38"/>
  <c r="A1" i="38"/>
  <c r="AB1" i="37" l="1"/>
  <c r="AA1" i="37"/>
  <c r="Z1" i="37"/>
  <c r="Y1" i="37"/>
  <c r="X1" i="37"/>
  <c r="W1" i="37"/>
  <c r="V1" i="37"/>
  <c r="U1" i="37"/>
  <c r="T1" i="37"/>
  <c r="S1" i="37"/>
  <c r="R1" i="37"/>
  <c r="Q1" i="37"/>
  <c r="P1" i="37"/>
  <c r="O1" i="37"/>
  <c r="N1" i="37"/>
  <c r="M1" i="37"/>
  <c r="L1" i="37"/>
  <c r="K1" i="37"/>
  <c r="J1" i="37"/>
  <c r="I1" i="37"/>
  <c r="H1" i="37"/>
  <c r="G1" i="37"/>
  <c r="F1" i="37"/>
  <c r="E1" i="37"/>
  <c r="D1" i="37"/>
  <c r="B1" i="37"/>
  <c r="A1" i="37"/>
  <c r="AB1" i="36" l="1"/>
  <c r="AA1" i="36"/>
  <c r="Z1" i="36"/>
  <c r="Y1" i="36"/>
  <c r="X1" i="36"/>
  <c r="W1" i="36"/>
  <c r="V1" i="36"/>
  <c r="U1" i="36"/>
  <c r="T1" i="36"/>
  <c r="S1" i="36"/>
  <c r="R1" i="36"/>
  <c r="Q1" i="36"/>
  <c r="P1" i="36"/>
  <c r="O1" i="36"/>
  <c r="N1" i="36"/>
  <c r="M1" i="36"/>
  <c r="L1" i="36"/>
  <c r="K1" i="36"/>
  <c r="J1" i="36"/>
  <c r="I1" i="36"/>
  <c r="H1" i="36"/>
  <c r="G1" i="36"/>
  <c r="F1" i="36"/>
  <c r="E1" i="36"/>
  <c r="D1" i="36"/>
  <c r="B1" i="36"/>
  <c r="A1" i="36"/>
  <c r="L85" i="1" l="1"/>
  <c r="L19" i="1"/>
  <c r="A1" i="1" l="1"/>
  <c r="P22" i="1"/>
  <c r="P21" i="1"/>
  <c r="P14" i="1"/>
  <c r="P26" i="1"/>
  <c r="P28" i="1"/>
  <c r="P10" i="1"/>
  <c r="P25" i="1"/>
  <c r="P19" i="1"/>
  <c r="P16" i="1"/>
  <c r="P17" i="1"/>
  <c r="P20" i="1"/>
  <c r="B91" i="1"/>
  <c r="P29" i="1"/>
  <c r="P12" i="1"/>
  <c r="P13" i="1"/>
  <c r="P23" i="1"/>
  <c r="P9" i="1"/>
  <c r="P7" i="1"/>
  <c r="C16" i="46"/>
  <c r="P6" i="1"/>
  <c r="P18" i="1"/>
  <c r="P11" i="1"/>
  <c r="P27" i="1"/>
  <c r="P24" i="1"/>
  <c r="P8" i="1"/>
  <c r="P15" i="1"/>
  <c r="P30" i="1"/>
  <c r="B6" i="46" l="1"/>
  <c r="C6" i="46"/>
  <c r="G2" i="1"/>
  <c r="G51" i="1" l="1"/>
  <c r="B51" i="1"/>
  <c r="G22" i="1"/>
  <c r="B22" i="1"/>
  <c r="G21" i="1"/>
  <c r="B21" i="1"/>
  <c r="G20" i="1"/>
  <c r="B20" i="1"/>
  <c r="G14" i="1"/>
  <c r="B14" i="1"/>
  <c r="G13" i="1"/>
  <c r="B13" i="1"/>
  <c r="B12" i="46" l="1"/>
  <c r="C12" i="46"/>
  <c r="H68" i="1" l="1"/>
  <c r="G74" i="1"/>
  <c r="B74" i="1"/>
  <c r="G73" i="1"/>
  <c r="B73" i="1"/>
  <c r="G72" i="1"/>
  <c r="B72" i="1"/>
  <c r="G71" i="1"/>
  <c r="B71" i="1"/>
  <c r="G70" i="1"/>
  <c r="B70" i="1"/>
  <c r="G69" i="1"/>
  <c r="B69" i="1"/>
  <c r="G68" i="1"/>
  <c r="B68" i="1"/>
  <c r="G60" i="1"/>
  <c r="B60" i="1"/>
  <c r="G59" i="1"/>
  <c r="B59" i="1"/>
  <c r="G58" i="1"/>
  <c r="B58" i="1"/>
  <c r="G57" i="1"/>
  <c r="B57" i="1"/>
  <c r="G56" i="1"/>
  <c r="B56" i="1"/>
  <c r="G55" i="1"/>
  <c r="B55" i="1"/>
  <c r="G44" i="1"/>
  <c r="B44" i="1"/>
  <c r="G37" i="1"/>
  <c r="B37" i="1"/>
  <c r="G30" i="1"/>
  <c r="B30" i="1"/>
  <c r="G50" i="1" l="1"/>
  <c r="B50" i="1"/>
  <c r="G49" i="1"/>
  <c r="B49" i="1"/>
  <c r="G48" i="1"/>
  <c r="B48" i="1"/>
  <c r="G47" i="1"/>
  <c r="B47" i="1"/>
  <c r="G46" i="1"/>
  <c r="B46" i="1"/>
  <c r="B8" i="46" l="1"/>
  <c r="C7" i="46"/>
  <c r="C8" i="46"/>
  <c r="G67" i="1" l="1"/>
  <c r="B67" i="1"/>
  <c r="G66" i="1"/>
  <c r="B66" i="1"/>
  <c r="G65" i="1"/>
  <c r="B65" i="1"/>
  <c r="G64" i="1"/>
  <c r="B64" i="1"/>
  <c r="G63" i="1"/>
  <c r="B63" i="1"/>
  <c r="G62" i="1"/>
  <c r="B62" i="1"/>
  <c r="H31" i="1"/>
  <c r="G36" i="1"/>
  <c r="B36" i="1"/>
  <c r="G35" i="1"/>
  <c r="B35" i="1"/>
  <c r="G34" i="1"/>
  <c r="B34" i="1"/>
  <c r="G33" i="1"/>
  <c r="B33" i="1"/>
  <c r="G32" i="1"/>
  <c r="B32" i="1"/>
  <c r="G31" i="1"/>
  <c r="B31" i="1"/>
  <c r="B23" i="1"/>
  <c r="G29" i="1"/>
  <c r="B29" i="1"/>
  <c r="G28" i="1"/>
  <c r="B28" i="1"/>
  <c r="G27" i="1"/>
  <c r="B27" i="1"/>
  <c r="G26" i="1"/>
  <c r="B26" i="1"/>
  <c r="G25" i="1"/>
  <c r="B25" i="1"/>
  <c r="G24" i="1"/>
  <c r="B24" i="1"/>
  <c r="C1" i="1" l="1"/>
  <c r="B13" i="46" l="1"/>
  <c r="B11" i="46"/>
  <c r="B10" i="46"/>
  <c r="B9" i="46"/>
  <c r="B7" i="46"/>
  <c r="B5" i="46"/>
  <c r="A1" i="46"/>
  <c r="C5" i="46"/>
  <c r="C9" i="46"/>
  <c r="C2" i="46"/>
  <c r="B14" i="46"/>
  <c r="C13" i="46"/>
  <c r="C10" i="46"/>
  <c r="C11" i="46"/>
  <c r="C1" i="46" l="1"/>
  <c r="H61" i="1" l="1"/>
  <c r="G61" i="1"/>
  <c r="H54" i="1"/>
  <c r="G54" i="1"/>
  <c r="H45" i="1"/>
  <c r="G45" i="1"/>
  <c r="G43" i="1"/>
  <c r="G42" i="1"/>
  <c r="G41" i="1"/>
  <c r="G40" i="1"/>
  <c r="G39" i="1"/>
  <c r="H38" i="1"/>
  <c r="G38" i="1"/>
  <c r="H23" i="1"/>
  <c r="G23" i="1"/>
  <c r="G19" i="1"/>
  <c r="G18" i="1"/>
  <c r="G17" i="1"/>
  <c r="G16" i="1"/>
  <c r="H15" i="1"/>
  <c r="G15" i="1"/>
  <c r="I84" i="1"/>
  <c r="I83" i="1"/>
  <c r="I82" i="1"/>
  <c r="I81" i="1"/>
  <c r="I80" i="1"/>
  <c r="I79" i="1"/>
  <c r="I78" i="1"/>
  <c r="D87" i="1"/>
  <c r="D86" i="1"/>
  <c r="D85" i="1"/>
  <c r="D84" i="1"/>
  <c r="D83" i="1"/>
  <c r="D82" i="1"/>
  <c r="D81" i="1"/>
  <c r="D80" i="1"/>
  <c r="D79" i="1"/>
  <c r="D78" i="1"/>
  <c r="H6" i="1"/>
  <c r="G12" i="1"/>
  <c r="G11" i="1"/>
  <c r="G10" i="1"/>
  <c r="G9" i="1"/>
  <c r="G8" i="1"/>
  <c r="G7" i="1"/>
  <c r="G6" i="1"/>
  <c r="C89" i="1"/>
  <c r="F85" i="1"/>
  <c r="B75" i="1"/>
  <c r="A87" i="1" l="1"/>
  <c r="A86" i="1"/>
  <c r="A85" i="1"/>
  <c r="A84" i="1"/>
  <c r="A83" i="1"/>
  <c r="A82" i="1"/>
  <c r="A81" i="1"/>
  <c r="A80" i="1"/>
  <c r="A79" i="1"/>
  <c r="A78" i="1"/>
  <c r="B61" i="1"/>
  <c r="B54" i="1"/>
  <c r="B45" i="1"/>
  <c r="B43" i="1"/>
  <c r="B42" i="1"/>
  <c r="B41" i="1"/>
  <c r="B40" i="1"/>
  <c r="B39" i="1"/>
  <c r="B38" i="1"/>
  <c r="B19" i="1"/>
  <c r="B18" i="1"/>
  <c r="B17" i="1"/>
  <c r="B16" i="1"/>
  <c r="B15" i="1"/>
  <c r="B12" i="1"/>
  <c r="B11" i="1"/>
  <c r="B10" i="1"/>
  <c r="B9" i="1"/>
  <c r="B8" i="1"/>
  <c r="B7" i="1"/>
  <c r="B6" i="1"/>
</calcChain>
</file>

<file path=xl/sharedStrings.xml><?xml version="1.0" encoding="utf-8"?>
<sst xmlns="http://schemas.openxmlformats.org/spreadsheetml/2006/main" count="1324" uniqueCount="256">
  <si>
    <t>算数</t>
    <rPh sb="0" eb="2">
      <t>サンスウ</t>
    </rPh>
    <phoneticPr fontId="1"/>
  </si>
  <si>
    <t>図工</t>
    <rPh sb="0" eb="2">
      <t>ズコウ</t>
    </rPh>
    <phoneticPr fontId="1"/>
  </si>
  <si>
    <t>体育</t>
    <rPh sb="0" eb="2">
      <t>タイイク</t>
    </rPh>
    <phoneticPr fontId="1"/>
  </si>
  <si>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</si>
  <si>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</si>
  <si>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</si>
  <si>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</si>
  <si>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</si>
  <si>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</si>
  <si>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</si>
  <si>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</si>
  <si>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</si>
  <si>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</si>
  <si>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</si>
  <si>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</si>
  <si>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</si>
  <si>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</si>
  <si>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</si>
  <si>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</si>
  <si>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</si>
  <si>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</si>
  <si>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</si>
  <si>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r>
      <t>行動のようす</t>
    </r>
    <r>
      <rPr>
        <sz val="9"/>
        <rFont val="ＭＳ Ｐ明朝"/>
        <family val="1"/>
        <charset val="128"/>
      </rPr>
      <t>　A:十分　B:普通　C:不足</t>
    </r>
    <phoneticPr fontId="1"/>
  </si>
  <si>
    <t>特別活動</t>
    <phoneticPr fontId="1"/>
  </si>
  <si>
    <t>道徳</t>
    <rPh sb="0" eb="2">
      <t>ドウトク</t>
    </rPh>
    <phoneticPr fontId="1"/>
  </si>
  <si>
    <t>※注意※
この欄の名前は変更不可</t>
  </si>
  <si>
    <t>A～C</t>
  </si>
  <si>
    <t>１～５</t>
  </si>
  <si>
    <t>氏名</t>
  </si>
  <si>
    <t>今学期の様子（教科担任から学級担任へ）</t>
  </si>
  <si>
    <t>文字数</t>
    <rPh sb="0" eb="3">
      <t>もじすう</t>
    </rPh>
    <phoneticPr fontId="9" type="Hiragana" alignment="distributed"/>
  </si>
  <si>
    <t>行動の様子</t>
  </si>
  <si>
    <t>この項目は適宜変更して下さい。
※注意※
ただし、項目は１０個まで、少ない場合も行削除厳禁。</t>
  </si>
  <si>
    <t>特別活動 ※注意※改行せず、続けて文章を書いて下さい。</t>
  </si>
  <si>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</si>
  <si>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</si>
  <si>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</si>
  <si>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</si>
  <si>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</si>
  <si>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</si>
  <si>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</si>
  <si>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</si>
  <si>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</si>
  <si>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</si>
  <si>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</si>
  <si>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B</t>
  </si>
  <si>
    <t>A</t>
  </si>
  <si>
    <t>理科</t>
    <rPh sb="0" eb="2">
      <t>リカ</t>
    </rPh>
    <phoneticPr fontId="1"/>
  </si>
  <si>
    <t>社会</t>
    <rPh sb="0" eb="2">
      <t>シャカイ</t>
    </rPh>
    <phoneticPr fontId="1"/>
  </si>
  <si>
    <t>C</t>
  </si>
  <si>
    <t>家庭</t>
    <rPh sb="0" eb="2">
      <t>カテイ</t>
    </rPh>
    <phoneticPr fontId="1"/>
  </si>
  <si>
    <r>
      <t xml:space="preserve">学年
</t>
    </r>
    <r>
      <rPr>
        <sz val="9"/>
        <rFont val="ＭＳ Ｐ明朝"/>
        <family val="1"/>
        <charset val="128"/>
      </rPr>
      <t>(3学期)</t>
    </r>
    <rPh sb="5" eb="7">
      <t>ガッキ</t>
    </rPh>
    <phoneticPr fontId="1"/>
  </si>
  <si>
    <t>知識・技能（単元テスト・定期テスト）</t>
    <rPh sb="6" eb="8">
      <t>タンゲン</t>
    </rPh>
    <phoneticPr fontId="1"/>
  </si>
  <si>
    <t>知識・技能（単元テスト・定期テスト）</t>
  </si>
  <si>
    <t>思考力・表現力・判断力（単元テスト・定期テスト）</t>
  </si>
  <si>
    <t>主体的に学習に取り組む態度</t>
  </si>
  <si>
    <t>知識・技能（単元テスト・定期テスト）</t>
    <rPh sb="6" eb="8">
      <t>タンゲン</t>
    </rPh>
    <phoneticPr fontId="17"/>
  </si>
  <si>
    <t>C</t>
    <phoneticPr fontId="1"/>
  </si>
  <si>
    <t>思考力・表現力・判断力（単元テスト・定期テスト・俳句づくり、短歌づくり）</t>
    <rPh sb="24" eb="26">
      <t>ハイク</t>
    </rPh>
    <rPh sb="30" eb="32">
      <t>タンカ</t>
    </rPh>
    <phoneticPr fontId="17"/>
  </si>
  <si>
    <t>主体的に学習に取り組む態度（提出物・漢字テスト）</t>
    <rPh sb="14" eb="17">
      <t>テイシュツブツ</t>
    </rPh>
    <rPh sb="18" eb="20">
      <t>カンジ</t>
    </rPh>
    <phoneticPr fontId="1"/>
  </si>
  <si>
    <t>石田 真悠</t>
  </si>
  <si>
    <t>宿題は提出率、内容ともに良く感心です。授業中も、各単元の学習目標に到達しようと、懸命に課題に取り組むことができました。</t>
    <rPh sb="0" eb="2">
      <t>シュクダイ</t>
    </rPh>
    <rPh sb="3" eb="6">
      <t>テイシュツリツ</t>
    </rPh>
    <rPh sb="7" eb="9">
      <t>ナイヨウ</t>
    </rPh>
    <rPh sb="12" eb="13">
      <t>ヨ</t>
    </rPh>
    <rPh sb="14" eb="16">
      <t>カンシン</t>
    </rPh>
    <rPh sb="19" eb="22">
      <t>ジュギョウチュウ</t>
    </rPh>
    <rPh sb="24" eb="27">
      <t>カクタンゲン</t>
    </rPh>
    <rPh sb="28" eb="30">
      <t>ガクシュウ</t>
    </rPh>
    <rPh sb="30" eb="32">
      <t>モクヒョウ</t>
    </rPh>
    <rPh sb="33" eb="35">
      <t>トウタツ</t>
    </rPh>
    <rPh sb="40" eb="42">
      <t>ケンメイ</t>
    </rPh>
    <rPh sb="43" eb="45">
      <t>カダイ</t>
    </rPh>
    <rPh sb="46" eb="47">
      <t>ト</t>
    </rPh>
    <rPh sb="48" eb="49">
      <t>ク</t>
    </rPh>
    <phoneticPr fontId="1"/>
  </si>
  <si>
    <t>小口 慧乃</t>
  </si>
  <si>
    <t>漢字ノート、授業ノートを丁寧に書けています。漢字の定着に時間が掛かっているようです。</t>
    <rPh sb="0" eb="2">
      <t>カンジ</t>
    </rPh>
    <rPh sb="6" eb="8">
      <t>ジュギョウ</t>
    </rPh>
    <rPh sb="12" eb="14">
      <t>テイネイ</t>
    </rPh>
    <rPh sb="15" eb="16">
      <t>カ</t>
    </rPh>
    <rPh sb="22" eb="24">
      <t>カンジ</t>
    </rPh>
    <rPh sb="25" eb="27">
      <t>テイチャク</t>
    </rPh>
    <rPh sb="28" eb="30">
      <t>ジカン</t>
    </rPh>
    <rPh sb="31" eb="32">
      <t>カ</t>
    </rPh>
    <phoneticPr fontId="1"/>
  </si>
  <si>
    <t>小口 純聖</t>
  </si>
  <si>
    <t>出席率が低く、授業内容を理解しきれていない分、点数は伸びないのですが、力はあります。</t>
    <rPh sb="0" eb="3">
      <t>シュッセキリツ</t>
    </rPh>
    <rPh sb="4" eb="5">
      <t>ヒク</t>
    </rPh>
    <rPh sb="7" eb="11">
      <t>ジュギョウナイヨウ</t>
    </rPh>
    <rPh sb="12" eb="14">
      <t>リカイ</t>
    </rPh>
    <rPh sb="21" eb="22">
      <t>ブン</t>
    </rPh>
    <rPh sb="23" eb="25">
      <t>テンスウ</t>
    </rPh>
    <rPh sb="26" eb="27">
      <t>ノ</t>
    </rPh>
    <rPh sb="35" eb="36">
      <t>チカラ</t>
    </rPh>
    <phoneticPr fontId="1"/>
  </si>
  <si>
    <t>上島 快斗</t>
  </si>
  <si>
    <t>短歌や俳句作りに苦戦していました。漢字、部首などの知識問題での失点が大きいです。</t>
    <rPh sb="0" eb="2">
      <t>タンカ</t>
    </rPh>
    <rPh sb="3" eb="5">
      <t>ハイク</t>
    </rPh>
    <rPh sb="5" eb="6">
      <t>ツク</t>
    </rPh>
    <rPh sb="8" eb="10">
      <t>クセン</t>
    </rPh>
    <rPh sb="17" eb="19">
      <t>カンジ</t>
    </rPh>
    <rPh sb="20" eb="22">
      <t>ブシュ</t>
    </rPh>
    <rPh sb="25" eb="29">
      <t>チシキモンダイ</t>
    </rPh>
    <rPh sb="31" eb="33">
      <t>シッテン</t>
    </rPh>
    <rPh sb="34" eb="35">
      <t>オオ</t>
    </rPh>
    <phoneticPr fontId="1"/>
  </si>
  <si>
    <t>鴨居 史佳</t>
  </si>
  <si>
    <t>真面目に授業に取り組んでおり、基礎的な力は身に付いています。短歌や俳句作りに苦戦していました。</t>
    <rPh sb="0" eb="3">
      <t>マジメ</t>
    </rPh>
    <rPh sb="4" eb="6">
      <t>ジュギョウ</t>
    </rPh>
    <rPh sb="7" eb="8">
      <t>ト</t>
    </rPh>
    <rPh sb="9" eb="10">
      <t>ク</t>
    </rPh>
    <rPh sb="15" eb="18">
      <t>キソテキ</t>
    </rPh>
    <rPh sb="19" eb="20">
      <t>チカラ</t>
    </rPh>
    <rPh sb="21" eb="22">
      <t>ミ</t>
    </rPh>
    <rPh sb="23" eb="24">
      <t>ツ</t>
    </rPh>
    <phoneticPr fontId="1"/>
  </si>
  <si>
    <t>小山 聡介</t>
  </si>
  <si>
    <t>期末テストでは、クラスで一番の高得点であり、充分な力がついていると言えます。人前での発表では、強い緊張が見られました。短歌や俳句作りに苦戦していました。</t>
    <rPh sb="0" eb="2">
      <t>キマツ</t>
    </rPh>
    <rPh sb="12" eb="14">
      <t>イチバン</t>
    </rPh>
    <rPh sb="15" eb="18">
      <t>コウトクテン</t>
    </rPh>
    <rPh sb="22" eb="24">
      <t>ジュウブン</t>
    </rPh>
    <rPh sb="25" eb="26">
      <t>チカラ</t>
    </rPh>
    <rPh sb="33" eb="34">
      <t>イ</t>
    </rPh>
    <rPh sb="38" eb="40">
      <t>ヒトマエ</t>
    </rPh>
    <rPh sb="42" eb="44">
      <t>ハッピョウ</t>
    </rPh>
    <rPh sb="47" eb="48">
      <t>ツヨ</t>
    </rPh>
    <rPh sb="49" eb="51">
      <t>キンチョウ</t>
    </rPh>
    <rPh sb="52" eb="53">
      <t>ミ</t>
    </rPh>
    <phoneticPr fontId="1"/>
  </si>
  <si>
    <t>鈴木 哲生</t>
  </si>
  <si>
    <t>宿題の漢字ノートでは、とても丁寧な文字を書く日がありました。いつもそうだと良いのですが…。授業ノートやワークシートの文字は読むことができません。宿題のページが分かっておらず、違うページをやってくることがありました。期末テストにおいても、文字の乱雑さが目立ち、それによって点数を落としている問題もありました。非常に勿体ないです。</t>
    <rPh sb="0" eb="2">
      <t>シュクダイ</t>
    </rPh>
    <rPh sb="3" eb="5">
      <t>カンジ</t>
    </rPh>
    <rPh sb="14" eb="16">
      <t>テイネイ</t>
    </rPh>
    <rPh sb="17" eb="19">
      <t>モジ</t>
    </rPh>
    <rPh sb="20" eb="21">
      <t>カ</t>
    </rPh>
    <rPh sb="22" eb="23">
      <t>ヒ</t>
    </rPh>
    <rPh sb="37" eb="38">
      <t>ヨ</t>
    </rPh>
    <rPh sb="45" eb="47">
      <t>ジュギョウ</t>
    </rPh>
    <rPh sb="58" eb="60">
      <t>モジ</t>
    </rPh>
    <rPh sb="61" eb="62">
      <t>ヨ</t>
    </rPh>
    <rPh sb="72" eb="74">
      <t>シュクダイ</t>
    </rPh>
    <rPh sb="79" eb="80">
      <t>ワ</t>
    </rPh>
    <rPh sb="87" eb="88">
      <t>チガ</t>
    </rPh>
    <rPh sb="107" eb="109">
      <t>キマツ</t>
    </rPh>
    <rPh sb="118" eb="120">
      <t>モジ</t>
    </rPh>
    <rPh sb="121" eb="123">
      <t>ランザツ</t>
    </rPh>
    <rPh sb="125" eb="127">
      <t>メダ</t>
    </rPh>
    <rPh sb="135" eb="137">
      <t>テンスウ</t>
    </rPh>
    <rPh sb="138" eb="139">
      <t>オ</t>
    </rPh>
    <rPh sb="144" eb="146">
      <t>モンダイ</t>
    </rPh>
    <rPh sb="153" eb="155">
      <t>ヒジョウ</t>
    </rPh>
    <rPh sb="156" eb="158">
      <t>モッタイ</t>
    </rPh>
    <phoneticPr fontId="1"/>
  </si>
  <si>
    <t>武田 彩愛</t>
  </si>
  <si>
    <t>流行に敏感で、猫が大好きなことは分かりました。もう少し学習に集中できると良いです。書く文字にも丁寧さが感じられず、期末テストにおいても、文字の乱雑さが目立ち、それによって点数を落としている問題もありました。非常に勿体ないです。短歌や俳句作りに苦戦していました。</t>
    <rPh sb="0" eb="2">
      <t>リュウコウ</t>
    </rPh>
    <rPh sb="3" eb="5">
      <t>ビンカン</t>
    </rPh>
    <rPh sb="7" eb="8">
      <t>ネコ</t>
    </rPh>
    <rPh sb="9" eb="11">
      <t>ダイス</t>
    </rPh>
    <rPh sb="16" eb="17">
      <t>ワ</t>
    </rPh>
    <rPh sb="25" eb="26">
      <t>スコ</t>
    </rPh>
    <rPh sb="27" eb="29">
      <t>ガクシュウ</t>
    </rPh>
    <rPh sb="30" eb="32">
      <t>シュウチュウ</t>
    </rPh>
    <rPh sb="36" eb="37">
      <t>ヨ</t>
    </rPh>
    <rPh sb="41" eb="42">
      <t>カ</t>
    </rPh>
    <rPh sb="43" eb="45">
      <t>モジ</t>
    </rPh>
    <rPh sb="47" eb="49">
      <t>テイネイ</t>
    </rPh>
    <rPh sb="51" eb="52">
      <t>カン</t>
    </rPh>
    <phoneticPr fontId="1"/>
  </si>
  <si>
    <t>龍口 瑞希</t>
  </si>
  <si>
    <t>教師の発問をよく理解し、積極的に発言をすることができました。定期テストでは、漢字での失点が足を引っ張り、９０点に届きませんでした。文章題はよく解けています。短歌や俳句作りには、やや苦戦していました。</t>
    <rPh sb="0" eb="2">
      <t>キョウシ</t>
    </rPh>
    <rPh sb="3" eb="5">
      <t>ハツモン</t>
    </rPh>
    <rPh sb="8" eb="10">
      <t>リカイ</t>
    </rPh>
    <rPh sb="12" eb="15">
      <t>セッキョクテキ</t>
    </rPh>
    <rPh sb="16" eb="18">
      <t>ハツゲン</t>
    </rPh>
    <rPh sb="30" eb="32">
      <t>テイキ</t>
    </rPh>
    <rPh sb="38" eb="40">
      <t>カンジ</t>
    </rPh>
    <rPh sb="42" eb="44">
      <t>シッテン</t>
    </rPh>
    <rPh sb="45" eb="46">
      <t>アシ</t>
    </rPh>
    <rPh sb="47" eb="48">
      <t>ヒ</t>
    </rPh>
    <rPh sb="49" eb="50">
      <t>パ</t>
    </rPh>
    <rPh sb="54" eb="55">
      <t>テン</t>
    </rPh>
    <rPh sb="56" eb="57">
      <t>トド</t>
    </rPh>
    <rPh sb="65" eb="68">
      <t>ブンショウダイ</t>
    </rPh>
    <rPh sb="71" eb="72">
      <t>ト</t>
    </rPh>
    <phoneticPr fontId="1"/>
  </si>
  <si>
    <t>畠山 久奈</t>
  </si>
  <si>
    <t>授業態度は良く、課題に対しても意欲的に取り組んでいます。一方で、漢字テストは不合格、文章の読み取りももう一歩という状況です。定期テストにおいても、答えは分かっているのに、漢字のミスにより点数を落としている問題がありました。短歌や俳句作りに苦戦していました。</t>
    <rPh sb="0" eb="4">
      <t>ジュギョウタイド</t>
    </rPh>
    <rPh sb="5" eb="6">
      <t>ヨ</t>
    </rPh>
    <rPh sb="8" eb="10">
      <t>カダイ</t>
    </rPh>
    <rPh sb="11" eb="12">
      <t>タイ</t>
    </rPh>
    <rPh sb="15" eb="18">
      <t>イヨクテキ</t>
    </rPh>
    <rPh sb="19" eb="20">
      <t>ト</t>
    </rPh>
    <rPh sb="21" eb="22">
      <t>ク</t>
    </rPh>
    <rPh sb="28" eb="30">
      <t>イッポウ</t>
    </rPh>
    <rPh sb="32" eb="34">
      <t>カンジ</t>
    </rPh>
    <rPh sb="38" eb="41">
      <t>フゴウカク</t>
    </rPh>
    <rPh sb="42" eb="44">
      <t>ブンショウ</t>
    </rPh>
    <rPh sb="45" eb="46">
      <t>ヨ</t>
    </rPh>
    <rPh sb="47" eb="48">
      <t>ト</t>
    </rPh>
    <rPh sb="52" eb="54">
      <t>イッポ</t>
    </rPh>
    <rPh sb="57" eb="59">
      <t>ジョウキョウ</t>
    </rPh>
    <rPh sb="62" eb="64">
      <t>テイキ</t>
    </rPh>
    <rPh sb="73" eb="74">
      <t>コタ</t>
    </rPh>
    <rPh sb="76" eb="77">
      <t>ワ</t>
    </rPh>
    <rPh sb="85" eb="87">
      <t>カンジ</t>
    </rPh>
    <rPh sb="93" eb="95">
      <t>テンスウ</t>
    </rPh>
    <rPh sb="96" eb="97">
      <t>オ</t>
    </rPh>
    <rPh sb="102" eb="104">
      <t>モンダイ</t>
    </rPh>
    <phoneticPr fontId="1"/>
  </si>
  <si>
    <t>藤原 一之祐</t>
  </si>
  <si>
    <t>発想や着眼点が良いです。文章読解は、感覚的に解いている印象です。短歌や俳句作りでは、自分の思いを上手に言葉にすることができました。宿題の提出率８０％…ギリギリAです…。</t>
    <rPh sb="0" eb="2">
      <t>ハッソウ</t>
    </rPh>
    <rPh sb="3" eb="6">
      <t>チャクガンテン</t>
    </rPh>
    <rPh sb="7" eb="8">
      <t>ヨ</t>
    </rPh>
    <rPh sb="12" eb="16">
      <t>ブンショウドッカイ</t>
    </rPh>
    <rPh sb="18" eb="21">
      <t>カンカクテキ</t>
    </rPh>
    <rPh sb="22" eb="23">
      <t>ト</t>
    </rPh>
    <rPh sb="27" eb="29">
      <t>インショウ</t>
    </rPh>
    <rPh sb="32" eb="34">
      <t>タンカ</t>
    </rPh>
    <rPh sb="35" eb="37">
      <t>ハイク</t>
    </rPh>
    <rPh sb="37" eb="38">
      <t>ヅク</t>
    </rPh>
    <rPh sb="42" eb="44">
      <t>ジブン</t>
    </rPh>
    <rPh sb="45" eb="46">
      <t>オモ</t>
    </rPh>
    <rPh sb="48" eb="50">
      <t>ジョウズ</t>
    </rPh>
    <rPh sb="51" eb="53">
      <t>コトバ</t>
    </rPh>
    <rPh sb="65" eb="67">
      <t>シュクダイ</t>
    </rPh>
    <rPh sb="68" eb="71">
      <t>テイシュツリツ</t>
    </rPh>
    <phoneticPr fontId="1"/>
  </si>
  <si>
    <t>丸山 心海</t>
  </si>
  <si>
    <t>漢字テスト不合格でした。字形が整わず、漢字の定着にも時間が掛かっている印象でしたが、期末テストでは、漢字での失点を最小限に抑え、ワークの復習も頑張ったようで、８０点を取ることができました。短歌・俳句作りでは音数に決まりを守ることに苦労していました。</t>
    <rPh sb="12" eb="14">
      <t>ジケイ</t>
    </rPh>
    <rPh sb="15" eb="16">
      <t>トトノ</t>
    </rPh>
    <rPh sb="19" eb="21">
      <t>カンジ</t>
    </rPh>
    <rPh sb="22" eb="24">
      <t>テイチャク</t>
    </rPh>
    <rPh sb="26" eb="28">
      <t>ジカン</t>
    </rPh>
    <rPh sb="29" eb="30">
      <t>カ</t>
    </rPh>
    <rPh sb="35" eb="37">
      <t>インショウ</t>
    </rPh>
    <rPh sb="42" eb="44">
      <t>キマツ</t>
    </rPh>
    <rPh sb="50" eb="52">
      <t>カンジ</t>
    </rPh>
    <rPh sb="54" eb="56">
      <t>シッテン</t>
    </rPh>
    <rPh sb="57" eb="60">
      <t>サイショウゲン</t>
    </rPh>
    <rPh sb="61" eb="62">
      <t>オサ</t>
    </rPh>
    <rPh sb="68" eb="70">
      <t>フクシュウ</t>
    </rPh>
    <rPh sb="71" eb="73">
      <t>ガンバ</t>
    </rPh>
    <rPh sb="81" eb="82">
      <t>テン</t>
    </rPh>
    <rPh sb="83" eb="84">
      <t>ト</t>
    </rPh>
    <rPh sb="94" eb="96">
      <t>タンカ</t>
    </rPh>
    <rPh sb="97" eb="100">
      <t>ハイクヅク</t>
    </rPh>
    <rPh sb="103" eb="105">
      <t>オンスウ</t>
    </rPh>
    <rPh sb="106" eb="107">
      <t>キ</t>
    </rPh>
    <rPh sb="110" eb="111">
      <t>マモ</t>
    </rPh>
    <rPh sb="115" eb="117">
      <t>クロウ</t>
    </rPh>
    <phoneticPr fontId="1"/>
  </si>
  <si>
    <t>南澤 志朋</t>
  </si>
  <si>
    <t>授業中はきちんと教師の話に耳を傾けることができました。「聞いて考えを深めよう」という単元では、お母さんへのインタビューを通して、「仕事」に対する自分の考えを深めることができました。期末テストでは、裏面の文章問題で全問正解を果たしました。</t>
    <rPh sb="0" eb="3">
      <t>ジュギョウチュウ</t>
    </rPh>
    <rPh sb="8" eb="10">
      <t>キョウシ</t>
    </rPh>
    <rPh sb="11" eb="12">
      <t>ハナシ</t>
    </rPh>
    <rPh sb="13" eb="14">
      <t>ミミ</t>
    </rPh>
    <rPh sb="15" eb="16">
      <t>カタム</t>
    </rPh>
    <rPh sb="28" eb="29">
      <t>キ</t>
    </rPh>
    <rPh sb="31" eb="32">
      <t>カンガ</t>
    </rPh>
    <rPh sb="34" eb="35">
      <t>フカ</t>
    </rPh>
    <rPh sb="42" eb="44">
      <t>タンゲン</t>
    </rPh>
    <rPh sb="48" eb="49">
      <t>カア</t>
    </rPh>
    <rPh sb="60" eb="61">
      <t>トオ</t>
    </rPh>
    <rPh sb="65" eb="67">
      <t>シゴト</t>
    </rPh>
    <rPh sb="69" eb="70">
      <t>タイ</t>
    </rPh>
    <rPh sb="72" eb="74">
      <t>ジブン</t>
    </rPh>
    <rPh sb="75" eb="76">
      <t>カンガ</t>
    </rPh>
    <rPh sb="78" eb="79">
      <t>フカ</t>
    </rPh>
    <rPh sb="90" eb="92">
      <t>キマツ</t>
    </rPh>
    <rPh sb="98" eb="100">
      <t>ウラメン</t>
    </rPh>
    <rPh sb="101" eb="105">
      <t>ブンショウモンダイ</t>
    </rPh>
    <rPh sb="106" eb="110">
      <t>ゼンモンセイカイ</t>
    </rPh>
    <rPh sb="111" eb="112">
      <t>ハ</t>
    </rPh>
    <phoneticPr fontId="1"/>
  </si>
  <si>
    <t>宮坂 陽香</t>
  </si>
  <si>
    <t>授業中の発言は活発です。文字が整い、表現力が身に付くとさらに良いでしょう。地頭は良いと思います。</t>
    <rPh sb="0" eb="3">
      <t>ジュギョウチュウ</t>
    </rPh>
    <rPh sb="4" eb="6">
      <t>ハツゲン</t>
    </rPh>
    <rPh sb="7" eb="9">
      <t>カッパツ</t>
    </rPh>
    <rPh sb="22" eb="23">
      <t>ミ</t>
    </rPh>
    <rPh sb="24" eb="25">
      <t>ツ</t>
    </rPh>
    <rPh sb="30" eb="31">
      <t>ヨ</t>
    </rPh>
    <rPh sb="37" eb="39">
      <t>ジアタマ</t>
    </rPh>
    <rPh sb="40" eb="41">
      <t>ヨ</t>
    </rPh>
    <rPh sb="43" eb="44">
      <t>オモ</t>
    </rPh>
    <phoneticPr fontId="1"/>
  </si>
  <si>
    <t>師岡 慧</t>
  </si>
  <si>
    <t>授業態度や宿題への取り組みがとても良く、意欲を感じます。期末テストでも、普段の勉強の成果を発揮することができました。文章力についてはもう一歩というところです。短歌。俳句作りには苦戦していました。</t>
    <rPh sb="0" eb="4">
      <t>ジュギョウタイド</t>
    </rPh>
    <rPh sb="5" eb="7">
      <t>シュクダイ</t>
    </rPh>
    <rPh sb="9" eb="10">
      <t>ト</t>
    </rPh>
    <rPh sb="11" eb="12">
      <t>ク</t>
    </rPh>
    <rPh sb="17" eb="18">
      <t>ヨ</t>
    </rPh>
    <rPh sb="20" eb="22">
      <t>イヨク</t>
    </rPh>
    <rPh sb="23" eb="24">
      <t>カン</t>
    </rPh>
    <rPh sb="28" eb="30">
      <t>キマツ</t>
    </rPh>
    <rPh sb="36" eb="38">
      <t>フダン</t>
    </rPh>
    <rPh sb="39" eb="41">
      <t>ベンキョウ</t>
    </rPh>
    <rPh sb="42" eb="44">
      <t>セイカ</t>
    </rPh>
    <rPh sb="45" eb="47">
      <t>ハッキ</t>
    </rPh>
    <rPh sb="58" eb="61">
      <t>ブンショウリョク</t>
    </rPh>
    <rPh sb="68" eb="70">
      <t>イッポ</t>
    </rPh>
    <rPh sb="79" eb="81">
      <t>タンカ</t>
    </rPh>
    <rPh sb="82" eb="85">
      <t>ハイクヅク</t>
    </rPh>
    <rPh sb="88" eb="90">
      <t>クセン</t>
    </rPh>
    <phoneticPr fontId="1"/>
  </si>
  <si>
    <t>山﨑 茉綾</t>
  </si>
  <si>
    <t>課題に取り組むまでに時間が掛かり、授業中に課題を終えることができない時がありました。全員でワークの問題を説いた際は、追いつけずに涙していました。ただ、国語の力は充分に付いています。</t>
    <rPh sb="0" eb="2">
      <t>カダイ</t>
    </rPh>
    <rPh sb="3" eb="4">
      <t>ト</t>
    </rPh>
    <rPh sb="5" eb="6">
      <t>ク</t>
    </rPh>
    <rPh sb="10" eb="12">
      <t>ジカン</t>
    </rPh>
    <rPh sb="13" eb="14">
      <t>カ</t>
    </rPh>
    <rPh sb="17" eb="19">
      <t>ジュギョウ</t>
    </rPh>
    <rPh sb="19" eb="20">
      <t>チュウ</t>
    </rPh>
    <rPh sb="21" eb="23">
      <t>カダイ</t>
    </rPh>
    <rPh sb="24" eb="25">
      <t>オ</t>
    </rPh>
    <rPh sb="34" eb="35">
      <t>トキ</t>
    </rPh>
    <rPh sb="42" eb="44">
      <t>ゼンイン</t>
    </rPh>
    <rPh sb="49" eb="51">
      <t>モンダイ</t>
    </rPh>
    <rPh sb="52" eb="53">
      <t>ト</t>
    </rPh>
    <rPh sb="55" eb="56">
      <t>サイ</t>
    </rPh>
    <rPh sb="58" eb="59">
      <t>オ</t>
    </rPh>
    <rPh sb="64" eb="65">
      <t>ナミダ</t>
    </rPh>
    <rPh sb="75" eb="77">
      <t>コクゴ</t>
    </rPh>
    <rPh sb="78" eb="79">
      <t>チカラ</t>
    </rPh>
    <rPh sb="80" eb="82">
      <t>ジュウブン</t>
    </rPh>
    <rPh sb="83" eb="84">
      <t>ツ</t>
    </rPh>
    <phoneticPr fontId="1"/>
  </si>
  <si>
    <t>山田 英一</t>
  </si>
  <si>
    <t>宿題の提出率がよいです。「聞いて考えを深めよう」という単元では、お母さんの裁縫の趣味が、自分のために作ったフェルト絵本がきっかけであることを知りました。記述問題に、じっくりと取り組めると良いでしょう。</t>
    <rPh sb="0" eb="2">
      <t>シュクダイ</t>
    </rPh>
    <rPh sb="3" eb="6">
      <t>テイシュツリツ</t>
    </rPh>
    <rPh sb="33" eb="34">
      <t>カア</t>
    </rPh>
    <rPh sb="37" eb="39">
      <t>サイホウ</t>
    </rPh>
    <rPh sb="40" eb="42">
      <t>シュミ</t>
    </rPh>
    <rPh sb="44" eb="46">
      <t>ジブン</t>
    </rPh>
    <rPh sb="50" eb="51">
      <t>ツク</t>
    </rPh>
    <rPh sb="57" eb="59">
      <t>エホン</t>
    </rPh>
    <rPh sb="70" eb="71">
      <t>シ</t>
    </rPh>
    <rPh sb="76" eb="80">
      <t>キジュツモンダイ</t>
    </rPh>
    <rPh sb="87" eb="88">
      <t>ト</t>
    </rPh>
    <rPh sb="89" eb="90">
      <t>ク</t>
    </rPh>
    <rPh sb="93" eb="94">
      <t>ヨ</t>
    </rPh>
    <phoneticPr fontId="1"/>
  </si>
  <si>
    <t>山田 陽翔</t>
  </si>
  <si>
    <t>宿題をやっていない日がありました。注意をしてもめげないところが良いです。宿題の提出率８１％…ギリギリAです…。</t>
    <rPh sb="0" eb="2">
      <t>シュクダイ</t>
    </rPh>
    <rPh sb="9" eb="10">
      <t>ヒ</t>
    </rPh>
    <rPh sb="17" eb="19">
      <t>チュウイ</t>
    </rPh>
    <rPh sb="31" eb="32">
      <t>ヨ</t>
    </rPh>
    <phoneticPr fontId="1"/>
  </si>
  <si>
    <t>-</t>
    <phoneticPr fontId="1"/>
  </si>
  <si>
    <t>知識・技能</t>
    <rPh sb="0" eb="2">
      <t>ちしき</t>
    </rPh>
    <rPh sb="3" eb="5">
      <t>ぎのう</t>
    </rPh>
    <phoneticPr fontId="9" type="Hiragana" alignment="distributed"/>
  </si>
  <si>
    <t>思考力・表現力・判断力</t>
    <rPh sb="0" eb="3">
      <t>しこうりょく</t>
    </rPh>
    <rPh sb="4" eb="7">
      <t>ひょうげんりょく</t>
    </rPh>
    <rPh sb="8" eb="11">
      <t>はんだんりょく</t>
    </rPh>
    <phoneticPr fontId="9" type="Hiragana" alignment="distributed"/>
  </si>
  <si>
    <t>主体的に取り組む態度</t>
    <rPh sb="0" eb="3">
      <t>しゅたいてき</t>
    </rPh>
    <rPh sb="4" eb="5">
      <t>と</t>
    </rPh>
    <rPh sb="6" eb="7">
      <t>く</t>
    </rPh>
    <rPh sb="8" eb="10">
      <t>たいど</t>
    </rPh>
    <phoneticPr fontId="9" type="Hiragana" alignment="distributed"/>
  </si>
  <si>
    <t>主体的に学習に取り組む態度（提出物・授業態度）</t>
    <rPh sb="14" eb="17">
      <t>テイシュツブツ</t>
    </rPh>
    <rPh sb="18" eb="22">
      <t>ジュギョウタイド</t>
    </rPh>
    <phoneticPr fontId="1"/>
  </si>
  <si>
    <t>知識・技能（期末テストワークテスト）</t>
  </si>
  <si>
    <t>思考力・判断力・表現力（オンライン授業・リスニング・英作文）</t>
    <rPh sb="17" eb="19">
      <t>ジュギョウ</t>
    </rPh>
    <rPh sb="26" eb="29">
      <t>エイサクブン</t>
    </rPh>
    <rPh sb="28" eb="29">
      <t>アヤ</t>
    </rPh>
    <phoneticPr fontId="1"/>
  </si>
  <si>
    <t>主体的に取り組む態度（提出物・授業態度）</t>
  </si>
  <si>
    <t>5</t>
  </si>
  <si>
    <t>3</t>
  </si>
  <si>
    <t>4</t>
  </si>
  <si>
    <t>宿題提出率0％　意欲的に授業に参加し、ペアワークで行う活動もコミュニケーションを大事にできています。学習した範囲をよく理解しているので、力をさらに伸ばすためにも課題を行う習慣がついてくるとよいです。</t>
    <rPh sb="0" eb="2">
      <t>シュクダイ</t>
    </rPh>
    <rPh sb="2" eb="5">
      <t>テイシュツリツ</t>
    </rPh>
    <rPh sb="8" eb="11">
      <t>イヨクテキ</t>
    </rPh>
    <rPh sb="12" eb="14">
      <t>ジュギョウ</t>
    </rPh>
    <rPh sb="15" eb="17">
      <t>サンカ</t>
    </rPh>
    <rPh sb="25" eb="26">
      <t>オコナ</t>
    </rPh>
    <rPh sb="27" eb="29">
      <t>カツドウ</t>
    </rPh>
    <rPh sb="40" eb="42">
      <t>ダイジ</t>
    </rPh>
    <rPh sb="50" eb="52">
      <t>ガクシュウ</t>
    </rPh>
    <rPh sb="54" eb="56">
      <t>ハンイ</t>
    </rPh>
    <rPh sb="59" eb="61">
      <t>リカイ</t>
    </rPh>
    <rPh sb="68" eb="69">
      <t>チカラ</t>
    </rPh>
    <rPh sb="73" eb="74">
      <t>ノ</t>
    </rPh>
    <rPh sb="80" eb="82">
      <t>カダイ</t>
    </rPh>
    <rPh sb="83" eb="84">
      <t>オコナ</t>
    </rPh>
    <rPh sb="85" eb="87">
      <t>シュウカン</t>
    </rPh>
    <phoneticPr fontId="1"/>
  </si>
  <si>
    <t>宿題提出率96％　授業中や家庭学習の前向きな取り組みの成果がテストにも出ました。その調子です。</t>
    <rPh sb="0" eb="2">
      <t>シュクダイ</t>
    </rPh>
    <rPh sb="2" eb="5">
      <t>テイシュツリツ</t>
    </rPh>
    <rPh sb="9" eb="12">
      <t>ジュギョウチュウ</t>
    </rPh>
    <rPh sb="13" eb="17">
      <t>カテイガクシュウ</t>
    </rPh>
    <rPh sb="18" eb="20">
      <t>マエム</t>
    </rPh>
    <rPh sb="22" eb="23">
      <t>ト</t>
    </rPh>
    <rPh sb="24" eb="25">
      <t>ク</t>
    </rPh>
    <rPh sb="27" eb="29">
      <t>セイカ</t>
    </rPh>
    <rPh sb="35" eb="36">
      <t>デ</t>
    </rPh>
    <rPh sb="42" eb="44">
      <t>チョウシ</t>
    </rPh>
    <phoneticPr fontId="1"/>
  </si>
  <si>
    <t>宿題提出率100％　力をつけるために、素晴らしい努力を継続しています。アドバンスへ行ける力があります。</t>
    <rPh sb="0" eb="2">
      <t>シュクダイ</t>
    </rPh>
    <rPh sb="2" eb="5">
      <t>テイシュツリツ</t>
    </rPh>
    <rPh sb="10" eb="11">
      <t>チカラ</t>
    </rPh>
    <rPh sb="19" eb="21">
      <t>スバ</t>
    </rPh>
    <rPh sb="24" eb="26">
      <t>ドリョク</t>
    </rPh>
    <rPh sb="27" eb="29">
      <t>ケイゾク</t>
    </rPh>
    <rPh sb="41" eb="42">
      <t>イ</t>
    </rPh>
    <rPh sb="44" eb="45">
      <t>チカラ</t>
    </rPh>
    <phoneticPr fontId="1"/>
  </si>
  <si>
    <t>宿題提出率82％　現在進行形のルールや英文の形は理解しつつありますが、まだ定着しきれていません。単語や英文を丁寧に練習する習慣がついてくると良いです。</t>
    <rPh sb="0" eb="2">
      <t>シュクダイ</t>
    </rPh>
    <rPh sb="2" eb="5">
      <t>テイシュツリツ</t>
    </rPh>
    <rPh sb="9" eb="11">
      <t>ゲンザイ</t>
    </rPh>
    <rPh sb="48" eb="50">
      <t>タンゴ</t>
    </rPh>
    <rPh sb="51" eb="53">
      <t>エイブン</t>
    </rPh>
    <rPh sb="54" eb="56">
      <t>テイネイ</t>
    </rPh>
    <rPh sb="57" eb="59">
      <t>レンシュウ</t>
    </rPh>
    <rPh sb="61" eb="63">
      <t>シュウカン</t>
    </rPh>
    <rPh sb="70" eb="71">
      <t>ヨ</t>
    </rPh>
    <phoneticPr fontId="1"/>
  </si>
  <si>
    <t>宿題提出率85％　現在進行形のルールや英文の形は理解しつつありますが、定着させるまであと少し努力が必要です。ワークや教科書に出てくる英文を何度も練習しましょう。</t>
    <rPh sb="0" eb="2">
      <t>シュクダイ</t>
    </rPh>
    <rPh sb="2" eb="5">
      <t>テイシュツリツ</t>
    </rPh>
    <rPh sb="35" eb="37">
      <t>テイチャク</t>
    </rPh>
    <rPh sb="44" eb="45">
      <t>スコ</t>
    </rPh>
    <rPh sb="46" eb="48">
      <t>ドリョク</t>
    </rPh>
    <rPh sb="49" eb="51">
      <t>ヒツヨウ</t>
    </rPh>
    <rPh sb="58" eb="61">
      <t>キョウカショ</t>
    </rPh>
    <rPh sb="62" eb="63">
      <t>デ</t>
    </rPh>
    <rPh sb="66" eb="68">
      <t>エイブン</t>
    </rPh>
    <rPh sb="69" eb="71">
      <t>ナンド</t>
    </rPh>
    <rPh sb="72" eb="74">
      <t>レンシュウ</t>
    </rPh>
    <phoneticPr fontId="1"/>
  </si>
  <si>
    <t>宿題提出率92％　授業に集中し、授業の中で理解を深めている様子です。丁寧に家庭学習に取り組み、単語や英文を正しく習得しています。</t>
    <rPh sb="0" eb="2">
      <t>シュクダイ</t>
    </rPh>
    <rPh sb="2" eb="5">
      <t>テイシュツリツ</t>
    </rPh>
    <rPh sb="9" eb="11">
      <t>ジュギョウ</t>
    </rPh>
    <rPh sb="12" eb="14">
      <t>シュウチュウ</t>
    </rPh>
    <rPh sb="16" eb="18">
      <t>ジュギョウ</t>
    </rPh>
    <rPh sb="19" eb="20">
      <t>ナカ</t>
    </rPh>
    <rPh sb="21" eb="23">
      <t>リカイ</t>
    </rPh>
    <rPh sb="24" eb="25">
      <t>フカ</t>
    </rPh>
    <rPh sb="29" eb="31">
      <t>ヨウス</t>
    </rPh>
    <rPh sb="34" eb="36">
      <t>テイネイ</t>
    </rPh>
    <rPh sb="37" eb="41">
      <t>カテイガクシュウ</t>
    </rPh>
    <rPh sb="42" eb="43">
      <t>ト</t>
    </rPh>
    <rPh sb="44" eb="45">
      <t>ク</t>
    </rPh>
    <rPh sb="47" eb="49">
      <t>タンゴ</t>
    </rPh>
    <rPh sb="50" eb="52">
      <t>エイブン</t>
    </rPh>
    <rPh sb="53" eb="54">
      <t>タダ</t>
    </rPh>
    <rPh sb="56" eb="58">
      <t>シュウトク</t>
    </rPh>
    <phoneticPr fontId="1"/>
  </si>
  <si>
    <t>宿題提出率100％　力をつけるために、素晴らしい努力を継続しています。ワークテストでは高得点がとれたので、定期テストの点もこれから伸びてきます。</t>
    <rPh sb="0" eb="2">
      <t>シュクダイ</t>
    </rPh>
    <rPh sb="2" eb="5">
      <t>テイシュツリツ</t>
    </rPh>
    <rPh sb="10" eb="11">
      <t>チカラ</t>
    </rPh>
    <rPh sb="19" eb="21">
      <t>スバ</t>
    </rPh>
    <rPh sb="24" eb="26">
      <t>ドリョク</t>
    </rPh>
    <rPh sb="27" eb="29">
      <t>ケイゾク</t>
    </rPh>
    <rPh sb="43" eb="46">
      <t>コウトクテン</t>
    </rPh>
    <rPh sb="53" eb="55">
      <t>テイキ</t>
    </rPh>
    <rPh sb="59" eb="60">
      <t>テン</t>
    </rPh>
    <rPh sb="65" eb="66">
      <t>ノ</t>
    </rPh>
    <phoneticPr fontId="1"/>
  </si>
  <si>
    <t>宿題提出率53％　積極的に授業に参加し、授業の中で理解を深めようとしています。家庭学習の習慣がついてくると良いです。</t>
    <rPh sb="0" eb="2">
      <t>シュクダイ</t>
    </rPh>
    <rPh sb="2" eb="5">
      <t>テイシュツリツ</t>
    </rPh>
    <rPh sb="9" eb="11">
      <t>セッキョク</t>
    </rPh>
    <rPh sb="11" eb="12">
      <t>テキ</t>
    </rPh>
    <rPh sb="13" eb="15">
      <t>ジュギョウ</t>
    </rPh>
    <rPh sb="16" eb="18">
      <t>サンカ</t>
    </rPh>
    <rPh sb="39" eb="43">
      <t>カテイガクシュウ</t>
    </rPh>
    <rPh sb="44" eb="46">
      <t>シュウカン</t>
    </rPh>
    <rPh sb="53" eb="54">
      <t>ヨ</t>
    </rPh>
    <phoneticPr fontId="1"/>
  </si>
  <si>
    <t>宿題提出率85％　現在進行形のルールや英文の形は理解しつつありますが、まだ定着まであと少し努力が必要です。ワークや教科書に出てくる英文を何度も練習しましょう。</t>
    <rPh sb="0" eb="2">
      <t>シュクダイ</t>
    </rPh>
    <rPh sb="2" eb="5">
      <t>テイシュツリツ</t>
    </rPh>
    <rPh sb="43" eb="44">
      <t>スコ</t>
    </rPh>
    <rPh sb="45" eb="47">
      <t>ドリョク</t>
    </rPh>
    <rPh sb="48" eb="50">
      <t>ヒツヨウ</t>
    </rPh>
    <rPh sb="57" eb="60">
      <t>キョウカショ</t>
    </rPh>
    <rPh sb="61" eb="62">
      <t>デ</t>
    </rPh>
    <rPh sb="65" eb="67">
      <t>エイブン</t>
    </rPh>
    <rPh sb="68" eb="70">
      <t>ナンド</t>
    </rPh>
    <rPh sb="71" eb="73">
      <t>レンシュウ</t>
    </rPh>
    <phoneticPr fontId="1"/>
  </si>
  <si>
    <t>宿題提出率88％　積極的に授業に参加し、授業の中で理解を深めようとしています。アドバンスに行ける力があります。</t>
    <rPh sb="0" eb="2">
      <t>シュクダイ</t>
    </rPh>
    <rPh sb="2" eb="5">
      <t>テイシュツリツ</t>
    </rPh>
    <rPh sb="45" eb="46">
      <t>イ</t>
    </rPh>
    <rPh sb="48" eb="49">
      <t>チカラ</t>
    </rPh>
    <phoneticPr fontId="1"/>
  </si>
  <si>
    <t>知識・技能(実技テスト　演奏聴取　ワークシート)</t>
  </si>
  <si>
    <t>思考力・判断力・表現力(実技テスト　演奏聴取　ワークシート)</t>
  </si>
  <si>
    <t>知識・技能（ワークシート・見取り）</t>
  </si>
  <si>
    <t>思考・判断・表現（作品・クロッキー）</t>
  </si>
  <si>
    <t>主体的な態度（振り返りシート・授業態度・提出物・持ち物）</t>
  </si>
  <si>
    <t>知識・技能(実技テスト）</t>
    <rPh sb="6" eb="8">
      <t>ジツギ</t>
    </rPh>
    <phoneticPr fontId="1"/>
  </si>
  <si>
    <t>思考力・表現力・判断力（実技テスト、授業での練習）</t>
    <rPh sb="12" eb="14">
      <t>ジツギ</t>
    </rPh>
    <rPh sb="18" eb="20">
      <t>ジュギョウ</t>
    </rPh>
    <rPh sb="22" eb="24">
      <t>レンシュウ</t>
    </rPh>
    <phoneticPr fontId="1"/>
  </si>
  <si>
    <t>主体的に学習に取り組む態度（授業態度）</t>
    <rPh sb="14" eb="16">
      <t>ジュギョウ</t>
    </rPh>
    <rPh sb="16" eb="18">
      <t>タイド</t>
    </rPh>
    <phoneticPr fontId="1"/>
  </si>
  <si>
    <t>知識・技能（まとめテスト・裁縫実習）</t>
    <rPh sb="13" eb="17">
      <t>サイホウジッシュウ</t>
    </rPh>
    <phoneticPr fontId="16"/>
  </si>
  <si>
    <t>思考力・表現力・判断力（調理実習・レポート・ノート）</t>
    <rPh sb="12" eb="16">
      <t>チョウリジッシュウ</t>
    </rPh>
    <phoneticPr fontId="16"/>
  </si>
  <si>
    <t>【まとめテスト９１点A、GWレポートA、裁縫A、調理実習レポートA、ノートA】</t>
    <rPh sb="9" eb="10">
      <t>テン</t>
    </rPh>
    <rPh sb="20" eb="22">
      <t>サイホウ</t>
    </rPh>
    <rPh sb="24" eb="28">
      <t>チョウリジッシュウ</t>
    </rPh>
    <phoneticPr fontId="1"/>
  </si>
  <si>
    <t>【まとめテスト７６点B、GWレポートA、裁縫A、調理実習レポートA、ノートB】
ミシンでの巾着づくりが終わっていない。出席したときの授業は意欲的に取り組んでいるが、時間が取れないので完成していない。調理実習では、友だちと協力して野菜の皮むきなど手際よく行っていたが、捨てるはずの野菜の皮などを食べ、やや調子に乗っている姿も見られた。</t>
    <rPh sb="9" eb="10">
      <t>テン</t>
    </rPh>
    <rPh sb="45" eb="47">
      <t>キンチャク</t>
    </rPh>
    <rPh sb="51" eb="52">
      <t>オ</t>
    </rPh>
    <rPh sb="59" eb="61">
      <t>シュッセキ</t>
    </rPh>
    <rPh sb="66" eb="68">
      <t>ジュギョウ</t>
    </rPh>
    <rPh sb="69" eb="72">
      <t>イヨクテキ</t>
    </rPh>
    <rPh sb="73" eb="74">
      <t>ト</t>
    </rPh>
    <rPh sb="75" eb="76">
      <t>ク</t>
    </rPh>
    <rPh sb="82" eb="84">
      <t>ジカン</t>
    </rPh>
    <rPh sb="85" eb="86">
      <t>ト</t>
    </rPh>
    <rPh sb="91" eb="93">
      <t>カンセイ</t>
    </rPh>
    <rPh sb="99" eb="103">
      <t>チョウリジッシュウ</t>
    </rPh>
    <rPh sb="106" eb="107">
      <t>トモ</t>
    </rPh>
    <rPh sb="110" eb="112">
      <t>キョウリョク</t>
    </rPh>
    <rPh sb="114" eb="116">
      <t>ヤサイ</t>
    </rPh>
    <rPh sb="117" eb="118">
      <t>カワ</t>
    </rPh>
    <rPh sb="122" eb="124">
      <t>テギワ</t>
    </rPh>
    <rPh sb="126" eb="127">
      <t>オコナ</t>
    </rPh>
    <rPh sb="133" eb="134">
      <t>ス</t>
    </rPh>
    <rPh sb="139" eb="141">
      <t>ヤサイ</t>
    </rPh>
    <rPh sb="142" eb="143">
      <t>カワ</t>
    </rPh>
    <rPh sb="146" eb="147">
      <t>タ</t>
    </rPh>
    <rPh sb="151" eb="153">
      <t>チョウシ</t>
    </rPh>
    <rPh sb="154" eb="155">
      <t>ノ</t>
    </rPh>
    <rPh sb="159" eb="160">
      <t>スガタ</t>
    </rPh>
    <rPh sb="161" eb="162">
      <t>ミ</t>
    </rPh>
    <phoneticPr fontId="1"/>
  </si>
  <si>
    <t xml:space="preserve">【まとめテスト７４点B、GWレポートA、裁縫A、調理実習レポートB、ノートA】
</t>
    <rPh sb="9" eb="10">
      <t>テン</t>
    </rPh>
    <phoneticPr fontId="1"/>
  </si>
  <si>
    <t>【まとめテスト９５点A、GWレポートA、裁縫B、調理実習レポートA、ノートA】
巾着作りが終わっていない（６月２６日時点）。バンダナを家に持って帰ってしまい、進めることができなかった。</t>
    <rPh sb="40" eb="42">
      <t>キンチャク</t>
    </rPh>
    <rPh sb="42" eb="43">
      <t>ヅク</t>
    </rPh>
    <rPh sb="45" eb="46">
      <t>オ</t>
    </rPh>
    <rPh sb="54" eb="55">
      <t>ガツ</t>
    </rPh>
    <rPh sb="57" eb="58">
      <t>ニチ</t>
    </rPh>
    <rPh sb="58" eb="60">
      <t>ジテン</t>
    </rPh>
    <rPh sb="67" eb="68">
      <t>イエ</t>
    </rPh>
    <rPh sb="69" eb="70">
      <t>モ</t>
    </rPh>
    <rPh sb="72" eb="73">
      <t>カエ</t>
    </rPh>
    <rPh sb="79" eb="80">
      <t>スス</t>
    </rPh>
    <phoneticPr fontId="1"/>
  </si>
  <si>
    <t>【まとめテスト４７点B、GWレポートA、裁縫A、調理実習レポートB、ノートB】
去年から引き続き、家庭科に対しての意欲はとてもある。特に、ミシンでは（上糸と下糸の掛け方には多少イライラしていたが）、一生懸命に取り組む姿が見られた。しかし、今学期の学習内容はあまり理解していない様子。ノートにまとめたりプリントにまとめたり、少しずつ頑張ろう。</t>
    <rPh sb="9" eb="10">
      <t>テン</t>
    </rPh>
    <rPh sb="40" eb="42">
      <t>キョネン</t>
    </rPh>
    <rPh sb="44" eb="45">
      <t>ヒ</t>
    </rPh>
    <rPh sb="46" eb="47">
      <t>ツヅ</t>
    </rPh>
    <rPh sb="49" eb="52">
      <t>カテイカ</t>
    </rPh>
    <rPh sb="53" eb="54">
      <t>タイ</t>
    </rPh>
    <rPh sb="57" eb="59">
      <t>イヨク</t>
    </rPh>
    <rPh sb="66" eb="67">
      <t>トク</t>
    </rPh>
    <rPh sb="75" eb="77">
      <t>ウワイト</t>
    </rPh>
    <rPh sb="78" eb="79">
      <t>シタ</t>
    </rPh>
    <rPh sb="79" eb="80">
      <t>イト</t>
    </rPh>
    <rPh sb="81" eb="82">
      <t>カ</t>
    </rPh>
    <rPh sb="83" eb="84">
      <t>カタ</t>
    </rPh>
    <rPh sb="86" eb="88">
      <t>タショウ</t>
    </rPh>
    <rPh sb="99" eb="103">
      <t>イッショウケンメイ</t>
    </rPh>
    <rPh sb="104" eb="105">
      <t>ト</t>
    </rPh>
    <rPh sb="106" eb="107">
      <t>ク</t>
    </rPh>
    <rPh sb="108" eb="109">
      <t>スガタ</t>
    </rPh>
    <rPh sb="110" eb="111">
      <t>ミ</t>
    </rPh>
    <rPh sb="119" eb="122">
      <t>コンガッキ</t>
    </rPh>
    <rPh sb="123" eb="127">
      <t>ガクシュウナイヨウ</t>
    </rPh>
    <rPh sb="131" eb="133">
      <t>リカイ</t>
    </rPh>
    <rPh sb="138" eb="140">
      <t>ヨウス</t>
    </rPh>
    <rPh sb="161" eb="162">
      <t>スコ</t>
    </rPh>
    <rPh sb="165" eb="167">
      <t>ガンバ</t>
    </rPh>
    <phoneticPr fontId="1"/>
  </si>
  <si>
    <t>【まとめテスト７８点B、GWレポートB、裁縫A、調理実習レポートB、ノートB、授業態度B】
忘れ物が多い。教科書、ノートを忘れてくることが多かった。また、こちらが促してもノートやプリントにまとめようとしないこともあった。去年よりもやる気が感じられなくなり、残念に思う。</t>
    <rPh sb="39" eb="43">
      <t>ジュギョウタイド</t>
    </rPh>
    <rPh sb="46" eb="47">
      <t>ワス</t>
    </rPh>
    <rPh sb="48" eb="49">
      <t>モノ</t>
    </rPh>
    <rPh sb="50" eb="51">
      <t>オオ</t>
    </rPh>
    <rPh sb="53" eb="56">
      <t>キョウカショ</t>
    </rPh>
    <rPh sb="61" eb="62">
      <t>ワス</t>
    </rPh>
    <rPh sb="69" eb="70">
      <t>オオ</t>
    </rPh>
    <rPh sb="81" eb="82">
      <t>ウナガ</t>
    </rPh>
    <rPh sb="110" eb="112">
      <t>キョネン</t>
    </rPh>
    <rPh sb="117" eb="118">
      <t>キ</t>
    </rPh>
    <rPh sb="119" eb="120">
      <t>カン</t>
    </rPh>
    <rPh sb="128" eb="130">
      <t>ザンネン</t>
    </rPh>
    <rPh sb="131" eb="132">
      <t>オモ</t>
    </rPh>
    <phoneticPr fontId="1"/>
  </si>
  <si>
    <t>【まとめテスト７８点A、GWレポートA、裁縫B、調理実習レポートA、ノートA】
巾着作りが終わっていない（６月２６日時点）。昼休みなど使っても終わらず。</t>
    <rPh sb="40" eb="42">
      <t>キンチャク</t>
    </rPh>
    <rPh sb="42" eb="43">
      <t>ヅク</t>
    </rPh>
    <rPh sb="45" eb="46">
      <t>オ</t>
    </rPh>
    <rPh sb="54" eb="55">
      <t>ガツ</t>
    </rPh>
    <rPh sb="57" eb="58">
      <t>ニチ</t>
    </rPh>
    <rPh sb="58" eb="60">
      <t>ジテン</t>
    </rPh>
    <rPh sb="62" eb="64">
      <t>ヒルヤス</t>
    </rPh>
    <rPh sb="67" eb="68">
      <t>ツカ</t>
    </rPh>
    <rPh sb="71" eb="72">
      <t>オ</t>
    </rPh>
    <phoneticPr fontId="1"/>
  </si>
  <si>
    <t>【まとめテスト７９点A、GWレポートA、裁縫B、調理実習レポートB、ノートB】
私語が多い。教師が話していようが、板書をしていようが、周りを巻き込んでしゃべっていることが多い。裁縫など、自分が苦手に感じていることは、こちらが声をかけるまでなかなかやろうとしない。調理実習では、初めは友だちと協力してがんばっていたが、周りに流されて、最後は友だちにちょっかいを出していた。２学期は、集中して取り組んでもらいたい。</t>
    <rPh sb="40" eb="42">
      <t>シゴ</t>
    </rPh>
    <rPh sb="43" eb="44">
      <t>オオ</t>
    </rPh>
    <rPh sb="46" eb="48">
      <t>キョウシ</t>
    </rPh>
    <rPh sb="49" eb="50">
      <t>ハナ</t>
    </rPh>
    <rPh sb="57" eb="59">
      <t>バンショ</t>
    </rPh>
    <rPh sb="67" eb="68">
      <t>マワ</t>
    </rPh>
    <rPh sb="70" eb="71">
      <t>マ</t>
    </rPh>
    <rPh sb="72" eb="73">
      <t>コ</t>
    </rPh>
    <rPh sb="85" eb="86">
      <t>オオ</t>
    </rPh>
    <rPh sb="88" eb="90">
      <t>サイホウ</t>
    </rPh>
    <rPh sb="93" eb="95">
      <t>ジブン</t>
    </rPh>
    <rPh sb="96" eb="98">
      <t>ニガテ</t>
    </rPh>
    <rPh sb="99" eb="100">
      <t>カン</t>
    </rPh>
    <rPh sb="112" eb="113">
      <t>コエ</t>
    </rPh>
    <rPh sb="131" eb="135">
      <t>チョウリジッシュウ</t>
    </rPh>
    <rPh sb="138" eb="139">
      <t>ハジ</t>
    </rPh>
    <rPh sb="141" eb="142">
      <t>トモ</t>
    </rPh>
    <rPh sb="145" eb="147">
      <t>キョウリョク</t>
    </rPh>
    <rPh sb="158" eb="159">
      <t>マワ</t>
    </rPh>
    <rPh sb="161" eb="162">
      <t>ナガ</t>
    </rPh>
    <rPh sb="166" eb="168">
      <t>サイゴ</t>
    </rPh>
    <rPh sb="169" eb="170">
      <t>トモ</t>
    </rPh>
    <rPh sb="179" eb="180">
      <t>ダ</t>
    </rPh>
    <rPh sb="186" eb="188">
      <t>ガッキ</t>
    </rPh>
    <rPh sb="190" eb="192">
      <t>シュウチュウ</t>
    </rPh>
    <rPh sb="194" eb="195">
      <t>ト</t>
    </rPh>
    <rPh sb="196" eb="197">
      <t>ク</t>
    </rPh>
    <phoneticPr fontId="1"/>
  </si>
  <si>
    <t>【まとめテスト８９点A、GWレポートA、裁縫A、調理実習レポートB、ノートB】
去年よりも、家庭科に対するやる気が感じられ、とても嬉しく思う。しかし、ノートではなく板書を教科書に書いたり、友だちと私語をする姿も度々見られる。ミシンでの巾着作りでは、休み時間も熱心に取り組み、一番に仕上げることができた。</t>
    <rPh sb="40" eb="42">
      <t>キョネン</t>
    </rPh>
    <rPh sb="46" eb="49">
      <t>カテイカ</t>
    </rPh>
    <rPh sb="50" eb="51">
      <t>タイ</t>
    </rPh>
    <rPh sb="55" eb="56">
      <t>キ</t>
    </rPh>
    <rPh sb="57" eb="58">
      <t>カン</t>
    </rPh>
    <rPh sb="65" eb="66">
      <t>ウレ</t>
    </rPh>
    <rPh sb="68" eb="69">
      <t>オモ</t>
    </rPh>
    <rPh sb="82" eb="84">
      <t>バンショ</t>
    </rPh>
    <rPh sb="85" eb="88">
      <t>キョウカショ</t>
    </rPh>
    <rPh sb="89" eb="90">
      <t>カ</t>
    </rPh>
    <rPh sb="94" eb="95">
      <t>トモ</t>
    </rPh>
    <rPh sb="98" eb="100">
      <t>シゴ</t>
    </rPh>
    <rPh sb="103" eb="104">
      <t>スガタ</t>
    </rPh>
    <rPh sb="105" eb="107">
      <t>タビタビ</t>
    </rPh>
    <rPh sb="107" eb="108">
      <t>ミ</t>
    </rPh>
    <rPh sb="117" eb="119">
      <t>キンチャク</t>
    </rPh>
    <rPh sb="119" eb="120">
      <t>ヅク</t>
    </rPh>
    <rPh sb="124" eb="125">
      <t>ヤス</t>
    </rPh>
    <rPh sb="126" eb="128">
      <t>ジカン</t>
    </rPh>
    <rPh sb="129" eb="131">
      <t>ネッシン</t>
    </rPh>
    <rPh sb="132" eb="133">
      <t>ト</t>
    </rPh>
    <rPh sb="134" eb="135">
      <t>ク</t>
    </rPh>
    <rPh sb="137" eb="139">
      <t>イチバン</t>
    </rPh>
    <rPh sb="140" eb="142">
      <t>シア</t>
    </rPh>
    <phoneticPr fontId="1"/>
  </si>
  <si>
    <t>学年目標の「仁」の体現を求め、集団生活の場である学校生活の場面において、友達との関わりや役割分担などで人間関係の在り方を考え、修正し、向上させてきました。また体育祭や研修旅行を通して、その成果を体現してきました。教室でもコミュニケーションの取り方や人としての在り方について教材を通して考えてきました。</t>
    <rPh sb="0" eb="4">
      <t>ガクネンモクヒョウ</t>
    </rPh>
    <rPh sb="6" eb="7">
      <t>ジン</t>
    </rPh>
    <rPh sb="9" eb="11">
      <t>タイゲン</t>
    </rPh>
    <rPh sb="12" eb="13">
      <t>モト</t>
    </rPh>
    <rPh sb="15" eb="19">
      <t>シュウダンセイカツ</t>
    </rPh>
    <rPh sb="20" eb="21">
      <t>バ</t>
    </rPh>
    <rPh sb="24" eb="28">
      <t>ガッコウセイカツ</t>
    </rPh>
    <rPh sb="29" eb="31">
      <t>バメン</t>
    </rPh>
    <rPh sb="36" eb="38">
      <t>トモダチ</t>
    </rPh>
    <rPh sb="40" eb="41">
      <t>カカ</t>
    </rPh>
    <rPh sb="44" eb="48">
      <t>ヤクワリブンタン</t>
    </rPh>
    <rPh sb="51" eb="55">
      <t>ニンゲンカンケイ</t>
    </rPh>
    <rPh sb="56" eb="57">
      <t>ア</t>
    </rPh>
    <rPh sb="58" eb="59">
      <t>カタ</t>
    </rPh>
    <rPh sb="60" eb="61">
      <t>カンガ</t>
    </rPh>
    <rPh sb="63" eb="65">
      <t>シュウセイ</t>
    </rPh>
    <rPh sb="67" eb="69">
      <t>コウジョウ</t>
    </rPh>
    <rPh sb="79" eb="82">
      <t>タイイクサイ</t>
    </rPh>
    <rPh sb="83" eb="87">
      <t>ケンシュウリョコウ</t>
    </rPh>
    <rPh sb="88" eb="89">
      <t>トオ</t>
    </rPh>
    <rPh sb="94" eb="96">
      <t>セイカ</t>
    </rPh>
    <rPh sb="97" eb="99">
      <t>タイゲン</t>
    </rPh>
    <rPh sb="106" eb="108">
      <t>キョウシツ</t>
    </rPh>
    <rPh sb="120" eb="121">
      <t>ト</t>
    </rPh>
    <rPh sb="122" eb="123">
      <t>カタ</t>
    </rPh>
    <rPh sb="124" eb="125">
      <t>ヒト</t>
    </rPh>
    <rPh sb="129" eb="130">
      <t>ア</t>
    </rPh>
    <rPh sb="131" eb="132">
      <t>カタ</t>
    </rPh>
    <rPh sb="136" eb="138">
      <t>キョウザイ</t>
    </rPh>
    <rPh sb="139" eb="140">
      <t>トオ</t>
    </rPh>
    <rPh sb="142" eb="143">
      <t>カンガ</t>
    </rPh>
    <phoneticPr fontId="9"/>
  </si>
  <si>
    <t>基本的な生活習慣（一日の過ごし方、時間管理、など）</t>
  </si>
  <si>
    <t xml:space="preserve">A </t>
  </si>
  <si>
    <t>健康・体力の向上（欠席、遅刻、早退など）</t>
  </si>
  <si>
    <t>自主・自律（整理整頓、身なり、宿題、提出物など）</t>
  </si>
  <si>
    <t>責任感（係、委員会、役割など）</t>
  </si>
  <si>
    <t>創意工夫（日常生活、授業発言など）</t>
  </si>
  <si>
    <t>思いやり・協力（友人関係、共同作業など）</t>
  </si>
  <si>
    <t>生命尊重・自然愛護（自然、動植物に対する接し方など）</t>
  </si>
  <si>
    <t>勤労・奉仕（清掃、給食など）</t>
  </si>
  <si>
    <t>公正・公平（友人関係、学級での話し合いなど）</t>
  </si>
  <si>
    <t>公共心・公徳心（規律、挨拶、返事など）</t>
  </si>
  <si>
    <t>図書委員会，陶芸クラブ，挨拶返事省，研修旅行美化係・部屋長，体育祭リレー赤補欠</t>
  </si>
  <si>
    <t>図書委員会，スポーツクラブ，姿勢時間省，研修旅行保健係，体育祭用具係</t>
  </si>
  <si>
    <t>SDGｓ委員会，スポーツクラブ，廊下歩行省，研修旅行美化係</t>
  </si>
  <si>
    <t>SDGｓ委員会，スポーツクラブ，言動省，硬式テニス部，研修旅行美化係</t>
  </si>
  <si>
    <t>倫理委員会，カードゲームクラブ，総務省，学級長，卓球部，研修旅行統率係，体育祭応援団</t>
  </si>
  <si>
    <t>代表委員会，スポーツクラブ，挨拶返事省，バスケットボール部，研修旅行統率係，部屋長，体育祭白組大玉リーダー，リレー白組青ﾊﾞﾄﾝ</t>
  </si>
  <si>
    <t>報道委員会，陶芸クラブ，言動省，バスケットボール部，研修旅行食事係，体育祭用具係</t>
  </si>
  <si>
    <t>福祉委員会，スポーツクラブ，廊下歩行省，競技かるた部，研修旅行保健係，部屋長，体育祭用具係</t>
  </si>
  <si>
    <t>福祉委員会，カードゲームクラブ，総務省，副学級長係，硬式テニス部，研修旅行保健係，部屋長，体育祭リレー赤補欠</t>
  </si>
  <si>
    <t>園芸委員会，カードゲームクラブ，身だしなみ省，研修旅行美化係，体育祭リレー白組補欠</t>
  </si>
  <si>
    <t>衛生委員会，スポーツクラブ，挨拶返事省，研修旅行保健係，部屋長，体育祭応援団</t>
  </si>
  <si>
    <t>園芸委員会，スポーツクラブ，身だしなみ省，美術部，研修旅行食事係</t>
  </si>
  <si>
    <t>環境委員会，歌唱クラブ，廊下歩行省，競技かるた部，研修旅行食事係</t>
  </si>
  <si>
    <t>衛生委員会，リペアクラブ，言動省，競技かるた部，研修旅行食事係長</t>
  </si>
  <si>
    <t>環境委員会，カードゲームクラブ，姿勢時間省，研修旅行統率係長，部屋長，体育祭赤組綱引き副リーダー</t>
  </si>
  <si>
    <t>代表委員会，将棋クラブ，姿勢時間省，合唱部，研修旅行美化係，体育祭赤組大玉副リーダー</t>
  </si>
  <si>
    <t>報道委員会，スポーツクラブ，身だしなみ省，卓球部，研修旅行統率係，体育祭赤組綱引きリーダー，リレー赤組黄ﾊﾞﾄﾝ</t>
  </si>
  <si>
    <t>代表委員会，カードゲームクラブ，総務省，学級書記，卓球部，研修旅行保健係</t>
  </si>
  <si>
    <t>一学期皆勤</t>
    <rPh sb="0" eb="3">
      <t>イチガッキ</t>
    </rPh>
    <rPh sb="3" eb="5">
      <t>カイキン</t>
    </rPh>
    <phoneticPr fontId="1"/>
  </si>
  <si>
    <t>一学期皆勤　発熱による早退(1)</t>
    <rPh sb="0" eb="3">
      <t>イチガッキ</t>
    </rPh>
    <rPh sb="3" eb="5">
      <t>カイキン</t>
    </rPh>
    <rPh sb="6" eb="8">
      <t>ハツネツ</t>
    </rPh>
    <rPh sb="11" eb="13">
      <t>ソウタイ</t>
    </rPh>
    <phoneticPr fontId="1"/>
  </si>
  <si>
    <t>風邪による欠席(1)発熱による早退(1)</t>
    <rPh sb="0" eb="2">
      <t>カゼ</t>
    </rPh>
    <rPh sb="5" eb="7">
      <t>ケッセキ</t>
    </rPh>
    <rPh sb="10" eb="12">
      <t>ハツネツ</t>
    </rPh>
    <rPh sb="15" eb="17">
      <t>ソウタイ</t>
    </rPh>
    <phoneticPr fontId="1"/>
  </si>
  <si>
    <t>家事都合による欠席(2)</t>
    <rPh sb="7" eb="9">
      <t>ケッセキ</t>
    </rPh>
    <phoneticPr fontId="1"/>
  </si>
  <si>
    <t>A</t>
    <phoneticPr fontId="1"/>
  </si>
  <si>
    <t>6年生としての目標を「中学生に向けて勉強を集中して取り組む」とし、そのために一学期の目標を「授業に集中して取り組む人になる」としました。その結果として、期末テストでは三週間前からとても丁寧な計画を立て、途中で変更しつつ自分のやるべきことを明確にして取り組むことができました。その計画と実施状況を毎日提出でき、テスト結果も458点と高得点を示し、授業内容をよく理解しています。これは自らの目標を達成できたものと考えられます。目標を設定し、計画を立て、修正しながら実行するということができたということは、今後の大きな自信につながってくるはずです。また、生活面でも係活動や委員会活動に責任をもって取り組もうと努力してきました。図書当番は忘れてしまうこともありましたが、やるべきことや役割はよく気にしており、算数Ｓ係として毎日の宿題チェックや宿題記入を責任を持って取り組み、研修旅行での美化係も丁寧に取り組みました。友達とも適度な距離を保って賢い関係を作っています。体育祭では補欠ながらリレーメンバーとなり、練習に積極的に参加しました。二学期はさいきょう祭や防災教室、進級判定試験への学習などがあります。また定期テストも2回あるので、真悠さんの時間を上手に活かす力を十分に活用していきましょう。</t>
    <rPh sb="338" eb="340">
      <t>ヤクワリ</t>
    </rPh>
    <rPh sb="453" eb="456">
      <t>セッキョクテキ</t>
    </rPh>
    <rPh sb="524" eb="525">
      <t>イ</t>
    </rPh>
    <rPh sb="527" eb="528">
      <t>チカラ</t>
    </rPh>
    <rPh sb="529" eb="531">
      <t>ジュウブン</t>
    </rPh>
    <rPh sb="532" eb="534">
      <t>カツヨウ</t>
    </rPh>
    <phoneticPr fontId="9"/>
  </si>
  <si>
    <t>6年生としての目標を「多くの人との仲を深め、相手の気持ちを思いやる人になる」とし、そのために一学期の目標を「自分より人を優先する」としました。学校生活の中で、休み時間にはひょうきんな動きを披露したり、男女問わずにごっこ遊びをしたりするなど分け隔てのない友達関係を築いています。また友達の相談に乗ったり、苦手意識のある友達に対しても気を遣っている様子がうかがわれます。体育祭では用具係に率先して立候補して練習から熱心に取り組み、本番でも一生懸命に走って動く姿が見られました。研修旅行においてもケジメを意識して行動し、班や部屋での行動を素早く切り替えることができていました。美術部に入ろうか迷っているところですが、仮入部してみて時間の使い方を考えていってもいいと思います。学習面では期末テストにおいて英語だけでなく理数系には力を発揮しました。これは宿題や授業ノートも丁寧に取り組み、力をつけようとよく努力した結果です。一方で模試では算数で割合や図形の領域の理解に課題があります。一学期の終わりには比の考え方を学んでいますので、夏休みにもう一度復習しておきましょう。二学期はさいきょう祭でのミュージカルがあり、進級判定試験への学習も始まります。友達の良い面を見ていこうとしている慧乃さんの更なる活躍を期待しています。</t>
    <rPh sb="153" eb="155">
      <t>イシキ</t>
    </rPh>
    <rPh sb="426" eb="428">
      <t>リカイ</t>
    </rPh>
    <rPh sb="429" eb="431">
      <t>カダイ</t>
    </rPh>
    <phoneticPr fontId="9"/>
  </si>
  <si>
    <t>6年生としての目標を「自分が後悔しないようにする」として取り組んできました。体調が優れないことが多く、早退が続いて授業への参加が半分程度になっていたり、研修旅行へも参加ができなかったのは残念ですが、体育祭で一生懸命に声を出したり競技に参加することができ、学校にいるときは英語でペアワークでコミュニケーションを取る場面に意欲的に参加したり、調理実習では家での弁当作りを活かして、友達と協力して皮むき（そのあと食べてしまいましたが）を手際よく行ったり、真剣な表情で授業に向かっている姿を多く見ています。また休み時間には友達と冗談を言って笑ったりふざけたりする場面も多くあります。期末テストには自分のペースで特に英語を中心に学習を進めました。どうしても未習のところや問題練習の量が少ないので、思うような結果にならない教科もあったと思いますが、コツコツと自分のできることをやる力はあります。二学期は「整理整頓を頑張る」としています。さいきょう祭でのミュージカルや進級判定試験への学習が始まります。ミュージカルには純聖くんの力が必要です。何よりも気持ちと体調を整えて、小学校生活を楽しみましょう。</t>
  </si>
  <si>
    <t>6年生としての目標を「友達みんなと仲良くする」とし、そのために一学期の目標を「みんなに優しくする」としました。休み時間はよく教卓付近に来ては、そこに集まる友達と会話をしたり、時には一人で机の下に潜むなど楽しそうに過ごしていました。体育祭ではチームの一員として作戦を考え、研修旅行では班で協力してメリハリのある行動を示しました。また道徳速読係として号令を掛けたり、清掃に黙々と取り組む姿が見られます。穏やかな性格で、友達の意見を聞くことが多いですが、自分の考えを述べるときははっきりと発言している姿もあり素晴らしいです。学習面では、英語の宿題提出率96％に見られるように、家庭学習を大切にしている姿があり、授業にも前向きに取り組んでいます。図工の光の塔は黙々と取り組み、素晴らしい作品としました。一方で、家庭科のレポートや国語での短歌や俳句、研修旅行レポートといった自己表現を文章にすることに、やや苦手意識があるようです。また、漢字の読みや書き、部首を答える問題や文字を使った計算など、繰り返し問題を解くことで身につく学習がやや不足しているときがあります。定期テストに向けて、計画的に範囲を終えられるように意識していきましょう。二学期はさいきょう祭でのミュージカルや進級判定試験への学習が始まります。先の見通しを持って快斗の力を大いに伸ばしていきましょう。</t>
    <rPh sb="64" eb="66">
      <t>フキン</t>
    </rPh>
    <rPh sb="67" eb="68">
      <t>キ</t>
    </rPh>
    <rPh sb="101" eb="102">
      <t>タノ</t>
    </rPh>
    <rPh sb="106" eb="107">
      <t>ス</t>
    </rPh>
    <rPh sb="555" eb="556">
      <t>モ</t>
    </rPh>
    <rPh sb="563" eb="564">
      <t>オオ</t>
    </rPh>
    <rPh sb="566" eb="567">
      <t>ノ</t>
    </rPh>
    <phoneticPr fontId="9"/>
  </si>
  <si>
    <t>6年生としての目標を「素直な人になる」とし、そのために一学期の目標で「自分の意見を言える人」を目指してきました。学級長に立候補し、学級会や話し合いをリードしてきました。３分前行動や１分前着席など学級への声掛けも意識していたと思いますが、さらに取り組みへの反省や学級への提案などできることがあったと自省しているようです。また、体育祭においても大玉運びのリーダーを務め、５年生も含めて勝利にこだわって練習計画を立てチームの力を積み上げることができました。休み時間は友達や先輩たちと話をしたり、遊んでいる姿をよく見ます。言葉遣いがやや乱れ、不安を感じる時もありますが、明るく、ものおじしない性格で積極的に話しかけています。史佳さんの引き出しは放課後にはいつも空になっており、ロッカーの整頓もしっかりできています。学習面では授業への積極的な参加が光り、発言も意欲的です。英語の宿題提出率100％が物語るように、期末テストに向けて計画的に学習を進めました。講演会のメモや各種レポートも丁寧に書かれています。基礎力をしっかり伸ばしているので、自己表現力を更に鍛えていきましょう。二学期はさいきょう祭でのミュージカルや、進級判定試験への学習が始まります。史佳さんの素直で前向きな姿勢を継続し、よりよい成果に結びつけましょう。</t>
    <rPh sb="130" eb="132">
      <t>ガッキュウ</t>
    </rPh>
    <rPh sb="134" eb="136">
      <t>テイアン</t>
    </rPh>
    <rPh sb="148" eb="150">
      <t>ジセイ</t>
    </rPh>
    <rPh sb="264" eb="265">
      <t>ミダ</t>
    </rPh>
    <phoneticPr fontId="9"/>
  </si>
  <si>
    <t>6年生としての目標を「小学校課程最高学年としての自覚を持つ」とし、そのために一学期の目標を「けじめをつけて行動できる人になる」としました。昼休みは積極的に校庭に出て友達と遊んでいる姿があり、清掃においては着替えの時から黙々と取り組んでいます。メリハリのある生活を心がけており、授業準備や移動も早くできています。また机の中やロッカーの整頓も丁寧にできています。体育祭では大玉運びのリーダーの一人として作戦を考え、自分の考えを５年生やチームメイトに伝えようと努力していました。また青バトンのリレー選手に選ばれ、練習に積極的に参加している姿も印象的でした。研修旅行では行動班の統率係となり、人員点呼をはじめ班行動や移動の際には声掛けをしていました。独自に調査した事前学習ノートも見事なものでした。学習面では期末テストで学年１位を獲得するなど、日ごろの努力が実を結んでいます。テスト前の計画表を見ると地道にやるべきことを確実に積み上げている様子がうかがわれます。技能教科でも真剣に取り組み、家庭科のレポートも丁寧にまとめられていたようです。一つ一つの課題に対して前向きに正面から取り組んでいることが結果に表れていると考えます。人前に立って話をしたり発表するのに苦手意識があるようですが、二学期のさいきょう祭でのミュージカルに向けて、一つ殻を破る取り組みをすることを期待しています。</t>
    <rPh sb="427" eb="431">
      <t>ギノウキョウカ</t>
    </rPh>
    <rPh sb="433" eb="435">
      <t>シンケン</t>
    </rPh>
    <rPh sb="436" eb="437">
      <t>ト</t>
    </rPh>
    <rPh sb="438" eb="439">
      <t>ク</t>
    </rPh>
    <rPh sb="528" eb="530">
      <t>イシキ</t>
    </rPh>
    <phoneticPr fontId="9"/>
  </si>
  <si>
    <t>6年生としての目標を「字を丁寧に書く」とし、そのために一学期の目標を「読める字を書く」としました。休み時間は友達と話したり遊んでいる姿をよく見ます。友達へのさりげない優しさや気遣いが言葉に表れています。国語係としての毎日の宿題チェックや黒板消しの仕事、気が付いたときにサッと動いてくれる哲生くんの姿はとても印象的です。また、読書している本がとても興味深く、自然科学系のものが多いように思います。一方で課題となっている整理整頓もそうですが、どうしても「めんどくさい」という気持ちが優先してしまい、後のことはあまり考えずに動いてしまうことがあります。特に国語では宿題のページを間違えたり、読めない字を書いてしまったり、期末テストでも字が乱雑になって点数を落としている問題もありました。英語でも単語や英文を丁寧に練習する習慣をつけて。現在進行形の理解を深める必要があるようです。自分の課題に向き合って改善する姿を継続していきましょう。二学期はさいきょう祭でのミュージカルがあります。哲生くんの独自のアイディアを活かし、みんなと協力しながら、より質の高い演目を作っていきましょう。</t>
  </si>
  <si>
    <t>6年生としての目標を「友達と仲良くする」とし、そのために一学期の目標で「誰とでも仲良くできる人」を目指してきました。休み時間は仲のいい友達と話しをしたり、遊んでいたりする姿をよく見ますが、学習班や研修旅行などで一緒のグループになったときには分け隔てなく話をしている姿もありました。また競技かるた部に向ける情熱が高く、机の中にはいつも百人一首の本がありました。教科係の算数では諏訪便が交通事情のため朝の到着が遅くなり、宿題チェックは任せることが多くなってしまったものの、いつも気にかけていました。自分の好きなものに対して一生懸命になれる姿がとてもいいです。体育祭では用具係に立候補し、練習時から汗を流して一生懸命に取り組んでいる姿がありました。学習面では体を動かす学習にとても熱心に取り組めます。家庭科や図工、体育では積極的な姿が多く見られました。一方で深く読み取ったり、気持ちを文章で表現したりする場面でやや苦手意識が先行してしまい、字が雑になってしまったり、集中が途切れてしまう場面もありました。漢字や計算練習や単語など繰り返し練習することで身につくこともあります。彩愛さんならできるはずです。苦手と思わずにコツコツと進めていきましょう。二学期のさいきょう祭でのミュージカルでの活躍も期待しています。</t>
    <rPh sb="326" eb="327">
      <t>カラダ</t>
    </rPh>
    <rPh sb="328" eb="329">
      <t>ウゴ</t>
    </rPh>
    <phoneticPr fontId="9"/>
  </si>
  <si>
    <t>6年生としての目標を「後輩の見本になる」とし、そのために一学期の目標を「授業で後輩に見せられる態度を取る」としました。休み時間は男女隔てなく遊んだり話していることが多くありました。副学級長に立候補し、その任に就いてきました。学級会の時は積極的に前に出て意見をまとめることもありました。また体育祭の大玉運びのリーダーの一人として、先輩として５年生を含めて作戦を考え、考えを述べてリードしてきました。一方で、先の見通しをもって行動することが苦手で、目の前のことや自分のやりたいことに気を取られてしまい、行動が遅れたり、整頓ができないところがあります。そのため、学級のリーダーとしての在り方を問われる場面も何度かかりました。また、友達とのコミュニケーションの取り方が拙く、ちょっかいを出してしまったり、余計な一言を発してしまったりすることで注意を促される場面もありました。学習面では英語の宿題提出率92％に見られるように家庭学習にしっかりと取り組み、授業に集中して積極的に意見を述べる場面が多くあり、授業内容の理解も伸ばしてきましたが、忘れ物があったり、集中が途切れてしゃべってしまう場面があったりしました。取り組みの波を抑えられるようになると更に力を伸ばすことができるでしょう。二学期はさいきょう祭でのミュージカルがあったり、進級判定試験への学習が始まったりします。瑞希くんの前向きな取り組みに期待しています。</t>
    <rPh sb="42" eb="43">
      <t>ミ</t>
    </rPh>
    <rPh sb="508" eb="509">
      <t>オサ</t>
    </rPh>
    <phoneticPr fontId="9"/>
  </si>
  <si>
    <t>6年生としての目標を「クラスの平均点を超えること」とし、そのために一学期の目標では「１時間は毎日勉強する人」を目指してきました。期末テストでは社会と理科でその目標を達成することができました。休み時間は一人で絵をかいたり本を読んでいる時間があったり、友達と一緒に談笑している姿が見られます。英語係としても毎日の宿題チェックや、ノートの配布など忘れることなく淡々と責任を果たし、清掃にも黙々と取り組んでいる姿があります。ロッカーの整頓はやや課題が残りますが、大きく乱れることはありませんでした。体育祭では大玉運びのリーダーの一人となり、５年生を中心にサポートを行い、まとめの時は自分の考えや感想を何とか届けようと言葉を選びながら努力していました。また選抜リレーの補欠選手としても練習に積極的に参加していました。学習面ではとにかく努力を積み重ねる姿が素晴らしいです。英語の宿題提出率100％にあるように家庭学習も計画的に進めてきました。期末テストに向けてもやるべき事を一生懸命に毎日コツコツ積み上げてきました。自己評価は随分低いのですが、決められたことを着実に努力できるというのは才能です。理科や英語で先んじて行ったワークテストで高得点を上げているのもその成果です。自信を持ちましょう。ただ、漢字や単語などを正確に覚えて使うように気を付けていきましょう。二学期はさいきょう祭や進級判定試験への学習があります。一学期の努力を自信にして久奈さんらしい取り組みに期待しています。</t>
  </si>
  <si>
    <t>6年生としての目標を「後回しの癖をなくす」とし、そのために一学期の目標は「やるべきことを完璧にできる人になる」としました。休み時間は外に出て友達と元気よく遊ぶ姿が多くありました。また国語係として毎日の宿題チェックや返却などに十分にその責を果たしてきました。体育祭では応援団に立候補し、練習に積極的に参加して演舞などを真っ先覚え、後輩だけでなく学年のリーダーとして組を支えてきました。何よりも清掃後に教室や特別教室にバケツが残っていたり、図工での型付け作業では、自ら率先して動いて片付ける姿を何度も見ています。気づいて動ける一之祐くんはとてもかっこいいと思います。何度か机の上に出しっぱなしになっていたこともありましたが、机の中やロッカーの中の整頓にも気を配っています。学習面では授業への積極的な取り組みが光ります。独自な発想や着眼点を持って、前向きに取り組む姿は意欲にもつながります。一方で、丁寧な取り組みという点で課題も残ります。問題文の読み取り不足があったり、英語の宿題提出率が53％のように家庭学習の時間をしっかりと確保しての取り組みが期待されています。二学期ではさいきょう祭でのミュージカルで一之祐くんの活躍や、進級判定試験への学習に地道に取り組むことを大いに期待しています。</t>
  </si>
  <si>
    <t>6年生としての目標を「小学校最高学年として凡事徹底をしっかりして勉強を頑張る」とし、そのために一学期の目標では「１～５年の人に尊敬されるような人」を目指してきました。持病の低血圧から朝は体調を崩すことが多く、遅れて教室に入ることがありました。しかし、遅れても提出物はしっかりと出そうと努力している姿があり、やるべきことをやろうとする意志を感じます。休み時間は友達と談笑する姿が多くあり、時には大きな笑い声を耳にすることもありました。ただ友達関係では嫌なものは嫌という勇気も必要になります。目の前のことに気を取られすぎて、次の時間の準備が疎かになり、机の中やロッカーが雑然としてしまうことがあったのが今後の課題です。学習面では英語の宿題提出率が85％だったように、提出そのものについては概ね凡事徹底ができていますが、内容については漢字や計算方法などに丁寧に取り組む必要があります。また定期テストに向けての計画的な学習も中学校に向けて必要になってきます。授業で分からなかったことをどんどん質問して解決するとともに、繰り返し問題を解くようにしていくと更に力がつくはずです。二学期はさいきょう祭と共に進級判定試験への学習も始まります。自分の時間のコントロールを上手にして、心海さんの笑顔があふれる学期にしていきましょう。</t>
    <rPh sb="83" eb="85">
      <t>ジビョウ</t>
    </rPh>
    <rPh sb="342" eb="343">
      <t>オオム</t>
    </rPh>
    <phoneticPr fontId="9"/>
  </si>
  <si>
    <t>6年生としての目標を「責任を持って小学生のお手本となる」とし、そのために一学期の目標を「相手を想いやれる人になる」としました。環境委員としての週末の仕事や音楽係として教科連絡を忘れずに行ったり、机の中やロッカーの整理整頓をきちんと行ったり、やるべき時にやるべきことを意識して行動できています。休み時間には友達と談笑する姿が多く見られ、男女分け隔てなく公平に適度な距離感でコミュニケーションをとれている。体育祭の大玉運びでは、自ら走り方や５年生に向けてのアドバイスをよく考え、応援練習でも全身を使って精一杯の声を出している姿が印象的でした。研修旅行においては見学地での才教生としての在り方を考え、早めの行動を心がけていました。見学地においても、当事者の心情に心を寄せて説明を聞いたり体験したりし、より多くのことを学ぼうとしていました。学習面では、聞くべき時はしっかりと聞いて理解を深めています。国語の「聞いて考えを深めよう」という単元での母親へのインタビューを通して自分の在り方について、よく考察できていました。そのような真摯な態度で臨む姿は、これからも身の回りの体験や経験でこれからも志朋さんを大きくしてくれると思います。期末テストへの学習も計画的にでき、英語で学年１位を取るなど、家庭学習も十分にできています。二学期はさいきょう祭でのミュージカルをはじめ、防災についての学びや進級判定試験への学習も始まります。学級・学年への声掛けや働きかけを期待しています。</t>
  </si>
  <si>
    <t>6年生としての目標を「字を丁寧に書く」とし、そのために一学期の目標を「心を落ち着かせられる人になる」としました。生活記録係として交通事情から諏訪便が遅くなっても、できるだけその責を果たそうと努力し、言動省の長として黒板を消す仕事も積極的に動いていました。休み時間や放課後は外に出て、明るく声をかけて友達と一緒に、ドッジボールやタイヤ遊びで体を動かしている姿をよく見ました。学級でも積極的に声を掛けることもあります。一方で机の中やロッカーの整理整頓はまだ十分でなく、乱雑になって指摘を受けることもありました。昨年から指摘されている言動については注意して行動することが増えているようです。ただ、やはり自分の気持ちを優先した発言や行動をしてしまう場面もあり、友達とのトラブルに発展してしまうこともありました。自己主張も大切ですが、集団生活の場での在り方については、友達とのコミュニケーションの取り方を含め、更に工夫していきましょう。学習面では期末テストに向かい、計画的に学習を進めました。授業での発言は積極的でよいのですが、授業中の私語をいくつかの教科で指摘されています。裁縫など苦手なことにもどんどん挑戦し、字も含めて「丁寧な」学習を心がけて表現力を伸ばしていきましょう。二学期はさいきょう祭でのミュージカルや防災学習や小学校課程の学びのまとめに入ります。学習面でも生活面でも陽香さんの前向きな明るさを活かしていきましょう。</t>
    <rPh sb="301" eb="303">
      <t>キモ</t>
    </rPh>
    <rPh sb="305" eb="307">
      <t>ユウセン</t>
    </rPh>
    <rPh sb="309" eb="311">
      <t>ハツゲン</t>
    </rPh>
    <rPh sb="312" eb="314">
      <t>コウドウ</t>
    </rPh>
    <phoneticPr fontId="9"/>
  </si>
  <si>
    <t>6年生としての目標を「相手から尊敬される人になる」としてスタートしました。体育祭では大綱引きの赤組Ａチームのリーダーとして、５年生への前向きな声掛けや練習での姿勢やタイミングなどを、具体的に指示する姿が印象的でした。また研修旅行でも統率係長となり、全体の場での意見発表や感想発表の場を多く経験しました。その場にふさわしい建設的な意見を発表することができました。リーダーとしてだけではなく、休み時間は友達と談笑したり、時には体中を使って笑ったり、英語係として宿題チェックや配布などを手際よく行ったり、自分なりのアイディアを持ちながらも友達や周りの意見を聞いて進めようとする姿を多く見ました。慧さんの中に、理想の自分がいつもいて、それに近づこうと努力している姿だと感じています。クラス全体に声掛けをしたり、自分から率先して動いたり、友達を気遣い、声掛けする姿も多く目にしています。友達関係では思うようにならずにストレスを感じるところもありましたが、寄り添ってポジティブな意見を言ってくれる存在で、きっと相談事もあったのではないかと思います。学習面では宿題を毎日確認して確実に提出できています。期末テストへの学習も計画的に進め、算数をはじめ成果を残しました。授業でも積極的な取り組みを見せており、体育や図工でも友達と協力しながら楽しんで学習している姿があります。二学期はさいきょう祭や防災教室，進級判定試験への取り組みなど一学期の学習を活かせる機会が多くあります。慧さんの明るく前向きな取り組みを期待しています。</t>
    <rPh sb="371" eb="373">
      <t>コエガ</t>
    </rPh>
    <phoneticPr fontId="9"/>
  </si>
  <si>
    <t>6年生としての目標を「小学校最高学年として先輩として自分の行動に責任を持つ」とし、そのために一学期の目標を「今一度、凡事を徹底し先輩として行動する人になる」としました。体育祭では体育委員として全校の前でラジオ体操を行ったり、先輩として５年生にポイントを教えるなど、自分が持っているものを向上させて伝えることができました。また、休み時間には本を読んだり、友達や大輝くんと談笑している姿をよく見ます。じっくりと友達関係を築き深めている様子がうかがわれます。研修旅行で被災地への思いを深く胸に感じるなど感受性も高いです。整理整頓やクラスへの声掛けもしっかりとできているのは、先を見てやるべきことをやるべき時間にきちんと取り組んでいるからです。そういう面は茉綾さんの素晴らしいところの一つです。じっくりと時間をかけて取り組むのは学習面でも同様で宿題はもちろん、期末テストへ計画的に取り組むことができ、ほとんど90点以上の好成績を残すことができました。ただ、じっくりと真剣に取り組むからこそ、時間内に終わらない課題もありました。時間配分は今後の課題の一つかもしれません。二学期はさいきょう祭や防災教室、進級判定試験への学習などたくさんの目標があります。三役に立候補したその力を二学期に活かしてほしいと思います。</t>
    <rPh sb="184" eb="186">
      <t>ダンショウ</t>
    </rPh>
    <rPh sb="208" eb="209">
      <t>キズ</t>
    </rPh>
    <rPh sb="322" eb="323">
      <t>メン</t>
    </rPh>
    <phoneticPr fontId="9"/>
  </si>
  <si>
    <t>６年生としての目標を「身だしなみを気をつける」とし、目標達成のために一学期は「物事を丁寧にやる人」を目指してきました。机の中もロッカーの中もいつも整頓できていました。ロッカーは教材がありすぎてぎっしりになることも多かったですが、見事に整理できていました。また算数係や報道委員会の仕事を忘れることなく務めることができました。男女分け隔てのない交友関係を築き、休み時間は外に出てバスケットボールなどで体を動かし、卓球部でも日々技能を磨いています。体育祭では赤組黄色バトンチームの一員として初めは不安だらけでしたが、練習に参加するごとに成長し、本番では２位となり、大きな自信につながりました。また研修旅行では統率係として人員点呼だけではなく、班行動での計画や時間配分、歩行時のマナーなどに気を配り、声掛けもしっかりできていました。学習面では宿題提出はもちろん、期末テストへの学習もコツコツと努力を積み重ねてきました。振り返りを見ると達成率はほぼ毎日90%以上です。自分で立てた計画を着実に実行できる力と、自分ができる量を把握している証拠です。それは英語で学年1位を取るなど、大きな成果につながっています。さらに、記述問題にじっくりと取り組む練習をするとさらに上位を目指せます。二学期はさいきょう祭や防災教室、進級判定試験への学習など、これまでの学習や経験を活かせる機会が多くあります。英一くんのアイディアや緻密さに期待しています。</t>
    <rPh sb="526" eb="528">
      <t>ジョウイ</t>
    </rPh>
    <phoneticPr fontId="9"/>
  </si>
  <si>
    <t>６年生としての目標を「ロッカーや引き出しの整理をする。提出物や字をきれいにする」とし、そのために一学期では「みんなに信頼される人」になることを目標としてきました。一学期は学級三役に立候補し、書記として学級会では前に立って進めました。途中から自覚を促すために「日直係」をして学級全体を見るようにしてきました。朝の会や帰りの会の司会進行を務め、学級全体に声を掛けることができています。また社会係や体育委員として宿題チェックや体育祭でのラジオ体操など、やるべきことをきちんとできています。休み時間は外に出て友達と遊んだり、時には談笑している姿をよく見かけます。友達関係では承認欲求が強いようで、時にはちょっかいを出したり、甘える姿もありますが、注意されると素直に謝ることができます。ロッカーの整頓はよくできていて、乱れることが少なくなりました。机の中も引き出しがない現在は整頓ができています。学習面では家庭科から昨年度よりもやる気が感じられると評価され、全体的に少し落ち着いて前向きに学習に取り組んでいます。図工の光の塔でも自分なりの工夫をして物語性のある作品にしました。期末テストに向けても計画的に学習を進め、学年7位という好成績を残しました。どの教科でもまだ私語が多い点は指摘されているので、けじめをつけて自分の意見を言うときと思い付きを口にするときの区別をしていきましょう。二学期、小学生最後のさいきょう祭があります。陽翔くんの明るく積極的な姿勢で、元気のいい作品にしていきましょう。</t>
    <rPh sb="403" eb="406">
      <t>サクネンド</t>
    </rPh>
    <phoneticPr fontId="9"/>
  </si>
  <si>
    <t>溶連菌感染症による出席停止(3)体調不良による欠席(10)風邪による欠席(2)発熱による欠席(2)体調不良による早退(52)</t>
  </si>
  <si>
    <t>風邪による欠席(2)発熱による早退(1)</t>
    <rPh sb="0" eb="2">
      <t>カゼ</t>
    </rPh>
    <rPh sb="5" eb="7">
      <t>ケッセキ</t>
    </rPh>
    <rPh sb="10" eb="12">
      <t>ハツネツ</t>
    </rPh>
    <rPh sb="15" eb="17">
      <t>ソウタイ</t>
    </rPh>
    <phoneticPr fontId="1"/>
  </si>
  <si>
    <t>家事都合による欠席(1)</t>
    <rPh sb="7" eb="9">
      <t>ケッセキ</t>
    </rPh>
    <phoneticPr fontId="1"/>
  </si>
  <si>
    <t>風邪による欠席(2)</t>
    <rPh sb="0" eb="2">
      <t>カゼ</t>
    </rPh>
    <rPh sb="5" eb="7">
      <t>ケッセキ</t>
    </rPh>
    <phoneticPr fontId="1"/>
  </si>
  <si>
    <t>一学期皆勤　寝坊による遅刻(1)</t>
    <rPh sb="0" eb="3">
      <t>イチガッキ</t>
    </rPh>
    <rPh sb="3" eb="5">
      <t>カイキン</t>
    </rPh>
    <rPh sb="6" eb="8">
      <t>ネボウ</t>
    </rPh>
    <rPh sb="11" eb="13">
      <t>チコク</t>
    </rPh>
    <phoneticPr fontId="1"/>
  </si>
  <si>
    <t>風邪による欠席(4)発熱による欠席(1)</t>
    <rPh sb="0" eb="2">
      <t>カゼ</t>
    </rPh>
    <rPh sb="5" eb="7">
      <t>ケッセキ</t>
    </rPh>
    <rPh sb="10" eb="12">
      <t>ハツネツ</t>
    </rPh>
    <rPh sb="15" eb="17">
      <t>ケッセキ</t>
    </rPh>
    <phoneticPr fontId="1"/>
  </si>
  <si>
    <t>一学期皆勤　アレルギー検査・目の怪我のため早退(各1)</t>
    <rPh sb="0" eb="3">
      <t>イチガッキ</t>
    </rPh>
    <rPh sb="3" eb="5">
      <t>カイキン</t>
    </rPh>
    <rPh sb="11" eb="13">
      <t>ケンサ</t>
    </rPh>
    <rPh sb="14" eb="15">
      <t>メ</t>
    </rPh>
    <rPh sb="16" eb="18">
      <t>ケガ</t>
    </rPh>
    <rPh sb="21" eb="23">
      <t>ソウタイ</t>
    </rPh>
    <rPh sb="24" eb="25">
      <t>カク</t>
    </rPh>
    <phoneticPr fontId="1"/>
  </si>
  <si>
    <t>家事都合(3)頭痛(2)体調不良(1)腹痛(1)眼科通院(1)皮膚科通院(1)による欠席　頭痛(11)腹痛(4)による遅刻　家事都合(3)アレルギー検査(1)眼科(1)による早退</t>
  </si>
  <si>
    <t>発熱による欠席(１)早退(１)</t>
    <rPh sb="0" eb="2">
      <t>ハツネツ</t>
    </rPh>
    <rPh sb="5" eb="7">
      <t>ケッセキ</t>
    </rPh>
    <rPh sb="10" eb="12">
      <t>ソウタイ</t>
    </rPh>
    <phoneticPr fontId="9"/>
  </si>
  <si>
    <t>一学期皆勤　発熱・内科診療による遅刻(各1)</t>
    <rPh sb="0" eb="3">
      <t>イチガッキ</t>
    </rPh>
    <rPh sb="3" eb="5">
      <t>カイキン</t>
    </rPh>
    <rPh sb="6" eb="8">
      <t>ハツネツ</t>
    </rPh>
    <rPh sb="9" eb="11">
      <t>ナイカ</t>
    </rPh>
    <rPh sb="11" eb="13">
      <t>シンリョウ</t>
    </rPh>
    <rPh sb="16" eb="18">
      <t>チコク</t>
    </rPh>
    <rPh sb="19" eb="20">
      <t>カク</t>
    </rPh>
    <phoneticPr fontId="1"/>
  </si>
  <si>
    <t>150～200</t>
    <phoneticPr fontId="9" type="Hiragana" alignment="distributed"/>
  </si>
  <si>
    <t>総合所見</t>
    <phoneticPr fontId="1"/>
  </si>
  <si>
    <t>この項目は適宜変更して下さい。
※注意※
ただし、項目数は１０個まで。仮に少ない場合も行の削除は絶対に行わないで下さい。</t>
    <phoneticPr fontId="1"/>
  </si>
  <si>
    <t>A</t>
    <phoneticPr fontId="1"/>
  </si>
  <si>
    <t>B</t>
    <phoneticPr fontId="1"/>
  </si>
  <si>
    <t>B</t>
    <phoneticPr fontId="1"/>
  </si>
  <si>
    <t>C</t>
    <phoneticPr fontId="1"/>
  </si>
  <si>
    <t>A</t>
    <phoneticPr fontId="1"/>
  </si>
  <si>
    <t>A</t>
    <phoneticPr fontId="1"/>
  </si>
  <si>
    <t>C</t>
    <phoneticPr fontId="1"/>
  </si>
  <si>
    <t>B</t>
    <phoneticPr fontId="1"/>
  </si>
  <si>
    <t>B</t>
    <phoneticPr fontId="1"/>
  </si>
  <si>
    <t>-</t>
    <phoneticPr fontId="1"/>
  </si>
  <si>
    <t>この項目は適宜変更して下さい。
※注意※
ただし、項目数は１０個まで。仮に少ない場合も行の削除は絶対に行わないで下さい。</t>
    <phoneticPr fontId="1"/>
  </si>
  <si>
    <t>A</t>
    <phoneticPr fontId="1"/>
  </si>
  <si>
    <t>思考力・表現力・判断力（単元テスト・定期テスト）</t>
    <phoneticPr fontId="1"/>
  </si>
  <si>
    <t>B</t>
    <phoneticPr fontId="1"/>
  </si>
  <si>
    <t>主体的に学習に取り組む態度</t>
    <phoneticPr fontId="1"/>
  </si>
  <si>
    <t>-</t>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</si>
  <si>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</si>
  <si>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</si>
  <si>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</si>
  <si>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</si>
  <si>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t>
    <phoneticPr fontId="1"/>
  </si>
  <si>
    <t>この項目は適宜変更して下さい。
※注意※
ただし、項目数は１０個まで。仮に少ない場合も行の削除は絶対に行わないで下さい。</t>
    <phoneticPr fontId="1"/>
  </si>
  <si>
    <t>A</t>
    <phoneticPr fontId="1"/>
  </si>
  <si>
    <t>A</t>
    <phoneticPr fontId="1"/>
  </si>
  <si>
    <t>B</t>
    <phoneticPr fontId="1"/>
  </si>
  <si>
    <t>C</t>
    <phoneticPr fontId="1"/>
  </si>
  <si>
    <t>-</t>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</si>
  <si>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</si>
  <si>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</si>
  <si>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</si>
  <si>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</si>
  <si>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この項目は適宜変更して下さい。
※注意※
ただし、項目数は１０個まで。仮に少ない場合も行の削除は絶対に行わないで下さい。</t>
    <phoneticPr fontId="1"/>
  </si>
  <si>
    <t>-</t>
    <phoneticPr fontId="1"/>
  </si>
  <si>
    <t>A</t>
    <phoneticPr fontId="1"/>
  </si>
  <si>
    <t>B</t>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</si>
  <si>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</si>
  <si>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</si>
  <si>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</si>
  <si>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</si>
  <si>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主体的に学習に取り組む態度</t>
    <phoneticPr fontId="1"/>
  </si>
  <si>
    <t>【まとめテスト７２点B、GWレポートA、裁縫A、調理実習レポートA、ノートA】</t>
    <phoneticPr fontId="1"/>
  </si>
  <si>
    <t>【まとめテスト８３点A、GWレポートA、裁縫A、調理実習レポートA、ノートA】</t>
    <phoneticPr fontId="1"/>
  </si>
  <si>
    <t>【まとめテスト７０点B、GWレポートA、裁縫A、調理実習レポートA、ノートA】</t>
    <phoneticPr fontId="1"/>
  </si>
  <si>
    <t>【まとめテス８２点A、GWレポートA、裁縫A、調理実習レポートB、ノートA】</t>
    <phoneticPr fontId="1"/>
  </si>
  <si>
    <t>【まとめテスト７３点B、GWレポートA、裁縫A、調理実習レポートB、ノートB】</t>
    <phoneticPr fontId="1"/>
  </si>
  <si>
    <t>【まとめテスト８６点A、GWレポートA、裁縫A、調理実習レポートA、ノートA】</t>
    <phoneticPr fontId="1"/>
  </si>
  <si>
    <t>【まとめテスト９４点A、GWレポートA、裁縫A、調理実習レポートA、ノートA】</t>
    <phoneticPr fontId="1"/>
  </si>
  <si>
    <t>【まとめテスト９４点A、GWレポートA、裁縫A、調理実習レポートA、ノートA】</t>
    <phoneticPr fontId="1"/>
  </si>
  <si>
    <t>【まとめテスト８０点A、GWレポートA、裁縫A、調理実習レポートA、ノートA】</t>
    <phoneticPr fontId="1"/>
  </si>
  <si>
    <t>B</t>
    <phoneticPr fontId="1"/>
  </si>
  <si>
    <t>400～450</t>
    <phoneticPr fontId="9" type="Hiragana" alignment="distributed"/>
  </si>
  <si>
    <t xml:space="preserve"> 出席日数（自動計算）</t>
    <phoneticPr fontId="1"/>
  </si>
  <si>
    <t xml:space="preserve"> 欠席日数</t>
    <phoneticPr fontId="1"/>
  </si>
  <si>
    <t>腹痛・風邪による欠席(各1)</t>
    <rPh sb="0" eb="2">
      <t>フクツウ</t>
    </rPh>
    <rPh sb="3" eb="5">
      <t>カゼ</t>
    </rPh>
    <rPh sb="8" eb="10">
      <t>ケッセキ</t>
    </rPh>
    <rPh sb="11" eb="12">
      <t>カク</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</si>
</sst>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22">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sz val="11"/>
      <name val="ＭＳ Ｐゴシック"/>
      <family val="3"/>
      <charset val="128"/>
      <scheme val="minor"/>
    </font>
    <font>
      <b/>
      <sz val="12"/>
      <color theme="0"/>
      <name val="ＭＳ Ｐ明朝"/>
      <family val="1"/>
      <charset val="128"/>
    </font>
    <font>
      <sz val="11"/>
      <color rgb="FF9C6500"/>
      <name val="ＭＳ Ｐゴシック"/>
      <family val="2"/>
      <charset val="128"/>
      <scheme val="minor"/>
    </font>
    <font>
      <sz val="11"/>
      <color indexed="52"/>
      <name val="ＭＳ Ｐゴシック"/>
      <family val="3"/>
      <charset val="128"/>
    </font>
    <font>
      <sz val="9"/>
      <name val="MS PGothic"/>
      <family val="3"/>
    </font>
    <font>
      <sz val="1"/>
      <name val="ＭＳ Ｐ明朝"/>
      <family val="1"/>
      <charset val="128"/>
    </font>
    <font>
      <sz val="10"/>
      <name val="ＭＳ Ｐ明朝"/>
      <family val="1"/>
      <charset val="128"/>
    </font>
    <font>
      <sz val="11.5"/>
      <name val="ＭＳ Ｐ明朝"/>
      <family val="1"/>
      <charset val="128"/>
    </font>
  </fonts>
  <fills count="15">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
      <patternFill patternType="solid">
        <fgColor rgb="FFFFFFFF"/>
        <bgColor indexed="64"/>
      </patternFill>
    </fill>
  </fills>
  <borders count="55">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top style="hair">
        <color indexed="64"/>
      </top>
      <bottom/>
      <diagonal/>
    </border>
    <border>
      <left/>
      <right style="thin">
        <color indexed="64"/>
      </right>
      <top style="hair">
        <color indexed="64"/>
      </top>
      <bottom/>
      <diagonal/>
    </border>
    <border>
      <left style="thin">
        <color indexed="64"/>
      </left>
      <right/>
      <top style="hair">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s>
  <cellStyleXfs count="1">
    <xf numFmtId="0" fontId="0" fillId="0" borderId="0">
      <alignment vertical="center"/>
    </xf>
  </cellStyleXfs>
  <cellXfs count="196">
    <xf numFmtId="0" fontId="0" fillId="0" borderId="0" xfId="0">
      <alignment vertical="center"/>
    </xf>
    <xf numFmtId="0" fontId="3" fillId="0" borderId="1" xfId="0" applyFont="1" applyFill="1" applyBorder="1" applyAlignment="1">
      <alignment horizontal="center" vertical="center"/>
    </xf>
    <xf numFmtId="0" fontId="3" fillId="0" borderId="1" xfId="0" applyFont="1" applyFill="1" applyBorder="1" applyAlignment="1">
      <alignment horizontal="right" vertical="center"/>
    </xf>
    <xf numFmtId="0" fontId="5" fillId="0" borderId="1" xfId="0" applyFont="1" applyFill="1" applyBorder="1" applyAlignment="1">
      <alignment horizontal="center" vertical="center"/>
    </xf>
    <xf numFmtId="0" fontId="3" fillId="0" borderId="1" xfId="0" applyFont="1" applyFill="1" applyBorder="1" applyAlignment="1">
      <alignmen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5"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8"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xf>
    <xf numFmtId="0" fontId="3" fillId="0" borderId="0" xfId="0" applyFont="1" applyFill="1" applyBorder="1" applyAlignment="1">
      <alignment horizontal="left" vertical="top" wrapText="1" shrinkToFit="1"/>
    </xf>
    <xf numFmtId="0" fontId="3" fillId="0" borderId="0" xfId="0" applyFont="1" applyBorder="1" applyAlignment="1">
      <alignment horizontal="left" vertical="center" shrinkToFit="1"/>
    </xf>
    <xf numFmtId="0" fontId="3" fillId="0" borderId="43" xfId="0" applyFont="1" applyFill="1" applyBorder="1" applyAlignment="1">
      <alignment horizontal="center" vertical="center"/>
    </xf>
    <xf numFmtId="0" fontId="0" fillId="0" borderId="0" xfId="0" applyBorder="1" applyAlignment="1">
      <alignment horizontal="left" vertical="center" shrinkToFit="1"/>
    </xf>
    <xf numFmtId="0" fontId="3" fillId="0" borderId="0" xfId="0" applyFont="1" applyBorder="1" applyAlignment="1">
      <alignment horizontal="center" vertical="center"/>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7" fillId="2" borderId="14" xfId="0" applyNumberFormat="1" applyFont="1" applyFill="1" applyBorder="1" applyAlignment="1">
      <alignment horizontal="center" vertical="center" wrapText="1"/>
    </xf>
    <xf numFmtId="0" fontId="7" fillId="2" borderId="14" xfId="0" applyFont="1" applyFill="1" applyBorder="1" applyAlignment="1">
      <alignment horizontal="center" vertical="center"/>
    </xf>
    <xf numFmtId="0" fontId="6" fillId="2" borderId="14" xfId="0" applyFont="1" applyFill="1" applyBorder="1" applyAlignment="1">
      <alignment horizontal="center" vertical="center" wrapText="1"/>
    </xf>
    <xf numFmtId="0" fontId="3" fillId="3" borderId="14" xfId="0" applyFont="1" applyFill="1" applyBorder="1" applyAlignment="1">
      <alignment vertical="top" textRotation="255"/>
    </xf>
    <xf numFmtId="0" fontId="3" fillId="0" borderId="0" xfId="0" applyFont="1" applyFill="1" applyAlignment="1">
      <alignment vertical="center" textRotation="255"/>
    </xf>
    <xf numFmtId="0" fontId="3" fillId="3" borderId="14" xfId="0" applyFont="1" applyFill="1" applyBorder="1" applyAlignment="1">
      <alignment horizontal="center" vertical="center"/>
    </xf>
    <xf numFmtId="0" fontId="2" fillId="0" borderId="14" xfId="0" applyFont="1" applyFill="1" applyBorder="1" applyAlignment="1" applyProtection="1">
      <alignment horizontal="center" vertical="center"/>
      <protection locked="0"/>
    </xf>
    <xf numFmtId="0" fontId="8" fillId="0" borderId="0" xfId="0" applyFont="1" applyFill="1">
      <alignment vertical="center"/>
    </xf>
    <xf numFmtId="0" fontId="3" fillId="0" borderId="30" xfId="0" applyFont="1" applyBorder="1" applyAlignment="1" applyProtection="1">
      <alignment vertical="center" shrinkToFit="1"/>
      <protection locked="0"/>
    </xf>
    <xf numFmtId="0" fontId="3" fillId="3" borderId="14" xfId="0" applyFont="1" applyFill="1" applyBorder="1" applyAlignment="1">
      <alignment horizontal="left" vertical="center" wrapText="1"/>
    </xf>
    <xf numFmtId="0" fontId="3" fillId="5" borderId="14" xfId="0" applyFont="1" applyFill="1" applyBorder="1" applyAlignment="1">
      <alignment horizontal="center" vertical="center"/>
    </xf>
    <xf numFmtId="0" fontId="3" fillId="0" borderId="31" xfId="0" applyFont="1" applyFill="1" applyBorder="1" applyAlignment="1">
      <alignment horizontal="left" vertical="center" wrapText="1"/>
    </xf>
    <xf numFmtId="0" fontId="3" fillId="6" borderId="14" xfId="0" applyFont="1" applyFill="1" applyBorder="1" applyAlignment="1">
      <alignment horizontal="center" vertical="center" wrapText="1"/>
    </xf>
    <xf numFmtId="0" fontId="2" fillId="3" borderId="14" xfId="0" applyFont="1" applyFill="1" applyBorder="1" applyAlignment="1" applyProtection="1">
      <alignment vertical="center"/>
      <protection locked="0"/>
    </xf>
    <xf numFmtId="0" fontId="3" fillId="0" borderId="0" xfId="0" applyFont="1" applyFill="1" applyAlignment="1">
      <alignment horizontal="center" vertical="center"/>
    </xf>
    <xf numFmtId="0" fontId="3" fillId="6" borderId="14" xfId="0" applyNumberFormat="1" applyFont="1" applyFill="1" applyBorder="1" applyAlignment="1">
      <alignment horizontal="center" vertical="center" wrapText="1"/>
    </xf>
    <xf numFmtId="0" fontId="3" fillId="0" borderId="14" xfId="0" applyNumberFormat="1" applyFont="1" applyFill="1" applyBorder="1" applyAlignment="1" applyProtection="1">
      <alignment horizontal="left" vertical="center" wrapText="1"/>
      <protection locked="0"/>
    </xf>
    <xf numFmtId="0" fontId="10" fillId="7" borderId="14" xfId="0" applyFont="1" applyFill="1" applyBorder="1" applyAlignment="1">
      <alignment horizontal="center" vertical="center"/>
    </xf>
    <xf numFmtId="0" fontId="3" fillId="7" borderId="14" xfId="0" applyFont="1" applyFill="1" applyBorder="1" applyAlignment="1">
      <alignment horizontal="center" vertical="center" wrapText="1"/>
    </xf>
    <xf numFmtId="0" fontId="3" fillId="3" borderId="14" xfId="0" applyFont="1" applyFill="1" applyBorder="1" applyAlignment="1" applyProtection="1">
      <alignment vertical="center"/>
      <protection locked="0"/>
    </xf>
    <xf numFmtId="0" fontId="2" fillId="0" borderId="14" xfId="0" applyFont="1" applyFill="1" applyBorder="1" applyProtection="1">
      <alignment vertical="center"/>
      <protection locked="0"/>
    </xf>
    <xf numFmtId="0" fontId="2" fillId="8" borderId="14" xfId="0" applyFont="1" applyFill="1" applyBorder="1">
      <alignment vertical="center"/>
    </xf>
    <xf numFmtId="0" fontId="11" fillId="12" borderId="48" xfId="0" applyFont="1" applyFill="1" applyBorder="1" applyAlignment="1">
      <alignment horizontal="center" vertical="center"/>
    </xf>
    <xf numFmtId="0" fontId="12" fillId="11" borderId="4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8" xfId="0" applyFont="1" applyFill="1" applyBorder="1" applyAlignment="1">
      <alignment vertical="center"/>
    </xf>
    <xf numFmtId="0" fontId="3" fillId="0" borderId="12"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9" xfId="0" applyFont="1" applyFill="1" applyBorder="1" applyAlignment="1">
      <alignment horizontal="left" vertical="top" wrapText="1"/>
    </xf>
    <xf numFmtId="0" fontId="3" fillId="0" borderId="19" xfId="0" applyFont="1" applyFill="1" applyBorder="1" applyAlignment="1">
      <alignment vertical="center" textRotation="255"/>
    </xf>
    <xf numFmtId="0" fontId="5" fillId="0" borderId="51" xfId="0" applyFont="1" applyFill="1" applyBorder="1" applyAlignment="1">
      <alignment horizontal="center" vertical="center"/>
    </xf>
    <xf numFmtId="0" fontId="3" fillId="0" borderId="43" xfId="0" applyFont="1" applyFill="1" applyBorder="1" applyAlignment="1">
      <alignment horizontal="left" vertical="top" wrapText="1"/>
    </xf>
    <xf numFmtId="0" fontId="3" fillId="0" borderId="0" xfId="0" applyFont="1" applyFill="1" applyAlignment="1">
      <alignment horizontal="left" vertical="top" wrapText="1"/>
    </xf>
    <xf numFmtId="0" fontId="3" fillId="0" borderId="31" xfId="0" applyFont="1" applyFill="1" applyBorder="1">
      <alignment vertical="center"/>
    </xf>
    <xf numFmtId="0" fontId="2" fillId="0" borderId="0" xfId="0" applyFont="1" applyFill="1" applyBorder="1" applyAlignment="1">
      <alignment horizontal="left" vertical="center" indent="1"/>
    </xf>
    <xf numFmtId="0" fontId="14" fillId="0" borderId="30" xfId="0" applyFont="1" applyBorder="1" applyProtection="1">
      <alignment vertical="center"/>
      <protection locked="0"/>
    </xf>
    <xf numFmtId="0" fontId="3" fillId="3" borderId="14" xfId="0" applyFont="1" applyFill="1" applyBorder="1" applyAlignment="1">
      <alignment vertical="top" textRotation="255" shrinkToFit="1"/>
    </xf>
    <xf numFmtId="0" fontId="3" fillId="0" borderId="30" xfId="0" applyFont="1" applyBorder="1" applyAlignment="1" applyProtection="1">
      <alignment horizontal="left" vertical="center" shrinkToFit="1"/>
      <protection locked="0"/>
    </xf>
    <xf numFmtId="0" fontId="3" fillId="0" borderId="14" xfId="0" applyFont="1" applyFill="1" applyBorder="1" applyAlignment="1">
      <alignment horizontal="right" vertical="center"/>
    </xf>
    <xf numFmtId="0" fontId="15" fillId="0" borderId="0" xfId="0" applyFont="1" applyFill="1" applyBorder="1" applyAlignment="1">
      <alignment vertical="top" wrapText="1" shrinkToFit="1"/>
    </xf>
    <xf numFmtId="0" fontId="3" fillId="13" borderId="14" xfId="0" applyFont="1" applyFill="1" applyBorder="1" applyAlignment="1">
      <alignment horizontal="center" vertical="center" wrapText="1"/>
    </xf>
    <xf numFmtId="0" fontId="7" fillId="2" borderId="14" xfId="0" applyFont="1" applyFill="1" applyBorder="1" applyAlignment="1">
      <alignment horizontal="center" vertical="center" wrapText="1"/>
    </xf>
    <xf numFmtId="0" fontId="3" fillId="0" borderId="0" xfId="0" applyFont="1" applyAlignment="1">
      <alignment vertical="center" textRotation="255"/>
    </xf>
    <xf numFmtId="0" fontId="3" fillId="0" borderId="0" xfId="0" applyFont="1">
      <alignment vertical="center"/>
    </xf>
    <xf numFmtId="0" fontId="2" fillId="0" borderId="14" xfId="0" applyFont="1" applyBorder="1" applyAlignment="1" applyProtection="1">
      <alignment horizontal="center" vertical="center"/>
      <protection locked="0"/>
    </xf>
    <xf numFmtId="0" fontId="8" fillId="0" borderId="0" xfId="0" applyFont="1">
      <alignment vertical="center"/>
    </xf>
    <xf numFmtId="0" fontId="3" fillId="0" borderId="31" xfId="0" applyFont="1" applyBorder="1" applyAlignment="1">
      <alignment horizontal="left" vertical="center" wrapText="1"/>
    </xf>
    <xf numFmtId="0" fontId="2" fillId="3" borderId="14" xfId="0" applyFont="1" applyFill="1" applyBorder="1" applyProtection="1">
      <alignment vertical="center"/>
      <protection locked="0"/>
    </xf>
    <xf numFmtId="0" fontId="14" fillId="0" borderId="14" xfId="0" applyFont="1" applyBorder="1" applyProtection="1">
      <alignment vertical="center"/>
      <protection locked="0"/>
    </xf>
    <xf numFmtId="0" fontId="0" fillId="0" borderId="0" xfId="0" applyProtection="1">
      <alignment vertical="center"/>
      <protection locked="0"/>
    </xf>
    <xf numFmtId="0" fontId="10" fillId="7" borderId="14" xfId="0" applyNumberFormat="1" applyFont="1" applyFill="1" applyBorder="1" applyAlignment="1">
      <alignment horizontal="center" vertical="center"/>
    </xf>
    <xf numFmtId="0" fontId="8" fillId="0" borderId="0" xfId="0" applyFont="1" applyFill="1" applyProtection="1">
      <alignment vertical="center"/>
      <protection locked="0"/>
    </xf>
    <xf numFmtId="0" fontId="3" fillId="8" borderId="0" xfId="0" applyFont="1" applyFill="1" applyBorder="1" applyAlignment="1">
      <alignment horizontal="left" vertical="center" wrapText="1"/>
    </xf>
    <xf numFmtId="0" fontId="3" fillId="3" borderId="14" xfId="0" applyFont="1" applyFill="1" applyBorder="1" applyAlignment="1" applyProtection="1">
      <alignment vertical="center"/>
    </xf>
    <xf numFmtId="0" fontId="3" fillId="0" borderId="30" xfId="0" applyFont="1" applyFill="1" applyBorder="1" applyAlignment="1">
      <alignment horizontal="center" vertical="center" shrinkToFit="1"/>
    </xf>
    <xf numFmtId="0" fontId="3" fillId="0" borderId="44" xfId="0" applyFont="1" applyFill="1" applyBorder="1" applyAlignment="1">
      <alignment horizontal="center" vertical="center" shrinkToFit="1"/>
    </xf>
    <xf numFmtId="0" fontId="3" fillId="0" borderId="8" xfId="0" applyFont="1" applyFill="1" applyBorder="1" applyAlignment="1">
      <alignment horizontal="left" vertical="center" wrapText="1" shrinkToFit="1"/>
    </xf>
    <xf numFmtId="0" fontId="3" fillId="0" borderId="39" xfId="0" applyFont="1" applyFill="1" applyBorder="1" applyAlignment="1">
      <alignment horizontal="left" vertical="center" wrapText="1" shrinkToFit="1"/>
    </xf>
    <xf numFmtId="0" fontId="20" fillId="0" borderId="11" xfId="0" applyNumberFormat="1" applyFont="1" applyFill="1" applyBorder="1" applyAlignment="1">
      <alignment horizontal="left" vertical="top" wrapText="1"/>
    </xf>
    <xf numFmtId="0" fontId="20" fillId="0" borderId="9" xfId="0" applyNumberFormat="1" applyFont="1" applyFill="1" applyBorder="1" applyAlignment="1">
      <alignment horizontal="left" vertical="top" wrapText="1"/>
    </xf>
    <xf numFmtId="0" fontId="20" fillId="0" borderId="10" xfId="0" applyNumberFormat="1" applyFont="1" applyFill="1" applyBorder="1" applyAlignment="1">
      <alignment horizontal="left" vertical="top" wrapText="1"/>
    </xf>
    <xf numFmtId="0" fontId="20" fillId="0" borderId="40" xfId="0" applyNumberFormat="1" applyFont="1" applyFill="1" applyBorder="1" applyAlignment="1">
      <alignment horizontal="left" vertical="top" wrapText="1"/>
    </xf>
    <xf numFmtId="0" fontId="20" fillId="0" borderId="0" xfId="0" applyNumberFormat="1" applyFont="1" applyFill="1" applyBorder="1" applyAlignment="1">
      <alignment horizontal="left" vertical="top" wrapText="1"/>
    </xf>
    <xf numFmtId="0" fontId="20" fillId="0" borderId="34" xfId="0" applyNumberFormat="1" applyFont="1" applyFill="1" applyBorder="1" applyAlignment="1">
      <alignment horizontal="left" vertical="top" wrapText="1"/>
    </xf>
    <xf numFmtId="0" fontId="20" fillId="0" borderId="41" xfId="0" applyNumberFormat="1" applyFont="1" applyFill="1" applyBorder="1" applyAlignment="1">
      <alignment horizontal="left" vertical="top" wrapText="1"/>
    </xf>
    <xf numFmtId="0" fontId="20" fillId="0" borderId="1" xfId="0" applyNumberFormat="1" applyFont="1" applyFill="1" applyBorder="1" applyAlignment="1">
      <alignment horizontal="left" vertical="top" wrapText="1"/>
    </xf>
    <xf numFmtId="0" fontId="20" fillId="0" borderId="38" xfId="0" applyNumberFormat="1" applyFont="1" applyFill="1" applyBorder="1" applyAlignment="1">
      <alignment horizontal="left" vertical="top" wrapText="1"/>
    </xf>
    <xf numFmtId="0" fontId="3" fillId="0" borderId="16" xfId="0" applyFont="1" applyBorder="1" applyAlignment="1">
      <alignment horizontal="left" vertical="center" shrinkToFit="1"/>
    </xf>
    <xf numFmtId="0" fontId="0" fillId="0" borderId="25" xfId="0" applyBorder="1" applyAlignment="1">
      <alignment horizontal="left" vertical="center" shrinkToFit="1"/>
    </xf>
    <xf numFmtId="0" fontId="0" fillId="0" borderId="26" xfId="0" applyBorder="1" applyAlignment="1">
      <alignment horizontal="left" vertical="center" shrinkToFit="1"/>
    </xf>
    <xf numFmtId="0" fontId="3" fillId="0" borderId="17" xfId="0" applyFont="1" applyBorder="1" applyAlignment="1">
      <alignment horizontal="left" vertical="center" shrinkToFit="1"/>
    </xf>
    <xf numFmtId="0" fontId="0" fillId="0" borderId="36" xfId="0" applyBorder="1" applyAlignment="1">
      <alignment horizontal="left" vertical="center" shrinkToFit="1"/>
    </xf>
    <xf numFmtId="0" fontId="0" fillId="0" borderId="37" xfId="0" applyBorder="1" applyAlignment="1">
      <alignment horizontal="left" vertical="center" shrinkToFit="1"/>
    </xf>
    <xf numFmtId="0" fontId="3" fillId="0" borderId="30"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16" xfId="0" applyFont="1" applyFill="1" applyBorder="1" applyAlignment="1">
      <alignment horizontal="left" vertical="center" shrinkToFit="1"/>
    </xf>
    <xf numFmtId="0" fontId="3" fillId="0" borderId="25" xfId="0" applyFont="1" applyFill="1" applyBorder="1" applyAlignment="1">
      <alignment horizontal="left" vertical="center" shrinkToFit="1"/>
    </xf>
    <xf numFmtId="0" fontId="3" fillId="0" borderId="26" xfId="0" applyFont="1" applyFill="1" applyBorder="1" applyAlignment="1">
      <alignment horizontal="left" vertical="center" shrinkToFit="1"/>
    </xf>
    <xf numFmtId="0" fontId="3" fillId="0" borderId="29" xfId="0" applyFont="1" applyFill="1" applyBorder="1" applyAlignment="1">
      <alignment horizontal="left" vertical="center"/>
    </xf>
    <xf numFmtId="0" fontId="3" fillId="0" borderId="5" xfId="0" applyFont="1" applyFill="1" applyBorder="1" applyAlignment="1">
      <alignment horizontal="left" vertical="center"/>
    </xf>
    <xf numFmtId="0" fontId="3" fillId="0" borderId="27" xfId="0" applyFont="1" applyFill="1" applyBorder="1" applyAlignment="1">
      <alignment horizontal="left" vertical="center"/>
    </xf>
    <xf numFmtId="0" fontId="3" fillId="0" borderId="28" xfId="0" applyFont="1" applyFill="1" applyBorder="1" applyAlignment="1">
      <alignment horizontal="left" vertical="center"/>
    </xf>
    <xf numFmtId="0" fontId="3" fillId="0" borderId="24" xfId="0" applyFont="1" applyFill="1" applyBorder="1" applyAlignment="1">
      <alignment horizontal="left" vertical="center" shrinkToFit="1"/>
    </xf>
    <xf numFmtId="0" fontId="3" fillId="0" borderId="18" xfId="0" applyFont="1" applyFill="1" applyBorder="1" applyAlignment="1">
      <alignment horizontal="center" vertical="center" textRotation="255"/>
    </xf>
    <xf numFmtId="0" fontId="3" fillId="0" borderId="19" xfId="0" applyFont="1" applyFill="1" applyBorder="1" applyAlignment="1">
      <alignment horizontal="center" vertical="center" textRotation="255"/>
    </xf>
    <xf numFmtId="0" fontId="3" fillId="0" borderId="20" xfId="0" applyFont="1" applyFill="1" applyBorder="1" applyAlignment="1">
      <alignment horizontal="center" vertical="center" textRotation="255"/>
    </xf>
    <xf numFmtId="0" fontId="3" fillId="0" borderId="21" xfId="0" applyFont="1" applyFill="1" applyBorder="1" applyAlignment="1">
      <alignment horizontal="left" vertical="center" shrinkToFit="1"/>
    </xf>
    <xf numFmtId="0" fontId="3" fillId="0" borderId="22" xfId="0" applyFont="1" applyFill="1" applyBorder="1" applyAlignment="1">
      <alignment horizontal="left" vertical="center" shrinkToFit="1"/>
    </xf>
    <xf numFmtId="0" fontId="3" fillId="0" borderId="23" xfId="0" applyFont="1" applyFill="1" applyBorder="1" applyAlignment="1">
      <alignment horizontal="left" vertical="center" shrinkToFit="1"/>
    </xf>
    <xf numFmtId="0" fontId="3" fillId="0" borderId="35" xfId="0" applyFont="1" applyFill="1" applyBorder="1" applyAlignment="1">
      <alignment horizontal="left" vertical="center" shrinkToFit="1"/>
    </xf>
    <xf numFmtId="0" fontId="3" fillId="0" borderId="36" xfId="0" applyFont="1" applyFill="1" applyBorder="1" applyAlignment="1">
      <alignment horizontal="left" vertical="center" shrinkToFit="1"/>
    </xf>
    <xf numFmtId="0" fontId="3" fillId="0" borderId="37" xfId="0" applyFont="1" applyFill="1" applyBorder="1" applyAlignment="1">
      <alignment horizontal="left" vertical="center" shrinkToFit="1"/>
    </xf>
    <xf numFmtId="0" fontId="5" fillId="0" borderId="2" xfId="0" applyFont="1" applyFill="1" applyBorder="1" applyAlignment="1">
      <alignment horizontal="center" vertical="center"/>
    </xf>
    <xf numFmtId="0" fontId="5" fillId="0" borderId="33"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34"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38" xfId="0" applyFont="1" applyFill="1" applyBorder="1" applyAlignment="1">
      <alignment horizontal="center" vertical="center"/>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12" fillId="11" borderId="49" xfId="0" applyFont="1" applyFill="1" applyBorder="1" applyAlignment="1">
      <alignment horizontal="center" vertical="center"/>
    </xf>
    <xf numFmtId="0" fontId="12" fillId="11" borderId="50" xfId="0" applyFont="1" applyFill="1" applyBorder="1" applyAlignment="1">
      <alignment horizontal="center" vertical="center"/>
    </xf>
    <xf numFmtId="0" fontId="21" fillId="0" borderId="42" xfId="0" applyFont="1" applyFill="1" applyBorder="1" applyAlignment="1">
      <alignment horizontal="left" vertical="top" wrapText="1"/>
    </xf>
    <xf numFmtId="0" fontId="21" fillId="0" borderId="31" xfId="0" applyFont="1" applyFill="1" applyBorder="1" applyAlignment="1">
      <alignment horizontal="left" vertical="top" wrapText="1"/>
    </xf>
    <xf numFmtId="0" fontId="21" fillId="0" borderId="32" xfId="0" applyFont="1" applyFill="1" applyBorder="1" applyAlignment="1">
      <alignment horizontal="left" vertical="top" wrapText="1"/>
    </xf>
    <xf numFmtId="0" fontId="3" fillId="0" borderId="8" xfId="0" applyFont="1" applyFill="1" applyBorder="1" applyAlignment="1">
      <alignment horizontal="center" vertical="center"/>
    </xf>
    <xf numFmtId="0" fontId="3" fillId="0" borderId="39" xfId="0" applyFont="1" applyFill="1" applyBorder="1" applyAlignment="1">
      <alignment horizontal="center" vertical="center"/>
    </xf>
    <xf numFmtId="0" fontId="2" fillId="0" borderId="8" xfId="0" applyFont="1" applyFill="1" applyBorder="1" applyAlignment="1">
      <alignment horizontal="left" vertical="top" wrapText="1" shrinkToFit="1"/>
    </xf>
    <xf numFmtId="0" fontId="2" fillId="0" borderId="39" xfId="0" applyFont="1" applyFill="1" applyBorder="1" applyAlignment="1">
      <alignment horizontal="left" vertical="top" wrapText="1" shrinkToFit="1"/>
    </xf>
    <xf numFmtId="0" fontId="3" fillId="0" borderId="15" xfId="0" applyFont="1" applyBorder="1" applyAlignment="1">
      <alignment horizontal="left" vertical="center" shrinkToFit="1"/>
    </xf>
    <xf numFmtId="0" fontId="3" fillId="0" borderId="22" xfId="0" applyFont="1" applyBorder="1" applyAlignment="1">
      <alignment horizontal="left" vertical="center" shrinkToFit="1"/>
    </xf>
    <xf numFmtId="0" fontId="3" fillId="0" borderId="23" xfId="0" applyFont="1" applyBorder="1" applyAlignment="1">
      <alignment horizontal="left" vertical="center" shrinkToFit="1"/>
    </xf>
    <xf numFmtId="49" fontId="3" fillId="0" borderId="0" xfId="0" applyNumberFormat="1" applyFont="1" applyFill="1" applyBorder="1" applyAlignment="1">
      <alignment horizontal="center" vertical="center"/>
    </xf>
    <xf numFmtId="0" fontId="2" fillId="0" borderId="8" xfId="0" applyFont="1" applyFill="1" applyBorder="1" applyAlignment="1">
      <alignment horizontal="left" vertical="top" wrapText="1"/>
    </xf>
    <xf numFmtId="0" fontId="2" fillId="0" borderId="39" xfId="0" applyFont="1" applyFill="1" applyBorder="1" applyAlignment="1">
      <alignment horizontal="left" vertical="top" wrapText="1"/>
    </xf>
    <xf numFmtId="0" fontId="3" fillId="0" borderId="30" xfId="0" applyNumberFormat="1" applyFont="1" applyFill="1" applyBorder="1" applyAlignment="1" applyProtection="1">
      <alignment horizontal="left" vertical="center" wrapText="1"/>
      <protection locked="0"/>
    </xf>
    <xf numFmtId="0" fontId="3" fillId="0" borderId="31" xfId="0" applyNumberFormat="1" applyFont="1" applyFill="1" applyBorder="1" applyAlignment="1" applyProtection="1">
      <alignment horizontal="left" vertical="center" wrapText="1"/>
      <protection locked="0"/>
    </xf>
    <xf numFmtId="0" fontId="3" fillId="0" borderId="32" xfId="0" applyNumberFormat="1" applyFont="1" applyFill="1" applyBorder="1" applyAlignment="1" applyProtection="1">
      <alignment horizontal="left" vertical="center" wrapText="1"/>
      <protection locked="0"/>
    </xf>
    <xf numFmtId="0" fontId="6" fillId="4" borderId="45" xfId="0" applyFont="1" applyFill="1" applyBorder="1" applyAlignment="1">
      <alignment horizontal="left" vertical="center" wrapText="1"/>
    </xf>
    <xf numFmtId="0" fontId="6" fillId="4" borderId="46" xfId="0" applyFont="1" applyFill="1" applyBorder="1" applyAlignment="1">
      <alignment horizontal="left" vertical="center" wrapText="1"/>
    </xf>
    <xf numFmtId="0" fontId="6" fillId="4" borderId="41" xfId="0" applyFont="1" applyFill="1" applyBorder="1" applyAlignment="1">
      <alignment horizontal="left" vertical="center" wrapText="1"/>
    </xf>
    <xf numFmtId="0" fontId="3" fillId="6" borderId="30" xfId="0" applyNumberFormat="1" applyFont="1" applyFill="1" applyBorder="1" applyAlignment="1">
      <alignment horizontal="center" vertical="center" wrapText="1"/>
    </xf>
    <xf numFmtId="0" fontId="3" fillId="6" borderId="31" xfId="0" applyNumberFormat="1" applyFont="1" applyFill="1" applyBorder="1" applyAlignment="1">
      <alignment horizontal="center" vertical="center" wrapText="1"/>
    </xf>
    <xf numFmtId="0" fontId="3" fillId="6" borderId="32" xfId="0" applyNumberFormat="1" applyFont="1" applyFill="1" applyBorder="1" applyAlignment="1">
      <alignment horizontal="center" vertical="center" wrapText="1"/>
    </xf>
    <xf numFmtId="0" fontId="3" fillId="0" borderId="30" xfId="0" applyFont="1" applyBorder="1" applyAlignment="1" applyProtection="1">
      <alignment horizontal="left" vertical="center" wrapText="1"/>
      <protection locked="0"/>
    </xf>
    <xf numFmtId="0" fontId="3" fillId="0" borderId="31" xfId="0" applyFont="1" applyBorder="1" applyAlignment="1" applyProtection="1">
      <alignment horizontal="left" vertical="center" wrapText="1"/>
      <protection locked="0"/>
    </xf>
    <xf numFmtId="0" fontId="3" fillId="0" borderId="32" xfId="0" applyFont="1" applyBorder="1" applyAlignment="1" applyProtection="1">
      <alignment horizontal="left" vertical="center" wrapText="1"/>
      <protection locked="0"/>
    </xf>
    <xf numFmtId="0" fontId="3" fillId="6" borderId="30" xfId="0" applyFont="1" applyFill="1" applyBorder="1" applyAlignment="1">
      <alignment horizontal="center" vertical="center" wrapText="1"/>
    </xf>
    <xf numFmtId="0" fontId="3" fillId="6" borderId="31" xfId="0" applyFont="1" applyFill="1" applyBorder="1" applyAlignment="1">
      <alignment horizontal="center" vertical="center" wrapText="1"/>
    </xf>
    <xf numFmtId="0" fontId="3" fillId="6" borderId="32" xfId="0" applyFont="1" applyFill="1" applyBorder="1" applyAlignment="1">
      <alignment horizontal="center" vertical="center" wrapText="1"/>
    </xf>
    <xf numFmtId="0" fontId="3" fillId="8" borderId="33" xfId="0" applyFont="1" applyFill="1" applyBorder="1" applyAlignment="1">
      <alignment horizontal="left" vertical="center" wrapText="1"/>
    </xf>
    <xf numFmtId="0" fontId="3" fillId="8" borderId="34" xfId="0" applyFont="1" applyFill="1" applyBorder="1" applyAlignment="1">
      <alignment horizontal="left" vertical="center" wrapText="1"/>
    </xf>
    <xf numFmtId="0" fontId="3" fillId="10" borderId="30" xfId="0" applyFont="1" applyFill="1" applyBorder="1" applyAlignment="1">
      <alignment horizontal="left" vertical="center"/>
    </xf>
    <xf numFmtId="0" fontId="3" fillId="10" borderId="31" xfId="0" applyFont="1" applyFill="1" applyBorder="1" applyAlignment="1">
      <alignment horizontal="left" vertical="center"/>
    </xf>
    <xf numFmtId="0" fontId="3" fillId="10" borderId="32" xfId="0" applyFont="1" applyFill="1" applyBorder="1" applyAlignment="1">
      <alignment horizontal="left" vertical="center"/>
    </xf>
    <xf numFmtId="0" fontId="18" fillId="0" borderId="52" xfId="0" applyFont="1" applyBorder="1" applyAlignment="1" applyProtection="1">
      <alignment vertical="top" wrapText="1"/>
      <protection locked="0"/>
    </xf>
    <xf numFmtId="0" fontId="18" fillId="0" borderId="53" xfId="0" applyFont="1" applyBorder="1" applyAlignment="1" applyProtection="1">
      <alignment vertical="top" wrapText="1"/>
      <protection locked="0"/>
    </xf>
    <xf numFmtId="0" fontId="18" fillId="0" borderId="54" xfId="0" applyFont="1" applyBorder="1" applyAlignment="1" applyProtection="1">
      <alignment vertical="top" wrapText="1"/>
      <protection locked="0"/>
    </xf>
    <xf numFmtId="0" fontId="18" fillId="14" borderId="52" xfId="0" applyFont="1" applyFill="1" applyBorder="1" applyAlignment="1" applyProtection="1">
      <alignment vertical="top" wrapText="1"/>
      <protection locked="0"/>
    </xf>
    <xf numFmtId="0" fontId="18" fillId="14" borderId="53" xfId="0" applyFont="1" applyFill="1" applyBorder="1" applyAlignment="1" applyProtection="1">
      <alignment vertical="top" wrapText="1"/>
      <protection locked="0"/>
    </xf>
    <xf numFmtId="0" fontId="18" fillId="14" borderId="54" xfId="0" applyFont="1" applyFill="1" applyBorder="1" applyAlignment="1" applyProtection="1">
      <alignment vertical="top" wrapText="1"/>
      <protection locked="0"/>
    </xf>
    <xf numFmtId="0" fontId="3" fillId="9" borderId="30" xfId="0" applyFont="1" applyFill="1" applyBorder="1" applyAlignment="1">
      <alignment horizontal="left" vertical="center" wrapText="1"/>
    </xf>
    <xf numFmtId="0" fontId="3" fillId="9" borderId="31" xfId="0" applyFont="1" applyFill="1" applyBorder="1" applyAlignment="1">
      <alignment horizontal="left" vertical="center" wrapText="1"/>
    </xf>
    <xf numFmtId="0" fontId="3" fillId="9" borderId="32" xfId="0" applyFont="1" applyFill="1" applyBorder="1" applyAlignment="1">
      <alignment horizontal="left" vertical="center" wrapText="1"/>
    </xf>
    <xf numFmtId="0" fontId="3" fillId="0" borderId="30" xfId="0" applyNumberFormat="1" applyFont="1" applyFill="1" applyBorder="1" applyAlignment="1" applyProtection="1">
      <alignment horizontal="left" vertical="top" wrapText="1"/>
      <protection locked="0"/>
    </xf>
    <xf numFmtId="0" fontId="3" fillId="0" borderId="31" xfId="0" applyNumberFormat="1" applyFont="1" applyFill="1" applyBorder="1" applyAlignment="1" applyProtection="1">
      <alignment horizontal="left" vertical="top" wrapText="1"/>
      <protection locked="0"/>
    </xf>
    <xf numFmtId="0" fontId="3" fillId="0" borderId="32" xfId="0" applyNumberFormat="1" applyFont="1" applyFill="1" applyBorder="1" applyAlignment="1" applyProtection="1">
      <alignment horizontal="left" vertical="top" wrapText="1"/>
      <protection locked="0"/>
    </xf>
    <xf numFmtId="0" fontId="19" fillId="0" borderId="30" xfId="0" applyNumberFormat="1" applyFont="1" applyFill="1" applyBorder="1" applyAlignment="1" applyProtection="1">
      <alignment horizontal="left" vertical="center" wrapText="1"/>
      <protection locked="0"/>
    </xf>
    <xf numFmtId="0" fontId="3" fillId="8" borderId="30" xfId="0" applyFont="1" applyFill="1" applyBorder="1" applyAlignment="1">
      <alignment horizontal="left" vertical="center"/>
    </xf>
    <xf numFmtId="0" fontId="3" fillId="8" borderId="31" xfId="0" applyFont="1" applyFill="1" applyBorder="1" applyAlignment="1">
      <alignment horizontal="left" vertical="center"/>
    </xf>
    <xf numFmtId="0" fontId="3" fillId="8" borderId="32" xfId="0" applyFont="1" applyFill="1" applyBorder="1" applyAlignment="1">
      <alignment horizontal="left" vertical="center"/>
    </xf>
    <xf numFmtId="0" fontId="3" fillId="8" borderId="14" xfId="0" applyFont="1" applyFill="1" applyBorder="1" applyAlignment="1">
      <alignment horizontal="left" vertical="center"/>
    </xf>
    <xf numFmtId="0" fontId="10" fillId="7" borderId="30" xfId="0" applyNumberFormat="1" applyFont="1" applyFill="1" applyBorder="1" applyAlignment="1">
      <alignment horizontal="center" vertical="center"/>
    </xf>
    <xf numFmtId="0" fontId="10" fillId="7" borderId="31" xfId="0" applyNumberFormat="1" applyFont="1" applyFill="1" applyBorder="1" applyAlignment="1">
      <alignment horizontal="center" vertical="center"/>
    </xf>
    <xf numFmtId="0" fontId="10" fillId="7" borderId="32" xfId="0" applyNumberFormat="1" applyFont="1" applyFill="1" applyBorder="1" applyAlignment="1">
      <alignment horizontal="center" vertical="center"/>
    </xf>
    <xf numFmtId="0" fontId="3" fillId="8" borderId="47" xfId="0" applyFont="1" applyFill="1" applyBorder="1" applyAlignment="1">
      <alignment horizontal="left" vertical="center"/>
    </xf>
    <xf numFmtId="0" fontId="3" fillId="8" borderId="2" xfId="0" applyFont="1" applyFill="1" applyBorder="1" applyAlignment="1">
      <alignment horizontal="left" vertical="center"/>
    </xf>
    <xf numFmtId="0" fontId="3" fillId="8" borderId="33" xfId="0" applyFont="1" applyFill="1" applyBorder="1" applyAlignment="1">
      <alignment horizontal="left" vertical="center"/>
    </xf>
  </cellXfs>
  <cellStyles count="1">
    <cellStyle name="標準" xfId="0" builtinId="0"/>
  </cellStyles>
  <dxfs count="35">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4</xdr:row>
          <xdr:rowOff>28575</xdr:rowOff>
        </xdr:from>
        <xdr:to>
          <xdr:col>12</xdr:col>
          <xdr:colOff>123825</xdr:colOff>
          <xdr:row>5</xdr:row>
          <xdr:rowOff>95250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10</xdr:row>
          <xdr:rowOff>76200</xdr:rowOff>
        </xdr:from>
        <xdr:to>
          <xdr:col>12</xdr:col>
          <xdr:colOff>161925</xdr:colOff>
          <xdr:row>11</xdr:row>
          <xdr:rowOff>152400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9</xdr:col>
      <xdr:colOff>581024</xdr:colOff>
      <xdr:row>0</xdr:row>
      <xdr:rowOff>114300</xdr:rowOff>
    </xdr:from>
    <xdr:to>
      <xdr:col>17</xdr:col>
      <xdr:colOff>600074</xdr:colOff>
      <xdr:row>3</xdr:row>
      <xdr:rowOff>95250</xdr:rowOff>
    </xdr:to>
    <xdr:sp macro="" textlink="">
      <xdr:nvSpPr>
        <xdr:cNvPr id="5" name="テキスト ボックス 4"/>
        <xdr:cNvSpPr txBox="1"/>
      </xdr:nvSpPr>
      <xdr:spPr>
        <a:xfrm>
          <a:off x="8543924" y="114300"/>
          <a:ext cx="45053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16</xdr:col>
      <xdr:colOff>104776</xdr:colOff>
      <xdr:row>5</xdr:row>
      <xdr:rowOff>66675</xdr:rowOff>
    </xdr:from>
    <xdr:to>
      <xdr:col>17</xdr:col>
      <xdr:colOff>561976</xdr:colOff>
      <xdr:row>7</xdr:row>
      <xdr:rowOff>114300</xdr:rowOff>
    </xdr:to>
    <xdr:sp macro="" textlink="">
      <xdr:nvSpPr>
        <xdr:cNvPr id="6" name="テキスト ボックス 5"/>
        <xdr:cNvSpPr txBox="1"/>
      </xdr:nvSpPr>
      <xdr:spPr>
        <a:xfrm>
          <a:off x="11868151" y="1171575"/>
          <a:ext cx="1143000"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一度、データ取込ボタンを押すと、この名簿が正しく表示されます。</a:t>
          </a:r>
        </a:p>
      </xdr:txBody>
    </xdr:sp>
    <xdr:clientData/>
  </xdr:twoCellAnchor>
  <mc:AlternateContent xmlns:mc="http://schemas.openxmlformats.org/markup-compatibility/2006">
    <mc:Choice xmlns:a14="http://schemas.microsoft.com/office/drawing/2010/main" Requires="a14">
      <xdr:twoCellAnchor>
        <xdr:from>
          <xdr:col>9</xdr:col>
          <xdr:colOff>571500</xdr:colOff>
          <xdr:row>12</xdr:row>
          <xdr:rowOff>47625</xdr:rowOff>
        </xdr:from>
        <xdr:to>
          <xdr:col>12</xdr:col>
          <xdr:colOff>161925</xdr:colOff>
          <xdr:row>13</xdr:row>
          <xdr:rowOff>123825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xdr:twoCellAnchor>
    <xdr:from>
      <xdr:col>15</xdr:col>
      <xdr:colOff>1247776</xdr:colOff>
      <xdr:row>5</xdr:row>
      <xdr:rowOff>76200</xdr:rowOff>
    </xdr:from>
    <xdr:to>
      <xdr:col>17</xdr:col>
      <xdr:colOff>666750</xdr:colOff>
      <xdr:row>10</xdr:row>
      <xdr:rowOff>171451</xdr:rowOff>
    </xdr:to>
    <xdr:sp macro="" textlink="">
      <xdr:nvSpPr>
        <xdr:cNvPr id="7" name="テキスト ボックス 6"/>
        <xdr:cNvSpPr txBox="1"/>
      </xdr:nvSpPr>
      <xdr:spPr>
        <a:xfrm>
          <a:off x="12001501" y="1181100"/>
          <a:ext cx="1085849"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10</xdr:col>
          <xdr:colOff>66675</xdr:colOff>
          <xdr:row>83</xdr:row>
          <xdr:rowOff>200025</xdr:rowOff>
        </xdr:from>
        <xdr:to>
          <xdr:col>11</xdr:col>
          <xdr:colOff>9525</xdr:colOff>
          <xdr:row>85</xdr:row>
          <xdr:rowOff>19050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83</xdr:row>
          <xdr:rowOff>200025</xdr:rowOff>
        </xdr:from>
        <xdr:to>
          <xdr:col>12</xdr:col>
          <xdr:colOff>438150</xdr:colOff>
          <xdr:row>85</xdr:row>
          <xdr:rowOff>19050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17</xdr:row>
          <xdr:rowOff>200025</xdr:rowOff>
        </xdr:from>
        <xdr:to>
          <xdr:col>11</xdr:col>
          <xdr:colOff>9525</xdr:colOff>
          <xdr:row>19</xdr:row>
          <xdr:rowOff>19050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17</xdr:row>
          <xdr:rowOff>200025</xdr:rowOff>
        </xdr:from>
        <xdr:to>
          <xdr:col>12</xdr:col>
          <xdr:colOff>438150</xdr:colOff>
          <xdr:row>19</xdr:row>
          <xdr:rowOff>19050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91"/>
  <sheetViews>
    <sheetView tabSelected="1" view="pageBreakPreview" zoomScaleNormal="85" zoomScaleSheetLayoutView="100" workbookViewId="0">
      <selection activeCell="N10" sqref="N10"/>
    </sheetView>
  </sheetViews>
  <sheetFormatPr defaultRowHeight="13.5"/>
  <cols>
    <col min="1" max="2" width="4.25" style="8" customWidth="1"/>
    <col min="3" max="3" width="58.75" style="8" customWidth="1"/>
    <col min="4" max="4" width="4.625" style="8" customWidth="1"/>
    <col min="5" max="5" width="1.25" style="8" customWidth="1"/>
    <col min="6" max="6" width="16.25" style="8" customWidth="1"/>
    <col min="7" max="7" width="6.5" style="8" bestFit="1" customWidth="1"/>
    <col min="8" max="8" width="3.75" style="8" customWidth="1"/>
    <col min="9" max="9" width="4.875" style="8" customWidth="1"/>
    <col min="10" max="10" width="9" style="8"/>
    <col min="11" max="12" width="4.75" style="8" customWidth="1"/>
    <col min="13" max="13" width="9" style="8"/>
    <col min="14" max="14" width="4.75" style="8" customWidth="1"/>
    <col min="15" max="15" width="4.375" style="8" customWidth="1"/>
    <col min="16" max="16" width="17.25" style="8" customWidth="1"/>
    <col min="17" max="17" width="4.625" style="8" customWidth="1"/>
    <col min="18" max="18" width="13.25" style="8" customWidth="1"/>
    <col min="19" max="16384" width="9" style="8"/>
  </cols>
  <sheetData>
    <row r="1" spans="1:17" ht="18.75" customHeight="1">
      <c r="A1" s="135" t="str">
        <f ca="1">MID(CELL("filename",A1),FIND("[",CELL("filename",A1))+1,3)</f>
        <v>６－２</v>
      </c>
      <c r="B1" s="135"/>
      <c r="C1" s="136" t="str">
        <f ca="1">RIGHT(LEFT(CELL("filename",A1),FIND("[",CELL("filename",A1))-2),3)</f>
        <v>1学期</v>
      </c>
      <c r="D1" s="136"/>
      <c r="E1" s="136"/>
      <c r="F1" s="136"/>
      <c r="G1" s="136"/>
      <c r="H1" s="5"/>
      <c r="I1" s="5"/>
    </row>
    <row r="2" spans="1:17" ht="18.75" customHeight="1">
      <c r="A2" s="2" t="s">
        <v>18</v>
      </c>
      <c r="B2" s="1">
        <v>14</v>
      </c>
      <c r="F2" s="4" t="s">
        <v>17</v>
      </c>
      <c r="G2" s="137" t="str">
        <f ca="1">INDIRECT("'所見'!A"&amp;12+$B$2)</f>
        <v>宮坂 陽香</v>
      </c>
      <c r="H2" s="137"/>
      <c r="I2" s="137"/>
    </row>
    <row r="3" spans="1:17" ht="12" customHeight="1">
      <c r="C3" s="9"/>
      <c r="D3" s="9"/>
      <c r="E3" s="9"/>
      <c r="F3" s="9"/>
      <c r="G3" s="9"/>
      <c r="H3" s="9"/>
      <c r="I3" s="9"/>
    </row>
    <row r="4" spans="1:17" ht="18.75" customHeight="1">
      <c r="A4" s="109" t="s">
        <v>19</v>
      </c>
      <c r="B4" s="110"/>
      <c r="C4" s="110"/>
      <c r="D4" s="110"/>
      <c r="E4" s="110"/>
      <c r="F4" s="110"/>
      <c r="G4" s="110"/>
      <c r="H4" s="110"/>
      <c r="I4" s="111"/>
    </row>
    <row r="5" spans="1:17" ht="18.75" customHeight="1">
      <c r="A5" s="19" t="s">
        <v>4</v>
      </c>
      <c r="B5" s="143" t="s">
        <v>5</v>
      </c>
      <c r="C5" s="143"/>
      <c r="D5" s="143"/>
      <c r="E5" s="143"/>
      <c r="F5" s="143"/>
      <c r="G5" s="20" t="s">
        <v>6</v>
      </c>
      <c r="H5" s="143" t="s">
        <v>7</v>
      </c>
      <c r="I5" s="144"/>
      <c r="Q5" s="74">
        <v>38</v>
      </c>
    </row>
    <row r="6" spans="1:17" ht="18.75" customHeight="1" thickBot="1">
      <c r="A6" s="120" t="s">
        <v>8</v>
      </c>
      <c r="B6" s="123" t="str">
        <f>国語!B2</f>
        <v>知識・技能（単元テスト・定期テスト）</v>
      </c>
      <c r="C6" s="124"/>
      <c r="D6" s="124"/>
      <c r="E6" s="124"/>
      <c r="F6" s="125"/>
      <c r="G6" s="21" t="str">
        <f ca="1">OFFSET(国語!C2,0,$B$2)</f>
        <v>A</v>
      </c>
      <c r="H6" s="129">
        <f ca="1">OFFSET(国語!C12,0,$B$2)</f>
        <v>5</v>
      </c>
      <c r="I6" s="130"/>
      <c r="O6" s="8">
        <v>1</v>
      </c>
      <c r="P6" s="57" t="str">
        <f ca="1">INDIRECT("'出欠'!A"&amp;9+O6)</f>
        <v>石田 真悠</v>
      </c>
    </row>
    <row r="7" spans="1:17" ht="18.75" customHeight="1" thickBot="1">
      <c r="A7" s="121"/>
      <c r="B7" s="119" t="str">
        <f>国語!B3</f>
        <v>思考力・表現力・判断力（単元テスト・定期テスト・俳句づくり、短歌づくり）</v>
      </c>
      <c r="C7" s="113"/>
      <c r="D7" s="113"/>
      <c r="E7" s="113"/>
      <c r="F7" s="114"/>
      <c r="G7" s="17" t="str">
        <f ca="1">OFFSET(国語!C3,0,$B$2)</f>
        <v>A</v>
      </c>
      <c r="H7" s="131"/>
      <c r="I7" s="132"/>
      <c r="K7" s="138" t="s">
        <v>40</v>
      </c>
      <c r="L7" s="139"/>
      <c r="O7" s="8">
        <v>2</v>
      </c>
      <c r="P7" s="57" t="str">
        <f t="shared" ref="P7:P30" ca="1" si="0">INDIRECT("'出欠'!A"&amp;9+O7)</f>
        <v>小口 慧乃</v>
      </c>
    </row>
    <row r="8" spans="1:17" ht="18.75" customHeight="1" thickBot="1">
      <c r="A8" s="121"/>
      <c r="B8" s="119" t="str">
        <f>国語!B4</f>
        <v>主体的に学習に取り組む態度（提出物・漢字テスト）</v>
      </c>
      <c r="C8" s="113"/>
      <c r="D8" s="113"/>
      <c r="E8" s="113"/>
      <c r="F8" s="114"/>
      <c r="G8" s="17" t="str">
        <f ca="1">OFFSET(国語!C4,0,$B$2)</f>
        <v>A</v>
      </c>
      <c r="H8" s="131"/>
      <c r="I8" s="132"/>
      <c r="K8" s="56" t="s">
        <v>41</v>
      </c>
      <c r="L8" s="56" t="s">
        <v>42</v>
      </c>
      <c r="O8" s="8">
        <v>3</v>
      </c>
      <c r="P8" s="57" t="str">
        <f t="shared" ca="1" si="0"/>
        <v>小口 純聖</v>
      </c>
    </row>
    <row r="9" spans="1:17" ht="18.75" customHeight="1" thickBot="1">
      <c r="A9" s="121"/>
      <c r="B9" s="119">
        <f>国語!B5</f>
        <v>0</v>
      </c>
      <c r="C9" s="113"/>
      <c r="D9" s="113"/>
      <c r="E9" s="113"/>
      <c r="F9" s="114"/>
      <c r="G9" s="17">
        <f ca="1">OFFSET(国語!C5,0,$B$2)</f>
        <v>0</v>
      </c>
      <c r="H9" s="131"/>
      <c r="I9" s="132"/>
      <c r="K9" s="55">
        <v>13</v>
      </c>
      <c r="L9" s="55">
        <v>13</v>
      </c>
      <c r="O9" s="8">
        <v>4</v>
      </c>
      <c r="P9" s="57" t="str">
        <f t="shared" ca="1" si="0"/>
        <v>上島 快斗</v>
      </c>
    </row>
    <row r="10" spans="1:17" ht="18.75" customHeight="1">
      <c r="A10" s="121"/>
      <c r="B10" s="119">
        <f>国語!B6</f>
        <v>0</v>
      </c>
      <c r="C10" s="113"/>
      <c r="D10" s="113"/>
      <c r="E10" s="113"/>
      <c r="F10" s="114"/>
      <c r="G10" s="17">
        <f ca="1">OFFSET(国語!C6,0,$B$2)</f>
        <v>0</v>
      </c>
      <c r="H10" s="131"/>
      <c r="I10" s="132"/>
      <c r="O10" s="8">
        <v>5</v>
      </c>
      <c r="P10" s="57" t="str">
        <f t="shared" ca="1" si="0"/>
        <v>鴨居 史佳</v>
      </c>
    </row>
    <row r="11" spans="1:17" ht="18.75" customHeight="1">
      <c r="A11" s="121"/>
      <c r="B11" s="119">
        <f>国語!B7</f>
        <v>0</v>
      </c>
      <c r="C11" s="113"/>
      <c r="D11" s="113"/>
      <c r="E11" s="113"/>
      <c r="F11" s="114"/>
      <c r="G11" s="17">
        <f ca="1">OFFSET(国語!C7,0,$B$2)</f>
        <v>0</v>
      </c>
      <c r="H11" s="131"/>
      <c r="I11" s="132"/>
      <c r="O11" s="8">
        <v>6</v>
      </c>
      <c r="P11" s="57" t="str">
        <f t="shared" ca="1" si="0"/>
        <v>小山 聡介</v>
      </c>
    </row>
    <row r="12" spans="1:17" ht="18.75" customHeight="1">
      <c r="A12" s="121"/>
      <c r="B12" s="119">
        <f>国語!B8</f>
        <v>0</v>
      </c>
      <c r="C12" s="113"/>
      <c r="D12" s="113"/>
      <c r="E12" s="113"/>
      <c r="F12" s="114"/>
      <c r="G12" s="17">
        <f ca="1">OFFSET(国語!C8,0,$B$2)</f>
        <v>0</v>
      </c>
      <c r="H12" s="131"/>
      <c r="I12" s="132"/>
      <c r="O12" s="8">
        <v>7</v>
      </c>
      <c r="P12" s="57" t="str">
        <f t="shared" ca="1" si="0"/>
        <v>鈴木 哲生</v>
      </c>
    </row>
    <row r="13" spans="1:17" ht="18.75" customHeight="1">
      <c r="A13" s="121"/>
      <c r="B13" s="119">
        <f>国語!B9</f>
        <v>0</v>
      </c>
      <c r="C13" s="113"/>
      <c r="D13" s="113"/>
      <c r="E13" s="113"/>
      <c r="F13" s="114"/>
      <c r="G13" s="17">
        <f ca="1">OFFSET(国語!C9,0,$B$2)</f>
        <v>0</v>
      </c>
      <c r="H13" s="131"/>
      <c r="I13" s="132"/>
      <c r="O13" s="8">
        <v>8</v>
      </c>
      <c r="P13" s="57" t="str">
        <f t="shared" ca="1" si="0"/>
        <v>武田 彩愛</v>
      </c>
    </row>
    <row r="14" spans="1:17" ht="18.75" customHeight="1">
      <c r="A14" s="122"/>
      <c r="B14" s="119">
        <f>国語!B10</f>
        <v>0</v>
      </c>
      <c r="C14" s="113"/>
      <c r="D14" s="113"/>
      <c r="E14" s="113"/>
      <c r="F14" s="114"/>
      <c r="G14" s="18">
        <f ca="1">OFFSET(国語!C10,0,$B$2)</f>
        <v>0</v>
      </c>
      <c r="H14" s="131"/>
      <c r="I14" s="132"/>
      <c r="O14" s="8">
        <v>9</v>
      </c>
      <c r="P14" s="57" t="str">
        <f t="shared" ca="1" si="0"/>
        <v>龍口 瑞希</v>
      </c>
    </row>
    <row r="15" spans="1:17" ht="18.75" customHeight="1">
      <c r="A15" s="120" t="s">
        <v>0</v>
      </c>
      <c r="B15" s="123" t="str">
        <f>算数!B2</f>
        <v>知識・技能（単元テスト・定期テスト）</v>
      </c>
      <c r="C15" s="124"/>
      <c r="D15" s="124"/>
      <c r="E15" s="124"/>
      <c r="F15" s="125"/>
      <c r="G15" s="21" t="str">
        <f ca="1">OFFSET(算数!C2,0,$B$2)</f>
        <v>A</v>
      </c>
      <c r="H15" s="129">
        <f ca="1">OFFSET(算数!C12,0,$B$2)</f>
        <v>4</v>
      </c>
      <c r="I15" s="130"/>
      <c r="O15" s="8">
        <v>10</v>
      </c>
      <c r="P15" s="57" t="str">
        <f t="shared" ca="1" si="0"/>
        <v>畠山 久奈</v>
      </c>
    </row>
    <row r="16" spans="1:17" ht="18.75" customHeight="1">
      <c r="A16" s="121"/>
      <c r="B16" s="119" t="str">
        <f>算数!B3</f>
        <v>思考力・表現力・判断力（単元テスト・定期テスト）</v>
      </c>
      <c r="C16" s="113"/>
      <c r="D16" s="113"/>
      <c r="E16" s="113"/>
      <c r="F16" s="114"/>
      <c r="G16" s="17" t="str">
        <f ca="1">OFFSET(算数!C3,0,$B$2)</f>
        <v>A</v>
      </c>
      <c r="H16" s="131"/>
      <c r="I16" s="132"/>
      <c r="O16" s="8">
        <v>11</v>
      </c>
      <c r="P16" s="57" t="str">
        <f t="shared" ca="1" si="0"/>
        <v>藤原 一之祐</v>
      </c>
    </row>
    <row r="17" spans="1:16" ht="18.75" customHeight="1">
      <c r="A17" s="121"/>
      <c r="B17" s="119" t="str">
        <f>算数!B4</f>
        <v>主体的に学習に取り組む態度</v>
      </c>
      <c r="C17" s="113"/>
      <c r="D17" s="113"/>
      <c r="E17" s="113"/>
      <c r="F17" s="114"/>
      <c r="G17" s="17" t="str">
        <f ca="1">OFFSET(算数!C4,0,$B$2)</f>
        <v>B</v>
      </c>
      <c r="H17" s="131"/>
      <c r="I17" s="132"/>
      <c r="L17" s="30"/>
      <c r="M17" s="30"/>
      <c r="O17" s="8">
        <v>12</v>
      </c>
      <c r="P17" s="57" t="str">
        <f t="shared" ca="1" si="0"/>
        <v>丸山 心海</v>
      </c>
    </row>
    <row r="18" spans="1:16" ht="18.75" customHeight="1">
      <c r="A18" s="121"/>
      <c r="B18" s="119">
        <f>算数!B5</f>
        <v>0</v>
      </c>
      <c r="C18" s="113"/>
      <c r="D18" s="113"/>
      <c r="E18" s="113"/>
      <c r="F18" s="114"/>
      <c r="G18" s="17">
        <f ca="1">OFFSET(算数!C5,0,$B$2)</f>
        <v>0</v>
      </c>
      <c r="H18" s="131"/>
      <c r="I18" s="132"/>
      <c r="L18" s="30"/>
      <c r="M18" s="30"/>
      <c r="O18" s="8">
        <v>13</v>
      </c>
      <c r="P18" s="57" t="str">
        <f t="shared" ca="1" si="0"/>
        <v>南澤 志朋</v>
      </c>
    </row>
    <row r="19" spans="1:16" ht="18.75" customHeight="1">
      <c r="A19" s="121"/>
      <c r="B19" s="119">
        <f>算数!B6</f>
        <v>0</v>
      </c>
      <c r="C19" s="113"/>
      <c r="D19" s="113"/>
      <c r="E19" s="113"/>
      <c r="F19" s="114"/>
      <c r="G19" s="17">
        <f ca="1">OFFSET(算数!C6,0,$B$2)</f>
        <v>0</v>
      </c>
      <c r="H19" s="131"/>
      <c r="I19" s="132"/>
      <c r="L19" s="75">
        <f>番号</f>
        <v>14</v>
      </c>
      <c r="M19" s="30"/>
      <c r="O19" s="8">
        <v>14</v>
      </c>
      <c r="P19" s="57" t="str">
        <f t="shared" ca="1" si="0"/>
        <v>宮坂 陽香</v>
      </c>
    </row>
    <row r="20" spans="1:16" ht="18.75" customHeight="1">
      <c r="A20" s="121"/>
      <c r="B20" s="119">
        <f>算数!B7</f>
        <v>0</v>
      </c>
      <c r="C20" s="113"/>
      <c r="D20" s="113"/>
      <c r="E20" s="113"/>
      <c r="F20" s="114"/>
      <c r="G20" s="17">
        <f ca="1">OFFSET(算数!C7,0,$B$2)</f>
        <v>0</v>
      </c>
      <c r="H20" s="131"/>
      <c r="I20" s="132"/>
      <c r="L20" s="30"/>
      <c r="M20" s="30"/>
      <c r="O20" s="8">
        <v>15</v>
      </c>
      <c r="P20" s="57" t="str">
        <f t="shared" ca="1" si="0"/>
        <v>師岡 慧</v>
      </c>
    </row>
    <row r="21" spans="1:16" ht="18.75" customHeight="1">
      <c r="A21" s="121"/>
      <c r="B21" s="119">
        <f>算数!B8</f>
        <v>0</v>
      </c>
      <c r="C21" s="113"/>
      <c r="D21" s="113"/>
      <c r="E21" s="113"/>
      <c r="F21" s="114"/>
      <c r="G21" s="17">
        <f ca="1">OFFSET(算数!C8,0,$B$2)</f>
        <v>0</v>
      </c>
      <c r="H21" s="131"/>
      <c r="I21" s="132"/>
      <c r="O21" s="8">
        <v>16</v>
      </c>
      <c r="P21" s="57" t="str">
        <f t="shared" ca="1" si="0"/>
        <v>山﨑 茉綾</v>
      </c>
    </row>
    <row r="22" spans="1:16" ht="18.75" customHeight="1">
      <c r="A22" s="122"/>
      <c r="B22" s="119">
        <f>算数!B9</f>
        <v>0</v>
      </c>
      <c r="C22" s="113"/>
      <c r="D22" s="113"/>
      <c r="E22" s="113"/>
      <c r="F22" s="114"/>
      <c r="G22" s="18">
        <f ca="1">OFFSET(算数!C9,0,$B$2)</f>
        <v>0</v>
      </c>
      <c r="H22" s="131"/>
      <c r="I22" s="132"/>
      <c r="O22" s="8">
        <v>17</v>
      </c>
      <c r="P22" s="57" t="str">
        <f t="shared" ca="1" si="0"/>
        <v>山田 英一</v>
      </c>
    </row>
    <row r="23" spans="1:16" ht="18.75" customHeight="1">
      <c r="A23" s="120" t="s">
        <v>47</v>
      </c>
      <c r="B23" s="123" t="str">
        <f>理科!B2</f>
        <v>知識・技能</v>
      </c>
      <c r="C23" s="124"/>
      <c r="D23" s="124"/>
      <c r="E23" s="124"/>
      <c r="F23" s="125"/>
      <c r="G23" s="21" t="str">
        <f ca="1">OFFSET(理科!C2,0,$B$2)</f>
        <v>A</v>
      </c>
      <c r="H23" s="129">
        <f ca="1">OFFSET(理科!C12,0,$B$2)</f>
        <v>5</v>
      </c>
      <c r="I23" s="130"/>
      <c r="O23" s="8">
        <v>18</v>
      </c>
      <c r="P23" s="57" t="str">
        <f t="shared" ca="1" si="0"/>
        <v>山田 陽翔</v>
      </c>
    </row>
    <row r="24" spans="1:16" ht="18.75" customHeight="1">
      <c r="A24" s="121"/>
      <c r="B24" s="119" t="str">
        <f>理科!B3</f>
        <v>思考力・表現力・判断力</v>
      </c>
      <c r="C24" s="113"/>
      <c r="D24" s="113"/>
      <c r="E24" s="113"/>
      <c r="F24" s="114"/>
      <c r="G24" s="17" t="str">
        <f ca="1">OFFSET(理科!C3,0,$B$2)</f>
        <v>A</v>
      </c>
      <c r="H24" s="131"/>
      <c r="I24" s="132"/>
      <c r="O24" s="8">
        <v>19</v>
      </c>
      <c r="P24" s="57">
        <f t="shared" ca="1" si="0"/>
        <v>0</v>
      </c>
    </row>
    <row r="25" spans="1:16" ht="18.75" customHeight="1">
      <c r="A25" s="121"/>
      <c r="B25" s="119" t="str">
        <f>理科!B4</f>
        <v>主体的に取り組む態度</v>
      </c>
      <c r="C25" s="113"/>
      <c r="D25" s="113"/>
      <c r="E25" s="113"/>
      <c r="F25" s="114"/>
      <c r="G25" s="17" t="str">
        <f ca="1">OFFSET(理科!C4,0,$B$2)</f>
        <v>A</v>
      </c>
      <c r="H25" s="131"/>
      <c r="I25" s="132"/>
      <c r="O25" s="8">
        <v>20</v>
      </c>
      <c r="P25" s="57">
        <f t="shared" ca="1" si="0"/>
        <v>0</v>
      </c>
    </row>
    <row r="26" spans="1:16" ht="18.75" customHeight="1">
      <c r="A26" s="121"/>
      <c r="B26" s="119">
        <f>理科!B5</f>
        <v>0</v>
      </c>
      <c r="C26" s="113"/>
      <c r="D26" s="113"/>
      <c r="E26" s="113"/>
      <c r="F26" s="114"/>
      <c r="G26" s="17">
        <f ca="1">OFFSET(理科!C5,0,$B$2)</f>
        <v>0</v>
      </c>
      <c r="H26" s="131"/>
      <c r="I26" s="132"/>
      <c r="O26" s="8">
        <v>21</v>
      </c>
      <c r="P26" s="57">
        <f t="shared" ca="1" si="0"/>
        <v>0</v>
      </c>
    </row>
    <row r="27" spans="1:16" ht="18.75" customHeight="1">
      <c r="A27" s="121"/>
      <c r="B27" s="119">
        <f>理科!B6</f>
        <v>0</v>
      </c>
      <c r="C27" s="113"/>
      <c r="D27" s="113"/>
      <c r="E27" s="113"/>
      <c r="F27" s="114"/>
      <c r="G27" s="17">
        <f ca="1">OFFSET(理科!C6,0,$B$2)</f>
        <v>0</v>
      </c>
      <c r="H27" s="131"/>
      <c r="I27" s="132"/>
      <c r="O27" s="8">
        <v>22</v>
      </c>
      <c r="P27" s="57">
        <f t="shared" ca="1" si="0"/>
        <v>0</v>
      </c>
    </row>
    <row r="28" spans="1:16" ht="18.75" customHeight="1">
      <c r="A28" s="121"/>
      <c r="B28" s="119">
        <f>理科!B7</f>
        <v>0</v>
      </c>
      <c r="C28" s="113"/>
      <c r="D28" s="113"/>
      <c r="E28" s="113"/>
      <c r="F28" s="114"/>
      <c r="G28" s="17">
        <f ca="1">OFFSET(理科!C7,0,$B$2)</f>
        <v>0</v>
      </c>
      <c r="H28" s="131"/>
      <c r="I28" s="132"/>
      <c r="O28" s="8">
        <v>23</v>
      </c>
      <c r="P28" s="57">
        <f t="shared" ca="1" si="0"/>
        <v>0</v>
      </c>
    </row>
    <row r="29" spans="1:16" ht="18.75" customHeight="1">
      <c r="A29" s="121"/>
      <c r="B29" s="119">
        <f>理科!B8</f>
        <v>0</v>
      </c>
      <c r="C29" s="113"/>
      <c r="D29" s="113"/>
      <c r="E29" s="113"/>
      <c r="F29" s="114"/>
      <c r="G29" s="17">
        <f ca="1">OFFSET(理科!C8,0,$B$2)</f>
        <v>0</v>
      </c>
      <c r="H29" s="131"/>
      <c r="I29" s="132"/>
      <c r="O29" s="8">
        <v>24</v>
      </c>
      <c r="P29" s="57">
        <f t="shared" ca="1" si="0"/>
        <v>0</v>
      </c>
    </row>
    <row r="30" spans="1:16" ht="18.75" customHeight="1">
      <c r="A30" s="122"/>
      <c r="B30" s="119">
        <f>理科!B9</f>
        <v>0</v>
      </c>
      <c r="C30" s="113"/>
      <c r="D30" s="113"/>
      <c r="E30" s="113"/>
      <c r="F30" s="114"/>
      <c r="G30" s="18">
        <f ca="1">OFFSET(理科!C9,0,$B$2)</f>
        <v>0</v>
      </c>
      <c r="H30" s="131"/>
      <c r="I30" s="132"/>
      <c r="O30" s="8">
        <v>25</v>
      </c>
      <c r="P30" s="57">
        <f t="shared" ca="1" si="0"/>
        <v>0</v>
      </c>
    </row>
    <row r="31" spans="1:16" ht="18.75" customHeight="1">
      <c r="A31" s="120" t="s">
        <v>48</v>
      </c>
      <c r="B31" s="123" t="str">
        <f>社会!B2</f>
        <v>知識・技能（単元テスト・定期テスト）</v>
      </c>
      <c r="C31" s="124"/>
      <c r="D31" s="124"/>
      <c r="E31" s="124"/>
      <c r="F31" s="125"/>
      <c r="G31" s="21" t="str">
        <f ca="1">OFFSET(社会!C2,0,$B$2)</f>
        <v>A</v>
      </c>
      <c r="H31" s="129">
        <f ca="1">OFFSET(社会!C12,0,$B$2)</f>
        <v>5</v>
      </c>
      <c r="I31" s="130"/>
    </row>
    <row r="32" spans="1:16" ht="18.75" customHeight="1">
      <c r="A32" s="121"/>
      <c r="B32" s="119" t="str">
        <f>社会!B3</f>
        <v>思考力・表現力・判断力（単元テスト・定期テスト）</v>
      </c>
      <c r="C32" s="113"/>
      <c r="D32" s="113"/>
      <c r="E32" s="113"/>
      <c r="F32" s="114"/>
      <c r="G32" s="17" t="str">
        <f ca="1">OFFSET(社会!C3,0,$B$2)</f>
        <v>A</v>
      </c>
      <c r="H32" s="131"/>
      <c r="I32" s="132"/>
    </row>
    <row r="33" spans="1:9" ht="18.75" customHeight="1">
      <c r="A33" s="121"/>
      <c r="B33" s="119" t="str">
        <f>社会!B4</f>
        <v>主体的に学習に取り組む態度（提出物・授業態度）</v>
      </c>
      <c r="C33" s="113"/>
      <c r="D33" s="113"/>
      <c r="E33" s="113"/>
      <c r="F33" s="114"/>
      <c r="G33" s="17" t="str">
        <f ca="1">OFFSET(社会!C4,0,$B$2)</f>
        <v>A</v>
      </c>
      <c r="H33" s="131"/>
      <c r="I33" s="132"/>
    </row>
    <row r="34" spans="1:9" ht="18.75" customHeight="1">
      <c r="A34" s="121"/>
      <c r="B34" s="119">
        <f>社会!B5</f>
        <v>0</v>
      </c>
      <c r="C34" s="113"/>
      <c r="D34" s="113"/>
      <c r="E34" s="113"/>
      <c r="F34" s="114"/>
      <c r="G34" s="17">
        <f ca="1">OFFSET(社会!C5,0,$B$2)</f>
        <v>0</v>
      </c>
      <c r="H34" s="131"/>
      <c r="I34" s="132"/>
    </row>
    <row r="35" spans="1:9" ht="18.75" customHeight="1">
      <c r="A35" s="121"/>
      <c r="B35" s="119">
        <f>社会!B6</f>
        <v>0</v>
      </c>
      <c r="C35" s="113"/>
      <c r="D35" s="113"/>
      <c r="E35" s="113"/>
      <c r="F35" s="114"/>
      <c r="G35" s="17">
        <f ca="1">OFFSET(社会!C6,0,$B$2)</f>
        <v>0</v>
      </c>
      <c r="H35" s="131"/>
      <c r="I35" s="132"/>
    </row>
    <row r="36" spans="1:9" ht="18.75" customHeight="1">
      <c r="A36" s="121"/>
      <c r="B36" s="119">
        <f>社会!B7</f>
        <v>0</v>
      </c>
      <c r="C36" s="113"/>
      <c r="D36" s="113"/>
      <c r="E36" s="113"/>
      <c r="F36" s="114"/>
      <c r="G36" s="17">
        <f ca="1">OFFSET(社会!C7,0,$B$2)</f>
        <v>0</v>
      </c>
      <c r="H36" s="131"/>
      <c r="I36" s="132"/>
    </row>
    <row r="37" spans="1:9" ht="18.75" customHeight="1">
      <c r="A37" s="122"/>
      <c r="B37" s="119">
        <f>社会!B8</f>
        <v>0</v>
      </c>
      <c r="C37" s="113"/>
      <c r="D37" s="113"/>
      <c r="E37" s="113"/>
      <c r="F37" s="114"/>
      <c r="G37" s="18">
        <f ca="1">OFFSET(社会!C8,0,$B$2)</f>
        <v>0</v>
      </c>
      <c r="H37" s="131"/>
      <c r="I37" s="132"/>
    </row>
    <row r="38" spans="1:9" ht="18.75" customHeight="1">
      <c r="A38" s="120" t="s">
        <v>9</v>
      </c>
      <c r="B38" s="123" t="str">
        <f>英語!B2</f>
        <v>知識・技能（期末テストワークテスト）</v>
      </c>
      <c r="C38" s="124"/>
      <c r="D38" s="124"/>
      <c r="E38" s="124"/>
      <c r="F38" s="125"/>
      <c r="G38" s="21" t="str">
        <f ca="1">OFFSET(英語!C2,0,$B$2)</f>
        <v>A</v>
      </c>
      <c r="H38" s="129" t="str">
        <f ca="1">OFFSET(英語!C12,0,$B$2)</f>
        <v>5</v>
      </c>
      <c r="I38" s="130"/>
    </row>
    <row r="39" spans="1:9" ht="18.75" customHeight="1">
      <c r="A39" s="121"/>
      <c r="B39" s="119" t="str">
        <f>英語!B3</f>
        <v>思考力・判断力・表現力（オンライン授業・リスニング・英作文）</v>
      </c>
      <c r="C39" s="113"/>
      <c r="D39" s="113"/>
      <c r="E39" s="113"/>
      <c r="F39" s="114"/>
      <c r="G39" s="17" t="str">
        <f ca="1">OFFSET(英語!C3,0,$B$2)</f>
        <v>A</v>
      </c>
      <c r="H39" s="131"/>
      <c r="I39" s="132"/>
    </row>
    <row r="40" spans="1:9" ht="18.75" customHeight="1">
      <c r="A40" s="121"/>
      <c r="B40" s="119" t="str">
        <f>英語!B4</f>
        <v>主体的に取り組む態度（提出物・授業態度）</v>
      </c>
      <c r="C40" s="113"/>
      <c r="D40" s="113"/>
      <c r="E40" s="113"/>
      <c r="F40" s="114"/>
      <c r="G40" s="17" t="str">
        <f ca="1">OFFSET(英語!C4,0,$B$2)</f>
        <v>A</v>
      </c>
      <c r="H40" s="131"/>
      <c r="I40" s="132"/>
    </row>
    <row r="41" spans="1:9" ht="18.75" customHeight="1">
      <c r="A41" s="121"/>
      <c r="B41" s="119">
        <f>英語!B5</f>
        <v>0</v>
      </c>
      <c r="C41" s="113"/>
      <c r="D41" s="113"/>
      <c r="E41" s="113"/>
      <c r="F41" s="114"/>
      <c r="G41" s="17">
        <f ca="1">OFFSET(英語!C5,0,$B$2)</f>
        <v>0</v>
      </c>
      <c r="H41" s="131"/>
      <c r="I41" s="132"/>
    </row>
    <row r="42" spans="1:9" ht="18.75" customHeight="1">
      <c r="A42" s="121"/>
      <c r="B42" s="119">
        <f>英語!B6</f>
        <v>0</v>
      </c>
      <c r="C42" s="113"/>
      <c r="D42" s="113"/>
      <c r="E42" s="113"/>
      <c r="F42" s="114"/>
      <c r="G42" s="17">
        <f ca="1">OFFSET(英語!C6,0,$B$2)</f>
        <v>0</v>
      </c>
      <c r="H42" s="131"/>
      <c r="I42" s="132"/>
    </row>
    <row r="43" spans="1:9" ht="18.75" customHeight="1">
      <c r="A43" s="121"/>
      <c r="B43" s="119">
        <f>英語!B7</f>
        <v>0</v>
      </c>
      <c r="C43" s="113"/>
      <c r="D43" s="113"/>
      <c r="E43" s="113"/>
      <c r="F43" s="114"/>
      <c r="G43" s="17">
        <f ca="1">OFFSET(英語!C7,0,$B$2)</f>
        <v>0</v>
      </c>
      <c r="H43" s="131"/>
      <c r="I43" s="132"/>
    </row>
    <row r="44" spans="1:9" ht="18.75" customHeight="1">
      <c r="A44" s="122"/>
      <c r="B44" s="119">
        <f>英語!B8</f>
        <v>0</v>
      </c>
      <c r="C44" s="113"/>
      <c r="D44" s="113"/>
      <c r="E44" s="113"/>
      <c r="F44" s="114"/>
      <c r="G44" s="18">
        <f ca="1">OFFSET(英語!C8,0,$B$2)</f>
        <v>0</v>
      </c>
      <c r="H44" s="131"/>
      <c r="I44" s="132"/>
    </row>
    <row r="45" spans="1:9" ht="18.75" customHeight="1">
      <c r="A45" s="120" t="s">
        <v>3</v>
      </c>
      <c r="B45" s="123" t="str">
        <f>音楽!B2</f>
        <v>知識・技能(実技テスト　演奏聴取　ワークシート)</v>
      </c>
      <c r="C45" s="124"/>
      <c r="D45" s="124"/>
      <c r="E45" s="124"/>
      <c r="F45" s="125"/>
      <c r="G45" s="21" t="str">
        <f ca="1">OFFSET(音楽!C2,0,$B$2)</f>
        <v>B</v>
      </c>
      <c r="H45" s="129">
        <f ca="1">OFFSET(音楽!C12,0,$B$2)</f>
        <v>3</v>
      </c>
      <c r="I45" s="130"/>
    </row>
    <row r="46" spans="1:9" ht="18.75" customHeight="1">
      <c r="A46" s="121"/>
      <c r="B46" s="119" t="str">
        <f>音楽!B3</f>
        <v>思考力・判断力・表現力(実技テスト　演奏聴取　ワークシート)</v>
      </c>
      <c r="C46" s="113"/>
      <c r="D46" s="113"/>
      <c r="E46" s="113"/>
      <c r="F46" s="114"/>
      <c r="G46" s="17" t="str">
        <f ca="1">OFFSET(音楽!C3,0,$B$2)</f>
        <v>B</v>
      </c>
      <c r="H46" s="131"/>
      <c r="I46" s="132"/>
    </row>
    <row r="47" spans="1:9" ht="18.75" customHeight="1">
      <c r="A47" s="121"/>
      <c r="B47" s="119" t="str">
        <f>音楽!B4</f>
        <v>主体的に学習に取り組む態度</v>
      </c>
      <c r="C47" s="113"/>
      <c r="D47" s="113"/>
      <c r="E47" s="113"/>
      <c r="F47" s="114"/>
      <c r="G47" s="17" t="str">
        <f ca="1">OFFSET(音楽!C4,0,$B$2)</f>
        <v>A</v>
      </c>
      <c r="H47" s="131"/>
      <c r="I47" s="132"/>
    </row>
    <row r="48" spans="1:9" ht="18.75" customHeight="1">
      <c r="A48" s="121"/>
      <c r="B48" s="119">
        <f>音楽!B5</f>
        <v>0</v>
      </c>
      <c r="C48" s="113"/>
      <c r="D48" s="113"/>
      <c r="E48" s="113"/>
      <c r="F48" s="114"/>
      <c r="G48" s="17">
        <f ca="1">OFFSET(音楽!C5,0,$B$2)</f>
        <v>0</v>
      </c>
      <c r="H48" s="131"/>
      <c r="I48" s="132"/>
    </row>
    <row r="49" spans="1:9" ht="18.75" customHeight="1">
      <c r="A49" s="121"/>
      <c r="B49" s="119">
        <f>音楽!B6</f>
        <v>0</v>
      </c>
      <c r="C49" s="113"/>
      <c r="D49" s="113"/>
      <c r="E49" s="113"/>
      <c r="F49" s="114"/>
      <c r="G49" s="17">
        <f ca="1">OFFSET(音楽!C6,0,$B$2)</f>
        <v>0</v>
      </c>
      <c r="H49" s="131"/>
      <c r="I49" s="132"/>
    </row>
    <row r="50" spans="1:9" ht="18.75" customHeight="1">
      <c r="A50" s="121"/>
      <c r="B50" s="119">
        <f>音楽!B7</f>
        <v>0</v>
      </c>
      <c r="C50" s="113"/>
      <c r="D50" s="113"/>
      <c r="E50" s="113"/>
      <c r="F50" s="114"/>
      <c r="G50" s="17">
        <f ca="1">OFFSET(音楽!C7,0,$B$2)</f>
        <v>0</v>
      </c>
      <c r="H50" s="131"/>
      <c r="I50" s="132"/>
    </row>
    <row r="51" spans="1:9" ht="18.75" customHeight="1">
      <c r="A51" s="122"/>
      <c r="B51" s="119">
        <f>音楽!B8</f>
        <v>0</v>
      </c>
      <c r="C51" s="113"/>
      <c r="D51" s="113"/>
      <c r="E51" s="113"/>
      <c r="F51" s="114"/>
      <c r="G51" s="18">
        <f ca="1">OFFSET(音楽!C8,0,$B$2)</f>
        <v>0</v>
      </c>
      <c r="H51" s="131"/>
      <c r="I51" s="132"/>
    </row>
    <row r="52" spans="1:9" ht="18.75" customHeight="1">
      <c r="A52" s="6"/>
      <c r="B52" s="31"/>
      <c r="C52" s="10"/>
      <c r="D52" s="10"/>
      <c r="E52" s="10"/>
      <c r="F52" s="10"/>
      <c r="G52" s="6"/>
      <c r="H52" s="7"/>
      <c r="I52" s="7"/>
    </row>
    <row r="53" spans="1:9" ht="18.75" customHeight="1">
      <c r="A53" s="1"/>
      <c r="B53" s="32"/>
      <c r="C53" s="11"/>
      <c r="D53" s="11"/>
      <c r="E53" s="11"/>
      <c r="F53" s="11"/>
      <c r="G53" s="1"/>
      <c r="H53" s="3"/>
      <c r="I53" s="3"/>
    </row>
    <row r="54" spans="1:9" ht="18.75" customHeight="1">
      <c r="A54" s="120" t="s">
        <v>1</v>
      </c>
      <c r="B54" s="123" t="str">
        <f>図工!B2</f>
        <v>知識・技能（ワークシート・見取り）</v>
      </c>
      <c r="C54" s="124"/>
      <c r="D54" s="124"/>
      <c r="E54" s="124"/>
      <c r="F54" s="125"/>
      <c r="G54" s="21" t="str">
        <f ca="1">OFFSET(図工!C2,0,$B$2)</f>
        <v>B</v>
      </c>
      <c r="H54" s="129">
        <f ca="1">OFFSET(図工!C12,0,$B$2)</f>
        <v>3</v>
      </c>
      <c r="I54" s="130"/>
    </row>
    <row r="55" spans="1:9" ht="18.75" customHeight="1">
      <c r="A55" s="121"/>
      <c r="B55" s="119" t="str">
        <f>図工!B3</f>
        <v>思考・判断・表現（作品・クロッキー）</v>
      </c>
      <c r="C55" s="113"/>
      <c r="D55" s="113"/>
      <c r="E55" s="113"/>
      <c r="F55" s="114"/>
      <c r="G55" s="17" t="str">
        <f ca="1">OFFSET(図工!C3,0,$B$2)</f>
        <v>A</v>
      </c>
      <c r="H55" s="131"/>
      <c r="I55" s="132"/>
    </row>
    <row r="56" spans="1:9" ht="18.75" customHeight="1">
      <c r="A56" s="121"/>
      <c r="B56" s="119" t="str">
        <f>図工!B4</f>
        <v>主体的な態度（振り返りシート・授業態度・提出物・持ち物）</v>
      </c>
      <c r="C56" s="113"/>
      <c r="D56" s="113"/>
      <c r="E56" s="113"/>
      <c r="F56" s="114"/>
      <c r="G56" s="17" t="str">
        <f ca="1">OFFSET(図工!C4,0,$B$2)</f>
        <v>C</v>
      </c>
      <c r="H56" s="131"/>
      <c r="I56" s="132"/>
    </row>
    <row r="57" spans="1:9" ht="18.75" customHeight="1">
      <c r="A57" s="121"/>
      <c r="B57" s="119">
        <f>図工!B5</f>
        <v>0</v>
      </c>
      <c r="C57" s="113"/>
      <c r="D57" s="113"/>
      <c r="E57" s="113"/>
      <c r="F57" s="114"/>
      <c r="G57" s="17">
        <f ca="1">OFFSET(図工!C5,0,$B$2)</f>
        <v>0</v>
      </c>
      <c r="H57" s="131"/>
      <c r="I57" s="132"/>
    </row>
    <row r="58" spans="1:9" ht="18.75" customHeight="1">
      <c r="A58" s="121"/>
      <c r="B58" s="119">
        <f>図工!B6</f>
        <v>0</v>
      </c>
      <c r="C58" s="113"/>
      <c r="D58" s="113"/>
      <c r="E58" s="113"/>
      <c r="F58" s="114"/>
      <c r="G58" s="17">
        <f ca="1">OFFSET(図工!C6,0,$B$2)</f>
        <v>0</v>
      </c>
      <c r="H58" s="131"/>
      <c r="I58" s="132"/>
    </row>
    <row r="59" spans="1:9" ht="18.75" customHeight="1">
      <c r="A59" s="121"/>
      <c r="B59" s="119">
        <f>図工!B7</f>
        <v>0</v>
      </c>
      <c r="C59" s="113"/>
      <c r="D59" s="113"/>
      <c r="E59" s="113"/>
      <c r="F59" s="114"/>
      <c r="G59" s="17">
        <f ca="1">OFFSET(図工!C7,0,$B$2)</f>
        <v>0</v>
      </c>
      <c r="H59" s="131"/>
      <c r="I59" s="132"/>
    </row>
    <row r="60" spans="1:9" ht="18.75" customHeight="1">
      <c r="A60" s="122"/>
      <c r="B60" s="119">
        <f>図工!B8</f>
        <v>0</v>
      </c>
      <c r="C60" s="113"/>
      <c r="D60" s="113"/>
      <c r="E60" s="113"/>
      <c r="F60" s="114"/>
      <c r="G60" s="18">
        <f ca="1">OFFSET(図工!C8,0,$B$2)</f>
        <v>0</v>
      </c>
      <c r="H60" s="131"/>
      <c r="I60" s="132"/>
    </row>
    <row r="61" spans="1:9" ht="18.75" customHeight="1">
      <c r="A61" s="120" t="s">
        <v>2</v>
      </c>
      <c r="B61" s="123" t="str">
        <f>体育!B2</f>
        <v>知識・技能(実技テスト）</v>
      </c>
      <c r="C61" s="124"/>
      <c r="D61" s="124"/>
      <c r="E61" s="124"/>
      <c r="F61" s="125"/>
      <c r="G61" s="21" t="str">
        <f ca="1">OFFSET(体育!C2,0,$B$2)</f>
        <v>B</v>
      </c>
      <c r="H61" s="129">
        <f ca="1">OFFSET(体育!C12,0,$B$2)</f>
        <v>3</v>
      </c>
      <c r="I61" s="130"/>
    </row>
    <row r="62" spans="1:9" ht="18.75" customHeight="1">
      <c r="A62" s="121"/>
      <c r="B62" s="119" t="str">
        <f>体育!B3</f>
        <v>思考力・表現力・判断力（実技テスト、授業での練習）</v>
      </c>
      <c r="C62" s="113"/>
      <c r="D62" s="113"/>
      <c r="E62" s="113"/>
      <c r="F62" s="114"/>
      <c r="G62" s="17" t="str">
        <f ca="1">OFFSET(体育!C3,0,$B$2)</f>
        <v>A</v>
      </c>
      <c r="H62" s="131"/>
      <c r="I62" s="132"/>
    </row>
    <row r="63" spans="1:9" ht="18.75" customHeight="1">
      <c r="A63" s="121"/>
      <c r="B63" s="119" t="str">
        <f>体育!B4</f>
        <v>主体的に学習に取り組む態度（授業態度）</v>
      </c>
      <c r="C63" s="113"/>
      <c r="D63" s="113"/>
      <c r="E63" s="113"/>
      <c r="F63" s="114"/>
      <c r="G63" s="17" t="str">
        <f ca="1">OFFSET(体育!C4,0,$B$2)</f>
        <v>B</v>
      </c>
      <c r="H63" s="131"/>
      <c r="I63" s="132"/>
    </row>
    <row r="64" spans="1:9" ht="18.75" customHeight="1">
      <c r="A64" s="121"/>
      <c r="B64" s="119">
        <f>体育!B5</f>
        <v>0</v>
      </c>
      <c r="C64" s="113"/>
      <c r="D64" s="113"/>
      <c r="E64" s="113"/>
      <c r="F64" s="114"/>
      <c r="G64" s="17">
        <f ca="1">OFFSET(体育!C5,0,$B$2)</f>
        <v>0</v>
      </c>
      <c r="H64" s="131"/>
      <c r="I64" s="132"/>
    </row>
    <row r="65" spans="1:14" ht="18.75" customHeight="1">
      <c r="A65" s="121"/>
      <c r="B65" s="119">
        <f>体育!B6</f>
        <v>0</v>
      </c>
      <c r="C65" s="113"/>
      <c r="D65" s="113"/>
      <c r="E65" s="113"/>
      <c r="F65" s="114"/>
      <c r="G65" s="17">
        <f ca="1">OFFSET(体育!C6,0,$B$2)</f>
        <v>0</v>
      </c>
      <c r="H65" s="131"/>
      <c r="I65" s="132"/>
    </row>
    <row r="66" spans="1:14" ht="18.75" customHeight="1">
      <c r="A66" s="121"/>
      <c r="B66" s="119">
        <f>体育!B7</f>
        <v>0</v>
      </c>
      <c r="C66" s="113"/>
      <c r="D66" s="113"/>
      <c r="E66" s="113"/>
      <c r="F66" s="114"/>
      <c r="G66" s="17">
        <f ca="1">OFFSET(体育!C7,0,$B$2)</f>
        <v>0</v>
      </c>
      <c r="H66" s="131"/>
      <c r="I66" s="132"/>
    </row>
    <row r="67" spans="1:14" ht="18.75" customHeight="1">
      <c r="A67" s="122"/>
      <c r="B67" s="126">
        <f>体育!B8</f>
        <v>0</v>
      </c>
      <c r="C67" s="127"/>
      <c r="D67" s="127"/>
      <c r="E67" s="127"/>
      <c r="F67" s="128"/>
      <c r="G67" s="18">
        <f ca="1">OFFSET(体育!C8,0,$B$2)</f>
        <v>0</v>
      </c>
      <c r="H67" s="133"/>
      <c r="I67" s="134"/>
    </row>
    <row r="68" spans="1:14" ht="18.75" customHeight="1">
      <c r="A68" s="120" t="s">
        <v>50</v>
      </c>
      <c r="B68" s="123" t="str">
        <f>家庭!B2</f>
        <v>知識・技能（まとめテスト・裁縫実習）</v>
      </c>
      <c r="C68" s="124"/>
      <c r="D68" s="124"/>
      <c r="E68" s="124"/>
      <c r="F68" s="125"/>
      <c r="G68" s="21" t="str">
        <f ca="1">OFFSET(家庭!C2,0,$B$2)</f>
        <v>B</v>
      </c>
      <c r="H68" s="129">
        <f ca="1">OFFSET(家庭!C12,0,$B$2)</f>
        <v>3</v>
      </c>
      <c r="I68" s="130"/>
    </row>
    <row r="69" spans="1:14" ht="18.75" customHeight="1">
      <c r="A69" s="121"/>
      <c r="B69" s="119" t="str">
        <f>家庭!B3</f>
        <v>思考力・表現力・判断力（調理実習・レポート・ノート）</v>
      </c>
      <c r="C69" s="113"/>
      <c r="D69" s="113"/>
      <c r="E69" s="113"/>
      <c r="F69" s="114"/>
      <c r="G69" s="17" t="str">
        <f ca="1">OFFSET(家庭!C3,0,$B$2)</f>
        <v>B</v>
      </c>
      <c r="H69" s="131"/>
      <c r="I69" s="132"/>
    </row>
    <row r="70" spans="1:14" ht="18.75" customHeight="1">
      <c r="A70" s="121"/>
      <c r="B70" s="119" t="str">
        <f>家庭!B4</f>
        <v>主体的に学習に取り組む態度</v>
      </c>
      <c r="C70" s="113"/>
      <c r="D70" s="113"/>
      <c r="E70" s="113"/>
      <c r="F70" s="114"/>
      <c r="G70" s="17" t="str">
        <f ca="1">OFFSET(家庭!C4,0,$B$2)</f>
        <v>B</v>
      </c>
      <c r="H70" s="131"/>
      <c r="I70" s="132"/>
    </row>
    <row r="71" spans="1:14" ht="18.75" customHeight="1">
      <c r="A71" s="121"/>
      <c r="B71" s="119">
        <f>家庭!B5</f>
        <v>0</v>
      </c>
      <c r="C71" s="113"/>
      <c r="D71" s="113"/>
      <c r="E71" s="113"/>
      <c r="F71" s="114"/>
      <c r="G71" s="17">
        <f ca="1">OFFSET(家庭!C5,0,$B$2)</f>
        <v>0</v>
      </c>
      <c r="H71" s="131"/>
      <c r="I71" s="132"/>
    </row>
    <row r="72" spans="1:14" ht="18.75" customHeight="1">
      <c r="A72" s="121"/>
      <c r="B72" s="119">
        <f>家庭!B6</f>
        <v>0</v>
      </c>
      <c r="C72" s="113"/>
      <c r="D72" s="113"/>
      <c r="E72" s="113"/>
      <c r="F72" s="114"/>
      <c r="G72" s="17">
        <f ca="1">OFFSET(家庭!C6,0,$B$2)</f>
        <v>0</v>
      </c>
      <c r="H72" s="131"/>
      <c r="I72" s="132"/>
    </row>
    <row r="73" spans="1:14" ht="18.75" customHeight="1">
      <c r="A73" s="121"/>
      <c r="B73" s="119">
        <f>家庭!B7</f>
        <v>0</v>
      </c>
      <c r="C73" s="113"/>
      <c r="D73" s="113"/>
      <c r="E73" s="113"/>
      <c r="F73" s="114"/>
      <c r="G73" s="17">
        <f ca="1">OFFSET(家庭!C7,0,$B$2)</f>
        <v>0</v>
      </c>
      <c r="H73" s="131"/>
      <c r="I73" s="132"/>
    </row>
    <row r="74" spans="1:14" ht="18.75" customHeight="1">
      <c r="A74" s="122"/>
      <c r="B74" s="126">
        <f>家庭!B8</f>
        <v>0</v>
      </c>
      <c r="C74" s="127"/>
      <c r="D74" s="127"/>
      <c r="E74" s="127"/>
      <c r="F74" s="128"/>
      <c r="G74" s="18">
        <f ca="1">OFFSET(家庭!C8,0,$B$2)</f>
        <v>0</v>
      </c>
      <c r="H74" s="133"/>
      <c r="I74" s="134"/>
    </row>
    <row r="75" spans="1:14" ht="75" customHeight="1">
      <c r="A75" s="23" t="s">
        <v>24</v>
      </c>
      <c r="B75" s="145" t="str">
        <f ca="1">INDIRECT("'道徳'!B"&amp;2+$B$2)</f>
        <v>学年目標の「仁」の体現を求め、集団生活の場である学校生活の場面において、友達との関わりや役割分担などで人間関係の在り方を考え、修正し、向上させてきました。また体育祭や研修旅行を通して、その成果を体現してきました。教室でもコミュニケーションの取り方や人としての在り方について教材を通して考えてきました。</v>
      </c>
      <c r="C75" s="145"/>
      <c r="D75" s="145"/>
      <c r="E75" s="145"/>
      <c r="F75" s="145"/>
      <c r="G75" s="145"/>
      <c r="H75" s="145"/>
      <c r="I75" s="146"/>
    </row>
    <row r="76" spans="1:14" ht="11.25" customHeight="1">
      <c r="D76" s="14"/>
      <c r="E76" s="12"/>
      <c r="N76" s="12"/>
    </row>
    <row r="77" spans="1:14" ht="18.75" customHeight="1">
      <c r="A77" s="109" t="s">
        <v>22</v>
      </c>
      <c r="B77" s="110"/>
      <c r="C77" s="110"/>
      <c r="D77" s="111"/>
      <c r="F77" s="109" t="s">
        <v>10</v>
      </c>
      <c r="G77" s="110"/>
      <c r="H77" s="110"/>
      <c r="I77" s="111"/>
      <c r="L77" s="14"/>
      <c r="M77" s="12"/>
      <c r="N77" s="30"/>
    </row>
    <row r="78" spans="1:14" ht="19.5" customHeight="1">
      <c r="A78" s="147" t="str">
        <f>所見!B2</f>
        <v>基本的な生活習慣（一日の過ごし方、時間管理、など）</v>
      </c>
      <c r="B78" s="148"/>
      <c r="C78" s="149"/>
      <c r="D78" s="27" t="str">
        <f ca="1">OFFSET(所見!C2,0,$B$2)</f>
        <v xml:space="preserve">A </v>
      </c>
      <c r="F78" s="117" t="s">
        <v>12</v>
      </c>
      <c r="G78" s="118"/>
      <c r="H78" s="118"/>
      <c r="I78" s="22">
        <f ca="1">OFFSET(出欠!C2,0,$B$2)</f>
        <v>76</v>
      </c>
      <c r="L78" s="14"/>
      <c r="M78" s="30"/>
      <c r="N78" s="30"/>
    </row>
    <row r="79" spans="1:14" ht="19.5" customHeight="1">
      <c r="A79" s="103" t="str">
        <f>所見!B3</f>
        <v>健康・体力の向上（欠席、遅刻、早退など）</v>
      </c>
      <c r="B79" s="104"/>
      <c r="C79" s="105"/>
      <c r="D79" s="13" t="str">
        <f ca="1">OFFSET(所見!C3,0,$B$2)</f>
        <v xml:space="preserve">A </v>
      </c>
      <c r="F79" s="115" t="s">
        <v>13</v>
      </c>
      <c r="G79" s="116"/>
      <c r="H79" s="116"/>
      <c r="I79" s="13">
        <f ca="1">OFFSET(出欠!C3,0,$B$2)</f>
        <v>0</v>
      </c>
      <c r="L79" s="30"/>
      <c r="M79" s="30"/>
      <c r="N79" s="30"/>
    </row>
    <row r="80" spans="1:14" ht="19.5" customHeight="1">
      <c r="A80" s="103" t="str">
        <f>所見!B4</f>
        <v>自主・自律（整理整頓、身なり、宿題、提出物など）</v>
      </c>
      <c r="B80" s="104"/>
      <c r="C80" s="105"/>
      <c r="D80" s="13" t="str">
        <f ca="1">OFFSET(所見!C4,0,$B$2)</f>
        <v>B</v>
      </c>
      <c r="F80" s="112" t="s">
        <v>20</v>
      </c>
      <c r="G80" s="113"/>
      <c r="H80" s="114"/>
      <c r="I80" s="13">
        <f ca="1">OFFSET(出欠!C4,0,$B$2)</f>
        <v>76</v>
      </c>
      <c r="L80" s="30"/>
      <c r="M80" s="30"/>
      <c r="N80" s="30"/>
    </row>
    <row r="81" spans="1:14" ht="19.5" customHeight="1">
      <c r="A81" s="103" t="str">
        <f>所見!B5</f>
        <v>責任感（係、委員会、役割など）</v>
      </c>
      <c r="B81" s="104"/>
      <c r="C81" s="105"/>
      <c r="D81" s="13" t="str">
        <f ca="1">OFFSET(所見!C5,0,$B$2)</f>
        <v>B</v>
      </c>
      <c r="F81" s="115" t="s">
        <v>14</v>
      </c>
      <c r="G81" s="116"/>
      <c r="H81" s="116"/>
      <c r="I81" s="13">
        <f ca="1">OFFSET(出欠!C5,0,$B$2)</f>
        <v>75</v>
      </c>
      <c r="L81" s="30"/>
      <c r="M81" s="30"/>
      <c r="N81" s="30"/>
    </row>
    <row r="82" spans="1:14" ht="19.5" customHeight="1">
      <c r="A82" s="103" t="str">
        <f>所見!B6</f>
        <v>創意工夫（日常生活、授業発言など）</v>
      </c>
      <c r="B82" s="104"/>
      <c r="C82" s="105"/>
      <c r="D82" s="13" t="str">
        <f ca="1">OFFSET(所見!C6,0,$B$2)</f>
        <v xml:space="preserve">A </v>
      </c>
      <c r="F82" s="115" t="s">
        <v>21</v>
      </c>
      <c r="G82" s="116"/>
      <c r="H82" s="116"/>
      <c r="I82" s="13">
        <f ca="1">OFFSET(出欠!C6,0,$B$2)</f>
        <v>1</v>
      </c>
      <c r="L82" s="30"/>
      <c r="M82" s="30"/>
      <c r="N82" s="30"/>
    </row>
    <row r="83" spans="1:14" ht="19.5" customHeight="1">
      <c r="A83" s="103" t="str">
        <f>所見!B7</f>
        <v>思いやり・協力（友人関係、共同作業など）</v>
      </c>
      <c r="B83" s="104"/>
      <c r="C83" s="105"/>
      <c r="D83" s="13" t="str">
        <f ca="1">OFFSET(所見!C7,0,$B$2)</f>
        <v>B</v>
      </c>
      <c r="F83" s="115" t="s">
        <v>15</v>
      </c>
      <c r="G83" s="116"/>
      <c r="H83" s="116"/>
      <c r="I83" s="13">
        <f ca="1">OFFSET(出欠!C7,0,$B$2)</f>
        <v>0</v>
      </c>
      <c r="L83" s="30"/>
      <c r="M83" s="30"/>
      <c r="N83" s="30"/>
    </row>
    <row r="84" spans="1:14" ht="19.5" customHeight="1">
      <c r="A84" s="103" t="str">
        <f>所見!B8</f>
        <v>生命尊重・自然愛護（自然、動植物に対する接し方など）</v>
      </c>
      <c r="B84" s="104"/>
      <c r="C84" s="105"/>
      <c r="D84" s="13" t="str">
        <f ca="1">OFFSET(所見!C8,0,$B$2)</f>
        <v xml:space="preserve">A </v>
      </c>
      <c r="F84" s="115" t="s">
        <v>16</v>
      </c>
      <c r="G84" s="116"/>
      <c r="H84" s="116"/>
      <c r="I84" s="13">
        <f ca="1">OFFSET(出欠!C8,0,$B$2)</f>
        <v>1</v>
      </c>
      <c r="L84" s="30"/>
      <c r="M84" s="30"/>
      <c r="N84" s="30"/>
    </row>
    <row r="85" spans="1:14" ht="19.5" customHeight="1">
      <c r="A85" s="103" t="str">
        <f>所見!B9</f>
        <v>勤労・奉仕（清掃、給食など）</v>
      </c>
      <c r="B85" s="104"/>
      <c r="C85" s="105"/>
      <c r="D85" s="15" t="str">
        <f ca="1">OFFSET(所見!C9,0,$B$2)</f>
        <v xml:space="preserve">A </v>
      </c>
      <c r="F85" s="94" t="str">
        <f ca="1">"備考： "&amp;INDIRECT("'出欠'!B"&amp;9+$B$2)</f>
        <v>備考： 風邪による欠席(1)発熱による早退(1)</v>
      </c>
      <c r="G85" s="95"/>
      <c r="H85" s="95"/>
      <c r="I85" s="96"/>
      <c r="L85" s="75">
        <f>番号</f>
        <v>14</v>
      </c>
      <c r="M85" s="30"/>
      <c r="N85" s="30"/>
    </row>
    <row r="86" spans="1:14" ht="19.5" customHeight="1">
      <c r="A86" s="103" t="str">
        <f>所見!B10</f>
        <v>公正・公平（友人関係、学級での話し合いなど）</v>
      </c>
      <c r="B86" s="104"/>
      <c r="C86" s="105"/>
      <c r="D86" s="15" t="str">
        <f ca="1">OFFSET(所見!C10,0,$B$2)</f>
        <v>B</v>
      </c>
      <c r="F86" s="97"/>
      <c r="G86" s="98"/>
      <c r="H86" s="98"/>
      <c r="I86" s="99"/>
      <c r="L86" s="30"/>
      <c r="M86" s="30"/>
      <c r="N86" s="30"/>
    </row>
    <row r="87" spans="1:14" ht="19.5" customHeight="1">
      <c r="A87" s="106" t="str">
        <f>所見!B11</f>
        <v>公共心・公徳心（規律、挨拶、返事など）</v>
      </c>
      <c r="B87" s="107"/>
      <c r="C87" s="108"/>
      <c r="D87" s="16" t="str">
        <f ca="1">OFFSET(所見!C11,0,$B$2)</f>
        <v>B</v>
      </c>
      <c r="F87" s="100"/>
      <c r="G87" s="101"/>
      <c r="H87" s="101"/>
      <c r="I87" s="102"/>
      <c r="L87" s="30"/>
      <c r="M87" s="30"/>
      <c r="N87" s="25"/>
    </row>
    <row r="88" spans="1:14" ht="12" customHeight="1">
      <c r="A88" s="26"/>
      <c r="B88" s="28"/>
      <c r="C88" s="28"/>
      <c r="D88" s="29"/>
      <c r="F88" s="24"/>
      <c r="G88" s="24"/>
      <c r="H88" s="24"/>
      <c r="I88" s="24"/>
      <c r="L88" s="25"/>
      <c r="M88" s="25"/>
      <c r="N88" s="25"/>
    </row>
    <row r="89" spans="1:14" ht="39" customHeight="1">
      <c r="A89" s="90" t="s">
        <v>23</v>
      </c>
      <c r="B89" s="91"/>
      <c r="C89" s="92" t="str">
        <f ca="1">INDIRECT("'所見'!B"&amp;12+$B$2)</f>
        <v>衛生委員会，リペアクラブ，言動省，競技かるた部，研修旅行食事係長</v>
      </c>
      <c r="D89" s="92"/>
      <c r="E89" s="92"/>
      <c r="F89" s="92"/>
      <c r="G89" s="92"/>
      <c r="H89" s="92"/>
      <c r="I89" s="93"/>
      <c r="L89" s="25"/>
      <c r="M89" s="25"/>
    </row>
    <row r="90" spans="1:14" ht="11.25" customHeight="1">
      <c r="C90" s="14"/>
    </row>
    <row r="91" spans="1:14" ht="186.75" customHeight="1">
      <c r="A91" s="23" t="s">
        <v>11</v>
      </c>
      <c r="B91" s="140" t="str">
        <f ca="1">INDIRECT("'所見'!B"&amp;$Q$5+$B$2)</f>
        <v>6年生としての目標を「字を丁寧に書く」とし、そのために一学期の目標を「心を落ち着かせられる人になる」としました。生活記録係として交通事情から諏訪便が遅くなっても、できるだけその責を果たそうと努力し、言動省の長として黒板を消す仕事も積極的に動いていました。休み時間や放課後は外に出て、明るく声をかけて友達と一緒に、ドッジボールやタイヤ遊びで体を動かしている姿をよく見ました。学級でも積極的に声を掛けることもあります。一方で机の中やロッカーの整理整頓はまだ十分でなく、乱雑になって指摘を受けることもありました。昨年から指摘されている言動については注意して行動することが増えているようです。ただ、やはり自分の気持ちを優先した発言や行動をしてしまう場面もあり、友達とのトラブルに発展してしまうこともありました。自己主張も大切ですが、集団生活の場での在り方については、友達とのコミュニケーションの取り方を含め、更に工夫していきましょう。学習面では期末テストに向かい、計画的に学習を進めました。授業での発言は積極的でよいのですが、授業中の私語をいくつかの教科で指摘されています。裁縫など苦手なことにもどんどん挑戦し、字も含めて「丁寧な」学習を心がけて表現力を伸ばしていきましょう。二学期はさいきょう祭でのミュージカルや防災学習や小学校課程の学びのまとめに入ります。学習面でも生活面でも陽香さんの前向きな明るさを活かしていきましょう。</v>
      </c>
      <c r="C91" s="141"/>
      <c r="D91" s="141"/>
      <c r="E91" s="141"/>
      <c r="F91" s="141"/>
      <c r="G91" s="141"/>
      <c r="H91" s="141"/>
      <c r="I91" s="142"/>
    </row>
  </sheetData>
  <mergeCells count="116">
    <mergeCell ref="K7:L7"/>
    <mergeCell ref="B91:I91"/>
    <mergeCell ref="A4:I4"/>
    <mergeCell ref="B6:F6"/>
    <mergeCell ref="B7:F7"/>
    <mergeCell ref="B8:F8"/>
    <mergeCell ref="H5:I5"/>
    <mergeCell ref="F82:H82"/>
    <mergeCell ref="H54:I60"/>
    <mergeCell ref="H45:I51"/>
    <mergeCell ref="B27:F27"/>
    <mergeCell ref="B30:F30"/>
    <mergeCell ref="B44:F44"/>
    <mergeCell ref="B49:F49"/>
    <mergeCell ref="B50:F50"/>
    <mergeCell ref="B51:F51"/>
    <mergeCell ref="B5:F5"/>
    <mergeCell ref="B75:I75"/>
    <mergeCell ref="A15:A22"/>
    <mergeCell ref="H61:I67"/>
    <mergeCell ref="A78:C78"/>
    <mergeCell ref="A79:C79"/>
    <mergeCell ref="A80:C80"/>
    <mergeCell ref="B65:F65"/>
    <mergeCell ref="A1:B1"/>
    <mergeCell ref="C1:G1"/>
    <mergeCell ref="G2:I2"/>
    <mergeCell ref="H6:I14"/>
    <mergeCell ref="A6:A14"/>
    <mergeCell ref="B42:F42"/>
    <mergeCell ref="B43:F43"/>
    <mergeCell ref="H38:I44"/>
    <mergeCell ref="H15:I22"/>
    <mergeCell ref="H23:I30"/>
    <mergeCell ref="B14:F14"/>
    <mergeCell ref="B22:F22"/>
    <mergeCell ref="A23:A30"/>
    <mergeCell ref="B23:F23"/>
    <mergeCell ref="B24:F24"/>
    <mergeCell ref="B25:F25"/>
    <mergeCell ref="B26:F26"/>
    <mergeCell ref="A38:A44"/>
    <mergeCell ref="B38:F38"/>
    <mergeCell ref="B39:F39"/>
    <mergeCell ref="B40:F40"/>
    <mergeCell ref="B41:F41"/>
    <mergeCell ref="A31:A37"/>
    <mergeCell ref="B9:F9"/>
    <mergeCell ref="B66:F66"/>
    <mergeCell ref="A68:A74"/>
    <mergeCell ref="B68:F68"/>
    <mergeCell ref="H68:I74"/>
    <mergeCell ref="B69:F69"/>
    <mergeCell ref="B70:F70"/>
    <mergeCell ref="B71:F71"/>
    <mergeCell ref="B72:F72"/>
    <mergeCell ref="B73:F73"/>
    <mergeCell ref="B10:F10"/>
    <mergeCell ref="B11:F11"/>
    <mergeCell ref="B12:F12"/>
    <mergeCell ref="B57:F57"/>
    <mergeCell ref="B15:F15"/>
    <mergeCell ref="B16:F16"/>
    <mergeCell ref="B17:F17"/>
    <mergeCell ref="B18:F18"/>
    <mergeCell ref="B19:F19"/>
    <mergeCell ref="B21:F21"/>
    <mergeCell ref="B28:F28"/>
    <mergeCell ref="B29:F29"/>
    <mergeCell ref="B31:F31"/>
    <mergeCell ref="B47:F47"/>
    <mergeCell ref="B48:F48"/>
    <mergeCell ref="B13:F13"/>
    <mergeCell ref="B20:F20"/>
    <mergeCell ref="B60:F60"/>
    <mergeCell ref="A54:A60"/>
    <mergeCell ref="B54:F54"/>
    <mergeCell ref="B55:F55"/>
    <mergeCell ref="B56:F56"/>
    <mergeCell ref="B59:F59"/>
    <mergeCell ref="B58:F58"/>
    <mergeCell ref="B74:F74"/>
    <mergeCell ref="H31:I37"/>
    <mergeCell ref="B32:F32"/>
    <mergeCell ref="B33:F33"/>
    <mergeCell ref="B34:F34"/>
    <mergeCell ref="B35:F35"/>
    <mergeCell ref="B36:F36"/>
    <mergeCell ref="B37:F37"/>
    <mergeCell ref="A45:A51"/>
    <mergeCell ref="B45:F45"/>
    <mergeCell ref="B46:F46"/>
    <mergeCell ref="B67:F67"/>
    <mergeCell ref="B61:F61"/>
    <mergeCell ref="B62:F62"/>
    <mergeCell ref="B63:F63"/>
    <mergeCell ref="A61:A67"/>
    <mergeCell ref="B64:F64"/>
    <mergeCell ref="A89:B89"/>
    <mergeCell ref="C89:I89"/>
    <mergeCell ref="F85:I87"/>
    <mergeCell ref="A85:C85"/>
    <mergeCell ref="A86:C86"/>
    <mergeCell ref="A87:C87"/>
    <mergeCell ref="A77:D77"/>
    <mergeCell ref="F80:H80"/>
    <mergeCell ref="F79:H79"/>
    <mergeCell ref="F83:H83"/>
    <mergeCell ref="F84:H84"/>
    <mergeCell ref="F77:I77"/>
    <mergeCell ref="F81:H81"/>
    <mergeCell ref="A81:C81"/>
    <mergeCell ref="A82:C82"/>
    <mergeCell ref="A83:C83"/>
    <mergeCell ref="A84:C84"/>
    <mergeCell ref="F78:H78"/>
  </mergeCells>
  <phoneticPr fontId="1"/>
  <conditionalFormatting sqref="F85 B91 D78:D88 A78:A88 C89 C52:F53 L87:M89 N77:N88 B6:B12 G6:G12 B54:B58 G60:G67 B60:B67 B75 G14:G19 B14:B19 B21:B27 G21:G27 B30:B51 G30:G58">
    <cfRule type="cellIs" dxfId="34" priority="10" stopIfTrue="1" operator="equal">
      <formula>0</formula>
    </cfRule>
  </conditionalFormatting>
  <conditionalFormatting sqref="G28:G29 B28:B29">
    <cfRule type="cellIs" dxfId="33" priority="9" stopIfTrue="1" operator="equal">
      <formula>0</formula>
    </cfRule>
  </conditionalFormatting>
  <conditionalFormatting sqref="B59 G59">
    <cfRule type="cellIs" dxfId="32" priority="6" stopIfTrue="1" operator="equal">
      <formula>0</formula>
    </cfRule>
  </conditionalFormatting>
  <conditionalFormatting sqref="G68:G74 B68:B74">
    <cfRule type="cellIs" dxfId="31" priority="5" stopIfTrue="1" operator="equal">
      <formula>0</formula>
    </cfRule>
  </conditionalFormatting>
  <conditionalFormatting sqref="B13 G13">
    <cfRule type="cellIs" dxfId="30" priority="4" stopIfTrue="1" operator="equal">
      <formula>0</formula>
    </cfRule>
  </conditionalFormatting>
  <conditionalFormatting sqref="B20 G20">
    <cfRule type="cellIs" dxfId="29" priority="3" stopIfTrue="1" operator="equal">
      <formula>0</formula>
    </cfRule>
  </conditionalFormatting>
  <conditionalFormatting sqref="L79:M86 M78">
    <cfRule type="cellIs" dxfId="28" priority="2" stopIfTrue="1" operator="equal">
      <formula>0</formula>
    </cfRule>
  </conditionalFormatting>
  <conditionalFormatting sqref="L17:M20">
    <cfRule type="cellIs" dxfId="27"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4" fitToHeight="2" orientation="portrait" horizontalDpi="300" verticalDpi="300" r:id="rId1"/>
  <headerFooter alignWithMargins="0"/>
  <rowBreaks count="1" manualBreakCount="1">
    <brk id="52"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元データ取込">
                <anchor moveWithCells="1" sizeWithCells="1">
                  <from>
                    <xdr:col>9</xdr:col>
                    <xdr:colOff>571500</xdr:colOff>
                    <xdr:row>4</xdr:row>
                    <xdr:rowOff>28575</xdr:rowOff>
                  </from>
                  <to>
                    <xdr:col>12</xdr:col>
                    <xdr:colOff>123825</xdr:colOff>
                    <xdr:row>5</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通知票印刷">
                <anchor moveWithCells="1" sizeWithCells="1">
                  <from>
                    <xdr:col>9</xdr:col>
                    <xdr:colOff>571500</xdr:colOff>
                    <xdr:row>10</xdr:row>
                    <xdr:rowOff>76200</xdr:rowOff>
                  </from>
                  <to>
                    <xdr:col>12</xdr:col>
                    <xdr:colOff>161925</xdr:colOff>
                    <xdr:row>11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所見集印刷">
                <anchor moveWithCells="1" sizeWithCells="1">
                  <from>
                    <xdr:col>9</xdr:col>
                    <xdr:colOff>571500</xdr:colOff>
                    <xdr:row>12</xdr:row>
                    <xdr:rowOff>47625</xdr:rowOff>
                  </from>
                  <to>
                    <xdr:col>12</xdr:col>
                    <xdr:colOff>161925</xdr:colOff>
                    <xdr:row>13</xdr:row>
                    <xdr:rowOff>123825</xdr:rowOff>
                  </to>
                </anchor>
              </controlPr>
            </control>
          </mc:Choice>
        </mc:AlternateContent>
        <mc:AlternateContent xmlns:mc="http://schemas.openxmlformats.org/markup-compatibility/2006">
          <mc:Choice Requires="x14">
            <control shapeId="1028" r:id="rId7" name="Button 4">
              <controlPr defaultSize="0" print="0" autoFill="0" autoPict="0" macro="[0]!前">
                <anchor moveWithCells="1" sizeWithCells="1">
                  <from>
                    <xdr:col>10</xdr:col>
                    <xdr:colOff>66675</xdr:colOff>
                    <xdr:row>83</xdr:row>
                    <xdr:rowOff>200025</xdr:rowOff>
                  </from>
                  <to>
                    <xdr:col>11</xdr:col>
                    <xdr:colOff>9525</xdr:colOff>
                    <xdr:row>85</xdr:row>
                    <xdr:rowOff>19050</xdr:rowOff>
                  </to>
                </anchor>
              </controlPr>
            </control>
          </mc:Choice>
        </mc:AlternateContent>
        <mc:AlternateContent xmlns:mc="http://schemas.openxmlformats.org/markup-compatibility/2006">
          <mc:Choice Requires="x14">
            <control shapeId="1029" r:id="rId8" name="Button 5">
              <controlPr defaultSize="0" print="0" autoFill="0" autoPict="0" macro="[0]!先">
                <anchor moveWithCells="1" sizeWithCells="1">
                  <from>
                    <xdr:col>12</xdr:col>
                    <xdr:colOff>133350</xdr:colOff>
                    <xdr:row>83</xdr:row>
                    <xdr:rowOff>200025</xdr:rowOff>
                  </from>
                  <to>
                    <xdr:col>12</xdr:col>
                    <xdr:colOff>438150</xdr:colOff>
                    <xdr:row>85</xdr:row>
                    <xdr:rowOff>19050</xdr:rowOff>
                  </to>
                </anchor>
              </controlPr>
            </control>
          </mc:Choice>
        </mc:AlternateContent>
        <mc:AlternateContent xmlns:mc="http://schemas.openxmlformats.org/markup-compatibility/2006">
          <mc:Choice Requires="x14">
            <control shapeId="1030" r:id="rId9" name="Button 6">
              <controlPr defaultSize="0" print="0" autoFill="0" autoPict="0" macro="[0]!前">
                <anchor moveWithCells="1" sizeWithCells="1">
                  <from>
                    <xdr:col>10</xdr:col>
                    <xdr:colOff>66675</xdr:colOff>
                    <xdr:row>17</xdr:row>
                    <xdr:rowOff>200025</xdr:rowOff>
                  </from>
                  <to>
                    <xdr:col>11</xdr:col>
                    <xdr:colOff>9525</xdr:colOff>
                    <xdr:row>19</xdr:row>
                    <xdr:rowOff>19050</xdr:rowOff>
                  </to>
                </anchor>
              </controlPr>
            </control>
          </mc:Choice>
        </mc:AlternateContent>
        <mc:AlternateContent xmlns:mc="http://schemas.openxmlformats.org/markup-compatibility/2006">
          <mc:Choice Requires="x14">
            <control shapeId="1031" r:id="rId10" name="Button 7">
              <controlPr defaultSize="0" print="0" autoFill="0" autoPict="0" macro="[0]!先">
                <anchor moveWithCells="1" sizeWithCells="1">
                  <from>
                    <xdr:col>12</xdr:col>
                    <xdr:colOff>133350</xdr:colOff>
                    <xdr:row>17</xdr:row>
                    <xdr:rowOff>200025</xdr:rowOff>
                  </from>
                  <to>
                    <xdr:col>12</xdr:col>
                    <xdr:colOff>438150</xdr:colOff>
                    <xdr:row>19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6"/>
  <sheetViews>
    <sheetView view="pageBreakPreview" zoomScaleNormal="70" zoomScaleSheetLayoutView="100" workbookViewId="0">
      <selection activeCell="C16" sqref="C16"/>
    </sheetView>
  </sheetViews>
  <sheetFormatPr defaultRowHeight="13.5"/>
  <cols>
    <col min="1" max="2" width="4.25" style="8" customWidth="1"/>
    <col min="3" max="3" width="95" style="8" customWidth="1"/>
    <col min="4" max="16384" width="9" style="8"/>
  </cols>
  <sheetData>
    <row r="1" spans="1:3" ht="18.75" customHeight="1">
      <c r="A1" s="150" t="str">
        <f ca="1">通知票!A1</f>
        <v>６－２</v>
      </c>
      <c r="B1" s="135"/>
      <c r="C1" s="58" t="str">
        <f ca="1">通知票!C1</f>
        <v>1学期</v>
      </c>
    </row>
    <row r="2" spans="1:3" ht="18.75" customHeight="1">
      <c r="A2" s="59" t="s">
        <v>43</v>
      </c>
      <c r="B2" s="58">
        <v>18</v>
      </c>
      <c r="C2" s="70" t="str">
        <f ca="1">INDIRECT("'所見'!A"&amp;12+$B$2)</f>
        <v>山田 陽翔</v>
      </c>
    </row>
    <row r="3" spans="1:3" ht="12" customHeight="1">
      <c r="C3" s="9"/>
    </row>
    <row r="4" spans="1:3" ht="18.75" customHeight="1">
      <c r="A4" s="60" t="s">
        <v>4</v>
      </c>
      <c r="B4" s="61" t="s">
        <v>6</v>
      </c>
      <c r="C4" s="22" t="s">
        <v>44</v>
      </c>
    </row>
    <row r="5" spans="1:3" ht="67.5" customHeight="1">
      <c r="A5" s="62" t="s">
        <v>8</v>
      </c>
      <c r="B5" s="63">
        <f ca="1">OFFSET(国語!C12,0,$B$2)</f>
        <v>4</v>
      </c>
      <c r="C5" s="64" t="str">
        <f ca="1">INDIRECT("'国語'!B"&amp;14+$B$2)</f>
        <v>宿題をやっていない日がありました。注意をしてもめげないところが良いです。宿題の提出率８１％…ギリギリAです…。</v>
      </c>
    </row>
    <row r="6" spans="1:3" ht="67.5" customHeight="1">
      <c r="A6" s="65" t="s">
        <v>0</v>
      </c>
      <c r="B6" s="66">
        <f ca="1">OFFSET(算数!C12,0,$B$2)</f>
        <v>4</v>
      </c>
      <c r="C6" s="67">
        <f ca="1">INDIRECT("'算数'!B"&amp;14+$B$2)</f>
        <v>0</v>
      </c>
    </row>
    <row r="7" spans="1:3" ht="67.5" customHeight="1">
      <c r="A7" s="62" t="s">
        <v>47</v>
      </c>
      <c r="B7" s="63">
        <f ca="1">OFFSET(理科!C12,0,$B$2)</f>
        <v>4</v>
      </c>
      <c r="C7" s="64">
        <f ca="1">INDIRECT("'理科'!B"&amp;14+$B$2)</f>
        <v>0</v>
      </c>
    </row>
    <row r="8" spans="1:3" ht="67.5" customHeight="1">
      <c r="A8" s="62" t="s">
        <v>48</v>
      </c>
      <c r="B8" s="63">
        <f ca="1">OFFSET(社会!C12,0,$B$2)</f>
        <v>5</v>
      </c>
      <c r="C8" s="64">
        <f ca="1">INDIRECT("'社会'!B"&amp;14+$B$2)</f>
        <v>0</v>
      </c>
    </row>
    <row r="9" spans="1:3" ht="67.5" customHeight="1">
      <c r="A9" s="65" t="s">
        <v>9</v>
      </c>
      <c r="B9" s="66" t="str">
        <f ca="1">OFFSET(英語!C12,0,$B$2)</f>
        <v>5</v>
      </c>
      <c r="C9" s="67" t="str">
        <f ca="1">INDIRECT("'英語'!B"&amp;14+$B$2)</f>
        <v>宿題提出率88％　積極的に授業に参加し、授業の中で理解を深めようとしています。アドバンスに行ける力があります。</v>
      </c>
    </row>
    <row r="10" spans="1:3" ht="67.5" customHeight="1">
      <c r="A10" s="62" t="s">
        <v>3</v>
      </c>
      <c r="B10" s="63">
        <f ca="1">OFFSET(音楽!C12,0,$B$2)</f>
        <v>4</v>
      </c>
      <c r="C10" s="64">
        <f ca="1">INDIRECT("'音楽'!B"&amp;14+$B$2)</f>
        <v>0</v>
      </c>
    </row>
    <row r="11" spans="1:3" ht="67.5" customHeight="1">
      <c r="A11" s="65" t="s">
        <v>1</v>
      </c>
      <c r="B11" s="66">
        <f ca="1">OFFSET(図工!C12,0,$B$2)</f>
        <v>4</v>
      </c>
      <c r="C11" s="67">
        <f ca="1">INDIRECT("'図工'!B"&amp;14+$B$2)</f>
        <v>0</v>
      </c>
    </row>
    <row r="12" spans="1:3" ht="67.5" customHeight="1">
      <c r="A12" s="62" t="s">
        <v>50</v>
      </c>
      <c r="B12" s="63">
        <f ca="1">OFFSET(家庭!C12,0,$B$2)</f>
        <v>3</v>
      </c>
      <c r="C12" s="64" t="str">
        <f ca="1">INDIRECT("'家庭'!B"&amp;14+$B$2)</f>
        <v>【まとめテスト８９点A、GWレポートA、裁縫A、調理実習レポートB、ノートB】
去年よりも、家庭科に対するやる気が感じられ、とても嬉しく思う。しかし、ノートではなく板書を教科書に書いたり、友だちと私語をする姿も度々見られる。ミシンでの巾着作りでは、休み時間も熱心に取り組み、一番に仕上げることができた。</v>
      </c>
    </row>
    <row r="13" spans="1:3" ht="67.5" customHeight="1">
      <c r="A13" s="62" t="s">
        <v>2</v>
      </c>
      <c r="B13" s="63">
        <f ca="1">OFFSET(体育!C12,0,$B$2)</f>
        <v>4</v>
      </c>
      <c r="C13" s="64">
        <f ca="1">INDIRECT("'体育'!B"&amp;14+$B$2)</f>
        <v>0</v>
      </c>
    </row>
    <row r="14" spans="1:3" ht="67.5" customHeight="1">
      <c r="A14" s="62" t="s">
        <v>24</v>
      </c>
      <c r="B14" s="151" t="str">
        <f ca="1">INDIRECT("'道徳'!B"&amp;2+$B$2)</f>
        <v>学年目標の「仁」の体現を求め、集団生活の場である学校生活の場面において、友達との関わりや役割分担などで人間関係の在り方を考え、修正し、向上させてきました。また体育祭や研修旅行を通して、その成果を体現してきました。教室でもコミュニケーションの取り方や人としての在り方について教材を通して考えてきました。</v>
      </c>
      <c r="C14" s="152"/>
    </row>
    <row r="15" spans="1:3" ht="15" customHeight="1">
      <c r="C15" s="68"/>
    </row>
    <row r="16" spans="1:3" ht="188.25" customHeight="1">
      <c r="A16" s="23" t="s">
        <v>11</v>
      </c>
      <c r="B16" s="69"/>
      <c r="C16" s="64" t="str">
        <f ca="1">INDIRECT("'所見'!B"&amp;通知票!$Q$5+$B$2)</f>
        <v>６年生としての目標を「ロッカーや引き出しの整理をする。提出物や字をきれいにする」とし、そのために一学期では「みんなに信頼される人」になることを目標としてきました。一学期は学級三役に立候補し、書記として学級会では前に立って進めました。途中から自覚を促すために「日直係」をして学級全体を見るようにしてきました。朝の会や帰りの会の司会進行を務め、学級全体に声を掛けることができています。また社会係や体育委員として宿題チェックや体育祭でのラジオ体操など、やるべきことをきちんとできています。休み時間は外に出て友達と遊んだり、時には談笑している姿をよく見かけます。友達関係では承認欲求が強いようで、時にはちょっかいを出したり、甘える姿もありますが、注意されると素直に謝ることができます。ロッカーの整頓はよくできていて、乱れることが少なくなりました。机の中も引き出しがない現在は整頓ができています。学習面では家庭科から昨年度よりもやる気が感じられると評価され、全体的に少し落ち着いて前向きに学習に取り組んでいます。図工の光の塔でも自分なりの工夫をして物語性のある作品にしました。期末テストに向けても計画的に学習を進め、学年7位という好成績を残しました。どの教科でもまだ私語が多い点は指摘されているので、けじめをつけて自分の意見を言うときと思い付きを口にするときの区別をしていきましょう。二学期、小学生最後のさいきょう祭があります。陽翔くんの明るく積極的な姿勢で、元気のいい作品にしていきましょう。</v>
      </c>
    </row>
  </sheetData>
  <mergeCells count="2">
    <mergeCell ref="A1:B1"/>
    <mergeCell ref="B14:C14"/>
  </mergeCells>
  <phoneticPr fontId="1"/>
  <conditionalFormatting sqref="C16 C5:C7 C9:C11 C13">
    <cfRule type="cellIs" dxfId="26" priority="3" stopIfTrue="1" operator="equal">
      <formula>0</formula>
    </cfRule>
  </conditionalFormatting>
  <conditionalFormatting sqref="C8">
    <cfRule type="cellIs" dxfId="25" priority="2" stopIfTrue="1" operator="equal">
      <formula>0</formula>
    </cfRule>
  </conditionalFormatting>
  <conditionalFormatting sqref="C12">
    <cfRule type="cellIs" dxfId="24"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90"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６－２</v>
      </c>
      <c r="B1" s="34" t="str">
        <f ca="1">RIGHT(CELL("filename",B1),LEN(CELL("filename",B1))-FIND("]",CELL("filename",B1)))</f>
        <v>国語</v>
      </c>
      <c r="C1" s="35" t="s">
        <v>25</v>
      </c>
      <c r="D1" s="36" t="str">
        <f>A15</f>
        <v>石田 真悠</v>
      </c>
      <c r="E1" s="36" t="str">
        <f>A16</f>
        <v>小口 慧乃</v>
      </c>
      <c r="F1" s="36" t="str">
        <f>A17</f>
        <v>小口 純聖</v>
      </c>
      <c r="G1" s="36" t="str">
        <f>A18</f>
        <v>上島 快斗</v>
      </c>
      <c r="H1" s="36" t="str">
        <f>A19</f>
        <v>鴨居 史佳</v>
      </c>
      <c r="I1" s="36" t="str">
        <f>A20</f>
        <v>小山 聡介</v>
      </c>
      <c r="J1" s="36" t="str">
        <f>A21</f>
        <v>鈴木 哲生</v>
      </c>
      <c r="K1" s="36" t="str">
        <f>A22</f>
        <v>武田 彩愛</v>
      </c>
      <c r="L1" s="36" t="str">
        <f>A23</f>
        <v>龍口 瑞希</v>
      </c>
      <c r="M1" s="36" t="str">
        <f>A24</f>
        <v>畠山 久奈</v>
      </c>
      <c r="N1" s="36" t="str">
        <f>A25</f>
        <v>藤原 一之祐</v>
      </c>
      <c r="O1" s="36" t="str">
        <f>A26</f>
        <v>丸山 心海</v>
      </c>
      <c r="P1" s="36" t="str">
        <f>A27</f>
        <v>南澤 志朋</v>
      </c>
      <c r="Q1" s="36" t="str">
        <f>A28</f>
        <v>宮坂 陽香</v>
      </c>
      <c r="R1" s="36" t="str">
        <f>A29</f>
        <v>師岡 慧</v>
      </c>
      <c r="S1" s="36" t="str">
        <f>A30</f>
        <v>山﨑 茉綾</v>
      </c>
      <c r="T1" s="36" t="str">
        <f>A31</f>
        <v>山田 英一</v>
      </c>
      <c r="U1" s="36" t="str">
        <f>A32</f>
        <v>山田 陽翔</v>
      </c>
      <c r="V1" s="36">
        <f>A33</f>
        <v>0</v>
      </c>
      <c r="W1" s="36">
        <f>A34</f>
        <v>0</v>
      </c>
      <c r="X1" s="36">
        <f>A35</f>
        <v>0</v>
      </c>
      <c r="Y1" s="36">
        <f>A36</f>
        <v>0</v>
      </c>
      <c r="Z1" s="36">
        <f>A37</f>
        <v>0</v>
      </c>
      <c r="AA1" s="36">
        <f>A38</f>
        <v>0</v>
      </c>
      <c r="AB1" s="36">
        <f>A39</f>
        <v>0</v>
      </c>
      <c r="AC1" s="37"/>
    </row>
    <row r="2" spans="1:30" ht="22.5" customHeight="1">
      <c r="A2" s="156" t="s">
        <v>201</v>
      </c>
      <c r="B2" s="73" t="s">
        <v>56</v>
      </c>
      <c r="C2" s="38" t="s">
        <v>26</v>
      </c>
      <c r="D2" s="39" t="s">
        <v>202</v>
      </c>
      <c r="E2" s="39" t="s">
        <v>203</v>
      </c>
      <c r="F2" s="39" t="s">
        <v>204</v>
      </c>
      <c r="G2" s="39" t="s">
        <v>205</v>
      </c>
      <c r="H2" s="39" t="s">
        <v>206</v>
      </c>
      <c r="I2" s="39" t="s">
        <v>207</v>
      </c>
      <c r="J2" s="39" t="s">
        <v>208</v>
      </c>
      <c r="K2" s="39" t="s">
        <v>203</v>
      </c>
      <c r="L2" s="39" t="s">
        <v>209</v>
      </c>
      <c r="M2" s="39" t="s">
        <v>205</v>
      </c>
      <c r="N2" s="39" t="s">
        <v>203</v>
      </c>
      <c r="O2" s="39" t="s">
        <v>203</v>
      </c>
      <c r="P2" s="39" t="s">
        <v>206</v>
      </c>
      <c r="Q2" s="39" t="s">
        <v>206</v>
      </c>
      <c r="R2" s="39" t="s">
        <v>202</v>
      </c>
      <c r="S2" s="39" t="s">
        <v>206</v>
      </c>
      <c r="T2" s="39" t="s">
        <v>210</v>
      </c>
      <c r="U2" s="39" t="s">
        <v>206</v>
      </c>
      <c r="V2" s="39"/>
      <c r="W2" s="39"/>
      <c r="X2" s="39"/>
      <c r="Y2" s="39"/>
      <c r="Z2" s="39"/>
      <c r="AA2" s="39"/>
      <c r="AB2" s="39"/>
      <c r="AC2" s="40" t="s">
        <v>206</v>
      </c>
      <c r="AD2" s="40">
        <v>1</v>
      </c>
    </row>
    <row r="3" spans="1:30" ht="22.5" customHeight="1">
      <c r="A3" s="157"/>
      <c r="B3" s="73" t="s">
        <v>58</v>
      </c>
      <c r="C3" s="38" t="s">
        <v>26</v>
      </c>
      <c r="D3" s="39" t="s">
        <v>206</v>
      </c>
      <c r="E3" s="39" t="s">
        <v>206</v>
      </c>
      <c r="F3" s="39" t="s">
        <v>210</v>
      </c>
      <c r="G3" s="39" t="s">
        <v>206</v>
      </c>
      <c r="H3" s="39" t="s">
        <v>206</v>
      </c>
      <c r="I3" s="39" t="s">
        <v>206</v>
      </c>
      <c r="J3" s="39" t="s">
        <v>208</v>
      </c>
      <c r="K3" s="39" t="s">
        <v>210</v>
      </c>
      <c r="L3" s="39" t="s">
        <v>206</v>
      </c>
      <c r="M3" s="39" t="s">
        <v>210</v>
      </c>
      <c r="N3" s="39" t="s">
        <v>207</v>
      </c>
      <c r="O3" s="39" t="s">
        <v>206</v>
      </c>
      <c r="P3" s="39" t="s">
        <v>206</v>
      </c>
      <c r="Q3" s="39" t="s">
        <v>206</v>
      </c>
      <c r="R3" s="39" t="s">
        <v>206</v>
      </c>
      <c r="S3" s="39" t="s">
        <v>207</v>
      </c>
      <c r="T3" s="39" t="s">
        <v>207</v>
      </c>
      <c r="U3" s="39" t="s">
        <v>207</v>
      </c>
      <c r="V3" s="39"/>
      <c r="W3" s="39"/>
      <c r="X3" s="39"/>
      <c r="Y3" s="39"/>
      <c r="Z3" s="39"/>
      <c r="AA3" s="39"/>
      <c r="AB3" s="39"/>
      <c r="AC3" s="40" t="s">
        <v>210</v>
      </c>
      <c r="AD3" s="40">
        <v>2</v>
      </c>
    </row>
    <row r="4" spans="1:30" ht="22.5" customHeight="1">
      <c r="A4" s="157"/>
      <c r="B4" s="73" t="s">
        <v>59</v>
      </c>
      <c r="C4" s="38" t="s">
        <v>26</v>
      </c>
      <c r="D4" s="39" t="s">
        <v>206</v>
      </c>
      <c r="E4" s="39" t="s">
        <v>206</v>
      </c>
      <c r="F4" s="39" t="s">
        <v>208</v>
      </c>
      <c r="G4" s="39" t="s">
        <v>207</v>
      </c>
      <c r="H4" s="39" t="s">
        <v>206</v>
      </c>
      <c r="I4" s="39" t="s">
        <v>206</v>
      </c>
      <c r="J4" s="39" t="s">
        <v>206</v>
      </c>
      <c r="K4" s="39" t="s">
        <v>206</v>
      </c>
      <c r="L4" s="39" t="s">
        <v>206</v>
      </c>
      <c r="M4" s="39" t="s">
        <v>206</v>
      </c>
      <c r="N4" s="39" t="s">
        <v>210</v>
      </c>
      <c r="O4" s="39" t="s">
        <v>210</v>
      </c>
      <c r="P4" s="39" t="s">
        <v>206</v>
      </c>
      <c r="Q4" s="39" t="s">
        <v>206</v>
      </c>
      <c r="R4" s="39" t="s">
        <v>206</v>
      </c>
      <c r="S4" s="39" t="s">
        <v>206</v>
      </c>
      <c r="T4" s="39" t="s">
        <v>207</v>
      </c>
      <c r="U4" s="39" t="s">
        <v>210</v>
      </c>
      <c r="V4" s="39"/>
      <c r="W4" s="39"/>
      <c r="X4" s="39"/>
      <c r="Y4" s="39"/>
      <c r="Z4" s="39"/>
      <c r="AA4" s="39"/>
      <c r="AB4" s="39"/>
      <c r="AC4" s="40" t="s">
        <v>208</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211</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211</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5</v>
      </c>
      <c r="E12" s="39">
        <v>4</v>
      </c>
      <c r="F12" s="39">
        <v>2</v>
      </c>
      <c r="G12" s="39">
        <v>4</v>
      </c>
      <c r="H12" s="39">
        <v>5</v>
      </c>
      <c r="I12" s="39">
        <v>5</v>
      </c>
      <c r="J12" s="39">
        <v>2</v>
      </c>
      <c r="K12" s="39">
        <v>3</v>
      </c>
      <c r="L12" s="39">
        <v>3</v>
      </c>
      <c r="M12" s="39">
        <v>3</v>
      </c>
      <c r="N12" s="39">
        <v>3</v>
      </c>
      <c r="O12" s="39">
        <v>3</v>
      </c>
      <c r="P12" s="39">
        <v>5</v>
      </c>
      <c r="Q12" s="39">
        <v>5</v>
      </c>
      <c r="R12" s="39">
        <v>5</v>
      </c>
      <c r="S12" s="39">
        <v>5</v>
      </c>
      <c r="T12" s="39">
        <v>4</v>
      </c>
      <c r="U12" s="39">
        <v>4</v>
      </c>
      <c r="V12" s="39"/>
      <c r="W12" s="39"/>
      <c r="X12" s="39"/>
      <c r="Y12" s="39"/>
      <c r="Z12" s="39"/>
      <c r="AA12" s="39"/>
      <c r="AB12" s="39"/>
    </row>
    <row r="13" spans="1:30" ht="26.25" customHeight="1">
      <c r="A13" s="44"/>
      <c r="B13" s="44"/>
      <c r="C13" s="76" t="s">
        <v>51</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60</v>
      </c>
      <c r="B15" s="153" t="s">
        <v>61</v>
      </c>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62</v>
      </c>
      <c r="B16" s="153" t="s">
        <v>63</v>
      </c>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64</v>
      </c>
      <c r="B17" s="153" t="s">
        <v>65</v>
      </c>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66</v>
      </c>
      <c r="B18" s="153" t="s">
        <v>67</v>
      </c>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68</v>
      </c>
      <c r="B19" s="153" t="s">
        <v>69</v>
      </c>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70</v>
      </c>
      <c r="B20" s="153" t="s">
        <v>71</v>
      </c>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72</v>
      </c>
      <c r="B21" s="153" t="s">
        <v>73</v>
      </c>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74</v>
      </c>
      <c r="B22" s="153" t="s">
        <v>75</v>
      </c>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76</v>
      </c>
      <c r="B23" s="153" t="s">
        <v>77</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78</v>
      </c>
      <c r="B24" s="153" t="s">
        <v>79</v>
      </c>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80</v>
      </c>
      <c r="B25" s="153" t="s">
        <v>81</v>
      </c>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82</v>
      </c>
      <c r="B26" s="153" t="s">
        <v>83</v>
      </c>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84</v>
      </c>
      <c r="B27" s="153" t="s">
        <v>85</v>
      </c>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86</v>
      </c>
      <c r="B28" s="153" t="s">
        <v>87</v>
      </c>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88</v>
      </c>
      <c r="B29" s="153" t="s">
        <v>89</v>
      </c>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90</v>
      </c>
      <c r="B30" s="153" t="s">
        <v>91</v>
      </c>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92</v>
      </c>
      <c r="B31" s="153" t="s">
        <v>93</v>
      </c>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94</v>
      </c>
      <c r="B32" s="153" t="s">
        <v>95</v>
      </c>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A2:A12"/>
    <mergeCell ref="B14:AB14"/>
    <mergeCell ref="B15:AB15"/>
    <mergeCell ref="B16:AB16"/>
    <mergeCell ref="B17:AB17"/>
    <mergeCell ref="B18:AB18"/>
    <mergeCell ref="B19:AB19"/>
    <mergeCell ref="B20:AB20"/>
    <mergeCell ref="B21:AB21"/>
    <mergeCell ref="B22:AB22"/>
    <mergeCell ref="B23:AB23"/>
    <mergeCell ref="B24:AB24"/>
    <mergeCell ref="B25:AB25"/>
    <mergeCell ref="B26:AB26"/>
    <mergeCell ref="B27:AB27"/>
    <mergeCell ref="B28:AB28"/>
    <mergeCell ref="B29:AB29"/>
    <mergeCell ref="B30:AB30"/>
    <mergeCell ref="B31:AB31"/>
    <mergeCell ref="B37:AB37"/>
    <mergeCell ref="B32:AB32"/>
    <mergeCell ref="B33:AB33"/>
    <mergeCell ref="B34:AB34"/>
    <mergeCell ref="B35:AB35"/>
    <mergeCell ref="B36:AB36"/>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６－２</v>
      </c>
      <c r="B1" s="34" t="str">
        <f ca="1">RIGHT(CELL("filename",B1),LEN(CELL("filename",B1))-FIND("]",CELL("filename",B1)))</f>
        <v>算数</v>
      </c>
      <c r="C1" s="35" t="s">
        <v>25</v>
      </c>
      <c r="D1" s="36" t="str">
        <f>A15</f>
        <v>石田 真悠</v>
      </c>
      <c r="E1" s="36" t="str">
        <f>A16</f>
        <v>小口 慧乃</v>
      </c>
      <c r="F1" s="36" t="str">
        <f>A17</f>
        <v>小口 純聖</v>
      </c>
      <c r="G1" s="36" t="str">
        <f>A18</f>
        <v>上島 快斗</v>
      </c>
      <c r="H1" s="36" t="str">
        <f>A19</f>
        <v>鴨居 史佳</v>
      </c>
      <c r="I1" s="36" t="str">
        <f>A20</f>
        <v>小山 聡介</v>
      </c>
      <c r="J1" s="36" t="str">
        <f>A21</f>
        <v>鈴木 哲生</v>
      </c>
      <c r="K1" s="36" t="str">
        <f>A22</f>
        <v>武田 彩愛</v>
      </c>
      <c r="L1" s="36" t="str">
        <f>A23</f>
        <v>龍口 瑞希</v>
      </c>
      <c r="M1" s="36" t="str">
        <f>A24</f>
        <v>畠山 久奈</v>
      </c>
      <c r="N1" s="36" t="str">
        <f>A25</f>
        <v>藤原 一之祐</v>
      </c>
      <c r="O1" s="36" t="str">
        <f>A26</f>
        <v>丸山 心海</v>
      </c>
      <c r="P1" s="36" t="str">
        <f>A27</f>
        <v>南澤 志朋</v>
      </c>
      <c r="Q1" s="36" t="str">
        <f>A28</f>
        <v>宮坂 陽香</v>
      </c>
      <c r="R1" s="36" t="str">
        <f>A29</f>
        <v>師岡 慧</v>
      </c>
      <c r="S1" s="36" t="str">
        <f>A30</f>
        <v>山﨑 茉綾</v>
      </c>
      <c r="T1" s="36" t="str">
        <f>A31</f>
        <v>山田 英一</v>
      </c>
      <c r="U1" s="36" t="str">
        <f>A32</f>
        <v>山田 陽翔</v>
      </c>
      <c r="V1" s="36">
        <f>A33</f>
        <v>0</v>
      </c>
      <c r="W1" s="36">
        <f>A34</f>
        <v>0</v>
      </c>
      <c r="X1" s="36">
        <f>A35</f>
        <v>0</v>
      </c>
      <c r="Y1" s="36">
        <f>A36</f>
        <v>0</v>
      </c>
      <c r="Z1" s="36">
        <f>A37</f>
        <v>0</v>
      </c>
      <c r="AA1" s="36">
        <f>A38</f>
        <v>0</v>
      </c>
      <c r="AB1" s="36">
        <f>A39</f>
        <v>0</v>
      </c>
      <c r="AC1" s="37"/>
    </row>
    <row r="2" spans="1:30" ht="22.5" customHeight="1">
      <c r="A2" s="156" t="s">
        <v>212</v>
      </c>
      <c r="B2" s="73" t="s">
        <v>52</v>
      </c>
      <c r="C2" s="38" t="s">
        <v>26</v>
      </c>
      <c r="D2" s="39" t="s">
        <v>46</v>
      </c>
      <c r="E2" s="39" t="s">
        <v>46</v>
      </c>
      <c r="F2" s="39" t="s">
        <v>45</v>
      </c>
      <c r="G2" s="39" t="s">
        <v>46</v>
      </c>
      <c r="H2" s="39" t="s">
        <v>46</v>
      </c>
      <c r="I2" s="39" t="s">
        <v>46</v>
      </c>
      <c r="J2" s="39" t="s">
        <v>46</v>
      </c>
      <c r="K2" s="39" t="s">
        <v>45</v>
      </c>
      <c r="L2" s="39" t="s">
        <v>46</v>
      </c>
      <c r="M2" s="39" t="s">
        <v>45</v>
      </c>
      <c r="N2" s="39" t="s">
        <v>45</v>
      </c>
      <c r="O2" s="39" t="s">
        <v>45</v>
      </c>
      <c r="P2" s="39" t="s">
        <v>46</v>
      </c>
      <c r="Q2" s="39" t="s">
        <v>46</v>
      </c>
      <c r="R2" s="39" t="s">
        <v>46</v>
      </c>
      <c r="S2" s="39" t="s">
        <v>46</v>
      </c>
      <c r="T2" s="39" t="s">
        <v>46</v>
      </c>
      <c r="U2" s="39" t="s">
        <v>46</v>
      </c>
      <c r="V2" s="39"/>
      <c r="W2" s="39"/>
      <c r="X2" s="39"/>
      <c r="Y2" s="39"/>
      <c r="Z2" s="39"/>
      <c r="AA2" s="39"/>
      <c r="AB2" s="39"/>
      <c r="AC2" s="40" t="s">
        <v>213</v>
      </c>
      <c r="AD2" s="40">
        <v>1</v>
      </c>
    </row>
    <row r="3" spans="1:30" ht="22.5" customHeight="1">
      <c r="A3" s="157"/>
      <c r="B3" s="73" t="s">
        <v>214</v>
      </c>
      <c r="C3" s="38" t="s">
        <v>26</v>
      </c>
      <c r="D3" s="39" t="s">
        <v>46</v>
      </c>
      <c r="E3" s="39" t="s">
        <v>46</v>
      </c>
      <c r="F3" s="39" t="s">
        <v>45</v>
      </c>
      <c r="G3" s="39" t="s">
        <v>45</v>
      </c>
      <c r="H3" s="39" t="s">
        <v>46</v>
      </c>
      <c r="I3" s="39" t="s">
        <v>46</v>
      </c>
      <c r="J3" s="39" t="s">
        <v>46</v>
      </c>
      <c r="K3" s="39" t="s">
        <v>45</v>
      </c>
      <c r="L3" s="39" t="s">
        <v>45</v>
      </c>
      <c r="M3" s="39" t="s">
        <v>45</v>
      </c>
      <c r="N3" s="39" t="s">
        <v>45</v>
      </c>
      <c r="O3" s="39" t="s">
        <v>45</v>
      </c>
      <c r="P3" s="39" t="s">
        <v>46</v>
      </c>
      <c r="Q3" s="39" t="s">
        <v>46</v>
      </c>
      <c r="R3" s="39" t="s">
        <v>46</v>
      </c>
      <c r="S3" s="39" t="s">
        <v>46</v>
      </c>
      <c r="T3" s="39" t="s">
        <v>46</v>
      </c>
      <c r="U3" s="39" t="s">
        <v>46</v>
      </c>
      <c r="V3" s="39"/>
      <c r="W3" s="39"/>
      <c r="X3" s="39"/>
      <c r="Y3" s="39"/>
      <c r="Z3" s="39"/>
      <c r="AA3" s="39"/>
      <c r="AB3" s="39"/>
      <c r="AC3" s="40" t="s">
        <v>215</v>
      </c>
      <c r="AD3" s="40">
        <v>2</v>
      </c>
    </row>
    <row r="4" spans="1:30" ht="22.5" customHeight="1">
      <c r="A4" s="157"/>
      <c r="B4" s="73" t="s">
        <v>216</v>
      </c>
      <c r="C4" s="38" t="s">
        <v>26</v>
      </c>
      <c r="D4" s="39" t="s">
        <v>46</v>
      </c>
      <c r="E4" s="39" t="s">
        <v>46</v>
      </c>
      <c r="F4" s="39" t="s">
        <v>49</v>
      </c>
      <c r="G4" s="39" t="s">
        <v>46</v>
      </c>
      <c r="H4" s="39" t="s">
        <v>46</v>
      </c>
      <c r="I4" s="39" t="s">
        <v>46</v>
      </c>
      <c r="J4" s="39" t="s">
        <v>46</v>
      </c>
      <c r="K4" s="39" t="s">
        <v>45</v>
      </c>
      <c r="L4" s="39" t="s">
        <v>45</v>
      </c>
      <c r="M4" s="39" t="s">
        <v>46</v>
      </c>
      <c r="N4" s="39" t="s">
        <v>45</v>
      </c>
      <c r="O4" s="39" t="s">
        <v>45</v>
      </c>
      <c r="P4" s="39" t="s">
        <v>46</v>
      </c>
      <c r="Q4" s="39" t="s">
        <v>45</v>
      </c>
      <c r="R4" s="39" t="s">
        <v>46</v>
      </c>
      <c r="S4" s="39" t="s">
        <v>46</v>
      </c>
      <c r="T4" s="39" t="s">
        <v>46</v>
      </c>
      <c r="U4" s="39" t="s">
        <v>45</v>
      </c>
      <c r="V4" s="39"/>
      <c r="W4" s="39"/>
      <c r="X4" s="39"/>
      <c r="Y4" s="39"/>
      <c r="Z4" s="39"/>
      <c r="AA4" s="39"/>
      <c r="AB4" s="39"/>
      <c r="AC4" s="40" t="s">
        <v>208</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217</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218</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5</v>
      </c>
      <c r="E12" s="39">
        <v>5</v>
      </c>
      <c r="F12" s="39">
        <v>3</v>
      </c>
      <c r="G12" s="39">
        <v>4</v>
      </c>
      <c r="H12" s="39">
        <v>5</v>
      </c>
      <c r="I12" s="39">
        <v>5</v>
      </c>
      <c r="J12" s="39">
        <v>5</v>
      </c>
      <c r="K12" s="39">
        <v>3</v>
      </c>
      <c r="L12" s="39">
        <v>4</v>
      </c>
      <c r="M12" s="39">
        <v>3</v>
      </c>
      <c r="N12" s="39">
        <v>3</v>
      </c>
      <c r="O12" s="39">
        <v>3</v>
      </c>
      <c r="P12" s="39">
        <v>5</v>
      </c>
      <c r="Q12" s="39">
        <v>4</v>
      </c>
      <c r="R12" s="39">
        <v>5</v>
      </c>
      <c r="S12" s="39">
        <v>5</v>
      </c>
      <c r="T12" s="39">
        <v>5</v>
      </c>
      <c r="U12" s="39">
        <v>4</v>
      </c>
      <c r="V12" s="39"/>
      <c r="W12" s="39"/>
      <c r="X12" s="39"/>
      <c r="Y12" s="39"/>
      <c r="Z12" s="39"/>
      <c r="AA12" s="39"/>
      <c r="AB12" s="39"/>
    </row>
    <row r="13" spans="1:30" ht="26.25" customHeight="1">
      <c r="A13" s="44"/>
      <c r="B13" s="44"/>
      <c r="C13" s="76" t="s">
        <v>51</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60</v>
      </c>
      <c r="B15" s="153"/>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62</v>
      </c>
      <c r="B16" s="153"/>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64</v>
      </c>
      <c r="B17" s="153"/>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66</v>
      </c>
      <c r="B18" s="153"/>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68</v>
      </c>
      <c r="B19" s="153"/>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70</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72</v>
      </c>
      <c r="B21" s="153"/>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74</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76</v>
      </c>
      <c r="B23" s="153"/>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78</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80</v>
      </c>
      <c r="B25" s="153"/>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82</v>
      </c>
      <c r="B26" s="153"/>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84</v>
      </c>
      <c r="B27" s="153"/>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86</v>
      </c>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88</v>
      </c>
      <c r="B29" s="153"/>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90</v>
      </c>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92</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94</v>
      </c>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A2:A12"/>
    <mergeCell ref="B14:AB14"/>
    <mergeCell ref="B15:AB15"/>
    <mergeCell ref="B16:AB16"/>
    <mergeCell ref="B17:AB17"/>
    <mergeCell ref="B18:AB18"/>
    <mergeCell ref="B19:AB19"/>
    <mergeCell ref="B20:AB20"/>
    <mergeCell ref="B21:AB21"/>
    <mergeCell ref="B22:AB22"/>
    <mergeCell ref="B23:AB23"/>
    <mergeCell ref="B24:AB24"/>
    <mergeCell ref="B25:AB25"/>
    <mergeCell ref="B26:AB26"/>
    <mergeCell ref="B27:AB27"/>
    <mergeCell ref="B28:AB28"/>
    <mergeCell ref="B29:AB29"/>
    <mergeCell ref="B30:AB30"/>
    <mergeCell ref="B31:AB31"/>
    <mergeCell ref="B37:AB37"/>
    <mergeCell ref="B32:AB32"/>
    <mergeCell ref="B33:AB33"/>
    <mergeCell ref="B34:AB34"/>
    <mergeCell ref="B35:AB35"/>
    <mergeCell ref="B36:AB36"/>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６－２</v>
      </c>
      <c r="B1" s="34" t="str">
        <f ca="1">RIGHT(CELL("filename",B1),LEN(CELL("filename",B1))-FIND("]",CELL("filename",B1)))</f>
        <v>理科</v>
      </c>
      <c r="C1" s="35" t="s">
        <v>25</v>
      </c>
      <c r="D1" s="36" t="str">
        <f>A15</f>
        <v>石田 真悠</v>
      </c>
      <c r="E1" s="36" t="str">
        <f>A16</f>
        <v>小口 慧乃</v>
      </c>
      <c r="F1" s="36" t="str">
        <f>A17</f>
        <v>小口 純聖</v>
      </c>
      <c r="G1" s="36" t="str">
        <f>A18</f>
        <v>上島 快斗</v>
      </c>
      <c r="H1" s="36" t="str">
        <f>A19</f>
        <v>鴨居 史佳</v>
      </c>
      <c r="I1" s="36" t="str">
        <f>A20</f>
        <v>小山 聡介</v>
      </c>
      <c r="J1" s="36" t="str">
        <f>A21</f>
        <v>鈴木 哲生</v>
      </c>
      <c r="K1" s="36" t="str">
        <f>A22</f>
        <v>武田 彩愛</v>
      </c>
      <c r="L1" s="36" t="str">
        <f>A23</f>
        <v>龍口 瑞希</v>
      </c>
      <c r="M1" s="36" t="str">
        <f>A24</f>
        <v>畠山 久奈</v>
      </c>
      <c r="N1" s="36" t="str">
        <f>A25</f>
        <v>藤原 一之祐</v>
      </c>
      <c r="O1" s="36" t="str">
        <f>A26</f>
        <v>丸山 心海</v>
      </c>
      <c r="P1" s="36" t="str">
        <f>A27</f>
        <v>南澤 志朋</v>
      </c>
      <c r="Q1" s="36" t="str">
        <f>A28</f>
        <v>宮坂 陽香</v>
      </c>
      <c r="R1" s="36" t="str">
        <f>A29</f>
        <v>師岡 慧</v>
      </c>
      <c r="S1" s="36" t="str">
        <f>A30</f>
        <v>山﨑 茉綾</v>
      </c>
      <c r="T1" s="36" t="str">
        <f>A31</f>
        <v>山田 英一</v>
      </c>
      <c r="U1" s="36" t="str">
        <f>A32</f>
        <v>山田 陽翔</v>
      </c>
      <c r="V1" s="36">
        <f>A33</f>
        <v>0</v>
      </c>
      <c r="W1" s="36">
        <f>A34</f>
        <v>0</v>
      </c>
      <c r="X1" s="36">
        <f>A35</f>
        <v>0</v>
      </c>
      <c r="Y1" s="36">
        <f>A36</f>
        <v>0</v>
      </c>
      <c r="Z1" s="36">
        <f>A37</f>
        <v>0</v>
      </c>
      <c r="AA1" s="36">
        <f>A38</f>
        <v>0</v>
      </c>
      <c r="AB1" s="36">
        <f>A39</f>
        <v>0</v>
      </c>
      <c r="AC1" s="37"/>
    </row>
    <row r="2" spans="1:30" ht="22.5" customHeight="1">
      <c r="A2" s="156" t="s">
        <v>219</v>
      </c>
      <c r="B2" s="73" t="s">
        <v>97</v>
      </c>
      <c r="C2" s="38" t="s">
        <v>26</v>
      </c>
      <c r="D2" s="39" t="s">
        <v>46</v>
      </c>
      <c r="E2" s="39" t="s">
        <v>46</v>
      </c>
      <c r="F2" s="39" t="s">
        <v>45</v>
      </c>
      <c r="G2" s="39" t="s">
        <v>45</v>
      </c>
      <c r="H2" s="39" t="s">
        <v>46</v>
      </c>
      <c r="I2" s="39" t="s">
        <v>46</v>
      </c>
      <c r="J2" s="39" t="s">
        <v>46</v>
      </c>
      <c r="K2" s="39" t="s">
        <v>46</v>
      </c>
      <c r="L2" s="39" t="s">
        <v>46</v>
      </c>
      <c r="M2" s="39" t="s">
        <v>46</v>
      </c>
      <c r="N2" s="39" t="s">
        <v>45</v>
      </c>
      <c r="O2" s="39" t="s">
        <v>45</v>
      </c>
      <c r="P2" s="39" t="s">
        <v>46</v>
      </c>
      <c r="Q2" s="39" t="s">
        <v>46</v>
      </c>
      <c r="R2" s="39" t="s">
        <v>46</v>
      </c>
      <c r="S2" s="39" t="s">
        <v>46</v>
      </c>
      <c r="T2" s="39" t="s">
        <v>46</v>
      </c>
      <c r="U2" s="39" t="s">
        <v>46</v>
      </c>
      <c r="V2" s="39"/>
      <c r="W2" s="39"/>
      <c r="X2" s="39"/>
      <c r="Y2" s="39"/>
      <c r="Z2" s="39"/>
      <c r="AA2" s="39"/>
      <c r="AB2" s="39"/>
      <c r="AC2" s="40" t="s">
        <v>220</v>
      </c>
      <c r="AD2" s="40">
        <v>1</v>
      </c>
    </row>
    <row r="3" spans="1:30" ht="22.5" customHeight="1">
      <c r="A3" s="157"/>
      <c r="B3" s="73" t="s">
        <v>98</v>
      </c>
      <c r="C3" s="38" t="s">
        <v>26</v>
      </c>
      <c r="D3" s="39" t="s">
        <v>46</v>
      </c>
      <c r="E3" s="39" t="s">
        <v>46</v>
      </c>
      <c r="F3" s="39" t="s">
        <v>49</v>
      </c>
      <c r="G3" s="39" t="s">
        <v>46</v>
      </c>
      <c r="H3" s="39" t="s">
        <v>46</v>
      </c>
      <c r="I3" s="39" t="s">
        <v>46</v>
      </c>
      <c r="J3" s="39" t="s">
        <v>46</v>
      </c>
      <c r="K3" s="39" t="s">
        <v>46</v>
      </c>
      <c r="L3" s="39" t="s">
        <v>46</v>
      </c>
      <c r="M3" s="39" t="s">
        <v>46</v>
      </c>
      <c r="N3" s="39" t="s">
        <v>46</v>
      </c>
      <c r="O3" s="39" t="s">
        <v>45</v>
      </c>
      <c r="P3" s="39" t="s">
        <v>46</v>
      </c>
      <c r="Q3" s="39" t="s">
        <v>46</v>
      </c>
      <c r="R3" s="39" t="s">
        <v>46</v>
      </c>
      <c r="S3" s="39" t="s">
        <v>46</v>
      </c>
      <c r="T3" s="39" t="s">
        <v>46</v>
      </c>
      <c r="U3" s="39" t="s">
        <v>46</v>
      </c>
      <c r="V3" s="39"/>
      <c r="W3" s="39"/>
      <c r="X3" s="39"/>
      <c r="Y3" s="39"/>
      <c r="Z3" s="39"/>
      <c r="AA3" s="39"/>
      <c r="AB3" s="39"/>
      <c r="AC3" s="40" t="s">
        <v>221</v>
      </c>
      <c r="AD3" s="40">
        <v>2</v>
      </c>
    </row>
    <row r="4" spans="1:30" ht="22.5" customHeight="1">
      <c r="A4" s="157"/>
      <c r="B4" s="73" t="s">
        <v>99</v>
      </c>
      <c r="C4" s="38" t="s">
        <v>26</v>
      </c>
      <c r="D4" s="39" t="s">
        <v>46</v>
      </c>
      <c r="E4" s="39" t="s">
        <v>46</v>
      </c>
      <c r="F4" s="39" t="s">
        <v>49</v>
      </c>
      <c r="G4" s="39" t="s">
        <v>45</v>
      </c>
      <c r="H4" s="39" t="s">
        <v>45</v>
      </c>
      <c r="I4" s="39" t="s">
        <v>46</v>
      </c>
      <c r="J4" s="39" t="s">
        <v>46</v>
      </c>
      <c r="K4" s="39" t="s">
        <v>45</v>
      </c>
      <c r="L4" s="39" t="s">
        <v>46</v>
      </c>
      <c r="M4" s="39" t="s">
        <v>46</v>
      </c>
      <c r="N4" s="39" t="s">
        <v>45</v>
      </c>
      <c r="O4" s="39" t="s">
        <v>45</v>
      </c>
      <c r="P4" s="39" t="s">
        <v>46</v>
      </c>
      <c r="Q4" s="39" t="s">
        <v>46</v>
      </c>
      <c r="R4" s="39" t="s">
        <v>46</v>
      </c>
      <c r="S4" s="39" t="s">
        <v>46</v>
      </c>
      <c r="T4" s="39" t="s">
        <v>46</v>
      </c>
      <c r="U4" s="39" t="s">
        <v>45</v>
      </c>
      <c r="V4" s="39"/>
      <c r="W4" s="39"/>
      <c r="X4" s="39"/>
      <c r="Y4" s="39"/>
      <c r="Z4" s="39"/>
      <c r="AA4" s="39"/>
      <c r="AB4" s="39"/>
      <c r="AC4" s="40" t="s">
        <v>57</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222</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222</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5</v>
      </c>
      <c r="E12" s="39">
        <v>5</v>
      </c>
      <c r="F12" s="39">
        <v>2</v>
      </c>
      <c r="G12" s="39">
        <v>3</v>
      </c>
      <c r="H12" s="39">
        <v>4</v>
      </c>
      <c r="I12" s="39">
        <v>5</v>
      </c>
      <c r="J12" s="39">
        <v>5</v>
      </c>
      <c r="K12" s="39">
        <v>4</v>
      </c>
      <c r="L12" s="39">
        <v>5</v>
      </c>
      <c r="M12" s="39">
        <v>5</v>
      </c>
      <c r="N12" s="39">
        <v>3</v>
      </c>
      <c r="O12" s="39">
        <v>3</v>
      </c>
      <c r="P12" s="39">
        <v>5</v>
      </c>
      <c r="Q12" s="39">
        <v>5</v>
      </c>
      <c r="R12" s="39">
        <v>5</v>
      </c>
      <c r="S12" s="39">
        <v>5</v>
      </c>
      <c r="T12" s="39">
        <v>5</v>
      </c>
      <c r="U12" s="39">
        <v>4</v>
      </c>
      <c r="V12" s="39"/>
      <c r="W12" s="39"/>
      <c r="X12" s="39"/>
      <c r="Y12" s="39"/>
      <c r="Z12" s="39"/>
      <c r="AA12" s="39"/>
      <c r="AB12" s="39"/>
    </row>
    <row r="13" spans="1:30" ht="26.25" customHeight="1">
      <c r="A13" s="44"/>
      <c r="B13" s="44"/>
      <c r="C13" s="76" t="s">
        <v>51</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60</v>
      </c>
      <c r="B15" s="153"/>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62</v>
      </c>
      <c r="B16" s="153"/>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64</v>
      </c>
      <c r="B17" s="153"/>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66</v>
      </c>
      <c r="B18" s="153"/>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68</v>
      </c>
      <c r="B19" s="153"/>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70</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72</v>
      </c>
      <c r="B21" s="153"/>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74</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76</v>
      </c>
      <c r="B23" s="153"/>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78</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80</v>
      </c>
      <c r="B25" s="153"/>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82</v>
      </c>
      <c r="B26" s="153"/>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84</v>
      </c>
      <c r="B27" s="153"/>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86</v>
      </c>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88</v>
      </c>
      <c r="B29" s="153"/>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90</v>
      </c>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92</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94</v>
      </c>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A2:A12"/>
    <mergeCell ref="B14:AB14"/>
    <mergeCell ref="B15:AB15"/>
    <mergeCell ref="B16:AB16"/>
    <mergeCell ref="B17:AB17"/>
    <mergeCell ref="B18:AB18"/>
    <mergeCell ref="B19:AB19"/>
    <mergeCell ref="B20:AB20"/>
    <mergeCell ref="B21:AB21"/>
    <mergeCell ref="B22:AB22"/>
    <mergeCell ref="B23:AB23"/>
    <mergeCell ref="B24:AB24"/>
    <mergeCell ref="B25:AB25"/>
    <mergeCell ref="B26:AB26"/>
    <mergeCell ref="B27:AB27"/>
    <mergeCell ref="B28:AB28"/>
    <mergeCell ref="B29:AB29"/>
    <mergeCell ref="B30:AB30"/>
    <mergeCell ref="B31:AB31"/>
    <mergeCell ref="B37:AB37"/>
    <mergeCell ref="B32:AB32"/>
    <mergeCell ref="B33:AB33"/>
    <mergeCell ref="B34:AB34"/>
    <mergeCell ref="B35:AB35"/>
    <mergeCell ref="B36:AB36"/>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AD193"/>
  <sheetViews>
    <sheetView workbookViewId="0">
      <selection sqref="A1:XFD1048576"/>
    </sheetView>
  </sheetViews>
  <sheetFormatPr defaultColWidth="9" defaultRowHeight="13.5"/>
  <cols>
    <col min="1" max="1" width="13.5" style="79" customWidth="1"/>
    <col min="2" max="2" width="79.125" style="79" customWidth="1"/>
    <col min="3" max="3" width="9.375" style="79" customWidth="1"/>
    <col min="4" max="28" width="4.125" style="79" customWidth="1"/>
    <col min="29" max="16384" width="9" style="79"/>
  </cols>
  <sheetData>
    <row r="1" spans="1:30" ht="85.5" customHeight="1">
      <c r="A1" s="77" t="str">
        <f ca="1">MID(CELL("filename",A1),FIND("[",CELL("filename",A1))+1,3)</f>
        <v>６－２</v>
      </c>
      <c r="B1" s="34" t="str">
        <f ca="1">RIGHT(CELL("filename",B1),LEN(CELL("filename",B1))-FIND("]",CELL("filename",B1)))</f>
        <v>社会</v>
      </c>
      <c r="C1" s="35" t="s">
        <v>25</v>
      </c>
      <c r="D1" s="36" t="str">
        <f>A15</f>
        <v>石田 真悠</v>
      </c>
      <c r="E1" s="36" t="str">
        <f>A16</f>
        <v>小口 慧乃</v>
      </c>
      <c r="F1" s="36" t="str">
        <f>A17</f>
        <v>小口 純聖</v>
      </c>
      <c r="G1" s="36" t="str">
        <f>A18</f>
        <v>上島 快斗</v>
      </c>
      <c r="H1" s="36" t="str">
        <f>A19</f>
        <v>鴨居 史佳</v>
      </c>
      <c r="I1" s="36" t="str">
        <f>A20</f>
        <v>小山 聡介</v>
      </c>
      <c r="J1" s="36" t="str">
        <f>A21</f>
        <v>鈴木 哲生</v>
      </c>
      <c r="K1" s="36" t="str">
        <f>A22</f>
        <v>武田 彩愛</v>
      </c>
      <c r="L1" s="36" t="str">
        <f>A23</f>
        <v>龍口 瑞希</v>
      </c>
      <c r="M1" s="36" t="str">
        <f>A24</f>
        <v>畠山 久奈</v>
      </c>
      <c r="N1" s="36" t="str">
        <f>A25</f>
        <v>藤原 一之祐</v>
      </c>
      <c r="O1" s="36" t="str">
        <f>A26</f>
        <v>丸山 心海</v>
      </c>
      <c r="P1" s="36" t="str">
        <f>A27</f>
        <v>南澤 志朋</v>
      </c>
      <c r="Q1" s="36" t="str">
        <f>A28</f>
        <v>宮坂 陽香</v>
      </c>
      <c r="R1" s="36" t="str">
        <f>A29</f>
        <v>師岡 慧</v>
      </c>
      <c r="S1" s="36" t="str">
        <f>A30</f>
        <v>山﨑 茉綾</v>
      </c>
      <c r="T1" s="36" t="str">
        <f>A31</f>
        <v>山田 英一</v>
      </c>
      <c r="U1" s="36" t="str">
        <f>A32</f>
        <v>山田 陽翔</v>
      </c>
      <c r="V1" s="36">
        <f>A33</f>
        <v>0</v>
      </c>
      <c r="W1" s="36">
        <f>A34</f>
        <v>0</v>
      </c>
      <c r="X1" s="36">
        <f>A35</f>
        <v>0</v>
      </c>
      <c r="Y1" s="36">
        <f>A36</f>
        <v>0</v>
      </c>
      <c r="Z1" s="36">
        <f>A37</f>
        <v>0</v>
      </c>
      <c r="AA1" s="36">
        <f>A38</f>
        <v>0</v>
      </c>
      <c r="AB1" s="36">
        <f>A39</f>
        <v>0</v>
      </c>
      <c r="AC1" s="78"/>
    </row>
    <row r="2" spans="1:30" ht="22.5" customHeight="1">
      <c r="A2" s="156" t="s">
        <v>223</v>
      </c>
      <c r="B2" s="73" t="s">
        <v>53</v>
      </c>
      <c r="C2" s="38" t="s">
        <v>26</v>
      </c>
      <c r="D2" s="80" t="s">
        <v>46</v>
      </c>
      <c r="E2" s="80" t="s">
        <v>45</v>
      </c>
      <c r="F2" s="80" t="s">
        <v>45</v>
      </c>
      <c r="G2" s="80" t="s">
        <v>45</v>
      </c>
      <c r="H2" s="80" t="s">
        <v>46</v>
      </c>
      <c r="I2" s="80" t="s">
        <v>46</v>
      </c>
      <c r="J2" s="80" t="s">
        <v>46</v>
      </c>
      <c r="K2" s="80" t="s">
        <v>46</v>
      </c>
      <c r="L2" s="80" t="s">
        <v>46</v>
      </c>
      <c r="M2" s="80" t="s">
        <v>46</v>
      </c>
      <c r="N2" s="80" t="s">
        <v>45</v>
      </c>
      <c r="O2" s="80" t="s">
        <v>45</v>
      </c>
      <c r="P2" s="80" t="s">
        <v>46</v>
      </c>
      <c r="Q2" s="80" t="s">
        <v>46</v>
      </c>
      <c r="R2" s="80" t="s">
        <v>46</v>
      </c>
      <c r="S2" s="80" t="s">
        <v>46</v>
      </c>
      <c r="T2" s="80" t="s">
        <v>46</v>
      </c>
      <c r="U2" s="80" t="s">
        <v>46</v>
      </c>
      <c r="V2" s="80"/>
      <c r="W2" s="80"/>
      <c r="X2" s="80"/>
      <c r="Y2" s="80"/>
      <c r="Z2" s="80"/>
      <c r="AA2" s="80"/>
      <c r="AB2" s="80"/>
      <c r="AC2" s="81" t="s">
        <v>224</v>
      </c>
      <c r="AD2" s="81">
        <v>1</v>
      </c>
    </row>
    <row r="3" spans="1:30" ht="22.5" customHeight="1">
      <c r="A3" s="157"/>
      <c r="B3" s="73" t="s">
        <v>54</v>
      </c>
      <c r="C3" s="38" t="s">
        <v>26</v>
      </c>
      <c r="D3" s="80" t="s">
        <v>46</v>
      </c>
      <c r="E3" s="80" t="s">
        <v>45</v>
      </c>
      <c r="F3" s="80" t="s">
        <v>45</v>
      </c>
      <c r="G3" s="80" t="s">
        <v>49</v>
      </c>
      <c r="H3" s="80" t="s">
        <v>46</v>
      </c>
      <c r="I3" s="80" t="s">
        <v>46</v>
      </c>
      <c r="J3" s="80" t="s">
        <v>46</v>
      </c>
      <c r="K3" s="80" t="s">
        <v>46</v>
      </c>
      <c r="L3" s="80" t="s">
        <v>45</v>
      </c>
      <c r="M3" s="80" t="s">
        <v>46</v>
      </c>
      <c r="N3" s="80" t="s">
        <v>49</v>
      </c>
      <c r="O3" s="80" t="s">
        <v>49</v>
      </c>
      <c r="P3" s="80" t="s">
        <v>46</v>
      </c>
      <c r="Q3" s="80" t="s">
        <v>46</v>
      </c>
      <c r="R3" s="80" t="s">
        <v>46</v>
      </c>
      <c r="S3" s="80" t="s">
        <v>46</v>
      </c>
      <c r="T3" s="80" t="s">
        <v>46</v>
      </c>
      <c r="U3" s="80" t="s">
        <v>46</v>
      </c>
      <c r="V3" s="80"/>
      <c r="W3" s="80"/>
      <c r="X3" s="80"/>
      <c r="Y3" s="80"/>
      <c r="Z3" s="80"/>
      <c r="AA3" s="80"/>
      <c r="AB3" s="80"/>
      <c r="AC3" s="81" t="s">
        <v>210</v>
      </c>
      <c r="AD3" s="81">
        <v>2</v>
      </c>
    </row>
    <row r="4" spans="1:30" ht="22.5" customHeight="1">
      <c r="A4" s="157"/>
      <c r="B4" s="73" t="s">
        <v>100</v>
      </c>
      <c r="C4" s="38" t="s">
        <v>26</v>
      </c>
      <c r="D4" s="80" t="s">
        <v>46</v>
      </c>
      <c r="E4" s="80" t="s">
        <v>46</v>
      </c>
      <c r="F4" s="80" t="s">
        <v>46</v>
      </c>
      <c r="G4" s="80" t="s">
        <v>46</v>
      </c>
      <c r="H4" s="80" t="s">
        <v>46</v>
      </c>
      <c r="I4" s="80" t="s">
        <v>46</v>
      </c>
      <c r="J4" s="80" t="s">
        <v>46</v>
      </c>
      <c r="K4" s="80" t="s">
        <v>46</v>
      </c>
      <c r="L4" s="80" t="s">
        <v>46</v>
      </c>
      <c r="M4" s="80" t="s">
        <v>46</v>
      </c>
      <c r="N4" s="80" t="s">
        <v>46</v>
      </c>
      <c r="O4" s="80" t="s">
        <v>46</v>
      </c>
      <c r="P4" s="80" t="s">
        <v>46</v>
      </c>
      <c r="Q4" s="80" t="s">
        <v>46</v>
      </c>
      <c r="R4" s="80" t="s">
        <v>46</v>
      </c>
      <c r="S4" s="80" t="s">
        <v>46</v>
      </c>
      <c r="T4" s="80" t="s">
        <v>46</v>
      </c>
      <c r="U4" s="80" t="s">
        <v>46</v>
      </c>
      <c r="V4" s="80"/>
      <c r="W4" s="80"/>
      <c r="X4" s="80"/>
      <c r="Y4" s="80"/>
      <c r="Z4" s="80"/>
      <c r="AA4" s="80"/>
      <c r="AB4" s="80"/>
      <c r="AC4" s="81" t="s">
        <v>208</v>
      </c>
      <c r="AD4" s="81">
        <v>3</v>
      </c>
    </row>
    <row r="5" spans="1:30" ht="22.5" customHeight="1">
      <c r="A5" s="157"/>
      <c r="B5" s="41"/>
      <c r="C5" s="38" t="s">
        <v>26</v>
      </c>
      <c r="D5" s="80"/>
      <c r="E5" s="80"/>
      <c r="F5" s="80"/>
      <c r="G5" s="80"/>
      <c r="H5" s="80"/>
      <c r="I5" s="80"/>
      <c r="J5" s="80"/>
      <c r="K5" s="80"/>
      <c r="L5" s="80"/>
      <c r="M5" s="80"/>
      <c r="N5" s="80"/>
      <c r="O5" s="80"/>
      <c r="P5" s="80"/>
      <c r="Q5" s="80"/>
      <c r="R5" s="80"/>
      <c r="S5" s="80"/>
      <c r="T5" s="80"/>
      <c r="U5" s="80"/>
      <c r="V5" s="80"/>
      <c r="W5" s="80"/>
      <c r="X5" s="80"/>
      <c r="Y5" s="80"/>
      <c r="Z5" s="80"/>
      <c r="AA5" s="80"/>
      <c r="AB5" s="80"/>
      <c r="AC5" s="81" t="s">
        <v>96</v>
      </c>
      <c r="AD5" s="81">
        <v>4</v>
      </c>
    </row>
    <row r="6" spans="1:30" ht="22.5" customHeight="1">
      <c r="A6" s="157"/>
      <c r="B6" s="41"/>
      <c r="C6" s="38" t="s">
        <v>26</v>
      </c>
      <c r="D6" s="80"/>
      <c r="E6" s="80"/>
      <c r="F6" s="80"/>
      <c r="G6" s="80"/>
      <c r="H6" s="80"/>
      <c r="I6" s="80"/>
      <c r="J6" s="80"/>
      <c r="K6" s="80"/>
      <c r="L6" s="80"/>
      <c r="M6" s="80"/>
      <c r="N6" s="80"/>
      <c r="O6" s="80"/>
      <c r="P6" s="80"/>
      <c r="Q6" s="80"/>
      <c r="R6" s="80"/>
      <c r="S6" s="80"/>
      <c r="T6" s="80"/>
      <c r="U6" s="80"/>
      <c r="V6" s="80"/>
      <c r="W6" s="80"/>
      <c r="X6" s="80"/>
      <c r="Y6" s="80"/>
      <c r="Z6" s="80"/>
      <c r="AA6" s="80"/>
      <c r="AB6" s="80"/>
      <c r="AC6" s="81"/>
      <c r="AD6" s="81">
        <v>5</v>
      </c>
    </row>
    <row r="7" spans="1:30" ht="22.5" customHeight="1">
      <c r="A7" s="157"/>
      <c r="B7" s="41"/>
      <c r="C7" s="38" t="s">
        <v>26</v>
      </c>
      <c r="D7" s="80"/>
      <c r="E7" s="80"/>
      <c r="F7" s="80"/>
      <c r="G7" s="80"/>
      <c r="H7" s="80"/>
      <c r="I7" s="80"/>
      <c r="J7" s="80"/>
      <c r="K7" s="80"/>
      <c r="L7" s="80"/>
      <c r="M7" s="80"/>
      <c r="N7" s="80"/>
      <c r="O7" s="80"/>
      <c r="P7" s="80"/>
      <c r="Q7" s="80"/>
      <c r="R7" s="80"/>
      <c r="S7" s="80"/>
      <c r="T7" s="80"/>
      <c r="U7" s="80"/>
      <c r="V7" s="80"/>
      <c r="W7" s="80"/>
      <c r="X7" s="80"/>
      <c r="Y7" s="80"/>
      <c r="Z7" s="80"/>
      <c r="AA7" s="80"/>
      <c r="AB7" s="80"/>
      <c r="AC7" s="81"/>
      <c r="AD7" s="81" t="s">
        <v>211</v>
      </c>
    </row>
    <row r="8" spans="1:30" ht="22.5" customHeight="1">
      <c r="A8" s="157"/>
      <c r="B8" s="41"/>
      <c r="C8" s="38" t="s">
        <v>26</v>
      </c>
      <c r="D8" s="80"/>
      <c r="E8" s="80"/>
      <c r="F8" s="80"/>
      <c r="G8" s="80"/>
      <c r="H8" s="80"/>
      <c r="I8" s="80"/>
      <c r="J8" s="80"/>
      <c r="K8" s="80"/>
      <c r="L8" s="80"/>
      <c r="M8" s="80"/>
      <c r="N8" s="80"/>
      <c r="O8" s="80"/>
      <c r="P8" s="80"/>
      <c r="Q8" s="80"/>
      <c r="R8" s="80"/>
      <c r="S8" s="80"/>
      <c r="T8" s="80"/>
      <c r="U8" s="80"/>
      <c r="V8" s="80"/>
      <c r="W8" s="80"/>
      <c r="X8" s="80"/>
      <c r="Y8" s="80"/>
      <c r="Z8" s="80"/>
      <c r="AA8" s="80"/>
      <c r="AB8" s="80"/>
    </row>
    <row r="9" spans="1:30" ht="22.5" customHeight="1">
      <c r="A9" s="157"/>
      <c r="B9" s="41"/>
      <c r="C9" s="38" t="s">
        <v>26</v>
      </c>
      <c r="D9" s="80"/>
      <c r="E9" s="80"/>
      <c r="F9" s="80"/>
      <c r="G9" s="80"/>
      <c r="H9" s="80"/>
      <c r="I9" s="80"/>
      <c r="J9" s="80"/>
      <c r="K9" s="80"/>
      <c r="L9" s="80"/>
      <c r="M9" s="80"/>
      <c r="N9" s="80"/>
      <c r="O9" s="80"/>
      <c r="P9" s="80"/>
      <c r="Q9" s="80"/>
      <c r="R9" s="80"/>
      <c r="S9" s="80"/>
      <c r="T9" s="80"/>
      <c r="U9" s="80"/>
      <c r="V9" s="80"/>
      <c r="W9" s="80"/>
      <c r="X9" s="80"/>
      <c r="Y9" s="80"/>
      <c r="Z9" s="80"/>
      <c r="AA9" s="80"/>
      <c r="AB9" s="80"/>
    </row>
    <row r="10" spans="1:30" ht="22.5" customHeight="1">
      <c r="A10" s="157"/>
      <c r="B10" s="41"/>
      <c r="C10" s="38" t="s">
        <v>26</v>
      </c>
      <c r="D10" s="80"/>
      <c r="E10" s="80"/>
      <c r="F10" s="80"/>
      <c r="G10" s="80"/>
      <c r="H10" s="80"/>
      <c r="I10" s="80"/>
      <c r="J10" s="80"/>
      <c r="K10" s="80"/>
      <c r="L10" s="80"/>
      <c r="M10" s="80"/>
      <c r="N10" s="80"/>
      <c r="O10" s="80"/>
      <c r="P10" s="80"/>
      <c r="Q10" s="80"/>
      <c r="R10" s="80"/>
      <c r="S10" s="80"/>
      <c r="T10" s="80"/>
      <c r="U10" s="80"/>
      <c r="V10" s="80"/>
      <c r="W10" s="80"/>
      <c r="X10" s="80"/>
      <c r="Y10" s="80"/>
      <c r="Z10" s="80"/>
      <c r="AA10" s="80"/>
      <c r="AB10" s="80"/>
    </row>
    <row r="11" spans="1:30" ht="22.5" customHeight="1">
      <c r="A11" s="157"/>
      <c r="B11" s="41"/>
      <c r="C11" s="38" t="s">
        <v>26</v>
      </c>
      <c r="D11" s="80"/>
      <c r="E11" s="80"/>
      <c r="F11" s="80"/>
      <c r="G11" s="80"/>
      <c r="H11" s="80"/>
      <c r="I11" s="80"/>
      <c r="J11" s="80"/>
      <c r="K11" s="80"/>
      <c r="L11" s="80"/>
      <c r="M11" s="80"/>
      <c r="N11" s="80"/>
      <c r="O11" s="80"/>
      <c r="P11" s="80"/>
      <c r="Q11" s="80"/>
      <c r="R11" s="80"/>
      <c r="S11" s="80"/>
      <c r="T11" s="80"/>
      <c r="U11" s="80"/>
      <c r="V11" s="80"/>
      <c r="W11" s="80"/>
      <c r="X11" s="80"/>
      <c r="Y11" s="80"/>
      <c r="Z11" s="80"/>
      <c r="AA11" s="80"/>
      <c r="AB11" s="80"/>
    </row>
    <row r="12" spans="1:30" ht="30" customHeight="1">
      <c r="A12" s="158"/>
      <c r="B12" s="42"/>
      <c r="C12" s="43" t="s">
        <v>27</v>
      </c>
      <c r="D12" s="80">
        <v>5</v>
      </c>
      <c r="E12" s="80">
        <v>3</v>
      </c>
      <c r="F12" s="80">
        <v>3</v>
      </c>
      <c r="G12" s="80">
        <v>3</v>
      </c>
      <c r="H12" s="80">
        <v>5</v>
      </c>
      <c r="I12" s="80">
        <v>5</v>
      </c>
      <c r="J12" s="80">
        <v>5</v>
      </c>
      <c r="K12" s="80">
        <v>5</v>
      </c>
      <c r="L12" s="80">
        <v>4</v>
      </c>
      <c r="M12" s="80">
        <v>5</v>
      </c>
      <c r="N12" s="80">
        <v>3</v>
      </c>
      <c r="O12" s="80">
        <v>3</v>
      </c>
      <c r="P12" s="80">
        <v>5</v>
      </c>
      <c r="Q12" s="80">
        <v>5</v>
      </c>
      <c r="R12" s="80">
        <v>5</v>
      </c>
      <c r="S12" s="80">
        <v>5</v>
      </c>
      <c r="T12" s="80">
        <v>5</v>
      </c>
      <c r="U12" s="80">
        <v>5</v>
      </c>
      <c r="V12" s="80"/>
      <c r="W12" s="80"/>
      <c r="X12" s="80"/>
      <c r="Y12" s="80"/>
      <c r="Z12" s="80"/>
      <c r="AA12" s="80"/>
      <c r="AB12" s="80"/>
    </row>
    <row r="13" spans="1:30" ht="26.25" customHeight="1">
      <c r="A13" s="82"/>
      <c r="B13" s="82"/>
      <c r="C13" s="76" t="s">
        <v>51</v>
      </c>
      <c r="D13" s="80"/>
      <c r="E13" s="80"/>
      <c r="F13" s="80"/>
      <c r="G13" s="80"/>
      <c r="H13" s="80"/>
      <c r="I13" s="80"/>
      <c r="J13" s="80"/>
      <c r="K13" s="80"/>
      <c r="L13" s="80"/>
      <c r="M13" s="80"/>
      <c r="N13" s="80"/>
      <c r="O13" s="80"/>
      <c r="P13" s="80"/>
      <c r="Q13" s="80"/>
      <c r="R13" s="80"/>
      <c r="S13" s="80"/>
      <c r="T13" s="80"/>
      <c r="U13" s="80"/>
      <c r="V13" s="80"/>
      <c r="W13" s="80"/>
      <c r="X13" s="80"/>
      <c r="Y13" s="80"/>
      <c r="Z13" s="80"/>
      <c r="AA13" s="80"/>
      <c r="AB13" s="80"/>
    </row>
    <row r="14" spans="1:30" ht="22.5" customHeight="1">
      <c r="A14" s="45" t="s">
        <v>28</v>
      </c>
      <c r="B14" s="165" t="s">
        <v>29</v>
      </c>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7"/>
    </row>
    <row r="15" spans="1:30" ht="59.25" customHeight="1">
      <c r="A15" s="83" t="s">
        <v>60</v>
      </c>
      <c r="B15" s="162"/>
      <c r="C15" s="163"/>
      <c r="D15" s="163"/>
      <c r="E15" s="163"/>
      <c r="F15" s="163"/>
      <c r="G15" s="163"/>
      <c r="H15" s="163"/>
      <c r="I15" s="163"/>
      <c r="J15" s="163"/>
      <c r="K15" s="163"/>
      <c r="L15" s="163"/>
      <c r="M15" s="163"/>
      <c r="N15" s="163"/>
      <c r="O15" s="163"/>
      <c r="P15" s="163"/>
      <c r="Q15" s="163"/>
      <c r="R15" s="163"/>
      <c r="S15" s="163"/>
      <c r="T15" s="163"/>
      <c r="U15" s="163"/>
      <c r="V15" s="163"/>
      <c r="W15" s="163"/>
      <c r="X15" s="163"/>
      <c r="Y15" s="163"/>
      <c r="Z15" s="163"/>
      <c r="AA15" s="163"/>
      <c r="AB15" s="164"/>
    </row>
    <row r="16" spans="1:30" ht="59.25" customHeight="1">
      <c r="A16" s="83" t="s">
        <v>62</v>
      </c>
      <c r="B16" s="162"/>
      <c r="C16" s="163"/>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63"/>
      <c r="AB16" s="164"/>
    </row>
    <row r="17" spans="1:28" ht="59.25" customHeight="1">
      <c r="A17" s="83" t="s">
        <v>64</v>
      </c>
      <c r="B17" s="162"/>
      <c r="C17" s="163"/>
      <c r="D17" s="163"/>
      <c r="E17" s="163"/>
      <c r="F17" s="163"/>
      <c r="G17" s="163"/>
      <c r="H17" s="163"/>
      <c r="I17" s="163"/>
      <c r="J17" s="163"/>
      <c r="K17" s="163"/>
      <c r="L17" s="163"/>
      <c r="M17" s="163"/>
      <c r="N17" s="163"/>
      <c r="O17" s="163"/>
      <c r="P17" s="163"/>
      <c r="Q17" s="163"/>
      <c r="R17" s="163"/>
      <c r="S17" s="163"/>
      <c r="T17" s="163"/>
      <c r="U17" s="163"/>
      <c r="V17" s="163"/>
      <c r="W17" s="163"/>
      <c r="X17" s="163"/>
      <c r="Y17" s="163"/>
      <c r="Z17" s="163"/>
      <c r="AA17" s="163"/>
      <c r="AB17" s="164"/>
    </row>
    <row r="18" spans="1:28" ht="59.25" customHeight="1">
      <c r="A18" s="83" t="s">
        <v>66</v>
      </c>
      <c r="B18" s="162"/>
      <c r="C18" s="163"/>
      <c r="D18" s="163"/>
      <c r="E18" s="163"/>
      <c r="F18" s="163"/>
      <c r="G18" s="163"/>
      <c r="H18" s="163"/>
      <c r="I18" s="163"/>
      <c r="J18" s="163"/>
      <c r="K18" s="163"/>
      <c r="L18" s="163"/>
      <c r="M18" s="163"/>
      <c r="N18" s="163"/>
      <c r="O18" s="163"/>
      <c r="P18" s="163"/>
      <c r="Q18" s="163"/>
      <c r="R18" s="163"/>
      <c r="S18" s="163"/>
      <c r="T18" s="163"/>
      <c r="U18" s="163"/>
      <c r="V18" s="163"/>
      <c r="W18" s="163"/>
      <c r="X18" s="163"/>
      <c r="Y18" s="163"/>
      <c r="Z18" s="163"/>
      <c r="AA18" s="163"/>
      <c r="AB18" s="164"/>
    </row>
    <row r="19" spans="1:28" ht="59.25" customHeight="1">
      <c r="A19" s="83" t="s">
        <v>68</v>
      </c>
      <c r="B19" s="162"/>
      <c r="C19" s="163"/>
      <c r="D19" s="163"/>
      <c r="E19" s="163"/>
      <c r="F19" s="163"/>
      <c r="G19" s="163"/>
      <c r="H19" s="163"/>
      <c r="I19" s="163"/>
      <c r="J19" s="163"/>
      <c r="K19" s="163"/>
      <c r="L19" s="163"/>
      <c r="M19" s="163"/>
      <c r="N19" s="163"/>
      <c r="O19" s="163"/>
      <c r="P19" s="163"/>
      <c r="Q19" s="163"/>
      <c r="R19" s="163"/>
      <c r="S19" s="163"/>
      <c r="T19" s="163"/>
      <c r="U19" s="163"/>
      <c r="V19" s="163"/>
      <c r="W19" s="163"/>
      <c r="X19" s="163"/>
      <c r="Y19" s="163"/>
      <c r="Z19" s="163"/>
      <c r="AA19" s="163"/>
      <c r="AB19" s="164"/>
    </row>
    <row r="20" spans="1:28" ht="59.25" customHeight="1">
      <c r="A20" s="83" t="s">
        <v>70</v>
      </c>
      <c r="B20" s="162"/>
      <c r="C20" s="163"/>
      <c r="D20" s="163"/>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4"/>
    </row>
    <row r="21" spans="1:28" ht="59.25" customHeight="1">
      <c r="A21" s="83" t="s">
        <v>72</v>
      </c>
      <c r="B21" s="162"/>
      <c r="C21" s="163"/>
      <c r="D21" s="163"/>
      <c r="E21" s="163"/>
      <c r="F21" s="163"/>
      <c r="G21" s="163"/>
      <c r="H21" s="163"/>
      <c r="I21" s="163"/>
      <c r="J21" s="163"/>
      <c r="K21" s="163"/>
      <c r="L21" s="163"/>
      <c r="M21" s="163"/>
      <c r="N21" s="163"/>
      <c r="O21" s="163"/>
      <c r="P21" s="163"/>
      <c r="Q21" s="163"/>
      <c r="R21" s="163"/>
      <c r="S21" s="163"/>
      <c r="T21" s="163"/>
      <c r="U21" s="163"/>
      <c r="V21" s="163"/>
      <c r="W21" s="163"/>
      <c r="X21" s="163"/>
      <c r="Y21" s="163"/>
      <c r="Z21" s="163"/>
      <c r="AA21" s="163"/>
      <c r="AB21" s="164"/>
    </row>
    <row r="22" spans="1:28" ht="59.25" customHeight="1">
      <c r="A22" s="83" t="s">
        <v>74</v>
      </c>
      <c r="B22" s="162"/>
      <c r="C22" s="163"/>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163"/>
      <c r="AB22" s="164"/>
    </row>
    <row r="23" spans="1:28" ht="59.25" customHeight="1">
      <c r="A23" s="83" t="s">
        <v>76</v>
      </c>
      <c r="B23" s="162"/>
      <c r="C23" s="163"/>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163"/>
      <c r="AB23" s="164"/>
    </row>
    <row r="24" spans="1:28" ht="59.25" customHeight="1">
      <c r="A24" s="83" t="s">
        <v>78</v>
      </c>
      <c r="B24" s="162"/>
      <c r="C24" s="163"/>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163"/>
      <c r="AB24" s="164"/>
    </row>
    <row r="25" spans="1:28" ht="59.25" customHeight="1">
      <c r="A25" s="83" t="s">
        <v>80</v>
      </c>
      <c r="B25" s="162"/>
      <c r="C25" s="163"/>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163"/>
      <c r="AB25" s="164"/>
    </row>
    <row r="26" spans="1:28" ht="59.25" customHeight="1">
      <c r="A26" s="83" t="s">
        <v>82</v>
      </c>
      <c r="B26" s="162"/>
      <c r="C26" s="163"/>
      <c r="D26" s="163"/>
      <c r="E26" s="163"/>
      <c r="F26" s="163"/>
      <c r="G26" s="163"/>
      <c r="H26" s="163"/>
      <c r="I26" s="163"/>
      <c r="J26" s="163"/>
      <c r="K26" s="163"/>
      <c r="L26" s="163"/>
      <c r="M26" s="163"/>
      <c r="N26" s="163"/>
      <c r="O26" s="163"/>
      <c r="P26" s="163"/>
      <c r="Q26" s="163"/>
      <c r="R26" s="163"/>
      <c r="S26" s="163"/>
      <c r="T26" s="163"/>
      <c r="U26" s="163"/>
      <c r="V26" s="163"/>
      <c r="W26" s="163"/>
      <c r="X26" s="163"/>
      <c r="Y26" s="163"/>
      <c r="Z26" s="163"/>
      <c r="AA26" s="163"/>
      <c r="AB26" s="164"/>
    </row>
    <row r="27" spans="1:28" ht="59.25" customHeight="1">
      <c r="A27" s="83" t="s">
        <v>84</v>
      </c>
      <c r="B27" s="162"/>
      <c r="C27" s="163"/>
      <c r="D27" s="163"/>
      <c r="E27" s="163"/>
      <c r="F27" s="163"/>
      <c r="G27" s="163"/>
      <c r="H27" s="163"/>
      <c r="I27" s="163"/>
      <c r="J27" s="163"/>
      <c r="K27" s="163"/>
      <c r="L27" s="163"/>
      <c r="M27" s="163"/>
      <c r="N27" s="163"/>
      <c r="O27" s="163"/>
      <c r="P27" s="163"/>
      <c r="Q27" s="163"/>
      <c r="R27" s="163"/>
      <c r="S27" s="163"/>
      <c r="T27" s="163"/>
      <c r="U27" s="163"/>
      <c r="V27" s="163"/>
      <c r="W27" s="163"/>
      <c r="X27" s="163"/>
      <c r="Y27" s="163"/>
      <c r="Z27" s="163"/>
      <c r="AA27" s="163"/>
      <c r="AB27" s="164"/>
    </row>
    <row r="28" spans="1:28" ht="59.25" customHeight="1">
      <c r="A28" s="83" t="s">
        <v>86</v>
      </c>
      <c r="B28" s="162"/>
      <c r="C28" s="163"/>
      <c r="D28" s="163"/>
      <c r="E28" s="163"/>
      <c r="F28" s="163"/>
      <c r="G28" s="163"/>
      <c r="H28" s="163"/>
      <c r="I28" s="163"/>
      <c r="J28" s="163"/>
      <c r="K28" s="163"/>
      <c r="L28" s="163"/>
      <c r="M28" s="163"/>
      <c r="N28" s="163"/>
      <c r="O28" s="163"/>
      <c r="P28" s="163"/>
      <c r="Q28" s="163"/>
      <c r="R28" s="163"/>
      <c r="S28" s="163"/>
      <c r="T28" s="163"/>
      <c r="U28" s="163"/>
      <c r="V28" s="163"/>
      <c r="W28" s="163"/>
      <c r="X28" s="163"/>
      <c r="Y28" s="163"/>
      <c r="Z28" s="163"/>
      <c r="AA28" s="163"/>
      <c r="AB28" s="164"/>
    </row>
    <row r="29" spans="1:28" ht="59.25" customHeight="1">
      <c r="A29" s="83" t="s">
        <v>88</v>
      </c>
      <c r="B29" s="162"/>
      <c r="C29" s="163"/>
      <c r="D29" s="163"/>
      <c r="E29" s="163"/>
      <c r="F29" s="163"/>
      <c r="G29" s="163"/>
      <c r="H29" s="163"/>
      <c r="I29" s="163"/>
      <c r="J29" s="163"/>
      <c r="K29" s="163"/>
      <c r="L29" s="163"/>
      <c r="M29" s="163"/>
      <c r="N29" s="163"/>
      <c r="O29" s="163"/>
      <c r="P29" s="163"/>
      <c r="Q29" s="163"/>
      <c r="R29" s="163"/>
      <c r="S29" s="163"/>
      <c r="T29" s="163"/>
      <c r="U29" s="163"/>
      <c r="V29" s="163"/>
      <c r="W29" s="163"/>
      <c r="X29" s="163"/>
      <c r="Y29" s="163"/>
      <c r="Z29" s="163"/>
      <c r="AA29" s="163"/>
      <c r="AB29" s="164"/>
    </row>
    <row r="30" spans="1:28" ht="59.25" customHeight="1">
      <c r="A30" s="83" t="s">
        <v>90</v>
      </c>
      <c r="B30" s="162"/>
      <c r="C30" s="163"/>
      <c r="D30" s="163"/>
      <c r="E30" s="163"/>
      <c r="F30" s="163"/>
      <c r="G30" s="163"/>
      <c r="H30" s="163"/>
      <c r="I30" s="163"/>
      <c r="J30" s="163"/>
      <c r="K30" s="163"/>
      <c r="L30" s="163"/>
      <c r="M30" s="163"/>
      <c r="N30" s="163"/>
      <c r="O30" s="163"/>
      <c r="P30" s="163"/>
      <c r="Q30" s="163"/>
      <c r="R30" s="163"/>
      <c r="S30" s="163"/>
      <c r="T30" s="163"/>
      <c r="U30" s="163"/>
      <c r="V30" s="163"/>
      <c r="W30" s="163"/>
      <c r="X30" s="163"/>
      <c r="Y30" s="163"/>
      <c r="Z30" s="163"/>
      <c r="AA30" s="163"/>
      <c r="AB30" s="164"/>
    </row>
    <row r="31" spans="1:28" ht="59.25" customHeight="1">
      <c r="A31" s="83" t="s">
        <v>92</v>
      </c>
      <c r="B31" s="162"/>
      <c r="C31" s="163"/>
      <c r="D31" s="163"/>
      <c r="E31" s="163"/>
      <c r="F31" s="163"/>
      <c r="G31" s="163"/>
      <c r="H31" s="163"/>
      <c r="I31" s="163"/>
      <c r="J31" s="163"/>
      <c r="K31" s="163"/>
      <c r="L31" s="163"/>
      <c r="M31" s="163"/>
      <c r="N31" s="163"/>
      <c r="O31" s="163"/>
      <c r="P31" s="163"/>
      <c r="Q31" s="163"/>
      <c r="R31" s="163"/>
      <c r="S31" s="163"/>
      <c r="T31" s="163"/>
      <c r="U31" s="163"/>
      <c r="V31" s="163"/>
      <c r="W31" s="163"/>
      <c r="X31" s="163"/>
      <c r="Y31" s="163"/>
      <c r="Z31" s="163"/>
      <c r="AA31" s="163"/>
      <c r="AB31" s="164"/>
    </row>
    <row r="32" spans="1:28" ht="59.25" customHeight="1">
      <c r="A32" s="83" t="s">
        <v>94</v>
      </c>
      <c r="B32" s="162"/>
      <c r="C32" s="163"/>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163"/>
      <c r="AB32" s="164"/>
    </row>
    <row r="33" spans="1:28" ht="59.25" customHeight="1">
      <c r="A33" s="83"/>
      <c r="B33" s="162"/>
      <c r="C33" s="163"/>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163"/>
      <c r="AB33" s="164"/>
    </row>
    <row r="34" spans="1:28" ht="59.25" customHeight="1">
      <c r="A34" s="83"/>
      <c r="B34" s="162"/>
      <c r="C34" s="163"/>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163"/>
      <c r="AB34" s="164"/>
    </row>
    <row r="35" spans="1:28" ht="59.25" customHeight="1">
      <c r="A35" s="83"/>
      <c r="B35" s="162"/>
      <c r="C35" s="163"/>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163"/>
      <c r="AB35" s="164"/>
    </row>
    <row r="36" spans="1:28" ht="59.25" customHeight="1">
      <c r="A36" s="83"/>
      <c r="B36" s="162"/>
      <c r="C36" s="163"/>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163"/>
      <c r="AB36" s="164"/>
    </row>
    <row r="37" spans="1:28" ht="59.25" customHeight="1">
      <c r="A37" s="83"/>
      <c r="B37" s="162"/>
      <c r="C37" s="163"/>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163"/>
      <c r="AB37" s="164"/>
    </row>
    <row r="38" spans="1:28" ht="59.25" customHeight="1">
      <c r="A38" s="83"/>
      <c r="B38" s="162"/>
      <c r="C38" s="163"/>
      <c r="D38" s="163"/>
      <c r="E38" s="163"/>
      <c r="F38" s="163"/>
      <c r="G38" s="163"/>
      <c r="H38" s="163"/>
      <c r="I38" s="163"/>
      <c r="J38" s="163"/>
      <c r="K38" s="163"/>
      <c r="L38" s="163"/>
      <c r="M38" s="163"/>
      <c r="N38" s="163"/>
      <c r="O38" s="163"/>
      <c r="P38" s="163"/>
      <c r="Q38" s="163"/>
      <c r="R38" s="163"/>
      <c r="S38" s="163"/>
      <c r="T38" s="163"/>
      <c r="U38" s="163"/>
      <c r="V38" s="163"/>
      <c r="W38" s="163"/>
      <c r="X38" s="163"/>
      <c r="Y38" s="163"/>
      <c r="Z38" s="163"/>
      <c r="AA38" s="163"/>
      <c r="AB38" s="164"/>
    </row>
    <row r="39" spans="1:28" ht="59.25" customHeight="1">
      <c r="A39" s="83"/>
      <c r="B39" s="162"/>
      <c r="C39" s="163"/>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163"/>
      <c r="AB39" s="164"/>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33:AB33"/>
    <mergeCell ref="B34:AB34"/>
    <mergeCell ref="B35:AB35"/>
    <mergeCell ref="B36:AB36"/>
    <mergeCell ref="B37:AB37"/>
    <mergeCell ref="B28:AB28"/>
    <mergeCell ref="B29:AB29"/>
    <mergeCell ref="B30:AB30"/>
    <mergeCell ref="B31:AB31"/>
    <mergeCell ref="B32:AB32"/>
    <mergeCell ref="B18:AB18"/>
    <mergeCell ref="B19:AB19"/>
    <mergeCell ref="B20:AB20"/>
    <mergeCell ref="B21:AB21"/>
    <mergeCell ref="B22:AB22"/>
    <mergeCell ref="A2:A12"/>
    <mergeCell ref="B14:AB14"/>
    <mergeCell ref="B15:AB15"/>
    <mergeCell ref="B16:AB16"/>
    <mergeCell ref="B17:AB17"/>
    <mergeCell ref="B25:AB25"/>
    <mergeCell ref="B26:AB26"/>
    <mergeCell ref="B27:AB27"/>
    <mergeCell ref="B23:AB23"/>
    <mergeCell ref="B24:AB24"/>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６－２</v>
      </c>
      <c r="B1" s="34" t="str">
        <f ca="1">RIGHT(CELL("filename",B1),LEN(CELL("filename",B1))-FIND("]",CELL("filename",B1)))</f>
        <v>英語</v>
      </c>
      <c r="C1" s="35" t="s">
        <v>25</v>
      </c>
      <c r="D1" s="36" t="str">
        <f>A15</f>
        <v>石田 真悠</v>
      </c>
      <c r="E1" s="36" t="str">
        <f>A16</f>
        <v>小口 慧乃</v>
      </c>
      <c r="F1" s="36" t="str">
        <f>A17</f>
        <v>小口 純聖</v>
      </c>
      <c r="G1" s="36" t="str">
        <f>A18</f>
        <v>上島 快斗</v>
      </c>
      <c r="H1" s="36" t="str">
        <f>A19</f>
        <v>鴨居 史佳</v>
      </c>
      <c r="I1" s="36" t="str">
        <f>A20</f>
        <v>小山 聡介</v>
      </c>
      <c r="J1" s="36" t="str">
        <f>A21</f>
        <v>鈴木 哲生</v>
      </c>
      <c r="K1" s="36" t="str">
        <f>A22</f>
        <v>武田 彩愛</v>
      </c>
      <c r="L1" s="36" t="str">
        <f>A23</f>
        <v>龍口 瑞希</v>
      </c>
      <c r="M1" s="36" t="str">
        <f>A24</f>
        <v>畠山 久奈</v>
      </c>
      <c r="N1" s="36" t="str">
        <f>A25</f>
        <v>藤原 一之祐</v>
      </c>
      <c r="O1" s="36" t="str">
        <f>A26</f>
        <v>丸山 心海</v>
      </c>
      <c r="P1" s="36" t="str">
        <f>A27</f>
        <v>南澤 志朋</v>
      </c>
      <c r="Q1" s="36" t="str">
        <f>A28</f>
        <v>宮坂 陽香</v>
      </c>
      <c r="R1" s="36" t="str">
        <f>A29</f>
        <v>師岡 慧</v>
      </c>
      <c r="S1" s="36" t="str">
        <f>A30</f>
        <v>山﨑 茉綾</v>
      </c>
      <c r="T1" s="36" t="str">
        <f>A31</f>
        <v>山田 英一</v>
      </c>
      <c r="U1" s="36" t="str">
        <f>A32</f>
        <v>山田 陽翔</v>
      </c>
      <c r="V1" s="36">
        <f>A33</f>
        <v>0</v>
      </c>
      <c r="W1" s="36">
        <f>A34</f>
        <v>0</v>
      </c>
      <c r="X1" s="36">
        <f>A35</f>
        <v>0</v>
      </c>
      <c r="Y1" s="36">
        <f>A36</f>
        <v>0</v>
      </c>
      <c r="Z1" s="36">
        <f>A37</f>
        <v>0</v>
      </c>
      <c r="AA1" s="36">
        <f>A38</f>
        <v>0</v>
      </c>
      <c r="AB1" s="36">
        <f>A39</f>
        <v>0</v>
      </c>
      <c r="AC1" s="37"/>
    </row>
    <row r="2" spans="1:30" ht="22.5" customHeight="1">
      <c r="A2" s="156" t="s">
        <v>223</v>
      </c>
      <c r="B2" s="73" t="s">
        <v>101</v>
      </c>
      <c r="C2" s="38" t="s">
        <v>26</v>
      </c>
      <c r="D2" s="39" t="s">
        <v>46</v>
      </c>
      <c r="E2" s="39" t="s">
        <v>46</v>
      </c>
      <c r="F2" s="39" t="s">
        <v>45</v>
      </c>
      <c r="G2" s="39" t="s">
        <v>45</v>
      </c>
      <c r="H2" s="39" t="s">
        <v>46</v>
      </c>
      <c r="I2" s="39" t="s">
        <v>46</v>
      </c>
      <c r="J2" s="39" t="s">
        <v>45</v>
      </c>
      <c r="K2" s="39" t="s">
        <v>45</v>
      </c>
      <c r="L2" s="39" t="s">
        <v>46</v>
      </c>
      <c r="M2" s="39" t="s">
        <v>45</v>
      </c>
      <c r="N2" s="39" t="s">
        <v>45</v>
      </c>
      <c r="O2" s="39" t="s">
        <v>45</v>
      </c>
      <c r="P2" s="39" t="s">
        <v>46</v>
      </c>
      <c r="Q2" s="39" t="s">
        <v>46</v>
      </c>
      <c r="R2" s="39" t="s">
        <v>46</v>
      </c>
      <c r="S2" s="39" t="s">
        <v>46</v>
      </c>
      <c r="T2" s="39" t="s">
        <v>46</v>
      </c>
      <c r="U2" s="39" t="s">
        <v>46</v>
      </c>
      <c r="V2" s="39"/>
      <c r="W2" s="39"/>
      <c r="X2" s="39"/>
      <c r="Y2" s="39"/>
      <c r="Z2" s="39"/>
      <c r="AA2" s="39"/>
      <c r="AB2" s="39"/>
      <c r="AC2" s="40" t="s">
        <v>225</v>
      </c>
      <c r="AD2" s="40">
        <v>1</v>
      </c>
    </row>
    <row r="3" spans="1:30" ht="22.5" customHeight="1">
      <c r="A3" s="157"/>
      <c r="B3" s="73" t="s">
        <v>102</v>
      </c>
      <c r="C3" s="38" t="s">
        <v>26</v>
      </c>
      <c r="D3" s="39" t="s">
        <v>46</v>
      </c>
      <c r="E3" s="39" t="s">
        <v>46</v>
      </c>
      <c r="F3" s="39" t="s">
        <v>46</v>
      </c>
      <c r="G3" s="39" t="s">
        <v>46</v>
      </c>
      <c r="H3" s="39" t="s">
        <v>46</v>
      </c>
      <c r="I3" s="39" t="s">
        <v>46</v>
      </c>
      <c r="J3" s="39" t="s">
        <v>46</v>
      </c>
      <c r="K3" s="39" t="s">
        <v>46</v>
      </c>
      <c r="L3" s="39" t="s">
        <v>46</v>
      </c>
      <c r="M3" s="39" t="s">
        <v>46</v>
      </c>
      <c r="N3" s="39" t="s">
        <v>46</v>
      </c>
      <c r="O3" s="39" t="s">
        <v>45</v>
      </c>
      <c r="P3" s="39" t="s">
        <v>46</v>
      </c>
      <c r="Q3" s="39" t="s">
        <v>46</v>
      </c>
      <c r="R3" s="39" t="s">
        <v>46</v>
      </c>
      <c r="S3" s="39" t="s">
        <v>46</v>
      </c>
      <c r="T3" s="39" t="s">
        <v>46</v>
      </c>
      <c r="U3" s="39" t="s">
        <v>46</v>
      </c>
      <c r="V3" s="39"/>
      <c r="W3" s="39"/>
      <c r="X3" s="39"/>
      <c r="Y3" s="39"/>
      <c r="Z3" s="39"/>
      <c r="AA3" s="39"/>
      <c r="AB3" s="39"/>
      <c r="AC3" s="40" t="s">
        <v>226</v>
      </c>
      <c r="AD3" s="40">
        <v>2</v>
      </c>
    </row>
    <row r="4" spans="1:30" ht="22.5" customHeight="1">
      <c r="A4" s="157"/>
      <c r="B4" s="73" t="s">
        <v>103</v>
      </c>
      <c r="C4" s="38" t="s">
        <v>26</v>
      </c>
      <c r="D4" s="39" t="s">
        <v>46</v>
      </c>
      <c r="E4" s="39" t="s">
        <v>46</v>
      </c>
      <c r="F4" s="39" t="s">
        <v>45</v>
      </c>
      <c r="G4" s="39" t="s">
        <v>46</v>
      </c>
      <c r="H4" s="39" t="s">
        <v>46</v>
      </c>
      <c r="I4" s="39" t="s">
        <v>46</v>
      </c>
      <c r="J4" s="39" t="s">
        <v>46</v>
      </c>
      <c r="K4" s="39" t="s">
        <v>46</v>
      </c>
      <c r="L4" s="39" t="s">
        <v>46</v>
      </c>
      <c r="M4" s="39" t="s">
        <v>46</v>
      </c>
      <c r="N4" s="39" t="s">
        <v>46</v>
      </c>
      <c r="O4" s="39" t="s">
        <v>46</v>
      </c>
      <c r="P4" s="39" t="s">
        <v>46</v>
      </c>
      <c r="Q4" s="39" t="s">
        <v>46</v>
      </c>
      <c r="R4" s="39" t="s">
        <v>46</v>
      </c>
      <c r="S4" s="39" t="s">
        <v>46</v>
      </c>
      <c r="T4" s="39" t="s">
        <v>46</v>
      </c>
      <c r="U4" s="39" t="s">
        <v>46</v>
      </c>
      <c r="V4" s="39"/>
      <c r="W4" s="39"/>
      <c r="X4" s="39"/>
      <c r="Y4" s="39"/>
      <c r="Z4" s="39"/>
      <c r="AA4" s="39"/>
      <c r="AB4" s="39"/>
      <c r="AC4" s="40" t="s">
        <v>227</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228</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228</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t="s">
        <v>104</v>
      </c>
      <c r="E12" s="39" t="s">
        <v>104</v>
      </c>
      <c r="F12" s="39" t="s">
        <v>105</v>
      </c>
      <c r="G12" s="39" t="s">
        <v>106</v>
      </c>
      <c r="H12" s="39" t="s">
        <v>104</v>
      </c>
      <c r="I12" s="39" t="s">
        <v>104</v>
      </c>
      <c r="J12" s="39" t="s">
        <v>106</v>
      </c>
      <c r="K12" s="39" t="s">
        <v>106</v>
      </c>
      <c r="L12" s="39" t="s">
        <v>104</v>
      </c>
      <c r="M12" s="39" t="s">
        <v>106</v>
      </c>
      <c r="N12" s="39" t="s">
        <v>106</v>
      </c>
      <c r="O12" s="39" t="s">
        <v>105</v>
      </c>
      <c r="P12" s="39" t="s">
        <v>104</v>
      </c>
      <c r="Q12" s="39" t="s">
        <v>104</v>
      </c>
      <c r="R12" s="39" t="s">
        <v>104</v>
      </c>
      <c r="S12" s="39" t="s">
        <v>104</v>
      </c>
      <c r="T12" s="39" t="s">
        <v>104</v>
      </c>
      <c r="U12" s="39" t="s">
        <v>104</v>
      </c>
      <c r="V12" s="39"/>
      <c r="W12" s="39"/>
      <c r="X12" s="39"/>
      <c r="Y12" s="39"/>
      <c r="Z12" s="39"/>
      <c r="AA12" s="39"/>
      <c r="AB12" s="39"/>
    </row>
    <row r="13" spans="1:30" ht="26.25" customHeight="1">
      <c r="A13" s="44"/>
      <c r="B13" s="44"/>
      <c r="C13" s="76" t="s">
        <v>51</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60</v>
      </c>
      <c r="B15" s="153"/>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62</v>
      </c>
      <c r="B16" s="153"/>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64</v>
      </c>
      <c r="B17" s="153" t="s">
        <v>107</v>
      </c>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66</v>
      </c>
      <c r="B18" s="153" t="s">
        <v>108</v>
      </c>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68</v>
      </c>
      <c r="B19" s="153" t="s">
        <v>109</v>
      </c>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70</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72</v>
      </c>
      <c r="B21" s="153" t="s">
        <v>110</v>
      </c>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74</v>
      </c>
      <c r="B22" s="153" t="s">
        <v>111</v>
      </c>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76</v>
      </c>
      <c r="B23" s="153" t="s">
        <v>112</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78</v>
      </c>
      <c r="B24" s="153" t="s">
        <v>113</v>
      </c>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80</v>
      </c>
      <c r="B25" s="153" t="s">
        <v>114</v>
      </c>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82</v>
      </c>
      <c r="B26" s="153" t="s">
        <v>115</v>
      </c>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84</v>
      </c>
      <c r="B27" s="153"/>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86</v>
      </c>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88</v>
      </c>
      <c r="B29" s="153"/>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90</v>
      </c>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92</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94</v>
      </c>
      <c r="B32" s="153" t="s">
        <v>116</v>
      </c>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A2:A12"/>
    <mergeCell ref="B14:AB14"/>
    <mergeCell ref="B15:AB15"/>
    <mergeCell ref="B16:AB16"/>
    <mergeCell ref="B17:AB17"/>
    <mergeCell ref="B18:AB18"/>
    <mergeCell ref="B19:AB19"/>
    <mergeCell ref="B20:AB20"/>
    <mergeCell ref="B21:AB21"/>
    <mergeCell ref="B22:AB22"/>
    <mergeCell ref="B23:AB23"/>
    <mergeCell ref="B24:AB24"/>
    <mergeCell ref="B25:AB25"/>
    <mergeCell ref="B26:AB26"/>
    <mergeCell ref="B27:AB27"/>
    <mergeCell ref="B28:AB28"/>
    <mergeCell ref="B29:AB29"/>
    <mergeCell ref="B30:AB30"/>
    <mergeCell ref="B31:AB31"/>
    <mergeCell ref="B37:AB37"/>
    <mergeCell ref="B32:AB32"/>
    <mergeCell ref="B33:AB33"/>
    <mergeCell ref="B34:AB34"/>
    <mergeCell ref="B35:AB35"/>
    <mergeCell ref="B36:AB36"/>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６－２</v>
      </c>
      <c r="B1" s="34" t="str">
        <f ca="1">RIGHT(CELL("filename",B1),LEN(CELL("filename",B1))-FIND("]",CELL("filename",B1)))</f>
        <v>音楽</v>
      </c>
      <c r="C1" s="35" t="s">
        <v>25</v>
      </c>
      <c r="D1" s="36" t="str">
        <f>A15</f>
        <v>石田 真悠</v>
      </c>
      <c r="E1" s="36" t="str">
        <f>A16</f>
        <v>小口 慧乃</v>
      </c>
      <c r="F1" s="36" t="str">
        <f>A17</f>
        <v>小口 純聖</v>
      </c>
      <c r="G1" s="36" t="str">
        <f>A18</f>
        <v>上島 快斗</v>
      </c>
      <c r="H1" s="36" t="str">
        <f>A19</f>
        <v>鴨居 史佳</v>
      </c>
      <c r="I1" s="36" t="str">
        <f>A20</f>
        <v>小山 聡介</v>
      </c>
      <c r="J1" s="36" t="str">
        <f>A21</f>
        <v>鈴木 哲生</v>
      </c>
      <c r="K1" s="36" t="str">
        <f>A22</f>
        <v>武田 彩愛</v>
      </c>
      <c r="L1" s="36" t="str">
        <f>A23</f>
        <v>龍口 瑞希</v>
      </c>
      <c r="M1" s="36" t="str">
        <f>A24</f>
        <v>畠山 久奈</v>
      </c>
      <c r="N1" s="36" t="str">
        <f>A25</f>
        <v>藤原 一之祐</v>
      </c>
      <c r="O1" s="36" t="str">
        <f>A26</f>
        <v>丸山 心海</v>
      </c>
      <c r="P1" s="36" t="str">
        <f>A27</f>
        <v>南澤 志朋</v>
      </c>
      <c r="Q1" s="36" t="str">
        <f>A28</f>
        <v>宮坂 陽香</v>
      </c>
      <c r="R1" s="36" t="str">
        <f>A29</f>
        <v>師岡 慧</v>
      </c>
      <c r="S1" s="36" t="str">
        <f>A30</f>
        <v>山﨑 茉綾</v>
      </c>
      <c r="T1" s="36" t="str">
        <f>A31</f>
        <v>山田 英一</v>
      </c>
      <c r="U1" s="36" t="str">
        <f>A32</f>
        <v>山田 陽翔</v>
      </c>
      <c r="V1" s="36">
        <f>A33</f>
        <v>0</v>
      </c>
      <c r="W1" s="36">
        <f>A34</f>
        <v>0</v>
      </c>
      <c r="X1" s="36">
        <f>A35</f>
        <v>0</v>
      </c>
      <c r="Y1" s="36">
        <f>A36</f>
        <v>0</v>
      </c>
      <c r="Z1" s="36">
        <f>A37</f>
        <v>0</v>
      </c>
      <c r="AA1" s="36">
        <f>A38</f>
        <v>0</v>
      </c>
      <c r="AB1" s="36">
        <f>A39</f>
        <v>0</v>
      </c>
      <c r="AC1" s="37"/>
    </row>
    <row r="2" spans="1:30" ht="22.5" customHeight="1">
      <c r="A2" s="156" t="s">
        <v>201</v>
      </c>
      <c r="B2" s="73" t="s">
        <v>117</v>
      </c>
      <c r="C2" s="38" t="s">
        <v>26</v>
      </c>
      <c r="D2" s="39" t="s">
        <v>207</v>
      </c>
      <c r="E2" s="39" t="s">
        <v>207</v>
      </c>
      <c r="F2" s="39" t="s">
        <v>203</v>
      </c>
      <c r="G2" s="39" t="s">
        <v>203</v>
      </c>
      <c r="H2" s="39" t="s">
        <v>207</v>
      </c>
      <c r="I2" s="39" t="s">
        <v>207</v>
      </c>
      <c r="J2" s="39" t="s">
        <v>203</v>
      </c>
      <c r="K2" s="39" t="s">
        <v>210</v>
      </c>
      <c r="L2" s="39" t="s">
        <v>203</v>
      </c>
      <c r="M2" s="39" t="s">
        <v>203</v>
      </c>
      <c r="N2" s="39" t="s">
        <v>203</v>
      </c>
      <c r="O2" s="39" t="s">
        <v>207</v>
      </c>
      <c r="P2" s="39" t="s">
        <v>207</v>
      </c>
      <c r="Q2" s="39" t="s">
        <v>203</v>
      </c>
      <c r="R2" s="39" t="s">
        <v>207</v>
      </c>
      <c r="S2" s="39" t="s">
        <v>207</v>
      </c>
      <c r="T2" s="39" t="s">
        <v>203</v>
      </c>
      <c r="U2" s="39" t="s">
        <v>206</v>
      </c>
      <c r="V2" s="39"/>
      <c r="W2" s="39"/>
      <c r="X2" s="39"/>
      <c r="Y2" s="39"/>
      <c r="Z2" s="39"/>
      <c r="AA2" s="39"/>
      <c r="AB2" s="39"/>
      <c r="AC2" s="40" t="s">
        <v>206</v>
      </c>
      <c r="AD2" s="40">
        <v>1</v>
      </c>
    </row>
    <row r="3" spans="1:30" ht="22.5" customHeight="1">
      <c r="A3" s="157"/>
      <c r="B3" s="73" t="s">
        <v>118</v>
      </c>
      <c r="C3" s="38" t="s">
        <v>26</v>
      </c>
      <c r="D3" s="39" t="s">
        <v>206</v>
      </c>
      <c r="E3" s="39" t="s">
        <v>207</v>
      </c>
      <c r="F3" s="39" t="s">
        <v>210</v>
      </c>
      <c r="G3" s="39" t="s">
        <v>207</v>
      </c>
      <c r="H3" s="39" t="s">
        <v>206</v>
      </c>
      <c r="I3" s="39" t="s">
        <v>206</v>
      </c>
      <c r="J3" s="39" t="s">
        <v>203</v>
      </c>
      <c r="K3" s="39" t="s">
        <v>210</v>
      </c>
      <c r="L3" s="39" t="s">
        <v>210</v>
      </c>
      <c r="M3" s="39" t="s">
        <v>203</v>
      </c>
      <c r="N3" s="39" t="s">
        <v>206</v>
      </c>
      <c r="O3" s="39" t="s">
        <v>206</v>
      </c>
      <c r="P3" s="39" t="s">
        <v>206</v>
      </c>
      <c r="Q3" s="39" t="s">
        <v>210</v>
      </c>
      <c r="R3" s="39" t="s">
        <v>207</v>
      </c>
      <c r="S3" s="39" t="s">
        <v>206</v>
      </c>
      <c r="T3" s="39" t="s">
        <v>203</v>
      </c>
      <c r="U3" s="39" t="s">
        <v>210</v>
      </c>
      <c r="V3" s="39"/>
      <c r="W3" s="39"/>
      <c r="X3" s="39"/>
      <c r="Y3" s="39"/>
      <c r="Z3" s="39"/>
      <c r="AA3" s="39"/>
      <c r="AB3" s="39"/>
      <c r="AC3" s="40" t="s">
        <v>210</v>
      </c>
      <c r="AD3" s="40">
        <v>2</v>
      </c>
    </row>
    <row r="4" spans="1:30" ht="22.5" customHeight="1">
      <c r="A4" s="157"/>
      <c r="B4" s="73" t="s">
        <v>55</v>
      </c>
      <c r="C4" s="38" t="s">
        <v>26</v>
      </c>
      <c r="D4" s="39" t="s">
        <v>207</v>
      </c>
      <c r="E4" s="39" t="s">
        <v>206</v>
      </c>
      <c r="F4" s="39" t="s">
        <v>210</v>
      </c>
      <c r="G4" s="39" t="s">
        <v>206</v>
      </c>
      <c r="H4" s="39" t="s">
        <v>207</v>
      </c>
      <c r="I4" s="39" t="s">
        <v>206</v>
      </c>
      <c r="J4" s="39" t="s">
        <v>206</v>
      </c>
      <c r="K4" s="39" t="s">
        <v>206</v>
      </c>
      <c r="L4" s="39" t="s">
        <v>206</v>
      </c>
      <c r="M4" s="39" t="s">
        <v>206</v>
      </c>
      <c r="N4" s="39" t="s">
        <v>206</v>
      </c>
      <c r="O4" s="39" t="s">
        <v>206</v>
      </c>
      <c r="P4" s="39" t="s">
        <v>206</v>
      </c>
      <c r="Q4" s="39" t="s">
        <v>206</v>
      </c>
      <c r="R4" s="39" t="s">
        <v>206</v>
      </c>
      <c r="S4" s="39" t="s">
        <v>206</v>
      </c>
      <c r="T4" s="39" t="s">
        <v>210</v>
      </c>
      <c r="U4" s="39" t="s">
        <v>206</v>
      </c>
      <c r="V4" s="39"/>
      <c r="W4" s="39"/>
      <c r="X4" s="39"/>
      <c r="Y4" s="39"/>
      <c r="Z4" s="39"/>
      <c r="AA4" s="39"/>
      <c r="AB4" s="39"/>
      <c r="AC4" s="40" t="s">
        <v>208</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229</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211</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5</v>
      </c>
      <c r="E12" s="39">
        <v>5</v>
      </c>
      <c r="F12" s="39">
        <v>3</v>
      </c>
      <c r="G12" s="39">
        <v>4</v>
      </c>
      <c r="H12" s="39">
        <v>5</v>
      </c>
      <c r="I12" s="39">
        <v>5</v>
      </c>
      <c r="J12" s="39">
        <v>3</v>
      </c>
      <c r="K12" s="39">
        <v>3</v>
      </c>
      <c r="L12" s="39">
        <v>3</v>
      </c>
      <c r="M12" s="39">
        <v>3</v>
      </c>
      <c r="N12" s="39">
        <v>4</v>
      </c>
      <c r="O12" s="39">
        <v>5</v>
      </c>
      <c r="P12" s="39">
        <v>5</v>
      </c>
      <c r="Q12" s="39">
        <v>3</v>
      </c>
      <c r="R12" s="39">
        <v>5</v>
      </c>
      <c r="S12" s="39">
        <v>5</v>
      </c>
      <c r="T12" s="39">
        <v>3</v>
      </c>
      <c r="U12" s="39">
        <v>4</v>
      </c>
      <c r="V12" s="39"/>
      <c r="W12" s="39"/>
      <c r="X12" s="39"/>
      <c r="Y12" s="39"/>
      <c r="Z12" s="39"/>
      <c r="AA12" s="39"/>
      <c r="AB12" s="39"/>
    </row>
    <row r="13" spans="1:30" ht="26.25" customHeight="1">
      <c r="A13" s="44"/>
      <c r="B13" s="44"/>
      <c r="C13" s="76" t="s">
        <v>51</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60</v>
      </c>
      <c r="B15" s="153"/>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62</v>
      </c>
      <c r="B16" s="153"/>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64</v>
      </c>
      <c r="B17" s="153"/>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66</v>
      </c>
      <c r="B18" s="153"/>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68</v>
      </c>
      <c r="B19" s="153"/>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70</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72</v>
      </c>
      <c r="B21" s="153"/>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74</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76</v>
      </c>
      <c r="B23" s="153"/>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78</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80</v>
      </c>
      <c r="B25" s="153"/>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82</v>
      </c>
      <c r="B26" s="153"/>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84</v>
      </c>
      <c r="B27" s="153"/>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86</v>
      </c>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88</v>
      </c>
      <c r="B29" s="153"/>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90</v>
      </c>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92</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94</v>
      </c>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A2:A12"/>
    <mergeCell ref="B14:AB14"/>
    <mergeCell ref="B15:AB15"/>
    <mergeCell ref="B16:AB16"/>
    <mergeCell ref="B17:AB17"/>
    <mergeCell ref="B18:AB18"/>
    <mergeCell ref="B19:AB19"/>
    <mergeCell ref="B20:AB20"/>
    <mergeCell ref="B21:AB21"/>
    <mergeCell ref="B22:AB22"/>
    <mergeCell ref="B23:AB23"/>
    <mergeCell ref="B24:AB24"/>
    <mergeCell ref="B25:AB25"/>
    <mergeCell ref="B26:AB26"/>
    <mergeCell ref="B27:AB27"/>
    <mergeCell ref="B28:AB28"/>
    <mergeCell ref="B29:AB29"/>
    <mergeCell ref="B30:AB30"/>
    <mergeCell ref="B31:AB31"/>
    <mergeCell ref="B37:AB37"/>
    <mergeCell ref="B32:AB32"/>
    <mergeCell ref="B33:AB33"/>
    <mergeCell ref="B34:AB34"/>
    <mergeCell ref="B35:AB35"/>
    <mergeCell ref="B36:AB36"/>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６－２</v>
      </c>
      <c r="B1" s="34" t="str">
        <f ca="1">RIGHT(CELL("filename",B1),LEN(CELL("filename",B1))-FIND("]",CELL("filename",B1)))</f>
        <v>図工</v>
      </c>
      <c r="C1" s="35" t="s">
        <v>25</v>
      </c>
      <c r="D1" s="36" t="str">
        <f>A15</f>
        <v>石田 真悠</v>
      </c>
      <c r="E1" s="36" t="str">
        <f>A16</f>
        <v>小口 慧乃</v>
      </c>
      <c r="F1" s="36" t="str">
        <f>A17</f>
        <v>小口 純聖</v>
      </c>
      <c r="G1" s="36" t="str">
        <f>A18</f>
        <v>上島 快斗</v>
      </c>
      <c r="H1" s="36" t="str">
        <f>A19</f>
        <v>鴨居 史佳</v>
      </c>
      <c r="I1" s="36" t="str">
        <f>A20</f>
        <v>小山 聡介</v>
      </c>
      <c r="J1" s="36" t="str">
        <f>A21</f>
        <v>鈴木 哲生</v>
      </c>
      <c r="K1" s="36" t="str">
        <f>A22</f>
        <v>武田 彩愛</v>
      </c>
      <c r="L1" s="36" t="str">
        <f>A23</f>
        <v>龍口 瑞希</v>
      </c>
      <c r="M1" s="36" t="str">
        <f>A24</f>
        <v>畠山 久奈</v>
      </c>
      <c r="N1" s="36" t="str">
        <f>A25</f>
        <v>藤原 一之祐</v>
      </c>
      <c r="O1" s="36" t="str">
        <f>A26</f>
        <v>丸山 心海</v>
      </c>
      <c r="P1" s="36" t="str">
        <f>A27</f>
        <v>南澤 志朋</v>
      </c>
      <c r="Q1" s="36" t="str">
        <f>A28</f>
        <v>宮坂 陽香</v>
      </c>
      <c r="R1" s="36" t="str">
        <f>A29</f>
        <v>師岡 慧</v>
      </c>
      <c r="S1" s="36" t="str">
        <f>A30</f>
        <v>山﨑 茉綾</v>
      </c>
      <c r="T1" s="36" t="str">
        <f>A31</f>
        <v>山田 英一</v>
      </c>
      <c r="U1" s="36" t="str">
        <f>A32</f>
        <v>山田 陽翔</v>
      </c>
      <c r="V1" s="36">
        <f>A33</f>
        <v>0</v>
      </c>
      <c r="W1" s="36">
        <f>A34</f>
        <v>0</v>
      </c>
      <c r="X1" s="36">
        <f>A35</f>
        <v>0</v>
      </c>
      <c r="Y1" s="36">
        <f>A36</f>
        <v>0</v>
      </c>
      <c r="Z1" s="36">
        <f>A37</f>
        <v>0</v>
      </c>
      <c r="AA1" s="36">
        <f>A38</f>
        <v>0</v>
      </c>
      <c r="AB1" s="36">
        <f>A39</f>
        <v>0</v>
      </c>
      <c r="AC1" s="37"/>
    </row>
    <row r="2" spans="1:30" ht="22.5" customHeight="1">
      <c r="A2" s="156" t="s">
        <v>230</v>
      </c>
      <c r="B2" s="73" t="s">
        <v>119</v>
      </c>
      <c r="C2" s="38" t="s">
        <v>26</v>
      </c>
      <c r="D2" s="39" t="s">
        <v>231</v>
      </c>
      <c r="E2" s="39" t="s">
        <v>231</v>
      </c>
      <c r="F2" s="39" t="s">
        <v>231</v>
      </c>
      <c r="G2" s="39" t="s">
        <v>206</v>
      </c>
      <c r="H2" s="39" t="s">
        <v>231</v>
      </c>
      <c r="I2" s="39" t="s">
        <v>232</v>
      </c>
      <c r="J2" s="39" t="s">
        <v>210</v>
      </c>
      <c r="K2" s="39" t="s">
        <v>231</v>
      </c>
      <c r="L2" s="39" t="s">
        <v>210</v>
      </c>
      <c r="M2" s="39" t="s">
        <v>206</v>
      </c>
      <c r="N2" s="39" t="s">
        <v>232</v>
      </c>
      <c r="O2" s="39" t="s">
        <v>232</v>
      </c>
      <c r="P2" s="39" t="s">
        <v>210</v>
      </c>
      <c r="Q2" s="39" t="s">
        <v>210</v>
      </c>
      <c r="R2" s="39" t="s">
        <v>231</v>
      </c>
      <c r="S2" s="39" t="s">
        <v>206</v>
      </c>
      <c r="T2" s="39" t="s">
        <v>231</v>
      </c>
      <c r="U2" s="39" t="s">
        <v>206</v>
      </c>
      <c r="V2" s="39"/>
      <c r="W2" s="39"/>
      <c r="X2" s="39"/>
      <c r="Y2" s="39"/>
      <c r="Z2" s="39"/>
      <c r="AA2" s="39"/>
      <c r="AB2" s="39"/>
      <c r="AC2" s="40" t="s">
        <v>231</v>
      </c>
      <c r="AD2" s="40">
        <v>1</v>
      </c>
    </row>
    <row r="3" spans="1:30" ht="22.5" customHeight="1">
      <c r="A3" s="157"/>
      <c r="B3" s="73" t="s">
        <v>120</v>
      </c>
      <c r="C3" s="38" t="s">
        <v>26</v>
      </c>
      <c r="D3" s="39" t="s">
        <v>206</v>
      </c>
      <c r="E3" s="39" t="s">
        <v>231</v>
      </c>
      <c r="F3" s="39" t="s">
        <v>210</v>
      </c>
      <c r="G3" s="39" t="s">
        <v>206</v>
      </c>
      <c r="H3" s="39" t="s">
        <v>206</v>
      </c>
      <c r="I3" s="39" t="s">
        <v>231</v>
      </c>
      <c r="J3" s="39" t="s">
        <v>206</v>
      </c>
      <c r="K3" s="39" t="s">
        <v>206</v>
      </c>
      <c r="L3" s="39" t="s">
        <v>210</v>
      </c>
      <c r="M3" s="39" t="s">
        <v>210</v>
      </c>
      <c r="N3" s="39" t="s">
        <v>210</v>
      </c>
      <c r="O3" s="39" t="s">
        <v>206</v>
      </c>
      <c r="P3" s="39" t="s">
        <v>206</v>
      </c>
      <c r="Q3" s="39" t="s">
        <v>231</v>
      </c>
      <c r="R3" s="39" t="s">
        <v>206</v>
      </c>
      <c r="S3" s="39" t="s">
        <v>206</v>
      </c>
      <c r="T3" s="39" t="s">
        <v>206</v>
      </c>
      <c r="U3" s="39" t="s">
        <v>206</v>
      </c>
      <c r="V3" s="39"/>
      <c r="W3" s="39"/>
      <c r="X3" s="39"/>
      <c r="Y3" s="39"/>
      <c r="Z3" s="39"/>
      <c r="AA3" s="39"/>
      <c r="AB3" s="39"/>
      <c r="AC3" s="40" t="s">
        <v>210</v>
      </c>
      <c r="AD3" s="40">
        <v>2</v>
      </c>
    </row>
    <row r="4" spans="1:30" ht="22.5" customHeight="1">
      <c r="A4" s="157"/>
      <c r="B4" s="73" t="s">
        <v>121</v>
      </c>
      <c r="C4" s="38" t="s">
        <v>26</v>
      </c>
      <c r="D4" s="39" t="s">
        <v>206</v>
      </c>
      <c r="E4" s="39" t="s">
        <v>210</v>
      </c>
      <c r="F4" s="39" t="s">
        <v>210</v>
      </c>
      <c r="G4" s="39" t="s">
        <v>210</v>
      </c>
      <c r="H4" s="39" t="s">
        <v>210</v>
      </c>
      <c r="I4" s="39" t="s">
        <v>206</v>
      </c>
      <c r="J4" s="39" t="s">
        <v>232</v>
      </c>
      <c r="K4" s="39" t="s">
        <v>210</v>
      </c>
      <c r="L4" s="39" t="s">
        <v>210</v>
      </c>
      <c r="M4" s="39" t="s">
        <v>210</v>
      </c>
      <c r="N4" s="39" t="s">
        <v>210</v>
      </c>
      <c r="O4" s="39" t="s">
        <v>206</v>
      </c>
      <c r="P4" s="39" t="s">
        <v>206</v>
      </c>
      <c r="Q4" s="39" t="s">
        <v>208</v>
      </c>
      <c r="R4" s="39" t="s">
        <v>210</v>
      </c>
      <c r="S4" s="39" t="s">
        <v>210</v>
      </c>
      <c r="T4" s="39" t="s">
        <v>210</v>
      </c>
      <c r="U4" s="39" t="s">
        <v>210</v>
      </c>
      <c r="V4" s="39"/>
      <c r="W4" s="39"/>
      <c r="X4" s="39"/>
      <c r="Y4" s="39"/>
      <c r="Z4" s="39"/>
      <c r="AA4" s="39"/>
      <c r="AB4" s="39"/>
      <c r="AC4" s="40" t="s">
        <v>208</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211</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211</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5</v>
      </c>
      <c r="E12" s="39">
        <v>4</v>
      </c>
      <c r="F12" s="39">
        <v>3</v>
      </c>
      <c r="G12" s="39">
        <v>4</v>
      </c>
      <c r="H12" s="39">
        <v>4</v>
      </c>
      <c r="I12" s="39">
        <v>4</v>
      </c>
      <c r="J12" s="39">
        <v>4</v>
      </c>
      <c r="K12" s="39">
        <v>4</v>
      </c>
      <c r="L12" s="39">
        <v>3</v>
      </c>
      <c r="M12" s="39">
        <v>3</v>
      </c>
      <c r="N12" s="39">
        <v>3</v>
      </c>
      <c r="O12" s="39">
        <v>4</v>
      </c>
      <c r="P12" s="39">
        <v>4</v>
      </c>
      <c r="Q12" s="39">
        <v>3</v>
      </c>
      <c r="R12" s="39">
        <v>4</v>
      </c>
      <c r="S12" s="39">
        <v>4</v>
      </c>
      <c r="T12" s="39">
        <v>4</v>
      </c>
      <c r="U12" s="39">
        <v>4</v>
      </c>
      <c r="V12" s="39"/>
      <c r="W12" s="39"/>
      <c r="X12" s="39"/>
      <c r="Y12" s="39"/>
      <c r="Z12" s="39"/>
      <c r="AA12" s="39"/>
      <c r="AB12" s="39"/>
    </row>
    <row r="13" spans="1:30" ht="26.25" customHeight="1">
      <c r="A13" s="44"/>
      <c r="B13" s="44"/>
      <c r="C13" s="76" t="s">
        <v>51</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60</v>
      </c>
      <c r="B15" s="153"/>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62</v>
      </c>
      <c r="B16" s="153"/>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64</v>
      </c>
      <c r="B17" s="153"/>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66</v>
      </c>
      <c r="B18" s="153"/>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68</v>
      </c>
      <c r="B19" s="153"/>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70</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72</v>
      </c>
      <c r="B21" s="153"/>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74</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76</v>
      </c>
      <c r="B23" s="153"/>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78</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80</v>
      </c>
      <c r="B25" s="153"/>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82</v>
      </c>
      <c r="B26" s="153"/>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84</v>
      </c>
      <c r="B27" s="153"/>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86</v>
      </c>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88</v>
      </c>
      <c r="B29" s="153"/>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90</v>
      </c>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92</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94</v>
      </c>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A2:A12"/>
    <mergeCell ref="B14:AB14"/>
    <mergeCell ref="B15:AB15"/>
    <mergeCell ref="B16:AB16"/>
    <mergeCell ref="B17:AB17"/>
    <mergeCell ref="B18:AB18"/>
    <mergeCell ref="B19:AB19"/>
    <mergeCell ref="B20:AB20"/>
    <mergeCell ref="B21:AB21"/>
    <mergeCell ref="B22:AB22"/>
    <mergeCell ref="B23:AB23"/>
    <mergeCell ref="B24:AB24"/>
    <mergeCell ref="B25:AB25"/>
    <mergeCell ref="B26:AB26"/>
    <mergeCell ref="B27:AB27"/>
    <mergeCell ref="B28:AB28"/>
    <mergeCell ref="B29:AB29"/>
    <mergeCell ref="B30:AB30"/>
    <mergeCell ref="B31:AB31"/>
    <mergeCell ref="B37:AB37"/>
    <mergeCell ref="B32:AB32"/>
    <mergeCell ref="B33:AB33"/>
    <mergeCell ref="B34:AB34"/>
    <mergeCell ref="B35:AB35"/>
    <mergeCell ref="B36:AB36"/>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６－２</v>
      </c>
      <c r="B1" s="34" t="str">
        <f ca="1">RIGHT(CELL("filename",B1),LEN(CELL("filename",B1))-FIND("]",CELL("filename",B1)))</f>
        <v>体育</v>
      </c>
      <c r="C1" s="35" t="s">
        <v>25</v>
      </c>
      <c r="D1" s="36" t="str">
        <f>A15</f>
        <v>石田 真悠</v>
      </c>
      <c r="E1" s="36" t="str">
        <f>A16</f>
        <v>小口 慧乃</v>
      </c>
      <c r="F1" s="36" t="str">
        <f>A17</f>
        <v>小口 純聖</v>
      </c>
      <c r="G1" s="36" t="str">
        <f>A18</f>
        <v>上島 快斗</v>
      </c>
      <c r="H1" s="36" t="str">
        <f>A19</f>
        <v>鴨居 史佳</v>
      </c>
      <c r="I1" s="36" t="str">
        <f>A20</f>
        <v>小山 聡介</v>
      </c>
      <c r="J1" s="36" t="str">
        <f>A21</f>
        <v>鈴木 哲生</v>
      </c>
      <c r="K1" s="36" t="str">
        <f>A22</f>
        <v>武田 彩愛</v>
      </c>
      <c r="L1" s="36" t="str">
        <f>A23</f>
        <v>龍口 瑞希</v>
      </c>
      <c r="M1" s="36" t="str">
        <f>A24</f>
        <v>畠山 久奈</v>
      </c>
      <c r="N1" s="36" t="str">
        <f>A25</f>
        <v>藤原 一之祐</v>
      </c>
      <c r="O1" s="36" t="str">
        <f>A26</f>
        <v>丸山 心海</v>
      </c>
      <c r="P1" s="36" t="str">
        <f>A27</f>
        <v>南澤 志朋</v>
      </c>
      <c r="Q1" s="36" t="str">
        <f>A28</f>
        <v>宮坂 陽香</v>
      </c>
      <c r="R1" s="36" t="str">
        <f>A29</f>
        <v>師岡 慧</v>
      </c>
      <c r="S1" s="36" t="str">
        <f>A30</f>
        <v>山﨑 茉綾</v>
      </c>
      <c r="T1" s="36" t="str">
        <f>A31</f>
        <v>山田 英一</v>
      </c>
      <c r="U1" s="36" t="str">
        <f>A32</f>
        <v>山田 陽翔</v>
      </c>
      <c r="V1" s="36">
        <f>A33</f>
        <v>0</v>
      </c>
      <c r="W1" s="36">
        <f>A34</f>
        <v>0</v>
      </c>
      <c r="X1" s="36">
        <f>A35</f>
        <v>0</v>
      </c>
      <c r="Y1" s="36">
        <f>A36</f>
        <v>0</v>
      </c>
      <c r="Z1" s="36">
        <f>A37</f>
        <v>0</v>
      </c>
      <c r="AA1" s="36">
        <f>A38</f>
        <v>0</v>
      </c>
      <c r="AB1" s="36">
        <f>A39</f>
        <v>0</v>
      </c>
      <c r="AC1" s="37"/>
    </row>
    <row r="2" spans="1:30" ht="22.5" customHeight="1">
      <c r="A2" s="156" t="s">
        <v>233</v>
      </c>
      <c r="B2" s="73" t="s">
        <v>122</v>
      </c>
      <c r="C2" s="38" t="s">
        <v>26</v>
      </c>
      <c r="D2" s="39" t="s">
        <v>46</v>
      </c>
      <c r="E2" s="39" t="s">
        <v>46</v>
      </c>
      <c r="F2" s="39" t="s">
        <v>234</v>
      </c>
      <c r="G2" s="39" t="s">
        <v>45</v>
      </c>
      <c r="H2" s="39" t="s">
        <v>46</v>
      </c>
      <c r="I2" s="39" t="s">
        <v>46</v>
      </c>
      <c r="J2" s="39" t="s">
        <v>45</v>
      </c>
      <c r="K2" s="39" t="s">
        <v>45</v>
      </c>
      <c r="L2" s="39" t="s">
        <v>46</v>
      </c>
      <c r="M2" s="39" t="s">
        <v>45</v>
      </c>
      <c r="N2" s="39" t="s">
        <v>45</v>
      </c>
      <c r="O2" s="39" t="s">
        <v>45</v>
      </c>
      <c r="P2" s="39" t="s">
        <v>45</v>
      </c>
      <c r="Q2" s="39" t="s">
        <v>45</v>
      </c>
      <c r="R2" s="39" t="s">
        <v>45</v>
      </c>
      <c r="S2" s="39" t="s">
        <v>45</v>
      </c>
      <c r="T2" s="39" t="s">
        <v>45</v>
      </c>
      <c r="U2" s="39" t="s">
        <v>45</v>
      </c>
      <c r="V2" s="39"/>
      <c r="W2" s="39"/>
      <c r="X2" s="39"/>
      <c r="Y2" s="39"/>
      <c r="Z2" s="39"/>
      <c r="AA2" s="39"/>
      <c r="AB2" s="39"/>
      <c r="AC2" s="40" t="s">
        <v>235</v>
      </c>
      <c r="AD2" s="40">
        <v>1</v>
      </c>
    </row>
    <row r="3" spans="1:30" ht="22.5" customHeight="1">
      <c r="A3" s="157"/>
      <c r="B3" s="73" t="s">
        <v>123</v>
      </c>
      <c r="C3" s="38" t="s">
        <v>26</v>
      </c>
      <c r="D3" s="39" t="s">
        <v>46</v>
      </c>
      <c r="E3" s="39" t="s">
        <v>46</v>
      </c>
      <c r="F3" s="39" t="s">
        <v>234</v>
      </c>
      <c r="G3" s="39" t="s">
        <v>46</v>
      </c>
      <c r="H3" s="39" t="s">
        <v>46</v>
      </c>
      <c r="I3" s="39" t="s">
        <v>46</v>
      </c>
      <c r="J3" s="39" t="s">
        <v>45</v>
      </c>
      <c r="K3" s="39" t="s">
        <v>46</v>
      </c>
      <c r="L3" s="39" t="s">
        <v>46</v>
      </c>
      <c r="M3" s="39" t="s">
        <v>46</v>
      </c>
      <c r="N3" s="39" t="s">
        <v>45</v>
      </c>
      <c r="O3" s="39" t="s">
        <v>45</v>
      </c>
      <c r="P3" s="39" t="s">
        <v>46</v>
      </c>
      <c r="Q3" s="39" t="s">
        <v>46</v>
      </c>
      <c r="R3" s="39" t="s">
        <v>46</v>
      </c>
      <c r="S3" s="39" t="s">
        <v>46</v>
      </c>
      <c r="T3" s="39" t="s">
        <v>46</v>
      </c>
      <c r="U3" s="39" t="s">
        <v>46</v>
      </c>
      <c r="V3" s="39"/>
      <c r="W3" s="39"/>
      <c r="X3" s="39"/>
      <c r="Y3" s="39"/>
      <c r="Z3" s="39"/>
      <c r="AA3" s="39"/>
      <c r="AB3" s="39"/>
      <c r="AC3" s="40" t="s">
        <v>236</v>
      </c>
      <c r="AD3" s="40">
        <v>2</v>
      </c>
    </row>
    <row r="4" spans="1:30" ht="22.5" customHeight="1">
      <c r="A4" s="157"/>
      <c r="B4" s="73" t="s">
        <v>124</v>
      </c>
      <c r="C4" s="38" t="s">
        <v>26</v>
      </c>
      <c r="D4" s="39" t="s">
        <v>46</v>
      </c>
      <c r="E4" s="39" t="s">
        <v>46</v>
      </c>
      <c r="F4" s="39" t="s">
        <v>234</v>
      </c>
      <c r="G4" s="39" t="s">
        <v>46</v>
      </c>
      <c r="H4" s="39" t="s">
        <v>46</v>
      </c>
      <c r="I4" s="39" t="s">
        <v>46</v>
      </c>
      <c r="J4" s="39" t="s">
        <v>46</v>
      </c>
      <c r="K4" s="39" t="s">
        <v>46</v>
      </c>
      <c r="L4" s="39" t="s">
        <v>45</v>
      </c>
      <c r="M4" s="39" t="s">
        <v>46</v>
      </c>
      <c r="N4" s="39" t="s">
        <v>46</v>
      </c>
      <c r="O4" s="39" t="s">
        <v>45</v>
      </c>
      <c r="P4" s="39" t="s">
        <v>46</v>
      </c>
      <c r="Q4" s="39" t="s">
        <v>45</v>
      </c>
      <c r="R4" s="39" t="s">
        <v>46</v>
      </c>
      <c r="S4" s="39" t="s">
        <v>46</v>
      </c>
      <c r="T4" s="39" t="s">
        <v>46</v>
      </c>
      <c r="U4" s="39" t="s">
        <v>46</v>
      </c>
      <c r="V4" s="39"/>
      <c r="W4" s="39"/>
      <c r="X4" s="39"/>
      <c r="Y4" s="39"/>
      <c r="Z4" s="39"/>
      <c r="AA4" s="39"/>
      <c r="AB4" s="39"/>
      <c r="AC4" s="40" t="s">
        <v>208</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234</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211</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5</v>
      </c>
      <c r="E12" s="39">
        <v>5</v>
      </c>
      <c r="F12" s="39" t="s">
        <v>237</v>
      </c>
      <c r="G12" s="39">
        <v>4</v>
      </c>
      <c r="H12" s="39">
        <v>5</v>
      </c>
      <c r="I12" s="39">
        <v>5</v>
      </c>
      <c r="J12" s="39">
        <v>3</v>
      </c>
      <c r="K12" s="39">
        <v>4</v>
      </c>
      <c r="L12" s="39">
        <v>4</v>
      </c>
      <c r="M12" s="39">
        <v>4</v>
      </c>
      <c r="N12" s="39">
        <v>3</v>
      </c>
      <c r="O12" s="39">
        <v>3</v>
      </c>
      <c r="P12" s="39">
        <v>4</v>
      </c>
      <c r="Q12" s="39">
        <v>3</v>
      </c>
      <c r="R12" s="39">
        <v>4</v>
      </c>
      <c r="S12" s="39">
        <v>4</v>
      </c>
      <c r="T12" s="39">
        <v>4</v>
      </c>
      <c r="U12" s="39">
        <v>4</v>
      </c>
      <c r="V12" s="39"/>
      <c r="W12" s="39"/>
      <c r="X12" s="39"/>
      <c r="Y12" s="39"/>
      <c r="Z12" s="39"/>
      <c r="AA12" s="39"/>
      <c r="AB12" s="39"/>
    </row>
    <row r="13" spans="1:30" ht="26.25" customHeight="1">
      <c r="A13" s="44"/>
      <c r="B13" s="44"/>
      <c r="C13" s="76" t="s">
        <v>51</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60</v>
      </c>
      <c r="B15" s="153"/>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62</v>
      </c>
      <c r="B16" s="153"/>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64</v>
      </c>
      <c r="B17" s="153"/>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66</v>
      </c>
      <c r="B18" s="153"/>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68</v>
      </c>
      <c r="B19" s="153"/>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70</v>
      </c>
      <c r="B20" s="153"/>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72</v>
      </c>
      <c r="B21" s="153"/>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74</v>
      </c>
      <c r="B22" s="153"/>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76</v>
      </c>
      <c r="B23" s="153"/>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78</v>
      </c>
      <c r="B24" s="153"/>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80</v>
      </c>
      <c r="B25" s="153"/>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82</v>
      </c>
      <c r="B26" s="153"/>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84</v>
      </c>
      <c r="B27" s="153"/>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86</v>
      </c>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88</v>
      </c>
      <c r="B29" s="153"/>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90</v>
      </c>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92</v>
      </c>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94</v>
      </c>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A2:A12"/>
    <mergeCell ref="B14:AB14"/>
    <mergeCell ref="B15:AB15"/>
    <mergeCell ref="B16:AB16"/>
    <mergeCell ref="B17:AB17"/>
    <mergeCell ref="B18:AB18"/>
    <mergeCell ref="B19:AB19"/>
    <mergeCell ref="B20:AB20"/>
    <mergeCell ref="B21:AB21"/>
    <mergeCell ref="B22:AB22"/>
    <mergeCell ref="B23:AB23"/>
    <mergeCell ref="B24:AB24"/>
    <mergeCell ref="B25:AB25"/>
    <mergeCell ref="B26:AB26"/>
    <mergeCell ref="B27:AB27"/>
    <mergeCell ref="B28:AB28"/>
    <mergeCell ref="B29:AB29"/>
    <mergeCell ref="B30:AB30"/>
    <mergeCell ref="B31:AB31"/>
    <mergeCell ref="B37:AB37"/>
    <mergeCell ref="B32:AB32"/>
    <mergeCell ref="B33:AB33"/>
    <mergeCell ref="B34:AB34"/>
    <mergeCell ref="B35:AB35"/>
    <mergeCell ref="B36:AB36"/>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1"/>
  </sheetPr>
  <dimension ref="A1:AD193"/>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16384" width="9" style="8"/>
  </cols>
  <sheetData>
    <row r="1" spans="1:30" ht="85.5" customHeight="1">
      <c r="A1" s="33" t="str">
        <f ca="1">MID(CELL("filename",A1),FIND("[",CELL("filename",A1))+1,3)</f>
        <v>６－２</v>
      </c>
      <c r="B1" s="34" t="str">
        <f ca="1">RIGHT(CELL("filename",B1),LEN(CELL("filename",B1))-FIND("]",CELL("filename",B1)))</f>
        <v>家庭</v>
      </c>
      <c r="C1" s="35" t="s">
        <v>25</v>
      </c>
      <c r="D1" s="36" t="str">
        <f>A15</f>
        <v>石田 真悠</v>
      </c>
      <c r="E1" s="36" t="str">
        <f>A16</f>
        <v>小口 慧乃</v>
      </c>
      <c r="F1" s="36" t="str">
        <f>A17</f>
        <v>小口 純聖</v>
      </c>
      <c r="G1" s="36" t="str">
        <f>A18</f>
        <v>上島 快斗</v>
      </c>
      <c r="H1" s="36" t="str">
        <f>A19</f>
        <v>鴨居 史佳</v>
      </c>
      <c r="I1" s="36" t="str">
        <f>A20</f>
        <v>小山 聡介</v>
      </c>
      <c r="J1" s="36" t="str">
        <f>A21</f>
        <v>鈴木 哲生</v>
      </c>
      <c r="K1" s="36" t="str">
        <f>A22</f>
        <v>武田 彩愛</v>
      </c>
      <c r="L1" s="36" t="str">
        <f>A23</f>
        <v>龍口 瑞希</v>
      </c>
      <c r="M1" s="36" t="str">
        <f>A24</f>
        <v>畠山 久奈</v>
      </c>
      <c r="N1" s="36" t="str">
        <f>A25</f>
        <v>藤原 一之祐</v>
      </c>
      <c r="O1" s="36" t="str">
        <f>A26</f>
        <v>丸山 心海</v>
      </c>
      <c r="P1" s="36" t="str">
        <f>A27</f>
        <v>南澤 志朋</v>
      </c>
      <c r="Q1" s="36" t="str">
        <f>A28</f>
        <v>宮坂 陽香</v>
      </c>
      <c r="R1" s="36" t="str">
        <f>A29</f>
        <v>師岡 慧</v>
      </c>
      <c r="S1" s="36" t="str">
        <f>A30</f>
        <v>山﨑 茉綾</v>
      </c>
      <c r="T1" s="36" t="str">
        <f>A31</f>
        <v>山田 英一</v>
      </c>
      <c r="U1" s="36" t="str">
        <f>A32</f>
        <v>山田 陽翔</v>
      </c>
      <c r="V1" s="36">
        <f>A33</f>
        <v>0</v>
      </c>
      <c r="W1" s="36">
        <f>A34</f>
        <v>0</v>
      </c>
      <c r="X1" s="36">
        <f>A35</f>
        <v>0</v>
      </c>
      <c r="Y1" s="36">
        <f>A36</f>
        <v>0</v>
      </c>
      <c r="Z1" s="36">
        <f>A37</f>
        <v>0</v>
      </c>
      <c r="AA1" s="36">
        <f>A38</f>
        <v>0</v>
      </c>
      <c r="AB1" s="36">
        <f>A39</f>
        <v>0</v>
      </c>
      <c r="AC1" s="37"/>
    </row>
    <row r="2" spans="1:30" ht="22.5" customHeight="1">
      <c r="A2" s="156" t="s">
        <v>238</v>
      </c>
      <c r="B2" s="85" t="s">
        <v>125</v>
      </c>
      <c r="C2" s="38" t="s">
        <v>26</v>
      </c>
      <c r="D2" s="39" t="s">
        <v>239</v>
      </c>
      <c r="E2" s="39" t="s">
        <v>240</v>
      </c>
      <c r="F2" s="39" t="s">
        <v>240</v>
      </c>
      <c r="G2" s="39" t="s">
        <v>210</v>
      </c>
      <c r="H2" s="39" t="s">
        <v>240</v>
      </c>
      <c r="I2" s="39" t="s">
        <v>239</v>
      </c>
      <c r="J2" s="39" t="s">
        <v>240</v>
      </c>
      <c r="K2" s="39" t="s">
        <v>210</v>
      </c>
      <c r="L2" s="39" t="s">
        <v>210</v>
      </c>
      <c r="M2" s="39" t="s">
        <v>239</v>
      </c>
      <c r="N2" s="39" t="s">
        <v>206</v>
      </c>
      <c r="O2" s="39" t="s">
        <v>240</v>
      </c>
      <c r="P2" s="39" t="s">
        <v>206</v>
      </c>
      <c r="Q2" s="39" t="s">
        <v>210</v>
      </c>
      <c r="R2" s="39" t="s">
        <v>239</v>
      </c>
      <c r="S2" s="39" t="s">
        <v>239</v>
      </c>
      <c r="T2" s="39" t="s">
        <v>206</v>
      </c>
      <c r="U2" s="39" t="s">
        <v>239</v>
      </c>
      <c r="V2" s="39"/>
      <c r="W2" s="39"/>
      <c r="X2" s="39"/>
      <c r="Y2" s="39"/>
      <c r="Z2" s="39"/>
      <c r="AA2" s="39"/>
      <c r="AB2" s="39"/>
      <c r="AC2" s="40" t="s">
        <v>206</v>
      </c>
      <c r="AD2" s="40">
        <v>1</v>
      </c>
    </row>
    <row r="3" spans="1:30" ht="22.5" customHeight="1">
      <c r="A3" s="157"/>
      <c r="B3" s="85" t="s">
        <v>126</v>
      </c>
      <c r="C3" s="38" t="s">
        <v>26</v>
      </c>
      <c r="D3" s="39" t="s">
        <v>239</v>
      </c>
      <c r="E3" s="39" t="s">
        <v>206</v>
      </c>
      <c r="F3" s="39" t="s">
        <v>239</v>
      </c>
      <c r="G3" s="39" t="s">
        <v>206</v>
      </c>
      <c r="H3" s="39" t="s">
        <v>206</v>
      </c>
      <c r="I3" s="39" t="s">
        <v>206</v>
      </c>
      <c r="J3" s="39" t="s">
        <v>206</v>
      </c>
      <c r="K3" s="39" t="s">
        <v>206</v>
      </c>
      <c r="L3" s="39" t="s">
        <v>210</v>
      </c>
      <c r="M3" s="39" t="s">
        <v>240</v>
      </c>
      <c r="N3" s="39" t="s">
        <v>240</v>
      </c>
      <c r="O3" s="39" t="s">
        <v>206</v>
      </c>
      <c r="P3" s="39" t="s">
        <v>206</v>
      </c>
      <c r="Q3" s="39" t="s">
        <v>210</v>
      </c>
      <c r="R3" s="39" t="s">
        <v>206</v>
      </c>
      <c r="S3" s="39" t="s">
        <v>206</v>
      </c>
      <c r="T3" s="39" t="s">
        <v>239</v>
      </c>
      <c r="U3" s="39" t="s">
        <v>210</v>
      </c>
      <c r="V3" s="39"/>
      <c r="W3" s="39"/>
      <c r="X3" s="39"/>
      <c r="Y3" s="39"/>
      <c r="Z3" s="39"/>
      <c r="AA3" s="39"/>
      <c r="AB3" s="39"/>
      <c r="AC3" s="40" t="s">
        <v>210</v>
      </c>
      <c r="AD3" s="40">
        <v>2</v>
      </c>
    </row>
    <row r="4" spans="1:30" ht="22.5" customHeight="1">
      <c r="A4" s="157"/>
      <c r="B4" s="85" t="s">
        <v>241</v>
      </c>
      <c r="C4" s="38" t="s">
        <v>26</v>
      </c>
      <c r="D4" s="39" t="s">
        <v>206</v>
      </c>
      <c r="E4" s="39" t="s">
        <v>239</v>
      </c>
      <c r="F4" s="39" t="s">
        <v>210</v>
      </c>
      <c r="G4" s="39" t="s">
        <v>206</v>
      </c>
      <c r="H4" s="39" t="s">
        <v>206</v>
      </c>
      <c r="I4" s="39" t="s">
        <v>206</v>
      </c>
      <c r="J4" s="39" t="s">
        <v>206</v>
      </c>
      <c r="K4" s="39" t="s">
        <v>206</v>
      </c>
      <c r="L4" s="39" t="s">
        <v>210</v>
      </c>
      <c r="M4" s="39" t="s">
        <v>206</v>
      </c>
      <c r="N4" s="39" t="s">
        <v>206</v>
      </c>
      <c r="O4" s="39" t="s">
        <v>206</v>
      </c>
      <c r="P4" s="39" t="s">
        <v>206</v>
      </c>
      <c r="Q4" s="39" t="s">
        <v>210</v>
      </c>
      <c r="R4" s="39" t="s">
        <v>206</v>
      </c>
      <c r="S4" s="39" t="s">
        <v>206</v>
      </c>
      <c r="T4" s="39" t="s">
        <v>206</v>
      </c>
      <c r="U4" s="39" t="s">
        <v>210</v>
      </c>
      <c r="V4" s="39"/>
      <c r="W4" s="39"/>
      <c r="X4" s="39"/>
      <c r="Y4" s="39"/>
      <c r="Z4" s="39"/>
      <c r="AA4" s="39"/>
      <c r="AB4" s="39"/>
      <c r="AC4" s="40" t="s">
        <v>208</v>
      </c>
      <c r="AD4" s="40">
        <v>3</v>
      </c>
    </row>
    <row r="5" spans="1:30" ht="22.5" customHeight="1">
      <c r="A5" s="157"/>
      <c r="B5" s="41"/>
      <c r="C5" s="38" t="s">
        <v>26</v>
      </c>
      <c r="D5" s="39"/>
      <c r="E5" s="39"/>
      <c r="F5" s="39"/>
      <c r="G5" s="39"/>
      <c r="H5" s="39"/>
      <c r="I5" s="39"/>
      <c r="J5" s="39"/>
      <c r="K5" s="39"/>
      <c r="L5" s="39"/>
      <c r="M5" s="39"/>
      <c r="N5" s="39"/>
      <c r="O5" s="39"/>
      <c r="P5" s="39"/>
      <c r="Q5" s="39"/>
      <c r="R5" s="39"/>
      <c r="S5" s="39"/>
      <c r="T5" s="39"/>
      <c r="U5" s="39"/>
      <c r="V5" s="39"/>
      <c r="W5" s="39"/>
      <c r="X5" s="39"/>
      <c r="Y5" s="39"/>
      <c r="Z5" s="39"/>
      <c r="AA5" s="39"/>
      <c r="AB5" s="39"/>
      <c r="AC5" s="40" t="s">
        <v>211</v>
      </c>
      <c r="AD5" s="40">
        <v>4</v>
      </c>
    </row>
    <row r="6" spans="1:30" ht="22.5" customHeight="1">
      <c r="A6" s="157"/>
      <c r="B6" s="41"/>
      <c r="C6" s="38" t="s">
        <v>26</v>
      </c>
      <c r="D6" s="39"/>
      <c r="E6" s="39"/>
      <c r="F6" s="39"/>
      <c r="G6" s="39"/>
      <c r="H6" s="39"/>
      <c r="I6" s="39"/>
      <c r="J6" s="39"/>
      <c r="K6" s="39"/>
      <c r="L6" s="39"/>
      <c r="M6" s="39"/>
      <c r="N6" s="39"/>
      <c r="O6" s="39"/>
      <c r="P6" s="39"/>
      <c r="Q6" s="39"/>
      <c r="R6" s="39"/>
      <c r="S6" s="39"/>
      <c r="T6" s="39"/>
      <c r="U6" s="39"/>
      <c r="V6" s="39"/>
      <c r="W6" s="39"/>
      <c r="X6" s="39"/>
      <c r="Y6" s="39"/>
      <c r="Z6" s="39"/>
      <c r="AA6" s="39"/>
      <c r="AB6" s="39"/>
      <c r="AC6" s="40"/>
      <c r="AD6" s="40">
        <v>5</v>
      </c>
    </row>
    <row r="7" spans="1:30" ht="22.5" customHeight="1">
      <c r="A7" s="157"/>
      <c r="B7" s="41"/>
      <c r="C7" s="38" t="s">
        <v>26</v>
      </c>
      <c r="D7" s="39"/>
      <c r="E7" s="39"/>
      <c r="F7" s="39"/>
      <c r="G7" s="39"/>
      <c r="H7" s="39"/>
      <c r="I7" s="39"/>
      <c r="J7" s="39"/>
      <c r="K7" s="39"/>
      <c r="L7" s="39"/>
      <c r="M7" s="39"/>
      <c r="N7" s="39"/>
      <c r="O7" s="39"/>
      <c r="P7" s="39"/>
      <c r="Q7" s="39"/>
      <c r="R7" s="39"/>
      <c r="S7" s="39"/>
      <c r="T7" s="39"/>
      <c r="U7" s="39"/>
      <c r="V7" s="39"/>
      <c r="W7" s="39"/>
      <c r="X7" s="39"/>
      <c r="Y7" s="39"/>
      <c r="Z7" s="39"/>
      <c r="AA7" s="39"/>
      <c r="AB7" s="39"/>
      <c r="AC7" s="40"/>
      <c r="AD7" s="40" t="s">
        <v>211</v>
      </c>
    </row>
    <row r="8" spans="1:30" ht="22.5" customHeight="1">
      <c r="A8" s="157"/>
      <c r="B8" s="41"/>
      <c r="C8" s="38" t="s">
        <v>26</v>
      </c>
      <c r="D8" s="39"/>
      <c r="E8" s="39"/>
      <c r="F8" s="39"/>
      <c r="G8" s="39"/>
      <c r="H8" s="39"/>
      <c r="I8" s="39"/>
      <c r="J8" s="39"/>
      <c r="K8" s="39"/>
      <c r="L8" s="39"/>
      <c r="M8" s="39"/>
      <c r="N8" s="39"/>
      <c r="O8" s="39"/>
      <c r="P8" s="39"/>
      <c r="Q8" s="39"/>
      <c r="R8" s="39"/>
      <c r="S8" s="39"/>
      <c r="T8" s="39"/>
      <c r="U8" s="39"/>
      <c r="V8" s="39"/>
      <c r="W8" s="39"/>
      <c r="X8" s="39"/>
      <c r="Y8" s="39"/>
      <c r="Z8" s="39"/>
      <c r="AA8" s="39"/>
      <c r="AB8" s="39"/>
    </row>
    <row r="9" spans="1:30" ht="22.5" customHeight="1">
      <c r="A9" s="157"/>
      <c r="B9" s="41"/>
      <c r="C9" s="38" t="s">
        <v>26</v>
      </c>
      <c r="D9" s="39"/>
      <c r="E9" s="39"/>
      <c r="F9" s="39"/>
      <c r="G9" s="39"/>
      <c r="H9" s="39"/>
      <c r="I9" s="39"/>
      <c r="J9" s="39"/>
      <c r="K9" s="39"/>
      <c r="L9" s="39"/>
      <c r="M9" s="39"/>
      <c r="N9" s="39"/>
      <c r="O9" s="39"/>
      <c r="P9" s="39"/>
      <c r="Q9" s="39"/>
      <c r="R9" s="39"/>
      <c r="S9" s="39"/>
      <c r="T9" s="39"/>
      <c r="U9" s="39"/>
      <c r="V9" s="39"/>
      <c r="W9" s="39"/>
      <c r="X9" s="39"/>
      <c r="Y9" s="39"/>
      <c r="Z9" s="39"/>
      <c r="AA9" s="39"/>
      <c r="AB9" s="39"/>
    </row>
    <row r="10" spans="1:30" ht="22.5" customHeight="1">
      <c r="A10" s="157"/>
      <c r="B10" s="41"/>
      <c r="C10" s="38" t="s">
        <v>26</v>
      </c>
      <c r="D10" s="39"/>
      <c r="E10" s="39"/>
      <c r="F10" s="39"/>
      <c r="G10" s="39"/>
      <c r="H10" s="39"/>
      <c r="I10" s="39"/>
      <c r="J10" s="39"/>
      <c r="K10" s="39"/>
      <c r="L10" s="39"/>
      <c r="M10" s="39"/>
      <c r="N10" s="39"/>
      <c r="O10" s="39"/>
      <c r="P10" s="39"/>
      <c r="Q10" s="39"/>
      <c r="R10" s="39"/>
      <c r="S10" s="39"/>
      <c r="T10" s="39"/>
      <c r="U10" s="39"/>
      <c r="V10" s="39"/>
      <c r="W10" s="39"/>
      <c r="X10" s="39"/>
      <c r="Y10" s="39"/>
      <c r="Z10" s="39"/>
      <c r="AA10" s="39"/>
      <c r="AB10" s="39"/>
    </row>
    <row r="11" spans="1:30" ht="22.5" customHeight="1">
      <c r="A11" s="157"/>
      <c r="B11" s="41"/>
      <c r="C11" s="38" t="s">
        <v>26</v>
      </c>
      <c r="D11" s="39"/>
      <c r="E11" s="39"/>
      <c r="F11" s="39"/>
      <c r="G11" s="39"/>
      <c r="H11" s="39"/>
      <c r="I11" s="39"/>
      <c r="J11" s="39"/>
      <c r="K11" s="39"/>
      <c r="L11" s="39"/>
      <c r="M11" s="39"/>
      <c r="N11" s="39"/>
      <c r="O11" s="39"/>
      <c r="P11" s="39"/>
      <c r="Q11" s="39"/>
      <c r="R11" s="39"/>
      <c r="S11" s="39"/>
      <c r="T11" s="39"/>
      <c r="U11" s="39"/>
      <c r="V11" s="39"/>
      <c r="W11" s="39"/>
      <c r="X11" s="39"/>
      <c r="Y11" s="39"/>
      <c r="Z11" s="39"/>
      <c r="AA11" s="39"/>
      <c r="AB11" s="39"/>
    </row>
    <row r="12" spans="1:30" ht="30" customHeight="1">
      <c r="A12" s="158"/>
      <c r="B12" s="42"/>
      <c r="C12" s="43" t="s">
        <v>27</v>
      </c>
      <c r="D12" s="39">
        <v>5</v>
      </c>
      <c r="E12" s="39">
        <v>4</v>
      </c>
      <c r="F12" s="39">
        <v>3</v>
      </c>
      <c r="G12" s="39">
        <v>4</v>
      </c>
      <c r="H12" s="39">
        <v>4</v>
      </c>
      <c r="I12" s="39">
        <v>5</v>
      </c>
      <c r="J12" s="39">
        <v>4</v>
      </c>
      <c r="K12" s="39">
        <v>4</v>
      </c>
      <c r="L12" s="39">
        <v>3</v>
      </c>
      <c r="M12" s="39">
        <v>4</v>
      </c>
      <c r="N12" s="39">
        <v>4</v>
      </c>
      <c r="O12" s="39">
        <v>4</v>
      </c>
      <c r="P12" s="39">
        <v>5</v>
      </c>
      <c r="Q12" s="39">
        <v>3</v>
      </c>
      <c r="R12" s="39">
        <v>5</v>
      </c>
      <c r="S12" s="39">
        <v>5</v>
      </c>
      <c r="T12" s="39">
        <v>5</v>
      </c>
      <c r="U12" s="39">
        <v>3</v>
      </c>
      <c r="V12" s="39"/>
      <c r="W12" s="39"/>
      <c r="X12" s="39"/>
      <c r="Y12" s="39"/>
      <c r="Z12" s="39"/>
      <c r="AA12" s="39"/>
      <c r="AB12" s="39"/>
    </row>
    <row r="13" spans="1:30" ht="26.25" customHeight="1">
      <c r="A13" s="44"/>
      <c r="B13" s="44"/>
      <c r="C13" s="76" t="s">
        <v>51</v>
      </c>
      <c r="D13" s="39"/>
      <c r="E13" s="39"/>
      <c r="F13" s="39"/>
      <c r="G13" s="39"/>
      <c r="H13" s="39"/>
      <c r="I13" s="39"/>
      <c r="J13" s="39"/>
      <c r="K13" s="39"/>
      <c r="L13" s="39"/>
      <c r="M13" s="39"/>
      <c r="N13" s="39"/>
      <c r="O13" s="39"/>
      <c r="P13" s="39"/>
      <c r="Q13" s="39"/>
      <c r="R13" s="39"/>
      <c r="S13" s="39"/>
      <c r="T13" s="39"/>
      <c r="U13" s="39"/>
      <c r="V13" s="39"/>
      <c r="W13" s="39"/>
      <c r="X13" s="39"/>
      <c r="Y13" s="39"/>
      <c r="Z13" s="39"/>
      <c r="AA13" s="39"/>
      <c r="AB13" s="39"/>
    </row>
    <row r="14" spans="1:30" ht="22.5" customHeight="1">
      <c r="A14" s="45" t="s">
        <v>28</v>
      </c>
      <c r="B14" s="159" t="s">
        <v>29</v>
      </c>
      <c r="C14" s="160"/>
      <c r="D14" s="160"/>
      <c r="E14" s="160"/>
      <c r="F14" s="160"/>
      <c r="G14" s="160"/>
      <c r="H14" s="160"/>
      <c r="I14" s="160"/>
      <c r="J14" s="160"/>
      <c r="K14" s="160"/>
      <c r="L14" s="160"/>
      <c r="M14" s="160"/>
      <c r="N14" s="160"/>
      <c r="O14" s="160"/>
      <c r="P14" s="160"/>
      <c r="Q14" s="160"/>
      <c r="R14" s="160"/>
      <c r="S14" s="160"/>
      <c r="T14" s="160"/>
      <c r="U14" s="160"/>
      <c r="V14" s="160"/>
      <c r="W14" s="160"/>
      <c r="X14" s="160"/>
      <c r="Y14" s="160"/>
      <c r="Z14" s="160"/>
      <c r="AA14" s="160"/>
      <c r="AB14" s="161"/>
    </row>
    <row r="15" spans="1:30" ht="59.25" customHeight="1">
      <c r="A15" s="46" t="s">
        <v>60</v>
      </c>
      <c r="B15" s="153" t="s">
        <v>127</v>
      </c>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30" ht="59.25" customHeight="1">
      <c r="A16" s="46" t="s">
        <v>62</v>
      </c>
      <c r="B16" s="153" t="s">
        <v>242</v>
      </c>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59.25" customHeight="1">
      <c r="A17" s="46" t="s">
        <v>64</v>
      </c>
      <c r="B17" s="153" t="s">
        <v>128</v>
      </c>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59.25" customHeight="1">
      <c r="A18" s="46" t="s">
        <v>66</v>
      </c>
      <c r="B18" s="153" t="s">
        <v>129</v>
      </c>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59.25" customHeight="1">
      <c r="A19" s="46" t="s">
        <v>68</v>
      </c>
      <c r="B19" s="153" t="s">
        <v>130</v>
      </c>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59.25" customHeight="1">
      <c r="A20" s="46" t="s">
        <v>70</v>
      </c>
      <c r="B20" s="153" t="s">
        <v>243</v>
      </c>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59.25" customHeight="1">
      <c r="A21" s="46" t="s">
        <v>72</v>
      </c>
      <c r="B21" s="153" t="s">
        <v>131</v>
      </c>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59.25" customHeight="1">
      <c r="A22" s="46" t="s">
        <v>74</v>
      </c>
      <c r="B22" s="153" t="s">
        <v>244</v>
      </c>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59.25" customHeight="1">
      <c r="A23" s="46" t="s">
        <v>76</v>
      </c>
      <c r="B23" s="153" t="s">
        <v>132</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59.25" customHeight="1">
      <c r="A24" s="46" t="s">
        <v>78</v>
      </c>
      <c r="B24" s="153" t="s">
        <v>245</v>
      </c>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59.25" customHeight="1">
      <c r="A25" s="46" t="s">
        <v>80</v>
      </c>
      <c r="B25" s="153" t="s">
        <v>246</v>
      </c>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59.25" customHeight="1">
      <c r="A26" s="46" t="s">
        <v>82</v>
      </c>
      <c r="B26" s="153" t="s">
        <v>133</v>
      </c>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59.25" customHeight="1">
      <c r="A27" s="46" t="s">
        <v>84</v>
      </c>
      <c r="B27" s="153" t="s">
        <v>247</v>
      </c>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59.25" customHeight="1">
      <c r="A28" s="46" t="s">
        <v>86</v>
      </c>
      <c r="B28" s="153" t="s">
        <v>134</v>
      </c>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59.25" customHeight="1">
      <c r="A29" s="46" t="s">
        <v>88</v>
      </c>
      <c r="B29" s="153" t="s">
        <v>248</v>
      </c>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59.25" customHeight="1">
      <c r="A30" s="46" t="s">
        <v>90</v>
      </c>
      <c r="B30" s="153" t="s">
        <v>249</v>
      </c>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59.25" customHeight="1">
      <c r="A31" s="46" t="s">
        <v>92</v>
      </c>
      <c r="B31" s="153" t="s">
        <v>250</v>
      </c>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59.25" customHeight="1">
      <c r="A32" s="46" t="s">
        <v>94</v>
      </c>
      <c r="B32" s="153" t="s">
        <v>135</v>
      </c>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59.25" customHeight="1">
      <c r="A33" s="46"/>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59.25" customHeight="1">
      <c r="A34" s="46"/>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59.25" customHeight="1">
      <c r="A35" s="46"/>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8" ht="59.25" customHeight="1">
      <c r="A36" s="46"/>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8" ht="59.25" customHeight="1">
      <c r="A37" s="46"/>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row>
    <row r="38" spans="1:28" ht="59.25" customHeight="1">
      <c r="A38" s="46"/>
      <c r="B38" s="153"/>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5"/>
    </row>
    <row r="39" spans="1:28" ht="59.25" customHeight="1">
      <c r="A39" s="46"/>
      <c r="B39" s="153"/>
      <c r="C39" s="154"/>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5"/>
    </row>
    <row r="40" spans="1:28" ht="22.5" customHeight="1"/>
    <row r="41" spans="1:28" ht="22.5" customHeight="1"/>
    <row r="42" spans="1:28" ht="22.5" customHeight="1"/>
    <row r="43" spans="1:28" ht="2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sheetData>
  <mergeCells count="27">
    <mergeCell ref="B38:AB38"/>
    <mergeCell ref="B39:AB39"/>
    <mergeCell ref="B33:AB33"/>
    <mergeCell ref="B34:AB34"/>
    <mergeCell ref="B35:AB35"/>
    <mergeCell ref="B36:AB36"/>
    <mergeCell ref="B37:AB37"/>
    <mergeCell ref="B28:AB28"/>
    <mergeCell ref="B29:AB29"/>
    <mergeCell ref="B30:AB30"/>
    <mergeCell ref="B31:AB31"/>
    <mergeCell ref="B32:AB32"/>
    <mergeCell ref="B18:AB18"/>
    <mergeCell ref="B19:AB19"/>
    <mergeCell ref="B20:AB20"/>
    <mergeCell ref="B21:AB21"/>
    <mergeCell ref="B22:AB22"/>
    <mergeCell ref="A2:A12"/>
    <mergeCell ref="B14:AB14"/>
    <mergeCell ref="B15:AB15"/>
    <mergeCell ref="B16:AB16"/>
    <mergeCell ref="B17:AB17"/>
    <mergeCell ref="B25:AB25"/>
    <mergeCell ref="B26:AB26"/>
    <mergeCell ref="B27:AB27"/>
    <mergeCell ref="B23:AB23"/>
    <mergeCell ref="B24:AB24"/>
  </mergeCells>
  <phoneticPr fontId="1"/>
  <dataValidations count="2">
    <dataValidation type="list" allowBlank="1" showDropDown="1" showInputMessage="1" showErrorMessage="1" sqref="D2:AB11">
      <formula1>$AC$2:$AC$5</formula1>
    </dataValidation>
    <dataValidation type="list" allowBlank="1" showDropDown="1" showInputMessage="1" showErrorMessage="1" errorTitle="文字エラー" error="半角数字1～5か、評価不能の場合は-（半角マイナス）を入れて下さい。" sqref="D12:AB13">
      <formula1>$AD$2:$AD$7</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9"/>
  <sheetViews>
    <sheetView workbookViewId="0">
      <selection sqref="A1:XFD1048576"/>
    </sheetView>
  </sheetViews>
  <sheetFormatPr defaultRowHeight="13.5"/>
  <cols>
    <col min="1" max="1" width="13.5" style="8" customWidth="1"/>
    <col min="2" max="2" width="147.75" style="8" customWidth="1"/>
    <col min="3" max="16384" width="9" style="8"/>
  </cols>
  <sheetData>
    <row r="1" spans="1:3" ht="27.75" customHeight="1">
      <c r="A1" s="33" t="str">
        <f ca="1">MID(CELL("filename",A1),FIND("[",CELL("filename",A1))+1,3)</f>
        <v>６－２</v>
      </c>
      <c r="B1" s="34" t="str">
        <f ca="1">RIGHT(CELL("filename",B1),LEN(CELL("filename",B1))-FIND("]",CELL("filename",B1)))</f>
        <v>道徳</v>
      </c>
      <c r="C1" s="47" t="s">
        <v>30</v>
      </c>
    </row>
    <row r="2" spans="1:3" ht="22.5" customHeight="1">
      <c r="A2" s="45" t="s">
        <v>28</v>
      </c>
      <c r="B2" s="48" t="s">
        <v>6</v>
      </c>
      <c r="C2" s="8" t="s">
        <v>199</v>
      </c>
    </row>
    <row r="3" spans="1:3" ht="59.25" customHeight="1">
      <c r="A3" s="46" t="s">
        <v>60</v>
      </c>
      <c r="B3" s="49" t="s">
        <v>136</v>
      </c>
      <c r="C3" s="8">
        <f>LEN(B3)</f>
        <v>150</v>
      </c>
    </row>
    <row r="4" spans="1:3" ht="59.25" customHeight="1">
      <c r="A4" s="46" t="s">
        <v>62</v>
      </c>
      <c r="B4" s="49" t="s">
        <v>136</v>
      </c>
      <c r="C4" s="8">
        <f t="shared" ref="C4:C27" si="0">LEN(B4)</f>
        <v>150</v>
      </c>
    </row>
    <row r="5" spans="1:3" ht="59.25" customHeight="1">
      <c r="A5" s="46" t="s">
        <v>64</v>
      </c>
      <c r="B5" s="49" t="s">
        <v>136</v>
      </c>
      <c r="C5" s="8">
        <f t="shared" si="0"/>
        <v>150</v>
      </c>
    </row>
    <row r="6" spans="1:3" ht="59.25" customHeight="1">
      <c r="A6" s="46" t="s">
        <v>66</v>
      </c>
      <c r="B6" s="49" t="s">
        <v>136</v>
      </c>
      <c r="C6" s="8">
        <f t="shared" si="0"/>
        <v>150</v>
      </c>
    </row>
    <row r="7" spans="1:3" ht="59.25" customHeight="1">
      <c r="A7" s="46" t="s">
        <v>68</v>
      </c>
      <c r="B7" s="49" t="s">
        <v>136</v>
      </c>
      <c r="C7" s="8">
        <f t="shared" si="0"/>
        <v>150</v>
      </c>
    </row>
    <row r="8" spans="1:3" ht="59.25" customHeight="1">
      <c r="A8" s="46" t="s">
        <v>70</v>
      </c>
      <c r="B8" s="49" t="s">
        <v>136</v>
      </c>
      <c r="C8" s="8">
        <f t="shared" si="0"/>
        <v>150</v>
      </c>
    </row>
    <row r="9" spans="1:3" ht="59.25" customHeight="1">
      <c r="A9" s="46" t="s">
        <v>72</v>
      </c>
      <c r="B9" s="49" t="s">
        <v>136</v>
      </c>
      <c r="C9" s="8">
        <f t="shared" si="0"/>
        <v>150</v>
      </c>
    </row>
    <row r="10" spans="1:3" ht="59.25" customHeight="1">
      <c r="A10" s="46" t="s">
        <v>74</v>
      </c>
      <c r="B10" s="49" t="s">
        <v>136</v>
      </c>
      <c r="C10" s="8">
        <f t="shared" si="0"/>
        <v>150</v>
      </c>
    </row>
    <row r="11" spans="1:3" ht="59.25" customHeight="1">
      <c r="A11" s="46" t="s">
        <v>76</v>
      </c>
      <c r="B11" s="49" t="s">
        <v>136</v>
      </c>
      <c r="C11" s="8">
        <f t="shared" si="0"/>
        <v>150</v>
      </c>
    </row>
    <row r="12" spans="1:3" ht="59.25" customHeight="1">
      <c r="A12" s="46" t="s">
        <v>78</v>
      </c>
      <c r="B12" s="49" t="s">
        <v>136</v>
      </c>
      <c r="C12" s="8">
        <f t="shared" si="0"/>
        <v>150</v>
      </c>
    </row>
    <row r="13" spans="1:3" ht="59.25" customHeight="1">
      <c r="A13" s="46" t="s">
        <v>80</v>
      </c>
      <c r="B13" s="49" t="s">
        <v>136</v>
      </c>
      <c r="C13" s="8">
        <f t="shared" si="0"/>
        <v>150</v>
      </c>
    </row>
    <row r="14" spans="1:3" ht="59.25" customHeight="1">
      <c r="A14" s="46" t="s">
        <v>82</v>
      </c>
      <c r="B14" s="49" t="s">
        <v>136</v>
      </c>
      <c r="C14" s="8">
        <f t="shared" si="0"/>
        <v>150</v>
      </c>
    </row>
    <row r="15" spans="1:3" ht="59.25" customHeight="1">
      <c r="A15" s="46" t="s">
        <v>84</v>
      </c>
      <c r="B15" s="49" t="s">
        <v>136</v>
      </c>
      <c r="C15" s="8">
        <f t="shared" si="0"/>
        <v>150</v>
      </c>
    </row>
    <row r="16" spans="1:3" ht="59.25" customHeight="1">
      <c r="A16" s="46" t="s">
        <v>86</v>
      </c>
      <c r="B16" s="49" t="s">
        <v>136</v>
      </c>
      <c r="C16" s="8">
        <f t="shared" si="0"/>
        <v>150</v>
      </c>
    </row>
    <row r="17" spans="1:3" ht="59.25" customHeight="1">
      <c r="A17" s="46" t="s">
        <v>88</v>
      </c>
      <c r="B17" s="49" t="s">
        <v>136</v>
      </c>
      <c r="C17" s="8">
        <f t="shared" si="0"/>
        <v>150</v>
      </c>
    </row>
    <row r="18" spans="1:3" ht="59.25" customHeight="1">
      <c r="A18" s="46" t="s">
        <v>90</v>
      </c>
      <c r="B18" s="49" t="s">
        <v>136</v>
      </c>
      <c r="C18" s="8">
        <f t="shared" si="0"/>
        <v>150</v>
      </c>
    </row>
    <row r="19" spans="1:3" ht="59.25" customHeight="1">
      <c r="A19" s="46" t="s">
        <v>92</v>
      </c>
      <c r="B19" s="49" t="s">
        <v>136</v>
      </c>
      <c r="C19" s="8">
        <f t="shared" si="0"/>
        <v>150</v>
      </c>
    </row>
    <row r="20" spans="1:3" ht="59.25" customHeight="1">
      <c r="A20" s="46" t="s">
        <v>94</v>
      </c>
      <c r="B20" s="49" t="s">
        <v>136</v>
      </c>
      <c r="C20" s="8">
        <f t="shared" si="0"/>
        <v>150</v>
      </c>
    </row>
    <row r="21" spans="1:3" ht="59.25" customHeight="1">
      <c r="A21" s="46"/>
      <c r="B21" s="49"/>
      <c r="C21" s="8">
        <f t="shared" si="0"/>
        <v>0</v>
      </c>
    </row>
    <row r="22" spans="1:3" ht="59.25" customHeight="1">
      <c r="A22" s="46"/>
      <c r="B22" s="49"/>
      <c r="C22" s="8">
        <f t="shared" si="0"/>
        <v>0</v>
      </c>
    </row>
    <row r="23" spans="1:3" ht="59.25" customHeight="1">
      <c r="A23" s="46"/>
      <c r="B23" s="49"/>
      <c r="C23" s="8">
        <f t="shared" si="0"/>
        <v>0</v>
      </c>
    </row>
    <row r="24" spans="1:3" ht="59.25" customHeight="1">
      <c r="A24" s="46"/>
      <c r="B24" s="49"/>
      <c r="C24" s="8">
        <f t="shared" si="0"/>
        <v>0</v>
      </c>
    </row>
    <row r="25" spans="1:3" ht="59.25" customHeight="1">
      <c r="A25" s="46"/>
      <c r="B25" s="49"/>
      <c r="C25" s="8">
        <f t="shared" si="0"/>
        <v>0</v>
      </c>
    </row>
    <row r="26" spans="1:3" ht="59.25" customHeight="1">
      <c r="A26" s="46"/>
      <c r="B26" s="49"/>
      <c r="C26" s="8">
        <f t="shared" si="0"/>
        <v>0</v>
      </c>
    </row>
    <row r="27" spans="1:3" ht="59.25" customHeight="1">
      <c r="A27" s="46"/>
      <c r="B27" s="49"/>
      <c r="C27" s="8">
        <f t="shared" si="0"/>
        <v>0</v>
      </c>
    </row>
    <row r="28" spans="1:3" ht="22.5" customHeight="1"/>
    <row r="29" spans="1:3" ht="2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sheetData>
  <phoneticPr fontId="1"/>
  <conditionalFormatting sqref="C27 C3:C25">
    <cfRule type="cellIs" dxfId="11" priority="4" operator="greaterThan">
      <formula>200</formula>
    </cfRule>
    <cfRule type="cellIs" dxfId="10" priority="5" operator="lessThan">
      <formula>150</formula>
    </cfRule>
    <cfRule type="cellIs" dxfId="9" priority="6" operator="between">
      <formula>150</formula>
      <formula>200</formula>
    </cfRule>
  </conditionalFormatting>
  <conditionalFormatting sqref="C26">
    <cfRule type="cellIs" dxfId="8" priority="1" operator="greaterThan">
      <formula>200</formula>
    </cfRule>
    <cfRule type="cellIs" dxfId="7" priority="2" operator="lessThan">
      <formula>150</formula>
    </cfRule>
    <cfRule type="cellIs" dxfId="6" priority="3" operator="between">
      <formula>150</formula>
      <formula>200</formula>
    </cfRule>
  </conditionalFormatting>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AC202"/>
  <sheetViews>
    <sheetView workbookViewId="0">
      <selection sqref="A1:XFD1048576"/>
    </sheetView>
  </sheetViews>
  <sheetFormatPr defaultRowHeight="13.5"/>
  <cols>
    <col min="1" max="1" width="13.5" style="8" customWidth="1"/>
    <col min="2" max="2" width="79.125" style="8" customWidth="1"/>
    <col min="3" max="3" width="9.375" style="8" customWidth="1"/>
    <col min="4" max="28" width="4.125" style="8" customWidth="1"/>
    <col min="29" max="29" width="6" style="8" customWidth="1"/>
    <col min="30" max="16384" width="9" style="8"/>
  </cols>
  <sheetData>
    <row r="1" spans="1:29" ht="85.5" customHeight="1">
      <c r="A1" s="86" t="str">
        <f ca="1">MID(CELL("filename",A1),FIND("[",CELL("filename",A1))+1,3)</f>
        <v>６－２</v>
      </c>
      <c r="B1" s="50" t="s">
        <v>31</v>
      </c>
      <c r="C1" s="51" t="s">
        <v>25</v>
      </c>
      <c r="D1" s="36" t="str">
        <f>A13</f>
        <v>石田 真悠</v>
      </c>
      <c r="E1" s="36" t="str">
        <f>A14</f>
        <v>小口 慧乃</v>
      </c>
      <c r="F1" s="36" t="str">
        <f>A15</f>
        <v>小口 純聖</v>
      </c>
      <c r="G1" s="36" t="str">
        <f>A16</f>
        <v>上島 快斗</v>
      </c>
      <c r="H1" s="36" t="str">
        <f>A17</f>
        <v>鴨居 史佳</v>
      </c>
      <c r="I1" s="36" t="str">
        <f>A18</f>
        <v>小山 聡介</v>
      </c>
      <c r="J1" s="36" t="str">
        <f>A19</f>
        <v>鈴木 哲生</v>
      </c>
      <c r="K1" s="36" t="str">
        <f>A20</f>
        <v>武田 彩愛</v>
      </c>
      <c r="L1" s="36" t="str">
        <f>A21</f>
        <v>龍口 瑞希</v>
      </c>
      <c r="M1" s="36" t="str">
        <f>A22</f>
        <v>畠山 久奈</v>
      </c>
      <c r="N1" s="36" t="str">
        <f>A23</f>
        <v>藤原 一之祐</v>
      </c>
      <c r="O1" s="36" t="str">
        <f>A24</f>
        <v>丸山 心海</v>
      </c>
      <c r="P1" s="36" t="str">
        <f>A25</f>
        <v>南澤 志朋</v>
      </c>
      <c r="Q1" s="36" t="str">
        <f>A26</f>
        <v>宮坂 陽香</v>
      </c>
      <c r="R1" s="36" t="str">
        <f>A27</f>
        <v>師岡 慧</v>
      </c>
      <c r="S1" s="36" t="str">
        <f>A28</f>
        <v>山﨑 茉綾</v>
      </c>
      <c r="T1" s="36" t="str">
        <f>A29</f>
        <v>山田 英一</v>
      </c>
      <c r="U1" s="36" t="str">
        <f>A30</f>
        <v>山田 陽翔</v>
      </c>
      <c r="V1" s="36">
        <f>A31</f>
        <v>0</v>
      </c>
      <c r="W1" s="36">
        <f>A32</f>
        <v>0</v>
      </c>
      <c r="X1" s="36">
        <f>A33</f>
        <v>0</v>
      </c>
      <c r="Y1" s="36">
        <f>A34</f>
        <v>0</v>
      </c>
      <c r="Z1" s="36">
        <f>A35</f>
        <v>0</v>
      </c>
      <c r="AA1" s="36">
        <f>A36</f>
        <v>0</v>
      </c>
      <c r="AB1" s="36">
        <f>A37</f>
        <v>0</v>
      </c>
      <c r="AC1" s="37"/>
    </row>
    <row r="2" spans="1:29" ht="22.5" customHeight="1">
      <c r="A2" s="168" t="s">
        <v>32</v>
      </c>
      <c r="B2" s="84" t="s">
        <v>137</v>
      </c>
      <c r="C2" s="38" t="s">
        <v>26</v>
      </c>
      <c r="D2" s="39" t="s">
        <v>138</v>
      </c>
      <c r="E2" s="39" t="s">
        <v>45</v>
      </c>
      <c r="F2" s="39" t="s">
        <v>45</v>
      </c>
      <c r="G2" s="39" t="s">
        <v>138</v>
      </c>
      <c r="H2" s="39" t="s">
        <v>138</v>
      </c>
      <c r="I2" s="39" t="s">
        <v>138</v>
      </c>
      <c r="J2" s="39" t="s">
        <v>45</v>
      </c>
      <c r="K2" s="39" t="s">
        <v>45</v>
      </c>
      <c r="L2" s="39" t="s">
        <v>45</v>
      </c>
      <c r="M2" s="39" t="s">
        <v>138</v>
      </c>
      <c r="N2" s="39" t="s">
        <v>45</v>
      </c>
      <c r="O2" s="39" t="s">
        <v>45</v>
      </c>
      <c r="P2" s="39" t="s">
        <v>138</v>
      </c>
      <c r="Q2" s="39" t="s">
        <v>138</v>
      </c>
      <c r="R2" s="39" t="s">
        <v>45</v>
      </c>
      <c r="S2" s="39" t="s">
        <v>138</v>
      </c>
      <c r="T2" s="39" t="s">
        <v>45</v>
      </c>
      <c r="U2" s="39" t="s">
        <v>45</v>
      </c>
      <c r="V2" s="39"/>
      <c r="W2" s="39"/>
      <c r="X2" s="39"/>
      <c r="Y2" s="39"/>
      <c r="Z2" s="39"/>
      <c r="AA2" s="39"/>
      <c r="AB2" s="39"/>
      <c r="AC2" s="87" t="s">
        <v>170</v>
      </c>
    </row>
    <row r="3" spans="1:29" ht="22.5" customHeight="1">
      <c r="A3" s="169"/>
      <c r="B3" s="84" t="s">
        <v>139</v>
      </c>
      <c r="C3" s="38" t="s">
        <v>26</v>
      </c>
      <c r="D3" s="39" t="s">
        <v>138</v>
      </c>
      <c r="E3" s="39" t="s">
        <v>138</v>
      </c>
      <c r="F3" s="39" t="s">
        <v>49</v>
      </c>
      <c r="G3" s="39" t="s">
        <v>138</v>
      </c>
      <c r="H3" s="39" t="s">
        <v>138</v>
      </c>
      <c r="I3" s="39" t="s">
        <v>138</v>
      </c>
      <c r="J3" s="39" t="s">
        <v>138</v>
      </c>
      <c r="K3" s="39" t="s">
        <v>138</v>
      </c>
      <c r="L3" s="39" t="s">
        <v>138</v>
      </c>
      <c r="M3" s="39" t="s">
        <v>138</v>
      </c>
      <c r="N3" s="39" t="s">
        <v>138</v>
      </c>
      <c r="O3" s="39" t="s">
        <v>49</v>
      </c>
      <c r="P3" s="39" t="s">
        <v>138</v>
      </c>
      <c r="Q3" s="39" t="s">
        <v>138</v>
      </c>
      <c r="R3" s="39" t="s">
        <v>138</v>
      </c>
      <c r="S3" s="39" t="s">
        <v>45</v>
      </c>
      <c r="T3" s="39" t="s">
        <v>138</v>
      </c>
      <c r="U3" s="39" t="s">
        <v>138</v>
      </c>
      <c r="V3" s="39"/>
      <c r="W3" s="39"/>
      <c r="X3" s="39"/>
      <c r="Y3" s="39"/>
      <c r="Z3" s="39"/>
      <c r="AA3" s="39"/>
      <c r="AB3" s="39"/>
      <c r="AC3" s="87" t="s">
        <v>251</v>
      </c>
    </row>
    <row r="4" spans="1:29" ht="22.5" customHeight="1">
      <c r="A4" s="169"/>
      <c r="B4" s="84" t="s">
        <v>140</v>
      </c>
      <c r="C4" s="38" t="s">
        <v>26</v>
      </c>
      <c r="D4" s="39" t="s">
        <v>138</v>
      </c>
      <c r="E4" s="39" t="s">
        <v>138</v>
      </c>
      <c r="F4" s="39" t="s">
        <v>45</v>
      </c>
      <c r="G4" s="39" t="s">
        <v>45</v>
      </c>
      <c r="H4" s="39" t="s">
        <v>45</v>
      </c>
      <c r="I4" s="39" t="s">
        <v>138</v>
      </c>
      <c r="J4" s="39" t="s">
        <v>49</v>
      </c>
      <c r="K4" s="39" t="s">
        <v>138</v>
      </c>
      <c r="L4" s="39" t="s">
        <v>49</v>
      </c>
      <c r="M4" s="39" t="s">
        <v>45</v>
      </c>
      <c r="N4" s="39" t="s">
        <v>45</v>
      </c>
      <c r="O4" s="39" t="s">
        <v>45</v>
      </c>
      <c r="P4" s="39" t="s">
        <v>138</v>
      </c>
      <c r="Q4" s="39" t="s">
        <v>45</v>
      </c>
      <c r="R4" s="39" t="s">
        <v>138</v>
      </c>
      <c r="S4" s="39" t="s">
        <v>138</v>
      </c>
      <c r="T4" s="39" t="s">
        <v>138</v>
      </c>
      <c r="U4" s="39" t="s">
        <v>45</v>
      </c>
      <c r="V4" s="39"/>
      <c r="W4" s="39"/>
      <c r="X4" s="39"/>
      <c r="Y4" s="39"/>
      <c r="Z4" s="39"/>
      <c r="AA4" s="39"/>
      <c r="AB4" s="39"/>
      <c r="AC4" s="87" t="s">
        <v>57</v>
      </c>
    </row>
    <row r="5" spans="1:29" ht="22.5" customHeight="1">
      <c r="A5" s="169"/>
      <c r="B5" s="84" t="s">
        <v>141</v>
      </c>
      <c r="C5" s="38" t="s">
        <v>26</v>
      </c>
      <c r="D5" s="39" t="s">
        <v>138</v>
      </c>
      <c r="E5" s="39" t="s">
        <v>45</v>
      </c>
      <c r="F5" s="39" t="s">
        <v>138</v>
      </c>
      <c r="G5" s="39" t="s">
        <v>138</v>
      </c>
      <c r="H5" s="39" t="s">
        <v>138</v>
      </c>
      <c r="I5" s="39" t="s">
        <v>45</v>
      </c>
      <c r="J5" s="39" t="s">
        <v>45</v>
      </c>
      <c r="K5" s="39" t="s">
        <v>45</v>
      </c>
      <c r="L5" s="39" t="s">
        <v>45</v>
      </c>
      <c r="M5" s="39" t="s">
        <v>138</v>
      </c>
      <c r="N5" s="39" t="s">
        <v>138</v>
      </c>
      <c r="O5" s="39" t="s">
        <v>138</v>
      </c>
      <c r="P5" s="39" t="s">
        <v>138</v>
      </c>
      <c r="Q5" s="39" t="s">
        <v>45</v>
      </c>
      <c r="R5" s="39" t="s">
        <v>138</v>
      </c>
      <c r="S5" s="39" t="s">
        <v>138</v>
      </c>
      <c r="T5" s="39" t="s">
        <v>45</v>
      </c>
      <c r="U5" s="39" t="s">
        <v>45</v>
      </c>
      <c r="V5" s="39"/>
      <c r="W5" s="39"/>
      <c r="X5" s="39"/>
      <c r="Y5" s="39"/>
      <c r="Z5" s="39"/>
      <c r="AA5" s="39"/>
      <c r="AB5" s="39"/>
      <c r="AC5" s="87" t="s">
        <v>211</v>
      </c>
    </row>
    <row r="6" spans="1:29" ht="22.5" customHeight="1">
      <c r="A6" s="169"/>
      <c r="B6" s="84" t="s">
        <v>142</v>
      </c>
      <c r="C6" s="38" t="s">
        <v>26</v>
      </c>
      <c r="D6" s="39" t="s">
        <v>45</v>
      </c>
      <c r="E6" s="39" t="s">
        <v>45</v>
      </c>
      <c r="F6" s="39" t="s">
        <v>45</v>
      </c>
      <c r="G6" s="39" t="s">
        <v>45</v>
      </c>
      <c r="H6" s="39" t="s">
        <v>45</v>
      </c>
      <c r="I6" s="39" t="s">
        <v>45</v>
      </c>
      <c r="J6" s="39" t="s">
        <v>138</v>
      </c>
      <c r="K6" s="39" t="s">
        <v>45</v>
      </c>
      <c r="L6" s="39" t="s">
        <v>138</v>
      </c>
      <c r="M6" s="39" t="s">
        <v>45</v>
      </c>
      <c r="N6" s="39" t="s">
        <v>45</v>
      </c>
      <c r="O6" s="39" t="s">
        <v>45</v>
      </c>
      <c r="P6" s="39" t="s">
        <v>45</v>
      </c>
      <c r="Q6" s="39" t="s">
        <v>138</v>
      </c>
      <c r="R6" s="39" t="s">
        <v>45</v>
      </c>
      <c r="S6" s="39" t="s">
        <v>45</v>
      </c>
      <c r="T6" s="39" t="s">
        <v>45</v>
      </c>
      <c r="U6" s="39" t="s">
        <v>138</v>
      </c>
      <c r="V6" s="39"/>
      <c r="W6" s="39"/>
      <c r="X6" s="39"/>
      <c r="Y6" s="39"/>
      <c r="Z6" s="39"/>
      <c r="AA6" s="39"/>
      <c r="AB6" s="39"/>
    </row>
    <row r="7" spans="1:29" ht="22.5" customHeight="1">
      <c r="A7" s="169"/>
      <c r="B7" s="84" t="s">
        <v>143</v>
      </c>
      <c r="C7" s="38" t="s">
        <v>26</v>
      </c>
      <c r="D7" s="39" t="s">
        <v>138</v>
      </c>
      <c r="E7" s="39" t="s">
        <v>138</v>
      </c>
      <c r="F7" s="39" t="s">
        <v>138</v>
      </c>
      <c r="G7" s="39" t="s">
        <v>138</v>
      </c>
      <c r="H7" s="39" t="s">
        <v>45</v>
      </c>
      <c r="I7" s="39" t="s">
        <v>138</v>
      </c>
      <c r="J7" s="39" t="s">
        <v>138</v>
      </c>
      <c r="K7" s="39" t="s">
        <v>138</v>
      </c>
      <c r="L7" s="39" t="s">
        <v>45</v>
      </c>
      <c r="M7" s="39" t="s">
        <v>138</v>
      </c>
      <c r="N7" s="39" t="s">
        <v>45</v>
      </c>
      <c r="O7" s="39" t="s">
        <v>138</v>
      </c>
      <c r="P7" s="39" t="s">
        <v>138</v>
      </c>
      <c r="Q7" s="39" t="s">
        <v>45</v>
      </c>
      <c r="R7" s="39" t="s">
        <v>138</v>
      </c>
      <c r="S7" s="39" t="s">
        <v>138</v>
      </c>
      <c r="T7" s="39" t="s">
        <v>138</v>
      </c>
      <c r="U7" s="39" t="s">
        <v>45</v>
      </c>
      <c r="V7" s="39"/>
      <c r="W7" s="39"/>
      <c r="X7" s="39"/>
      <c r="Y7" s="39"/>
      <c r="Z7" s="39"/>
      <c r="AA7" s="39"/>
      <c r="AB7" s="39"/>
    </row>
    <row r="8" spans="1:29" ht="22.5" customHeight="1">
      <c r="A8" s="169"/>
      <c r="B8" s="84" t="s">
        <v>144</v>
      </c>
      <c r="C8" s="38" t="s">
        <v>26</v>
      </c>
      <c r="D8" s="39" t="s">
        <v>138</v>
      </c>
      <c r="E8" s="39" t="s">
        <v>138</v>
      </c>
      <c r="F8" s="39" t="s">
        <v>138</v>
      </c>
      <c r="G8" s="39" t="s">
        <v>138</v>
      </c>
      <c r="H8" s="39" t="s">
        <v>138</v>
      </c>
      <c r="I8" s="39" t="s">
        <v>138</v>
      </c>
      <c r="J8" s="39" t="s">
        <v>138</v>
      </c>
      <c r="K8" s="39" t="s">
        <v>138</v>
      </c>
      <c r="L8" s="39" t="s">
        <v>138</v>
      </c>
      <c r="M8" s="39" t="s">
        <v>138</v>
      </c>
      <c r="N8" s="39" t="s">
        <v>138</v>
      </c>
      <c r="O8" s="39" t="s">
        <v>138</v>
      </c>
      <c r="P8" s="39" t="s">
        <v>138</v>
      </c>
      <c r="Q8" s="39" t="s">
        <v>138</v>
      </c>
      <c r="R8" s="39" t="s">
        <v>138</v>
      </c>
      <c r="S8" s="39" t="s">
        <v>138</v>
      </c>
      <c r="T8" s="39" t="s">
        <v>138</v>
      </c>
      <c r="U8" s="39" t="s">
        <v>138</v>
      </c>
      <c r="V8" s="39"/>
      <c r="W8" s="39"/>
      <c r="X8" s="39"/>
      <c r="Y8" s="39"/>
      <c r="Z8" s="39"/>
      <c r="AA8" s="39"/>
      <c r="AB8" s="39"/>
    </row>
    <row r="9" spans="1:29" ht="22.5" customHeight="1">
      <c r="A9" s="169"/>
      <c r="B9" s="84" t="s">
        <v>145</v>
      </c>
      <c r="C9" s="38" t="s">
        <v>26</v>
      </c>
      <c r="D9" s="39" t="s">
        <v>138</v>
      </c>
      <c r="E9" s="39" t="s">
        <v>138</v>
      </c>
      <c r="F9" s="39" t="s">
        <v>45</v>
      </c>
      <c r="G9" s="39" t="s">
        <v>138</v>
      </c>
      <c r="H9" s="39" t="s">
        <v>138</v>
      </c>
      <c r="I9" s="39" t="s">
        <v>138</v>
      </c>
      <c r="J9" s="39" t="s">
        <v>45</v>
      </c>
      <c r="K9" s="39" t="s">
        <v>138</v>
      </c>
      <c r="L9" s="39" t="s">
        <v>138</v>
      </c>
      <c r="M9" s="39" t="s">
        <v>138</v>
      </c>
      <c r="N9" s="39" t="s">
        <v>138</v>
      </c>
      <c r="O9" s="39" t="s">
        <v>138</v>
      </c>
      <c r="P9" s="39" t="s">
        <v>138</v>
      </c>
      <c r="Q9" s="39" t="s">
        <v>138</v>
      </c>
      <c r="R9" s="39" t="s">
        <v>138</v>
      </c>
      <c r="S9" s="39" t="s">
        <v>138</v>
      </c>
      <c r="T9" s="39" t="s">
        <v>45</v>
      </c>
      <c r="U9" s="39" t="s">
        <v>138</v>
      </c>
      <c r="V9" s="39"/>
      <c r="W9" s="39"/>
      <c r="X9" s="39"/>
      <c r="Y9" s="39"/>
      <c r="Z9" s="39"/>
      <c r="AA9" s="39"/>
      <c r="AB9" s="39"/>
    </row>
    <row r="10" spans="1:29" ht="22.5" customHeight="1">
      <c r="A10" s="88"/>
      <c r="B10" s="71" t="s">
        <v>146</v>
      </c>
      <c r="C10" s="38" t="s">
        <v>26</v>
      </c>
      <c r="D10" s="39" t="s">
        <v>45</v>
      </c>
      <c r="E10" s="39" t="s">
        <v>138</v>
      </c>
      <c r="F10" s="39" t="s">
        <v>138</v>
      </c>
      <c r="G10" s="39" t="s">
        <v>45</v>
      </c>
      <c r="H10" s="39" t="s">
        <v>138</v>
      </c>
      <c r="I10" s="39" t="s">
        <v>45</v>
      </c>
      <c r="J10" s="39" t="s">
        <v>138</v>
      </c>
      <c r="K10" s="39" t="s">
        <v>45</v>
      </c>
      <c r="L10" s="39" t="s">
        <v>45</v>
      </c>
      <c r="M10" s="39" t="s">
        <v>45</v>
      </c>
      <c r="N10" s="39" t="s">
        <v>45</v>
      </c>
      <c r="O10" s="39" t="s">
        <v>45</v>
      </c>
      <c r="P10" s="39" t="s">
        <v>45</v>
      </c>
      <c r="Q10" s="39" t="s">
        <v>45</v>
      </c>
      <c r="R10" s="39" t="s">
        <v>138</v>
      </c>
      <c r="S10" s="39" t="s">
        <v>45</v>
      </c>
      <c r="T10" s="39" t="s">
        <v>138</v>
      </c>
      <c r="U10" s="39" t="s">
        <v>45</v>
      </c>
      <c r="V10" s="39"/>
      <c r="W10" s="39"/>
      <c r="X10" s="39"/>
      <c r="Y10" s="39"/>
      <c r="Z10" s="39"/>
      <c r="AA10" s="39"/>
      <c r="AB10" s="39"/>
    </row>
    <row r="11" spans="1:29" ht="22.5" customHeight="1">
      <c r="A11" s="88"/>
      <c r="B11" s="71" t="s">
        <v>147</v>
      </c>
      <c r="C11" s="38" t="s">
        <v>26</v>
      </c>
      <c r="D11" s="39" t="s">
        <v>138</v>
      </c>
      <c r="E11" s="39" t="s">
        <v>45</v>
      </c>
      <c r="F11" s="39" t="s">
        <v>138</v>
      </c>
      <c r="G11" s="39" t="s">
        <v>138</v>
      </c>
      <c r="H11" s="39" t="s">
        <v>45</v>
      </c>
      <c r="I11" s="39" t="s">
        <v>138</v>
      </c>
      <c r="J11" s="39" t="s">
        <v>138</v>
      </c>
      <c r="K11" s="39" t="s">
        <v>45</v>
      </c>
      <c r="L11" s="39" t="s">
        <v>45</v>
      </c>
      <c r="M11" s="39" t="s">
        <v>138</v>
      </c>
      <c r="N11" s="39" t="s">
        <v>45</v>
      </c>
      <c r="O11" s="39" t="s">
        <v>45</v>
      </c>
      <c r="P11" s="39" t="s">
        <v>45</v>
      </c>
      <c r="Q11" s="39" t="s">
        <v>45</v>
      </c>
      <c r="R11" s="39" t="s">
        <v>138</v>
      </c>
      <c r="S11" s="39" t="s">
        <v>45</v>
      </c>
      <c r="T11" s="39" t="s">
        <v>138</v>
      </c>
      <c r="U11" s="39" t="s">
        <v>138</v>
      </c>
      <c r="V11" s="39"/>
      <c r="W11" s="39"/>
      <c r="X11" s="39"/>
      <c r="Y11" s="39"/>
      <c r="Z11" s="39"/>
      <c r="AA11" s="39"/>
      <c r="AB11" s="39"/>
    </row>
    <row r="12" spans="1:29" ht="22.5" customHeight="1">
      <c r="A12" s="179" t="s">
        <v>33</v>
      </c>
      <c r="B12" s="180"/>
      <c r="C12" s="180"/>
      <c r="D12" s="180"/>
      <c r="E12" s="180"/>
      <c r="F12" s="180"/>
      <c r="G12" s="180"/>
      <c r="H12" s="180"/>
      <c r="I12" s="180"/>
      <c r="J12" s="180"/>
      <c r="K12" s="180"/>
      <c r="L12" s="180"/>
      <c r="M12" s="180"/>
      <c r="N12" s="180"/>
      <c r="O12" s="180"/>
      <c r="P12" s="180"/>
      <c r="Q12" s="180"/>
      <c r="R12" s="180"/>
      <c r="S12" s="180"/>
      <c r="T12" s="180"/>
      <c r="U12" s="180"/>
      <c r="V12" s="180"/>
      <c r="W12" s="180"/>
      <c r="X12" s="180"/>
      <c r="Y12" s="180"/>
      <c r="Z12" s="180"/>
      <c r="AA12" s="180"/>
      <c r="AB12" s="181"/>
    </row>
    <row r="13" spans="1:29" ht="22.5" customHeight="1">
      <c r="A13" s="52" t="s">
        <v>60</v>
      </c>
      <c r="B13" s="153" t="s">
        <v>148</v>
      </c>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5"/>
    </row>
    <row r="14" spans="1:29" ht="22.5" customHeight="1">
      <c r="A14" s="52" t="s">
        <v>62</v>
      </c>
      <c r="B14" s="153" t="s">
        <v>149</v>
      </c>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5"/>
    </row>
    <row r="15" spans="1:29" ht="22.5" customHeight="1">
      <c r="A15" s="52" t="s">
        <v>64</v>
      </c>
      <c r="B15" s="153" t="s">
        <v>150</v>
      </c>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29" ht="22.5" customHeight="1">
      <c r="A16" s="52" t="s">
        <v>66</v>
      </c>
      <c r="B16" s="153" t="s">
        <v>151</v>
      </c>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22.5" customHeight="1">
      <c r="A17" s="52" t="s">
        <v>68</v>
      </c>
      <c r="B17" s="153" t="s">
        <v>152</v>
      </c>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22.5" customHeight="1">
      <c r="A18" s="52" t="s">
        <v>70</v>
      </c>
      <c r="B18" s="153" t="s">
        <v>153</v>
      </c>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22.5" customHeight="1">
      <c r="A19" s="52" t="s">
        <v>72</v>
      </c>
      <c r="B19" s="153" t="s">
        <v>154</v>
      </c>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22.5" customHeight="1">
      <c r="A20" s="52" t="s">
        <v>74</v>
      </c>
      <c r="B20" s="153" t="s">
        <v>155</v>
      </c>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22.5" customHeight="1">
      <c r="A21" s="52" t="s">
        <v>76</v>
      </c>
      <c r="B21" s="153" t="s">
        <v>156</v>
      </c>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22.5" customHeight="1">
      <c r="A22" s="52" t="s">
        <v>78</v>
      </c>
      <c r="B22" s="153" t="s">
        <v>157</v>
      </c>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22.5" customHeight="1">
      <c r="A23" s="52" t="s">
        <v>80</v>
      </c>
      <c r="B23" s="153" t="s">
        <v>158</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22.5" customHeight="1">
      <c r="A24" s="52" t="s">
        <v>82</v>
      </c>
      <c r="B24" s="153" t="s">
        <v>159</v>
      </c>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22.5" customHeight="1">
      <c r="A25" s="52" t="s">
        <v>84</v>
      </c>
      <c r="B25" s="153" t="s">
        <v>160</v>
      </c>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22.5" customHeight="1">
      <c r="A26" s="52" t="s">
        <v>86</v>
      </c>
      <c r="B26" s="153" t="s">
        <v>161</v>
      </c>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22.5" customHeight="1">
      <c r="A27" s="52" t="s">
        <v>88</v>
      </c>
      <c r="B27" s="153" t="s">
        <v>162</v>
      </c>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22.5" customHeight="1">
      <c r="A28" s="52" t="s">
        <v>90</v>
      </c>
      <c r="B28" s="153" t="s">
        <v>163</v>
      </c>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22.5" customHeight="1">
      <c r="A29" s="52" t="s">
        <v>92</v>
      </c>
      <c r="B29" s="153" t="s">
        <v>164</v>
      </c>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22.5" customHeight="1">
      <c r="A30" s="52" t="s">
        <v>94</v>
      </c>
      <c r="B30" s="153" t="s">
        <v>165</v>
      </c>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22.5" customHeight="1">
      <c r="A31" s="52"/>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22.5" customHeight="1">
      <c r="A32" s="52"/>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9" ht="22.5" customHeight="1">
      <c r="A33" s="52"/>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9" ht="22.5" customHeight="1">
      <c r="A34" s="52"/>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9" ht="22.5" customHeight="1">
      <c r="A35" s="52"/>
      <c r="B35" s="153"/>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5"/>
    </row>
    <row r="36" spans="1:29" ht="22.5" customHeight="1">
      <c r="A36" s="52"/>
      <c r="B36" s="153"/>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5"/>
    </row>
    <row r="37" spans="1:29" ht="22.5" customHeight="1">
      <c r="A37" s="52"/>
      <c r="B37" s="153"/>
      <c r="C37" s="154"/>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5"/>
      <c r="AC37" s="47" t="s">
        <v>30</v>
      </c>
    </row>
    <row r="38" spans="1:29" ht="22.5" customHeight="1" thickBot="1">
      <c r="A38" s="170" t="s">
        <v>200</v>
      </c>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2"/>
      <c r="AC38" s="8" t="s">
        <v>252</v>
      </c>
    </row>
    <row r="39" spans="1:29" ht="77.25" customHeight="1" thickBot="1">
      <c r="A39" s="89" t="str">
        <f t="shared" ref="A39:A50" si="0">A13</f>
        <v>石田 真悠</v>
      </c>
      <c r="B39" s="173" t="s">
        <v>171</v>
      </c>
      <c r="C39" s="174"/>
      <c r="D39" s="174"/>
      <c r="E39" s="174"/>
      <c r="F39" s="174"/>
      <c r="G39" s="174"/>
      <c r="H39" s="174"/>
      <c r="I39" s="174"/>
      <c r="J39" s="174"/>
      <c r="K39" s="174"/>
      <c r="L39" s="174"/>
      <c r="M39" s="174"/>
      <c r="N39" s="174"/>
      <c r="O39" s="174"/>
      <c r="P39" s="174"/>
      <c r="Q39" s="174"/>
      <c r="R39" s="174"/>
      <c r="S39" s="174"/>
      <c r="T39" s="174"/>
      <c r="U39" s="174"/>
      <c r="V39" s="174"/>
      <c r="W39" s="174"/>
      <c r="X39" s="174"/>
      <c r="Y39" s="174"/>
      <c r="Z39" s="174"/>
      <c r="AA39" s="174"/>
      <c r="AB39" s="175"/>
      <c r="AC39" s="8">
        <f t="shared" ref="AC39:AC63" si="1">LEN(B39)</f>
        <v>543</v>
      </c>
    </row>
    <row r="40" spans="1:29" ht="77.25" customHeight="1" thickBot="1">
      <c r="A40" s="89" t="str">
        <f t="shared" si="0"/>
        <v>小口 慧乃</v>
      </c>
      <c r="B40" s="176" t="s">
        <v>172</v>
      </c>
      <c r="C40" s="177"/>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77"/>
      <c r="AB40" s="178"/>
      <c r="AC40" s="8">
        <f t="shared" si="1"/>
        <v>555</v>
      </c>
    </row>
    <row r="41" spans="1:29" ht="77.25" customHeight="1" thickBot="1">
      <c r="A41" s="89" t="str">
        <f t="shared" si="0"/>
        <v>小口 純聖</v>
      </c>
      <c r="B41" s="176" t="s">
        <v>173</v>
      </c>
      <c r="C41" s="177"/>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77"/>
      <c r="AB41" s="178"/>
      <c r="AC41" s="8">
        <f t="shared" si="1"/>
        <v>493</v>
      </c>
    </row>
    <row r="42" spans="1:29" ht="77.25" customHeight="1" thickBot="1">
      <c r="A42" s="89" t="str">
        <f t="shared" si="0"/>
        <v>上島 快斗</v>
      </c>
      <c r="B42" s="176" t="s">
        <v>174</v>
      </c>
      <c r="C42" s="177"/>
      <c r="D42" s="177"/>
      <c r="E42" s="177"/>
      <c r="F42" s="177"/>
      <c r="G42" s="177"/>
      <c r="H42" s="177"/>
      <c r="I42" s="177"/>
      <c r="J42" s="177"/>
      <c r="K42" s="177"/>
      <c r="L42" s="177"/>
      <c r="M42" s="177"/>
      <c r="N42" s="177"/>
      <c r="O42" s="177"/>
      <c r="P42" s="177"/>
      <c r="Q42" s="177"/>
      <c r="R42" s="177"/>
      <c r="S42" s="177"/>
      <c r="T42" s="177"/>
      <c r="U42" s="177"/>
      <c r="V42" s="177"/>
      <c r="W42" s="177"/>
      <c r="X42" s="177"/>
      <c r="Y42" s="177"/>
      <c r="Z42" s="177"/>
      <c r="AA42" s="177"/>
      <c r="AB42" s="178"/>
      <c r="AC42" s="8">
        <f t="shared" si="1"/>
        <v>577</v>
      </c>
    </row>
    <row r="43" spans="1:29" ht="77.25" customHeight="1" thickBot="1">
      <c r="A43" s="89" t="str">
        <f t="shared" si="0"/>
        <v>鴨居 史佳</v>
      </c>
      <c r="B43" s="176" t="s">
        <v>175</v>
      </c>
      <c r="C43" s="177"/>
      <c r="D43" s="177"/>
      <c r="E43" s="177"/>
      <c r="F43" s="177"/>
      <c r="G43" s="177"/>
      <c r="H43" s="177"/>
      <c r="I43" s="177"/>
      <c r="J43" s="177"/>
      <c r="K43" s="177"/>
      <c r="L43" s="177"/>
      <c r="M43" s="177"/>
      <c r="N43" s="177"/>
      <c r="O43" s="177"/>
      <c r="P43" s="177"/>
      <c r="Q43" s="177"/>
      <c r="R43" s="177"/>
      <c r="S43" s="177"/>
      <c r="T43" s="177"/>
      <c r="U43" s="177"/>
      <c r="V43" s="177"/>
      <c r="W43" s="177"/>
      <c r="X43" s="177"/>
      <c r="Y43" s="177"/>
      <c r="Z43" s="177"/>
      <c r="AA43" s="177"/>
      <c r="AB43" s="178"/>
      <c r="AC43" s="8">
        <f t="shared" si="1"/>
        <v>555</v>
      </c>
    </row>
    <row r="44" spans="1:29" ht="77.25" customHeight="1" thickBot="1">
      <c r="A44" s="89" t="str">
        <f t="shared" si="0"/>
        <v>小山 聡介</v>
      </c>
      <c r="B44" s="176" t="s">
        <v>176</v>
      </c>
      <c r="C44" s="177"/>
      <c r="D44" s="177"/>
      <c r="E44" s="177"/>
      <c r="F44" s="177"/>
      <c r="G44" s="177"/>
      <c r="H44" s="177"/>
      <c r="I44" s="177"/>
      <c r="J44" s="177"/>
      <c r="K44" s="177"/>
      <c r="L44" s="177"/>
      <c r="M44" s="177"/>
      <c r="N44" s="177"/>
      <c r="O44" s="177"/>
      <c r="P44" s="177"/>
      <c r="Q44" s="177"/>
      <c r="R44" s="177"/>
      <c r="S44" s="177"/>
      <c r="T44" s="177"/>
      <c r="U44" s="177"/>
      <c r="V44" s="177"/>
      <c r="W44" s="177"/>
      <c r="X44" s="177"/>
      <c r="Y44" s="177"/>
      <c r="Z44" s="177"/>
      <c r="AA44" s="177"/>
      <c r="AB44" s="178"/>
      <c r="AC44" s="8">
        <f t="shared" si="1"/>
        <v>586</v>
      </c>
    </row>
    <row r="45" spans="1:29" ht="77.25" customHeight="1" thickBot="1">
      <c r="A45" s="89" t="str">
        <f t="shared" si="0"/>
        <v>鈴木 哲生</v>
      </c>
      <c r="B45" s="176" t="s">
        <v>177</v>
      </c>
      <c r="C45" s="177"/>
      <c r="D45" s="177"/>
      <c r="E45" s="177"/>
      <c r="F45" s="177"/>
      <c r="G45" s="177"/>
      <c r="H45" s="177"/>
      <c r="I45" s="177"/>
      <c r="J45" s="177"/>
      <c r="K45" s="177"/>
      <c r="L45" s="177"/>
      <c r="M45" s="177"/>
      <c r="N45" s="177"/>
      <c r="O45" s="177"/>
      <c r="P45" s="177"/>
      <c r="Q45" s="177"/>
      <c r="R45" s="177"/>
      <c r="S45" s="177"/>
      <c r="T45" s="177"/>
      <c r="U45" s="177"/>
      <c r="V45" s="177"/>
      <c r="W45" s="177"/>
      <c r="X45" s="177"/>
      <c r="Y45" s="177"/>
      <c r="Z45" s="177"/>
      <c r="AA45" s="177"/>
      <c r="AB45" s="178"/>
      <c r="AC45" s="8">
        <f t="shared" si="1"/>
        <v>486</v>
      </c>
    </row>
    <row r="46" spans="1:29" ht="77.25" customHeight="1" thickBot="1">
      <c r="A46" s="89" t="str">
        <f t="shared" si="0"/>
        <v>武田 彩愛</v>
      </c>
      <c r="B46" s="176" t="s">
        <v>178</v>
      </c>
      <c r="C46" s="177"/>
      <c r="D46" s="177"/>
      <c r="E46" s="177"/>
      <c r="F46" s="177"/>
      <c r="G46" s="177"/>
      <c r="H46" s="177"/>
      <c r="I46" s="177"/>
      <c r="J46" s="177"/>
      <c r="K46" s="177"/>
      <c r="L46" s="177"/>
      <c r="M46" s="177"/>
      <c r="N46" s="177"/>
      <c r="O46" s="177"/>
      <c r="P46" s="177"/>
      <c r="Q46" s="177"/>
      <c r="R46" s="177"/>
      <c r="S46" s="177"/>
      <c r="T46" s="177"/>
      <c r="U46" s="177"/>
      <c r="V46" s="177"/>
      <c r="W46" s="177"/>
      <c r="X46" s="177"/>
      <c r="Y46" s="177"/>
      <c r="Z46" s="177"/>
      <c r="AA46" s="177"/>
      <c r="AB46" s="178"/>
      <c r="AC46" s="8">
        <f t="shared" si="1"/>
        <v>551</v>
      </c>
    </row>
    <row r="47" spans="1:29" ht="77.25" customHeight="1" thickBot="1">
      <c r="A47" s="89" t="str">
        <f t="shared" si="0"/>
        <v>龍口 瑞希</v>
      </c>
      <c r="B47" s="176" t="s">
        <v>179</v>
      </c>
      <c r="C47" s="177"/>
      <c r="D47" s="177"/>
      <c r="E47" s="177"/>
      <c r="F47" s="177"/>
      <c r="G47" s="177"/>
      <c r="H47" s="177"/>
      <c r="I47" s="177"/>
      <c r="J47" s="177"/>
      <c r="K47" s="177"/>
      <c r="L47" s="177"/>
      <c r="M47" s="177"/>
      <c r="N47" s="177"/>
      <c r="O47" s="177"/>
      <c r="P47" s="177"/>
      <c r="Q47" s="177"/>
      <c r="R47" s="177"/>
      <c r="S47" s="177"/>
      <c r="T47" s="177"/>
      <c r="U47" s="177"/>
      <c r="V47" s="177"/>
      <c r="W47" s="177"/>
      <c r="X47" s="177"/>
      <c r="Y47" s="177"/>
      <c r="Z47" s="177"/>
      <c r="AA47" s="177"/>
      <c r="AB47" s="178"/>
      <c r="AC47" s="8">
        <f t="shared" si="1"/>
        <v>603</v>
      </c>
    </row>
    <row r="48" spans="1:29" ht="77.25" customHeight="1" thickBot="1">
      <c r="A48" s="89" t="str">
        <f t="shared" si="0"/>
        <v>畠山 久奈</v>
      </c>
      <c r="B48" s="176" t="s">
        <v>180</v>
      </c>
      <c r="C48" s="177"/>
      <c r="D48" s="177"/>
      <c r="E48" s="177"/>
      <c r="F48" s="177"/>
      <c r="G48" s="177"/>
      <c r="H48" s="177"/>
      <c r="I48" s="177"/>
      <c r="J48" s="177"/>
      <c r="K48" s="177"/>
      <c r="L48" s="177"/>
      <c r="M48" s="177"/>
      <c r="N48" s="177"/>
      <c r="O48" s="177"/>
      <c r="P48" s="177"/>
      <c r="Q48" s="177"/>
      <c r="R48" s="177"/>
      <c r="S48" s="177"/>
      <c r="T48" s="177"/>
      <c r="U48" s="177"/>
      <c r="V48" s="177"/>
      <c r="W48" s="177"/>
      <c r="X48" s="177"/>
      <c r="Y48" s="177"/>
      <c r="Z48" s="177"/>
      <c r="AA48" s="177"/>
      <c r="AB48" s="178"/>
      <c r="AC48" s="8">
        <f t="shared" si="1"/>
        <v>633</v>
      </c>
    </row>
    <row r="49" spans="1:29" ht="77.25" customHeight="1" thickBot="1">
      <c r="A49" s="89" t="str">
        <f t="shared" si="0"/>
        <v>藤原 一之祐</v>
      </c>
      <c r="B49" s="176" t="s">
        <v>181</v>
      </c>
      <c r="C49" s="177"/>
      <c r="D49" s="177"/>
      <c r="E49" s="177"/>
      <c r="F49" s="177"/>
      <c r="G49" s="177"/>
      <c r="H49" s="177"/>
      <c r="I49" s="177"/>
      <c r="J49" s="177"/>
      <c r="K49" s="177"/>
      <c r="L49" s="177"/>
      <c r="M49" s="177"/>
      <c r="N49" s="177"/>
      <c r="O49" s="177"/>
      <c r="P49" s="177"/>
      <c r="Q49" s="177"/>
      <c r="R49" s="177"/>
      <c r="S49" s="177"/>
      <c r="T49" s="177"/>
      <c r="U49" s="177"/>
      <c r="V49" s="177"/>
      <c r="W49" s="177"/>
      <c r="X49" s="177"/>
      <c r="Y49" s="177"/>
      <c r="Z49" s="177"/>
      <c r="AA49" s="177"/>
      <c r="AB49" s="178"/>
      <c r="AC49" s="8">
        <f t="shared" si="1"/>
        <v>542</v>
      </c>
    </row>
    <row r="50" spans="1:29" ht="77.25" customHeight="1" thickBot="1">
      <c r="A50" s="89" t="str">
        <f t="shared" si="0"/>
        <v>丸山 心海</v>
      </c>
      <c r="B50" s="176" t="s">
        <v>182</v>
      </c>
      <c r="C50" s="177"/>
      <c r="D50" s="177"/>
      <c r="E50" s="177"/>
      <c r="F50" s="177"/>
      <c r="G50" s="177"/>
      <c r="H50" s="177"/>
      <c r="I50" s="177"/>
      <c r="J50" s="177"/>
      <c r="K50" s="177"/>
      <c r="L50" s="177"/>
      <c r="M50" s="177"/>
      <c r="N50" s="177"/>
      <c r="O50" s="177"/>
      <c r="P50" s="177"/>
      <c r="Q50" s="177"/>
      <c r="R50" s="177"/>
      <c r="S50" s="177"/>
      <c r="T50" s="177"/>
      <c r="U50" s="177"/>
      <c r="V50" s="177"/>
      <c r="W50" s="177"/>
      <c r="X50" s="177"/>
      <c r="Y50" s="177"/>
      <c r="Z50" s="177"/>
      <c r="AA50" s="177"/>
      <c r="AB50" s="178"/>
      <c r="AC50" s="8">
        <f t="shared" si="1"/>
        <v>556</v>
      </c>
    </row>
    <row r="51" spans="1:29" ht="77.25" customHeight="1" thickBot="1">
      <c r="A51" s="89" t="str">
        <f>A25</f>
        <v>南澤 志朋</v>
      </c>
      <c r="B51" s="176" t="s">
        <v>183</v>
      </c>
      <c r="C51" s="177"/>
      <c r="D51" s="177"/>
      <c r="E51" s="177"/>
      <c r="F51" s="177"/>
      <c r="G51" s="177"/>
      <c r="H51" s="177"/>
      <c r="I51" s="177"/>
      <c r="J51" s="177"/>
      <c r="K51" s="177"/>
      <c r="L51" s="177"/>
      <c r="M51" s="177"/>
      <c r="N51" s="177"/>
      <c r="O51" s="177"/>
      <c r="P51" s="177"/>
      <c r="Q51" s="177"/>
      <c r="R51" s="177"/>
      <c r="S51" s="177"/>
      <c r="T51" s="177"/>
      <c r="U51" s="177"/>
      <c r="V51" s="177"/>
      <c r="W51" s="177"/>
      <c r="X51" s="177"/>
      <c r="Y51" s="177"/>
      <c r="Z51" s="177"/>
      <c r="AA51" s="177"/>
      <c r="AB51" s="178"/>
      <c r="AC51" s="8">
        <f t="shared" si="1"/>
        <v>630</v>
      </c>
    </row>
    <row r="52" spans="1:29" ht="77.25" customHeight="1" thickBot="1">
      <c r="A52" s="89" t="str">
        <f>A26</f>
        <v>宮坂 陽香</v>
      </c>
      <c r="B52" s="176" t="s">
        <v>184</v>
      </c>
      <c r="C52" s="177"/>
      <c r="D52" s="177"/>
      <c r="E52" s="177"/>
      <c r="F52" s="177"/>
      <c r="G52" s="177"/>
      <c r="H52" s="177"/>
      <c r="I52" s="177"/>
      <c r="J52" s="177"/>
      <c r="K52" s="177"/>
      <c r="L52" s="177"/>
      <c r="M52" s="177"/>
      <c r="N52" s="177"/>
      <c r="O52" s="177"/>
      <c r="P52" s="177"/>
      <c r="Q52" s="177"/>
      <c r="R52" s="177"/>
      <c r="S52" s="177"/>
      <c r="T52" s="177"/>
      <c r="U52" s="177"/>
      <c r="V52" s="177"/>
      <c r="W52" s="177"/>
      <c r="X52" s="177"/>
      <c r="Y52" s="177"/>
      <c r="Z52" s="177"/>
      <c r="AA52" s="177"/>
      <c r="AB52" s="178"/>
      <c r="AC52" s="8">
        <f t="shared" si="1"/>
        <v>610</v>
      </c>
    </row>
    <row r="53" spans="1:29" ht="77.25" customHeight="1" thickBot="1">
      <c r="A53" s="89" t="str">
        <f t="shared" ref="A53:A63" si="2">A27</f>
        <v>師岡 慧</v>
      </c>
      <c r="B53" s="176" t="s">
        <v>185</v>
      </c>
      <c r="C53" s="177"/>
      <c r="D53" s="177"/>
      <c r="E53" s="177"/>
      <c r="F53" s="177"/>
      <c r="G53" s="177"/>
      <c r="H53" s="177"/>
      <c r="I53" s="177"/>
      <c r="J53" s="177"/>
      <c r="K53" s="177"/>
      <c r="L53" s="177"/>
      <c r="M53" s="177"/>
      <c r="N53" s="177"/>
      <c r="O53" s="177"/>
      <c r="P53" s="177"/>
      <c r="Q53" s="177"/>
      <c r="R53" s="177"/>
      <c r="S53" s="177"/>
      <c r="T53" s="177"/>
      <c r="U53" s="177"/>
      <c r="V53" s="177"/>
      <c r="W53" s="177"/>
      <c r="X53" s="177"/>
      <c r="Y53" s="177"/>
      <c r="Z53" s="177"/>
      <c r="AA53" s="177"/>
      <c r="AB53" s="178"/>
      <c r="AC53" s="8">
        <f t="shared" si="1"/>
        <v>653</v>
      </c>
    </row>
    <row r="54" spans="1:29" ht="77.25" customHeight="1" thickBot="1">
      <c r="A54" s="89" t="str">
        <f t="shared" si="2"/>
        <v>山﨑 茉綾</v>
      </c>
      <c r="B54" s="176" t="s">
        <v>186</v>
      </c>
      <c r="C54" s="177"/>
      <c r="D54" s="177"/>
      <c r="E54" s="177"/>
      <c r="F54" s="177"/>
      <c r="G54" s="177"/>
      <c r="H54" s="177"/>
      <c r="I54" s="177"/>
      <c r="J54" s="177"/>
      <c r="K54" s="177"/>
      <c r="L54" s="177"/>
      <c r="M54" s="177"/>
      <c r="N54" s="177"/>
      <c r="O54" s="177"/>
      <c r="P54" s="177"/>
      <c r="Q54" s="177"/>
      <c r="R54" s="177"/>
      <c r="S54" s="177"/>
      <c r="T54" s="177"/>
      <c r="U54" s="177"/>
      <c r="V54" s="177"/>
      <c r="W54" s="177"/>
      <c r="X54" s="177"/>
      <c r="Y54" s="177"/>
      <c r="Z54" s="177"/>
      <c r="AA54" s="177"/>
      <c r="AB54" s="178"/>
      <c r="AC54" s="8">
        <f t="shared" si="1"/>
        <v>550</v>
      </c>
    </row>
    <row r="55" spans="1:29" ht="77.25" customHeight="1" thickBot="1">
      <c r="A55" s="89" t="str">
        <f t="shared" si="2"/>
        <v>山田 英一</v>
      </c>
      <c r="B55" s="176" t="s">
        <v>187</v>
      </c>
      <c r="C55" s="177"/>
      <c r="D55" s="177"/>
      <c r="E55" s="177"/>
      <c r="F55" s="177"/>
      <c r="G55" s="177"/>
      <c r="H55" s="177"/>
      <c r="I55" s="177"/>
      <c r="J55" s="177"/>
      <c r="K55" s="177"/>
      <c r="L55" s="177"/>
      <c r="M55" s="177"/>
      <c r="N55" s="177"/>
      <c r="O55" s="177"/>
      <c r="P55" s="177"/>
      <c r="Q55" s="177"/>
      <c r="R55" s="177"/>
      <c r="S55" s="177"/>
      <c r="T55" s="177"/>
      <c r="U55" s="177"/>
      <c r="V55" s="177"/>
      <c r="W55" s="177"/>
      <c r="X55" s="177"/>
      <c r="Y55" s="177"/>
      <c r="Z55" s="177"/>
      <c r="AA55" s="177"/>
      <c r="AB55" s="178"/>
      <c r="AC55" s="8">
        <f t="shared" si="1"/>
        <v>612</v>
      </c>
    </row>
    <row r="56" spans="1:29" ht="77.25" customHeight="1" thickBot="1">
      <c r="A56" s="89" t="str">
        <f t="shared" si="2"/>
        <v>山田 陽翔</v>
      </c>
      <c r="B56" s="176" t="s">
        <v>188</v>
      </c>
      <c r="C56" s="177"/>
      <c r="D56" s="177"/>
      <c r="E56" s="177"/>
      <c r="F56" s="177"/>
      <c r="G56" s="177"/>
      <c r="H56" s="177"/>
      <c r="I56" s="177"/>
      <c r="J56" s="177"/>
      <c r="K56" s="177"/>
      <c r="L56" s="177"/>
      <c r="M56" s="177"/>
      <c r="N56" s="177"/>
      <c r="O56" s="177"/>
      <c r="P56" s="177"/>
      <c r="Q56" s="177"/>
      <c r="R56" s="177"/>
      <c r="S56" s="177"/>
      <c r="T56" s="177"/>
      <c r="U56" s="177"/>
      <c r="V56" s="177"/>
      <c r="W56" s="177"/>
      <c r="X56" s="177"/>
      <c r="Y56" s="177"/>
      <c r="Z56" s="177"/>
      <c r="AA56" s="177"/>
      <c r="AB56" s="178"/>
      <c r="AC56" s="8">
        <f t="shared" si="1"/>
        <v>642</v>
      </c>
    </row>
    <row r="57" spans="1:29" ht="77.25" customHeight="1">
      <c r="A57" s="89">
        <f t="shared" si="2"/>
        <v>0</v>
      </c>
      <c r="B57" s="182"/>
      <c r="C57" s="183"/>
      <c r="D57" s="183"/>
      <c r="E57" s="183"/>
      <c r="F57" s="183"/>
      <c r="G57" s="183"/>
      <c r="H57" s="183"/>
      <c r="I57" s="183"/>
      <c r="J57" s="183"/>
      <c r="K57" s="183"/>
      <c r="L57" s="183"/>
      <c r="M57" s="183"/>
      <c r="N57" s="183"/>
      <c r="O57" s="183"/>
      <c r="P57" s="183"/>
      <c r="Q57" s="183"/>
      <c r="R57" s="183"/>
      <c r="S57" s="183"/>
      <c r="T57" s="183"/>
      <c r="U57" s="183"/>
      <c r="V57" s="183"/>
      <c r="W57" s="183"/>
      <c r="X57" s="183"/>
      <c r="Y57" s="183"/>
      <c r="Z57" s="183"/>
      <c r="AA57" s="183"/>
      <c r="AB57" s="184"/>
      <c r="AC57" s="8">
        <f t="shared" si="1"/>
        <v>0</v>
      </c>
    </row>
    <row r="58" spans="1:29" ht="77.25" customHeight="1">
      <c r="A58" s="89">
        <f t="shared" si="2"/>
        <v>0</v>
      </c>
      <c r="B58" s="182"/>
      <c r="C58" s="183"/>
      <c r="D58" s="183"/>
      <c r="E58" s="183"/>
      <c r="F58" s="183"/>
      <c r="G58" s="183"/>
      <c r="H58" s="183"/>
      <c r="I58" s="183"/>
      <c r="J58" s="183"/>
      <c r="K58" s="183"/>
      <c r="L58" s="183"/>
      <c r="M58" s="183"/>
      <c r="N58" s="183"/>
      <c r="O58" s="183"/>
      <c r="P58" s="183"/>
      <c r="Q58" s="183"/>
      <c r="R58" s="183"/>
      <c r="S58" s="183"/>
      <c r="T58" s="183"/>
      <c r="U58" s="183"/>
      <c r="V58" s="183"/>
      <c r="W58" s="183"/>
      <c r="X58" s="183"/>
      <c r="Y58" s="183"/>
      <c r="Z58" s="183"/>
      <c r="AA58" s="183"/>
      <c r="AB58" s="184"/>
      <c r="AC58" s="8">
        <f t="shared" si="1"/>
        <v>0</v>
      </c>
    </row>
    <row r="59" spans="1:29" ht="77.25" customHeight="1">
      <c r="A59" s="89">
        <f t="shared" si="2"/>
        <v>0</v>
      </c>
      <c r="B59" s="182"/>
      <c r="C59" s="183"/>
      <c r="D59" s="183"/>
      <c r="E59" s="183"/>
      <c r="F59" s="183"/>
      <c r="G59" s="183"/>
      <c r="H59" s="183"/>
      <c r="I59" s="183"/>
      <c r="J59" s="183"/>
      <c r="K59" s="183"/>
      <c r="L59" s="183"/>
      <c r="M59" s="183"/>
      <c r="N59" s="183"/>
      <c r="O59" s="183"/>
      <c r="P59" s="183"/>
      <c r="Q59" s="183"/>
      <c r="R59" s="183"/>
      <c r="S59" s="183"/>
      <c r="T59" s="183"/>
      <c r="U59" s="183"/>
      <c r="V59" s="183"/>
      <c r="W59" s="183"/>
      <c r="X59" s="183"/>
      <c r="Y59" s="183"/>
      <c r="Z59" s="183"/>
      <c r="AA59" s="183"/>
      <c r="AB59" s="184"/>
      <c r="AC59" s="8">
        <f t="shared" si="1"/>
        <v>0</v>
      </c>
    </row>
    <row r="60" spans="1:29" ht="77.25" customHeight="1">
      <c r="A60" s="89">
        <f t="shared" si="2"/>
        <v>0</v>
      </c>
      <c r="B60" s="182"/>
      <c r="C60" s="183"/>
      <c r="D60" s="183"/>
      <c r="E60" s="183"/>
      <c r="F60" s="183"/>
      <c r="G60" s="183"/>
      <c r="H60" s="183"/>
      <c r="I60" s="183"/>
      <c r="J60" s="183"/>
      <c r="K60" s="183"/>
      <c r="L60" s="183"/>
      <c r="M60" s="183"/>
      <c r="N60" s="183"/>
      <c r="O60" s="183"/>
      <c r="P60" s="183"/>
      <c r="Q60" s="183"/>
      <c r="R60" s="183"/>
      <c r="S60" s="183"/>
      <c r="T60" s="183"/>
      <c r="U60" s="183"/>
      <c r="V60" s="183"/>
      <c r="W60" s="183"/>
      <c r="X60" s="183"/>
      <c r="Y60" s="183"/>
      <c r="Z60" s="183"/>
      <c r="AA60" s="183"/>
      <c r="AB60" s="184"/>
      <c r="AC60" s="8">
        <f t="shared" si="1"/>
        <v>0</v>
      </c>
    </row>
    <row r="61" spans="1:29" ht="77.25" customHeight="1">
      <c r="A61" s="89">
        <f t="shared" si="2"/>
        <v>0</v>
      </c>
      <c r="B61" s="182"/>
      <c r="C61" s="183"/>
      <c r="D61" s="183"/>
      <c r="E61" s="183"/>
      <c r="F61" s="183"/>
      <c r="G61" s="183"/>
      <c r="H61" s="183"/>
      <c r="I61" s="183"/>
      <c r="J61" s="183"/>
      <c r="K61" s="183"/>
      <c r="L61" s="183"/>
      <c r="M61" s="183"/>
      <c r="N61" s="183"/>
      <c r="O61" s="183"/>
      <c r="P61" s="183"/>
      <c r="Q61" s="183"/>
      <c r="R61" s="183"/>
      <c r="S61" s="183"/>
      <c r="T61" s="183"/>
      <c r="U61" s="183"/>
      <c r="V61" s="183"/>
      <c r="W61" s="183"/>
      <c r="X61" s="183"/>
      <c r="Y61" s="183"/>
      <c r="Z61" s="183"/>
      <c r="AA61" s="183"/>
      <c r="AB61" s="184"/>
      <c r="AC61" s="8">
        <f t="shared" si="1"/>
        <v>0</v>
      </c>
    </row>
    <row r="62" spans="1:29" ht="77.25" customHeight="1">
      <c r="A62" s="89">
        <f t="shared" si="2"/>
        <v>0</v>
      </c>
      <c r="B62" s="182"/>
      <c r="C62" s="183"/>
      <c r="D62" s="183"/>
      <c r="E62" s="183"/>
      <c r="F62" s="183"/>
      <c r="G62" s="183"/>
      <c r="H62" s="183"/>
      <c r="I62" s="183"/>
      <c r="J62" s="183"/>
      <c r="K62" s="183"/>
      <c r="L62" s="183"/>
      <c r="M62" s="183"/>
      <c r="N62" s="183"/>
      <c r="O62" s="183"/>
      <c r="P62" s="183"/>
      <c r="Q62" s="183"/>
      <c r="R62" s="183"/>
      <c r="S62" s="183"/>
      <c r="T62" s="183"/>
      <c r="U62" s="183"/>
      <c r="V62" s="183"/>
      <c r="W62" s="183"/>
      <c r="X62" s="183"/>
      <c r="Y62" s="183"/>
      <c r="Z62" s="183"/>
      <c r="AA62" s="183"/>
      <c r="AB62" s="184"/>
      <c r="AC62" s="8">
        <f t="shared" si="1"/>
        <v>0</v>
      </c>
    </row>
    <row r="63" spans="1:29" ht="77.25" customHeight="1">
      <c r="A63" s="89">
        <f t="shared" si="2"/>
        <v>0</v>
      </c>
      <c r="B63" s="182"/>
      <c r="C63" s="183"/>
      <c r="D63" s="183"/>
      <c r="E63" s="183"/>
      <c r="F63" s="183"/>
      <c r="G63" s="183"/>
      <c r="H63" s="183"/>
      <c r="I63" s="183"/>
      <c r="J63" s="183"/>
      <c r="K63" s="183"/>
      <c r="L63" s="183"/>
      <c r="M63" s="183"/>
      <c r="N63" s="183"/>
      <c r="O63" s="183"/>
      <c r="P63" s="183"/>
      <c r="Q63" s="183"/>
      <c r="R63" s="183"/>
      <c r="S63" s="183"/>
      <c r="T63" s="183"/>
      <c r="U63" s="183"/>
      <c r="V63" s="183"/>
      <c r="W63" s="183"/>
      <c r="X63" s="183"/>
      <c r="Y63" s="183"/>
      <c r="Z63" s="183"/>
      <c r="AA63" s="183"/>
      <c r="AB63" s="184"/>
      <c r="AC63" s="8">
        <f t="shared" si="1"/>
        <v>0</v>
      </c>
    </row>
    <row r="64" spans="1:29"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row r="194" ht="17.25" customHeight="1"/>
    <row r="195" ht="17.25" customHeight="1"/>
    <row r="196" ht="17.25" customHeight="1"/>
    <row r="197" ht="17.25" customHeight="1"/>
    <row r="198" ht="17.25" customHeight="1"/>
    <row r="199" ht="17.25" customHeight="1"/>
    <row r="200" ht="17.25" customHeight="1"/>
    <row r="201" ht="17.25" customHeight="1"/>
    <row r="202" ht="17.25" customHeight="1"/>
  </sheetData>
  <mergeCells count="53">
    <mergeCell ref="B61:AB61"/>
    <mergeCell ref="B62:AB62"/>
    <mergeCell ref="B63:AB63"/>
    <mergeCell ref="B32:AB32"/>
    <mergeCell ref="B33:AB33"/>
    <mergeCell ref="B34:AB34"/>
    <mergeCell ref="B35:AB35"/>
    <mergeCell ref="B36:AB36"/>
    <mergeCell ref="B41:AB41"/>
    <mergeCell ref="B42:AB42"/>
    <mergeCell ref="B43:AB43"/>
    <mergeCell ref="B44:AB44"/>
    <mergeCell ref="B45:AB45"/>
    <mergeCell ref="B46:AB46"/>
    <mergeCell ref="B47:AB47"/>
    <mergeCell ref="B57:AB57"/>
    <mergeCell ref="B28:AB28"/>
    <mergeCell ref="B29:AB29"/>
    <mergeCell ref="B30:AB30"/>
    <mergeCell ref="B31:AB31"/>
    <mergeCell ref="B60:AB60"/>
    <mergeCell ref="B48:AB48"/>
    <mergeCell ref="B49:AB49"/>
    <mergeCell ref="B50:AB50"/>
    <mergeCell ref="B51:AB51"/>
    <mergeCell ref="B52:AB52"/>
    <mergeCell ref="B58:AB58"/>
    <mergeCell ref="B59:AB59"/>
    <mergeCell ref="B53:AB53"/>
    <mergeCell ref="B54:AB54"/>
    <mergeCell ref="B55:AB55"/>
    <mergeCell ref="B56:AB56"/>
    <mergeCell ref="B23:AB23"/>
    <mergeCell ref="B24:AB24"/>
    <mergeCell ref="B25:AB25"/>
    <mergeCell ref="B26:AB26"/>
    <mergeCell ref="B27:AB27"/>
    <mergeCell ref="A2:A9"/>
    <mergeCell ref="B37:AB37"/>
    <mergeCell ref="A38:AB38"/>
    <mergeCell ref="B39:AB39"/>
    <mergeCell ref="B40:AB40"/>
    <mergeCell ref="A12:AB12"/>
    <mergeCell ref="B13:AB13"/>
    <mergeCell ref="B14:AB14"/>
    <mergeCell ref="B15:AB15"/>
    <mergeCell ref="B16:AB16"/>
    <mergeCell ref="B17:AB17"/>
    <mergeCell ref="B18:AB18"/>
    <mergeCell ref="B19:AB19"/>
    <mergeCell ref="B20:AB20"/>
    <mergeCell ref="B21:AB21"/>
    <mergeCell ref="B22:AB22"/>
  </mergeCells>
  <phoneticPr fontId="1"/>
  <conditionalFormatting sqref="AC39:AC50 AC52:AC63">
    <cfRule type="cellIs" dxfId="5" priority="4" operator="greaterThan">
      <formula>450</formula>
    </cfRule>
    <cfRule type="cellIs" dxfId="4" priority="5" operator="lessThan">
      <formula>400</formula>
    </cfRule>
    <cfRule type="cellIs" dxfId="3" priority="6" operator="between">
      <formula>400</formula>
      <formula>450</formula>
    </cfRule>
  </conditionalFormatting>
  <conditionalFormatting sqref="AC51">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imeMode="disabled" allowBlank="1" showDropDown="1" showInputMessage="1" showErrorMessage="1" errorTitle="全角文字エラー" error="半角ABC=を入れて下さい。" sqref="D2:AB11">
      <formula1>$AC$2:$AC$5</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AC159"/>
  <sheetViews>
    <sheetView workbookViewId="0">
      <selection sqref="A1:XFD1048576"/>
    </sheetView>
  </sheetViews>
  <sheetFormatPr defaultRowHeight="13.5"/>
  <cols>
    <col min="1" max="1" width="13.5" style="8" customWidth="1"/>
    <col min="2" max="2" width="7.5" style="8" customWidth="1"/>
    <col min="3" max="3" width="9.375" style="8" customWidth="1"/>
    <col min="4" max="28" width="6.875" style="8" customWidth="1"/>
    <col min="29" max="16384" width="9" style="8"/>
  </cols>
  <sheetData>
    <row r="1" spans="1:29" ht="85.5" customHeight="1">
      <c r="A1" s="190" t="str">
        <f ca="1">MID(CELL("filename",A1),FIND("[",CELL("filename",A1))+1,3)</f>
        <v>６－２</v>
      </c>
      <c r="B1" s="191"/>
      <c r="C1" s="192"/>
      <c r="D1" s="72" t="str">
        <f>A10</f>
        <v>石田 真悠</v>
      </c>
      <c r="E1" s="72" t="str">
        <f>A11</f>
        <v>小口 慧乃</v>
      </c>
      <c r="F1" s="72" t="str">
        <f>A12</f>
        <v>小口 純聖</v>
      </c>
      <c r="G1" s="72" t="str">
        <f>A13</f>
        <v>上島 快斗</v>
      </c>
      <c r="H1" s="72" t="str">
        <f>A14</f>
        <v>鴨居 史佳</v>
      </c>
      <c r="I1" s="72" t="str">
        <f>A15</f>
        <v>小山 聡介</v>
      </c>
      <c r="J1" s="72" t="str">
        <f>A16</f>
        <v>鈴木 哲生</v>
      </c>
      <c r="K1" s="72" t="str">
        <f>A17</f>
        <v>武田 彩愛</v>
      </c>
      <c r="L1" s="72" t="str">
        <f>A18</f>
        <v>龍口 瑞希</v>
      </c>
      <c r="M1" s="72" t="str">
        <f>A19</f>
        <v>畠山 久奈</v>
      </c>
      <c r="N1" s="72" t="str">
        <f>A20</f>
        <v>藤原 一之祐</v>
      </c>
      <c r="O1" s="72" t="str">
        <f>A21</f>
        <v>丸山 心海</v>
      </c>
      <c r="P1" s="72" t="str">
        <f>A22</f>
        <v>南澤 志朋</v>
      </c>
      <c r="Q1" s="72" t="str">
        <f>A23</f>
        <v>宮坂 陽香</v>
      </c>
      <c r="R1" s="72" t="str">
        <f>A24</f>
        <v>師岡 慧</v>
      </c>
      <c r="S1" s="72" t="str">
        <f>A25</f>
        <v>山﨑 茉綾</v>
      </c>
      <c r="T1" s="72" t="str">
        <f>A26</f>
        <v>山田 英一</v>
      </c>
      <c r="U1" s="72" t="str">
        <f>A27</f>
        <v>山田 陽翔</v>
      </c>
      <c r="V1" s="72">
        <f>A28</f>
        <v>0</v>
      </c>
      <c r="W1" s="72">
        <f>A29</f>
        <v>0</v>
      </c>
      <c r="X1" s="72">
        <f>A30</f>
        <v>0</v>
      </c>
      <c r="Y1" s="72">
        <f>A31</f>
        <v>0</v>
      </c>
      <c r="Z1" s="72">
        <f>A32</f>
        <v>0</v>
      </c>
      <c r="AA1" s="72">
        <f>A33</f>
        <v>0</v>
      </c>
      <c r="AB1" s="72">
        <f>A34</f>
        <v>0</v>
      </c>
      <c r="AC1" s="37"/>
    </row>
    <row r="2" spans="1:29" ht="22.5" customHeight="1">
      <c r="A2" s="189" t="s">
        <v>34</v>
      </c>
      <c r="B2" s="189"/>
      <c r="C2" s="189"/>
      <c r="D2" s="53">
        <v>76</v>
      </c>
      <c r="E2" s="53">
        <v>76</v>
      </c>
      <c r="F2" s="53">
        <v>76</v>
      </c>
      <c r="G2" s="53">
        <v>76</v>
      </c>
      <c r="H2" s="53">
        <v>76</v>
      </c>
      <c r="I2" s="53">
        <v>76</v>
      </c>
      <c r="J2" s="53">
        <v>76</v>
      </c>
      <c r="K2" s="53">
        <v>76</v>
      </c>
      <c r="L2" s="53">
        <v>76</v>
      </c>
      <c r="M2" s="53">
        <v>76</v>
      </c>
      <c r="N2" s="53">
        <v>76</v>
      </c>
      <c r="O2" s="53">
        <v>76</v>
      </c>
      <c r="P2" s="53">
        <v>76</v>
      </c>
      <c r="Q2" s="53">
        <v>76</v>
      </c>
      <c r="R2" s="53">
        <v>76</v>
      </c>
      <c r="S2" s="53">
        <v>76</v>
      </c>
      <c r="T2" s="53">
        <v>76</v>
      </c>
      <c r="U2" s="53">
        <v>76</v>
      </c>
      <c r="V2" s="53"/>
      <c r="W2" s="53"/>
      <c r="X2" s="53"/>
      <c r="Y2" s="53"/>
      <c r="Z2" s="53"/>
      <c r="AA2" s="53"/>
      <c r="AB2" s="53"/>
    </row>
    <row r="3" spans="1:29" ht="22.5" customHeight="1">
      <c r="A3" s="189" t="s">
        <v>35</v>
      </c>
      <c r="B3" s="189"/>
      <c r="C3" s="189"/>
      <c r="D3" s="53">
        <v>0</v>
      </c>
      <c r="E3" s="53">
        <v>0</v>
      </c>
      <c r="F3" s="53">
        <v>3</v>
      </c>
      <c r="G3" s="53">
        <v>0</v>
      </c>
      <c r="H3" s="53">
        <v>0</v>
      </c>
      <c r="I3" s="53">
        <v>0</v>
      </c>
      <c r="J3" s="53">
        <v>0</v>
      </c>
      <c r="K3" s="53">
        <v>0</v>
      </c>
      <c r="L3" s="53">
        <v>0</v>
      </c>
      <c r="M3" s="53">
        <v>0</v>
      </c>
      <c r="N3" s="53">
        <v>0</v>
      </c>
      <c r="O3" s="53">
        <v>0</v>
      </c>
      <c r="P3" s="53">
        <v>0</v>
      </c>
      <c r="Q3" s="53">
        <v>0</v>
      </c>
      <c r="R3" s="53">
        <v>0</v>
      </c>
      <c r="S3" s="53">
        <v>0</v>
      </c>
      <c r="T3" s="53">
        <v>0</v>
      </c>
      <c r="U3" s="53">
        <v>0</v>
      </c>
      <c r="V3" s="53"/>
      <c r="W3" s="53"/>
      <c r="X3" s="53"/>
      <c r="Y3" s="53"/>
      <c r="Z3" s="53"/>
      <c r="AA3" s="53"/>
      <c r="AB3" s="53"/>
    </row>
    <row r="4" spans="1:29" ht="22.5" customHeight="1">
      <c r="A4" s="189" t="s">
        <v>36</v>
      </c>
      <c r="B4" s="189"/>
      <c r="C4" s="189"/>
      <c r="D4" s="54">
        <f t="shared" ref="D4:AB4" si="0">D2-D3</f>
        <v>76</v>
      </c>
      <c r="E4" s="54">
        <f t="shared" si="0"/>
        <v>76</v>
      </c>
      <c r="F4" s="54">
        <f t="shared" si="0"/>
        <v>73</v>
      </c>
      <c r="G4" s="54">
        <f t="shared" si="0"/>
        <v>76</v>
      </c>
      <c r="H4" s="54">
        <f t="shared" si="0"/>
        <v>76</v>
      </c>
      <c r="I4" s="54">
        <f t="shared" si="0"/>
        <v>76</v>
      </c>
      <c r="J4" s="54">
        <f t="shared" si="0"/>
        <v>76</v>
      </c>
      <c r="K4" s="54">
        <f t="shared" si="0"/>
        <v>76</v>
      </c>
      <c r="L4" s="54">
        <f t="shared" si="0"/>
        <v>76</v>
      </c>
      <c r="M4" s="54">
        <f t="shared" si="0"/>
        <v>76</v>
      </c>
      <c r="N4" s="54">
        <f t="shared" si="0"/>
        <v>76</v>
      </c>
      <c r="O4" s="54">
        <f t="shared" si="0"/>
        <v>76</v>
      </c>
      <c r="P4" s="54">
        <f t="shared" si="0"/>
        <v>76</v>
      </c>
      <c r="Q4" s="54">
        <f t="shared" si="0"/>
        <v>76</v>
      </c>
      <c r="R4" s="54">
        <f t="shared" si="0"/>
        <v>76</v>
      </c>
      <c r="S4" s="54">
        <f t="shared" si="0"/>
        <v>76</v>
      </c>
      <c r="T4" s="54">
        <f t="shared" si="0"/>
        <v>76</v>
      </c>
      <c r="U4" s="54">
        <f t="shared" si="0"/>
        <v>76</v>
      </c>
      <c r="V4" s="54">
        <f t="shared" si="0"/>
        <v>0</v>
      </c>
      <c r="W4" s="54">
        <f t="shared" si="0"/>
        <v>0</v>
      </c>
      <c r="X4" s="54">
        <f t="shared" si="0"/>
        <v>0</v>
      </c>
      <c r="Y4" s="54">
        <f t="shared" si="0"/>
        <v>0</v>
      </c>
      <c r="Z4" s="54">
        <f t="shared" si="0"/>
        <v>0</v>
      </c>
      <c r="AA4" s="54">
        <f t="shared" si="0"/>
        <v>0</v>
      </c>
      <c r="AB4" s="54">
        <f t="shared" si="0"/>
        <v>0</v>
      </c>
    </row>
    <row r="5" spans="1:29" ht="22.5" customHeight="1">
      <c r="A5" s="193" t="s">
        <v>253</v>
      </c>
      <c r="B5" s="194"/>
      <c r="C5" s="195"/>
      <c r="D5" s="54">
        <f t="shared" ref="D5:AB5" si="1">D4-D6</f>
        <v>76</v>
      </c>
      <c r="E5" s="54">
        <f t="shared" si="1"/>
        <v>75</v>
      </c>
      <c r="F5" s="54">
        <f t="shared" si="1"/>
        <v>59</v>
      </c>
      <c r="G5" s="54">
        <f t="shared" si="1"/>
        <v>76</v>
      </c>
      <c r="H5" s="54">
        <f t="shared" si="1"/>
        <v>74</v>
      </c>
      <c r="I5" s="54">
        <f t="shared" si="1"/>
        <v>75</v>
      </c>
      <c r="J5" s="54">
        <f t="shared" si="1"/>
        <v>74</v>
      </c>
      <c r="K5" s="54">
        <f t="shared" si="1"/>
        <v>76</v>
      </c>
      <c r="L5" s="54">
        <f t="shared" si="1"/>
        <v>76</v>
      </c>
      <c r="M5" s="54">
        <f t="shared" si="1"/>
        <v>71</v>
      </c>
      <c r="N5" s="54">
        <f t="shared" si="1"/>
        <v>76</v>
      </c>
      <c r="O5" s="54">
        <f t="shared" si="1"/>
        <v>67</v>
      </c>
      <c r="P5" s="54">
        <f t="shared" si="1"/>
        <v>74</v>
      </c>
      <c r="Q5" s="54">
        <f t="shared" si="1"/>
        <v>75</v>
      </c>
      <c r="R5" s="54">
        <f t="shared" si="1"/>
        <v>76</v>
      </c>
      <c r="S5" s="54">
        <f t="shared" si="1"/>
        <v>75</v>
      </c>
      <c r="T5" s="54">
        <f t="shared" si="1"/>
        <v>76</v>
      </c>
      <c r="U5" s="54">
        <f t="shared" si="1"/>
        <v>74</v>
      </c>
      <c r="V5" s="54">
        <f t="shared" si="1"/>
        <v>0</v>
      </c>
      <c r="W5" s="54">
        <f t="shared" si="1"/>
        <v>0</v>
      </c>
      <c r="X5" s="54">
        <f t="shared" si="1"/>
        <v>0</v>
      </c>
      <c r="Y5" s="54">
        <f t="shared" si="1"/>
        <v>0</v>
      </c>
      <c r="Z5" s="54">
        <f t="shared" si="1"/>
        <v>0</v>
      </c>
      <c r="AA5" s="54">
        <f t="shared" si="1"/>
        <v>0</v>
      </c>
      <c r="AB5" s="54">
        <f t="shared" si="1"/>
        <v>0</v>
      </c>
    </row>
    <row r="6" spans="1:29" ht="22.5" customHeight="1">
      <c r="A6" s="186" t="s">
        <v>254</v>
      </c>
      <c r="B6" s="187"/>
      <c r="C6" s="188"/>
      <c r="D6" s="53">
        <v>0</v>
      </c>
      <c r="E6" s="53">
        <v>1</v>
      </c>
      <c r="F6" s="53">
        <v>14</v>
      </c>
      <c r="G6" s="53">
        <v>0</v>
      </c>
      <c r="H6" s="53">
        <v>2</v>
      </c>
      <c r="I6" s="53">
        <v>1</v>
      </c>
      <c r="J6" s="53">
        <v>2</v>
      </c>
      <c r="K6" s="53">
        <v>0</v>
      </c>
      <c r="L6" s="53">
        <v>0</v>
      </c>
      <c r="M6" s="53">
        <v>5</v>
      </c>
      <c r="N6" s="53">
        <v>0</v>
      </c>
      <c r="O6" s="53">
        <v>9</v>
      </c>
      <c r="P6" s="53">
        <v>2</v>
      </c>
      <c r="Q6" s="53">
        <v>1</v>
      </c>
      <c r="R6" s="53">
        <v>0</v>
      </c>
      <c r="S6" s="53">
        <v>1</v>
      </c>
      <c r="T6" s="53">
        <v>0</v>
      </c>
      <c r="U6" s="53">
        <v>2</v>
      </c>
      <c r="V6" s="53"/>
      <c r="W6" s="53"/>
      <c r="X6" s="53"/>
      <c r="Y6" s="53"/>
      <c r="Z6" s="53"/>
      <c r="AA6" s="53"/>
      <c r="AB6" s="53"/>
    </row>
    <row r="7" spans="1:29" ht="22.5" customHeight="1">
      <c r="A7" s="189" t="s">
        <v>37</v>
      </c>
      <c r="B7" s="189"/>
      <c r="C7" s="189"/>
      <c r="D7" s="53">
        <v>0</v>
      </c>
      <c r="E7" s="53">
        <v>0</v>
      </c>
      <c r="F7" s="53">
        <v>0</v>
      </c>
      <c r="G7" s="53">
        <v>0</v>
      </c>
      <c r="H7" s="53">
        <v>0</v>
      </c>
      <c r="I7" s="53">
        <v>0</v>
      </c>
      <c r="J7" s="53">
        <v>0</v>
      </c>
      <c r="K7" s="53">
        <v>0</v>
      </c>
      <c r="L7" s="53">
        <v>1</v>
      </c>
      <c r="M7" s="53">
        <v>0</v>
      </c>
      <c r="N7" s="53">
        <v>0</v>
      </c>
      <c r="O7" s="53">
        <v>15</v>
      </c>
      <c r="P7" s="53">
        <v>0</v>
      </c>
      <c r="Q7" s="53">
        <v>0</v>
      </c>
      <c r="R7" s="53">
        <v>0</v>
      </c>
      <c r="S7" s="53">
        <v>0</v>
      </c>
      <c r="T7" s="53">
        <v>2</v>
      </c>
      <c r="U7" s="53">
        <v>0</v>
      </c>
      <c r="V7" s="53"/>
      <c r="W7" s="53"/>
      <c r="X7" s="53"/>
      <c r="Y7" s="53"/>
      <c r="Z7" s="53"/>
      <c r="AA7" s="53"/>
      <c r="AB7" s="53"/>
    </row>
    <row r="8" spans="1:29" ht="22.5" customHeight="1">
      <c r="A8" s="189" t="s">
        <v>38</v>
      </c>
      <c r="B8" s="189"/>
      <c r="C8" s="189"/>
      <c r="D8" s="53">
        <v>0</v>
      </c>
      <c r="E8" s="53">
        <v>0</v>
      </c>
      <c r="F8" s="53">
        <v>52</v>
      </c>
      <c r="G8" s="53">
        <v>1</v>
      </c>
      <c r="H8" s="53">
        <v>1</v>
      </c>
      <c r="I8" s="53">
        <v>0</v>
      </c>
      <c r="J8" s="53">
        <v>0</v>
      </c>
      <c r="K8" s="53">
        <v>0</v>
      </c>
      <c r="L8" s="53">
        <v>0</v>
      </c>
      <c r="M8" s="53">
        <v>0</v>
      </c>
      <c r="N8" s="53">
        <v>2</v>
      </c>
      <c r="O8" s="53">
        <v>5</v>
      </c>
      <c r="P8" s="53">
        <v>0</v>
      </c>
      <c r="Q8" s="53">
        <v>1</v>
      </c>
      <c r="R8" s="53">
        <v>0</v>
      </c>
      <c r="S8" s="53">
        <v>1</v>
      </c>
      <c r="T8" s="53">
        <v>0</v>
      </c>
      <c r="U8" s="53">
        <v>0</v>
      </c>
      <c r="V8" s="53"/>
      <c r="W8" s="53"/>
      <c r="X8" s="53"/>
      <c r="Y8" s="53"/>
      <c r="Z8" s="53"/>
      <c r="AA8" s="53"/>
      <c r="AB8" s="53"/>
    </row>
    <row r="9" spans="1:29" ht="22.5" customHeight="1">
      <c r="A9" s="179" t="s">
        <v>39</v>
      </c>
      <c r="B9" s="180"/>
      <c r="C9" s="180"/>
      <c r="D9" s="180"/>
      <c r="E9" s="180"/>
      <c r="F9" s="180"/>
      <c r="G9" s="180"/>
      <c r="H9" s="180"/>
      <c r="I9" s="180"/>
      <c r="J9" s="180"/>
      <c r="K9" s="180"/>
      <c r="L9" s="180"/>
      <c r="M9" s="180"/>
      <c r="N9" s="180"/>
      <c r="O9" s="180"/>
      <c r="P9" s="180"/>
      <c r="Q9" s="180"/>
      <c r="R9" s="180"/>
      <c r="S9" s="180"/>
      <c r="T9" s="180"/>
      <c r="U9" s="180"/>
      <c r="V9" s="180"/>
      <c r="W9" s="180"/>
      <c r="X9" s="180"/>
      <c r="Y9" s="180"/>
      <c r="Z9" s="180"/>
      <c r="AA9" s="180"/>
      <c r="AB9" s="181"/>
    </row>
    <row r="10" spans="1:29" ht="22.5" customHeight="1">
      <c r="A10" s="52" t="s">
        <v>60</v>
      </c>
      <c r="B10" s="153" t="s">
        <v>166</v>
      </c>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5"/>
    </row>
    <row r="11" spans="1:29" ht="22.5" customHeight="1">
      <c r="A11" s="52" t="s">
        <v>62</v>
      </c>
      <c r="B11" s="153" t="s">
        <v>166</v>
      </c>
      <c r="C11" s="154"/>
      <c r="D11" s="154"/>
      <c r="E11" s="154"/>
      <c r="F11" s="154"/>
      <c r="G11" s="154"/>
      <c r="H11" s="154"/>
      <c r="I11" s="154"/>
      <c r="J11" s="154"/>
      <c r="K11" s="154"/>
      <c r="L11" s="154"/>
      <c r="M11" s="154"/>
      <c r="N11" s="154"/>
      <c r="O11" s="154"/>
      <c r="P11" s="154"/>
      <c r="Q11" s="154"/>
      <c r="R11" s="154"/>
      <c r="S11" s="154"/>
      <c r="T11" s="154"/>
      <c r="U11" s="154"/>
      <c r="V11" s="154"/>
      <c r="W11" s="154"/>
      <c r="X11" s="154"/>
      <c r="Y11" s="154"/>
      <c r="Z11" s="154"/>
      <c r="AA11" s="154"/>
      <c r="AB11" s="155"/>
    </row>
    <row r="12" spans="1:29" ht="22.5" customHeight="1">
      <c r="A12" s="52" t="s">
        <v>64</v>
      </c>
      <c r="B12" s="185" t="s">
        <v>189</v>
      </c>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5"/>
    </row>
    <row r="13" spans="1:29" ht="22.5" customHeight="1">
      <c r="A13" s="52" t="s">
        <v>66</v>
      </c>
      <c r="B13" s="153" t="s">
        <v>167</v>
      </c>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5"/>
    </row>
    <row r="14" spans="1:29" ht="22.5" customHeight="1">
      <c r="A14" s="52" t="s">
        <v>68</v>
      </c>
      <c r="B14" s="153" t="s">
        <v>190</v>
      </c>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5"/>
    </row>
    <row r="15" spans="1:29" ht="22.5" customHeight="1">
      <c r="A15" s="52" t="s">
        <v>70</v>
      </c>
      <c r="B15" s="153" t="s">
        <v>191</v>
      </c>
      <c r="C15" s="154"/>
      <c r="D15" s="154"/>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5"/>
    </row>
    <row r="16" spans="1:29" ht="22.5" customHeight="1">
      <c r="A16" s="52" t="s">
        <v>72</v>
      </c>
      <c r="B16" s="153" t="s">
        <v>192</v>
      </c>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5"/>
    </row>
    <row r="17" spans="1:28" ht="22.5" customHeight="1">
      <c r="A17" s="52" t="s">
        <v>74</v>
      </c>
      <c r="B17" s="153" t="s">
        <v>166</v>
      </c>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5"/>
    </row>
    <row r="18" spans="1:28" ht="22.5" customHeight="1">
      <c r="A18" s="52" t="s">
        <v>76</v>
      </c>
      <c r="B18" s="153" t="s">
        <v>193</v>
      </c>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5"/>
    </row>
    <row r="19" spans="1:28" ht="22.5" customHeight="1">
      <c r="A19" s="52" t="s">
        <v>78</v>
      </c>
      <c r="B19" s="153" t="s">
        <v>194</v>
      </c>
      <c r="C19" s="154"/>
      <c r="D19" s="154"/>
      <c r="E19" s="154"/>
      <c r="F19" s="154"/>
      <c r="G19" s="154"/>
      <c r="H19" s="154"/>
      <c r="I19" s="154"/>
      <c r="J19" s="154"/>
      <c r="K19" s="154"/>
      <c r="L19" s="154"/>
      <c r="M19" s="154"/>
      <c r="N19" s="154"/>
      <c r="O19" s="154"/>
      <c r="P19" s="154"/>
      <c r="Q19" s="154"/>
      <c r="R19" s="154"/>
      <c r="S19" s="154"/>
      <c r="T19" s="154"/>
      <c r="U19" s="154"/>
      <c r="V19" s="154"/>
      <c r="W19" s="154"/>
      <c r="X19" s="154"/>
      <c r="Y19" s="154"/>
      <c r="Z19" s="154"/>
      <c r="AA19" s="154"/>
      <c r="AB19" s="155"/>
    </row>
    <row r="20" spans="1:28" ht="22.5" customHeight="1">
      <c r="A20" s="52" t="s">
        <v>80</v>
      </c>
      <c r="B20" s="153" t="s">
        <v>195</v>
      </c>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5"/>
    </row>
    <row r="21" spans="1:28" ht="22.5" customHeight="1">
      <c r="A21" s="52" t="s">
        <v>82</v>
      </c>
      <c r="B21" s="185" t="s">
        <v>196</v>
      </c>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5"/>
    </row>
    <row r="22" spans="1:28" ht="22.5" customHeight="1">
      <c r="A22" s="52" t="s">
        <v>84</v>
      </c>
      <c r="B22" s="153" t="s">
        <v>255</v>
      </c>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5"/>
    </row>
    <row r="23" spans="1:28" ht="22.5" customHeight="1">
      <c r="A23" s="52" t="s">
        <v>86</v>
      </c>
      <c r="B23" s="153" t="s">
        <v>168</v>
      </c>
      <c r="C23" s="154"/>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154"/>
      <c r="AB23" s="155"/>
    </row>
    <row r="24" spans="1:28" ht="22.5" customHeight="1">
      <c r="A24" s="52" t="s">
        <v>88</v>
      </c>
      <c r="B24" s="153" t="s">
        <v>166</v>
      </c>
      <c r="C24" s="154"/>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5"/>
    </row>
    <row r="25" spans="1:28" ht="22.5" customHeight="1">
      <c r="A25" s="52" t="s">
        <v>90</v>
      </c>
      <c r="B25" s="153" t="s">
        <v>197</v>
      </c>
      <c r="C25" s="154"/>
      <c r="D25" s="154"/>
      <c r="E25" s="154"/>
      <c r="F25" s="154"/>
      <c r="G25" s="154"/>
      <c r="H25" s="154"/>
      <c r="I25" s="154"/>
      <c r="J25" s="154"/>
      <c r="K25" s="154"/>
      <c r="L25" s="154"/>
      <c r="M25" s="154"/>
      <c r="N25" s="154"/>
      <c r="O25" s="154"/>
      <c r="P25" s="154"/>
      <c r="Q25" s="154"/>
      <c r="R25" s="154"/>
      <c r="S25" s="154"/>
      <c r="T25" s="154"/>
      <c r="U25" s="154"/>
      <c r="V25" s="154"/>
      <c r="W25" s="154"/>
      <c r="X25" s="154"/>
      <c r="Y25" s="154"/>
      <c r="Z25" s="154"/>
      <c r="AA25" s="154"/>
      <c r="AB25" s="155"/>
    </row>
    <row r="26" spans="1:28" ht="22.5" customHeight="1">
      <c r="A26" s="52" t="s">
        <v>92</v>
      </c>
      <c r="B26" s="153" t="s">
        <v>198</v>
      </c>
      <c r="C26" s="154"/>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5"/>
    </row>
    <row r="27" spans="1:28" ht="22.5" customHeight="1">
      <c r="A27" s="52" t="s">
        <v>94</v>
      </c>
      <c r="B27" s="153" t="s">
        <v>169</v>
      </c>
      <c r="C27" s="154"/>
      <c r="D27" s="154"/>
      <c r="E27" s="154"/>
      <c r="F27" s="154"/>
      <c r="G27" s="154"/>
      <c r="H27" s="154"/>
      <c r="I27" s="154"/>
      <c r="J27" s="154"/>
      <c r="K27" s="154"/>
      <c r="L27" s="154"/>
      <c r="M27" s="154"/>
      <c r="N27" s="154"/>
      <c r="O27" s="154"/>
      <c r="P27" s="154"/>
      <c r="Q27" s="154"/>
      <c r="R27" s="154"/>
      <c r="S27" s="154"/>
      <c r="T27" s="154"/>
      <c r="U27" s="154"/>
      <c r="V27" s="154"/>
      <c r="W27" s="154"/>
      <c r="X27" s="154"/>
      <c r="Y27" s="154"/>
      <c r="Z27" s="154"/>
      <c r="AA27" s="154"/>
      <c r="AB27" s="155"/>
    </row>
    <row r="28" spans="1:28" ht="22.5" customHeight="1">
      <c r="A28" s="52"/>
      <c r="B28" s="153"/>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5"/>
    </row>
    <row r="29" spans="1:28" ht="22.5" customHeight="1">
      <c r="A29" s="52"/>
      <c r="B29" s="153"/>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5"/>
    </row>
    <row r="30" spans="1:28" ht="22.5" customHeight="1">
      <c r="A30" s="52"/>
      <c r="B30" s="153"/>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5"/>
    </row>
    <row r="31" spans="1:28" ht="22.5" customHeight="1">
      <c r="A31" s="52"/>
      <c r="B31" s="153"/>
      <c r="C31" s="154"/>
      <c r="D31" s="154"/>
      <c r="E31" s="154"/>
      <c r="F31" s="154"/>
      <c r="G31" s="154"/>
      <c r="H31" s="154"/>
      <c r="I31" s="154"/>
      <c r="J31" s="154"/>
      <c r="K31" s="154"/>
      <c r="L31" s="154"/>
      <c r="M31" s="154"/>
      <c r="N31" s="154"/>
      <c r="O31" s="154"/>
      <c r="P31" s="154"/>
      <c r="Q31" s="154"/>
      <c r="R31" s="154"/>
      <c r="S31" s="154"/>
      <c r="T31" s="154"/>
      <c r="U31" s="154"/>
      <c r="V31" s="154"/>
      <c r="W31" s="154"/>
      <c r="X31" s="154"/>
      <c r="Y31" s="154"/>
      <c r="Z31" s="154"/>
      <c r="AA31" s="154"/>
      <c r="AB31" s="155"/>
    </row>
    <row r="32" spans="1:28" ht="22.5" customHeight="1">
      <c r="A32" s="52"/>
      <c r="B32" s="153"/>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5"/>
    </row>
    <row r="33" spans="1:28" ht="22.5" customHeight="1">
      <c r="A33" s="52"/>
      <c r="B33" s="153"/>
      <c r="C33" s="154"/>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154"/>
      <c r="AB33" s="155"/>
    </row>
    <row r="34" spans="1:28" ht="22.5" customHeight="1">
      <c r="A34" s="52"/>
      <c r="B34" s="153"/>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5"/>
    </row>
    <row r="35" spans="1:28" ht="17.25" customHeight="1"/>
    <row r="36" spans="1:28" ht="17.25" customHeight="1"/>
    <row r="37" spans="1:28" ht="17.25" customHeight="1"/>
    <row r="38" spans="1:28" ht="17.25" customHeight="1"/>
    <row r="39" spans="1:28" ht="17.25" customHeight="1"/>
    <row r="40" spans="1:28" ht="17.25" customHeight="1"/>
    <row r="41" spans="1:28" ht="17.25" customHeight="1"/>
    <row r="42" spans="1:28" ht="17.25" customHeight="1"/>
    <row r="43" spans="1:28" ht="17.25" customHeight="1"/>
    <row r="44" spans="1:28" ht="17.25" customHeight="1"/>
    <row r="45" spans="1:28" ht="17.25" customHeight="1"/>
    <row r="46" spans="1:28" ht="17.25" customHeight="1"/>
    <row r="47" spans="1:28" ht="17.25" customHeight="1"/>
    <row r="48" spans="1:2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sheetData>
  <mergeCells count="34">
    <mergeCell ref="B33:AB33"/>
    <mergeCell ref="B34:AB34"/>
    <mergeCell ref="B24:AB24"/>
    <mergeCell ref="B25:AB25"/>
    <mergeCell ref="B26:AB26"/>
    <mergeCell ref="B27:AB27"/>
    <mergeCell ref="B28:AB28"/>
    <mergeCell ref="B31:AB31"/>
    <mergeCell ref="B32:AB32"/>
    <mergeCell ref="A1:C1"/>
    <mergeCell ref="A2:C2"/>
    <mergeCell ref="A3:C3"/>
    <mergeCell ref="A4:C4"/>
    <mergeCell ref="A5:C5"/>
    <mergeCell ref="A6:C6"/>
    <mergeCell ref="A7:C7"/>
    <mergeCell ref="A8:C8"/>
    <mergeCell ref="A9:AB9"/>
    <mergeCell ref="B10:AB10"/>
    <mergeCell ref="B11:AB11"/>
    <mergeCell ref="B12:AB12"/>
    <mergeCell ref="B13:AB13"/>
    <mergeCell ref="B29:AB29"/>
    <mergeCell ref="B30:AB30"/>
    <mergeCell ref="B14:AB14"/>
    <mergeCell ref="B15:AB15"/>
    <mergeCell ref="B16:AB16"/>
    <mergeCell ref="B17:AB17"/>
    <mergeCell ref="B18:AB18"/>
    <mergeCell ref="B19:AB19"/>
    <mergeCell ref="B20:AB20"/>
    <mergeCell ref="B21:AB21"/>
    <mergeCell ref="B22:AB22"/>
    <mergeCell ref="B23:AB23"/>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6</vt:i4>
      </vt:variant>
    </vt:vector>
  </HeadingPairs>
  <TitlesOfParts>
    <vt:vector size="20" baseType="lpstr">
      <vt:lpstr>通知票</vt:lpstr>
      <vt:lpstr>所見集</vt:lpstr>
      <vt:lpstr>国語</vt:lpstr>
      <vt:lpstr>算数</vt:lpstr>
      <vt:lpstr>理科</vt:lpstr>
      <vt:lpstr>社会</vt:lpstr>
      <vt:lpstr>英語</vt:lpstr>
      <vt:lpstr>音楽</vt:lpstr>
      <vt:lpstr>図工</vt:lpstr>
      <vt:lpstr>体育</vt:lpstr>
      <vt:lpstr>家庭</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2024-07-18T02:17:43Z</cp:lastPrinted>
  <dcterms:created xsi:type="dcterms:W3CDTF">2005-07-21T09:07:06Z</dcterms:created>
  <dcterms:modified xsi:type="dcterms:W3CDTF">2024-07-18T03:09:49Z</dcterms:modified>
</cp:coreProperties>
</file>