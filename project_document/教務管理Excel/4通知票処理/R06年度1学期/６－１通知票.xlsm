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11670" windowHeight="12660" tabRatio="783"/>
  </bookViews>
  <sheets>
    <sheet name="通知票" sheetId="1" r:id="rId1"/>
    <sheet name="所見集" sheetId="46" r:id="rId2"/>
    <sheet name="国語" sheetId="36" r:id="rId3"/>
    <sheet name="算数" sheetId="37" r:id="rId4"/>
    <sheet name="理科" sheetId="38" r:id="rId5"/>
    <sheet name="社会" sheetId="47" r:id="rId6"/>
    <sheet name="英語" sheetId="39" r:id="rId7"/>
    <sheet name="音楽" sheetId="40" r:id="rId8"/>
    <sheet name="図工" sheetId="41" r:id="rId9"/>
    <sheet name="体育" sheetId="42" r:id="rId10"/>
    <sheet name="家庭" sheetId="48" r:id="rId11"/>
    <sheet name="道徳" sheetId="43" r:id="rId12"/>
    <sheet name="所見" sheetId="44" r:id="rId13"/>
    <sheet name="出欠" sheetId="45" r:id="rId14"/>
  </sheets>
  <definedNames>
    <definedName name="_xlnm.Print_Area" localSheetId="1">所見集!$A$1:$C$16</definedName>
    <definedName name="_xlnm.Print_Area" localSheetId="0">通知票!$A$1:$I$91</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V5" i="45" l="1"/>
  <c r="U5" i="45"/>
  <c r="N5" i="45"/>
  <c r="M5" i="45"/>
  <c r="F5" i="45"/>
  <c r="E5" i="45"/>
  <c r="AB4" i="45"/>
  <c r="AB5" i="45" s="1"/>
  <c r="AA4" i="45"/>
  <c r="AA5" i="45" s="1"/>
  <c r="Z4" i="45"/>
  <c r="Z5" i="45" s="1"/>
  <c r="Y4" i="45"/>
  <c r="Y5" i="45" s="1"/>
  <c r="X4" i="45"/>
  <c r="X5" i="45" s="1"/>
  <c r="W4" i="45"/>
  <c r="W5" i="45" s="1"/>
  <c r="V4" i="45"/>
  <c r="U4" i="45"/>
  <c r="T4" i="45"/>
  <c r="T5" i="45" s="1"/>
  <c r="S4" i="45"/>
  <c r="S5" i="45" s="1"/>
  <c r="R4" i="45"/>
  <c r="R5" i="45" s="1"/>
  <c r="Q4" i="45"/>
  <c r="Q5" i="45" s="1"/>
  <c r="P4" i="45"/>
  <c r="P5" i="45" s="1"/>
  <c r="O4" i="45"/>
  <c r="O5" i="45" s="1"/>
  <c r="N4" i="45"/>
  <c r="M4" i="45"/>
  <c r="L4" i="45"/>
  <c r="L5" i="45" s="1"/>
  <c r="K4" i="45"/>
  <c r="K5" i="45" s="1"/>
  <c r="J4" i="45"/>
  <c r="J5" i="45" s="1"/>
  <c r="I4" i="45"/>
  <c r="I5" i="45" s="1"/>
  <c r="H4" i="45"/>
  <c r="H5" i="45" s="1"/>
  <c r="G4" i="45"/>
  <c r="G5" i="45" s="1"/>
  <c r="F4" i="45"/>
  <c r="E4" i="45"/>
  <c r="D4" i="45"/>
  <c r="D5" i="45" s="1"/>
  <c r="AB1" i="45"/>
  <c r="AA1" i="45"/>
  <c r="Z1" i="45"/>
  <c r="Y1" i="45"/>
  <c r="X1" i="45"/>
  <c r="W1" i="45"/>
  <c r="V1" i="45"/>
  <c r="U1" i="45"/>
  <c r="T1" i="45"/>
  <c r="S1" i="45"/>
  <c r="R1" i="45"/>
  <c r="Q1" i="45"/>
  <c r="P1" i="45"/>
  <c r="O1" i="45"/>
  <c r="N1" i="45"/>
  <c r="M1" i="45"/>
  <c r="L1" i="45"/>
  <c r="K1" i="45"/>
  <c r="J1" i="45"/>
  <c r="I1" i="45"/>
  <c r="H1" i="45"/>
  <c r="G1" i="45"/>
  <c r="F1" i="45"/>
  <c r="E1" i="45"/>
  <c r="D1" i="45"/>
  <c r="A1" i="45"/>
  <c r="AC63" i="44" l="1"/>
  <c r="A63" i="44"/>
  <c r="AC62" i="44"/>
  <c r="A62" i="44"/>
  <c r="AC61" i="44"/>
  <c r="A61" i="44"/>
  <c r="AC60" i="44"/>
  <c r="A60" i="44"/>
  <c r="AC59" i="44"/>
  <c r="A59" i="44"/>
  <c r="AC58" i="44"/>
  <c r="A58" i="44"/>
  <c r="AC57" i="44"/>
  <c r="A57" i="44"/>
  <c r="AC56" i="44"/>
  <c r="A56" i="44"/>
  <c r="AC55" i="44"/>
  <c r="A55" i="44"/>
  <c r="AC54" i="44"/>
  <c r="A54" i="44"/>
  <c r="AC53" i="44"/>
  <c r="A53" i="44"/>
  <c r="AC52" i="44"/>
  <c r="A52" i="44"/>
  <c r="AC51" i="44"/>
  <c r="A51" i="44"/>
  <c r="AC50" i="44"/>
  <c r="A50" i="44"/>
  <c r="AC49" i="44"/>
  <c r="A49" i="44"/>
  <c r="AC48" i="44"/>
  <c r="A48" i="44"/>
  <c r="AC47" i="44"/>
  <c r="A47" i="44"/>
  <c r="AC46" i="44"/>
  <c r="A46" i="44"/>
  <c r="AC45" i="44"/>
  <c r="A45" i="44"/>
  <c r="AC44" i="44"/>
  <c r="A44" i="44"/>
  <c r="AC43" i="44"/>
  <c r="A43" i="44"/>
  <c r="AC42" i="44"/>
  <c r="A42" i="44"/>
  <c r="AC41" i="44"/>
  <c r="A41" i="44"/>
  <c r="AC40" i="44"/>
  <c r="A40" i="44"/>
  <c r="AC39" i="44"/>
  <c r="A39" i="44"/>
  <c r="AB1" i="44"/>
  <c r="AA1" i="44"/>
  <c r="Z1" i="44"/>
  <c r="Y1" i="44"/>
  <c r="X1" i="44"/>
  <c r="W1" i="44"/>
  <c r="V1" i="44"/>
  <c r="U1" i="44"/>
  <c r="T1" i="44"/>
  <c r="S1" i="44"/>
  <c r="R1" i="44"/>
  <c r="Q1" i="44"/>
  <c r="P1" i="44"/>
  <c r="O1" i="44"/>
  <c r="N1" i="44"/>
  <c r="M1" i="44"/>
  <c r="L1" i="44"/>
  <c r="K1" i="44"/>
  <c r="J1" i="44"/>
  <c r="I1" i="44"/>
  <c r="H1" i="44"/>
  <c r="G1" i="44"/>
  <c r="F1" i="44"/>
  <c r="E1" i="44"/>
  <c r="D1" i="44"/>
  <c r="A1" i="44"/>
  <c r="C27" i="43" l="1"/>
  <c r="C26" i="43"/>
  <c r="C25" i="43"/>
  <c r="C24" i="43"/>
  <c r="C23" i="43"/>
  <c r="C22" i="43"/>
  <c r="C21" i="43"/>
  <c r="C20" i="43"/>
  <c r="C19" i="43"/>
  <c r="C18" i="43"/>
  <c r="C17" i="43"/>
  <c r="C16" i="43"/>
  <c r="C15" i="43"/>
  <c r="C14" i="43"/>
  <c r="C13" i="43"/>
  <c r="C12" i="43"/>
  <c r="C11" i="43"/>
  <c r="C10" i="43"/>
  <c r="C9" i="43"/>
  <c r="C8" i="43"/>
  <c r="C7" i="43"/>
  <c r="C6" i="43"/>
  <c r="C5" i="43"/>
  <c r="C4" i="43"/>
  <c r="C3" i="43"/>
  <c r="B1" i="43"/>
  <c r="A1" i="43"/>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AB1" i="39" l="1"/>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L85" i="1" l="1"/>
  <c r="L19" i="1"/>
  <c r="A1" i="1" l="1"/>
  <c r="P30" i="1"/>
  <c r="P7" i="1"/>
  <c r="P27" i="1"/>
  <c r="P16" i="1"/>
  <c r="P15" i="1"/>
  <c r="B91" i="1"/>
  <c r="P23" i="1"/>
  <c r="P28" i="1"/>
  <c r="P13" i="1"/>
  <c r="P6" i="1"/>
  <c r="P21" i="1"/>
  <c r="P24" i="1"/>
  <c r="P12" i="1"/>
  <c r="P17" i="1"/>
  <c r="P26" i="1"/>
  <c r="P10" i="1"/>
  <c r="P20" i="1"/>
  <c r="P22" i="1"/>
  <c r="P29" i="1"/>
  <c r="C16" i="46"/>
  <c r="P8" i="1"/>
  <c r="P18" i="1"/>
  <c r="P19" i="1"/>
  <c r="P25" i="1"/>
  <c r="P14" i="1"/>
  <c r="P11" i="1"/>
  <c r="P9" i="1"/>
  <c r="B6" i="46" l="1"/>
  <c r="C6" i="46"/>
  <c r="A78" i="1" l="1"/>
  <c r="B68" i="1"/>
  <c r="B61" i="1"/>
  <c r="B54" i="1"/>
  <c r="B45" i="1"/>
  <c r="B38" i="1"/>
  <c r="B31" i="1"/>
  <c r="B23" i="1"/>
  <c r="B15" i="1"/>
  <c r="B6" i="1"/>
  <c r="G2" i="1"/>
  <c r="G51" i="1" l="1"/>
  <c r="B51" i="1"/>
  <c r="G22" i="1"/>
  <c r="B22" i="1"/>
  <c r="G21" i="1"/>
  <c r="B21" i="1"/>
  <c r="G20" i="1"/>
  <c r="B20" i="1"/>
  <c r="G14" i="1"/>
  <c r="B14" i="1"/>
  <c r="G13" i="1"/>
  <c r="B13" i="1"/>
  <c r="B12" i="46" l="1"/>
  <c r="C12" i="46"/>
  <c r="H68" i="1" l="1"/>
  <c r="G74" i="1"/>
  <c r="B74" i="1"/>
  <c r="G73" i="1"/>
  <c r="B73" i="1"/>
  <c r="G72" i="1"/>
  <c r="B72" i="1"/>
  <c r="G71" i="1"/>
  <c r="B71" i="1"/>
  <c r="G70" i="1"/>
  <c r="B70" i="1"/>
  <c r="G69" i="1"/>
  <c r="B69" i="1"/>
  <c r="G68" i="1"/>
  <c r="G60" i="1"/>
  <c r="B60" i="1"/>
  <c r="G59" i="1"/>
  <c r="B59" i="1"/>
  <c r="G58" i="1"/>
  <c r="B58" i="1"/>
  <c r="G57" i="1"/>
  <c r="B57" i="1"/>
  <c r="G56" i="1"/>
  <c r="B56" i="1"/>
  <c r="G55" i="1"/>
  <c r="B55" i="1"/>
  <c r="G44" i="1"/>
  <c r="B44" i="1"/>
  <c r="G37" i="1"/>
  <c r="B37" i="1"/>
  <c r="G30" i="1"/>
  <c r="B30" i="1"/>
  <c r="G50" i="1" l="1"/>
  <c r="B50" i="1"/>
  <c r="G49" i="1"/>
  <c r="B49" i="1"/>
  <c r="G48" i="1"/>
  <c r="B48" i="1"/>
  <c r="G47" i="1"/>
  <c r="B47" i="1"/>
  <c r="G46" i="1"/>
  <c r="B46" i="1"/>
  <c r="B8" i="46" l="1"/>
  <c r="C7" i="46"/>
  <c r="C8" i="46"/>
  <c r="G67" i="1" l="1"/>
  <c r="B67" i="1"/>
  <c r="G66" i="1"/>
  <c r="B66" i="1"/>
  <c r="G65" i="1"/>
  <c r="B65" i="1"/>
  <c r="G64" i="1"/>
  <c r="B64" i="1"/>
  <c r="G63" i="1"/>
  <c r="B63" i="1"/>
  <c r="G62" i="1"/>
  <c r="B62" i="1"/>
  <c r="H31" i="1"/>
  <c r="G36" i="1"/>
  <c r="B36" i="1"/>
  <c r="G35" i="1"/>
  <c r="B35" i="1"/>
  <c r="G34" i="1"/>
  <c r="B34" i="1"/>
  <c r="G33" i="1"/>
  <c r="B33" i="1"/>
  <c r="G32" i="1"/>
  <c r="B32" i="1"/>
  <c r="G31" i="1"/>
  <c r="G29" i="1"/>
  <c r="B29" i="1"/>
  <c r="G28" i="1"/>
  <c r="B28" i="1"/>
  <c r="G27" i="1"/>
  <c r="B27" i="1"/>
  <c r="G26" i="1"/>
  <c r="B26" i="1"/>
  <c r="G25" i="1"/>
  <c r="B25" i="1"/>
  <c r="G24" i="1"/>
  <c r="B24" i="1"/>
  <c r="C1" i="1" l="1"/>
  <c r="B13" i="46" l="1"/>
  <c r="B11" i="46"/>
  <c r="B10" i="46"/>
  <c r="B9" i="46"/>
  <c r="B7" i="46"/>
  <c r="B5" i="46"/>
  <c r="A1" i="46"/>
  <c r="B14" i="46"/>
  <c r="C10" i="46"/>
  <c r="C5" i="46"/>
  <c r="C2" i="46"/>
  <c r="C9" i="46"/>
  <c r="C13" i="46"/>
  <c r="C11" i="46"/>
  <c r="C1" i="46" l="1"/>
  <c r="H61" i="1" l="1"/>
  <c r="G61" i="1"/>
  <c r="H54" i="1"/>
  <c r="G54" i="1"/>
  <c r="H45" i="1"/>
  <c r="G45" i="1"/>
  <c r="G43" i="1"/>
  <c r="G42" i="1"/>
  <c r="G41" i="1"/>
  <c r="G40" i="1"/>
  <c r="G39" i="1"/>
  <c r="H38" i="1"/>
  <c r="G38" i="1"/>
  <c r="H23" i="1"/>
  <c r="G23" i="1"/>
  <c r="G19" i="1"/>
  <c r="G18" i="1"/>
  <c r="G17" i="1"/>
  <c r="G16" i="1"/>
  <c r="H15" i="1"/>
  <c r="G15" i="1"/>
  <c r="I84" i="1"/>
  <c r="I83" i="1"/>
  <c r="I82" i="1"/>
  <c r="I81" i="1"/>
  <c r="I80" i="1"/>
  <c r="I79" i="1"/>
  <c r="I78" i="1"/>
  <c r="D87" i="1"/>
  <c r="D86" i="1"/>
  <c r="D85" i="1"/>
  <c r="D84" i="1"/>
  <c r="D83" i="1"/>
  <c r="D82" i="1"/>
  <c r="D81" i="1"/>
  <c r="D80" i="1"/>
  <c r="D79" i="1"/>
  <c r="D78" i="1"/>
  <c r="H6" i="1"/>
  <c r="G12" i="1"/>
  <c r="G11" i="1"/>
  <c r="G10" i="1"/>
  <c r="G9" i="1"/>
  <c r="G8" i="1"/>
  <c r="G7" i="1"/>
  <c r="G6" i="1"/>
  <c r="F85" i="1"/>
  <c r="B75" i="1"/>
  <c r="C89" i="1"/>
  <c r="A87" i="1" l="1"/>
  <c r="A86" i="1"/>
  <c r="A85" i="1"/>
  <c r="A84" i="1"/>
  <c r="A83" i="1"/>
  <c r="A82" i="1"/>
  <c r="A81" i="1"/>
  <c r="A80" i="1"/>
  <c r="A79" i="1"/>
  <c r="B43" i="1"/>
  <c r="B42" i="1"/>
  <c r="B41" i="1"/>
  <c r="B40" i="1"/>
  <c r="B39" i="1"/>
  <c r="B19" i="1"/>
  <c r="B18" i="1"/>
  <c r="B17" i="1"/>
  <c r="B16" i="1"/>
  <c r="B12" i="1"/>
  <c r="B11" i="1"/>
  <c r="B10" i="1"/>
  <c r="B9" i="1"/>
  <c r="B8" i="1"/>
  <c r="B7" i="1"/>
</calcChain>
</file>

<file path=xl/sharedStrings.xml><?xml version="1.0" encoding="utf-8"?>
<sst xmlns="http://schemas.openxmlformats.org/spreadsheetml/2006/main" count="1785" uniqueCount="289">
  <si>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</si>
  <si>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</si>
  <si>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</si>
  <si>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</si>
  <si>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</si>
  <si>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</si>
  <si>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</si>
  <si>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</si>
  <si>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</si>
  <si>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</si>
  <si>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</si>
  <si>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</si>
  <si>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</si>
  <si>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</si>
  <si>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</si>
  <si>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</si>
  <si>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</si>
  <si>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</si>
  <si>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</si>
  <si>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</si>
  <si>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</si>
  <si>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</si>
  <si>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</si>
  <si>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</si>
  <si>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</si>
  <si>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</si>
  <si>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</si>
  <si>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</si>
  <si>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</si>
  <si>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</si>
  <si>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9"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</si>
  <si>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</si>
  <si>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</si>
  <si>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</si>
  <si>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</si>
  <si>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</si>
  <si>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</si>
  <si>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</si>
  <si>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</si>
  <si>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</si>
  <si>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</si>
  <si>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</si>
  <si>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</si>
  <si>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</si>
  <si>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</si>
  <si>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</si>
  <si>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</si>
  <si>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</si>
  <si>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</si>
  <si>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</si>
  <si>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家庭</t>
    <rPh sb="0" eb="2">
      <t>カテイ</t>
    </rPh>
    <phoneticPr fontId="1"/>
  </si>
  <si>
    <t>健康・体力の向上（欠席、遅刻、早退など）</t>
  </si>
  <si>
    <t>自主・自律（整理整頓、身なり、宿題、提出物など）</t>
  </si>
  <si>
    <t>責任感（係、委員会、役割など）</t>
  </si>
  <si>
    <t>創意工夫（日常生活、授業発言など）</t>
  </si>
  <si>
    <t>思いやり・協力（友人関係、共同作業など）</t>
  </si>
  <si>
    <t>勤労・奉仕（清掃、給食など）</t>
  </si>
  <si>
    <t>公正・公平（友人関係、学級での話し合いなど）</t>
  </si>
  <si>
    <t>公共心・公徳心（規律、挨拶、返事など）</t>
  </si>
  <si>
    <r>
      <t xml:space="preserve">学年
</t>
    </r>
    <r>
      <rPr>
        <sz val="9"/>
        <rFont val="ＭＳ Ｐ明朝"/>
        <family val="1"/>
        <charset val="128"/>
      </rPr>
      <t>(3学期)</t>
    </r>
    <rPh sb="5" eb="7">
      <t>ガッキ</t>
    </rPh>
    <phoneticPr fontId="1"/>
  </si>
  <si>
    <t>知識・技能（単元テスト・定期テスト）</t>
    <rPh sb="6" eb="8">
      <t>タンゲン</t>
    </rPh>
    <phoneticPr fontId="1"/>
  </si>
  <si>
    <t>基本的な生活習慣（一日の過ごし方、時間管理、など）</t>
  </si>
  <si>
    <t>生命尊重・自然愛護（自然、動植物に対する接し方など）</t>
  </si>
  <si>
    <t>知識・技能（単元テスト・定期テスト）</t>
  </si>
  <si>
    <t>思考力・表現力・判断力（単元テスト・定期テスト）</t>
  </si>
  <si>
    <t>B</t>
    <phoneticPr fontId="1"/>
  </si>
  <si>
    <t>3</t>
  </si>
  <si>
    <t>4</t>
  </si>
  <si>
    <t>5</t>
  </si>
  <si>
    <t>A</t>
    <phoneticPr fontId="1"/>
  </si>
  <si>
    <t>知識・技能（単元テスト・定期テスト）</t>
    <rPh sb="6" eb="8">
      <t>タンゲン</t>
    </rPh>
    <phoneticPr fontId="19"/>
  </si>
  <si>
    <t>思考力・表現力・判断力（単元テスト・定期テスト・俳句づくり、短歌づくり）</t>
    <rPh sb="24" eb="26">
      <t>ハイク</t>
    </rPh>
    <rPh sb="30" eb="32">
      <t>タンカ</t>
    </rPh>
    <phoneticPr fontId="19"/>
  </si>
  <si>
    <t>主体的に学習に取り組む態度（提出物・漢字テスト）</t>
    <rPh sb="14" eb="17">
      <t>テイシュツブツ</t>
    </rPh>
    <rPh sb="18" eb="20">
      <t>カンジ</t>
    </rPh>
    <phoneticPr fontId="1"/>
  </si>
  <si>
    <t>秋山 晃佑</t>
  </si>
  <si>
    <t>阿部 由和</t>
  </si>
  <si>
    <t>伊藤 紗和</t>
  </si>
  <si>
    <t>伊藤 大翔</t>
  </si>
  <si>
    <t>岡田 帆香</t>
  </si>
  <si>
    <t>小口 絵麻</t>
  </si>
  <si>
    <t>小栗 桃愛</t>
  </si>
  <si>
    <t>上條 惇也</t>
  </si>
  <si>
    <t>上條 美生</t>
  </si>
  <si>
    <t>佐藤 くるみ</t>
  </si>
  <si>
    <t>杉野 葉琉</t>
  </si>
  <si>
    <t>杉本 灯</t>
  </si>
  <si>
    <t>長崎 結</t>
  </si>
  <si>
    <t>宮下 貫正</t>
  </si>
  <si>
    <t>宮島 煌季</t>
  </si>
  <si>
    <t>山﨑 大輝</t>
  </si>
  <si>
    <t>横井 快斗</t>
  </si>
  <si>
    <t>吉河 治輝</t>
  </si>
  <si>
    <t>宿題提出率１００％、授業用ノート評価S、発言ポイント１３。いつも素直に問題にむかえていて、なるほど！分かった！そういうことか！と吸収する力もあります。今の努力、２学期も継続しましょう。</t>
    <rPh sb="0" eb="5">
      <t>シュクダイテイシュツリツ</t>
    </rPh>
    <rPh sb="10" eb="13">
      <t>ジュギョウヨウ</t>
    </rPh>
    <rPh sb="16" eb="18">
      <t>ヒョウカ</t>
    </rPh>
    <rPh sb="20" eb="22">
      <t>ハツゲン</t>
    </rPh>
    <rPh sb="32" eb="34">
      <t>スナオ</t>
    </rPh>
    <rPh sb="35" eb="37">
      <t>モンダイ</t>
    </rPh>
    <rPh sb="50" eb="51">
      <t>ワ</t>
    </rPh>
    <rPh sb="64" eb="66">
      <t>キュウシュウ</t>
    </rPh>
    <rPh sb="68" eb="69">
      <t>チカラ</t>
    </rPh>
    <rPh sb="75" eb="76">
      <t>イマ</t>
    </rPh>
    <rPh sb="77" eb="79">
      <t>ドリョク</t>
    </rPh>
    <rPh sb="81" eb="83">
      <t>ガッキ</t>
    </rPh>
    <rPh sb="84" eb="86">
      <t>ケイゾク</t>
    </rPh>
    <phoneticPr fontId="1"/>
  </si>
  <si>
    <t>宿題提出率１００％、授業用ノート評価B、発言ポイント１６（No.3）。去年より集中する時間が増えましたが、多少ムラがあるのがもったいないです。問題と丁寧に向き合いましょう。</t>
    <rPh sb="0" eb="5">
      <t>シュクダイテイシュツリツ</t>
    </rPh>
    <rPh sb="10" eb="13">
      <t>ジュギョウヨウ</t>
    </rPh>
    <rPh sb="16" eb="18">
      <t>ヒョウカ</t>
    </rPh>
    <rPh sb="20" eb="22">
      <t>ハツゲン</t>
    </rPh>
    <rPh sb="35" eb="37">
      <t>キョネン</t>
    </rPh>
    <rPh sb="39" eb="41">
      <t>シュウチュウ</t>
    </rPh>
    <rPh sb="43" eb="45">
      <t>ジカン</t>
    </rPh>
    <rPh sb="46" eb="47">
      <t>フ</t>
    </rPh>
    <rPh sb="53" eb="55">
      <t>タショウ</t>
    </rPh>
    <rPh sb="71" eb="73">
      <t>モンダイ</t>
    </rPh>
    <rPh sb="74" eb="76">
      <t>テイネイ</t>
    </rPh>
    <rPh sb="77" eb="78">
      <t>ム</t>
    </rPh>
    <rPh sb="79" eb="80">
      <t>ア</t>
    </rPh>
    <phoneticPr fontId="1"/>
  </si>
  <si>
    <t>宿題提出率１００％、授業用ノート評価S、発言ポイント１４。努力を継続することで「やってて良かった！」の日が必ずきます。分かったかも～の問題を、「かも～」ではなく「分かった！」で進んでいきたいです。友達に説明できるくらい、１問１問さらに深く丁寧に取り組みましょう。</t>
    <rPh sb="0" eb="5">
      <t>シュクダイテイシュツリツ</t>
    </rPh>
    <rPh sb="10" eb="13">
      <t>ジュギョウヨウ</t>
    </rPh>
    <rPh sb="16" eb="18">
      <t>ヒョウカ</t>
    </rPh>
    <rPh sb="20" eb="22">
      <t>ハツゲン</t>
    </rPh>
    <rPh sb="29" eb="31">
      <t>ドリョク</t>
    </rPh>
    <rPh sb="32" eb="34">
      <t>ケイゾク</t>
    </rPh>
    <rPh sb="44" eb="45">
      <t>ヨ</t>
    </rPh>
    <rPh sb="51" eb="52">
      <t>ヒ</t>
    </rPh>
    <rPh sb="53" eb="54">
      <t>カナラ</t>
    </rPh>
    <rPh sb="59" eb="60">
      <t>ワ</t>
    </rPh>
    <rPh sb="67" eb="69">
      <t>モンダイ</t>
    </rPh>
    <rPh sb="81" eb="82">
      <t>ワ</t>
    </rPh>
    <rPh sb="88" eb="89">
      <t>スス</t>
    </rPh>
    <rPh sb="98" eb="100">
      <t>トモダチ</t>
    </rPh>
    <rPh sb="101" eb="103">
      <t>セツメイ</t>
    </rPh>
    <rPh sb="111" eb="112">
      <t>モン</t>
    </rPh>
    <rPh sb="113" eb="114">
      <t>モン</t>
    </rPh>
    <rPh sb="117" eb="118">
      <t>フカ</t>
    </rPh>
    <rPh sb="119" eb="121">
      <t>テイネイ</t>
    </rPh>
    <rPh sb="122" eb="123">
      <t>ト</t>
    </rPh>
    <rPh sb="124" eb="125">
      <t>ク</t>
    </rPh>
    <phoneticPr fontId="1"/>
  </si>
  <si>
    <t>宿題提出率７０％、授業用ノート評価B、発言ポイント１８（No.1）。去年よりだいぶ集中できています。提出物も頑張っています。が、提出物にしても授業に向かう姿勢にしても、まだムラがあるのがもったいないです。７年はすぐそこですよ。努力を継続するなら「今」です。</t>
    <rPh sb="0" eb="2">
      <t>シュクダイ</t>
    </rPh>
    <rPh sb="2" eb="5">
      <t>テイシュツリツ</t>
    </rPh>
    <rPh sb="9" eb="12">
      <t>ジュギョウヨウ</t>
    </rPh>
    <rPh sb="15" eb="17">
      <t>ヒョウカ</t>
    </rPh>
    <rPh sb="19" eb="21">
      <t>ハツゲン</t>
    </rPh>
    <rPh sb="34" eb="36">
      <t>キョネン</t>
    </rPh>
    <rPh sb="41" eb="43">
      <t>シュウチュウ</t>
    </rPh>
    <rPh sb="50" eb="52">
      <t>テイシュツ</t>
    </rPh>
    <rPh sb="52" eb="53">
      <t>ブツ</t>
    </rPh>
    <rPh sb="54" eb="56">
      <t>ガンバ</t>
    </rPh>
    <rPh sb="64" eb="67">
      <t>テイシュツブツ</t>
    </rPh>
    <rPh sb="71" eb="73">
      <t>ジュギョウ</t>
    </rPh>
    <rPh sb="74" eb="75">
      <t>ム</t>
    </rPh>
    <rPh sb="77" eb="79">
      <t>シセイ</t>
    </rPh>
    <rPh sb="103" eb="104">
      <t>ネン</t>
    </rPh>
    <rPh sb="113" eb="115">
      <t>ドリョク</t>
    </rPh>
    <rPh sb="116" eb="118">
      <t>ケイゾク</t>
    </rPh>
    <rPh sb="123" eb="124">
      <t>イマ</t>
    </rPh>
    <phoneticPr fontId="1"/>
  </si>
  <si>
    <t>宿題提出率１００％、授業用ノート評価A、発言ポイント１３。頑張ってますね！周りの計算スピードやノート取り等が早いのでおいてかれがちですが、努力ができているので２学期もその努力を継続しましょう。</t>
    <rPh sb="0" eb="5">
      <t>シュクダイテイシュツリツ</t>
    </rPh>
    <rPh sb="10" eb="13">
      <t>ジュギョウヨウ</t>
    </rPh>
    <rPh sb="16" eb="18">
      <t>ヒョウカ</t>
    </rPh>
    <rPh sb="20" eb="22">
      <t>ハツゲン</t>
    </rPh>
    <rPh sb="29" eb="31">
      <t>ガンバ</t>
    </rPh>
    <rPh sb="37" eb="38">
      <t>マワ</t>
    </rPh>
    <rPh sb="40" eb="42">
      <t>ケイサン</t>
    </rPh>
    <rPh sb="50" eb="51">
      <t>ト</t>
    </rPh>
    <rPh sb="52" eb="53">
      <t>トウ</t>
    </rPh>
    <rPh sb="54" eb="55">
      <t>ハヤ</t>
    </rPh>
    <rPh sb="69" eb="71">
      <t>ドリョク</t>
    </rPh>
    <rPh sb="80" eb="82">
      <t>ガッキ</t>
    </rPh>
    <rPh sb="85" eb="87">
      <t>ドリョク</t>
    </rPh>
    <rPh sb="88" eb="90">
      <t>ケイゾク</t>
    </rPh>
    <phoneticPr fontId="1"/>
  </si>
  <si>
    <t>宿題提出率１００％、授業用ノート評価S、発言ポイント１４。特に応用問題では理解が薄いまま進んでしまってることがあるので、友達に説明できるくらい深く理解することを意識しましょう。</t>
    <rPh sb="0" eb="5">
      <t>シュクダイテイシュツリツ</t>
    </rPh>
    <rPh sb="10" eb="13">
      <t>ジュギョウヨウ</t>
    </rPh>
    <rPh sb="16" eb="18">
      <t>ヒョウカ</t>
    </rPh>
    <rPh sb="20" eb="22">
      <t>ハツゲン</t>
    </rPh>
    <rPh sb="29" eb="30">
      <t>トク</t>
    </rPh>
    <rPh sb="31" eb="35">
      <t>オウヨウモンダイ</t>
    </rPh>
    <rPh sb="37" eb="39">
      <t>リカイ</t>
    </rPh>
    <rPh sb="40" eb="41">
      <t>ウス</t>
    </rPh>
    <rPh sb="44" eb="45">
      <t>スス</t>
    </rPh>
    <rPh sb="60" eb="62">
      <t>トモダチ</t>
    </rPh>
    <rPh sb="63" eb="65">
      <t>セツメイ</t>
    </rPh>
    <rPh sb="71" eb="72">
      <t>フカ</t>
    </rPh>
    <rPh sb="73" eb="75">
      <t>リカイ</t>
    </rPh>
    <rPh sb="80" eb="82">
      <t>イシキ</t>
    </rPh>
    <phoneticPr fontId="1"/>
  </si>
  <si>
    <t>宿題提出率１００％、授業用ノート評価S、発言ポイント１８（No.1）。去年よりいろいろが成長しましたね！これを当たり前にして、さらに努力を継続していきましょう。</t>
    <rPh sb="0" eb="5">
      <t>シュクダイテイシュツリツ</t>
    </rPh>
    <rPh sb="10" eb="13">
      <t>ジュギョウヨウ</t>
    </rPh>
    <rPh sb="16" eb="18">
      <t>ヒョウカ</t>
    </rPh>
    <rPh sb="20" eb="22">
      <t>ハツゲン</t>
    </rPh>
    <rPh sb="35" eb="37">
      <t>キョネン</t>
    </rPh>
    <rPh sb="44" eb="46">
      <t>セイチョウ</t>
    </rPh>
    <rPh sb="55" eb="56">
      <t>ア</t>
    </rPh>
    <rPh sb="58" eb="59">
      <t>マエ</t>
    </rPh>
    <rPh sb="66" eb="68">
      <t>ドリョク</t>
    </rPh>
    <rPh sb="69" eb="71">
      <t>ケイゾク</t>
    </rPh>
    <phoneticPr fontId="1"/>
  </si>
  <si>
    <t>宿題提出率１００％、授業用ノート未提出のため評価なし、発言ポイント１７（No.2）。やっつけ仕事で解いている今の現状を、友達に説明できるくらい「分かった！」にしていかないと、この先結果は下がっていく一方です。取り組み方を変えていこう。</t>
    <rPh sb="0" eb="5">
      <t>シュクダイテイシュツリツ</t>
    </rPh>
    <rPh sb="10" eb="13">
      <t>ジュギョウヨウ</t>
    </rPh>
    <rPh sb="16" eb="19">
      <t>ミテイシュツ</t>
    </rPh>
    <rPh sb="22" eb="24">
      <t>ヒョウカ</t>
    </rPh>
    <rPh sb="27" eb="29">
      <t>ハツゲン</t>
    </rPh>
    <rPh sb="46" eb="48">
      <t>シゴト</t>
    </rPh>
    <rPh sb="49" eb="50">
      <t>ト</t>
    </rPh>
    <rPh sb="54" eb="55">
      <t>イマ</t>
    </rPh>
    <rPh sb="56" eb="58">
      <t>ゲンジョウ</t>
    </rPh>
    <rPh sb="60" eb="62">
      <t>トモダチ</t>
    </rPh>
    <rPh sb="63" eb="65">
      <t>セツメイ</t>
    </rPh>
    <rPh sb="72" eb="73">
      <t>ワ</t>
    </rPh>
    <rPh sb="89" eb="90">
      <t>サキ</t>
    </rPh>
    <rPh sb="90" eb="92">
      <t>ケッカ</t>
    </rPh>
    <rPh sb="93" eb="94">
      <t>サ</t>
    </rPh>
    <rPh sb="99" eb="101">
      <t>イッポウ</t>
    </rPh>
    <rPh sb="104" eb="105">
      <t>ト</t>
    </rPh>
    <rPh sb="106" eb="107">
      <t>ク</t>
    </rPh>
    <rPh sb="108" eb="109">
      <t>カタ</t>
    </rPh>
    <rPh sb="110" eb="111">
      <t>カ</t>
    </rPh>
    <phoneticPr fontId="1"/>
  </si>
  <si>
    <t>宿題提出率１００％、授業用ノート評価A、発言ポイント１８（No.1）。去年より集中する時間が増えましたが、多少ムラがあるのがもったいないです。基礎基本がしっかり定着し、応用問題に向かう力がつきました。努力継続！</t>
    <rPh sb="0" eb="5">
      <t>シュクダイテイシュツリツ</t>
    </rPh>
    <rPh sb="10" eb="13">
      <t>ジュギョウヨウ</t>
    </rPh>
    <rPh sb="16" eb="18">
      <t>ヒョウカ</t>
    </rPh>
    <rPh sb="20" eb="22">
      <t>ハツゲン</t>
    </rPh>
    <rPh sb="71" eb="75">
      <t>キソキホン</t>
    </rPh>
    <rPh sb="80" eb="82">
      <t>テイチャク</t>
    </rPh>
    <rPh sb="84" eb="88">
      <t>オウヨウモンダイ</t>
    </rPh>
    <rPh sb="89" eb="90">
      <t>ム</t>
    </rPh>
    <rPh sb="92" eb="93">
      <t>チカラ</t>
    </rPh>
    <rPh sb="100" eb="102">
      <t>ドリョク</t>
    </rPh>
    <rPh sb="102" eb="104">
      <t>ケイゾク</t>
    </rPh>
    <phoneticPr fontId="1"/>
  </si>
  <si>
    <t>宿題提出率１００％、授業用ノート評価A、発言ポイント１７（No.2）。深く努力ができてる単元と、理解が薄い単元とありますね。復習を早めにし、２学期は集中を増やしていこう！</t>
    <rPh sb="0" eb="5">
      <t>シュクダイテイシュツリツ</t>
    </rPh>
    <rPh sb="10" eb="13">
      <t>ジュギョウヨウ</t>
    </rPh>
    <rPh sb="16" eb="18">
      <t>ヒョウカ</t>
    </rPh>
    <rPh sb="20" eb="22">
      <t>ハツゲン</t>
    </rPh>
    <rPh sb="35" eb="36">
      <t>フカ</t>
    </rPh>
    <rPh sb="37" eb="39">
      <t>ドリョク</t>
    </rPh>
    <rPh sb="44" eb="46">
      <t>タンゲン</t>
    </rPh>
    <rPh sb="48" eb="50">
      <t>リカイ</t>
    </rPh>
    <rPh sb="51" eb="52">
      <t>ウス</t>
    </rPh>
    <rPh sb="53" eb="55">
      <t>タンゲン</t>
    </rPh>
    <rPh sb="62" eb="64">
      <t>フクシュウ</t>
    </rPh>
    <rPh sb="65" eb="66">
      <t>ハヤ</t>
    </rPh>
    <rPh sb="71" eb="73">
      <t>ガッキ</t>
    </rPh>
    <rPh sb="74" eb="76">
      <t>シュウチュウ</t>
    </rPh>
    <rPh sb="77" eb="78">
      <t>フ</t>
    </rPh>
    <phoneticPr fontId="1"/>
  </si>
  <si>
    <t>知識・技能</t>
    <rPh sb="0" eb="2">
      <t>ちしき</t>
    </rPh>
    <rPh sb="3" eb="5">
      <t>ぎのう</t>
    </rPh>
    <phoneticPr fontId="9" type="Hiragana" alignment="distributed"/>
  </si>
  <si>
    <t>思考力・表現力・判断力</t>
    <rPh sb="0" eb="3">
      <t>しこうりょく</t>
    </rPh>
    <rPh sb="4" eb="7">
      <t>ひょうげんりょく</t>
    </rPh>
    <rPh sb="8" eb="11">
      <t>はんだんりょく</t>
    </rPh>
    <phoneticPr fontId="9" type="Hiragana" alignment="distributed"/>
  </si>
  <si>
    <t>主体的に取り組む態度</t>
    <rPh sb="0" eb="3">
      <t>しゅたいてき</t>
    </rPh>
    <rPh sb="4" eb="5">
      <t>と</t>
    </rPh>
    <rPh sb="6" eb="7">
      <t>く</t>
    </rPh>
    <rPh sb="8" eb="10">
      <t>たいど</t>
    </rPh>
    <phoneticPr fontId="9" type="Hiragana" alignment="distributed"/>
  </si>
  <si>
    <t>落ち着きに欠ける</t>
    <rPh sb="0" eb="1">
      <t>オ</t>
    </rPh>
    <rPh sb="2" eb="3">
      <t>ツ</t>
    </rPh>
    <rPh sb="5" eb="6">
      <t>カ</t>
    </rPh>
    <phoneticPr fontId="16"/>
  </si>
  <si>
    <t>提出物が出ないことが多い</t>
    <rPh sb="0" eb="3">
      <t>テイシュツブツ</t>
    </rPh>
    <rPh sb="4" eb="5">
      <t>デ</t>
    </rPh>
    <rPh sb="10" eb="11">
      <t>オオ</t>
    </rPh>
    <phoneticPr fontId="16"/>
  </si>
  <si>
    <t>授業には積極的だが提出物への意識がない</t>
    <rPh sb="0" eb="2">
      <t>ジュギョウ</t>
    </rPh>
    <rPh sb="4" eb="7">
      <t>セッキョクテキ</t>
    </rPh>
    <rPh sb="9" eb="12">
      <t>テイシュツブツ</t>
    </rPh>
    <rPh sb="14" eb="16">
      <t>イシキ</t>
    </rPh>
    <phoneticPr fontId="16"/>
  </si>
  <si>
    <t>人体に非常に興味を持っている</t>
    <rPh sb="0" eb="2">
      <t>ジンタイ</t>
    </rPh>
    <rPh sb="3" eb="5">
      <t>ヒジョウ</t>
    </rPh>
    <rPh sb="6" eb="8">
      <t>キョウミ</t>
    </rPh>
    <rPh sb="9" eb="10">
      <t>モ</t>
    </rPh>
    <phoneticPr fontId="16"/>
  </si>
  <si>
    <t>理科係をしっかりできている</t>
    <rPh sb="0" eb="2">
      <t>リカ</t>
    </rPh>
    <rPh sb="2" eb="3">
      <t>カカリ</t>
    </rPh>
    <phoneticPr fontId="16"/>
  </si>
  <si>
    <t>提出物への意識がやや低い</t>
    <rPh sb="0" eb="3">
      <t>テイシュツブツ</t>
    </rPh>
    <rPh sb="5" eb="7">
      <t>イシキ</t>
    </rPh>
    <rPh sb="10" eb="11">
      <t>ヒク</t>
    </rPh>
    <phoneticPr fontId="16"/>
  </si>
  <si>
    <t>やや落ち着きに欠ける</t>
    <rPh sb="2" eb="3">
      <t>オ</t>
    </rPh>
    <rPh sb="4" eb="5">
      <t>ツ</t>
    </rPh>
    <rPh sb="7" eb="8">
      <t>カ</t>
    </rPh>
    <phoneticPr fontId="16"/>
  </si>
  <si>
    <t>声掛けがよい。考えて発言できる</t>
    <rPh sb="0" eb="2">
      <t>コエガ</t>
    </rPh>
    <rPh sb="7" eb="8">
      <t>カンガ</t>
    </rPh>
    <rPh sb="10" eb="12">
      <t>ハツゲン</t>
    </rPh>
    <phoneticPr fontId="16"/>
  </si>
  <si>
    <t>知識はあるが落ち着きがない</t>
    <rPh sb="0" eb="2">
      <t>チシキ</t>
    </rPh>
    <rPh sb="6" eb="7">
      <t>オ</t>
    </rPh>
    <rPh sb="8" eb="9">
      <t>ツ</t>
    </rPh>
    <phoneticPr fontId="16"/>
  </si>
  <si>
    <t>主体的に学習に取り組む態度（提出物・授業態度）</t>
    <rPh sb="14" eb="17">
      <t>テイシュツブツ</t>
    </rPh>
    <rPh sb="18" eb="22">
      <t>ジュギョウタイド</t>
    </rPh>
    <phoneticPr fontId="1"/>
  </si>
  <si>
    <t>思考力・判断力・表現力（オンライン授業・リスニング・英作文）</t>
    <rPh sb="17" eb="19">
      <t>ジュギョウ</t>
    </rPh>
    <rPh sb="26" eb="29">
      <t>エイサクブン</t>
    </rPh>
    <rPh sb="28" eb="29">
      <t>アヤ</t>
    </rPh>
    <phoneticPr fontId="1"/>
  </si>
  <si>
    <t>2</t>
  </si>
  <si>
    <t>宿題提出率72％　現在進行形のルールや英文の形は理解しつつありますが、疑問文などまだ定着しきれていません。書いたり話したりする量を増やせると良いです。</t>
    <rPh sb="0" eb="2">
      <t>シュクダイ</t>
    </rPh>
    <rPh sb="2" eb="5">
      <t>テイシュツリツ</t>
    </rPh>
    <rPh sb="9" eb="14">
      <t>ゲンザイシンコウケイ</t>
    </rPh>
    <rPh sb="19" eb="21">
      <t>エイブン</t>
    </rPh>
    <rPh sb="22" eb="23">
      <t>カタチ</t>
    </rPh>
    <rPh sb="24" eb="26">
      <t>リカイ</t>
    </rPh>
    <rPh sb="35" eb="38">
      <t>ギモンブン</t>
    </rPh>
    <rPh sb="42" eb="44">
      <t>テイチャク</t>
    </rPh>
    <rPh sb="53" eb="54">
      <t>カ</t>
    </rPh>
    <rPh sb="57" eb="58">
      <t>ハナ</t>
    </rPh>
    <rPh sb="63" eb="64">
      <t>リョウ</t>
    </rPh>
    <rPh sb="65" eb="66">
      <t>フ</t>
    </rPh>
    <rPh sb="70" eb="71">
      <t>ヨ</t>
    </rPh>
    <phoneticPr fontId="1"/>
  </si>
  <si>
    <t>宿題提出率84％　現在進行形のルールや英文の形は理解しつつありますが、疑問文などまだ定着しきれていません。書いたり話したりする量を増やせると良いです</t>
    <rPh sb="0" eb="2">
      <t>シュクダイ</t>
    </rPh>
    <rPh sb="2" eb="5">
      <t>テイシュツリツ</t>
    </rPh>
    <phoneticPr fontId="1"/>
  </si>
  <si>
    <t>宿題提出率92％　力がつくように授業中も家庭学習でもよく努力しています。アドバンスクラスへ移る予定です。</t>
    <rPh sb="0" eb="2">
      <t>シュクダイ</t>
    </rPh>
    <rPh sb="2" eb="5">
      <t>テイシュツリツ</t>
    </rPh>
    <rPh sb="9" eb="10">
      <t>チカラ</t>
    </rPh>
    <rPh sb="16" eb="18">
      <t>ジュギョウ</t>
    </rPh>
    <rPh sb="18" eb="19">
      <t>ナカ</t>
    </rPh>
    <rPh sb="20" eb="24">
      <t>カテイガクシュウ</t>
    </rPh>
    <rPh sb="28" eb="30">
      <t>ドリョク</t>
    </rPh>
    <rPh sb="45" eb="46">
      <t>ウツ</t>
    </rPh>
    <rPh sb="47" eb="49">
      <t>ヨテイ</t>
    </rPh>
    <phoneticPr fontId="1"/>
  </si>
  <si>
    <t>宿題提出率36％　学習した単語や英文を覚えて正しく書けるように、まずは日々の授業と宿題をがんばりましょう。</t>
    <rPh sb="0" eb="2">
      <t>シュクダイ</t>
    </rPh>
    <rPh sb="2" eb="5">
      <t>テイシュツリツ</t>
    </rPh>
    <rPh sb="9" eb="11">
      <t>ガクシュウ</t>
    </rPh>
    <rPh sb="13" eb="15">
      <t>タンゴ</t>
    </rPh>
    <rPh sb="16" eb="18">
      <t>エイブン</t>
    </rPh>
    <rPh sb="19" eb="20">
      <t>オボ</t>
    </rPh>
    <rPh sb="22" eb="23">
      <t>タダ</t>
    </rPh>
    <rPh sb="25" eb="26">
      <t>カ</t>
    </rPh>
    <rPh sb="35" eb="37">
      <t>ヒビ</t>
    </rPh>
    <rPh sb="38" eb="40">
      <t>ジュギョウ</t>
    </rPh>
    <rPh sb="41" eb="43">
      <t>シュクダイ</t>
    </rPh>
    <phoneticPr fontId="1"/>
  </si>
  <si>
    <t>宿題提出率96％　とても意欲的に学べています。現在進行形の英文も定着しつつあり、英語力がついてきています。</t>
    <rPh sb="0" eb="2">
      <t>シュクダイ</t>
    </rPh>
    <rPh sb="2" eb="5">
      <t>テイシュツリツ</t>
    </rPh>
    <rPh sb="12" eb="15">
      <t>イヨクテキ</t>
    </rPh>
    <rPh sb="16" eb="17">
      <t>マナ</t>
    </rPh>
    <rPh sb="23" eb="28">
      <t>ゲンザイシンコウケイ</t>
    </rPh>
    <rPh sb="29" eb="31">
      <t>エイブン</t>
    </rPh>
    <rPh sb="32" eb="34">
      <t>テイチャク</t>
    </rPh>
    <rPh sb="40" eb="43">
      <t>エイゴリョク</t>
    </rPh>
    <phoneticPr fontId="1"/>
  </si>
  <si>
    <t>宿題提出率64％　理解しようと積極的に取り組む姿が評価できます。まずは教科書の単語や本文を粘り強く覚えましょう。</t>
    <rPh sb="0" eb="2">
      <t>シュクダイ</t>
    </rPh>
    <rPh sb="2" eb="5">
      <t>テイシュツリツ</t>
    </rPh>
    <rPh sb="9" eb="11">
      <t>リカイ</t>
    </rPh>
    <rPh sb="15" eb="18">
      <t>セッキョクテキ</t>
    </rPh>
    <rPh sb="19" eb="20">
      <t>ト</t>
    </rPh>
    <rPh sb="21" eb="22">
      <t>ク</t>
    </rPh>
    <rPh sb="23" eb="24">
      <t>スガタ</t>
    </rPh>
    <rPh sb="25" eb="27">
      <t>ヒョウカ</t>
    </rPh>
    <rPh sb="35" eb="38">
      <t>キョウカショ</t>
    </rPh>
    <rPh sb="39" eb="41">
      <t>タンゴ</t>
    </rPh>
    <rPh sb="42" eb="44">
      <t>ホンブン</t>
    </rPh>
    <rPh sb="45" eb="46">
      <t>ネバ</t>
    </rPh>
    <rPh sb="47" eb="48">
      <t>ヅヨ</t>
    </rPh>
    <rPh sb="49" eb="50">
      <t>オボ</t>
    </rPh>
    <phoneticPr fontId="1"/>
  </si>
  <si>
    <t>宿題提出率40％　英文を読んだり聞いたりする能力は高い方です。授業中の取り組みや家庭学習に力が入ってくることを願います。</t>
    <rPh sb="0" eb="2">
      <t>シュクダイ</t>
    </rPh>
    <rPh sb="2" eb="5">
      <t>テイシュツリツ</t>
    </rPh>
    <rPh sb="9" eb="11">
      <t>エイブン</t>
    </rPh>
    <rPh sb="12" eb="13">
      <t>ヨ</t>
    </rPh>
    <rPh sb="16" eb="17">
      <t>キ</t>
    </rPh>
    <rPh sb="22" eb="24">
      <t>ノウリョク</t>
    </rPh>
    <rPh sb="25" eb="26">
      <t>タカ</t>
    </rPh>
    <rPh sb="27" eb="28">
      <t>ホウ</t>
    </rPh>
    <rPh sb="31" eb="34">
      <t>ジュギョウチュウ</t>
    </rPh>
    <rPh sb="35" eb="36">
      <t>ト</t>
    </rPh>
    <rPh sb="37" eb="38">
      <t>ク</t>
    </rPh>
    <rPh sb="40" eb="44">
      <t>カテイガクシュウ</t>
    </rPh>
    <rPh sb="45" eb="46">
      <t>チカラ</t>
    </rPh>
    <rPh sb="47" eb="48">
      <t>ハイ</t>
    </rPh>
    <rPh sb="55" eb="56">
      <t>ネガ</t>
    </rPh>
    <phoneticPr fontId="1"/>
  </si>
  <si>
    <t>宿題提出率100％　アドバンスに行ける力はありますが、まだ力を発揮しきれていません。丁寧な学習を継続できると良いです。</t>
    <rPh sb="0" eb="2">
      <t>シュクダイ</t>
    </rPh>
    <rPh sb="2" eb="5">
      <t>テイシュツリツ</t>
    </rPh>
    <rPh sb="16" eb="17">
      <t>イ</t>
    </rPh>
    <rPh sb="19" eb="20">
      <t>チカラ</t>
    </rPh>
    <rPh sb="29" eb="30">
      <t>チカラ</t>
    </rPh>
    <rPh sb="31" eb="33">
      <t>ハッキ</t>
    </rPh>
    <rPh sb="42" eb="44">
      <t>テイネイ</t>
    </rPh>
    <rPh sb="45" eb="47">
      <t>ガクシュウ</t>
    </rPh>
    <rPh sb="48" eb="50">
      <t>ケイゾク</t>
    </rPh>
    <rPh sb="54" eb="55">
      <t>ヨ</t>
    </rPh>
    <phoneticPr fontId="1"/>
  </si>
  <si>
    <t>知識・技能(実技テスト　演奏聴取　ワークシート)</t>
    <rPh sb="0" eb="2">
      <t>チシキ</t>
    </rPh>
    <rPh sb="3" eb="5">
      <t>ギノウ</t>
    </rPh>
    <rPh sb="6" eb="8">
      <t>ジツギ</t>
    </rPh>
    <rPh sb="12" eb="14">
      <t>エンソウ</t>
    </rPh>
    <rPh sb="14" eb="16">
      <t>チョウシュ</t>
    </rPh>
    <phoneticPr fontId="17"/>
  </si>
  <si>
    <t>思考力・判断力・表現力(実技テスト　演奏聴取　ワークシート)</t>
    <rPh sb="0" eb="2">
      <t>シコウ</t>
    </rPh>
    <rPh sb="2" eb="3">
      <t>リョク</t>
    </rPh>
    <rPh sb="4" eb="6">
      <t>ハンダン</t>
    </rPh>
    <rPh sb="6" eb="7">
      <t>リョク</t>
    </rPh>
    <rPh sb="8" eb="10">
      <t>ヒョウゲン</t>
    </rPh>
    <rPh sb="10" eb="11">
      <t>リョク</t>
    </rPh>
    <rPh sb="12" eb="14">
      <t>ジツギ</t>
    </rPh>
    <rPh sb="18" eb="20">
      <t>エンソウ</t>
    </rPh>
    <rPh sb="20" eb="22">
      <t>チョウシュ</t>
    </rPh>
    <phoneticPr fontId="17"/>
  </si>
  <si>
    <t>主体的に学習に取り組む態度</t>
    <rPh sb="0" eb="3">
      <t>シュタイテキ</t>
    </rPh>
    <rPh sb="4" eb="6">
      <t>ガクシュウ</t>
    </rPh>
    <rPh sb="7" eb="8">
      <t>ト</t>
    </rPh>
    <rPh sb="9" eb="10">
      <t>ク</t>
    </rPh>
    <rPh sb="11" eb="13">
      <t>タイド</t>
    </rPh>
    <phoneticPr fontId="17"/>
  </si>
  <si>
    <t>知識・技能（ワークシート・見取り）</t>
    <rPh sb="13" eb="15">
      <t>ミト</t>
    </rPh>
    <phoneticPr fontId="1"/>
  </si>
  <si>
    <t>主体的な態度（振り返りシート・授業態度・提出物・持ち物）</t>
  </si>
  <si>
    <t>知識・技能(実技テスト）</t>
    <rPh sb="6" eb="8">
      <t>ジツギ</t>
    </rPh>
    <phoneticPr fontId="1"/>
  </si>
  <si>
    <t>思考力・表現力・判断力（実技テスト、授業での練習）</t>
    <rPh sb="12" eb="14">
      <t>ジツギ</t>
    </rPh>
    <rPh sb="18" eb="20">
      <t>ジュギョウ</t>
    </rPh>
    <rPh sb="22" eb="24">
      <t>レンシュウ</t>
    </rPh>
    <phoneticPr fontId="1"/>
  </si>
  <si>
    <t>主体的に学習に取り組む態度（授業態度）</t>
    <rPh sb="14" eb="16">
      <t>ジュギョウ</t>
    </rPh>
    <rPh sb="16" eb="18">
      <t>タイド</t>
    </rPh>
    <phoneticPr fontId="1"/>
  </si>
  <si>
    <t>知識・技能（まとめテスト・裁縫実習）</t>
    <rPh sb="13" eb="17">
      <t>サイホウジッシュウ</t>
    </rPh>
    <phoneticPr fontId="18"/>
  </si>
  <si>
    <t>思考力・表現力・判断力（調理実習・レポート・ノート）</t>
    <rPh sb="12" eb="16">
      <t>チョウリジッシュウ</t>
    </rPh>
    <phoneticPr fontId="18"/>
  </si>
  <si>
    <t>【まとめテスト７４点B、GWレポートA、裁縫A、調理実習レポートB、ノートB】
ミシンに熱心に取り組んでいた。また、手縫いでの小物づくりでは、細かく縫うことに没頭していた。</t>
    <rPh sb="9" eb="10">
      <t>テン</t>
    </rPh>
    <rPh sb="20" eb="22">
      <t>サイホウ</t>
    </rPh>
    <rPh sb="24" eb="28">
      <t>チョウリジッシュウ</t>
    </rPh>
    <rPh sb="44" eb="46">
      <t>ネッシン</t>
    </rPh>
    <rPh sb="47" eb="48">
      <t>ト</t>
    </rPh>
    <rPh sb="49" eb="50">
      <t>ク</t>
    </rPh>
    <rPh sb="58" eb="60">
      <t>テヌ</t>
    </rPh>
    <rPh sb="63" eb="65">
      <t>コモノ</t>
    </rPh>
    <rPh sb="71" eb="72">
      <t>コマ</t>
    </rPh>
    <rPh sb="74" eb="75">
      <t>ヌ</t>
    </rPh>
    <rPh sb="79" eb="81">
      <t>ボットウ</t>
    </rPh>
    <phoneticPr fontId="1"/>
  </si>
  <si>
    <t>【まとめテスト７３点B、GWレポートA、裁縫A、調理実習レポートB、ノートB】
ミシン、調理には熱心に取り組んでいた。しかし、教師が言ったこと、友だちが言ったことなどをすぐに茶化すことがあったので残念。こちらが注意しても、集中できないことがあった。家庭科は裁縫と調理だけではないので、座学も落ち着いて聞き、ノートをしっかりと書いてほしい。</t>
    <rPh sb="63" eb="65">
      <t>キョウシ</t>
    </rPh>
    <rPh sb="66" eb="67">
      <t>イ</t>
    </rPh>
    <rPh sb="72" eb="73">
      <t>トモ</t>
    </rPh>
    <rPh sb="76" eb="77">
      <t>イ</t>
    </rPh>
    <rPh sb="87" eb="89">
      <t>チャカ</t>
    </rPh>
    <rPh sb="98" eb="100">
      <t>ザンネン</t>
    </rPh>
    <rPh sb="105" eb="107">
      <t>チュウイ</t>
    </rPh>
    <rPh sb="111" eb="113">
      <t>シュウチュウ</t>
    </rPh>
    <rPh sb="124" eb="127">
      <t>カテイカ</t>
    </rPh>
    <rPh sb="128" eb="130">
      <t>サイホウ</t>
    </rPh>
    <rPh sb="131" eb="133">
      <t>チョウリ</t>
    </rPh>
    <rPh sb="145" eb="146">
      <t>オ</t>
    </rPh>
    <rPh sb="147" eb="148">
      <t>ツ</t>
    </rPh>
    <rPh sb="162" eb="163">
      <t>カ</t>
    </rPh>
    <phoneticPr fontId="1"/>
  </si>
  <si>
    <t>【まとめテスト82点A、GWレポートA、裁縫A、調理実習レポートB、ノートB】
去年よりも、やる気、集中する姿が見られ、とても嬉しく思う。特に、ミシンでは、自分の巾着を手早く終わらせ、自分から友だちに教える姿が見られた。</t>
    <rPh sb="40" eb="42">
      <t>キョネン</t>
    </rPh>
    <rPh sb="48" eb="49">
      <t>キ</t>
    </rPh>
    <rPh sb="50" eb="52">
      <t>シュウチュウ</t>
    </rPh>
    <rPh sb="54" eb="55">
      <t>スガタ</t>
    </rPh>
    <rPh sb="56" eb="57">
      <t>ミ</t>
    </rPh>
    <rPh sb="63" eb="64">
      <t>ウレ</t>
    </rPh>
    <rPh sb="66" eb="67">
      <t>オモ</t>
    </rPh>
    <rPh sb="69" eb="70">
      <t>トク</t>
    </rPh>
    <rPh sb="78" eb="80">
      <t>ジブン</t>
    </rPh>
    <rPh sb="81" eb="83">
      <t>キンチャク</t>
    </rPh>
    <rPh sb="84" eb="86">
      <t>テバヤ</t>
    </rPh>
    <rPh sb="87" eb="88">
      <t>オ</t>
    </rPh>
    <rPh sb="92" eb="94">
      <t>ジブン</t>
    </rPh>
    <rPh sb="96" eb="97">
      <t>トモ</t>
    </rPh>
    <rPh sb="100" eb="101">
      <t>オシ</t>
    </rPh>
    <rPh sb="103" eb="104">
      <t>スガタ</t>
    </rPh>
    <rPh sb="105" eb="106">
      <t>ミ</t>
    </rPh>
    <phoneticPr fontId="1"/>
  </si>
  <si>
    <t>【まとめテスト７８点A、GWレポートA、裁縫A、調理実習レポートA、ノートA】</t>
    <phoneticPr fontId="1"/>
  </si>
  <si>
    <t>【まとめテスト８２点A、GWレポートA、裁縫A、調理実習レポートA、ノートA、授業態度B】
ノートをしっかりと書き、テストもでき、今学期の学習を理解しているが、とにかくネガティブな小言が多い。（ミシンに対して）「こんなのできませんよ。」、「面倒じゃないですか。」など。教師と一緒になってやったり、コツをつかめば最後まで頑張って取り組むことができ、丁寧に仕上げることもできるので、残念。また、裁縫道具をなかなか持ってこなかった。</t>
    <rPh sb="39" eb="43">
      <t>ジュギョウタイド</t>
    </rPh>
    <rPh sb="55" eb="56">
      <t>カ</t>
    </rPh>
    <rPh sb="65" eb="68">
      <t>コンガッキ</t>
    </rPh>
    <rPh sb="69" eb="71">
      <t>ガクシュウ</t>
    </rPh>
    <rPh sb="72" eb="74">
      <t>リカイ</t>
    </rPh>
    <rPh sb="90" eb="92">
      <t>コゴト</t>
    </rPh>
    <rPh sb="93" eb="94">
      <t>オオ</t>
    </rPh>
    <rPh sb="101" eb="102">
      <t>タイ</t>
    </rPh>
    <rPh sb="120" eb="122">
      <t>メンドウ</t>
    </rPh>
    <rPh sb="134" eb="136">
      <t>キョウシ</t>
    </rPh>
    <rPh sb="137" eb="139">
      <t>イッショ</t>
    </rPh>
    <rPh sb="155" eb="157">
      <t>サイゴ</t>
    </rPh>
    <rPh sb="159" eb="161">
      <t>ガンバ</t>
    </rPh>
    <rPh sb="163" eb="164">
      <t>ト</t>
    </rPh>
    <rPh sb="165" eb="166">
      <t>ク</t>
    </rPh>
    <rPh sb="173" eb="175">
      <t>テイネイ</t>
    </rPh>
    <rPh sb="176" eb="178">
      <t>シア</t>
    </rPh>
    <rPh sb="189" eb="191">
      <t>ザンネン</t>
    </rPh>
    <rPh sb="195" eb="199">
      <t>サイホウドウグ</t>
    </rPh>
    <rPh sb="204" eb="205">
      <t>モ</t>
    </rPh>
    <phoneticPr fontId="1"/>
  </si>
  <si>
    <t>【まとめテスト６３点B、GWレポートA、裁縫A、調理実習レポートA、ノートA】
ミシンを初めて使ったそうだが、教師に聞いたり友だちに教えてもらいながら、最後まで丁寧に取り組むことができた。</t>
    <rPh sb="44" eb="45">
      <t>ハジ</t>
    </rPh>
    <rPh sb="47" eb="48">
      <t>ツカ</t>
    </rPh>
    <rPh sb="55" eb="57">
      <t>キョウシ</t>
    </rPh>
    <rPh sb="58" eb="59">
      <t>キ</t>
    </rPh>
    <rPh sb="62" eb="63">
      <t>トモ</t>
    </rPh>
    <rPh sb="66" eb="67">
      <t>オシ</t>
    </rPh>
    <rPh sb="76" eb="78">
      <t>サイゴ</t>
    </rPh>
    <rPh sb="80" eb="82">
      <t>テイネイ</t>
    </rPh>
    <rPh sb="83" eb="84">
      <t>ト</t>
    </rPh>
    <rPh sb="85" eb="86">
      <t>ク</t>
    </rPh>
    <phoneticPr fontId="1"/>
  </si>
  <si>
    <t>【まとめテスト５６点B、GWレポートA、裁縫A、調理実習レポートA、ノートA】
ミシンでは、巾着づくりを手早く終わらせ、自分から進んで友だちに教える姿が見られた。</t>
    <rPh sb="46" eb="48">
      <t>キンチャク</t>
    </rPh>
    <rPh sb="52" eb="54">
      <t>テバヤ</t>
    </rPh>
    <rPh sb="55" eb="56">
      <t>オ</t>
    </rPh>
    <rPh sb="60" eb="62">
      <t>ジブン</t>
    </rPh>
    <rPh sb="64" eb="65">
      <t>スス</t>
    </rPh>
    <rPh sb="67" eb="68">
      <t>トモ</t>
    </rPh>
    <rPh sb="71" eb="72">
      <t>オシ</t>
    </rPh>
    <rPh sb="74" eb="75">
      <t>スガタ</t>
    </rPh>
    <rPh sb="76" eb="77">
      <t>ミ</t>
    </rPh>
    <phoneticPr fontId="1"/>
  </si>
  <si>
    <t>【まとめテスト７３点B、GWレポートA、裁縫B、調理実習レポートB、ノートB】
去年よりもやる気が見られなくなり、残念。ミシンをするにも「僕は不器用だからできません。」、座学のときも「面倒だから書きたくない。」など小言が聞こえるときがあった。裁縫は苦手に感じるかもしれないが、２学期も少しでも技術が向上するよう、頑張って取り組んでほしい。</t>
    <rPh sb="40" eb="42">
      <t>キョネン</t>
    </rPh>
    <rPh sb="47" eb="48">
      <t>キ</t>
    </rPh>
    <rPh sb="49" eb="50">
      <t>ミ</t>
    </rPh>
    <rPh sb="57" eb="59">
      <t>ザンネン</t>
    </rPh>
    <rPh sb="69" eb="70">
      <t>ボク</t>
    </rPh>
    <rPh sb="71" eb="74">
      <t>ブキヨウ</t>
    </rPh>
    <rPh sb="85" eb="87">
      <t>ザガク</t>
    </rPh>
    <rPh sb="92" eb="94">
      <t>メンドウ</t>
    </rPh>
    <rPh sb="97" eb="98">
      <t>カ</t>
    </rPh>
    <rPh sb="107" eb="109">
      <t>コゴト</t>
    </rPh>
    <rPh sb="110" eb="111">
      <t>キ</t>
    </rPh>
    <rPh sb="121" eb="123">
      <t>サイホウ</t>
    </rPh>
    <rPh sb="124" eb="126">
      <t>ニガテ</t>
    </rPh>
    <rPh sb="127" eb="128">
      <t>カン</t>
    </rPh>
    <rPh sb="139" eb="141">
      <t>ガッキ</t>
    </rPh>
    <rPh sb="142" eb="143">
      <t>スコ</t>
    </rPh>
    <rPh sb="146" eb="148">
      <t>ギジュツ</t>
    </rPh>
    <rPh sb="149" eb="151">
      <t>コウジョウ</t>
    </rPh>
    <rPh sb="156" eb="158">
      <t>ガンバ</t>
    </rPh>
    <rPh sb="160" eb="161">
      <t>ト</t>
    </rPh>
    <rPh sb="162" eb="163">
      <t>ク</t>
    </rPh>
    <phoneticPr fontId="1"/>
  </si>
  <si>
    <t>【まとめテスト６０点B、GWレポートA、裁縫A、調理実習レポートB、ノートB】
周りのやる気のない人たちを見て、自分もそれでいいと思うのか、とにかくやる気になれない様子が多く見られた。こちらが促さないと教科書を開かない、ノートも取らない。裁縫セットを忘れてきたときは、こちらが貸しても、友だちと話してばかりでやろうとしなかった。しかし、自分の作業が終わると、自分から積極的にミシンの使い方を教える姿があり、嬉しく思った。２学期は、自分からもっともっと頑張ってほしい。</t>
    <rPh sb="40" eb="41">
      <t>マワ</t>
    </rPh>
    <rPh sb="45" eb="46">
      <t>キ</t>
    </rPh>
    <rPh sb="49" eb="50">
      <t>ヒト</t>
    </rPh>
    <rPh sb="53" eb="54">
      <t>ミ</t>
    </rPh>
    <rPh sb="56" eb="58">
      <t>ジブン</t>
    </rPh>
    <rPh sb="65" eb="66">
      <t>オモ</t>
    </rPh>
    <rPh sb="76" eb="77">
      <t>キ</t>
    </rPh>
    <rPh sb="82" eb="84">
      <t>ヨウス</t>
    </rPh>
    <rPh sb="85" eb="86">
      <t>オオ</t>
    </rPh>
    <rPh sb="87" eb="88">
      <t>ミ</t>
    </rPh>
    <rPh sb="96" eb="97">
      <t>ウナガ</t>
    </rPh>
    <rPh sb="101" eb="104">
      <t>キョウカショ</t>
    </rPh>
    <rPh sb="105" eb="106">
      <t>ヒラ</t>
    </rPh>
    <rPh sb="114" eb="115">
      <t>ト</t>
    </rPh>
    <rPh sb="119" eb="121">
      <t>サイホウ</t>
    </rPh>
    <rPh sb="125" eb="126">
      <t>ワス</t>
    </rPh>
    <rPh sb="138" eb="139">
      <t>カ</t>
    </rPh>
    <rPh sb="143" eb="144">
      <t>トモ</t>
    </rPh>
    <rPh sb="147" eb="148">
      <t>ハナ</t>
    </rPh>
    <rPh sb="168" eb="170">
      <t>ジブン</t>
    </rPh>
    <rPh sb="171" eb="173">
      <t>サギョウ</t>
    </rPh>
    <rPh sb="174" eb="175">
      <t>オ</t>
    </rPh>
    <rPh sb="179" eb="181">
      <t>ジブン</t>
    </rPh>
    <rPh sb="183" eb="186">
      <t>セッキョクテキ</t>
    </rPh>
    <rPh sb="191" eb="192">
      <t>ツカ</t>
    </rPh>
    <rPh sb="193" eb="194">
      <t>カタ</t>
    </rPh>
    <rPh sb="195" eb="196">
      <t>オシ</t>
    </rPh>
    <rPh sb="198" eb="199">
      <t>スガタ</t>
    </rPh>
    <rPh sb="203" eb="204">
      <t>ウレ</t>
    </rPh>
    <rPh sb="206" eb="207">
      <t>オモ</t>
    </rPh>
    <rPh sb="211" eb="213">
      <t>ガッキ</t>
    </rPh>
    <rPh sb="215" eb="217">
      <t>ジブン</t>
    </rPh>
    <rPh sb="225" eb="227">
      <t>ガンバ</t>
    </rPh>
    <phoneticPr fontId="1"/>
  </si>
  <si>
    <t>【まとめテスト８０点A、GWレポートA、裁縫A、調理実習B、ノートA】
去年よりもやる気、集中する姿が多く見られ、とても嬉しく思う。治輝くんといつでも率先して片づけをしてくれ、ありがたかった。しかし、調理実習など、調子に乗る部分（こしょうをかけ過ぎる、切った野菜の皮を食べるなど）も見られ、残念に感じた。</t>
    <rPh sb="36" eb="38">
      <t>キョネン</t>
    </rPh>
    <rPh sb="43" eb="44">
      <t>キ</t>
    </rPh>
    <rPh sb="45" eb="47">
      <t>シュウチュウ</t>
    </rPh>
    <rPh sb="49" eb="50">
      <t>スガタ</t>
    </rPh>
    <rPh sb="51" eb="52">
      <t>オオ</t>
    </rPh>
    <rPh sb="53" eb="54">
      <t>ミ</t>
    </rPh>
    <rPh sb="60" eb="61">
      <t>ウレ</t>
    </rPh>
    <rPh sb="63" eb="64">
      <t>オモ</t>
    </rPh>
    <rPh sb="66" eb="67">
      <t>ハル</t>
    </rPh>
    <rPh sb="67" eb="68">
      <t>カガヤ</t>
    </rPh>
    <rPh sb="75" eb="77">
      <t>ソッセン</t>
    </rPh>
    <rPh sb="79" eb="80">
      <t>カタ</t>
    </rPh>
    <rPh sb="100" eb="104">
      <t>チョウリジッシュウ</t>
    </rPh>
    <rPh sb="107" eb="109">
      <t>チョウシ</t>
    </rPh>
    <rPh sb="110" eb="111">
      <t>ノ</t>
    </rPh>
    <rPh sb="112" eb="114">
      <t>ブブン</t>
    </rPh>
    <rPh sb="122" eb="123">
      <t>ス</t>
    </rPh>
    <rPh sb="126" eb="127">
      <t>キ</t>
    </rPh>
    <rPh sb="129" eb="131">
      <t>ヤサイ</t>
    </rPh>
    <rPh sb="132" eb="133">
      <t>カワ</t>
    </rPh>
    <rPh sb="134" eb="135">
      <t>タ</t>
    </rPh>
    <rPh sb="141" eb="142">
      <t>ミ</t>
    </rPh>
    <rPh sb="145" eb="147">
      <t>ザンネン</t>
    </rPh>
    <rPh sb="148" eb="149">
      <t>カン</t>
    </rPh>
    <phoneticPr fontId="1"/>
  </si>
  <si>
    <t>【まとめテスト９０点A、GWレポートA、裁縫A、調理実習レポートB、ノートB】
調理室も被服室も、いつでも快斗くんと率先して片づけをしてくれ、ありがたかった。今学期の学習内容はよく理解できているが、レポートなどで感想を書くとき、こちらが書いてほしい内容をなかなか書けない。こちらが「このことについて具体的に。」「固さや味はどうだった。」などと伝えても、的外れなことを書いていることが多かった。</t>
    <rPh sb="40" eb="43">
      <t>チョウリシツ</t>
    </rPh>
    <rPh sb="44" eb="47">
      <t>ヒフクシツ</t>
    </rPh>
    <rPh sb="53" eb="55">
      <t>カイト</t>
    </rPh>
    <rPh sb="58" eb="60">
      <t>ソッセン</t>
    </rPh>
    <rPh sb="62" eb="63">
      <t>カタ</t>
    </rPh>
    <rPh sb="79" eb="82">
      <t>コンガッキ</t>
    </rPh>
    <rPh sb="83" eb="87">
      <t>ガクシュウナイヨウ</t>
    </rPh>
    <rPh sb="90" eb="92">
      <t>リカイ</t>
    </rPh>
    <rPh sb="106" eb="108">
      <t>カンソウ</t>
    </rPh>
    <rPh sb="109" eb="110">
      <t>カ</t>
    </rPh>
    <rPh sb="118" eb="119">
      <t>カ</t>
    </rPh>
    <rPh sb="124" eb="126">
      <t>ナイヨウ</t>
    </rPh>
    <rPh sb="131" eb="132">
      <t>カ</t>
    </rPh>
    <rPh sb="149" eb="152">
      <t>グタイテキ</t>
    </rPh>
    <rPh sb="156" eb="157">
      <t>カタ</t>
    </rPh>
    <rPh sb="159" eb="160">
      <t>アジ</t>
    </rPh>
    <rPh sb="171" eb="172">
      <t>ツタ</t>
    </rPh>
    <rPh sb="176" eb="178">
      <t>マトハズ</t>
    </rPh>
    <rPh sb="183" eb="184">
      <t>カ</t>
    </rPh>
    <rPh sb="191" eb="192">
      <t>オオ</t>
    </rPh>
    <phoneticPr fontId="1"/>
  </si>
  <si>
    <t>サッカー日本代表、駒野友一選手の2010年サッカー南アフリカワールドカップ時でのPK失敗における、その後の出来事と、アメリカの作家スティーブン・R・コビー博士の残した言葉から考える単元、『信頼残高』では、「『信頼』というものは、日々の生活態度によって変わるものだと思いました。」という感想を抱き、「自分もバスケットボールをやっているので、駒野選手を見本にして、絶対に他者の悪口を言わないように心がけたい。」と思えるようになり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42" eb="144">
      <t>カンソウ</t>
    </rPh>
    <rPh sb="145" eb="146">
      <t>イダ</t>
    </rPh>
    <rPh sb="149" eb="151">
      <t>ジブン</t>
    </rPh>
    <rPh sb="174" eb="176">
      <t>ミホン</t>
    </rPh>
    <rPh sb="196" eb="197">
      <t>ココロ</t>
    </rPh>
    <rPh sb="204" eb="205">
      <t>オモ</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</si>
  <si>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努力をすれば、仮に結果が出なくても誰かがそれを見てくれていると思う。だから、定期テスト時の勉強もしっかり努力することが大切。」という感想を抱き、これから信頼残高を貯めるために「提出物をはじめ、当たり前のことを当たり前にできるようにしたいです。」と自身を鑑みることができ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10" eb="111">
      <t>カリ</t>
    </rPh>
    <rPh sb="146" eb="147">
      <t>ジ</t>
    </rPh>
    <rPh sb="162" eb="164">
      <t>タイセツ</t>
    </rPh>
    <rPh sb="169" eb="171">
      <t>カンソウ</t>
    </rPh>
    <rPh sb="172" eb="173">
      <t>イダ</t>
    </rPh>
    <rPh sb="179" eb="183">
      <t>シンライザンダカ</t>
    </rPh>
    <rPh sb="184" eb="185">
      <t>タ</t>
    </rPh>
    <rPh sb="207" eb="208">
      <t>ア</t>
    </rPh>
    <rPh sb="210" eb="211">
      <t>マエ</t>
    </rPh>
    <rPh sb="226" eb="228">
      <t>ジシン</t>
    </rPh>
    <rPh sb="229" eb="230">
      <t>カンガ</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</si>
  <si>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日頃からの生活態度によって、信頼というのは変化するもので、信頼度があれば周りがプラスの反応をしてくれることが分かった。」という感想を抱き、たまに提出物がでないことを顧みて「これからも当たり前のことを当たり前にやっていく」と思うようになり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03" eb="105">
      <t>ヒゴロ</t>
    </rPh>
    <rPh sb="108" eb="110">
      <t>セイカツ</t>
    </rPh>
    <rPh sb="110" eb="112">
      <t>タイド</t>
    </rPh>
    <rPh sb="117" eb="119">
      <t>シンライ</t>
    </rPh>
    <rPh sb="124" eb="126">
      <t>ヘンカ</t>
    </rPh>
    <rPh sb="132" eb="135">
      <t>シンライド</t>
    </rPh>
    <rPh sb="139" eb="140">
      <t>マワ</t>
    </rPh>
    <rPh sb="146" eb="148">
      <t>ハンノウ</t>
    </rPh>
    <rPh sb="157" eb="158">
      <t>ワ</t>
    </rPh>
    <rPh sb="166" eb="168">
      <t>カンソウ</t>
    </rPh>
    <rPh sb="169" eb="170">
      <t>イダ</t>
    </rPh>
    <rPh sb="175" eb="178">
      <t>テイシュツブツ</t>
    </rPh>
    <rPh sb="185" eb="186">
      <t>カエリ</t>
    </rPh>
    <rPh sb="194" eb="195">
      <t>ア</t>
    </rPh>
    <rPh sb="197" eb="198">
      <t>マエ</t>
    </rPh>
    <rPh sb="202" eb="203">
      <t>ア</t>
    </rPh>
    <rPh sb="205" eb="206">
      <t>マエ</t>
    </rPh>
    <rPh sb="214" eb="215">
      <t>オモ</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</si>
  <si>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信頼は生きるために必要なものだと再確認できた。僕も駒野さんみたいな人の気持を考えて行動できるような人になりたい。」という感想を抱き、「提出物などの当たり前のことを出来るようにしていきたい。」と思えるようになり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19" eb="122">
      <t>サイカクニン</t>
    </rPh>
    <rPh sb="128" eb="130">
      <t>コマノ</t>
    </rPh>
    <rPh sb="163" eb="165">
      <t>カンソウ</t>
    </rPh>
    <rPh sb="166" eb="167">
      <t>イダ</t>
    </rPh>
    <rPh sb="199" eb="200">
      <t>オモ</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</si>
  <si>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日頃から良い行いをしているから、信頼されて試合で励まされたんだなとわかった。また、日頃の行いが信頼残高につながっているということも理解できた。」という感想を抱き、「自分も駒野さんのように悪口を言わず、努力を惜しまないなどのことを普段の生活でできるようにしていきたい。」と思うようになり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68" eb="170">
      <t>リカイ</t>
    </rPh>
    <rPh sb="178" eb="180">
      <t>カンソウ</t>
    </rPh>
    <rPh sb="181" eb="182">
      <t>イダ</t>
    </rPh>
    <rPh sb="185" eb="187">
      <t>ジブン</t>
    </rPh>
    <rPh sb="188" eb="190">
      <t>コマノ</t>
    </rPh>
    <rPh sb="238" eb="239">
      <t>オモ</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</si>
  <si>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信頼』は､自分がピンチに襲われた時に役立つ、大切なものだと感じた。普段の生活での行いから､信頼が高いか､低いかが､大きく変わるので、もう一度､日頃の行いを見直したい。」という感想を抱き、「相手が嫌な思いをしないように､言葉使いに気をつけて､悪口､陰口は一切言わないようにし、且つ､自分がされて嫌なことはしない・言わないように､常に心がけたい。」と考え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91" eb="193">
      <t>カンソウ</t>
    </rPh>
    <rPh sb="194" eb="195">
      <t>イダ</t>
    </rPh>
    <rPh sb="241" eb="242">
      <t>カ</t>
    </rPh>
    <rPh sb="277" eb="278">
      <t>カンガ</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</si>
  <si>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特に『絶対に他者の悪口を言わない』と言う駒野選手の姿が一番ささりました。そんな人こそが本当のムードメーカーとして活躍することができるんだな。」という感想を抱き、「みんなから信頼される人になるために、毎日しっかりと提出物を出して、貯金残高を増やしていきたい。」と思うことができ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03" eb="104">
      <t>トク</t>
    </rPh>
    <rPh sb="123" eb="127">
      <t>コマノセンシュ</t>
    </rPh>
    <rPh sb="128" eb="129">
      <t>スガタ</t>
    </rPh>
    <rPh sb="130" eb="132">
      <t>イチバン</t>
    </rPh>
    <rPh sb="142" eb="143">
      <t>ヒト</t>
    </rPh>
    <rPh sb="146" eb="148">
      <t>ホントウ</t>
    </rPh>
    <rPh sb="159" eb="161">
      <t>カツヤク</t>
    </rPh>
    <rPh sb="177" eb="179">
      <t>カンソウ</t>
    </rPh>
    <rPh sb="180" eb="181">
      <t>イダ</t>
    </rPh>
    <rPh sb="233" eb="234">
      <t>オモ</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</si>
  <si>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駒野さんのように僕もいろんな人から信頼をもってもらえる人になりたい。信頼がとても大切な要素であることが分かった。」という感想を抱き、「残高を増やすためには、ネガティブな言葉をかけないようにすることだと思う。そして、誰かがネガティブなことを言われていたら止められる人になることも大切。」と考えることが出来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46" eb="148">
      <t>ヨウソ</t>
    </rPh>
    <rPh sb="154" eb="155">
      <t>ワ</t>
    </rPh>
    <rPh sb="163" eb="165">
      <t>カンソウ</t>
    </rPh>
    <rPh sb="166" eb="167">
      <t>イダ</t>
    </rPh>
    <rPh sb="170" eb="172">
      <t>ザンダカ</t>
    </rPh>
    <rPh sb="173" eb="174">
      <t>フ</t>
    </rPh>
    <rPh sb="234" eb="235">
      <t>ヒト</t>
    </rPh>
    <rPh sb="241" eb="243">
      <t>タイセツ</t>
    </rPh>
    <rPh sb="246" eb="247">
      <t>カンガ</t>
    </rPh>
    <rPh sb="252" eb="254">
      <t>デキ</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</si>
  <si>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駒野選手が信頼される理由がとてもよく分かった。自分ではネガティブに弱音などを吐いてしまうかもしれない場面でも、駒野選手は弱音をは数に取り組んでいたことが印象的だった。」という感想を抱き、「自分自身が駒野選手のようにできているところもあるので、まずは提出物から見直したい。」と考えることが出来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08" eb="110">
      <t>シンライ</t>
    </rPh>
    <rPh sb="113" eb="115">
      <t>リユウ</t>
    </rPh>
    <rPh sb="121" eb="122">
      <t>ワ</t>
    </rPh>
    <rPh sb="126" eb="128">
      <t>ジブン</t>
    </rPh>
    <rPh sb="136" eb="138">
      <t>ヨワネ</t>
    </rPh>
    <rPh sb="141" eb="142">
      <t>ハ</t>
    </rPh>
    <rPh sb="153" eb="155">
      <t>バメン</t>
    </rPh>
    <rPh sb="158" eb="162">
      <t>コマノセンシュ</t>
    </rPh>
    <rPh sb="163" eb="165">
      <t>ヨワネ</t>
    </rPh>
    <rPh sb="167" eb="168">
      <t>カズ</t>
    </rPh>
    <rPh sb="169" eb="170">
      <t>ト</t>
    </rPh>
    <rPh sb="171" eb="172">
      <t>ク</t>
    </rPh>
    <rPh sb="179" eb="182">
      <t>インショウテキ</t>
    </rPh>
    <rPh sb="190" eb="192">
      <t>カンソウ</t>
    </rPh>
    <rPh sb="193" eb="194">
      <t>イダ</t>
    </rPh>
    <rPh sb="197" eb="201">
      <t>ジブンジシン</t>
    </rPh>
    <rPh sb="202" eb="206">
      <t>コマノセンシュ</t>
    </rPh>
    <rPh sb="227" eb="230">
      <t>テイシュツブツ</t>
    </rPh>
    <rPh sb="232" eb="234">
      <t>ミナオ</t>
    </rPh>
    <rPh sb="240" eb="241">
      <t>カンガ</t>
    </rPh>
    <rPh sb="246" eb="248">
      <t>デキ</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</si>
  <si>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わたしがもし誰かのせいで怪我をしたり、辛い気持ちになってしまったら不満や愚痴を言ってしまうと思うので、駒野選手の絶対そういうことを言わないことを見習いたい。」という感想を抱き、「人から信頼を得るということは自分自身の人生を豊かにするということなので、色々な場面で普段の生活で簡単にできることをコツコツと積み重ねていきたい。」と考えることが出来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85" eb="187">
      <t>カンソウ</t>
    </rPh>
    <rPh sb="188" eb="189">
      <t>イダ</t>
    </rPh>
    <rPh sb="228" eb="230">
      <t>イロイロ</t>
    </rPh>
    <rPh sb="231" eb="233">
      <t>バメン</t>
    </rPh>
    <rPh sb="266" eb="267">
      <t>カンガ</t>
    </rPh>
    <rPh sb="272" eb="274">
      <t>デキ</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</si>
  <si>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私は駒野選手のように、悪口や不満を陰で言わないように心がけたい。そういうことをする人には信頼が生まれないし、気持ちよく生活できないと思う。また、信頼をもらうのも大切ですが、自分が人を信頼することもとても大事だと思った。」という感想を抱き、「悪口不満を陰で言わず、提出物をしっかり出し、人を信頼することを大切にしたい。」と考えることが出来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216" eb="218">
      <t>カンソウ</t>
    </rPh>
    <rPh sb="219" eb="220">
      <t>イダ</t>
    </rPh>
    <rPh sb="223" eb="225">
      <t>ワルグチ</t>
    </rPh>
    <rPh sb="225" eb="227">
      <t>フマン</t>
    </rPh>
    <rPh sb="228" eb="229">
      <t>カゲ</t>
    </rPh>
    <rPh sb="230" eb="231">
      <t>イ</t>
    </rPh>
    <rPh sb="234" eb="237">
      <t>テイシュツブツ</t>
    </rPh>
    <rPh sb="242" eb="243">
      <t>ダ</t>
    </rPh>
    <rPh sb="245" eb="246">
      <t>ヒト</t>
    </rPh>
    <rPh sb="247" eb="249">
      <t>シンライ</t>
    </rPh>
    <rPh sb="254" eb="256">
      <t>タイセツ</t>
    </rPh>
    <rPh sb="263" eb="264">
      <t>カンガ</t>
    </rPh>
    <rPh sb="269" eb="271">
      <t>デキ</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</si>
  <si>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同じ事をしても周りからの対応が違うのは、ちょっと違うんじゃないかなと思っていたが、その背景にはこれまでの行いや信頼度によって大きく左右されることに気づくことができた。」という感想を抱き、「信頼残高を高めるために、宿題や日頃の言動の積み重ねを意識して取り組もうと思う。駒野さんのように、絶対に悪口を言わない人になる。」という考えを持つことが出来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46" eb="148">
      <t>ハイケイ</t>
    </rPh>
    <rPh sb="190" eb="192">
      <t>カンソウ</t>
    </rPh>
    <rPh sb="193" eb="194">
      <t>イダ</t>
    </rPh>
    <rPh sb="202" eb="203">
      <t>タカ</t>
    </rPh>
    <rPh sb="223" eb="225">
      <t>イシキ</t>
    </rPh>
    <rPh sb="264" eb="265">
      <t>カンガ</t>
    </rPh>
    <rPh sb="267" eb="268">
      <t>モ</t>
    </rPh>
    <rPh sb="272" eb="274">
      <t>デキ</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</si>
  <si>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駒野さんみたいな信頼できる人になりたいと思った。駒野さんは怪我をさせた人にも悪口を言わずに、リハビリをしていた姿から、自分だったら…と考えてしまいました。また、仲間はずれにしていない姿からも、そこが信頼につながるんだと思いました。」という感想を抱き、「当たり前のことはしっかりとやり、人の話をよく聞くこと、悪口、陰口、ヒソヒソ話をしないで生活をすることが大切である。」と考えるようになり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23" eb="124">
      <t>オモ</t>
    </rPh>
    <rPh sb="127" eb="129">
      <t>コマノ</t>
    </rPh>
    <rPh sb="158" eb="159">
      <t>スガタ</t>
    </rPh>
    <rPh sb="162" eb="164">
      <t>ジブン</t>
    </rPh>
    <rPh sb="170" eb="171">
      <t>カンガ</t>
    </rPh>
    <rPh sb="194" eb="195">
      <t>スガタ</t>
    </rPh>
    <rPh sb="222" eb="224">
      <t>カンソウ</t>
    </rPh>
    <rPh sb="225" eb="226">
      <t>イダ</t>
    </rPh>
    <rPh sb="272" eb="274">
      <t>セイカツ</t>
    </rPh>
    <rPh sb="280" eb="282">
      <t>タイセツ</t>
    </rPh>
    <rPh sb="288" eb="289">
      <t>カンガ</t>
    </rPh>
    <phoneticPr fontId="9"/>
  </si>
  <si>
    <t>サッカー日本代表、駒野友一選手の2010年サッカー南アフリカワールドカップ時でのPK失敗における、その後の出来事と、アメリカの作家スティーブン・R・コビー博士の残した言葉から考える単元、『信頼残高』では、「『貯金残高』というのはとても大切だと思った。特に駒野選手のように色々相手が喜ぶ行動を心がけていきたい。これからも貯金残高を増やして相手から尊敬・信頼される人になる。」という感想を抱き、「『貯金残高』を増やすため相手の気持ちを考えて行動し、同時に凡事徹底も心がけていく必要がある。」と考えることが出来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89" eb="191">
      <t>カンソウ</t>
    </rPh>
    <rPh sb="192" eb="193">
      <t>イダ</t>
    </rPh>
    <rPh sb="222" eb="224">
      <t>ドウジ</t>
    </rPh>
    <rPh sb="230" eb="231">
      <t>ココロ</t>
    </rPh>
    <rPh sb="236" eb="238">
      <t>ヒツヨウ</t>
    </rPh>
    <rPh sb="244" eb="245">
      <t>カンガ</t>
    </rPh>
    <rPh sb="250" eb="252">
      <t>デキ</t>
    </rPh>
    <phoneticPr fontId="9"/>
  </si>
  <si>
    <t>サッカー日本代表、駒野友一選手の2024年サッカー南アフリカワールドカップ時でのPK失敗における、その後の出来事と、アメリカの作家スティーブン・R・コビー博士の残した言葉から考える単元、『信頼残高』では、「『信頼』がすごく大切だということが理解できた。これからはしっかりと『信頼残高』を増やしていく生活を心がけたい。」という感想を抱き、「そのために、提出物を初めてとする、当たり前のことを当たり前に出来るようにしていきたい。」と考えられるようになり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20" eb="122">
      <t>リカイ</t>
    </rPh>
    <rPh sb="149" eb="151">
      <t>セイカツ</t>
    </rPh>
    <rPh sb="152" eb="153">
      <t>ココロ</t>
    </rPh>
    <rPh sb="162" eb="164">
      <t>カンソウ</t>
    </rPh>
    <rPh sb="165" eb="166">
      <t>イダ</t>
    </rPh>
    <rPh sb="179" eb="180">
      <t>ハジ</t>
    </rPh>
    <rPh sb="194" eb="195">
      <t>ア</t>
    </rPh>
    <rPh sb="197" eb="198">
      <t>マエ</t>
    </rPh>
    <rPh sb="214" eb="215">
      <t>カンガ</t>
    </rPh>
    <phoneticPr fontId="9"/>
  </si>
  <si>
    <t>サッカー日本代表、駒野友一選手の2026年サッカー南アフリカワールドカップ時でのPK失敗における、その後の出来事と、アメリカの作家スティーブン・R・コビー博士の残した言葉から考える単元、『信頼残高』では、「自分は駒野さんのように相手を貶すような言葉が出る時があるので、日頃の生活から悪口を言わないことを意識したい。この学びを通して、駒野さんはすごい人だということが分かった。」という感想を抱き、「『信頼残高』を高めるために、まずは全員に対して同じ接し方をし、人の悪口を言わないことを意識したい。」と考えられるようになり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59" eb="160">
      <t>マナ</t>
    </rPh>
    <rPh sb="162" eb="163">
      <t>ツウ</t>
    </rPh>
    <rPh sb="191" eb="193">
      <t>カンソウ</t>
    </rPh>
    <rPh sb="194" eb="195">
      <t>イダ</t>
    </rPh>
    <rPh sb="199" eb="203">
      <t>シンライザンダカ</t>
    </rPh>
    <rPh sb="205" eb="206">
      <t>タカ</t>
    </rPh>
    <rPh sb="249" eb="250">
      <t>カンガ</t>
    </rPh>
    <phoneticPr fontId="9"/>
  </si>
  <si>
    <t>サッカー日本代表、駒野友一選手の2027年サッカー南アフリカワールドカップ時でのPK失敗における、その後の出来事と、アメリカの作家スティーブン・R・コビー博士の残した言葉から考える単元、『信頼残高』では、「信頼残高の有効性を考える機会になった。」という感想を抱き、「陰でも表でも努力をして、表面の信頼だけでもなく、裏でも努力をして、自分の信頼残高を増やしていきたい。また、頼まれたり自主的にやっていることにも、責任をもって、行動をおこしていきたい。」と考えられるようになり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26" eb="128">
      <t>カンソウ</t>
    </rPh>
    <rPh sb="129" eb="130">
      <t>イダ</t>
    </rPh>
    <rPh sb="226" eb="227">
      <t>カンガ</t>
    </rPh>
    <phoneticPr fontId="9"/>
  </si>
  <si>
    <t>挨拶返事省、社会係、　　委員会、体育祭白組メンバー・選抜リレー・白組応援団、研修旅行食事係、バスケットボール部</t>
    <rPh sb="0" eb="5">
      <t>アイサツヘンジショウ</t>
    </rPh>
    <rPh sb="6" eb="9">
      <t>シャカイカカリ</t>
    </rPh>
    <rPh sb="12" eb="15">
      <t>イインカイ</t>
    </rPh>
    <rPh sb="16" eb="19">
      <t>タイイクサイ</t>
    </rPh>
    <rPh sb="19" eb="21">
      <t>シロクミ</t>
    </rPh>
    <rPh sb="26" eb="28">
      <t>センバツ</t>
    </rPh>
    <rPh sb="32" eb="34">
      <t>シロクミ</t>
    </rPh>
    <rPh sb="34" eb="37">
      <t>オウエンダン</t>
    </rPh>
    <rPh sb="38" eb="42">
      <t>ケンシュウリョコウ</t>
    </rPh>
    <rPh sb="42" eb="44">
      <t>ショクジ</t>
    </rPh>
    <rPh sb="44" eb="45">
      <t>カカリ</t>
    </rPh>
    <rPh sb="54" eb="55">
      <t>ブ</t>
    </rPh>
    <phoneticPr fontId="1"/>
  </si>
  <si>
    <t>廊下歩行省、国語係、報道委員会、体育祭赤組メンバー、研修旅行美化係、卓球部</t>
    <rPh sb="4" eb="5">
      <t>ショウ</t>
    </rPh>
    <rPh sb="8" eb="9">
      <t>カカリ</t>
    </rPh>
    <rPh sb="10" eb="12">
      <t>ホウドウ</t>
    </rPh>
    <rPh sb="16" eb="19">
      <t>タイイクサイ</t>
    </rPh>
    <rPh sb="19" eb="21">
      <t>アカグミ</t>
    </rPh>
    <rPh sb="26" eb="30">
      <t>ケンシュウリョコウ</t>
    </rPh>
    <phoneticPr fontId="1"/>
  </si>
  <si>
    <t>学級三役学級長、姿勢・時間省、算数SS係、園芸委員会、体育祭白組メンバー・選抜リレー、研修旅行保健係、合唱部</t>
    <rPh sb="19" eb="20">
      <t>カカリ</t>
    </rPh>
    <rPh sb="27" eb="30">
      <t>タイイクサイ</t>
    </rPh>
    <rPh sb="37" eb="39">
      <t>センバツ</t>
    </rPh>
    <rPh sb="43" eb="47">
      <t>ケンシュウリョコウ</t>
    </rPh>
    <phoneticPr fontId="1"/>
  </si>
  <si>
    <t>挨拶返事省、生活記録係、環境委員会、体育祭白組メンバー、研修旅行食事係、バスケットボール部</t>
    <rPh sb="10" eb="11">
      <t>カカリ</t>
    </rPh>
    <rPh sb="18" eb="21">
      <t>タイイクサイ</t>
    </rPh>
    <rPh sb="21" eb="23">
      <t>シログミ</t>
    </rPh>
    <rPh sb="28" eb="32">
      <t>ケンシュウリョコウ</t>
    </rPh>
    <phoneticPr fontId="1"/>
  </si>
  <si>
    <t>身だしなみ省、図工係、図書委員会、体育祭白組メンバー、研修旅行保健係、卓球部</t>
    <rPh sb="9" eb="10">
      <t>カカリ</t>
    </rPh>
    <rPh sb="17" eb="20">
      <t>タイイクサイ</t>
    </rPh>
    <rPh sb="27" eb="31">
      <t>ケンシュウリョコウ</t>
    </rPh>
    <phoneticPr fontId="1"/>
  </si>
  <si>
    <t>挨拶返事省、生活記録係、体育委員会、体育祭赤組メンバー・大玉リーダー・選抜リレー、研修旅行保健係長</t>
    <rPh sb="10" eb="11">
      <t>カカリ</t>
    </rPh>
    <rPh sb="18" eb="21">
      <t>タイイクサイ</t>
    </rPh>
    <rPh sb="21" eb="23">
      <t>アカクミ</t>
    </rPh>
    <rPh sb="35" eb="37">
      <t>センバツ</t>
    </rPh>
    <rPh sb="41" eb="45">
      <t>ケンシュウリョコウ</t>
    </rPh>
    <phoneticPr fontId="1"/>
  </si>
  <si>
    <t>身だしなみ省、英語class係、福祉委員会、体育祭赤組メンバー・選抜リレー、研修旅行食事係、バスケットボール部</t>
    <rPh sb="14" eb="15">
      <t>カカリ</t>
    </rPh>
    <rPh sb="22" eb="25">
      <t>タイイクサイ</t>
    </rPh>
    <rPh sb="32" eb="34">
      <t>センバツ</t>
    </rPh>
    <rPh sb="38" eb="40">
      <t>ケンシュウ</t>
    </rPh>
    <rPh sb="40" eb="42">
      <t>リョコウ</t>
    </rPh>
    <phoneticPr fontId="1"/>
  </si>
  <si>
    <t>廊下歩行省 国務大臣、算数A係、園芸委員会、体育祭白組大綱リーダー、研修旅行統率係、テニス部</t>
    <rPh sb="14" eb="15">
      <t>カカリ</t>
    </rPh>
    <rPh sb="22" eb="25">
      <t>タイイクサイ</t>
    </rPh>
    <rPh sb="25" eb="27">
      <t>シロクミ</t>
    </rPh>
    <rPh sb="34" eb="38">
      <t>ケンシュウリョコウ</t>
    </rPh>
    <phoneticPr fontId="1"/>
  </si>
  <si>
    <t>身だしなみ省、音楽係、図書委員会、体育祭白組メンバー、研修旅行保健係、合唱部</t>
    <rPh sb="9" eb="10">
      <t>カカリ</t>
    </rPh>
    <rPh sb="17" eb="20">
      <t>タイイクサイ</t>
    </rPh>
    <rPh sb="27" eb="31">
      <t>ケンシュウリョコウ</t>
    </rPh>
    <phoneticPr fontId="1"/>
  </si>
  <si>
    <t>姿勢・時間省 国務大臣、理科係、体育委員会、体育祭白組大玉リーダー・選抜リレー、体育祭実行委員 用具係、研修旅行統率係、バスケットボール部</t>
    <rPh sb="14" eb="15">
      <t>カカリ</t>
    </rPh>
    <rPh sb="22" eb="25">
      <t>タイイクサイ</t>
    </rPh>
    <rPh sb="52" eb="56">
      <t>ケンシュウリョコウ</t>
    </rPh>
    <phoneticPr fontId="1"/>
  </si>
  <si>
    <t>姿勢・時間省、お助け係、報道委員会、体育祭赤組メンバー、研修旅行保健係、美術部</t>
    <rPh sb="10" eb="11">
      <t>カカリ</t>
    </rPh>
    <rPh sb="18" eb="21">
      <t>タイイクサイ</t>
    </rPh>
    <rPh sb="28" eb="32">
      <t>ケンシュウリョコウ</t>
    </rPh>
    <phoneticPr fontId="1"/>
  </si>
  <si>
    <t>身だしなみ省 国務大臣、国語係、代表委員会、体育祭赤組全体リーダー、体育祭実行委員 用具係、研修旅行統率係、バスケットボール部</t>
    <rPh sb="14" eb="15">
      <t>カカリ</t>
    </rPh>
    <rPh sb="22" eb="25">
      <t>タイイクサイ</t>
    </rPh>
    <rPh sb="46" eb="50">
      <t>ケンシュウリョコウ</t>
    </rPh>
    <phoneticPr fontId="1"/>
  </si>
  <si>
    <t>言動省、家庭科係、	環境委員会、体育祭赤組メンバー、体育祭実行委員 得点係、研修旅行食事係、卓球部</t>
    <rPh sb="2" eb="3">
      <t>ショウ</t>
    </rPh>
    <rPh sb="7" eb="8">
      <t>カカリ</t>
    </rPh>
    <rPh sb="16" eb="19">
      <t>タイイクサイ</t>
    </rPh>
    <rPh sb="38" eb="42">
      <t>ケンシュウリョコウ</t>
    </rPh>
    <phoneticPr fontId="1"/>
  </si>
  <si>
    <t>学級三役副学級長、言動省 国務大臣、保健体育係、SDGs委員会、体育祭赤組大綱リーダー・ 選抜リレー、研修旅行統率係</t>
    <rPh sb="20" eb="22">
      <t>タイイク</t>
    </rPh>
    <rPh sb="22" eb="23">
      <t>カカリ</t>
    </rPh>
    <rPh sb="32" eb="35">
      <t>タイイクサイ</t>
    </rPh>
    <rPh sb="51" eb="55">
      <t>ケンシュウリョコウ</t>
    </rPh>
    <phoneticPr fontId="1"/>
  </si>
  <si>
    <t>学級三役学級長、廊下歩行省、国語科係、SDGs委員会、体育祭白組大綱リーダー、研修旅行美化係、卓球部</t>
    <rPh sb="16" eb="17">
      <t>カ</t>
    </rPh>
    <rPh sb="17" eb="18">
      <t>カカリ</t>
    </rPh>
    <rPh sb="27" eb="30">
      <t>タイイクサイ</t>
    </rPh>
    <rPh sb="30" eb="32">
      <t>シロクミ</t>
    </rPh>
    <rPh sb="39" eb="43">
      <t>ケンシュウリョコウ</t>
    </rPh>
    <phoneticPr fontId="1"/>
  </si>
  <si>
    <t>学級三役副学級長、挨拶返事省国務大臣、お助け係、倫理委員会、体育祭赤組メンバー、研修旅行食事係、合唱部</t>
    <rPh sb="22" eb="23">
      <t>カカリ</t>
    </rPh>
    <rPh sb="30" eb="33">
      <t>タイイクサイ</t>
    </rPh>
    <rPh sb="40" eb="44">
      <t>ケンシュウリョコウ</t>
    </rPh>
    <phoneticPr fontId="1"/>
  </si>
  <si>
    <t>学級三役副学級長、言動省、速読・道徳係、衛生委員会、体育祭白組全体リーダー、研修旅行美化係、バスケットボール部</t>
    <rPh sb="18" eb="19">
      <t>カカリ</t>
    </rPh>
    <rPh sb="26" eb="29">
      <t>タイイクサイ</t>
    </rPh>
    <rPh sb="29" eb="31">
      <t>シロクミ</t>
    </rPh>
    <rPh sb="38" eb="42">
      <t>ケンシュウリョコウ</t>
    </rPh>
    <phoneticPr fontId="1"/>
  </si>
  <si>
    <t>言動省、英語A係、衛生委員会、体育祭赤組メンバー・ 赤組応援団、研修旅行美化係、テニス部</t>
    <rPh sb="7" eb="8">
      <t>カカリ</t>
    </rPh>
    <rPh sb="15" eb="18">
      <t>タイイクサイ</t>
    </rPh>
    <rPh sb="32" eb="36">
      <t>ケンシュウリョコウ</t>
    </rPh>
    <phoneticPr fontId="1"/>
  </si>
  <si>
    <t>晃佑君が六学年当初に立てた目標は「落ち着いてメリハリが付く人になる」、そのための一学期の目標が「時計をしっかりと見て、時間を守れるように行動する」というものでした。自評では８割は達成できたとしていました。確かに、昨年度と比べるとメリハリがつくようになりましたので、これを継続し、更に向上していきましょう。体育祭では白組メンバーの一員として体育祭に臨みました。大玉運びではアンカーの一員を任され、勝敗が付いた後も全力で取り組む姿が印象的でした。また、白組の選抜リレーの、そして応援団の一員としても活躍し、本当に全力尽くして勝利をつかもうとする姿が光りました。研修旅行では東日本大震災の爪痕より、天災の恐ろしさについて深く考えることができたようでした。体育祭を中心に、本当によく頑張った晃佑君でした。先にも述べましたが、昨年度と比較すると、大きく成長したことが良く分かります。ここからは課題となりますが、時として後先のことを考えずに行動し、あまり良くない結末を生んでしまうことがあります。ここぞという肝心の提出物を忘れる場面も見られました。晃佑君がこれから更に成長するためには『未通し』や『想像力』を持つことが大切です。何かアクションを起こす前に、少し考えてから行動できると、より大きく成長できるでしょう。二学期も頑張りましょう。【生活記録等、学級での提出率は88％でした】</t>
  </si>
  <si>
    <t>「一回一回の授業に真剣に取り組む」。これが由和君が６学年として大切にしていきたいとした目標でした。そのために立てた一学期の目標が「何事も真剣に取り組む」でした。自評では体育祭での自身の取り組みを軸に考え、80％は達成できたとしています。実際に体育祭での頑張りは本当に印象的でした。その体育祭、練習にて中々勝てなかった大玉運びでは、最後まで諦めずに取り組むことによって、本番で勝利をつかむことができたことが由和君の心に強く残ったようでした。研修旅行では美化係の一員として行動し、みんなの気持ちを考えて行動する大切さを学ぶことができたようでした。私が一学期の由和君の生活の中で印象的なのは、バスの中で困っている下級生について教えてくれたことです。この話のお陰で、私は動くことが出来ました。抜本的な改善ができたかどうかは分かりませんが、その下級生は由和君の行動によって救われたはずです。実に立派でした。ここからは課題となりますが、まずは「整理整頓」。これは言われずとも分かっているはずです。次に「嫌なことは嫌といえる勇気」です。相手に優しく接することができるのは由和君のいいところですが、由和君が傷ついては意味がありません。自身も一学期の振り返りにて述べていましたね。改善し、より良い二学期にしましょう。【生活記録等、学級での提出率は90％でした】</t>
  </si>
  <si>
    <t>紗和さんの６学年当初の目標は「何事でも手を抜かない人になる」。そしてそのための第一歩である一学期の目標は「毎日提出物を出し、努力を続けられる人になる」でした。結果としてテストの点は奮いませんでしたが、その努力する姿はしっかりと見られていました。最初に大切なことを述べてしまいますが、結果に対して意気消沈しすぎずに、努力を継続することが本当に大切です。折れずに努力を続けた結果、中学校で飛躍的に伸びた先輩たちは数多くいます。この言葉を絶対に忘れないでください。体育祭では「一心同体」を目標に、競技に挑みました。大玉運びのアンカーを任されて、勝敗が付いても全力を尽くして最後まで走り切る姿がとても印象的でした。研修旅行では保健係の一員として活躍しました。学ぶべきところはしっかりと学び、楽しむところは楽しむ、そんなメリハリの大切さを学ぶことができたように見受けられました。ここからは課題となりますが、まずは「やるべきことの質を上げること」です。確かに提出率は伸びてきましたが、課題に対して手を抜いてしまうところが僅かですが垣間見られます。学力を伸ばすという意味では、まずここを改善しましょう。もう一つは時に他者に対してネガティブな見方をしてしまうところでしょうか。ここを改善し、素敵な二学期にしていきましょう。【生活記録等、学級での提出率は100％でした】</t>
  </si>
  <si>
    <t>大翔君が６年生の最初に立てた目標は「約束を守る人になる」。そしてその第一歩として立てた一学期の目標が「周りを思いやる」といったものでした。実際に、昨年度と比べると本当に大きく成長しています。約束を守るということを図る一つのバロメータとしては、やはり提出物。下部にも書いてありますが、学級での提出率は90％越え。これは国語でも同様です。ただ、大翔君自身も分かっていると思いますが、これは「担任管轄」のもの。他の教科になるともうワンランク下がってしまいます。せっかくここまで頑張れたのだから、二学期は他教科も90％越えを目指していきましょう。体育祭でのエピソードとして、大翔君にとっては苦い思いをしたことを、戒めとして述べます。周囲からの意見で、大綱リーダーをおろされたことがありました。これをただの不満で終わるのでは無く、「なぜ、自分はリーダー職からおろされてしまったのか」ということを考えてみましょう。最初は皆から信頼を集め、リーダーとして選ばれた。この事実は確かなものです。普段の大翔君の周囲からの評価は「いい人」「楽しい人」です。これは多くの友達から聞かれます。ただ、やるべき時に正しい行動を『継続』していないと、あの時のような結果が生まれてしまいます。今の大翔君の課題はここ。「当たり前のこと」を『継続』する力を身に着けていきましょう。二学期に期待しています。【生活記録等、学級での提出率は97％でした】</t>
  </si>
  <si>
    <t>帆香さんの第六学年当初の目標は「丁寧な言葉遣いをする」でした。その第一歩の一学期の目標を「暴言を言わずに、年上の人には敬語で話せるようにする。」として生活していきました。自評では９割５分を達成できたとしていましたが、担任から見れば100％達成できたように感じます。もっと自信をもっても良いと考えます。本当に良くできました、体育祭では「一意専心」を掲げ、競技に臨みました。白組のメンバーの一員として、全力を尽くして頑張る姿が光りました。研修旅行では保健係の一員として行動し、旅行を通じて他の人への配慮やメリハリの大切さを学ぶことが出来たようでした。やるべきことがきちんとできる帆香さんはまさに模範的ですが、まだまだ成長できる面はあります。これを敢えて「課題」として述べさせてもらいます。まずは「挨拶・返事」面です。帆香さんのことですから、こちらが挨拶をすればしっかりと返してくれますが、積極的に自分からという姿はあまり見られていません。ここを頑張ると、もっと帆香さんの人生が豊かになると考えらます。そして、これが「人間関係の輪を広げる」ことにもつながると思います。先日は部活の後に後輩に「おつかれ」と声をかけて、失敗した～、と嘆いていましたが、こういうことが人間関係を広げる第一歩だと思います。頑張っていきましょう。【生活記録等、学級での提出率は100％でした】</t>
  </si>
  <si>
    <t>「何事にも全力で取り組む。」を第六学年の目標として打ち立てた絵麻さん。その第一歩として「コツコツと努力が出来る人になる。」と一学期当初に目標を立てました。一学期の目標に対して、自評では70点という評価を下していました。また、体育祭の振り返りでも赤組の大玉リーダーとしてもっと自分から意見を出して、まとめていきたかった、と述べていました。ここから、自身のことをしっかりと振り返ることが出来る絵麻さんの姿が光りました。正確な自己分析ができることは本当に立派です。反面、もっとポジティブに考えてもよいかと思います。やるべきことをしっかりと行っている絵麻さんです。周囲からの評価は、とても高いことも是非理解しておきましょう。体育祭では先にも述べたように赤組の大玉リーダーとして活躍しました。「勝利のために全力を尽くす」という目標の通り、大玉運びでは勝利を飾ることができました。研修旅行では保健係の長として、その責任感を持って役割を全うしました。旅行を通じて、命の大切さを深く考えていた姿が見受けられました。より絵麻さんの生活面を豊かにするための方策として、二つほど挙げます。一つは先にも述べたように「ポジティブ思考」を持つこと。そして自身の反省にもあった「時間を見て、自分で行動」することです。絵麻さんならきっとすぐに改善できるでしょう。二学期も頑張りましょう。【生活記録等、学級での提出率は100％でした】</t>
  </si>
  <si>
    <t>桃愛さんの６学年当初の目標は「みんなから、信頼され、頼りにされる人になる。」。その第一歩として、第一学期の目標を「相手の立場を考えられる人。相手を思いやれる人になる。」と定めました。自評としては、色々な仕事を任されたり、気が付いたらすぐに行動したりすることが出来た、ということで90点を付けていました。実際、桃愛さんにいろんな仕事を担任からふった記憶があります。それだけ、桃愛さんに対する信頼があるということを今一度、自覚してくれると嬉しいです。体育祭では赤組の一員として「力戦奮闘」を掲げて競技に臨みました。大玉運びでは、アンカーを任されて、全力で大玉を運ぶ姿に会場が歓喜したことは記憶に新しいです。研修旅行では「集団行動を大切に、仲間と一緒に学びに行く。」という自身の決意を大切に、旅行に参加することができました。生活面では、提出物も身だしなみ、整理整頓もしっかりでき、かつ、周囲を和ませてくれる桃愛さんの行動は本当に立派です。そこで、生活をより豊かにするための課題として、「人間関係の和を広げる」ことを提示します。現在、特定の友達と常に一緒にいる姿が見受けられます。これ自体、悪いわけではありませんが、もっと人間関係の輪を広げた方が、生活は豊かになります。二学期は是非、この輪を広げてみてください。期待しています。【生活記録等、学級での提出率は100％でした】</t>
  </si>
  <si>
    <t>惇也君の６学年当初の目標が「メリハリをつけて行動できる人になる。」。そしてその第一歩として一学期当初の立てたのが「凡事徹底を心がけ、下級生の見本になる。」という目標でした。自身の評価としては掃除のときに話をしてしまい、切り替えが出来ていなかったり、靴紐が解けていても直さない時があったりと、自己をしっかりと振り返り、７割程度の点数を付けていました。評価としては低いかもしれませんが、私はそこよりも、自己分析を正確に行うことのできる惇也君の姿に感心しました。体育祭では白組の大綱引きのリーダーとして「限界突破　持てる力を出し尽くせ」を掲げて全力で競技に挑むことが出来ました。研修旅行では統率係の一員として、仲間とのチームワークを深めることを大切にしながら行動することが出来ました。惇也君の力は、光るものがあると思っていましたが、今年度担任を持って、その考えは確信に変わりました。先日、二学期は何かしらのリーダーに立候補したいと言っていた言葉を頼もしく思うと同時に、楽しみにしています。さて、そんな惇也君に担任が臨む姿は「公正に人と接することの出来る姿」に成長してくれることです。苦手な人が多少なりともいることは、自己分析をしっかりとできる惇也君なら分かっているはずです。こういうところでどういう折り合いを付けていくのか。これを追及する二学期としていきましょう。【生活記録等、学級での提出率は97％でした】</t>
  </si>
  <si>
    <t>美生さんにとっての才教学園１年目の第一学期が終わりました。慣れないことばかり、そして忙しいこともあって苦心した一学期だったと思いますが、それでも体調不良や通院の日以外は毎日学校に登校することが出来ました。まずはこの事実が素晴らしいです。よく頑張りましたね。一学期の美生さんの目標は「困っている人がいたら、助けられる人になる。」ということで、友達の相談に乗ったり、残っている仕事を率先して行ったりした姿から、自評では100点を付けていました。こちらに関しても、本当に頑張りました。体育祭では「５年生の見本になる」という目標を掲げて、白組のメンバーの一員として競技に臨みました。才教学園の体育祭は初めてなのにもかかわらず、いい意味で迷いなく全力を尽くしていたことに驚きました。研修旅行では大川小学校をはじめとする被災地に赴き、当時の出来事を考えると非常に胸が傷んだという感想を抱き、命の大切さをしっかりと学ぶことが出来たように見受けられました。美生さんにこれからの課題として、一学期中に担任から美生さんに伝えたことを今一度明記します。「ネガティブな言葉は控えること」。あれ以降、だいぶ減ってきましたので、これを意識して二学期も頑張っていきましょう。最後に、体調が悪かったら無理せずに、そして気にせずに周囲に言ってくださいね。【生活記録等、学級での提出率は90％でした】</t>
  </si>
  <si>
    <t>くるみさんの第六学年当初の目標は「姿勢良く授業を受ける。」でした。そしてその第一歩の一学期の目標として「やることに集中して取り組む。」を掲げて生活していました。授業中の姿勢については自評で80点をしていましたが、一学期の目標に関しては体育祭、定期テストに向けて真剣に取り組めた自身の姿を鑑みて、100点満点をつけていました。確かに、定期テストに関しては、取り組み方を学級通信に取り上げさせてもらうほどに模範となり、体育祭では白組大玉リーダー、選抜リレー、用具係と学年で一番忙しいと思われる中で、本当によくやり切りました。これに関しては尊敬の念しかありません。研修旅行では、統率係として、「楽しむ時と学ぶ時のメリハリを付ける」を大切にして、旅行に臨みました。メンバーが協力してくれたこともあって、上手く機能したという思いを抱くことができました。担任から見て、非の打ち所がないくるみさんですので、二学期の課題としては自身が挙げた「周囲を見て行動する」ことを見つめなおしてもらえればと思います。また、仕事をたくさん抱えることが多いので、無理なときはきっぱりと「無理」と言うことも大切です。もちろん、様々なことに挑戦したいという気持ちは素晴らしいですし。尊重もしますが、自己コントロールも少しずつ考えられるといいですね。二学期も頑張っていきましょう。【生活記録等、学級での提出率は97％でした】</t>
  </si>
  <si>
    <t>六学年当初に葉琉さんは「積極的に色々なことに挑戦できる人になる。」と定め、その第一歩の一学期は「苦手なことや失敗してしまったことに対して、ポジティブに考えられる人になる。」という目標を掲げて生活しました。主に生活面において掃除や配布物の場面で積極的に行動し、何か失敗した時もポジティブな言動を心がけることが出来たとし、自評では90点越えの点数を付けることができました。体育祭では決意として「笑利」を掲げ、赤組メンバーの一員として、競技に臨みました。応援面でも一生懸命取り組み、ここでもポジティブ思考を大切にしていた姿が印象的でした。また、来年は実行委員にも立候補したいという思いも抱くことが出来ました。研修旅行では保健係の一員といして活動しました。被災地を巡って、真剣に震災と命について考えることができたと同時に、楽しむ時と学ぶ時のメリハリを付けて学びの旅を終えることが出来たようでした。基本的にやるべきことをしっかりと行うことができる葉琉さんですが、昨年度と比較をすると、少々、教科の宿題において提出率が下がってしまったように見受けられます。次に、自身の振り返りにあった「行動の素早さ」。ここも改善点の一つかと思います。この一学期で出た改善点は、是非、二学期に克服しましょう。葉琉さんなら大丈夫です。二学期も頑張りましょう。【生活記録等、学級での提出率は100％でした】</t>
  </si>
  <si>
    <t>「裏からみんなを支える。」。これが灯さんの六学年当初の目標です。今まで前線に立って全体をまとめてきた灯さんの姿から、この目標は意外に感じましたが、やるべきことをしっかりと行い、屋台骨となって学年を支えてくれました。また、一学期の目標は「コツコツと努力が出来る人になる。」でした。これは期末テストの結果から、しっかりと達成することが出来たことが見受けられます。体育祭では赤組の学年リーダーと実行委員会の用具係として活躍しました。忙しい日々を過ごしたかと思いますが、とても充実したものであったようで、最終的に、体育祭を経て来年も用具係を行いたい、という思い抱くことが出来ました。研修旅行では統率係となり、皆を「支える」ことを終止意識して行動していました。その結果、チームとして良い結果となった、という思いを抱くことが出来たようでした。まさに学年の中核を成す人物である灯さん。人間関係の悩みも多いかと思います。難しいかもしれませんが、嫌なものは嫌、と言えるといいかな、と感じます。また、自評にあった「冗談のつもりでいった言葉が、相手を傷つけてしまったことがある。」という部分も、経験を積み、しっかりと反省することで改善に至ると考えます。課題だった提出物は改善されているので、この調子で二学期も頑張っていきましょう。【生活記録等、学級での提出率は95％でした】</t>
  </si>
  <si>
    <t>結さんが六学年当初に立てた目標は「六年生という責任を持って行動する。」。その第一歩の一学期は「凡事徹底できる人になる。」でした。自評では靴紐がたまに解けていた時があったので90点、ということでしたが、生活面・学習面共にしっかりとできる結さんなので、このまま継続してもらえればと思います。体育祭では赤組の一員として、「みんなで団結して最後までやり遂げるようにする。」ことを大切に競技に臨みました。また、実行委員会にも立候補し、得点係として自身の責務を全うすることもできました。体育祭を通じて、来年も実行委員会に入って、人の役に立ちたいという思いも持つことが出来ました。研修旅行では、保健係の一員として活動しました。旅行を通じて、集団行動の難しさや食事マナーの大切さを学ぶことが出来た。そして被災地での学習にて、命の大切さを学ぶこともできた。と感想を残すことができました。先にも述べたように、生活面等、しっかりとしている結さんに、これからの改善点を述べるとすれば二つ。まずは「積極性」です。これは主に授業での挙手などを頑張っていきましょう。そして「交友関係を広げる」こと。部活も入り、接する人の幅も大きくなったことですので、色々な人と積極的に話をしてみましょう。これが結さんの生活を豊かにすると考えられます。二学期も頑張っていきましょう。【生活記録等、学級での提出率は98％でした】</t>
  </si>
  <si>
    <t>「人に頼られる人になる。」。これは貫正君が六学年当初に立てた目標です。そして、その第一歩のために「何事にも絶対に全力で取り組む人になる。」という目標を第一学期に打ち立てました。自評としては体育祭やテストに向けて、全力で取り組むことが出来たとして、一学期の目標を92点としていました。確かに、人前に立って周囲を引っ張ることが出来るのは貫正君の良いところであり、才能でもあります。この良い点はこのまま磨いていってください。体育祭では赤組の大綱リーダーとして、「不撓不屈」を胸に競技に挑みました。チームを熱く、鼓舞する姿がとても光りました。研修旅行では統率係の一員として、行動班のメンバーをまとめました。周りを見ながらしっかりと行動できた、と自評することができました。さて、一方で早急に改善しなければならない点もあります。それは「提出率」。下部に書いてある学級のパーセンテージもさることながら、各教科の提出率も著しく低下してしましました。背景があることは百も承知ですが、一学期後半はそれに甘んじていたように感じられます。最後の方では催促したにもかかわらず、変化はありませんでした。「筋を通す」ことをしないと、結果として信頼を失うことになりかねません。夏期休業中に今一度、この場面を見直して、二学期に改善していきましょう。【生活記録等、学級での提出率は68％でした】</t>
  </si>
  <si>
    <t>六学年当初に「人のことを考えて行動する。」ということを目標に、そしてその第一歩となる第一学期の目標は「人の気持ちを考える」として生活していた煌季君。自評では90点をしていました。厳しいことを書きますが、これは少々甘いのではないでしょうか。他者を揶揄う言動がしばしば見え、その度に担任から注意を受けたことは記憶にあると思います。煌季君は、人のために行動しよう、という思いが強いことは今までの生活から良く分かっています。このようなことがあると、せっかくの良い所が霞んでしまいます。言動を律することを意識していきましょう。体育祭では白組の大綱リーダーとして活躍しました。急遽、交代という形でリーダー職に付きましたが、「勇往邁進」を胸に勝利に向かって頑張りました。研修旅行では美化係の一員として活動しました。感心したのは、同じ美化係のクラスメイトと共に、バスの美化などに最大限、尽力した姿がです。本当に素晴らしかったです。煌季君の課題として、先に述べたこととは違う、もう一つのこと。それは「やるべきことに対して真摯に向き合う姿勢」です。学期途中に注意をしましたが、宿題や感想の記述などを適当に行い、そのまま提出する様が続きました。これをしている限り、学力も向上しませんし、信頼も得られません。たかが宿題、たかが感想、ではないことを、今一度認識し、気持ちを引き締めて二学期に臨みましょう。【生活記録等、学級での提出率は97％でした】</t>
  </si>
  <si>
    <t>「下級生を率いる6年生にふさわしい精神を持つ。」。これが大輝君が六学年として大切にしたい目標に掲げたものでした。その第一歩として「五常の徳を持った人になる。」を一学期の目標に立てて生活を送りました。実に大輝君らしい、難しい目標を立てましたが、「凡事の徹底」を心がけることの出来る大輝君ですので、見事100点と自評していました。やるべきことを確実に遂行することが出来る人にこそ、人の信頼は集まります。是非、継続していきましょう。体育祭では「百折不撓」を胸に、赤組のメンバーの一員として競技に臨みました。大きく成長したと感じたのは、周囲への言葉がけです。話を聞くべき時に周囲がそういう空気になっていなかったときに、大輝君が全体に声掛けを行いました。昨年は見られ無い姿でした。この姿を見て、立派に成長したと感じました。また、体育祭の感想で、一番印象に残ったことが「９年生のタイヤ取り」というのも実に大輝くんらしいと思いました。研修旅行では美化係長として研修旅行に参加しました。研修旅行中、一番機能したと感じたのは美化係です。その係の長として、本当に良く働くことが出来ました。そんな良い一学期を送った大輝君に、課題を一つ与えるとしたら、「周囲に目を向ける」ことです。これは自評でも課題として挙げていましたね。よりよい生活のために、二学期はこれを念頭に入れていきましょう。【生活記録等、学級での提出率は97％でした】</t>
  </si>
  <si>
    <t>テスト結果に特化した目標を立てている快斗君。六学年の当初目標、そして一学期当初の目標も「定期テストで440点以上取ることの出来る人になる。」というものでした。今回の定期テストでは目標の440点には届かなかったものの、436点とあと一歩のところまで迫ることが出来ました。この「あと一歩」は、二学期の中間テストで達成できるように、今からコツコツと準備を進めていきましょう。体育祭では白組の学年キャプテンとして、「一致団結」を掲げて競技に挑みました。練習中では勝てない日々も続き、悶々とした時間を過ごしたことと思いますが、本番ではこれをひっくり返し、６年間で初めての総合優勝経験もすることが出来ました。研修旅行では美化係の一員として活動しました。感心すべきは研修旅行中のバスの清掃です。全員がバスを降りたあと、ほうきやちりとりを使って、クラスメイトと共に美化活動を率先して行いました。これには一緒に同行して下さったガイドさんも「こんな経験は初めて」とおっしゃって下さるほど称賛してくださいました。快斗君の課題としては「メリハリ」と「言葉遣い」。ただ、このメリハリに関しては以前と比べると良くなってきている節は見受けられます。言葉遣いはあと一歩でしょうか。あとは節度ある行動を心がけることが出来れば、大きく成長することとなるでしょう。学年の中核の一員として、信頼しています。【生活記録等、学級での提出率は98％でした】</t>
  </si>
  <si>
    <t>治輝君の六学年当初の目標は「凡事徹底　下級生の見本となれる人になる。」。そのための第一歩として、「凡事徹底」を一学期の目標として立てました。五年生の頃と比べると、生活面では大きく成長し、落ち着いて生活することの出来る時間が増えてきたように感じられます。体育祭では赤組のメンバーの一員として、「力戦奮闘」を胸に競技に挑みました。また、赤組応援団の一員としても、持ち前の大きな声を武器に、全力で応援に取り組むことが出来ました。研修旅行では美化係の一員として活動しました。感心したのは、同じ美化係のクラスメイトと共に、バスの美化などに最大限、尽力した姿がです。本当に素晴らしかったです。旅行を経て、先に述べた美化係の活動経験を踏まえてか、訪れた先々の環境のすばらしさを感じ、この大切さが実感できた旅となった、と振り返っていました。治輝君のこれからの課題としては「セルフコントロール」。気分が高揚している時に、自身を抑えることができなくなってしまい、何かしらの問題が起きてしまうという経験を一学期に数度、したことは記憶に新しいと思います。良い所がたくさんある治輝君ですので、この面をフォーカスされて、良い所がかき消されてしまうのは非常にもったいないです。だからこそ、この面を今一度見直して、二学期に臨みましょう。【生活記録等、学級での提出率は100％でした】</t>
  </si>
  <si>
    <t>欠席2（風邪1,腹痛1）</t>
    <rPh sb="0" eb="2">
      <t>ケッセキ</t>
    </rPh>
    <rPh sb="4" eb="6">
      <t>カゼ</t>
    </rPh>
    <rPh sb="8" eb="10">
      <t>フクツウ</t>
    </rPh>
    <phoneticPr fontId="1"/>
  </si>
  <si>
    <t>欠席3（風邪3）,早退1（家事都合1）</t>
    <rPh sb="0" eb="2">
      <t>ケッセキ</t>
    </rPh>
    <rPh sb="4" eb="6">
      <t>カゼ</t>
    </rPh>
    <rPh sb="9" eb="11">
      <t>ソウタイ</t>
    </rPh>
    <rPh sb="13" eb="17">
      <t>カジツゴウ</t>
    </rPh>
    <phoneticPr fontId="1"/>
  </si>
  <si>
    <t>欠席2（風邪1,家事都合1）,早退1（発熱1）</t>
    <rPh sb="0" eb="2">
      <t>ケッセキ</t>
    </rPh>
    <rPh sb="4" eb="6">
      <t>カゼ</t>
    </rPh>
    <rPh sb="8" eb="12">
      <t>カジツゴウ</t>
    </rPh>
    <rPh sb="15" eb="17">
      <t>ソウタイ</t>
    </rPh>
    <rPh sb="19" eb="21">
      <t>ハツネツ</t>
    </rPh>
    <phoneticPr fontId="1"/>
  </si>
  <si>
    <t>欠席1（法事1）</t>
    <rPh sb="0" eb="2">
      <t>ケッセキ</t>
    </rPh>
    <rPh sb="4" eb="6">
      <t>ホウジ</t>
    </rPh>
    <phoneticPr fontId="1"/>
  </si>
  <si>
    <t>欠席4（発熱4）</t>
    <rPh sb="0" eb="2">
      <t>ケッセキ</t>
    </rPh>
    <rPh sb="4" eb="6">
      <t>ハツネツ</t>
    </rPh>
    <phoneticPr fontId="1"/>
  </si>
  <si>
    <t>欠席3（発熱１,家事都合2）</t>
    <rPh sb="0" eb="2">
      <t>ケッセキ</t>
    </rPh>
    <rPh sb="4" eb="6">
      <t>ハツネツ</t>
    </rPh>
    <rPh sb="8" eb="12">
      <t>カジツゴウ</t>
    </rPh>
    <phoneticPr fontId="1"/>
  </si>
  <si>
    <t>早退1（通院1）</t>
    <rPh sb="0" eb="2">
      <t>ソウタイ</t>
    </rPh>
    <rPh sb="4" eb="6">
      <t>ツウイン</t>
    </rPh>
    <phoneticPr fontId="1"/>
  </si>
  <si>
    <t>欠席1（発熱1）</t>
    <rPh sb="0" eb="2">
      <t>ケッセキ</t>
    </rPh>
    <rPh sb="4" eb="6">
      <t>ハツネツ</t>
    </rPh>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</si>
  <si>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</si>
  <si>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</si>
  <si>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</si>
  <si>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</si>
  <si>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</si>
  <si>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</si>
  <si>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</si>
  <si>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思考力・表現力・判断力（単元テスト・定期テスト）</t>
    <phoneticPr fontId="1"/>
  </si>
  <si>
    <t>B</t>
    <phoneticPr fontId="1"/>
  </si>
  <si>
    <t>主体的に学習に取り組む態度</t>
    <phoneticPr fontId="1"/>
  </si>
  <si>
    <t>C</t>
    <phoneticPr fontId="1"/>
  </si>
  <si>
    <t>-</t>
    <phoneticPr fontId="1"/>
  </si>
  <si>
    <t>伊藤 大翔</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</si>
  <si>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</si>
  <si>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</si>
  <si>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</si>
  <si>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</si>
  <si>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</si>
  <si>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</si>
  <si>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</si>
  <si>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</si>
  <si>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</si>
  <si>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</si>
  <si>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</si>
  <si>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知識・技能（期末テストワークテスト）</t>
    <phoneticPr fontId="1"/>
  </si>
  <si>
    <t>A</t>
    <phoneticPr fontId="1"/>
  </si>
  <si>
    <t>B</t>
    <phoneticPr fontId="1"/>
  </si>
  <si>
    <t>主体的に取り組む態度（提出物・授業態度）</t>
    <phoneticPr fontId="1"/>
  </si>
  <si>
    <t>C</t>
    <phoneticPr fontId="1"/>
  </si>
  <si>
    <t>-</t>
    <phoneticPr fontId="1"/>
  </si>
  <si>
    <t>B</t>
    <phoneticPr fontId="1"/>
  </si>
  <si>
    <t>B</t>
    <phoneticPr fontId="1"/>
  </si>
  <si>
    <t>A</t>
    <phoneticPr fontId="1"/>
  </si>
  <si>
    <t>A</t>
    <phoneticPr fontId="1"/>
  </si>
  <si>
    <t>この項目は適宜変更して下さい。
※注意※
ただし、項目数は１０個まで。仮に少ない場合も行の削除は絶対に行わないで下さい。</t>
    <phoneticPr fontId="1"/>
  </si>
  <si>
    <t>A</t>
    <phoneticPr fontId="1"/>
  </si>
  <si>
    <t>B</t>
    <phoneticPr fontId="1"/>
  </si>
  <si>
    <t>A</t>
    <phoneticPr fontId="1"/>
  </si>
  <si>
    <t>B</t>
    <phoneticPr fontId="1"/>
  </si>
  <si>
    <t>思考・判断・表現（作品・クロッキー）</t>
    <phoneticPr fontId="1"/>
  </si>
  <si>
    <t>C</t>
    <phoneticPr fontId="1"/>
  </si>
  <si>
    <t>この項目は適宜変更して下さい。
※注意※
ただし、項目数は１０個まで。仮に少ない場合も行の削除は絶対に行わないで下さい。</t>
    <phoneticPr fontId="1"/>
  </si>
  <si>
    <t>A</t>
    <phoneticPr fontId="1"/>
  </si>
  <si>
    <t>A</t>
    <phoneticPr fontId="1"/>
  </si>
  <si>
    <t>B</t>
    <phoneticPr fontId="1"/>
  </si>
  <si>
    <t>この項目は適宜変更して下さい。
※注意※
ただし、項目数は１０個まで。仮に少ない場合も行の削除は絶対に行わないで下さい。</t>
    <phoneticPr fontId="1"/>
  </si>
  <si>
    <t>A</t>
    <phoneticPr fontId="1"/>
  </si>
  <si>
    <t>B</t>
    <phoneticPr fontId="1"/>
  </si>
  <si>
    <t>B</t>
    <phoneticPr fontId="1"/>
  </si>
  <si>
    <t>主体的に学習に取り組む態度</t>
    <phoneticPr fontId="1"/>
  </si>
  <si>
    <t>C</t>
    <phoneticPr fontId="1"/>
  </si>
  <si>
    <t>-</t>
    <phoneticPr fontId="1"/>
  </si>
  <si>
    <t>【まとめテスト９１点A、GWレポートA、裁縫A、調理実習レポートA、ノートA】</t>
    <phoneticPr fontId="1"/>
  </si>
  <si>
    <t>【まとめテスト９６点A、GWレポートA、裁縫A、調理実習レポートA、ノートA】</t>
    <phoneticPr fontId="1"/>
  </si>
  <si>
    <t>【まとめテスト７１点B、GWレポートA、裁縫A、調理実習レポートA、ノートA】</t>
    <phoneticPr fontId="1"/>
  </si>
  <si>
    <t>【まとめテスト９２点A、GWレポートA、裁縫A、調理実習レポートA、ノートA】</t>
    <phoneticPr fontId="1"/>
  </si>
  <si>
    <t>【まとめテスト８７点A、GWレポートA、裁縫A、調理実習レポートA、ノートA】</t>
    <phoneticPr fontId="1"/>
  </si>
  <si>
    <t>【まとめテスト７４点B、GWレポートA、裁縫A、調理実習レポートA、ノートA】</t>
    <phoneticPr fontId="1"/>
  </si>
  <si>
    <t>【まとめテスト９６点A、GWレポートA、裁縫A、調理実習レポートA、ノートA】</t>
    <phoneticPr fontId="1"/>
  </si>
  <si>
    <t>150～200</t>
    <phoneticPr fontId="9" type="Hiragana" alignment="distributed"/>
  </si>
  <si>
    <t>サッカー日本代表、駒野友一選手の2025年サッカー南アフリカワールドカップ時でのPK失敗における、その後の出来事と、アメリカの作家スティーブン・R・コビー博士の残した言葉から考える単元、『信頼残高』では、「人からの信頼とは、自分から努力することによって実るものである、ということをあらためて実感した。顔や成績、運動神経がいいから、というところから信頼は生まれるのではなく、『人のことをよく考えられるから』こそ、信頼は生まれるのだなと感じた。」という感想を抱き、「これからも『正しさ』や、『自分の良さ』をさらに貫くことができる人になる。」という考えを持つことができました。</t>
    <rPh sb="4" eb="8">
      <t>ニホンダイヒョウ</t>
    </rPh>
    <rPh sb="9" eb="13">
      <t>コマノユウイチ</t>
    </rPh>
    <rPh sb="13" eb="15">
      <t>センシュ</t>
    </rPh>
    <rPh sb="20" eb="21">
      <t>ネン</t>
    </rPh>
    <rPh sb="25" eb="26">
      <t>ミナミ</t>
    </rPh>
    <rPh sb="37" eb="38">
      <t>ジ</t>
    </rPh>
    <rPh sb="42" eb="44">
      <t>シッパイ</t>
    </rPh>
    <rPh sb="51" eb="52">
      <t>ゴ</t>
    </rPh>
    <rPh sb="53" eb="56">
      <t>デキゴト</t>
    </rPh>
    <rPh sb="63" eb="65">
      <t>サッカ</t>
    </rPh>
    <rPh sb="77" eb="79">
      <t>ハカセ</t>
    </rPh>
    <rPh sb="80" eb="81">
      <t>ノコ</t>
    </rPh>
    <rPh sb="83" eb="85">
      <t>コトバ</t>
    </rPh>
    <rPh sb="87" eb="88">
      <t>カンガ</t>
    </rPh>
    <rPh sb="90" eb="92">
      <t>タンゲン</t>
    </rPh>
    <rPh sb="94" eb="96">
      <t>シンライ</t>
    </rPh>
    <rPh sb="96" eb="98">
      <t>ザンダカ</t>
    </rPh>
    <rPh sb="173" eb="175">
      <t>シンライ</t>
    </rPh>
    <rPh sb="176" eb="177">
      <t>ウ</t>
    </rPh>
    <rPh sb="205" eb="207">
      <t>シンライ</t>
    </rPh>
    <rPh sb="224" eb="226">
      <t>カンソウ</t>
    </rPh>
    <rPh sb="227" eb="228">
      <t>イダ</t>
    </rPh>
    <rPh sb="271" eb="272">
      <t>カンガ</t>
    </rPh>
    <rPh sb="274" eb="275">
      <t>モ</t>
    </rPh>
    <phoneticPr fontId="9"/>
  </si>
  <si>
    <t>A</t>
    <phoneticPr fontId="1"/>
  </si>
  <si>
    <t>B</t>
    <phoneticPr fontId="1"/>
  </si>
  <si>
    <t>C</t>
    <phoneticPr fontId="1"/>
  </si>
  <si>
    <t>総合所見</t>
    <phoneticPr fontId="1"/>
  </si>
  <si>
    <t>400～450</t>
    <phoneticPr fontId="9" type="Hiragana" alignment="distributed"/>
  </si>
  <si>
    <t>晃佑君が六学年当初に立てた目標は「落ち着いてメリハリが付く人になる」、そのための一学期の目標が「時計をしっかりと見て、時間を守れるように行動する」というものでした。自評では８割は達成できたとしていました。確かに、昨年度と比べるとメリハリがつくようになりましたので、これを継続し、更に向上していきましょう。体育祭では白組メンバーの一員として体育祭に臨みました。大玉運びではアンカーの一員を任され、勝敗が付いた後も全力で取り組む姿が印象的でした。また、白組の選抜リレーの、そして応援団の一員としても活躍し、本当に全力尽くして勝利をつかもうとする姿が光りました。研修旅行では東日本大震災の爪痕より、天災の恐ろしさについて深く考えることができたようでした。体育祭を中心に、本当によく頑張った晃佑君でした。先にも述べましたが、昨年度と比較すると、大きく成長したことが良く分かります。ここからは課題となりますが、時として後先のことを考えずに行動し、あまり良くない結末を生じさせてしまうことがあります。ここぞという肝心の提出物を忘れる場面も見られました。晃佑君がこれから更に成長するためには『見通し』や『想像力』を持つことが大切です。何かアクションを起こす前に、少し考えてから行動できると、より大きく成長できるでしょう。二学期も頑張りましょう。【生活記録等、学級での提出率は88％でした】</t>
    <rPh sb="428" eb="429">
      <t>ショウ</t>
    </rPh>
    <rPh sb="489" eb="491">
      <t>ミトオ</t>
    </rPh>
    <phoneticPr fontId="1"/>
  </si>
  <si>
    <t>「一回一回の授業に真剣に取り組む」。これが由和君が６学年として大切にしていきたいとした目標でした。そのために立てた一学期の目標が「何事も真剣に取り組む」でした。自評では体育祭での自身の取り組みを軸に考え、80％は達成できたとしています。実際に体育祭での頑張りは本当に印象的でした。その体育祭、練習にて中々勝てなかった大玉運びでは、最後まで諦めずに取り組むことによって、本番で勝利をつかむことができたことが由和君の心に強く残ったようでした。研修旅行では美化係の一員として行動し、みんなの気持ちを考えて行動する大切さを学ぶことができたようでした。私が一学期の由和君の生活の中で印象的なのは、バスの中で困っている下級生について教えてくれたことです。この話のお陰で、私はフォローに動くことが出来ました。抜本的な改善ができたかどうかは分かりませんが、その下級生は由和君の行動によって救われたはずです。実に立派でした。ここからは課題となりますが、まずは「整理整頓」。これは言われずとも分かっているはずです。次に「嫌なことは嫌といえる勇気」です。相手に優しく接することができるのは由和君のいいところですが、由和君が傷ついては意味がありません。自身も一学期の振り返りにて述べていましたね。改善し、より良い二学期にしましょう。【生活記録等、学級での提出率は90％でした】</t>
    <phoneticPr fontId="1"/>
  </si>
  <si>
    <t>紗和さんの６学年当初の目標は「何事でも手を抜かない人になる」。そしてそのための第一歩である一学期の目標は「毎日提出物を出し、努力を続けられる人になる」でした。結果としてテストの点には結びつきませんでしたが、その努力する姿はしっかりと見られていました。最初に大切なことを述べてしまいますが、結果に対して意気消沈しすぎずに、努力を継続することが本当に大切です。折れずに努力を続けた結果、中学校で飛躍的に伸びた先輩たちは数多くいます。この言葉を絶対に忘れないでください。体育祭では「一心同体」を目標に、競技に挑みました。大玉運びのアンカーを任されて、勝敗が付いても全力を尽くして最後まで走り切る姿がとても印象的でした。研修旅行では保健係の一員として活躍しました。学ぶべきところはしっかりと学び、楽しむところは楽しむ、そんなメリハリの大切さを学ぶことができたように見受けられました。ここからは課題となりますが、まずは「やるべきことの質を上げること」です。確かに提出率は伸びてきましたが、課題に対して手を抜いてしまうところが僅かですが垣間見られます。学力を伸ばすという意味では、まずここを改善しましょう。もう一つは時に他者に対してネガティブな見方をしてしまうところでしょうか。ここを改善し、素敵な二学期にしていきましょう。【生活記録等、学級での提出率は100％でした】</t>
    <rPh sb="91" eb="92">
      <t>ムス</t>
    </rPh>
    <phoneticPr fontId="1"/>
  </si>
  <si>
    <t>帆香さんの第六学年当初の目標は「丁寧な言葉遣いをする」でした。その第一歩の一学期の目標を「暴言を言わずに、年上の人には敬語で話せるようにする。」として生活していきました。自評では９割５分を達成できたとしていましたが、担任から見れば100％達成できたように感じます。もっと自信をもっても良いと考えます。本当に良くできました、体育祭では「一意専心」を掲げ、競技に臨みました。白組のメンバーの一員として、全力を尽くして頑張る姿が光りました。研修旅行では保健係の一員として行動し、旅行を通じて他の人への配慮やメリハリの大切さを学ぶことが出来たようでした。やるべきことがきちんとできる帆香さんはまさに模範的ですが、まだまだ成長できる面はあります。これを敢えて「課題」として述べさせてもらいます。まずは「挨拶・返事」面です。帆香さんのことですから、こちらが挨拶をすればしっかりと返してくれますが、積極的に自分からという姿はあまり見られていません。ここを頑張ると、もっと帆香さんの人生が豊かになると考えらます。そして、これが「人間関係の輪を広げる」ことにもつながると思います。先日は部活の後に後輩に「おつかれ」と声をかけて、失敗した～、と嘆いていましたが、失敗ではなくこういうことが人間関係を広げる第一歩だと思います。頑張っていきましょう。【生活記録等、学級での提出率は100％でした】</t>
    <rPh sb="521" eb="523">
      <t>シッパイ</t>
    </rPh>
    <phoneticPr fontId="1"/>
  </si>
  <si>
    <t>桃愛さんの６学年当初の目標は「みんなから、信頼され、頼りにされる人になる。」。その第一歩として、第一学期の目標を「相手の立場を考えられる人。相手を思いやれる人になる。」と定めました。自評としては、色々な仕事を任されたり、気が付いたらすぐに行動したりすることが出来た、ということで90点を付けていました。実際、桃愛さんにいろんな仕事を担任からお願いした記憶があります。それだけ、桃愛さんに対する信頼があるということを今一度、自覚してくれると嬉しいです。体育祭では赤組の一員として「力戦奮闘」を掲げて競技に臨みました。大玉運びでは、アンカーを任されて、全力で大玉を運ぶ姿に会場が歓喜したことは記憶に新しいです。研修旅行では「集団行動を大切に、仲間と一緒に学びに行く。」という、自身の決意を大切に、旅行に参加することができました。生活面では、提出物も身だしなみ、整理整頓もしっかりでき、かつ、周囲を和ませてくれる桃愛さんの行動は本当に立派です。そこで、生活をより豊かにするための課題として、「人間関係の和を広げる」ことを提示します。現在、特定の友達と常に一緒にいる姿が見受けられます。これ自体、悪いわけではありませんが、もっと人間関係の輪を広げた方が、生活は豊かになります。二学期は是非、この輪を広げてみてください。期待しています。【生活記録等、学級での提出率は100％でした】</t>
    <rPh sb="171" eb="172">
      <t>ネガ</t>
    </rPh>
    <phoneticPr fontId="1"/>
  </si>
  <si>
    <t>惇也君の６学年当初の目標が「メリハリをつけて行動できる人になる。」。そしてその第一歩として一学期当初の立てたのが「凡事徹底を心がけ、下級生の見本になる。」という目標でした。自身の評価としては掃除のときに話をしてしまい、切り替えが出来ていなかったり、靴紐が解けていても直さない時があったりと、自己をしっかりと振り返り、７割程度の点数を付けていました。評価としては低いかもしれませんが、私はそこよりも、自己分析を正確に行うことのできる惇也君の姿に感心しました。体育祭では白組の大綱引きのリーダーとして「限界突破　持てる力を出し尽くせ」を掲げて全力で競技に挑むことが出来ました。研修旅行では統率係の一員として、仲間とのチームワークを深めることを大切にしながら行動することが出来ました。惇也君の力は、光るものがあると思っていましたが、今年度担任を持って、その考えは確信に変わりました。先日、二学期は何かしらのリーダーに立候補したいと言っていた言葉を頼もしく思うと同時に、楽しみにしています。さて、そんな惇也君に担任が臨む姿は「公正に人と接することの出来る姿」に成長してくれることです。意見や考え方異なる人が多少なりともいることは、自己分析をしっかりとできる惇也君なら分かっているようです。こういうところでどういう折り合いを付けていくのか。これを追及する二学期としていきましょう。【生活記録等、学級での提出率は97％でした】</t>
    <rPh sb="488" eb="490">
      <t>イケン</t>
    </rPh>
    <rPh sb="491" eb="492">
      <t>カンガ</t>
    </rPh>
    <rPh sb="493" eb="494">
      <t>カタ</t>
    </rPh>
    <rPh sb="494" eb="495">
      <t>コト</t>
    </rPh>
    <rPh sb="497" eb="498">
      <t>ヒト</t>
    </rPh>
    <phoneticPr fontId="1"/>
  </si>
  <si>
    <t>美生さんにとっての才教学園１年目の第一学期が終わりました。慣れないことばかり、そして忙しいこともあって苦心した一学期だったと思いますが、それでも体調不良や通院の日以外は毎日学校に登校することが出来ました。まずはこの事実が素晴らしいです。よく頑張りましたね。一学期の美生さんの目標は「困っている人がいたら、助けられる人になる。」ということで、友達の相談に乗ったり、残っている仕事を率先して行ったりした姿から、自評では100点を付けていました。こちらに関しても、本当に頑張りました。体育祭では「５年生の見本になる」という目標を掲げて、白組のメンバーの一員として競技に臨みました。才教学園の体育祭は初めてなのにもかかわらず、いい意味で迷いなく全力を尽くしていたことに驚きました。研修旅行では大川小学校をはじめとする被災地に赴き、当時の出来事を考えると非常に胸が傷んだという感想を抱き、命の大切さをしっかりと学ぶことが出来たように見受けられました。美生さんにこれからの課題として、一学期中に担任から美生さんに伝えたことを今一度明記します。「ネガティブな言葉は控えること」。指摘して以降、だいぶ減ってきましたので、これを意識して二学期も頑張っていきましょう。最後に、体調が悪かったら無理せずに、そして気にせずに周囲に言ってくださいね。【生活記録等、学級での提出率は90％でした】</t>
    <rPh sb="482" eb="484">
      <t>シテキ</t>
    </rPh>
    <phoneticPr fontId="1"/>
  </si>
  <si>
    <t>六学年当初に「人のことを考えて行動する。」ということを目標に、そしてその第一歩となる第一学期の目標は「人の気持ちを考える」として生活していた煌季君。自評では90点をしていました。厳しいことを書きますが、これは少々甘いのではないでしょうか。他者をからかう言動がしばしば見え、その度に担任から注意を受けたことは記憶にあると思います。煌季君は、人のために行動しよう、という思いが強いことは今までの生活から良く分かっています。このようなことがあると、せっかくの良い所が霞んでしまいます。言動を律することを意識していきましょう。体育祭では白組の大綱リーダーとして活躍しました。急遽、交代という形でリーダー職に付きましたが、「勇往邁進」を胸に勝利に向かって頑張りました。研修旅行では美化係の一員として活動しました。感心したのは、同じ美化係のクラスメイトと共に、バスの美化などに最大限、尽力した姿がです。本当に素晴らしかったです。煌季君の課題として、先に述べたこととは違う、もう一つのこと。それは「やるべきことに対して真摯に向き合う姿勢」です。学期途中に注意をしましたが、宿題や感想の記述などを適当に行い、そのまま提出する様が続きました。これをしている限り、学力も向上しませんし、信頼も得られません。たかが宿題、たかが感想、ではないことを、今一度認識し、気持ちを引き締めて二学期に臨みましょう。【生活記録等、学級での提出率は97％でした】</t>
    <phoneticPr fontId="1"/>
  </si>
  <si>
    <t>テスト結果に特化した目標を立てている快斗君。六学年の当初目標、そして一学期当初の目標も「定期テストで440点以上取ることの出来る人になる。」というものでした。今回の定期テストでは目標の440点には届かなかったものの、436点とあと一歩のところまで迫ることが出来ました。この「あと一歩」は、二学期の中間テストで達成できるように、今からコツコツと準備を進めていきましょう。体育祭では白組の学年キャプテンとして、「一致団結」を掲げて競技に挑みました。練習中では勝てない日々も続き、悶々とした時間を過ごしたことと思いますが、本番ではこれをひっくり返し、６年間で初めての総合優勝を経験もすることが出来ました。研修旅行では美化係の一員として活動しました。感心すべきは研修旅行中のバスの清掃です。全員がバスを降りたあと、ほうきやちりとりを使って、クラスメイトと共に美化活動を率先して行いました。これには一緒に同行して下さったガイドさんも「こんな経験は初めて」とおっしゃって下さるほど称賛してくださいました。快斗君の課題としては「メリハリ」と「言葉遣い」。ただ、このメリハリに関しては以前と比べると良くなってきている節は見受けられます。言葉遣いはあと一歩でしょうか。あとは節度ある行動を心がけることが出来れば、大きく成長することとなるでしょう。学年の中核の一員として、信頼しています。【生活記録等、学級での提出率は98％でした】</t>
    <phoneticPr fontId="1"/>
  </si>
  <si>
    <t>治輝君の六学年当初の目標は「凡事徹底　下級生の見本となれる人になる。」。そのための第一歩として、「凡事徹底」を一学期の目標として立てました。五年生の頃と比べると、生活面では大きく成長し、落ち着いて生活することの出来る時間が増えてきたように感じられます。体育祭では赤組のメンバーの一員として、「力戦奮闘」を胸に競技に挑みました。また、赤組応援団の一員としても、持ち前の大きな声を武器に、全力で応援に取り組むことが出来ました。研修旅行では美化係の一員として活動しました。感心したのは、同じ美化係のクラスメイトと共に、バスの美化などに最大限、尽力した姿がです。本当に素晴らしかったです。旅行を経て、先に述べた美化係の活動経験を踏まえてか、訪れた先々の環境のすばらしさを感じ、この大切さが実感できた旅となった、と振り返っていました。治輝君のこれからの課題としては「セルフコントロール」。気分が高揚している時に、自身を抑えることができなくなってしまい、何かしらの問題が起きてしまうという経験を一学期に幾度となくしたことは、記憶に新しいと思います。良い所がたくさんある治輝君ですので、この面をフォーカスされて、良い所がかき消されてしまうのは非常にもったいないです。だからこそ、この面を今一度見直して、二学期に臨みましょう。【生活記録等、学級での提出率は100％でした】</t>
    <rPh sb="445" eb="447">
      <t>イクド</t>
    </rPh>
    <phoneticPr fontId="1"/>
  </si>
  <si>
    <t xml:space="preserve"> 出席日数（自動計算）</t>
    <phoneticPr fontId="1"/>
  </si>
  <si>
    <t xml:space="preserve"> 欠席日数</t>
    <phoneticPr fontId="1"/>
  </si>
  <si>
    <t>出席停止4(コロナウイルス罹患のため4),欠席1（体調不良1）</t>
    <rPh sb="0" eb="4">
      <t>シュッセキテイシ</t>
    </rPh>
    <rPh sb="13" eb="15">
      <t>リカン</t>
    </rPh>
    <rPh sb="21" eb="23">
      <t>ケッセキ</t>
    </rPh>
    <rPh sb="25" eb="29">
      <t>タイチョウフリョウ</t>
    </rPh>
    <phoneticPr fontId="1"/>
  </si>
  <si>
    <t>欠席3（体調不良1,頭痛2）,早退2（通院1,体調不良1）</t>
    <rPh sb="0" eb="2">
      <t>ケッセキ</t>
    </rPh>
    <rPh sb="4" eb="8">
      <t>タイチョウフリョウ</t>
    </rPh>
    <rPh sb="10" eb="12">
      <t>ズツウ</t>
    </rPh>
    <rPh sb="15" eb="17">
      <t>ソウタイ</t>
    </rPh>
    <rPh sb="19" eb="21">
      <t>ツウイン</t>
    </rPh>
    <rPh sb="23" eb="27">
      <t>タイチョウフリョウ</t>
    </rPh>
    <phoneticPr fontId="1"/>
  </si>
  <si>
    <t>欠席1（体調不良1）,早退1（通院1）</t>
    <rPh sb="11" eb="13">
      <t>ソウタイ</t>
    </rPh>
    <rPh sb="15" eb="17">
      <t>ツウイン</t>
    </rPh>
    <phoneticPr fontId="1"/>
  </si>
  <si>
    <t>欠席5（家事都合5）,早退1（体調不良1）</t>
    <rPh sb="0" eb="2">
      <t>ケッセキ</t>
    </rPh>
    <rPh sb="4" eb="8">
      <t>カジツゴウ</t>
    </rPh>
    <rPh sb="11" eb="13">
      <t>ソウタイ</t>
    </rPh>
    <rPh sb="15" eb="19">
      <t>タイチョウフリョウ</t>
    </rPh>
    <phoneticPr fontId="1"/>
  </si>
  <si>
    <t>出席停止3(コロナウイルス罹患のため3),遅刻1（通院1）</t>
    <rPh sb="0" eb="4">
      <t>シュッセキテイシ</t>
    </rPh>
    <rPh sb="13" eb="15">
      <t>リカン</t>
    </rPh>
    <rPh sb="21" eb="23">
      <t>チコク</t>
    </rPh>
    <rPh sb="25" eb="27">
      <t>ツウイン</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</si>
</sst>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0">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name val="ＭＳ Ｐゴシック"/>
      <family val="3"/>
      <charset val="128"/>
      <scheme val="minor"/>
    </font>
    <font>
      <b/>
      <sz val="12"/>
      <color theme="0"/>
      <name val="ＭＳ Ｐ明朝"/>
      <family val="1"/>
      <charset val="128"/>
    </font>
    <font>
      <sz val="11"/>
      <color indexed="8"/>
      <name val="ＭＳ Ｐゴシック"/>
      <family val="3"/>
      <charset val="128"/>
    </font>
    <font>
      <sz val="11"/>
      <name val="ＭＳ Ｐゴシック"/>
      <family val="3"/>
      <charset val="128"/>
    </font>
    <font>
      <sz val="11"/>
      <color rgb="FF9C6500"/>
      <name val="ＭＳ Ｐゴシック"/>
      <family val="2"/>
      <charset val="128"/>
      <scheme val="minor"/>
    </font>
    <font>
      <sz val="11"/>
      <color indexed="52"/>
      <name val="ＭＳ Ｐゴシック"/>
      <family val="3"/>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89">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7" fillId="2" borderId="14" xfId="0" applyNumberFormat="1" applyFont="1" applyFill="1" applyBorder="1" applyAlignment="1">
      <alignment horizontal="center" vertical="center" wrapText="1"/>
    </xf>
    <xf numFmtId="0" fontId="7" fillId="2" borderId="14" xfId="0" applyFont="1" applyFill="1" applyBorder="1" applyAlignment="1">
      <alignment horizontal="center" vertical="center"/>
    </xf>
    <xf numFmtId="0" fontId="6"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8"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0" fillId="7" borderId="14" xfId="0" applyNumberFormat="1" applyFont="1" applyFill="1" applyBorder="1" applyAlignment="1">
      <alignment horizontal="center" vertical="center"/>
    </xf>
    <xf numFmtId="0" fontId="10"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3" fillId="8" borderId="0" xfId="0" applyFont="1" applyFill="1" applyBorder="1" applyAlignment="1">
      <alignment horizontal="left" vertical="center" wrapText="1"/>
    </xf>
    <xf numFmtId="0" fontId="3" fillId="3" borderId="14" xfId="0" applyFont="1" applyFill="1" applyBorder="1" applyAlignment="1" applyProtection="1">
      <alignment vertical="center"/>
      <protection locked="0"/>
    </xf>
    <xf numFmtId="0" fontId="2" fillId="0" borderId="14" xfId="0" applyFont="1" applyFill="1" applyBorder="1" applyProtection="1">
      <alignment vertical="center"/>
      <protection locked="0"/>
    </xf>
    <xf numFmtId="0" fontId="2" fillId="8" borderId="14" xfId="0" applyFont="1" applyFill="1" applyBorder="1">
      <alignment vertical="center"/>
    </xf>
    <xf numFmtId="0" fontId="11" fillId="12" borderId="48" xfId="0" applyFont="1" applyFill="1" applyBorder="1" applyAlignment="1">
      <alignment horizontal="center" vertical="center"/>
    </xf>
    <xf numFmtId="0" fontId="12"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8" fillId="0" borderId="0" xfId="0" applyFont="1" applyFill="1" applyProtection="1">
      <alignment vertical="center"/>
      <protection locked="0"/>
    </xf>
    <xf numFmtId="0" fontId="14" fillId="0" borderId="30" xfId="0" applyFont="1" applyBorder="1" applyProtection="1">
      <alignment vertical="center"/>
      <protection locked="0"/>
    </xf>
    <xf numFmtId="0" fontId="3" fillId="3" borderId="14" xfId="0" applyFont="1" applyFill="1" applyBorder="1" applyAlignment="1" applyProtection="1">
      <alignment vertical="center"/>
    </xf>
    <xf numFmtId="0" fontId="3" fillId="3" borderId="14" xfId="0" applyFont="1" applyFill="1" applyBorder="1" applyAlignment="1">
      <alignment vertical="top" textRotation="255" shrinkToFit="1"/>
    </xf>
    <xf numFmtId="0" fontId="3" fillId="0" borderId="30" xfId="0" applyFont="1" applyBorder="1" applyAlignment="1" applyProtection="1">
      <alignment horizontal="left" vertical="center" shrinkToFit="1"/>
      <protection locked="0"/>
    </xf>
    <xf numFmtId="0" fontId="3" fillId="0" borderId="14" xfId="0" applyFont="1" applyFill="1" applyBorder="1" applyAlignment="1">
      <alignment horizontal="right" vertical="center"/>
    </xf>
    <xf numFmtId="0" fontId="15"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7"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2" fillId="0" borderId="14" xfId="0" applyFont="1" applyBorder="1" applyAlignment="1" applyProtection="1">
      <alignment horizontal="center" vertical="center"/>
      <protection locked="0"/>
    </xf>
    <xf numFmtId="0" fontId="8" fillId="0" borderId="0" xfId="0" applyFont="1">
      <alignment vertical="center"/>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14" fillId="0" borderId="14" xfId="0" applyFont="1" applyBorder="1" applyProtection="1">
      <alignment vertical="center"/>
      <protection locked="0"/>
    </xf>
    <xf numFmtId="0" fontId="0" fillId="0" borderId="0" xfId="0" applyProtection="1">
      <alignment vertical="center"/>
      <protection locked="0"/>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16"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24" xfId="0" applyFont="1" applyFill="1" applyBorder="1" applyAlignment="1">
      <alignment horizontal="left" vertical="center"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12" fillId="11" borderId="49" xfId="0" applyFont="1" applyFill="1" applyBorder="1" applyAlignment="1">
      <alignment horizontal="center" vertical="center"/>
    </xf>
    <xf numFmtId="0" fontId="12" fillId="11" borderId="50" xfId="0" applyFont="1" applyFill="1" applyBorder="1" applyAlignment="1">
      <alignment horizontal="center" vertical="center"/>
    </xf>
    <xf numFmtId="0" fontId="2" fillId="0" borderId="42" xfId="0" applyFont="1" applyFill="1" applyBorder="1" applyAlignment="1">
      <alignment horizontal="left" vertical="top" wrapText="1"/>
    </xf>
    <xf numFmtId="0" fontId="2" fillId="0" borderId="31" xfId="0" applyFont="1" applyFill="1" applyBorder="1" applyAlignment="1">
      <alignment horizontal="left" vertical="top" wrapText="1"/>
    </xf>
    <xf numFmtId="0" fontId="2" fillId="0" borderId="32" xfId="0" applyFont="1" applyFill="1" applyBorder="1" applyAlignment="1">
      <alignment horizontal="left" vertical="top" wrapTex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8" xfId="0" applyFont="1" applyFill="1" applyBorder="1" applyAlignment="1">
      <alignment horizontal="left" vertical="top" wrapText="1" shrinkToFit="1"/>
    </xf>
    <xf numFmtId="0" fontId="3" fillId="0" borderId="39" xfId="0" applyFont="1" applyFill="1" applyBorder="1" applyAlignment="1">
      <alignment horizontal="left" vertical="top" wrapText="1" shrinkToFit="1"/>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6" fillId="4" borderId="45" xfId="0" applyFont="1" applyFill="1" applyBorder="1" applyAlignment="1">
      <alignment horizontal="left" vertical="center" wrapText="1"/>
    </xf>
    <xf numFmtId="0" fontId="6" fillId="4" borderId="46" xfId="0" applyFont="1" applyFill="1" applyBorder="1" applyAlignment="1">
      <alignment horizontal="left" vertical="center" wrapText="1"/>
    </xf>
    <xf numFmtId="0" fontId="6"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xf numFmtId="0" fontId="3" fillId="8" borderId="14" xfId="0" applyFont="1" applyFill="1" applyBorder="1" applyAlignment="1">
      <alignment horizontal="left" vertical="center"/>
    </xf>
    <xf numFmtId="0" fontId="10" fillId="7" borderId="30" xfId="0" applyNumberFormat="1" applyFont="1" applyFill="1" applyBorder="1" applyAlignment="1">
      <alignment horizontal="center" vertical="center"/>
    </xf>
    <xf numFmtId="0" fontId="10" fillId="7" borderId="31" xfId="0" applyNumberFormat="1" applyFont="1" applyFill="1" applyBorder="1" applyAlignment="1">
      <alignment horizontal="center" vertical="center"/>
    </xf>
    <xf numFmtId="0" fontId="10" fillId="7" borderId="32" xfId="0" applyNumberFormat="1" applyFont="1" applyFill="1" applyBorder="1" applyAlignment="1">
      <alignment horizontal="center"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cellXfs>
  <cellStyles count="1">
    <cellStyle name="標準" xfId="0" builtinId="0"/>
  </cellStyles>
  <dxfs count="35">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15</xdr:col>
      <xdr:colOff>1247776</xdr:colOff>
      <xdr:row>5</xdr:row>
      <xdr:rowOff>76200</xdr:rowOff>
    </xdr:from>
    <xdr:to>
      <xdr:col>17</xdr:col>
      <xdr:colOff>666750</xdr:colOff>
      <xdr:row>10</xdr:row>
      <xdr:rowOff>171451</xdr:rowOff>
    </xdr:to>
    <xdr:sp macro="" textlink="">
      <xdr:nvSpPr>
        <xdr:cNvPr id="7" name="テキスト ボックス 6"/>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1"/>
  <sheetViews>
    <sheetView tabSelected="1" view="pageBreakPreview" zoomScaleNormal="85" zoomScaleSheetLayoutView="100" workbookViewId="0">
      <selection activeCell="M80" sqref="M80"/>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35" t="str">
        <f ca="1">MID(CELL("filename",A1),FIND("[",CELL("filename",A1))+1,3)</f>
        <v>６－１</v>
      </c>
      <c r="B1" s="135"/>
      <c r="C1" s="136" t="str">
        <f ca="1">RIGHT(LEFT(CELL("filename",A1),FIND("[",CELL("filename",A1))-2),3)</f>
        <v>1学期</v>
      </c>
      <c r="D1" s="136"/>
      <c r="E1" s="136"/>
      <c r="F1" s="136"/>
      <c r="G1" s="136"/>
      <c r="H1" s="5"/>
      <c r="I1" s="5"/>
    </row>
    <row r="2" spans="1:17" ht="18.75" customHeight="1">
      <c r="A2" s="2" t="s">
        <v>18</v>
      </c>
      <c r="B2" s="1">
        <v>19</v>
      </c>
      <c r="F2" s="4" t="s">
        <v>17</v>
      </c>
      <c r="G2" s="137">
        <f ca="1">INDIRECT("'所見'!A"&amp;12+$B$2)</f>
        <v>0</v>
      </c>
      <c r="H2" s="137"/>
      <c r="I2" s="137"/>
    </row>
    <row r="3" spans="1:17" ht="12" customHeight="1">
      <c r="C3" s="9"/>
      <c r="D3" s="9"/>
      <c r="E3" s="9"/>
      <c r="F3" s="9"/>
      <c r="G3" s="9"/>
      <c r="H3" s="9"/>
      <c r="I3" s="9"/>
    </row>
    <row r="4" spans="1:17" ht="18.75" customHeight="1">
      <c r="A4" s="109" t="s">
        <v>19</v>
      </c>
      <c r="B4" s="110"/>
      <c r="C4" s="110"/>
      <c r="D4" s="110"/>
      <c r="E4" s="110"/>
      <c r="F4" s="110"/>
      <c r="G4" s="110"/>
      <c r="H4" s="110"/>
      <c r="I4" s="111"/>
    </row>
    <row r="5" spans="1:17" ht="18.75" customHeight="1">
      <c r="A5" s="19" t="s">
        <v>4</v>
      </c>
      <c r="B5" s="143" t="s">
        <v>5</v>
      </c>
      <c r="C5" s="143"/>
      <c r="D5" s="143"/>
      <c r="E5" s="143"/>
      <c r="F5" s="143"/>
      <c r="G5" s="20" t="s">
        <v>6</v>
      </c>
      <c r="H5" s="143" t="s">
        <v>7</v>
      </c>
      <c r="I5" s="144"/>
      <c r="Q5" s="78">
        <v>38</v>
      </c>
    </row>
    <row r="6" spans="1:17" ht="18.75" customHeight="1" thickBot="1">
      <c r="A6" s="120" t="s">
        <v>8</v>
      </c>
      <c r="B6" s="123" t="str">
        <f>国語!B2</f>
        <v>知識・技能（単元テスト・定期テスト）</v>
      </c>
      <c r="C6" s="124"/>
      <c r="D6" s="124"/>
      <c r="E6" s="124"/>
      <c r="F6" s="125"/>
      <c r="G6" s="21">
        <f ca="1">OFFSET(国語!C2,0,$B$2)</f>
        <v>0</v>
      </c>
      <c r="H6" s="129">
        <f ca="1">OFFSET(国語!C12,0,$B$2)</f>
        <v>0</v>
      </c>
      <c r="I6" s="130"/>
      <c r="O6" s="8">
        <v>1</v>
      </c>
      <c r="P6" s="59" t="str">
        <f ca="1">INDIRECT("'出欠'!A"&amp;9+O6)</f>
        <v>秋山 晃佑</v>
      </c>
    </row>
    <row r="7" spans="1:17" ht="18.75" customHeight="1" thickBot="1">
      <c r="A7" s="121"/>
      <c r="B7" s="119" t="str">
        <f>国語!B3</f>
        <v>思考力・表現力・判断力（単元テスト・定期テスト・俳句づくり、短歌づくり）</v>
      </c>
      <c r="C7" s="113"/>
      <c r="D7" s="113"/>
      <c r="E7" s="113"/>
      <c r="F7" s="114"/>
      <c r="G7" s="17">
        <f ca="1">OFFSET(国語!C3,0,$B$2)</f>
        <v>0</v>
      </c>
      <c r="H7" s="131"/>
      <c r="I7" s="132"/>
      <c r="K7" s="138" t="s">
        <v>40</v>
      </c>
      <c r="L7" s="139"/>
      <c r="O7" s="8">
        <v>2</v>
      </c>
      <c r="P7" s="59" t="str">
        <f t="shared" ref="P7:P30" ca="1" si="0">INDIRECT("'出欠'!A"&amp;9+O7)</f>
        <v>阿部 由和</v>
      </c>
    </row>
    <row r="8" spans="1:17" ht="18.75" customHeight="1" thickBot="1">
      <c r="A8" s="121"/>
      <c r="B8" s="119" t="str">
        <f>国語!B4</f>
        <v>主体的に学習に取り組む態度（提出物・漢字テスト）</v>
      </c>
      <c r="C8" s="113"/>
      <c r="D8" s="113"/>
      <c r="E8" s="113"/>
      <c r="F8" s="114"/>
      <c r="G8" s="17">
        <f ca="1">OFFSET(国語!C4,0,$B$2)</f>
        <v>0</v>
      </c>
      <c r="H8" s="131"/>
      <c r="I8" s="132"/>
      <c r="K8" s="58" t="s">
        <v>41</v>
      </c>
      <c r="L8" s="58" t="s">
        <v>42</v>
      </c>
      <c r="O8" s="8">
        <v>3</v>
      </c>
      <c r="P8" s="59" t="str">
        <f t="shared" ca="1" si="0"/>
        <v>伊藤 紗和</v>
      </c>
    </row>
    <row r="9" spans="1:17" ht="18.75" customHeight="1" thickBot="1">
      <c r="A9" s="121"/>
      <c r="B9" s="119">
        <f>国語!B5</f>
        <v>0</v>
      </c>
      <c r="C9" s="113"/>
      <c r="D9" s="113"/>
      <c r="E9" s="113"/>
      <c r="F9" s="114"/>
      <c r="G9" s="17">
        <f ca="1">OFFSET(国語!C5,0,$B$2)</f>
        <v>0</v>
      </c>
      <c r="H9" s="131"/>
      <c r="I9" s="132"/>
      <c r="K9" s="57">
        <v>1</v>
      </c>
      <c r="L9" s="57">
        <v>18</v>
      </c>
      <c r="O9" s="8">
        <v>4</v>
      </c>
      <c r="P9" s="59" t="str">
        <f t="shared" ca="1" si="0"/>
        <v>伊藤 大翔</v>
      </c>
    </row>
    <row r="10" spans="1:17" ht="18.75" customHeight="1">
      <c r="A10" s="121"/>
      <c r="B10" s="119">
        <f>国語!B6</f>
        <v>0</v>
      </c>
      <c r="C10" s="113"/>
      <c r="D10" s="113"/>
      <c r="E10" s="113"/>
      <c r="F10" s="114"/>
      <c r="G10" s="17">
        <f ca="1">OFFSET(国語!C6,0,$B$2)</f>
        <v>0</v>
      </c>
      <c r="H10" s="131"/>
      <c r="I10" s="132"/>
      <c r="O10" s="8">
        <v>5</v>
      </c>
      <c r="P10" s="59" t="str">
        <f t="shared" ca="1" si="0"/>
        <v>岡田 帆香</v>
      </c>
    </row>
    <row r="11" spans="1:17" ht="18.75" customHeight="1">
      <c r="A11" s="121"/>
      <c r="B11" s="119">
        <f>国語!B7</f>
        <v>0</v>
      </c>
      <c r="C11" s="113"/>
      <c r="D11" s="113"/>
      <c r="E11" s="113"/>
      <c r="F11" s="114"/>
      <c r="G11" s="17">
        <f ca="1">OFFSET(国語!C7,0,$B$2)</f>
        <v>0</v>
      </c>
      <c r="H11" s="131"/>
      <c r="I11" s="132"/>
      <c r="O11" s="8">
        <v>6</v>
      </c>
      <c r="P11" s="59" t="str">
        <f t="shared" ca="1" si="0"/>
        <v>小口 絵麻</v>
      </c>
    </row>
    <row r="12" spans="1:17" ht="18.75" customHeight="1">
      <c r="A12" s="121"/>
      <c r="B12" s="119">
        <f>国語!B8</f>
        <v>0</v>
      </c>
      <c r="C12" s="113"/>
      <c r="D12" s="113"/>
      <c r="E12" s="113"/>
      <c r="F12" s="114"/>
      <c r="G12" s="17">
        <f ca="1">OFFSET(国語!C8,0,$B$2)</f>
        <v>0</v>
      </c>
      <c r="H12" s="131"/>
      <c r="I12" s="132"/>
      <c r="O12" s="8">
        <v>7</v>
      </c>
      <c r="P12" s="59" t="str">
        <f t="shared" ca="1" si="0"/>
        <v>小栗 桃愛</v>
      </c>
    </row>
    <row r="13" spans="1:17" ht="18.75" customHeight="1">
      <c r="A13" s="121"/>
      <c r="B13" s="119">
        <f>国語!B9</f>
        <v>0</v>
      </c>
      <c r="C13" s="113"/>
      <c r="D13" s="113"/>
      <c r="E13" s="113"/>
      <c r="F13" s="114"/>
      <c r="G13" s="17">
        <f ca="1">OFFSET(国語!C9,0,$B$2)</f>
        <v>0</v>
      </c>
      <c r="H13" s="131"/>
      <c r="I13" s="132"/>
      <c r="O13" s="8">
        <v>8</v>
      </c>
      <c r="P13" s="59" t="str">
        <f t="shared" ca="1" si="0"/>
        <v>上條 惇也</v>
      </c>
    </row>
    <row r="14" spans="1:17" ht="18.75" customHeight="1">
      <c r="A14" s="122"/>
      <c r="B14" s="119">
        <f>国語!B10</f>
        <v>0</v>
      </c>
      <c r="C14" s="113"/>
      <c r="D14" s="113"/>
      <c r="E14" s="113"/>
      <c r="F14" s="114"/>
      <c r="G14" s="18">
        <f ca="1">OFFSET(国語!C10,0,$B$2)</f>
        <v>0</v>
      </c>
      <c r="H14" s="131"/>
      <c r="I14" s="132"/>
      <c r="O14" s="8">
        <v>9</v>
      </c>
      <c r="P14" s="59" t="str">
        <f t="shared" ca="1" si="0"/>
        <v>上條 美生</v>
      </c>
    </row>
    <row r="15" spans="1:17" ht="18.75" customHeight="1">
      <c r="A15" s="120" t="s">
        <v>0</v>
      </c>
      <c r="B15" s="123" t="str">
        <f>算数!B2</f>
        <v>知識・技能（単元テスト・定期テスト）</v>
      </c>
      <c r="C15" s="124"/>
      <c r="D15" s="124"/>
      <c r="E15" s="124"/>
      <c r="F15" s="125"/>
      <c r="G15" s="21">
        <f ca="1">OFFSET(算数!C2,0,$B$2)</f>
        <v>0</v>
      </c>
      <c r="H15" s="129">
        <f ca="1">OFFSET(算数!C12,0,$B$2)</f>
        <v>0</v>
      </c>
      <c r="I15" s="130"/>
      <c r="O15" s="8">
        <v>10</v>
      </c>
      <c r="P15" s="59" t="str">
        <f t="shared" ca="1" si="0"/>
        <v>佐藤 くるみ</v>
      </c>
    </row>
    <row r="16" spans="1:17" ht="18.75" customHeight="1">
      <c r="A16" s="121"/>
      <c r="B16" s="119" t="str">
        <f>算数!B3</f>
        <v>思考力・表現力・判断力（単元テスト・定期テスト）</v>
      </c>
      <c r="C16" s="113"/>
      <c r="D16" s="113"/>
      <c r="E16" s="113"/>
      <c r="F16" s="114"/>
      <c r="G16" s="17">
        <f ca="1">OFFSET(算数!C3,0,$B$2)</f>
        <v>0</v>
      </c>
      <c r="H16" s="131"/>
      <c r="I16" s="132"/>
      <c r="O16" s="8">
        <v>11</v>
      </c>
      <c r="P16" s="59" t="str">
        <f t="shared" ca="1" si="0"/>
        <v>杉野 葉琉</v>
      </c>
    </row>
    <row r="17" spans="1:16" ht="18.75" customHeight="1">
      <c r="A17" s="121"/>
      <c r="B17" s="119" t="str">
        <f>算数!B4</f>
        <v>主体的に学習に取り組む態度</v>
      </c>
      <c r="C17" s="113"/>
      <c r="D17" s="113"/>
      <c r="E17" s="113"/>
      <c r="F17" s="114"/>
      <c r="G17" s="17">
        <f ca="1">OFFSET(算数!C4,0,$B$2)</f>
        <v>0</v>
      </c>
      <c r="H17" s="131"/>
      <c r="I17" s="132"/>
      <c r="L17" s="30"/>
      <c r="M17" s="30"/>
      <c r="O17" s="8">
        <v>12</v>
      </c>
      <c r="P17" s="59" t="str">
        <f t="shared" ca="1" si="0"/>
        <v>杉本 灯</v>
      </c>
    </row>
    <row r="18" spans="1:16" ht="18.75" customHeight="1">
      <c r="A18" s="121"/>
      <c r="B18" s="119">
        <f>算数!B5</f>
        <v>0</v>
      </c>
      <c r="C18" s="113"/>
      <c r="D18" s="113"/>
      <c r="E18" s="113"/>
      <c r="F18" s="114"/>
      <c r="G18" s="17">
        <f ca="1">OFFSET(算数!C5,0,$B$2)</f>
        <v>0</v>
      </c>
      <c r="H18" s="131"/>
      <c r="I18" s="132"/>
      <c r="L18" s="30"/>
      <c r="M18" s="30"/>
      <c r="O18" s="8">
        <v>13</v>
      </c>
      <c r="P18" s="59" t="str">
        <f t="shared" ca="1" si="0"/>
        <v>長崎 結</v>
      </c>
    </row>
    <row r="19" spans="1:16" ht="18.75" customHeight="1">
      <c r="A19" s="121"/>
      <c r="B19" s="119">
        <f>算数!B6</f>
        <v>0</v>
      </c>
      <c r="C19" s="113"/>
      <c r="D19" s="113"/>
      <c r="E19" s="113"/>
      <c r="F19" s="114"/>
      <c r="G19" s="17">
        <f ca="1">OFFSET(算数!C6,0,$B$2)</f>
        <v>0</v>
      </c>
      <c r="H19" s="131"/>
      <c r="I19" s="132"/>
      <c r="L19" s="79">
        <f>番号</f>
        <v>19</v>
      </c>
      <c r="M19" s="30"/>
      <c r="O19" s="8">
        <v>14</v>
      </c>
      <c r="P19" s="59" t="str">
        <f t="shared" ca="1" si="0"/>
        <v>宮下 貫正</v>
      </c>
    </row>
    <row r="20" spans="1:16" ht="18.75" customHeight="1">
      <c r="A20" s="121"/>
      <c r="B20" s="119">
        <f>算数!B7</f>
        <v>0</v>
      </c>
      <c r="C20" s="113"/>
      <c r="D20" s="113"/>
      <c r="E20" s="113"/>
      <c r="F20" s="114"/>
      <c r="G20" s="17">
        <f ca="1">OFFSET(算数!C7,0,$B$2)</f>
        <v>0</v>
      </c>
      <c r="H20" s="131"/>
      <c r="I20" s="132"/>
      <c r="L20" s="30"/>
      <c r="M20" s="30"/>
      <c r="O20" s="8">
        <v>15</v>
      </c>
      <c r="P20" s="59" t="str">
        <f t="shared" ca="1" si="0"/>
        <v>宮島 煌季</v>
      </c>
    </row>
    <row r="21" spans="1:16" ht="18.75" customHeight="1">
      <c r="A21" s="121"/>
      <c r="B21" s="119">
        <f>算数!B8</f>
        <v>0</v>
      </c>
      <c r="C21" s="113"/>
      <c r="D21" s="113"/>
      <c r="E21" s="113"/>
      <c r="F21" s="114"/>
      <c r="G21" s="17">
        <f ca="1">OFFSET(算数!C8,0,$B$2)</f>
        <v>0</v>
      </c>
      <c r="H21" s="131"/>
      <c r="I21" s="132"/>
      <c r="O21" s="8">
        <v>16</v>
      </c>
      <c r="P21" s="59" t="str">
        <f t="shared" ca="1" si="0"/>
        <v>山﨑 大輝</v>
      </c>
    </row>
    <row r="22" spans="1:16" ht="18.75" customHeight="1">
      <c r="A22" s="122"/>
      <c r="B22" s="119">
        <f>算数!B9</f>
        <v>0</v>
      </c>
      <c r="C22" s="113"/>
      <c r="D22" s="113"/>
      <c r="E22" s="113"/>
      <c r="F22" s="114"/>
      <c r="G22" s="18">
        <f ca="1">OFFSET(算数!C9,0,$B$2)</f>
        <v>0</v>
      </c>
      <c r="H22" s="131"/>
      <c r="I22" s="132"/>
      <c r="O22" s="8">
        <v>17</v>
      </c>
      <c r="P22" s="59" t="str">
        <f t="shared" ca="1" si="0"/>
        <v>横井 快斗</v>
      </c>
    </row>
    <row r="23" spans="1:16" ht="18.75" customHeight="1">
      <c r="A23" s="120" t="s">
        <v>47</v>
      </c>
      <c r="B23" s="123" t="str">
        <f>理科!B2</f>
        <v>知識・技能</v>
      </c>
      <c r="C23" s="124"/>
      <c r="D23" s="124"/>
      <c r="E23" s="124"/>
      <c r="F23" s="125"/>
      <c r="G23" s="21">
        <f ca="1">OFFSET(理科!C2,0,$B$2)</f>
        <v>0</v>
      </c>
      <c r="H23" s="129">
        <f ca="1">OFFSET(理科!C12,0,$B$2)</f>
        <v>0</v>
      </c>
      <c r="I23" s="130"/>
      <c r="O23" s="8">
        <v>18</v>
      </c>
      <c r="P23" s="59" t="str">
        <f t="shared" ca="1" si="0"/>
        <v>吉河 治輝</v>
      </c>
    </row>
    <row r="24" spans="1:16" ht="18.75" customHeight="1">
      <c r="A24" s="121"/>
      <c r="B24" s="119" t="str">
        <f>理科!B3</f>
        <v>思考力・表現力・判断力</v>
      </c>
      <c r="C24" s="113"/>
      <c r="D24" s="113"/>
      <c r="E24" s="113"/>
      <c r="F24" s="114"/>
      <c r="G24" s="17">
        <f ca="1">OFFSET(理科!C3,0,$B$2)</f>
        <v>0</v>
      </c>
      <c r="H24" s="131"/>
      <c r="I24" s="132"/>
      <c r="O24" s="8">
        <v>19</v>
      </c>
      <c r="P24" s="59">
        <f t="shared" ca="1" si="0"/>
        <v>0</v>
      </c>
    </row>
    <row r="25" spans="1:16" ht="18.75" customHeight="1">
      <c r="A25" s="121"/>
      <c r="B25" s="119" t="str">
        <f>理科!B4</f>
        <v>主体的に取り組む態度</v>
      </c>
      <c r="C25" s="113"/>
      <c r="D25" s="113"/>
      <c r="E25" s="113"/>
      <c r="F25" s="114"/>
      <c r="G25" s="17">
        <f ca="1">OFFSET(理科!C4,0,$B$2)</f>
        <v>0</v>
      </c>
      <c r="H25" s="131"/>
      <c r="I25" s="132"/>
      <c r="O25" s="8">
        <v>20</v>
      </c>
      <c r="P25" s="59">
        <f t="shared" ca="1" si="0"/>
        <v>0</v>
      </c>
    </row>
    <row r="26" spans="1:16" ht="18.75" customHeight="1">
      <c r="A26" s="121"/>
      <c r="B26" s="119">
        <f>理科!B5</f>
        <v>0</v>
      </c>
      <c r="C26" s="113"/>
      <c r="D26" s="113"/>
      <c r="E26" s="113"/>
      <c r="F26" s="114"/>
      <c r="G26" s="17">
        <f ca="1">OFFSET(理科!C5,0,$B$2)</f>
        <v>0</v>
      </c>
      <c r="H26" s="131"/>
      <c r="I26" s="132"/>
      <c r="O26" s="8">
        <v>21</v>
      </c>
      <c r="P26" s="59">
        <f t="shared" ca="1" si="0"/>
        <v>0</v>
      </c>
    </row>
    <row r="27" spans="1:16" ht="18.75" customHeight="1">
      <c r="A27" s="121"/>
      <c r="B27" s="119">
        <f>理科!B6</f>
        <v>0</v>
      </c>
      <c r="C27" s="113"/>
      <c r="D27" s="113"/>
      <c r="E27" s="113"/>
      <c r="F27" s="114"/>
      <c r="G27" s="17">
        <f ca="1">OFFSET(理科!C6,0,$B$2)</f>
        <v>0</v>
      </c>
      <c r="H27" s="131"/>
      <c r="I27" s="132"/>
      <c r="O27" s="8">
        <v>22</v>
      </c>
      <c r="P27" s="59">
        <f t="shared" ca="1" si="0"/>
        <v>0</v>
      </c>
    </row>
    <row r="28" spans="1:16" ht="18.75" customHeight="1">
      <c r="A28" s="121"/>
      <c r="B28" s="119">
        <f>理科!B7</f>
        <v>0</v>
      </c>
      <c r="C28" s="113"/>
      <c r="D28" s="113"/>
      <c r="E28" s="113"/>
      <c r="F28" s="114"/>
      <c r="G28" s="17">
        <f ca="1">OFFSET(理科!C7,0,$B$2)</f>
        <v>0</v>
      </c>
      <c r="H28" s="131"/>
      <c r="I28" s="132"/>
      <c r="O28" s="8">
        <v>23</v>
      </c>
      <c r="P28" s="59">
        <f t="shared" ca="1" si="0"/>
        <v>0</v>
      </c>
    </row>
    <row r="29" spans="1:16" ht="18.75" customHeight="1">
      <c r="A29" s="121"/>
      <c r="B29" s="119">
        <f>理科!B8</f>
        <v>0</v>
      </c>
      <c r="C29" s="113"/>
      <c r="D29" s="113"/>
      <c r="E29" s="113"/>
      <c r="F29" s="114"/>
      <c r="G29" s="17">
        <f ca="1">OFFSET(理科!C8,0,$B$2)</f>
        <v>0</v>
      </c>
      <c r="H29" s="131"/>
      <c r="I29" s="132"/>
      <c r="O29" s="8">
        <v>24</v>
      </c>
      <c r="P29" s="59">
        <f t="shared" ca="1" si="0"/>
        <v>0</v>
      </c>
    </row>
    <row r="30" spans="1:16" ht="18.75" customHeight="1">
      <c r="A30" s="122"/>
      <c r="B30" s="119">
        <f>理科!B9</f>
        <v>0</v>
      </c>
      <c r="C30" s="113"/>
      <c r="D30" s="113"/>
      <c r="E30" s="113"/>
      <c r="F30" s="114"/>
      <c r="G30" s="18">
        <f ca="1">OFFSET(理科!C9,0,$B$2)</f>
        <v>0</v>
      </c>
      <c r="H30" s="131"/>
      <c r="I30" s="132"/>
      <c r="O30" s="8">
        <v>25</v>
      </c>
      <c r="P30" s="59">
        <f t="shared" ca="1" si="0"/>
        <v>0</v>
      </c>
    </row>
    <row r="31" spans="1:16" ht="18.75" customHeight="1">
      <c r="A31" s="120" t="s">
        <v>48</v>
      </c>
      <c r="B31" s="123" t="str">
        <f>社会!B2</f>
        <v>知識・技能（単元テスト・定期テスト）</v>
      </c>
      <c r="C31" s="124"/>
      <c r="D31" s="124"/>
      <c r="E31" s="124"/>
      <c r="F31" s="125"/>
      <c r="G31" s="21">
        <f ca="1">OFFSET(社会!C2,0,$B$2)</f>
        <v>0</v>
      </c>
      <c r="H31" s="129">
        <f ca="1">OFFSET(社会!C12,0,$B$2)</f>
        <v>0</v>
      </c>
      <c r="I31" s="130"/>
    </row>
    <row r="32" spans="1:16" ht="18.75" customHeight="1">
      <c r="A32" s="121"/>
      <c r="B32" s="119" t="str">
        <f>社会!B3</f>
        <v>思考力・表現力・判断力（単元テスト・定期テスト）</v>
      </c>
      <c r="C32" s="113"/>
      <c r="D32" s="113"/>
      <c r="E32" s="113"/>
      <c r="F32" s="114"/>
      <c r="G32" s="17">
        <f ca="1">OFFSET(社会!C3,0,$B$2)</f>
        <v>0</v>
      </c>
      <c r="H32" s="131"/>
      <c r="I32" s="132"/>
    </row>
    <row r="33" spans="1:9" ht="18.75" customHeight="1">
      <c r="A33" s="121"/>
      <c r="B33" s="119" t="str">
        <f>社会!B4</f>
        <v>主体的に学習に取り組む態度（提出物・授業態度）</v>
      </c>
      <c r="C33" s="113"/>
      <c r="D33" s="113"/>
      <c r="E33" s="113"/>
      <c r="F33" s="114"/>
      <c r="G33" s="17">
        <f ca="1">OFFSET(社会!C4,0,$B$2)</f>
        <v>0</v>
      </c>
      <c r="H33" s="131"/>
      <c r="I33" s="132"/>
    </row>
    <row r="34" spans="1:9" ht="18.75" customHeight="1">
      <c r="A34" s="121"/>
      <c r="B34" s="119">
        <f>社会!B5</f>
        <v>0</v>
      </c>
      <c r="C34" s="113"/>
      <c r="D34" s="113"/>
      <c r="E34" s="113"/>
      <c r="F34" s="114"/>
      <c r="G34" s="17">
        <f ca="1">OFFSET(社会!C5,0,$B$2)</f>
        <v>0</v>
      </c>
      <c r="H34" s="131"/>
      <c r="I34" s="132"/>
    </row>
    <row r="35" spans="1:9" ht="18.75" customHeight="1">
      <c r="A35" s="121"/>
      <c r="B35" s="119">
        <f>社会!B6</f>
        <v>0</v>
      </c>
      <c r="C35" s="113"/>
      <c r="D35" s="113"/>
      <c r="E35" s="113"/>
      <c r="F35" s="114"/>
      <c r="G35" s="17">
        <f ca="1">OFFSET(社会!C6,0,$B$2)</f>
        <v>0</v>
      </c>
      <c r="H35" s="131"/>
      <c r="I35" s="132"/>
    </row>
    <row r="36" spans="1:9" ht="18.75" customHeight="1">
      <c r="A36" s="121"/>
      <c r="B36" s="119">
        <f>社会!B7</f>
        <v>0</v>
      </c>
      <c r="C36" s="113"/>
      <c r="D36" s="113"/>
      <c r="E36" s="113"/>
      <c r="F36" s="114"/>
      <c r="G36" s="17">
        <f ca="1">OFFSET(社会!C7,0,$B$2)</f>
        <v>0</v>
      </c>
      <c r="H36" s="131"/>
      <c r="I36" s="132"/>
    </row>
    <row r="37" spans="1:9" ht="18.75" customHeight="1">
      <c r="A37" s="122"/>
      <c r="B37" s="119">
        <f>社会!B8</f>
        <v>0</v>
      </c>
      <c r="C37" s="113"/>
      <c r="D37" s="113"/>
      <c r="E37" s="113"/>
      <c r="F37" s="114"/>
      <c r="G37" s="18">
        <f ca="1">OFFSET(社会!C8,0,$B$2)</f>
        <v>0</v>
      </c>
      <c r="H37" s="131"/>
      <c r="I37" s="132"/>
    </row>
    <row r="38" spans="1:9" ht="18.75" customHeight="1">
      <c r="A38" s="120" t="s">
        <v>9</v>
      </c>
      <c r="B38" s="123" t="str">
        <f>英語!B2</f>
        <v>知識・技能（期末テストワークテスト）</v>
      </c>
      <c r="C38" s="124"/>
      <c r="D38" s="124"/>
      <c r="E38" s="124"/>
      <c r="F38" s="125"/>
      <c r="G38" s="21">
        <f ca="1">OFFSET(英語!C2,0,$B$2)</f>
        <v>0</v>
      </c>
      <c r="H38" s="129">
        <f ca="1">OFFSET(英語!C12,0,$B$2)</f>
        <v>0</v>
      </c>
      <c r="I38" s="130"/>
    </row>
    <row r="39" spans="1:9" ht="18.75" customHeight="1">
      <c r="A39" s="121"/>
      <c r="B39" s="119" t="str">
        <f>英語!B3</f>
        <v>思考力・判断力・表現力（オンライン授業・リスニング・英作文）</v>
      </c>
      <c r="C39" s="113"/>
      <c r="D39" s="113"/>
      <c r="E39" s="113"/>
      <c r="F39" s="114"/>
      <c r="G39" s="17">
        <f ca="1">OFFSET(英語!C3,0,$B$2)</f>
        <v>0</v>
      </c>
      <c r="H39" s="131"/>
      <c r="I39" s="132"/>
    </row>
    <row r="40" spans="1:9" ht="18.75" customHeight="1">
      <c r="A40" s="121"/>
      <c r="B40" s="119" t="str">
        <f>英語!B4</f>
        <v>主体的に取り組む態度（提出物・授業態度）</v>
      </c>
      <c r="C40" s="113"/>
      <c r="D40" s="113"/>
      <c r="E40" s="113"/>
      <c r="F40" s="114"/>
      <c r="G40" s="17">
        <f ca="1">OFFSET(英語!C4,0,$B$2)</f>
        <v>0</v>
      </c>
      <c r="H40" s="131"/>
      <c r="I40" s="132"/>
    </row>
    <row r="41" spans="1:9" ht="18.75" customHeight="1">
      <c r="A41" s="121"/>
      <c r="B41" s="119">
        <f>英語!B5</f>
        <v>0</v>
      </c>
      <c r="C41" s="113"/>
      <c r="D41" s="113"/>
      <c r="E41" s="113"/>
      <c r="F41" s="114"/>
      <c r="G41" s="17">
        <f ca="1">OFFSET(英語!C5,0,$B$2)</f>
        <v>0</v>
      </c>
      <c r="H41" s="131"/>
      <c r="I41" s="132"/>
    </row>
    <row r="42" spans="1:9" ht="18.75" customHeight="1">
      <c r="A42" s="121"/>
      <c r="B42" s="119">
        <f>英語!B6</f>
        <v>0</v>
      </c>
      <c r="C42" s="113"/>
      <c r="D42" s="113"/>
      <c r="E42" s="113"/>
      <c r="F42" s="114"/>
      <c r="G42" s="17">
        <f ca="1">OFFSET(英語!C6,0,$B$2)</f>
        <v>0</v>
      </c>
      <c r="H42" s="131"/>
      <c r="I42" s="132"/>
    </row>
    <row r="43" spans="1:9" ht="18.75" customHeight="1">
      <c r="A43" s="121"/>
      <c r="B43" s="119">
        <f>英語!B7</f>
        <v>0</v>
      </c>
      <c r="C43" s="113"/>
      <c r="D43" s="113"/>
      <c r="E43" s="113"/>
      <c r="F43" s="114"/>
      <c r="G43" s="17">
        <f ca="1">OFFSET(英語!C7,0,$B$2)</f>
        <v>0</v>
      </c>
      <c r="H43" s="131"/>
      <c r="I43" s="132"/>
    </row>
    <row r="44" spans="1:9" ht="18.75" customHeight="1">
      <c r="A44" s="122"/>
      <c r="B44" s="119">
        <f>英語!B8</f>
        <v>0</v>
      </c>
      <c r="C44" s="113"/>
      <c r="D44" s="113"/>
      <c r="E44" s="113"/>
      <c r="F44" s="114"/>
      <c r="G44" s="18">
        <f ca="1">OFFSET(英語!C8,0,$B$2)</f>
        <v>0</v>
      </c>
      <c r="H44" s="131"/>
      <c r="I44" s="132"/>
    </row>
    <row r="45" spans="1:9" ht="18.75" customHeight="1">
      <c r="A45" s="120" t="s">
        <v>3</v>
      </c>
      <c r="B45" s="123" t="str">
        <f>音楽!B2</f>
        <v>知識・技能(実技テスト　演奏聴取　ワークシート)</v>
      </c>
      <c r="C45" s="124"/>
      <c r="D45" s="124"/>
      <c r="E45" s="124"/>
      <c r="F45" s="125"/>
      <c r="G45" s="21">
        <f ca="1">OFFSET(音楽!C2,0,$B$2)</f>
        <v>0</v>
      </c>
      <c r="H45" s="129">
        <f ca="1">OFFSET(音楽!C12,0,$B$2)</f>
        <v>0</v>
      </c>
      <c r="I45" s="130"/>
    </row>
    <row r="46" spans="1:9" ht="18.75" customHeight="1">
      <c r="A46" s="121"/>
      <c r="B46" s="119" t="str">
        <f>音楽!B3</f>
        <v>思考力・判断力・表現力(実技テスト　演奏聴取　ワークシート)</v>
      </c>
      <c r="C46" s="113"/>
      <c r="D46" s="113"/>
      <c r="E46" s="113"/>
      <c r="F46" s="114"/>
      <c r="G46" s="17">
        <f ca="1">OFFSET(音楽!C3,0,$B$2)</f>
        <v>0</v>
      </c>
      <c r="H46" s="131"/>
      <c r="I46" s="132"/>
    </row>
    <row r="47" spans="1:9" ht="18.75" customHeight="1">
      <c r="A47" s="121"/>
      <c r="B47" s="119" t="str">
        <f>音楽!B4</f>
        <v>主体的に学習に取り組む態度</v>
      </c>
      <c r="C47" s="113"/>
      <c r="D47" s="113"/>
      <c r="E47" s="113"/>
      <c r="F47" s="114"/>
      <c r="G47" s="17">
        <f ca="1">OFFSET(音楽!C4,0,$B$2)</f>
        <v>0</v>
      </c>
      <c r="H47" s="131"/>
      <c r="I47" s="132"/>
    </row>
    <row r="48" spans="1:9" ht="18.75" customHeight="1">
      <c r="A48" s="121"/>
      <c r="B48" s="119">
        <f>音楽!B5</f>
        <v>0</v>
      </c>
      <c r="C48" s="113"/>
      <c r="D48" s="113"/>
      <c r="E48" s="113"/>
      <c r="F48" s="114"/>
      <c r="G48" s="17">
        <f ca="1">OFFSET(音楽!C5,0,$B$2)</f>
        <v>0</v>
      </c>
      <c r="H48" s="131"/>
      <c r="I48" s="132"/>
    </row>
    <row r="49" spans="1:9" ht="18.75" customHeight="1">
      <c r="A49" s="121"/>
      <c r="B49" s="119">
        <f>音楽!B6</f>
        <v>0</v>
      </c>
      <c r="C49" s="113"/>
      <c r="D49" s="113"/>
      <c r="E49" s="113"/>
      <c r="F49" s="114"/>
      <c r="G49" s="17">
        <f ca="1">OFFSET(音楽!C6,0,$B$2)</f>
        <v>0</v>
      </c>
      <c r="H49" s="131"/>
      <c r="I49" s="132"/>
    </row>
    <row r="50" spans="1:9" ht="18.75" customHeight="1">
      <c r="A50" s="121"/>
      <c r="B50" s="119">
        <f>音楽!B7</f>
        <v>0</v>
      </c>
      <c r="C50" s="113"/>
      <c r="D50" s="113"/>
      <c r="E50" s="113"/>
      <c r="F50" s="114"/>
      <c r="G50" s="17">
        <f ca="1">OFFSET(音楽!C7,0,$B$2)</f>
        <v>0</v>
      </c>
      <c r="H50" s="131"/>
      <c r="I50" s="132"/>
    </row>
    <row r="51" spans="1:9" ht="18.75" customHeight="1">
      <c r="A51" s="122"/>
      <c r="B51" s="119">
        <f>音楽!B8</f>
        <v>0</v>
      </c>
      <c r="C51" s="113"/>
      <c r="D51" s="113"/>
      <c r="E51" s="113"/>
      <c r="F51" s="114"/>
      <c r="G51" s="18">
        <f ca="1">OFFSET(音楽!C8,0,$B$2)</f>
        <v>0</v>
      </c>
      <c r="H51" s="131"/>
      <c r="I51" s="132"/>
    </row>
    <row r="52" spans="1:9" ht="18.75" customHeight="1">
      <c r="A52" s="6"/>
      <c r="B52" s="31"/>
      <c r="C52" s="10"/>
      <c r="D52" s="10"/>
      <c r="E52" s="10"/>
      <c r="F52" s="10"/>
      <c r="G52" s="6"/>
      <c r="H52" s="7"/>
      <c r="I52" s="7"/>
    </row>
    <row r="53" spans="1:9" ht="18.75" customHeight="1">
      <c r="A53" s="1"/>
      <c r="B53" s="32"/>
      <c r="C53" s="11"/>
      <c r="D53" s="11"/>
      <c r="E53" s="11"/>
      <c r="F53" s="11"/>
      <c r="G53" s="1"/>
      <c r="H53" s="3"/>
      <c r="I53" s="3"/>
    </row>
    <row r="54" spans="1:9" ht="18.75" customHeight="1">
      <c r="A54" s="120" t="s">
        <v>1</v>
      </c>
      <c r="B54" s="123" t="str">
        <f>図工!B2</f>
        <v>知識・技能（ワークシート・見取り）</v>
      </c>
      <c r="C54" s="124"/>
      <c r="D54" s="124"/>
      <c r="E54" s="124"/>
      <c r="F54" s="125"/>
      <c r="G54" s="21">
        <f ca="1">OFFSET(図工!C2,0,$B$2)</f>
        <v>0</v>
      </c>
      <c r="H54" s="129">
        <f ca="1">OFFSET(図工!C12,0,$B$2)</f>
        <v>0</v>
      </c>
      <c r="I54" s="130"/>
    </row>
    <row r="55" spans="1:9" ht="18.75" customHeight="1">
      <c r="A55" s="121"/>
      <c r="B55" s="119" t="str">
        <f>図工!B3</f>
        <v>思考・判断・表現（作品・クロッキー）</v>
      </c>
      <c r="C55" s="113"/>
      <c r="D55" s="113"/>
      <c r="E55" s="113"/>
      <c r="F55" s="114"/>
      <c r="G55" s="17">
        <f ca="1">OFFSET(図工!C3,0,$B$2)</f>
        <v>0</v>
      </c>
      <c r="H55" s="131"/>
      <c r="I55" s="132"/>
    </row>
    <row r="56" spans="1:9" ht="18.75" customHeight="1">
      <c r="A56" s="121"/>
      <c r="B56" s="119" t="str">
        <f>図工!B4</f>
        <v>主体的な態度（振り返りシート・授業態度・提出物・持ち物）</v>
      </c>
      <c r="C56" s="113"/>
      <c r="D56" s="113"/>
      <c r="E56" s="113"/>
      <c r="F56" s="114"/>
      <c r="G56" s="17">
        <f ca="1">OFFSET(図工!C4,0,$B$2)</f>
        <v>0</v>
      </c>
      <c r="H56" s="131"/>
      <c r="I56" s="132"/>
    </row>
    <row r="57" spans="1:9" ht="18.75" customHeight="1">
      <c r="A57" s="121"/>
      <c r="B57" s="119">
        <f>図工!B5</f>
        <v>0</v>
      </c>
      <c r="C57" s="113"/>
      <c r="D57" s="113"/>
      <c r="E57" s="113"/>
      <c r="F57" s="114"/>
      <c r="G57" s="17">
        <f ca="1">OFFSET(図工!C5,0,$B$2)</f>
        <v>0</v>
      </c>
      <c r="H57" s="131"/>
      <c r="I57" s="132"/>
    </row>
    <row r="58" spans="1:9" ht="18.75" customHeight="1">
      <c r="A58" s="121"/>
      <c r="B58" s="119">
        <f>図工!B6</f>
        <v>0</v>
      </c>
      <c r="C58" s="113"/>
      <c r="D58" s="113"/>
      <c r="E58" s="113"/>
      <c r="F58" s="114"/>
      <c r="G58" s="17">
        <f ca="1">OFFSET(図工!C6,0,$B$2)</f>
        <v>0</v>
      </c>
      <c r="H58" s="131"/>
      <c r="I58" s="132"/>
    </row>
    <row r="59" spans="1:9" ht="18.75" customHeight="1">
      <c r="A59" s="121"/>
      <c r="B59" s="119">
        <f>図工!B7</f>
        <v>0</v>
      </c>
      <c r="C59" s="113"/>
      <c r="D59" s="113"/>
      <c r="E59" s="113"/>
      <c r="F59" s="114"/>
      <c r="G59" s="17">
        <f ca="1">OFFSET(図工!C7,0,$B$2)</f>
        <v>0</v>
      </c>
      <c r="H59" s="131"/>
      <c r="I59" s="132"/>
    </row>
    <row r="60" spans="1:9" ht="18.75" customHeight="1">
      <c r="A60" s="122"/>
      <c r="B60" s="119">
        <f>図工!B8</f>
        <v>0</v>
      </c>
      <c r="C60" s="113"/>
      <c r="D60" s="113"/>
      <c r="E60" s="113"/>
      <c r="F60" s="114"/>
      <c r="G60" s="18">
        <f ca="1">OFFSET(図工!C8,0,$B$2)</f>
        <v>0</v>
      </c>
      <c r="H60" s="131"/>
      <c r="I60" s="132"/>
    </row>
    <row r="61" spans="1:9" ht="18.75" customHeight="1">
      <c r="A61" s="120" t="s">
        <v>2</v>
      </c>
      <c r="B61" s="123" t="str">
        <f>体育!B2</f>
        <v>知識・技能(実技テスト）</v>
      </c>
      <c r="C61" s="124"/>
      <c r="D61" s="124"/>
      <c r="E61" s="124"/>
      <c r="F61" s="125"/>
      <c r="G61" s="21">
        <f ca="1">OFFSET(体育!C2,0,$B$2)</f>
        <v>0</v>
      </c>
      <c r="H61" s="129">
        <f ca="1">OFFSET(体育!C12,0,$B$2)</f>
        <v>0</v>
      </c>
      <c r="I61" s="130"/>
    </row>
    <row r="62" spans="1:9" ht="18.75" customHeight="1">
      <c r="A62" s="121"/>
      <c r="B62" s="119" t="str">
        <f>体育!B3</f>
        <v>思考力・表現力・判断力（実技テスト、授業での練習）</v>
      </c>
      <c r="C62" s="113"/>
      <c r="D62" s="113"/>
      <c r="E62" s="113"/>
      <c r="F62" s="114"/>
      <c r="G62" s="17">
        <f ca="1">OFFSET(体育!C3,0,$B$2)</f>
        <v>0</v>
      </c>
      <c r="H62" s="131"/>
      <c r="I62" s="132"/>
    </row>
    <row r="63" spans="1:9" ht="18.75" customHeight="1">
      <c r="A63" s="121"/>
      <c r="B63" s="119" t="str">
        <f>体育!B4</f>
        <v>主体的に学習に取り組む態度（授業態度）</v>
      </c>
      <c r="C63" s="113"/>
      <c r="D63" s="113"/>
      <c r="E63" s="113"/>
      <c r="F63" s="114"/>
      <c r="G63" s="17">
        <f ca="1">OFFSET(体育!C4,0,$B$2)</f>
        <v>0</v>
      </c>
      <c r="H63" s="131"/>
      <c r="I63" s="132"/>
    </row>
    <row r="64" spans="1:9" ht="18.75" customHeight="1">
      <c r="A64" s="121"/>
      <c r="B64" s="119">
        <f>体育!B5</f>
        <v>0</v>
      </c>
      <c r="C64" s="113"/>
      <c r="D64" s="113"/>
      <c r="E64" s="113"/>
      <c r="F64" s="114"/>
      <c r="G64" s="17">
        <f ca="1">OFFSET(体育!C5,0,$B$2)</f>
        <v>0</v>
      </c>
      <c r="H64" s="131"/>
      <c r="I64" s="132"/>
    </row>
    <row r="65" spans="1:14" ht="18.75" customHeight="1">
      <c r="A65" s="121"/>
      <c r="B65" s="119">
        <f>体育!B6</f>
        <v>0</v>
      </c>
      <c r="C65" s="113"/>
      <c r="D65" s="113"/>
      <c r="E65" s="113"/>
      <c r="F65" s="114"/>
      <c r="G65" s="17">
        <f ca="1">OFFSET(体育!C6,0,$B$2)</f>
        <v>0</v>
      </c>
      <c r="H65" s="131"/>
      <c r="I65" s="132"/>
    </row>
    <row r="66" spans="1:14" ht="18.75" customHeight="1">
      <c r="A66" s="121"/>
      <c r="B66" s="119">
        <f>体育!B7</f>
        <v>0</v>
      </c>
      <c r="C66" s="113"/>
      <c r="D66" s="113"/>
      <c r="E66" s="113"/>
      <c r="F66" s="114"/>
      <c r="G66" s="17">
        <f ca="1">OFFSET(体育!C7,0,$B$2)</f>
        <v>0</v>
      </c>
      <c r="H66" s="131"/>
      <c r="I66" s="132"/>
    </row>
    <row r="67" spans="1:14" ht="18.75" customHeight="1">
      <c r="A67" s="122"/>
      <c r="B67" s="126">
        <f>体育!B8</f>
        <v>0</v>
      </c>
      <c r="C67" s="127"/>
      <c r="D67" s="127"/>
      <c r="E67" s="127"/>
      <c r="F67" s="128"/>
      <c r="G67" s="18">
        <f ca="1">OFFSET(体育!C8,0,$B$2)</f>
        <v>0</v>
      </c>
      <c r="H67" s="133"/>
      <c r="I67" s="134"/>
    </row>
    <row r="68" spans="1:14" ht="18.75" customHeight="1">
      <c r="A68" s="120" t="s">
        <v>50</v>
      </c>
      <c r="B68" s="123" t="str">
        <f>家庭!B2</f>
        <v>知識・技能（まとめテスト・裁縫実習）</v>
      </c>
      <c r="C68" s="124"/>
      <c r="D68" s="124"/>
      <c r="E68" s="124"/>
      <c r="F68" s="125"/>
      <c r="G68" s="21">
        <f ca="1">OFFSET(家庭!C2,0,$B$2)</f>
        <v>0</v>
      </c>
      <c r="H68" s="129">
        <f ca="1">OFFSET(家庭!C12,0,$B$2)</f>
        <v>0</v>
      </c>
      <c r="I68" s="130"/>
    </row>
    <row r="69" spans="1:14" ht="18.75" customHeight="1">
      <c r="A69" s="121"/>
      <c r="B69" s="119" t="str">
        <f>家庭!B3</f>
        <v>思考力・表現力・判断力（調理実習・レポート・ノート）</v>
      </c>
      <c r="C69" s="113"/>
      <c r="D69" s="113"/>
      <c r="E69" s="113"/>
      <c r="F69" s="114"/>
      <c r="G69" s="17">
        <f ca="1">OFFSET(家庭!C3,0,$B$2)</f>
        <v>0</v>
      </c>
      <c r="H69" s="131"/>
      <c r="I69" s="132"/>
    </row>
    <row r="70" spans="1:14" ht="18.75" customHeight="1">
      <c r="A70" s="121"/>
      <c r="B70" s="119" t="str">
        <f>家庭!B4</f>
        <v>主体的に学習に取り組む態度</v>
      </c>
      <c r="C70" s="113"/>
      <c r="D70" s="113"/>
      <c r="E70" s="113"/>
      <c r="F70" s="114"/>
      <c r="G70" s="17">
        <f ca="1">OFFSET(家庭!C4,0,$B$2)</f>
        <v>0</v>
      </c>
      <c r="H70" s="131"/>
      <c r="I70" s="132"/>
    </row>
    <row r="71" spans="1:14" ht="18.75" customHeight="1">
      <c r="A71" s="121"/>
      <c r="B71" s="119">
        <f>家庭!B5</f>
        <v>0</v>
      </c>
      <c r="C71" s="113"/>
      <c r="D71" s="113"/>
      <c r="E71" s="113"/>
      <c r="F71" s="114"/>
      <c r="G71" s="17">
        <f ca="1">OFFSET(家庭!C5,0,$B$2)</f>
        <v>0</v>
      </c>
      <c r="H71" s="131"/>
      <c r="I71" s="132"/>
    </row>
    <row r="72" spans="1:14" ht="18.75" customHeight="1">
      <c r="A72" s="121"/>
      <c r="B72" s="119">
        <f>家庭!B6</f>
        <v>0</v>
      </c>
      <c r="C72" s="113"/>
      <c r="D72" s="113"/>
      <c r="E72" s="113"/>
      <c r="F72" s="114"/>
      <c r="G72" s="17">
        <f ca="1">OFFSET(家庭!C6,0,$B$2)</f>
        <v>0</v>
      </c>
      <c r="H72" s="131"/>
      <c r="I72" s="132"/>
    </row>
    <row r="73" spans="1:14" ht="18.75" customHeight="1">
      <c r="A73" s="121"/>
      <c r="B73" s="119">
        <f>家庭!B7</f>
        <v>0</v>
      </c>
      <c r="C73" s="113"/>
      <c r="D73" s="113"/>
      <c r="E73" s="113"/>
      <c r="F73" s="114"/>
      <c r="G73" s="17">
        <f ca="1">OFFSET(家庭!C7,0,$B$2)</f>
        <v>0</v>
      </c>
      <c r="H73" s="131"/>
      <c r="I73" s="132"/>
    </row>
    <row r="74" spans="1:14" ht="18.75" customHeight="1">
      <c r="A74" s="122"/>
      <c r="B74" s="126">
        <f>家庭!B8</f>
        <v>0</v>
      </c>
      <c r="C74" s="127"/>
      <c r="D74" s="127"/>
      <c r="E74" s="127"/>
      <c r="F74" s="128"/>
      <c r="G74" s="18">
        <f ca="1">OFFSET(家庭!C8,0,$B$2)</f>
        <v>0</v>
      </c>
      <c r="H74" s="133"/>
      <c r="I74" s="134"/>
    </row>
    <row r="75" spans="1:14" ht="75" customHeight="1">
      <c r="A75" s="23" t="s">
        <v>24</v>
      </c>
      <c r="B75" s="145">
        <f ca="1">INDIRECT("'道徳'!B"&amp;2+$B$2)</f>
        <v>0</v>
      </c>
      <c r="C75" s="145"/>
      <c r="D75" s="145"/>
      <c r="E75" s="145"/>
      <c r="F75" s="145"/>
      <c r="G75" s="145"/>
      <c r="H75" s="145"/>
      <c r="I75" s="146"/>
    </row>
    <row r="76" spans="1:14" ht="11.25" customHeight="1">
      <c r="D76" s="14"/>
      <c r="E76" s="12"/>
      <c r="N76" s="12"/>
    </row>
    <row r="77" spans="1:14" ht="18.75" customHeight="1">
      <c r="A77" s="109" t="s">
        <v>22</v>
      </c>
      <c r="B77" s="110"/>
      <c r="C77" s="110"/>
      <c r="D77" s="111"/>
      <c r="F77" s="109" t="s">
        <v>10</v>
      </c>
      <c r="G77" s="110"/>
      <c r="H77" s="110"/>
      <c r="I77" s="111"/>
      <c r="L77" s="14"/>
      <c r="M77" s="12"/>
      <c r="N77" s="30"/>
    </row>
    <row r="78" spans="1:14" ht="19.5" customHeight="1">
      <c r="A78" s="147" t="str">
        <f>所見!B2</f>
        <v>基本的な生活習慣（一日の過ごし方、時間管理、など）</v>
      </c>
      <c r="B78" s="148"/>
      <c r="C78" s="149"/>
      <c r="D78" s="27">
        <f ca="1">OFFSET(所見!C2,0,$B$2)</f>
        <v>0</v>
      </c>
      <c r="F78" s="117" t="s">
        <v>12</v>
      </c>
      <c r="G78" s="118"/>
      <c r="H78" s="118"/>
      <c r="I78" s="22">
        <f ca="1">OFFSET(出欠!C2,0,$B$2)</f>
        <v>0</v>
      </c>
      <c r="L78" s="14"/>
      <c r="M78" s="30"/>
      <c r="N78" s="30"/>
    </row>
    <row r="79" spans="1:14" ht="19.5" customHeight="1">
      <c r="A79" s="103" t="str">
        <f>所見!B3</f>
        <v>健康・体力の向上（欠席、遅刻、早退など）</v>
      </c>
      <c r="B79" s="104"/>
      <c r="C79" s="105"/>
      <c r="D79" s="13">
        <f ca="1">OFFSET(所見!C3,0,$B$2)</f>
        <v>0</v>
      </c>
      <c r="F79" s="115" t="s">
        <v>13</v>
      </c>
      <c r="G79" s="116"/>
      <c r="H79" s="116"/>
      <c r="I79" s="13">
        <f ca="1">OFFSET(出欠!C3,0,$B$2)</f>
        <v>0</v>
      </c>
      <c r="L79" s="30"/>
      <c r="M79" s="30"/>
      <c r="N79" s="30"/>
    </row>
    <row r="80" spans="1:14" ht="19.5" customHeight="1">
      <c r="A80" s="103" t="str">
        <f>所見!B4</f>
        <v>自主・自律（整理整頓、身なり、宿題、提出物など）</v>
      </c>
      <c r="B80" s="104"/>
      <c r="C80" s="105"/>
      <c r="D80" s="13">
        <f ca="1">OFFSET(所見!C4,0,$B$2)</f>
        <v>0</v>
      </c>
      <c r="F80" s="112" t="s">
        <v>20</v>
      </c>
      <c r="G80" s="113"/>
      <c r="H80" s="114"/>
      <c r="I80" s="13">
        <f ca="1">OFFSET(出欠!C4,0,$B$2)</f>
        <v>0</v>
      </c>
      <c r="L80" s="30"/>
      <c r="M80" s="30"/>
      <c r="N80" s="30"/>
    </row>
    <row r="81" spans="1:14" ht="19.5" customHeight="1">
      <c r="A81" s="103" t="str">
        <f>所見!B5</f>
        <v>責任感（係、委員会、役割など）</v>
      </c>
      <c r="B81" s="104"/>
      <c r="C81" s="105"/>
      <c r="D81" s="13">
        <f ca="1">OFFSET(所見!C5,0,$B$2)</f>
        <v>0</v>
      </c>
      <c r="F81" s="115" t="s">
        <v>14</v>
      </c>
      <c r="G81" s="116"/>
      <c r="H81" s="116"/>
      <c r="I81" s="13">
        <f ca="1">OFFSET(出欠!C5,0,$B$2)</f>
        <v>0</v>
      </c>
      <c r="L81" s="30"/>
      <c r="M81" s="30"/>
      <c r="N81" s="30"/>
    </row>
    <row r="82" spans="1:14" ht="19.5" customHeight="1">
      <c r="A82" s="103" t="str">
        <f>所見!B6</f>
        <v>創意工夫（日常生活、授業発言など）</v>
      </c>
      <c r="B82" s="104"/>
      <c r="C82" s="105"/>
      <c r="D82" s="13">
        <f ca="1">OFFSET(所見!C6,0,$B$2)</f>
        <v>0</v>
      </c>
      <c r="F82" s="115" t="s">
        <v>21</v>
      </c>
      <c r="G82" s="116"/>
      <c r="H82" s="116"/>
      <c r="I82" s="13">
        <f ca="1">OFFSET(出欠!C6,0,$B$2)</f>
        <v>0</v>
      </c>
      <c r="L82" s="30"/>
      <c r="M82" s="30"/>
      <c r="N82" s="30"/>
    </row>
    <row r="83" spans="1:14" ht="19.5" customHeight="1">
      <c r="A83" s="103" t="str">
        <f>所見!B7</f>
        <v>思いやり・協力（友人関係、共同作業など）</v>
      </c>
      <c r="B83" s="104"/>
      <c r="C83" s="105"/>
      <c r="D83" s="13">
        <f ca="1">OFFSET(所見!C7,0,$B$2)</f>
        <v>0</v>
      </c>
      <c r="F83" s="115" t="s">
        <v>15</v>
      </c>
      <c r="G83" s="116"/>
      <c r="H83" s="116"/>
      <c r="I83" s="13">
        <f ca="1">OFFSET(出欠!C7,0,$B$2)</f>
        <v>0</v>
      </c>
      <c r="L83" s="30"/>
      <c r="M83" s="30"/>
      <c r="N83" s="30"/>
    </row>
    <row r="84" spans="1:14" ht="19.5" customHeight="1">
      <c r="A84" s="103" t="str">
        <f>所見!B8</f>
        <v>生命尊重・自然愛護（自然、動植物に対する接し方など）</v>
      </c>
      <c r="B84" s="104"/>
      <c r="C84" s="105"/>
      <c r="D84" s="13">
        <f ca="1">OFFSET(所見!C8,0,$B$2)</f>
        <v>0</v>
      </c>
      <c r="F84" s="115" t="s">
        <v>16</v>
      </c>
      <c r="G84" s="116"/>
      <c r="H84" s="116"/>
      <c r="I84" s="13">
        <f ca="1">OFFSET(出欠!C8,0,$B$2)</f>
        <v>0</v>
      </c>
      <c r="L84" s="30"/>
      <c r="M84" s="30"/>
      <c r="N84" s="30"/>
    </row>
    <row r="85" spans="1:14" ht="19.5" customHeight="1">
      <c r="A85" s="103" t="str">
        <f>所見!B9</f>
        <v>勤労・奉仕（清掃、給食など）</v>
      </c>
      <c r="B85" s="104"/>
      <c r="C85" s="105"/>
      <c r="D85" s="15">
        <f ca="1">OFFSET(所見!C9,0,$B$2)</f>
        <v>0</v>
      </c>
      <c r="F85" s="94" t="str">
        <f ca="1">"備考： "&amp;INDIRECT("'出欠'!B"&amp;9+$B$2)</f>
        <v xml:space="preserve">備考： </v>
      </c>
      <c r="G85" s="95"/>
      <c r="H85" s="95"/>
      <c r="I85" s="96"/>
      <c r="L85" s="79">
        <f>番号</f>
        <v>19</v>
      </c>
      <c r="M85" s="30"/>
      <c r="N85" s="30"/>
    </row>
    <row r="86" spans="1:14" ht="19.5" customHeight="1">
      <c r="A86" s="103" t="str">
        <f>所見!B10</f>
        <v>公正・公平（友人関係、学級での話し合いなど）</v>
      </c>
      <c r="B86" s="104"/>
      <c r="C86" s="105"/>
      <c r="D86" s="15">
        <f ca="1">OFFSET(所見!C10,0,$B$2)</f>
        <v>0</v>
      </c>
      <c r="F86" s="97"/>
      <c r="G86" s="98"/>
      <c r="H86" s="98"/>
      <c r="I86" s="99"/>
      <c r="L86" s="30"/>
      <c r="M86" s="30"/>
      <c r="N86" s="30"/>
    </row>
    <row r="87" spans="1:14" ht="19.5" customHeight="1">
      <c r="A87" s="106" t="str">
        <f>所見!B11</f>
        <v>公共心・公徳心（規律、挨拶、返事など）</v>
      </c>
      <c r="B87" s="107"/>
      <c r="C87" s="108"/>
      <c r="D87" s="16">
        <f ca="1">OFFSET(所見!C11,0,$B$2)</f>
        <v>0</v>
      </c>
      <c r="F87" s="100"/>
      <c r="G87" s="101"/>
      <c r="H87" s="101"/>
      <c r="I87" s="102"/>
      <c r="L87" s="30"/>
      <c r="M87" s="30"/>
      <c r="N87" s="25"/>
    </row>
    <row r="88" spans="1:14" ht="12" customHeight="1">
      <c r="A88" s="26"/>
      <c r="B88" s="28"/>
      <c r="C88" s="28"/>
      <c r="D88" s="29"/>
      <c r="F88" s="24"/>
      <c r="G88" s="24"/>
      <c r="H88" s="24"/>
      <c r="I88" s="24"/>
      <c r="L88" s="25"/>
      <c r="M88" s="25"/>
      <c r="N88" s="25"/>
    </row>
    <row r="89" spans="1:14" ht="39" customHeight="1">
      <c r="A89" s="90" t="s">
        <v>23</v>
      </c>
      <c r="B89" s="91"/>
      <c r="C89" s="92">
        <f ca="1">INDIRECT("'所見'!B"&amp;12+$B$2)</f>
        <v>0</v>
      </c>
      <c r="D89" s="92"/>
      <c r="E89" s="92"/>
      <c r="F89" s="92"/>
      <c r="G89" s="92"/>
      <c r="H89" s="92"/>
      <c r="I89" s="93"/>
      <c r="L89" s="25"/>
      <c r="M89" s="25"/>
    </row>
    <row r="90" spans="1:14" ht="11.25" customHeight="1">
      <c r="C90" s="14"/>
    </row>
    <row r="91" spans="1:14" ht="186.75" customHeight="1">
      <c r="A91" s="23" t="s">
        <v>11</v>
      </c>
      <c r="B91" s="140">
        <f ca="1">INDIRECT("'所見'!B"&amp;$Q$5+$B$2)</f>
        <v>0</v>
      </c>
      <c r="C91" s="141"/>
      <c r="D91" s="141"/>
      <c r="E91" s="141"/>
      <c r="F91" s="141"/>
      <c r="G91" s="141"/>
      <c r="H91" s="141"/>
      <c r="I91" s="142"/>
    </row>
  </sheetData>
  <mergeCells count="116">
    <mergeCell ref="K7:L7"/>
    <mergeCell ref="B91:I91"/>
    <mergeCell ref="A4:I4"/>
    <mergeCell ref="B6:F6"/>
    <mergeCell ref="B7:F7"/>
    <mergeCell ref="B8:F8"/>
    <mergeCell ref="H5:I5"/>
    <mergeCell ref="F82:H82"/>
    <mergeCell ref="H54:I60"/>
    <mergeCell ref="H45:I51"/>
    <mergeCell ref="B27:F27"/>
    <mergeCell ref="B30:F30"/>
    <mergeCell ref="B44:F44"/>
    <mergeCell ref="B49:F49"/>
    <mergeCell ref="B50:F50"/>
    <mergeCell ref="B51:F51"/>
    <mergeCell ref="B5:F5"/>
    <mergeCell ref="B75:I75"/>
    <mergeCell ref="A15:A22"/>
    <mergeCell ref="H61:I67"/>
    <mergeCell ref="A78:C78"/>
    <mergeCell ref="A79:C79"/>
    <mergeCell ref="A80:C80"/>
    <mergeCell ref="B65:F65"/>
    <mergeCell ref="A1:B1"/>
    <mergeCell ref="C1:G1"/>
    <mergeCell ref="G2:I2"/>
    <mergeCell ref="H6:I14"/>
    <mergeCell ref="A6:A14"/>
    <mergeCell ref="B42:F42"/>
    <mergeCell ref="B43:F43"/>
    <mergeCell ref="H38:I44"/>
    <mergeCell ref="H15:I22"/>
    <mergeCell ref="H23:I30"/>
    <mergeCell ref="B14:F14"/>
    <mergeCell ref="B22:F22"/>
    <mergeCell ref="A23:A30"/>
    <mergeCell ref="B23:F23"/>
    <mergeCell ref="B24:F24"/>
    <mergeCell ref="B25:F25"/>
    <mergeCell ref="B26:F26"/>
    <mergeCell ref="A38:A44"/>
    <mergeCell ref="B38:F38"/>
    <mergeCell ref="B39:F39"/>
    <mergeCell ref="B40:F40"/>
    <mergeCell ref="B41:F41"/>
    <mergeCell ref="A31:A37"/>
    <mergeCell ref="B9:F9"/>
    <mergeCell ref="B66:F66"/>
    <mergeCell ref="A68:A74"/>
    <mergeCell ref="B68:F68"/>
    <mergeCell ref="H68:I74"/>
    <mergeCell ref="B69:F69"/>
    <mergeCell ref="B70:F70"/>
    <mergeCell ref="B71:F71"/>
    <mergeCell ref="B72:F72"/>
    <mergeCell ref="B73:F73"/>
    <mergeCell ref="B10:F10"/>
    <mergeCell ref="B11:F11"/>
    <mergeCell ref="B12:F12"/>
    <mergeCell ref="B57:F57"/>
    <mergeCell ref="B15:F15"/>
    <mergeCell ref="B16:F16"/>
    <mergeCell ref="B17:F17"/>
    <mergeCell ref="B18:F18"/>
    <mergeCell ref="B19:F19"/>
    <mergeCell ref="B21:F21"/>
    <mergeCell ref="B28:F28"/>
    <mergeCell ref="B29:F29"/>
    <mergeCell ref="B31:F31"/>
    <mergeCell ref="B47:F47"/>
    <mergeCell ref="B48:F48"/>
    <mergeCell ref="B13:F13"/>
    <mergeCell ref="B20:F20"/>
    <mergeCell ref="B60:F60"/>
    <mergeCell ref="A54:A60"/>
    <mergeCell ref="B54:F54"/>
    <mergeCell ref="B55:F55"/>
    <mergeCell ref="B56:F56"/>
    <mergeCell ref="B59:F59"/>
    <mergeCell ref="B58:F58"/>
    <mergeCell ref="B74:F74"/>
    <mergeCell ref="H31:I37"/>
    <mergeCell ref="B32:F32"/>
    <mergeCell ref="B33:F33"/>
    <mergeCell ref="B34:F34"/>
    <mergeCell ref="B35:F35"/>
    <mergeCell ref="B36:F36"/>
    <mergeCell ref="B37:F37"/>
    <mergeCell ref="A45:A51"/>
    <mergeCell ref="B45:F45"/>
    <mergeCell ref="B46:F46"/>
    <mergeCell ref="B67:F67"/>
    <mergeCell ref="B61:F61"/>
    <mergeCell ref="B62:F62"/>
    <mergeCell ref="B63:F63"/>
    <mergeCell ref="A61:A67"/>
    <mergeCell ref="B64:F64"/>
    <mergeCell ref="A89:B89"/>
    <mergeCell ref="C89:I89"/>
    <mergeCell ref="F85:I87"/>
    <mergeCell ref="A85:C85"/>
    <mergeCell ref="A86:C86"/>
    <mergeCell ref="A87:C87"/>
    <mergeCell ref="A77:D77"/>
    <mergeCell ref="F80:H80"/>
    <mergeCell ref="F79:H79"/>
    <mergeCell ref="F83:H83"/>
    <mergeCell ref="F84:H84"/>
    <mergeCell ref="F77:I77"/>
    <mergeCell ref="F81:H81"/>
    <mergeCell ref="A81:C81"/>
    <mergeCell ref="A82:C82"/>
    <mergeCell ref="A83:C83"/>
    <mergeCell ref="A84:C84"/>
    <mergeCell ref="F78:H78"/>
  </mergeCells>
  <phoneticPr fontId="1"/>
  <conditionalFormatting sqref="F85 B91 D78:D88 A78:A88 C89 C52:F53 L87:M89 N77:N88 B6:B12 G6:G12 B54:B58 G60:G67 B60:B67 B75 G14:G19 B14:B19 B21:B27 G21:G27 B30:B51 G30:G58">
    <cfRule type="cellIs" dxfId="34" priority="10" stopIfTrue="1" operator="equal">
      <formula>0</formula>
    </cfRule>
  </conditionalFormatting>
  <conditionalFormatting sqref="G28:G29 B28:B29">
    <cfRule type="cellIs" dxfId="33" priority="9" stopIfTrue="1" operator="equal">
      <formula>0</formula>
    </cfRule>
  </conditionalFormatting>
  <conditionalFormatting sqref="B59 G59">
    <cfRule type="cellIs" dxfId="32" priority="6" stopIfTrue="1" operator="equal">
      <formula>0</formula>
    </cfRule>
  </conditionalFormatting>
  <conditionalFormatting sqref="G68:G74 B68:B74">
    <cfRule type="cellIs" dxfId="31" priority="5" stopIfTrue="1" operator="equal">
      <formula>0</formula>
    </cfRule>
  </conditionalFormatting>
  <conditionalFormatting sqref="B13 G13">
    <cfRule type="cellIs" dxfId="30" priority="4" stopIfTrue="1" operator="equal">
      <formula>0</formula>
    </cfRule>
  </conditionalFormatting>
  <conditionalFormatting sqref="B20 G20">
    <cfRule type="cellIs" dxfId="29" priority="3" stopIfTrue="1" operator="equal">
      <formula>0</formula>
    </cfRule>
  </conditionalFormatting>
  <conditionalFormatting sqref="L79:M86 M78">
    <cfRule type="cellIs" dxfId="28" priority="2" stopIfTrue="1" operator="equal">
      <formula>0</formula>
    </cfRule>
  </conditionalFormatting>
  <conditionalFormatting sqref="L17:M20">
    <cfRule type="cellIs" dxfId="27"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rowBreaks count="1" manualBreakCount="1">
    <brk id="52"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zoomScaleNormal="70" zoomScaleSheetLayoutView="100" workbookViewId="0">
      <selection activeCell="C17" sqref="C17"/>
    </sheetView>
  </sheetViews>
  <sheetFormatPr defaultRowHeight="13.5"/>
  <cols>
    <col min="1" max="2" width="4.25" style="8" customWidth="1"/>
    <col min="3" max="3" width="95" style="8" customWidth="1"/>
    <col min="4" max="16384" width="9" style="8"/>
  </cols>
  <sheetData>
    <row r="1" spans="1:3" ht="18.75" customHeight="1">
      <c r="A1" s="150" t="str">
        <f ca="1">通知票!A1</f>
        <v>６－１</v>
      </c>
      <c r="B1" s="135"/>
      <c r="C1" s="60" t="str">
        <f ca="1">通知票!C1</f>
        <v>1学期</v>
      </c>
    </row>
    <row r="2" spans="1:3" ht="18.75" customHeight="1">
      <c r="A2" s="61" t="s">
        <v>43</v>
      </c>
      <c r="B2" s="60">
        <v>18</v>
      </c>
      <c r="C2" s="72" t="str">
        <f ca="1">INDIRECT("'所見'!A"&amp;12+$B$2)</f>
        <v>吉河 治輝</v>
      </c>
    </row>
    <row r="3" spans="1:3" ht="12" customHeight="1">
      <c r="C3" s="9"/>
    </row>
    <row r="4" spans="1:3" ht="18.75" customHeight="1">
      <c r="A4" s="62" t="s">
        <v>4</v>
      </c>
      <c r="B4" s="63" t="s">
        <v>6</v>
      </c>
      <c r="C4" s="22" t="s">
        <v>44</v>
      </c>
    </row>
    <row r="5" spans="1:3" ht="67.5" customHeight="1">
      <c r="A5" s="64" t="s">
        <v>8</v>
      </c>
      <c r="B5" s="65">
        <f ca="1">OFFSET(国語!C12,0,$B$2)</f>
        <v>5</v>
      </c>
      <c r="C5" s="66">
        <f ca="1">INDIRECT("'国語'!B"&amp;14+$B$2)</f>
        <v>0</v>
      </c>
    </row>
    <row r="6" spans="1:3" ht="67.5" customHeight="1">
      <c r="A6" s="67" t="s">
        <v>0</v>
      </c>
      <c r="B6" s="68">
        <f ca="1">OFFSET(算数!C12,0,$B$2)</f>
        <v>4</v>
      </c>
      <c r="C6" s="69" t="str">
        <f ca="1">INDIRECT("'算数'!B"&amp;14+$B$2)</f>
        <v>宿題提出率１００％、授業用ノート評価A、発言ポイント１７（No.2）。深く努力ができてる単元と、理解が薄い単元とありますね。復習を早めにし、２学期は集中を増やしていこう！</v>
      </c>
    </row>
    <row r="7" spans="1:3" ht="67.5" customHeight="1">
      <c r="A7" s="64" t="s">
        <v>47</v>
      </c>
      <c r="B7" s="65">
        <f ca="1">OFFSET(理科!C12,0,$B$2)</f>
        <v>4</v>
      </c>
      <c r="C7" s="66" t="str">
        <f ca="1">INDIRECT("'理科'!B"&amp;14+$B$2)</f>
        <v>知識はあるが落ち着きがない</v>
      </c>
    </row>
    <row r="8" spans="1:3" ht="67.5" customHeight="1">
      <c r="A8" s="64" t="s">
        <v>48</v>
      </c>
      <c r="B8" s="65">
        <f ca="1">OFFSET(社会!C12,0,$B$2)</f>
        <v>5</v>
      </c>
      <c r="C8" s="66">
        <f ca="1">INDIRECT("'社会'!B"&amp;14+$B$2)</f>
        <v>0</v>
      </c>
    </row>
    <row r="9" spans="1:3" ht="67.5" customHeight="1">
      <c r="A9" s="67" t="s">
        <v>9</v>
      </c>
      <c r="B9" s="68" t="str">
        <f ca="1">OFFSET(英語!C12,0,$B$2)</f>
        <v>5</v>
      </c>
      <c r="C9" s="69">
        <f ca="1">INDIRECT("'英語'!B"&amp;14+$B$2)</f>
        <v>0</v>
      </c>
    </row>
    <row r="10" spans="1:3" ht="67.5" customHeight="1">
      <c r="A10" s="64" t="s">
        <v>3</v>
      </c>
      <c r="B10" s="65">
        <f ca="1">OFFSET(音楽!C12,0,$B$2)</f>
        <v>5</v>
      </c>
      <c r="C10" s="66">
        <f ca="1">INDIRECT("'音楽'!B"&amp;14+$B$2)</f>
        <v>0</v>
      </c>
    </row>
    <row r="11" spans="1:3" ht="67.5" customHeight="1">
      <c r="A11" s="67" t="s">
        <v>1</v>
      </c>
      <c r="B11" s="68">
        <f ca="1">OFFSET(図工!C12,0,$B$2)</f>
        <v>3</v>
      </c>
      <c r="C11" s="69">
        <f ca="1">INDIRECT("'図工'!B"&amp;14+$B$2)</f>
        <v>0</v>
      </c>
    </row>
    <row r="12" spans="1:3" ht="67.5" customHeight="1">
      <c r="A12" s="64" t="s">
        <v>50</v>
      </c>
      <c r="B12" s="65">
        <f ca="1">OFFSET(家庭!C12,0,$B$2)</f>
        <v>4</v>
      </c>
      <c r="C12" s="66" t="str">
        <f ca="1">INDIRECT("'家庭'!B"&amp;14+$B$2)</f>
        <v>【まとめテスト９０点A、GWレポートA、裁縫A、調理実習レポートB、ノートB】
調理室も被服室も、いつでも快斗くんと率先して片づけをしてくれ、ありがたかった。今学期の学習内容はよく理解できているが、レポートなどで感想を書くとき、こちらが書いてほしい内容をなかなか書けない。こちらが「このことについて具体的に。」「固さや味はどうだった。」などと伝えても、的外れなことを書いていることが多かった。</v>
      </c>
    </row>
    <row r="13" spans="1:3" ht="67.5" customHeight="1">
      <c r="A13" s="64" t="s">
        <v>2</v>
      </c>
      <c r="B13" s="65">
        <f ca="1">OFFSET(体育!C12,0,$B$2)</f>
        <v>3</v>
      </c>
      <c r="C13" s="66">
        <f ca="1">INDIRECT("'体育'!B"&amp;14+$B$2)</f>
        <v>0</v>
      </c>
    </row>
    <row r="14" spans="1:3" ht="67.5" customHeight="1">
      <c r="A14" s="64" t="s">
        <v>24</v>
      </c>
      <c r="B14" s="151" t="str">
        <f ca="1">INDIRECT("'道徳'!B"&amp;2+$B$2)</f>
        <v>サッカー日本代表、駒野友一選手の2027年サッカー南アフリカワールドカップ時でのPK失敗における、その後の出来事と、アメリカの作家スティーブン・R・コビー博士の残した言葉から考える単元、『信頼残高』では、「信頼残高の有効性を考える機会になった。」という感想を抱き、「陰でも表でも努力をして、表面の信頼だけでもなく、裏でも努力をして、自分の信頼残高を増やしていきたい。また、頼まれたり自主的にやっていることにも、責任をもって、行動をおこしていきたい。」と考えられるようになりました。</v>
      </c>
      <c r="C14" s="152"/>
    </row>
    <row r="15" spans="1:3" ht="15" customHeight="1">
      <c r="C15" s="70"/>
    </row>
    <row r="16" spans="1:3" ht="188.25" customHeight="1">
      <c r="A16" s="23" t="s">
        <v>11</v>
      </c>
      <c r="B16" s="71"/>
      <c r="C16" s="66" t="str">
        <f ca="1">INDIRECT("'所見'!B"&amp;通知票!$Q$5+$B$2)</f>
        <v>治輝君の六学年当初の目標は「凡事徹底　下級生の見本となれる人になる。」。そのための第一歩として、「凡事徹底」を一学期の目標として立てました。五年生の頃と比べると、生活面では大きく成長し、落ち着いて生活することの出来る時間が増えてきたように感じられます。体育祭では赤組のメンバーの一員として、「力戦奮闘」を胸に競技に挑みました。また、赤組応援団の一員としても、持ち前の大きな声を武器に、全力で応援に取り組むことが出来ました。研修旅行では美化係の一員として活動しました。感心したのは、同じ美化係のクラスメイトと共に、バスの美化などに最大限、尽力した姿がです。本当に素晴らしかったです。旅行を経て、先に述べた美化係の活動経験を踏まえてか、訪れた先々の環境のすばらしさを感じ、この大切さが実感できた旅となった、と振り返っていました。治輝君のこれからの課題としては「セルフコントロール」。気分が高揚している時に、自身を抑えることができなくなってしまい、何かしらの問題が起きてしまうという経験を一学期に幾度となくしたことは、記憶に新しいと思います。良い所がたくさんある治輝君ですので、この面をフォーカスされて、良い所がかき消されてしまうのは非常にもったいないです。だからこそ、この面を今一度見直して、二学期に臨みましょう。【生活記録等、学級での提出率は100％でした】</v>
      </c>
    </row>
  </sheetData>
  <mergeCells count="2">
    <mergeCell ref="A1:B1"/>
    <mergeCell ref="B14:C14"/>
  </mergeCells>
  <phoneticPr fontId="1"/>
  <conditionalFormatting sqref="C16 C5:C7 C9:C11 C13">
    <cfRule type="cellIs" dxfId="26" priority="3" stopIfTrue="1" operator="equal">
      <formula>0</formula>
    </cfRule>
  </conditionalFormatting>
  <conditionalFormatting sqref="C8">
    <cfRule type="cellIs" dxfId="25" priority="2" stopIfTrue="1" operator="equal">
      <formula>0</formula>
    </cfRule>
  </conditionalFormatting>
  <conditionalFormatting sqref="C12">
    <cfRule type="cellIs" dxfId="24"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0"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６－１</v>
      </c>
      <c r="B1" s="34" t="str">
        <f ca="1">RIGHT(CELL("filename",B1),LEN(CELL("filename",B1))-FIND("]",CELL("filename",B1)))</f>
        <v>国語</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37"/>
    </row>
    <row r="2" spans="1:30" ht="22.5" customHeight="1">
      <c r="A2" s="156" t="s">
        <v>206</v>
      </c>
      <c r="B2" s="77" t="s">
        <v>70</v>
      </c>
      <c r="C2" s="38" t="s">
        <v>26</v>
      </c>
      <c r="D2" s="39" t="s">
        <v>46</v>
      </c>
      <c r="E2" s="39" t="s">
        <v>46</v>
      </c>
      <c r="F2" s="39" t="s">
        <v>45</v>
      </c>
      <c r="G2" s="39" t="s">
        <v>45</v>
      </c>
      <c r="H2" s="39" t="s">
        <v>46</v>
      </c>
      <c r="I2" s="39" t="s">
        <v>46</v>
      </c>
      <c r="J2" s="39" t="s">
        <v>45</v>
      </c>
      <c r="K2" s="39" t="s">
        <v>46</v>
      </c>
      <c r="L2" s="39" t="s">
        <v>46</v>
      </c>
      <c r="M2" s="39" t="s">
        <v>46</v>
      </c>
      <c r="N2" s="39" t="s">
        <v>46</v>
      </c>
      <c r="O2" s="39" t="s">
        <v>46</v>
      </c>
      <c r="P2" s="39" t="s">
        <v>46</v>
      </c>
      <c r="Q2" s="39" t="s">
        <v>45</v>
      </c>
      <c r="R2" s="39" t="s">
        <v>46</v>
      </c>
      <c r="S2" s="39" t="s">
        <v>46</v>
      </c>
      <c r="T2" s="39" t="s">
        <v>46</v>
      </c>
      <c r="U2" s="39" t="s">
        <v>46</v>
      </c>
      <c r="V2" s="39"/>
      <c r="W2" s="39"/>
      <c r="X2" s="39"/>
      <c r="Y2" s="39"/>
      <c r="Z2" s="39"/>
      <c r="AA2" s="39"/>
      <c r="AB2" s="39"/>
      <c r="AC2" s="40" t="s">
        <v>207</v>
      </c>
      <c r="AD2" s="40">
        <v>1</v>
      </c>
    </row>
    <row r="3" spans="1:30" ht="22.5" customHeight="1">
      <c r="A3" s="157"/>
      <c r="B3" s="77" t="s">
        <v>71</v>
      </c>
      <c r="C3" s="38" t="s">
        <v>26</v>
      </c>
      <c r="D3" s="39" t="s">
        <v>46</v>
      </c>
      <c r="E3" s="39" t="s">
        <v>45</v>
      </c>
      <c r="F3" s="39" t="s">
        <v>46</v>
      </c>
      <c r="G3" s="39" t="s">
        <v>45</v>
      </c>
      <c r="H3" s="39" t="s">
        <v>46</v>
      </c>
      <c r="I3" s="39" t="s">
        <v>46</v>
      </c>
      <c r="J3" s="39" t="s">
        <v>46</v>
      </c>
      <c r="K3" s="39" t="s">
        <v>46</v>
      </c>
      <c r="L3" s="39" t="s">
        <v>46</v>
      </c>
      <c r="M3" s="39" t="s">
        <v>46</v>
      </c>
      <c r="N3" s="39" t="s">
        <v>46</v>
      </c>
      <c r="O3" s="39" t="s">
        <v>46</v>
      </c>
      <c r="P3" s="39" t="s">
        <v>46</v>
      </c>
      <c r="Q3" s="39" t="s">
        <v>46</v>
      </c>
      <c r="R3" s="39" t="s">
        <v>45</v>
      </c>
      <c r="S3" s="39" t="s">
        <v>46</v>
      </c>
      <c r="T3" s="39" t="s">
        <v>46</v>
      </c>
      <c r="U3" s="39" t="s">
        <v>46</v>
      </c>
      <c r="V3" s="39"/>
      <c r="W3" s="39"/>
      <c r="X3" s="39"/>
      <c r="Y3" s="39"/>
      <c r="Z3" s="39"/>
      <c r="AA3" s="39"/>
      <c r="AB3" s="39"/>
      <c r="AC3" s="40" t="s">
        <v>208</v>
      </c>
      <c r="AD3" s="40">
        <v>2</v>
      </c>
    </row>
    <row r="4" spans="1:30" ht="22.5" customHeight="1">
      <c r="A4" s="157"/>
      <c r="B4" s="77" t="s">
        <v>72</v>
      </c>
      <c r="C4" s="38" t="s">
        <v>26</v>
      </c>
      <c r="D4" s="39" t="s">
        <v>46</v>
      </c>
      <c r="E4" s="39" t="s">
        <v>46</v>
      </c>
      <c r="F4" s="39" t="s">
        <v>46</v>
      </c>
      <c r="G4" s="39" t="s">
        <v>46</v>
      </c>
      <c r="H4" s="39" t="s">
        <v>46</v>
      </c>
      <c r="I4" s="39" t="s">
        <v>46</v>
      </c>
      <c r="J4" s="39" t="s">
        <v>46</v>
      </c>
      <c r="K4" s="39" t="s">
        <v>46</v>
      </c>
      <c r="L4" s="39" t="s">
        <v>46</v>
      </c>
      <c r="M4" s="39" t="s">
        <v>46</v>
      </c>
      <c r="N4" s="39" t="s">
        <v>46</v>
      </c>
      <c r="O4" s="39" t="s">
        <v>46</v>
      </c>
      <c r="P4" s="39" t="s">
        <v>46</v>
      </c>
      <c r="Q4" s="39" t="s">
        <v>46</v>
      </c>
      <c r="R4" s="39" t="s">
        <v>46</v>
      </c>
      <c r="S4" s="39" t="s">
        <v>46</v>
      </c>
      <c r="T4" s="39" t="s">
        <v>46</v>
      </c>
      <c r="U4" s="39" t="s">
        <v>46</v>
      </c>
      <c r="V4" s="39"/>
      <c r="W4" s="39"/>
      <c r="X4" s="39"/>
      <c r="Y4" s="39"/>
      <c r="Z4" s="39"/>
      <c r="AA4" s="39"/>
      <c r="AB4" s="39"/>
      <c r="AC4" s="40" t="s">
        <v>209</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210</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210</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4</v>
      </c>
      <c r="F12" s="39">
        <v>4</v>
      </c>
      <c r="G12" s="39">
        <v>3</v>
      </c>
      <c r="H12" s="39">
        <v>5</v>
      </c>
      <c r="I12" s="39">
        <v>5</v>
      </c>
      <c r="J12" s="39">
        <v>4</v>
      </c>
      <c r="K12" s="39">
        <v>5</v>
      </c>
      <c r="L12" s="39">
        <v>5</v>
      </c>
      <c r="M12" s="39">
        <v>5</v>
      </c>
      <c r="N12" s="39">
        <v>5</v>
      </c>
      <c r="O12" s="39">
        <v>5</v>
      </c>
      <c r="P12" s="39">
        <v>5</v>
      </c>
      <c r="Q12" s="39">
        <v>4</v>
      </c>
      <c r="R12" s="39">
        <v>4</v>
      </c>
      <c r="S12" s="39">
        <v>5</v>
      </c>
      <c r="T12" s="39">
        <v>5</v>
      </c>
      <c r="U12" s="39">
        <v>5</v>
      </c>
      <c r="V12" s="39"/>
      <c r="W12" s="39"/>
      <c r="X12" s="39"/>
      <c r="Y12" s="39"/>
      <c r="Z12" s="39"/>
      <c r="AA12" s="39"/>
      <c r="AB12" s="39"/>
    </row>
    <row r="13" spans="1:30" ht="26.25" customHeight="1">
      <c r="A13" s="44"/>
      <c r="B13" s="44"/>
      <c r="C13" s="80" t="s">
        <v>59</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73</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74</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75</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77</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78</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79</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80</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81</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82</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83</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84</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85</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87</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88</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89</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90</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A2:A12"/>
    <mergeCell ref="B14:AB14"/>
    <mergeCell ref="B15:AB15"/>
    <mergeCell ref="B16:AB16"/>
    <mergeCell ref="B17:AB17"/>
    <mergeCell ref="B18:AB18"/>
    <mergeCell ref="B19:AB19"/>
    <mergeCell ref="B20:AB20"/>
    <mergeCell ref="B21:AB21"/>
    <mergeCell ref="B22:AB22"/>
    <mergeCell ref="B25:AB25"/>
    <mergeCell ref="B26:AB26"/>
    <mergeCell ref="B27:AB27"/>
    <mergeCell ref="B28:AB28"/>
    <mergeCell ref="B29:AB29"/>
    <mergeCell ref="B38:AB38"/>
    <mergeCell ref="B39:AB39"/>
    <mergeCell ref="B30:AB30"/>
    <mergeCell ref="B31:AB31"/>
    <mergeCell ref="B32:AB32"/>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６－１</v>
      </c>
      <c r="B1" s="34" t="str">
        <f ca="1">RIGHT(CELL("filename",B1),LEN(CELL("filename",B1))-FIND("]",CELL("filename",B1)))</f>
        <v>算数</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37"/>
    </row>
    <row r="2" spans="1:30" ht="22.5" customHeight="1">
      <c r="A2" s="156" t="s">
        <v>211</v>
      </c>
      <c r="B2" s="77" t="s">
        <v>60</v>
      </c>
      <c r="C2" s="38" t="s">
        <v>26</v>
      </c>
      <c r="D2" s="39" t="s">
        <v>46</v>
      </c>
      <c r="E2" s="39" t="s">
        <v>46</v>
      </c>
      <c r="F2" s="39" t="s">
        <v>45</v>
      </c>
      <c r="G2" s="39" t="s">
        <v>45</v>
      </c>
      <c r="H2" s="39" t="s">
        <v>46</v>
      </c>
      <c r="I2" s="39" t="s">
        <v>46</v>
      </c>
      <c r="J2" s="39" t="s">
        <v>46</v>
      </c>
      <c r="K2" s="39" t="s">
        <v>46</v>
      </c>
      <c r="L2" s="39" t="s">
        <v>45</v>
      </c>
      <c r="M2" s="39" t="s">
        <v>46</v>
      </c>
      <c r="N2" s="39" t="s">
        <v>46</v>
      </c>
      <c r="O2" s="39" t="s">
        <v>46</v>
      </c>
      <c r="P2" s="39" t="s">
        <v>45</v>
      </c>
      <c r="Q2" s="39" t="s">
        <v>46</v>
      </c>
      <c r="R2" s="39" t="s">
        <v>45</v>
      </c>
      <c r="S2" s="39" t="s">
        <v>46</v>
      </c>
      <c r="T2" s="39" t="s">
        <v>46</v>
      </c>
      <c r="U2" s="39" t="s">
        <v>46</v>
      </c>
      <c r="V2" s="39"/>
      <c r="W2" s="39"/>
      <c r="X2" s="39"/>
      <c r="Y2" s="39"/>
      <c r="Z2" s="39"/>
      <c r="AA2" s="39"/>
      <c r="AB2" s="39"/>
      <c r="AC2" s="40" t="s">
        <v>212</v>
      </c>
      <c r="AD2" s="40">
        <v>1</v>
      </c>
    </row>
    <row r="3" spans="1:30" ht="22.5" customHeight="1">
      <c r="A3" s="157"/>
      <c r="B3" s="77" t="s">
        <v>213</v>
      </c>
      <c r="C3" s="38" t="s">
        <v>26</v>
      </c>
      <c r="D3" s="39" t="s">
        <v>45</v>
      </c>
      <c r="E3" s="39" t="s">
        <v>45</v>
      </c>
      <c r="F3" s="39" t="s">
        <v>45</v>
      </c>
      <c r="G3" s="39" t="s">
        <v>45</v>
      </c>
      <c r="H3" s="39" t="s">
        <v>46</v>
      </c>
      <c r="I3" s="39" t="s">
        <v>46</v>
      </c>
      <c r="J3" s="39" t="s">
        <v>45</v>
      </c>
      <c r="K3" s="39" t="s">
        <v>46</v>
      </c>
      <c r="L3" s="39" t="s">
        <v>45</v>
      </c>
      <c r="M3" s="39" t="s">
        <v>46</v>
      </c>
      <c r="N3" s="39" t="s">
        <v>45</v>
      </c>
      <c r="O3" s="39" t="s">
        <v>46</v>
      </c>
      <c r="P3" s="39" t="s">
        <v>45</v>
      </c>
      <c r="Q3" s="39" t="s">
        <v>45</v>
      </c>
      <c r="R3" s="39" t="s">
        <v>45</v>
      </c>
      <c r="S3" s="39" t="s">
        <v>46</v>
      </c>
      <c r="T3" s="39" t="s">
        <v>45</v>
      </c>
      <c r="U3" s="39" t="s">
        <v>45</v>
      </c>
      <c r="V3" s="39"/>
      <c r="W3" s="39"/>
      <c r="X3" s="39"/>
      <c r="Y3" s="39"/>
      <c r="Z3" s="39"/>
      <c r="AA3" s="39"/>
      <c r="AB3" s="39"/>
      <c r="AC3" s="40" t="s">
        <v>214</v>
      </c>
      <c r="AD3" s="40">
        <v>2</v>
      </c>
    </row>
    <row r="4" spans="1:30" ht="22.5" customHeight="1">
      <c r="A4" s="157"/>
      <c r="B4" s="77" t="s">
        <v>215</v>
      </c>
      <c r="C4" s="38" t="s">
        <v>26</v>
      </c>
      <c r="D4" s="39" t="s">
        <v>46</v>
      </c>
      <c r="E4" s="39" t="s">
        <v>45</v>
      </c>
      <c r="F4" s="39" t="s">
        <v>46</v>
      </c>
      <c r="G4" s="39" t="s">
        <v>45</v>
      </c>
      <c r="H4" s="39" t="s">
        <v>46</v>
      </c>
      <c r="I4" s="39" t="s">
        <v>46</v>
      </c>
      <c r="J4" s="39" t="s">
        <v>46</v>
      </c>
      <c r="K4" s="39" t="s">
        <v>46</v>
      </c>
      <c r="L4" s="39" t="s">
        <v>46</v>
      </c>
      <c r="M4" s="39" t="s">
        <v>46</v>
      </c>
      <c r="N4" s="39" t="s">
        <v>46</v>
      </c>
      <c r="O4" s="39" t="s">
        <v>46</v>
      </c>
      <c r="P4" s="39" t="s">
        <v>46</v>
      </c>
      <c r="Q4" s="39" t="s">
        <v>46</v>
      </c>
      <c r="R4" s="39" t="s">
        <v>45</v>
      </c>
      <c r="S4" s="39" t="s">
        <v>46</v>
      </c>
      <c r="T4" s="39" t="s">
        <v>46</v>
      </c>
      <c r="U4" s="39" t="s">
        <v>46</v>
      </c>
      <c r="V4" s="39"/>
      <c r="W4" s="39"/>
      <c r="X4" s="39"/>
      <c r="Y4" s="39"/>
      <c r="Z4" s="39"/>
      <c r="AA4" s="39"/>
      <c r="AB4" s="39"/>
      <c r="AC4" s="40" t="s">
        <v>216</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217</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217</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4</v>
      </c>
      <c r="E12" s="39">
        <v>3</v>
      </c>
      <c r="F12" s="39">
        <v>3</v>
      </c>
      <c r="G12" s="39">
        <v>3</v>
      </c>
      <c r="H12" s="39">
        <v>5</v>
      </c>
      <c r="I12" s="39">
        <v>5</v>
      </c>
      <c r="J12" s="39">
        <v>4</v>
      </c>
      <c r="K12" s="39">
        <v>5</v>
      </c>
      <c r="L12" s="39">
        <v>3</v>
      </c>
      <c r="M12" s="39">
        <v>5</v>
      </c>
      <c r="N12" s="39">
        <v>4</v>
      </c>
      <c r="O12" s="39">
        <v>5</v>
      </c>
      <c r="P12" s="39">
        <v>3</v>
      </c>
      <c r="Q12" s="39">
        <v>4</v>
      </c>
      <c r="R12" s="39">
        <v>3</v>
      </c>
      <c r="S12" s="39">
        <v>5</v>
      </c>
      <c r="T12" s="39">
        <v>4</v>
      </c>
      <c r="U12" s="39">
        <v>4</v>
      </c>
      <c r="V12" s="39"/>
      <c r="W12" s="39"/>
      <c r="X12" s="39"/>
      <c r="Y12" s="39"/>
      <c r="Z12" s="39"/>
      <c r="AA12" s="39"/>
      <c r="AB12" s="39"/>
    </row>
    <row r="13" spans="1:30" ht="26.25" customHeight="1">
      <c r="A13" s="44"/>
      <c r="B13" s="44"/>
      <c r="C13" s="80" t="s">
        <v>59</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73</v>
      </c>
      <c r="B15" s="153" t="s">
        <v>91</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74</v>
      </c>
      <c r="B16" s="153" t="s">
        <v>92</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75</v>
      </c>
      <c r="B17" s="153" t="s">
        <v>93</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218</v>
      </c>
      <c r="B18" s="153" t="s">
        <v>94</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77</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78</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79</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80</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81</v>
      </c>
      <c r="B23" s="153" t="s">
        <v>95</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82</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83</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84</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85</v>
      </c>
      <c r="B27" s="153" t="s">
        <v>96</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t="s">
        <v>97</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87</v>
      </c>
      <c r="B29" s="153" t="s">
        <v>98</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88</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89</v>
      </c>
      <c r="B31" s="153" t="s">
        <v>99</v>
      </c>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90</v>
      </c>
      <c r="B32" s="153" t="s">
        <v>100</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A2:A12"/>
    <mergeCell ref="B14:AB14"/>
    <mergeCell ref="B15:AB15"/>
    <mergeCell ref="B16:AB16"/>
    <mergeCell ref="B17:AB17"/>
    <mergeCell ref="B18:AB18"/>
    <mergeCell ref="B19:AB19"/>
    <mergeCell ref="B20:AB20"/>
    <mergeCell ref="B21:AB21"/>
    <mergeCell ref="B22:AB22"/>
    <mergeCell ref="B25:AB25"/>
    <mergeCell ref="B26:AB26"/>
    <mergeCell ref="B27:AB27"/>
    <mergeCell ref="B28:AB28"/>
    <mergeCell ref="B29:AB29"/>
    <mergeCell ref="B38:AB38"/>
    <mergeCell ref="B39:AB39"/>
    <mergeCell ref="B30:AB30"/>
    <mergeCell ref="B31:AB31"/>
    <mergeCell ref="B32:AB32"/>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６－１</v>
      </c>
      <c r="B1" s="34" t="str">
        <f ca="1">RIGHT(CELL("filename",B1),LEN(CELL("filename",B1))-FIND("]",CELL("filename",B1)))</f>
        <v>理科</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37"/>
    </row>
    <row r="2" spans="1:30" ht="22.5" customHeight="1">
      <c r="A2" s="156" t="s">
        <v>219</v>
      </c>
      <c r="B2" s="77" t="s">
        <v>101</v>
      </c>
      <c r="C2" s="38" t="s">
        <v>26</v>
      </c>
      <c r="D2" s="39" t="s">
        <v>46</v>
      </c>
      <c r="E2" s="39" t="s">
        <v>45</v>
      </c>
      <c r="F2" s="39" t="s">
        <v>46</v>
      </c>
      <c r="G2" s="39" t="s">
        <v>45</v>
      </c>
      <c r="H2" s="39" t="s">
        <v>46</v>
      </c>
      <c r="I2" s="39" t="s">
        <v>46</v>
      </c>
      <c r="J2" s="39" t="s">
        <v>45</v>
      </c>
      <c r="K2" s="39" t="s">
        <v>46</v>
      </c>
      <c r="L2" s="39" t="s">
        <v>46</v>
      </c>
      <c r="M2" s="39" t="s">
        <v>46</v>
      </c>
      <c r="N2" s="39" t="s">
        <v>46</v>
      </c>
      <c r="O2" s="39" t="s">
        <v>46</v>
      </c>
      <c r="P2" s="39" t="s">
        <v>46</v>
      </c>
      <c r="Q2" s="39" t="s">
        <v>45</v>
      </c>
      <c r="R2" s="39" t="s">
        <v>45</v>
      </c>
      <c r="S2" s="39" t="s">
        <v>46</v>
      </c>
      <c r="T2" s="39" t="s">
        <v>46</v>
      </c>
      <c r="U2" s="39" t="s">
        <v>46</v>
      </c>
      <c r="V2" s="39"/>
      <c r="W2" s="39"/>
      <c r="X2" s="39"/>
      <c r="Y2" s="39"/>
      <c r="Z2" s="39"/>
      <c r="AA2" s="39"/>
      <c r="AB2" s="39"/>
      <c r="AC2" s="40" t="s">
        <v>220</v>
      </c>
      <c r="AD2" s="40">
        <v>1</v>
      </c>
    </row>
    <row r="3" spans="1:30" ht="22.5" customHeight="1">
      <c r="A3" s="157"/>
      <c r="B3" s="77" t="s">
        <v>102</v>
      </c>
      <c r="C3" s="38" t="s">
        <v>26</v>
      </c>
      <c r="D3" s="39" t="s">
        <v>46</v>
      </c>
      <c r="E3" s="39" t="s">
        <v>46</v>
      </c>
      <c r="F3" s="39" t="s">
        <v>45</v>
      </c>
      <c r="G3" s="39" t="s">
        <v>45</v>
      </c>
      <c r="H3" s="39" t="s">
        <v>46</v>
      </c>
      <c r="I3" s="39" t="s">
        <v>46</v>
      </c>
      <c r="J3" s="39" t="s">
        <v>46</v>
      </c>
      <c r="K3" s="39" t="s">
        <v>46</v>
      </c>
      <c r="L3" s="39" t="s">
        <v>46</v>
      </c>
      <c r="M3" s="39" t="s">
        <v>46</v>
      </c>
      <c r="N3" s="39" t="s">
        <v>46</v>
      </c>
      <c r="O3" s="39" t="s">
        <v>46</v>
      </c>
      <c r="P3" s="39" t="s">
        <v>45</v>
      </c>
      <c r="Q3" s="39" t="s">
        <v>45</v>
      </c>
      <c r="R3" s="39" t="s">
        <v>45</v>
      </c>
      <c r="S3" s="39" t="s">
        <v>46</v>
      </c>
      <c r="T3" s="39" t="s">
        <v>46</v>
      </c>
      <c r="U3" s="39" t="s">
        <v>45</v>
      </c>
      <c r="V3" s="39"/>
      <c r="W3" s="39"/>
      <c r="X3" s="39"/>
      <c r="Y3" s="39"/>
      <c r="Z3" s="39"/>
      <c r="AA3" s="39"/>
      <c r="AB3" s="39"/>
      <c r="AC3" s="40" t="s">
        <v>221</v>
      </c>
      <c r="AD3" s="40">
        <v>2</v>
      </c>
    </row>
    <row r="4" spans="1:30" ht="22.5" customHeight="1">
      <c r="A4" s="157"/>
      <c r="B4" s="77" t="s">
        <v>103</v>
      </c>
      <c r="C4" s="38" t="s">
        <v>26</v>
      </c>
      <c r="D4" s="39" t="s">
        <v>45</v>
      </c>
      <c r="E4" s="39" t="s">
        <v>45</v>
      </c>
      <c r="F4" s="39" t="s">
        <v>45</v>
      </c>
      <c r="G4" s="39" t="s">
        <v>45</v>
      </c>
      <c r="H4" s="39" t="s">
        <v>46</v>
      </c>
      <c r="I4" s="39" t="s">
        <v>46</v>
      </c>
      <c r="J4" s="39" t="s">
        <v>45</v>
      </c>
      <c r="K4" s="39" t="s">
        <v>46</v>
      </c>
      <c r="L4" s="39" t="s">
        <v>46</v>
      </c>
      <c r="M4" s="39" t="s">
        <v>46</v>
      </c>
      <c r="N4" s="39" t="s">
        <v>46</v>
      </c>
      <c r="O4" s="39" t="s">
        <v>45</v>
      </c>
      <c r="P4" s="39" t="s">
        <v>46</v>
      </c>
      <c r="Q4" s="39" t="s">
        <v>45</v>
      </c>
      <c r="R4" s="39" t="s">
        <v>45</v>
      </c>
      <c r="S4" s="39" t="s">
        <v>46</v>
      </c>
      <c r="T4" s="39" t="s">
        <v>46</v>
      </c>
      <c r="U4" s="39" t="s">
        <v>46</v>
      </c>
      <c r="V4" s="39"/>
      <c r="W4" s="39"/>
      <c r="X4" s="39"/>
      <c r="Y4" s="39"/>
      <c r="Z4" s="39"/>
      <c r="AA4" s="39"/>
      <c r="AB4" s="39"/>
      <c r="AC4" s="40" t="s">
        <v>222</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223</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210</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4</v>
      </c>
      <c r="E12" s="39">
        <v>3</v>
      </c>
      <c r="F12" s="39">
        <v>3</v>
      </c>
      <c r="G12" s="39">
        <v>3</v>
      </c>
      <c r="H12" s="39">
        <v>5</v>
      </c>
      <c r="I12" s="39">
        <v>5</v>
      </c>
      <c r="J12" s="39">
        <v>3</v>
      </c>
      <c r="K12" s="39">
        <v>5</v>
      </c>
      <c r="L12" s="39">
        <v>5</v>
      </c>
      <c r="M12" s="39">
        <v>5</v>
      </c>
      <c r="N12" s="39">
        <v>5</v>
      </c>
      <c r="O12" s="39">
        <v>4</v>
      </c>
      <c r="P12" s="39">
        <v>4</v>
      </c>
      <c r="Q12" s="39">
        <v>3</v>
      </c>
      <c r="R12" s="39">
        <v>3</v>
      </c>
      <c r="S12" s="39">
        <v>5</v>
      </c>
      <c r="T12" s="39">
        <v>5</v>
      </c>
      <c r="U12" s="39">
        <v>4</v>
      </c>
      <c r="V12" s="39"/>
      <c r="W12" s="39"/>
      <c r="X12" s="39"/>
      <c r="Y12" s="39"/>
      <c r="Z12" s="39"/>
      <c r="AA12" s="39"/>
      <c r="AB12" s="39"/>
    </row>
    <row r="13" spans="1:30" ht="26.25" customHeight="1">
      <c r="A13" s="44"/>
      <c r="B13" s="44"/>
      <c r="C13" s="80" t="s">
        <v>59</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73</v>
      </c>
      <c r="B15" s="153" t="s">
        <v>104</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74</v>
      </c>
      <c r="B16" s="153" t="s">
        <v>105</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75</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76</v>
      </c>
      <c r="B18" s="153" t="s">
        <v>106</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77</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78</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79</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80</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81</v>
      </c>
      <c r="B23" s="153" t="s">
        <v>107</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82</v>
      </c>
      <c r="B24" s="153" t="s">
        <v>108</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83</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84</v>
      </c>
      <c r="B26" s="153" t="s">
        <v>109</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85</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87</v>
      </c>
      <c r="B29" s="153" t="s">
        <v>110</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88</v>
      </c>
      <c r="B30" s="153" t="s">
        <v>111</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89</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90</v>
      </c>
      <c r="B32" s="153" t="s">
        <v>112</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A2:A12"/>
    <mergeCell ref="B14:AB14"/>
    <mergeCell ref="B15:AB15"/>
    <mergeCell ref="B16:AB16"/>
    <mergeCell ref="B17:AB17"/>
    <mergeCell ref="B18:AB18"/>
    <mergeCell ref="B19:AB19"/>
    <mergeCell ref="B20:AB20"/>
    <mergeCell ref="B21:AB21"/>
    <mergeCell ref="B22:AB22"/>
    <mergeCell ref="B25:AB25"/>
    <mergeCell ref="B26:AB26"/>
    <mergeCell ref="B27:AB27"/>
    <mergeCell ref="B28:AB28"/>
    <mergeCell ref="B29:AB29"/>
    <mergeCell ref="B38:AB38"/>
    <mergeCell ref="B39:AB39"/>
    <mergeCell ref="B30:AB30"/>
    <mergeCell ref="B31:AB31"/>
    <mergeCell ref="B32:AB32"/>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83" customWidth="1"/>
    <col min="2" max="2" width="79.125" style="83" customWidth="1"/>
    <col min="3" max="3" width="9.375" style="83" customWidth="1"/>
    <col min="4" max="28" width="4.125" style="83" customWidth="1"/>
    <col min="29" max="16384" width="9" style="83"/>
  </cols>
  <sheetData>
    <row r="1" spans="1:30" ht="85.5" customHeight="1">
      <c r="A1" s="81" t="str">
        <f ca="1">MID(CELL("filename",A1),FIND("[",CELL("filename",A1))+1,3)</f>
        <v>６－１</v>
      </c>
      <c r="B1" s="34" t="str">
        <f ca="1">RIGHT(CELL("filename",B1),LEN(CELL("filename",B1))-FIND("]",CELL("filename",B1)))</f>
        <v>社会</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82"/>
    </row>
    <row r="2" spans="1:30" ht="22.5" customHeight="1">
      <c r="A2" s="156" t="s">
        <v>224</v>
      </c>
      <c r="B2" s="77" t="s">
        <v>63</v>
      </c>
      <c r="C2" s="38" t="s">
        <v>26</v>
      </c>
      <c r="D2" s="84" t="s">
        <v>46</v>
      </c>
      <c r="E2" s="84" t="s">
        <v>46</v>
      </c>
      <c r="F2" s="84" t="s">
        <v>46</v>
      </c>
      <c r="G2" s="84" t="s">
        <v>49</v>
      </c>
      <c r="H2" s="84" t="s">
        <v>46</v>
      </c>
      <c r="I2" s="84" t="s">
        <v>46</v>
      </c>
      <c r="J2" s="84" t="s">
        <v>49</v>
      </c>
      <c r="K2" s="84" t="s">
        <v>46</v>
      </c>
      <c r="L2" s="84" t="s">
        <v>49</v>
      </c>
      <c r="M2" s="84" t="s">
        <v>46</v>
      </c>
      <c r="N2" s="84" t="s">
        <v>46</v>
      </c>
      <c r="O2" s="84" t="s">
        <v>46</v>
      </c>
      <c r="P2" s="84" t="s">
        <v>45</v>
      </c>
      <c r="Q2" s="84" t="s">
        <v>45</v>
      </c>
      <c r="R2" s="84" t="s">
        <v>46</v>
      </c>
      <c r="S2" s="84" t="s">
        <v>46</v>
      </c>
      <c r="T2" s="84" t="s">
        <v>46</v>
      </c>
      <c r="U2" s="84" t="s">
        <v>46</v>
      </c>
      <c r="V2" s="84"/>
      <c r="W2" s="84"/>
      <c r="X2" s="84"/>
      <c r="Y2" s="84"/>
      <c r="Z2" s="84"/>
      <c r="AA2" s="84"/>
      <c r="AB2" s="84"/>
      <c r="AC2" s="85" t="s">
        <v>225</v>
      </c>
      <c r="AD2" s="85">
        <v>1</v>
      </c>
    </row>
    <row r="3" spans="1:30" ht="22.5" customHeight="1">
      <c r="A3" s="157"/>
      <c r="B3" s="77" t="s">
        <v>64</v>
      </c>
      <c r="C3" s="38" t="s">
        <v>26</v>
      </c>
      <c r="D3" s="84" t="s">
        <v>46</v>
      </c>
      <c r="E3" s="84" t="s">
        <v>45</v>
      </c>
      <c r="F3" s="84" t="s">
        <v>45</v>
      </c>
      <c r="G3" s="84" t="s">
        <v>49</v>
      </c>
      <c r="H3" s="84" t="s">
        <v>46</v>
      </c>
      <c r="I3" s="84" t="s">
        <v>45</v>
      </c>
      <c r="J3" s="84" t="s">
        <v>49</v>
      </c>
      <c r="K3" s="84" t="s">
        <v>46</v>
      </c>
      <c r="L3" s="84" t="s">
        <v>49</v>
      </c>
      <c r="M3" s="84" t="s">
        <v>46</v>
      </c>
      <c r="N3" s="84" t="s">
        <v>46</v>
      </c>
      <c r="O3" s="84" t="s">
        <v>46</v>
      </c>
      <c r="P3" s="84" t="s">
        <v>45</v>
      </c>
      <c r="Q3" s="84" t="s">
        <v>45</v>
      </c>
      <c r="R3" s="84" t="s">
        <v>46</v>
      </c>
      <c r="S3" s="84" t="s">
        <v>46</v>
      </c>
      <c r="T3" s="84" t="s">
        <v>46</v>
      </c>
      <c r="U3" s="84" t="s">
        <v>46</v>
      </c>
      <c r="V3" s="84"/>
      <c r="W3" s="84"/>
      <c r="X3" s="84"/>
      <c r="Y3" s="84"/>
      <c r="Z3" s="84"/>
      <c r="AA3" s="84"/>
      <c r="AB3" s="84"/>
      <c r="AC3" s="85" t="s">
        <v>226</v>
      </c>
      <c r="AD3" s="85">
        <v>2</v>
      </c>
    </row>
    <row r="4" spans="1:30" ht="22.5" customHeight="1">
      <c r="A4" s="157"/>
      <c r="B4" s="77" t="s">
        <v>113</v>
      </c>
      <c r="C4" s="38" t="s">
        <v>26</v>
      </c>
      <c r="D4" s="84" t="s">
        <v>46</v>
      </c>
      <c r="E4" s="84" t="s">
        <v>46</v>
      </c>
      <c r="F4" s="84" t="s">
        <v>46</v>
      </c>
      <c r="G4" s="84" t="s">
        <v>46</v>
      </c>
      <c r="H4" s="84" t="s">
        <v>46</v>
      </c>
      <c r="I4" s="84" t="s">
        <v>46</v>
      </c>
      <c r="J4" s="84" t="s">
        <v>46</v>
      </c>
      <c r="K4" s="84" t="s">
        <v>46</v>
      </c>
      <c r="L4" s="84" t="s">
        <v>46</v>
      </c>
      <c r="M4" s="84" t="s">
        <v>46</v>
      </c>
      <c r="N4" s="84" t="s">
        <v>46</v>
      </c>
      <c r="O4" s="84" t="s">
        <v>46</v>
      </c>
      <c r="P4" s="84" t="s">
        <v>46</v>
      </c>
      <c r="Q4" s="84" t="s">
        <v>46</v>
      </c>
      <c r="R4" s="84" t="s">
        <v>46</v>
      </c>
      <c r="S4" s="84" t="s">
        <v>46</v>
      </c>
      <c r="T4" s="84" t="s">
        <v>46</v>
      </c>
      <c r="U4" s="84" t="s">
        <v>46</v>
      </c>
      <c r="V4" s="84"/>
      <c r="W4" s="84"/>
      <c r="X4" s="84"/>
      <c r="Y4" s="84"/>
      <c r="Z4" s="84"/>
      <c r="AA4" s="84"/>
      <c r="AB4" s="84"/>
      <c r="AC4" s="85" t="s">
        <v>227</v>
      </c>
      <c r="AD4" s="85">
        <v>3</v>
      </c>
    </row>
    <row r="5" spans="1:30" ht="22.5" customHeight="1">
      <c r="A5" s="157"/>
      <c r="B5" s="41"/>
      <c r="C5" s="38" t="s">
        <v>26</v>
      </c>
      <c r="D5" s="84"/>
      <c r="E5" s="84"/>
      <c r="F5" s="84"/>
      <c r="G5" s="84"/>
      <c r="H5" s="84"/>
      <c r="I5" s="84"/>
      <c r="J5" s="84"/>
      <c r="K5" s="84"/>
      <c r="L5" s="84"/>
      <c r="M5" s="84"/>
      <c r="N5" s="84"/>
      <c r="O5" s="84"/>
      <c r="P5" s="84"/>
      <c r="Q5" s="84"/>
      <c r="R5" s="84"/>
      <c r="S5" s="84"/>
      <c r="T5" s="84"/>
      <c r="U5" s="84"/>
      <c r="V5" s="84"/>
      <c r="W5" s="84"/>
      <c r="X5" s="84"/>
      <c r="Y5" s="84"/>
      <c r="Z5" s="84"/>
      <c r="AA5" s="84"/>
      <c r="AB5" s="84"/>
      <c r="AC5" s="85" t="s">
        <v>228</v>
      </c>
      <c r="AD5" s="85">
        <v>4</v>
      </c>
    </row>
    <row r="6" spans="1:30" ht="22.5" customHeight="1">
      <c r="A6" s="157"/>
      <c r="B6" s="41"/>
      <c r="C6" s="38" t="s">
        <v>26</v>
      </c>
      <c r="D6" s="84"/>
      <c r="E6" s="84"/>
      <c r="F6" s="84"/>
      <c r="G6" s="84"/>
      <c r="H6" s="84"/>
      <c r="I6" s="84"/>
      <c r="J6" s="84"/>
      <c r="K6" s="84"/>
      <c r="L6" s="84"/>
      <c r="M6" s="84"/>
      <c r="N6" s="84"/>
      <c r="O6" s="84"/>
      <c r="P6" s="84"/>
      <c r="Q6" s="84"/>
      <c r="R6" s="84"/>
      <c r="S6" s="84"/>
      <c r="T6" s="84"/>
      <c r="U6" s="84"/>
      <c r="V6" s="84"/>
      <c r="W6" s="84"/>
      <c r="X6" s="84"/>
      <c r="Y6" s="84"/>
      <c r="Z6" s="84"/>
      <c r="AA6" s="84"/>
      <c r="AB6" s="84"/>
      <c r="AC6" s="85"/>
      <c r="AD6" s="85">
        <v>5</v>
      </c>
    </row>
    <row r="7" spans="1:30" ht="22.5" customHeight="1">
      <c r="A7" s="157"/>
      <c r="B7" s="41"/>
      <c r="C7" s="38" t="s">
        <v>26</v>
      </c>
      <c r="D7" s="84"/>
      <c r="E7" s="84"/>
      <c r="F7" s="84"/>
      <c r="G7" s="84"/>
      <c r="H7" s="84"/>
      <c r="I7" s="84"/>
      <c r="J7" s="84"/>
      <c r="K7" s="84"/>
      <c r="L7" s="84"/>
      <c r="M7" s="84"/>
      <c r="N7" s="84"/>
      <c r="O7" s="84"/>
      <c r="P7" s="84"/>
      <c r="Q7" s="84"/>
      <c r="R7" s="84"/>
      <c r="S7" s="84"/>
      <c r="T7" s="84"/>
      <c r="U7" s="84"/>
      <c r="V7" s="84"/>
      <c r="W7" s="84"/>
      <c r="X7" s="84"/>
      <c r="Y7" s="84"/>
      <c r="Z7" s="84"/>
      <c r="AA7" s="84"/>
      <c r="AB7" s="84"/>
      <c r="AC7" s="85"/>
      <c r="AD7" s="85" t="s">
        <v>228</v>
      </c>
    </row>
    <row r="8" spans="1:30" ht="22.5" customHeight="1">
      <c r="A8" s="157"/>
      <c r="B8" s="41"/>
      <c r="C8" s="38" t="s">
        <v>26</v>
      </c>
      <c r="D8" s="84"/>
      <c r="E8" s="84"/>
      <c r="F8" s="84"/>
      <c r="G8" s="84"/>
      <c r="H8" s="84"/>
      <c r="I8" s="84"/>
      <c r="J8" s="84"/>
      <c r="K8" s="84"/>
      <c r="L8" s="84"/>
      <c r="M8" s="84"/>
      <c r="N8" s="84"/>
      <c r="O8" s="84"/>
      <c r="P8" s="84"/>
      <c r="Q8" s="84"/>
      <c r="R8" s="84"/>
      <c r="S8" s="84"/>
      <c r="T8" s="84"/>
      <c r="U8" s="84"/>
      <c r="V8" s="84"/>
      <c r="W8" s="84"/>
      <c r="X8" s="84"/>
      <c r="Y8" s="84"/>
      <c r="Z8" s="84"/>
      <c r="AA8" s="84"/>
      <c r="AB8" s="84"/>
    </row>
    <row r="9" spans="1:30" ht="22.5" customHeight="1">
      <c r="A9" s="157"/>
      <c r="B9" s="41"/>
      <c r="C9" s="38" t="s">
        <v>26</v>
      </c>
      <c r="D9" s="84"/>
      <c r="E9" s="84"/>
      <c r="F9" s="84"/>
      <c r="G9" s="84"/>
      <c r="H9" s="84"/>
      <c r="I9" s="84"/>
      <c r="J9" s="84"/>
      <c r="K9" s="84"/>
      <c r="L9" s="84"/>
      <c r="M9" s="84"/>
      <c r="N9" s="84"/>
      <c r="O9" s="84"/>
      <c r="P9" s="84"/>
      <c r="Q9" s="84"/>
      <c r="R9" s="84"/>
      <c r="S9" s="84"/>
      <c r="T9" s="84"/>
      <c r="U9" s="84"/>
      <c r="V9" s="84"/>
      <c r="W9" s="84"/>
      <c r="X9" s="84"/>
      <c r="Y9" s="84"/>
      <c r="Z9" s="84"/>
      <c r="AA9" s="84"/>
      <c r="AB9" s="84"/>
    </row>
    <row r="10" spans="1:30" ht="22.5" customHeight="1">
      <c r="A10" s="157"/>
      <c r="B10" s="41"/>
      <c r="C10" s="38" t="s">
        <v>26</v>
      </c>
      <c r="D10" s="84"/>
      <c r="E10" s="84"/>
      <c r="F10" s="84"/>
      <c r="G10" s="84"/>
      <c r="H10" s="84"/>
      <c r="I10" s="84"/>
      <c r="J10" s="84"/>
      <c r="K10" s="84"/>
      <c r="L10" s="84"/>
      <c r="M10" s="84"/>
      <c r="N10" s="84"/>
      <c r="O10" s="84"/>
      <c r="P10" s="84"/>
      <c r="Q10" s="84"/>
      <c r="R10" s="84"/>
      <c r="S10" s="84"/>
      <c r="T10" s="84"/>
      <c r="U10" s="84"/>
      <c r="V10" s="84"/>
      <c r="W10" s="84"/>
      <c r="X10" s="84"/>
      <c r="Y10" s="84"/>
      <c r="Z10" s="84"/>
      <c r="AA10" s="84"/>
      <c r="AB10" s="84"/>
    </row>
    <row r="11" spans="1:30" ht="22.5" customHeight="1">
      <c r="A11" s="157"/>
      <c r="B11" s="41"/>
      <c r="C11" s="38" t="s">
        <v>26</v>
      </c>
      <c r="D11" s="84"/>
      <c r="E11" s="84"/>
      <c r="F11" s="84"/>
      <c r="G11" s="84"/>
      <c r="H11" s="84"/>
      <c r="I11" s="84"/>
      <c r="J11" s="84"/>
      <c r="K11" s="84"/>
      <c r="L11" s="84"/>
      <c r="M11" s="84"/>
      <c r="N11" s="84"/>
      <c r="O11" s="84"/>
      <c r="P11" s="84"/>
      <c r="Q11" s="84"/>
      <c r="R11" s="84"/>
      <c r="S11" s="84"/>
      <c r="T11" s="84"/>
      <c r="U11" s="84"/>
      <c r="V11" s="84"/>
      <c r="W11" s="84"/>
      <c r="X11" s="84"/>
      <c r="Y11" s="84"/>
      <c r="Z11" s="84"/>
      <c r="AA11" s="84"/>
      <c r="AB11" s="84"/>
    </row>
    <row r="12" spans="1:30" ht="30" customHeight="1">
      <c r="A12" s="158"/>
      <c r="B12" s="42"/>
      <c r="C12" s="43" t="s">
        <v>27</v>
      </c>
      <c r="D12" s="84">
        <v>5</v>
      </c>
      <c r="E12" s="84">
        <v>4</v>
      </c>
      <c r="F12" s="84">
        <v>4</v>
      </c>
      <c r="G12" s="84">
        <v>3</v>
      </c>
      <c r="H12" s="84">
        <v>5</v>
      </c>
      <c r="I12" s="84">
        <v>4</v>
      </c>
      <c r="J12" s="84">
        <v>3</v>
      </c>
      <c r="K12" s="84">
        <v>5</v>
      </c>
      <c r="L12" s="84">
        <v>3</v>
      </c>
      <c r="M12" s="84">
        <v>5</v>
      </c>
      <c r="N12" s="84">
        <v>5</v>
      </c>
      <c r="O12" s="84">
        <v>5</v>
      </c>
      <c r="P12" s="84">
        <v>3</v>
      </c>
      <c r="Q12" s="84">
        <v>3</v>
      </c>
      <c r="R12" s="84">
        <v>5</v>
      </c>
      <c r="S12" s="84">
        <v>5</v>
      </c>
      <c r="T12" s="84">
        <v>5</v>
      </c>
      <c r="U12" s="84">
        <v>5</v>
      </c>
      <c r="V12" s="84"/>
      <c r="W12" s="84"/>
      <c r="X12" s="84"/>
      <c r="Y12" s="84"/>
      <c r="Z12" s="84"/>
      <c r="AA12" s="84"/>
      <c r="AB12" s="84"/>
    </row>
    <row r="13" spans="1:30" ht="26.25" customHeight="1">
      <c r="A13" s="86"/>
      <c r="B13" s="86"/>
      <c r="C13" s="80" t="s">
        <v>59</v>
      </c>
      <c r="D13" s="84"/>
      <c r="E13" s="84"/>
      <c r="F13" s="84"/>
      <c r="G13" s="84"/>
      <c r="H13" s="84"/>
      <c r="I13" s="84"/>
      <c r="J13" s="84"/>
      <c r="K13" s="84"/>
      <c r="L13" s="84"/>
      <c r="M13" s="84"/>
      <c r="N13" s="84"/>
      <c r="O13" s="84"/>
      <c r="P13" s="84"/>
      <c r="Q13" s="84"/>
      <c r="R13" s="84"/>
      <c r="S13" s="84"/>
      <c r="T13" s="84"/>
      <c r="U13" s="84"/>
      <c r="V13" s="84"/>
      <c r="W13" s="84"/>
      <c r="X13" s="84"/>
      <c r="Y13" s="84"/>
      <c r="Z13" s="84"/>
      <c r="AA13" s="84"/>
      <c r="AB13" s="84"/>
    </row>
    <row r="14" spans="1:30" ht="22.5" customHeight="1">
      <c r="A14" s="45" t="s">
        <v>28</v>
      </c>
      <c r="B14" s="165" t="s">
        <v>29</v>
      </c>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7"/>
    </row>
    <row r="15" spans="1:30" ht="59.25" customHeight="1">
      <c r="A15" s="87" t="s">
        <v>73</v>
      </c>
      <c r="B15" s="162"/>
      <c r="C15" s="16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4"/>
    </row>
    <row r="16" spans="1:30" ht="59.25" customHeight="1">
      <c r="A16" s="87" t="s">
        <v>74</v>
      </c>
      <c r="B16" s="162"/>
      <c r="C16" s="16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4"/>
    </row>
    <row r="17" spans="1:28" ht="59.25" customHeight="1">
      <c r="A17" s="87" t="s">
        <v>75</v>
      </c>
      <c r="B17" s="162"/>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4"/>
    </row>
    <row r="18" spans="1:28" ht="59.25" customHeight="1">
      <c r="A18" s="87" t="s">
        <v>76</v>
      </c>
      <c r="B18" s="162"/>
      <c r="C18" s="163"/>
      <c r="D18" s="163"/>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4"/>
    </row>
    <row r="19" spans="1:28" ht="59.25" customHeight="1">
      <c r="A19" s="87" t="s">
        <v>77</v>
      </c>
      <c r="B19" s="162"/>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4"/>
    </row>
    <row r="20" spans="1:28" ht="59.25" customHeight="1">
      <c r="A20" s="87" t="s">
        <v>78</v>
      </c>
      <c r="B20" s="162"/>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4"/>
    </row>
    <row r="21" spans="1:28" ht="59.25" customHeight="1">
      <c r="A21" s="87" t="s">
        <v>79</v>
      </c>
      <c r="B21" s="16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4"/>
    </row>
    <row r="22" spans="1:28" ht="59.25" customHeight="1">
      <c r="A22" s="87" t="s">
        <v>80</v>
      </c>
      <c r="B22" s="162"/>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64"/>
    </row>
    <row r="23" spans="1:28" ht="59.25" customHeight="1">
      <c r="A23" s="87" t="s">
        <v>81</v>
      </c>
      <c r="B23" s="162"/>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4"/>
    </row>
    <row r="24" spans="1:28" ht="59.25" customHeight="1">
      <c r="A24" s="87" t="s">
        <v>82</v>
      </c>
      <c r="B24" s="162"/>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4"/>
    </row>
    <row r="25" spans="1:28" ht="59.25" customHeight="1">
      <c r="A25" s="87" t="s">
        <v>83</v>
      </c>
      <c r="B25" s="162"/>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4"/>
    </row>
    <row r="26" spans="1:28" ht="59.25" customHeight="1">
      <c r="A26" s="87" t="s">
        <v>84</v>
      </c>
      <c r="B26" s="162"/>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4"/>
    </row>
    <row r="27" spans="1:28" ht="59.25" customHeight="1">
      <c r="A27" s="87" t="s">
        <v>85</v>
      </c>
      <c r="B27" s="162"/>
      <c r="C27" s="163"/>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4"/>
    </row>
    <row r="28" spans="1:28" ht="59.25" customHeight="1">
      <c r="A28" s="87" t="s">
        <v>86</v>
      </c>
      <c r="B28" s="162"/>
      <c r="C28" s="163"/>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4"/>
    </row>
    <row r="29" spans="1:28" ht="59.25" customHeight="1">
      <c r="A29" s="87" t="s">
        <v>87</v>
      </c>
      <c r="B29" s="162"/>
      <c r="C29" s="163"/>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163"/>
      <c r="AB29" s="164"/>
    </row>
    <row r="30" spans="1:28" ht="59.25" customHeight="1">
      <c r="A30" s="87" t="s">
        <v>88</v>
      </c>
      <c r="B30" s="162"/>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4"/>
    </row>
    <row r="31" spans="1:28" ht="59.25" customHeight="1">
      <c r="A31" s="87" t="s">
        <v>89</v>
      </c>
      <c r="B31" s="162"/>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4"/>
    </row>
    <row r="32" spans="1:28" ht="59.25" customHeight="1">
      <c r="A32" s="87" t="s">
        <v>90</v>
      </c>
      <c r="B32" s="162"/>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4"/>
    </row>
    <row r="33" spans="1:28" ht="59.25" customHeight="1">
      <c r="A33" s="87"/>
      <c r="B33" s="162"/>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4"/>
    </row>
    <row r="34" spans="1:28" ht="59.25" customHeight="1">
      <c r="A34" s="87"/>
      <c r="B34" s="162"/>
      <c r="C34" s="16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4"/>
    </row>
    <row r="35" spans="1:28" ht="59.25" customHeight="1">
      <c r="A35" s="87"/>
      <c r="B35" s="162"/>
      <c r="C35" s="16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4"/>
    </row>
    <row r="36" spans="1:28" ht="59.25" customHeight="1">
      <c r="A36" s="87"/>
      <c r="B36" s="162"/>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4"/>
    </row>
    <row r="37" spans="1:28" ht="59.25" customHeight="1">
      <c r="A37" s="87"/>
      <c r="B37" s="162"/>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4"/>
    </row>
    <row r="38" spans="1:28" ht="59.25" customHeight="1">
      <c r="A38" s="87"/>
      <c r="B38" s="162"/>
      <c r="C38" s="163"/>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163"/>
      <c r="AB38" s="164"/>
    </row>
    <row r="39" spans="1:28" ht="59.25" customHeight="1">
      <c r="A39" s="87"/>
      <c r="B39" s="16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4"/>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5:AB25"/>
    <mergeCell ref="B26:AB26"/>
    <mergeCell ref="B27:AB27"/>
    <mergeCell ref="A2:A12"/>
    <mergeCell ref="B14:AB14"/>
    <mergeCell ref="B15:AB15"/>
    <mergeCell ref="B16:AB16"/>
    <mergeCell ref="B17:AB17"/>
    <mergeCell ref="B18:AB18"/>
    <mergeCell ref="B19:AB19"/>
    <mergeCell ref="B20:AB20"/>
    <mergeCell ref="B21:AB21"/>
    <mergeCell ref="B22:AB22"/>
    <mergeCell ref="B23:AB23"/>
    <mergeCell ref="B24:AB24"/>
    <mergeCell ref="B28:AB28"/>
    <mergeCell ref="B29:AB29"/>
    <mergeCell ref="B30:AB30"/>
    <mergeCell ref="B31:AB31"/>
    <mergeCell ref="B32:AB32"/>
    <mergeCell ref="B38:AB38"/>
    <mergeCell ref="B39:AB39"/>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６－１</v>
      </c>
      <c r="B1" s="34" t="str">
        <f ca="1">RIGHT(CELL("filename",B1),LEN(CELL("filename",B1))-FIND("]",CELL("filename",B1)))</f>
        <v>英語</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37"/>
    </row>
    <row r="2" spans="1:30" ht="22.5" customHeight="1">
      <c r="A2" s="156" t="s">
        <v>229</v>
      </c>
      <c r="B2" s="77" t="s">
        <v>230</v>
      </c>
      <c r="C2" s="38" t="s">
        <v>26</v>
      </c>
      <c r="D2" s="39" t="s">
        <v>45</v>
      </c>
      <c r="E2" s="39" t="s">
        <v>45</v>
      </c>
      <c r="F2" s="39" t="s">
        <v>45</v>
      </c>
      <c r="G2" s="39" t="s">
        <v>49</v>
      </c>
      <c r="H2" s="39" t="s">
        <v>46</v>
      </c>
      <c r="I2" s="39" t="s">
        <v>45</v>
      </c>
      <c r="J2" s="39" t="s">
        <v>45</v>
      </c>
      <c r="K2" s="39" t="s">
        <v>46</v>
      </c>
      <c r="L2" s="39" t="s">
        <v>49</v>
      </c>
      <c r="M2" s="39" t="s">
        <v>46</v>
      </c>
      <c r="N2" s="39" t="s">
        <v>46</v>
      </c>
      <c r="O2" s="39" t="s">
        <v>46</v>
      </c>
      <c r="P2" s="39" t="s">
        <v>46</v>
      </c>
      <c r="Q2" s="39" t="s">
        <v>45</v>
      </c>
      <c r="R2" s="39" t="s">
        <v>45</v>
      </c>
      <c r="S2" s="39" t="s">
        <v>46</v>
      </c>
      <c r="T2" s="39" t="s">
        <v>46</v>
      </c>
      <c r="U2" s="39" t="s">
        <v>46</v>
      </c>
      <c r="V2" s="39"/>
      <c r="W2" s="39"/>
      <c r="X2" s="39"/>
      <c r="Y2" s="39"/>
      <c r="Z2" s="39"/>
      <c r="AA2" s="39"/>
      <c r="AB2" s="39"/>
      <c r="AC2" s="40" t="s">
        <v>231</v>
      </c>
      <c r="AD2" s="40">
        <v>1</v>
      </c>
    </row>
    <row r="3" spans="1:30" ht="22.5" customHeight="1">
      <c r="A3" s="157"/>
      <c r="B3" s="77" t="s">
        <v>114</v>
      </c>
      <c r="C3" s="38" t="s">
        <v>26</v>
      </c>
      <c r="D3" s="39" t="s">
        <v>45</v>
      </c>
      <c r="E3" s="39" t="s">
        <v>45</v>
      </c>
      <c r="F3" s="39" t="s">
        <v>46</v>
      </c>
      <c r="G3" s="39" t="s">
        <v>49</v>
      </c>
      <c r="H3" s="39" t="s">
        <v>46</v>
      </c>
      <c r="I3" s="39" t="s">
        <v>46</v>
      </c>
      <c r="J3" s="39" t="s">
        <v>45</v>
      </c>
      <c r="K3" s="39" t="s">
        <v>46</v>
      </c>
      <c r="L3" s="39" t="s">
        <v>45</v>
      </c>
      <c r="M3" s="39" t="s">
        <v>46</v>
      </c>
      <c r="N3" s="39" t="s">
        <v>46</v>
      </c>
      <c r="O3" s="39" t="s">
        <v>46</v>
      </c>
      <c r="P3" s="39" t="s">
        <v>46</v>
      </c>
      <c r="Q3" s="39" t="s">
        <v>46</v>
      </c>
      <c r="R3" s="39" t="s">
        <v>46</v>
      </c>
      <c r="S3" s="39" t="s">
        <v>46</v>
      </c>
      <c r="T3" s="39" t="s">
        <v>46</v>
      </c>
      <c r="U3" s="39" t="s">
        <v>46</v>
      </c>
      <c r="V3" s="39"/>
      <c r="W3" s="39"/>
      <c r="X3" s="39"/>
      <c r="Y3" s="39"/>
      <c r="Z3" s="39"/>
      <c r="AA3" s="39"/>
      <c r="AB3" s="39"/>
      <c r="AC3" s="40" t="s">
        <v>232</v>
      </c>
      <c r="AD3" s="40">
        <v>2</v>
      </c>
    </row>
    <row r="4" spans="1:30" ht="22.5" customHeight="1">
      <c r="A4" s="157"/>
      <c r="B4" s="77" t="s">
        <v>233</v>
      </c>
      <c r="C4" s="38" t="s">
        <v>26</v>
      </c>
      <c r="D4" s="39" t="s">
        <v>45</v>
      </c>
      <c r="E4" s="39" t="s">
        <v>45</v>
      </c>
      <c r="F4" s="39" t="s">
        <v>46</v>
      </c>
      <c r="G4" s="39" t="s">
        <v>45</v>
      </c>
      <c r="H4" s="39" t="s">
        <v>46</v>
      </c>
      <c r="I4" s="39" t="s">
        <v>46</v>
      </c>
      <c r="J4" s="39" t="s">
        <v>46</v>
      </c>
      <c r="K4" s="39" t="s">
        <v>46</v>
      </c>
      <c r="L4" s="39" t="s">
        <v>45</v>
      </c>
      <c r="M4" s="39" t="s">
        <v>46</v>
      </c>
      <c r="N4" s="39" t="s">
        <v>46</v>
      </c>
      <c r="O4" s="39" t="s">
        <v>46</v>
      </c>
      <c r="P4" s="39" t="s">
        <v>46</v>
      </c>
      <c r="Q4" s="39" t="s">
        <v>45</v>
      </c>
      <c r="R4" s="39" t="s">
        <v>46</v>
      </c>
      <c r="S4" s="39" t="s">
        <v>46</v>
      </c>
      <c r="T4" s="39" t="s">
        <v>46</v>
      </c>
      <c r="U4" s="39" t="s">
        <v>46</v>
      </c>
      <c r="V4" s="39"/>
      <c r="W4" s="39"/>
      <c r="X4" s="39"/>
      <c r="Y4" s="39"/>
      <c r="Z4" s="39"/>
      <c r="AA4" s="39"/>
      <c r="AB4" s="39"/>
      <c r="AC4" s="40" t="s">
        <v>234</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235</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210</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t="s">
        <v>66</v>
      </c>
      <c r="E12" s="39" t="s">
        <v>66</v>
      </c>
      <c r="F12" s="39" t="s">
        <v>67</v>
      </c>
      <c r="G12" s="39" t="s">
        <v>115</v>
      </c>
      <c r="H12" s="39" t="s">
        <v>68</v>
      </c>
      <c r="I12" s="39" t="s">
        <v>67</v>
      </c>
      <c r="J12" s="39" t="s">
        <v>66</v>
      </c>
      <c r="K12" s="39" t="s">
        <v>68</v>
      </c>
      <c r="L12" s="39" t="s">
        <v>66</v>
      </c>
      <c r="M12" s="39" t="s">
        <v>68</v>
      </c>
      <c r="N12" s="39" t="s">
        <v>68</v>
      </c>
      <c r="O12" s="39" t="s">
        <v>68</v>
      </c>
      <c r="P12" s="39" t="s">
        <v>68</v>
      </c>
      <c r="Q12" s="39" t="s">
        <v>66</v>
      </c>
      <c r="R12" s="39" t="s">
        <v>67</v>
      </c>
      <c r="S12" s="39" t="s">
        <v>68</v>
      </c>
      <c r="T12" s="39" t="s">
        <v>68</v>
      </c>
      <c r="U12" s="39" t="s">
        <v>68</v>
      </c>
      <c r="V12" s="39"/>
      <c r="W12" s="39"/>
      <c r="X12" s="39"/>
      <c r="Y12" s="39"/>
      <c r="Z12" s="39"/>
      <c r="AA12" s="39"/>
      <c r="AB12" s="39"/>
    </row>
    <row r="13" spans="1:30" ht="26.25" customHeight="1">
      <c r="A13" s="44"/>
      <c r="B13" s="44"/>
      <c r="C13" s="80" t="s">
        <v>59</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73</v>
      </c>
      <c r="B15" s="153" t="s">
        <v>116</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74</v>
      </c>
      <c r="B16" s="153" t="s">
        <v>117</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75</v>
      </c>
      <c r="B17" s="153" t="s">
        <v>118</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76</v>
      </c>
      <c r="B18" s="153" t="s">
        <v>119</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77</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78</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79</v>
      </c>
      <c r="B21" s="153" t="s">
        <v>120</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80</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81</v>
      </c>
      <c r="B23" s="153" t="s">
        <v>121</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82</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83</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84</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85</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t="s">
        <v>122</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87</v>
      </c>
      <c r="B29" s="153" t="s">
        <v>123</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88</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89</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90</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A2:A12"/>
    <mergeCell ref="B14:AB14"/>
    <mergeCell ref="B15:AB15"/>
    <mergeCell ref="B16:AB16"/>
    <mergeCell ref="B17:AB17"/>
    <mergeCell ref="B18:AB18"/>
    <mergeCell ref="B19:AB19"/>
    <mergeCell ref="B20:AB20"/>
    <mergeCell ref="B21:AB21"/>
    <mergeCell ref="B22:AB22"/>
    <mergeCell ref="B25:AB25"/>
    <mergeCell ref="B26:AB26"/>
    <mergeCell ref="B27:AB27"/>
    <mergeCell ref="B28:AB28"/>
    <mergeCell ref="B29:AB29"/>
    <mergeCell ref="B38:AB38"/>
    <mergeCell ref="B39:AB39"/>
    <mergeCell ref="B30:AB30"/>
    <mergeCell ref="B31:AB31"/>
    <mergeCell ref="B32:AB32"/>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６－１</v>
      </c>
      <c r="B1" s="34" t="str">
        <f ca="1">RIGHT(CELL("filename",B1),LEN(CELL("filename",B1))-FIND("]",CELL("filename",B1)))</f>
        <v>音楽</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37"/>
    </row>
    <row r="2" spans="1:30" ht="22.5" customHeight="1">
      <c r="A2" s="156" t="s">
        <v>206</v>
      </c>
      <c r="B2" s="77" t="s">
        <v>124</v>
      </c>
      <c r="C2" s="38" t="s">
        <v>26</v>
      </c>
      <c r="D2" s="39" t="s">
        <v>236</v>
      </c>
      <c r="E2" s="39" t="s">
        <v>237</v>
      </c>
      <c r="F2" s="39" t="s">
        <v>238</v>
      </c>
      <c r="G2" s="39" t="s">
        <v>236</v>
      </c>
      <c r="H2" s="39" t="s">
        <v>239</v>
      </c>
      <c r="I2" s="39" t="s">
        <v>239</v>
      </c>
      <c r="J2" s="39" t="s">
        <v>238</v>
      </c>
      <c r="K2" s="39" t="s">
        <v>239</v>
      </c>
      <c r="L2" s="39" t="s">
        <v>239</v>
      </c>
      <c r="M2" s="39" t="s">
        <v>239</v>
      </c>
      <c r="N2" s="39" t="s">
        <v>239</v>
      </c>
      <c r="O2" s="39" t="s">
        <v>239</v>
      </c>
      <c r="P2" s="39" t="s">
        <v>239</v>
      </c>
      <c r="Q2" s="39" t="s">
        <v>239</v>
      </c>
      <c r="R2" s="39" t="s">
        <v>239</v>
      </c>
      <c r="S2" s="39" t="s">
        <v>239</v>
      </c>
      <c r="T2" s="39" t="s">
        <v>239</v>
      </c>
      <c r="U2" s="39" t="s">
        <v>239</v>
      </c>
      <c r="V2" s="39"/>
      <c r="W2" s="39"/>
      <c r="X2" s="39"/>
      <c r="Y2" s="39"/>
      <c r="Z2" s="39"/>
      <c r="AA2" s="39"/>
      <c r="AB2" s="39"/>
      <c r="AC2" s="40" t="s">
        <v>239</v>
      </c>
      <c r="AD2" s="40">
        <v>1</v>
      </c>
    </row>
    <row r="3" spans="1:30" ht="22.5" customHeight="1">
      <c r="A3" s="157"/>
      <c r="B3" s="77" t="s">
        <v>125</v>
      </c>
      <c r="C3" s="38" t="s">
        <v>26</v>
      </c>
      <c r="D3" s="39" t="s">
        <v>237</v>
      </c>
      <c r="E3" s="39" t="s">
        <v>237</v>
      </c>
      <c r="F3" s="39" t="s">
        <v>239</v>
      </c>
      <c r="G3" s="39" t="s">
        <v>237</v>
      </c>
      <c r="H3" s="39" t="s">
        <v>239</v>
      </c>
      <c r="I3" s="39" t="s">
        <v>239</v>
      </c>
      <c r="J3" s="39" t="s">
        <v>236</v>
      </c>
      <c r="K3" s="39" t="s">
        <v>236</v>
      </c>
      <c r="L3" s="39" t="s">
        <v>239</v>
      </c>
      <c r="M3" s="39" t="s">
        <v>239</v>
      </c>
      <c r="N3" s="39" t="s">
        <v>239</v>
      </c>
      <c r="O3" s="39" t="s">
        <v>239</v>
      </c>
      <c r="P3" s="39" t="s">
        <v>239</v>
      </c>
      <c r="Q3" s="39" t="s">
        <v>237</v>
      </c>
      <c r="R3" s="39" t="s">
        <v>237</v>
      </c>
      <c r="S3" s="39" t="s">
        <v>239</v>
      </c>
      <c r="T3" s="39" t="s">
        <v>237</v>
      </c>
      <c r="U3" s="39" t="s">
        <v>239</v>
      </c>
      <c r="V3" s="39"/>
      <c r="W3" s="39"/>
      <c r="X3" s="39"/>
      <c r="Y3" s="39"/>
      <c r="Z3" s="39"/>
      <c r="AA3" s="39"/>
      <c r="AB3" s="39"/>
      <c r="AC3" s="40" t="s">
        <v>237</v>
      </c>
      <c r="AD3" s="40">
        <v>2</v>
      </c>
    </row>
    <row r="4" spans="1:30" ht="22.5" customHeight="1">
      <c r="A4" s="157"/>
      <c r="B4" s="77" t="s">
        <v>126</v>
      </c>
      <c r="C4" s="38" t="s">
        <v>26</v>
      </c>
      <c r="D4" s="39" t="s">
        <v>237</v>
      </c>
      <c r="E4" s="39" t="s">
        <v>239</v>
      </c>
      <c r="F4" s="39" t="s">
        <v>239</v>
      </c>
      <c r="G4" s="39" t="s">
        <v>239</v>
      </c>
      <c r="H4" s="39" t="s">
        <v>239</v>
      </c>
      <c r="I4" s="39" t="s">
        <v>239</v>
      </c>
      <c r="J4" s="39" t="s">
        <v>239</v>
      </c>
      <c r="K4" s="39" t="s">
        <v>239</v>
      </c>
      <c r="L4" s="39" t="s">
        <v>239</v>
      </c>
      <c r="M4" s="39" t="s">
        <v>239</v>
      </c>
      <c r="N4" s="39" t="s">
        <v>239</v>
      </c>
      <c r="O4" s="39" t="s">
        <v>239</v>
      </c>
      <c r="P4" s="39" t="s">
        <v>239</v>
      </c>
      <c r="Q4" s="39" t="s">
        <v>239</v>
      </c>
      <c r="R4" s="39" t="s">
        <v>239</v>
      </c>
      <c r="S4" s="39" t="s">
        <v>239</v>
      </c>
      <c r="T4" s="39" t="s">
        <v>239</v>
      </c>
      <c r="U4" s="39" t="s">
        <v>239</v>
      </c>
      <c r="V4" s="39"/>
      <c r="W4" s="39"/>
      <c r="X4" s="39"/>
      <c r="Y4" s="39"/>
      <c r="Z4" s="39"/>
      <c r="AA4" s="39"/>
      <c r="AB4" s="39"/>
      <c r="AC4" s="40" t="s">
        <v>209</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210</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210</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3</v>
      </c>
      <c r="E12" s="39">
        <v>3</v>
      </c>
      <c r="F12" s="39">
        <v>5</v>
      </c>
      <c r="G12" s="39">
        <v>3</v>
      </c>
      <c r="H12" s="39">
        <v>5</v>
      </c>
      <c r="I12" s="39">
        <v>5</v>
      </c>
      <c r="J12" s="39">
        <v>4</v>
      </c>
      <c r="K12" s="39">
        <v>4</v>
      </c>
      <c r="L12" s="39">
        <v>5</v>
      </c>
      <c r="M12" s="39">
        <v>5</v>
      </c>
      <c r="N12" s="39">
        <v>5</v>
      </c>
      <c r="O12" s="39">
        <v>5</v>
      </c>
      <c r="P12" s="39">
        <v>5</v>
      </c>
      <c r="Q12" s="39">
        <v>4</v>
      </c>
      <c r="R12" s="39">
        <v>4</v>
      </c>
      <c r="S12" s="39">
        <v>5</v>
      </c>
      <c r="T12" s="39">
        <v>4</v>
      </c>
      <c r="U12" s="39">
        <v>5</v>
      </c>
      <c r="V12" s="39"/>
      <c r="W12" s="39"/>
      <c r="X12" s="39"/>
      <c r="Y12" s="39"/>
      <c r="Z12" s="39"/>
      <c r="AA12" s="39"/>
      <c r="AB12" s="39"/>
    </row>
    <row r="13" spans="1:30" ht="26.25" customHeight="1">
      <c r="A13" s="44"/>
      <c r="B13" s="44"/>
      <c r="C13" s="80" t="s">
        <v>59</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73</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74</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75</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77</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78</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79</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80</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81</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82</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83</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84</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85</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87</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88</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89</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90</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A2:A12"/>
    <mergeCell ref="B14:AB14"/>
    <mergeCell ref="B15:AB15"/>
    <mergeCell ref="B16:AB16"/>
    <mergeCell ref="B17:AB17"/>
    <mergeCell ref="B18:AB18"/>
    <mergeCell ref="B19:AB19"/>
    <mergeCell ref="B20:AB20"/>
    <mergeCell ref="B21:AB21"/>
    <mergeCell ref="B22:AB22"/>
    <mergeCell ref="B25:AB25"/>
    <mergeCell ref="B26:AB26"/>
    <mergeCell ref="B27:AB27"/>
    <mergeCell ref="B28:AB28"/>
    <mergeCell ref="B29:AB29"/>
    <mergeCell ref="B38:AB38"/>
    <mergeCell ref="B39:AB39"/>
    <mergeCell ref="B30:AB30"/>
    <mergeCell ref="B31:AB31"/>
    <mergeCell ref="B32:AB32"/>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６－１</v>
      </c>
      <c r="B1" s="34" t="str">
        <f ca="1">RIGHT(CELL("filename",B1),LEN(CELL("filename",B1))-FIND("]",CELL("filename",B1)))</f>
        <v>図工</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37"/>
    </row>
    <row r="2" spans="1:30" ht="22.5" customHeight="1">
      <c r="A2" s="156" t="s">
        <v>240</v>
      </c>
      <c r="B2" s="77" t="s">
        <v>127</v>
      </c>
      <c r="C2" s="38" t="s">
        <v>26</v>
      </c>
      <c r="D2" s="39" t="s">
        <v>241</v>
      </c>
      <c r="E2" s="39" t="s">
        <v>69</v>
      </c>
      <c r="F2" s="39" t="s">
        <v>69</v>
      </c>
      <c r="G2" s="39" t="s">
        <v>69</v>
      </c>
      <c r="H2" s="39" t="s">
        <v>69</v>
      </c>
      <c r="I2" s="39" t="s">
        <v>242</v>
      </c>
      <c r="J2" s="39" t="s">
        <v>242</v>
      </c>
      <c r="K2" s="39" t="s">
        <v>243</v>
      </c>
      <c r="L2" s="39" t="s">
        <v>242</v>
      </c>
      <c r="M2" s="39" t="s">
        <v>242</v>
      </c>
      <c r="N2" s="39" t="s">
        <v>237</v>
      </c>
      <c r="O2" s="39" t="s">
        <v>239</v>
      </c>
      <c r="P2" s="39" t="s">
        <v>244</v>
      </c>
      <c r="Q2" s="39" t="s">
        <v>242</v>
      </c>
      <c r="R2" s="39" t="s">
        <v>69</v>
      </c>
      <c r="S2" s="39" t="s">
        <v>237</v>
      </c>
      <c r="T2" s="39" t="s">
        <v>239</v>
      </c>
      <c r="U2" s="39" t="s">
        <v>237</v>
      </c>
      <c r="V2" s="39"/>
      <c r="W2" s="39"/>
      <c r="X2" s="39"/>
      <c r="Y2" s="39"/>
      <c r="Z2" s="39"/>
      <c r="AA2" s="39"/>
      <c r="AB2" s="39"/>
      <c r="AC2" s="40" t="s">
        <v>241</v>
      </c>
      <c r="AD2" s="40">
        <v>1</v>
      </c>
    </row>
    <row r="3" spans="1:30" ht="22.5" customHeight="1">
      <c r="A3" s="157"/>
      <c r="B3" s="77" t="s">
        <v>245</v>
      </c>
      <c r="C3" s="38" t="s">
        <v>26</v>
      </c>
      <c r="D3" s="39" t="s">
        <v>241</v>
      </c>
      <c r="E3" s="39" t="s">
        <v>239</v>
      </c>
      <c r="F3" s="39" t="s">
        <v>239</v>
      </c>
      <c r="G3" s="39" t="s">
        <v>239</v>
      </c>
      <c r="H3" s="39" t="s">
        <v>239</v>
      </c>
      <c r="I3" s="39" t="s">
        <v>239</v>
      </c>
      <c r="J3" s="39" t="s">
        <v>237</v>
      </c>
      <c r="K3" s="39" t="s">
        <v>242</v>
      </c>
      <c r="L3" s="39" t="s">
        <v>237</v>
      </c>
      <c r="M3" s="39" t="s">
        <v>237</v>
      </c>
      <c r="N3" s="39" t="s">
        <v>239</v>
      </c>
      <c r="O3" s="39" t="s">
        <v>239</v>
      </c>
      <c r="P3" s="39" t="s">
        <v>239</v>
      </c>
      <c r="Q3" s="39" t="s">
        <v>242</v>
      </c>
      <c r="R3" s="39" t="s">
        <v>239</v>
      </c>
      <c r="S3" s="39" t="s">
        <v>239</v>
      </c>
      <c r="T3" s="39" t="s">
        <v>237</v>
      </c>
      <c r="U3" s="39" t="s">
        <v>237</v>
      </c>
      <c r="V3" s="39"/>
      <c r="W3" s="39"/>
      <c r="X3" s="39"/>
      <c r="Y3" s="39"/>
      <c r="Z3" s="39"/>
      <c r="AA3" s="39"/>
      <c r="AB3" s="39"/>
      <c r="AC3" s="40" t="s">
        <v>237</v>
      </c>
      <c r="AD3" s="40">
        <v>2</v>
      </c>
    </row>
    <row r="4" spans="1:30" ht="22.5" customHeight="1">
      <c r="A4" s="157"/>
      <c r="B4" s="77" t="s">
        <v>128</v>
      </c>
      <c r="C4" s="38" t="s">
        <v>26</v>
      </c>
      <c r="D4" s="39" t="s">
        <v>237</v>
      </c>
      <c r="E4" s="39" t="s">
        <v>209</v>
      </c>
      <c r="F4" s="39" t="s">
        <v>237</v>
      </c>
      <c r="G4" s="39" t="s">
        <v>209</v>
      </c>
      <c r="H4" s="39" t="s">
        <v>239</v>
      </c>
      <c r="I4" s="39" t="s">
        <v>239</v>
      </c>
      <c r="J4" s="39" t="s">
        <v>237</v>
      </c>
      <c r="K4" s="39" t="s">
        <v>65</v>
      </c>
      <c r="L4" s="39" t="s">
        <v>237</v>
      </c>
      <c r="M4" s="39" t="s">
        <v>239</v>
      </c>
      <c r="N4" s="39" t="s">
        <v>65</v>
      </c>
      <c r="O4" s="39" t="s">
        <v>237</v>
      </c>
      <c r="P4" s="39" t="s">
        <v>239</v>
      </c>
      <c r="Q4" s="39" t="s">
        <v>246</v>
      </c>
      <c r="R4" s="39" t="s">
        <v>209</v>
      </c>
      <c r="S4" s="39" t="s">
        <v>239</v>
      </c>
      <c r="T4" s="39" t="s">
        <v>237</v>
      </c>
      <c r="U4" s="39" t="s">
        <v>209</v>
      </c>
      <c r="V4" s="39"/>
      <c r="W4" s="39"/>
      <c r="X4" s="39"/>
      <c r="Y4" s="39"/>
      <c r="Z4" s="39"/>
      <c r="AA4" s="39"/>
      <c r="AB4" s="39"/>
      <c r="AC4" s="40" t="s">
        <v>209</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210</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210</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4</v>
      </c>
      <c r="E12" s="39">
        <v>3</v>
      </c>
      <c r="F12" s="39">
        <v>4</v>
      </c>
      <c r="G12" s="39">
        <v>3</v>
      </c>
      <c r="H12" s="39">
        <v>5</v>
      </c>
      <c r="I12" s="39">
        <v>4</v>
      </c>
      <c r="J12" s="39">
        <v>3</v>
      </c>
      <c r="K12" s="39">
        <v>3</v>
      </c>
      <c r="L12" s="39">
        <v>3</v>
      </c>
      <c r="M12" s="39">
        <v>3</v>
      </c>
      <c r="N12" s="39">
        <v>3</v>
      </c>
      <c r="O12" s="39">
        <v>4</v>
      </c>
      <c r="P12" s="39">
        <v>4</v>
      </c>
      <c r="Q12" s="39">
        <v>3</v>
      </c>
      <c r="R12" s="39">
        <v>3</v>
      </c>
      <c r="S12" s="39">
        <v>4</v>
      </c>
      <c r="T12" s="39">
        <v>3</v>
      </c>
      <c r="U12" s="39">
        <v>3</v>
      </c>
      <c r="V12" s="39"/>
      <c r="W12" s="39"/>
      <c r="X12" s="39"/>
      <c r="Y12" s="39"/>
      <c r="Z12" s="39"/>
      <c r="AA12" s="39"/>
      <c r="AB12" s="39"/>
    </row>
    <row r="13" spans="1:30" ht="26.25" customHeight="1">
      <c r="A13" s="44"/>
      <c r="B13" s="44"/>
      <c r="C13" s="80" t="s">
        <v>59</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73</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74</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75</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77</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78</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79</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80</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81</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82</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83</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84</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85</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87</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88</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89</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90</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A2:A12"/>
    <mergeCell ref="B14:AB14"/>
    <mergeCell ref="B15:AB15"/>
    <mergeCell ref="B16:AB16"/>
    <mergeCell ref="B17:AB17"/>
    <mergeCell ref="B18:AB18"/>
    <mergeCell ref="B19:AB19"/>
    <mergeCell ref="B20:AB20"/>
    <mergeCell ref="B21:AB21"/>
    <mergeCell ref="B22:AB22"/>
    <mergeCell ref="B25:AB25"/>
    <mergeCell ref="B26:AB26"/>
    <mergeCell ref="B27:AB27"/>
    <mergeCell ref="B28:AB28"/>
    <mergeCell ref="B29:AB29"/>
    <mergeCell ref="B38:AB38"/>
    <mergeCell ref="B39:AB39"/>
    <mergeCell ref="B30:AB30"/>
    <mergeCell ref="B31:AB31"/>
    <mergeCell ref="B32:AB32"/>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６－１</v>
      </c>
      <c r="B1" s="34" t="str">
        <f ca="1">RIGHT(CELL("filename",B1),LEN(CELL("filename",B1))-FIND("]",CELL("filename",B1)))</f>
        <v>体育</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37"/>
    </row>
    <row r="2" spans="1:30" ht="22.5" customHeight="1">
      <c r="A2" s="156" t="s">
        <v>247</v>
      </c>
      <c r="B2" s="77" t="s">
        <v>129</v>
      </c>
      <c r="C2" s="38" t="s">
        <v>26</v>
      </c>
      <c r="D2" s="39" t="s">
        <v>248</v>
      </c>
      <c r="E2" s="39" t="s">
        <v>249</v>
      </c>
      <c r="F2" s="39" t="s">
        <v>248</v>
      </c>
      <c r="G2" s="39" t="s">
        <v>250</v>
      </c>
      <c r="H2" s="39" t="s">
        <v>248</v>
      </c>
      <c r="I2" s="39" t="s">
        <v>239</v>
      </c>
      <c r="J2" s="39" t="s">
        <v>249</v>
      </c>
      <c r="K2" s="39" t="s">
        <v>237</v>
      </c>
      <c r="L2" s="39" t="s">
        <v>250</v>
      </c>
      <c r="M2" s="39" t="s">
        <v>249</v>
      </c>
      <c r="N2" s="39" t="s">
        <v>250</v>
      </c>
      <c r="O2" s="39" t="s">
        <v>237</v>
      </c>
      <c r="P2" s="39" t="s">
        <v>250</v>
      </c>
      <c r="Q2" s="39" t="s">
        <v>237</v>
      </c>
      <c r="R2" s="39" t="s">
        <v>237</v>
      </c>
      <c r="S2" s="39" t="s">
        <v>237</v>
      </c>
      <c r="T2" s="39" t="s">
        <v>250</v>
      </c>
      <c r="U2" s="39" t="s">
        <v>237</v>
      </c>
      <c r="V2" s="39"/>
      <c r="W2" s="39"/>
      <c r="X2" s="39"/>
      <c r="Y2" s="39"/>
      <c r="Z2" s="39"/>
      <c r="AA2" s="39"/>
      <c r="AB2" s="39"/>
      <c r="AC2" s="40" t="s">
        <v>239</v>
      </c>
      <c r="AD2" s="40">
        <v>1</v>
      </c>
    </row>
    <row r="3" spans="1:30" ht="22.5" customHeight="1">
      <c r="A3" s="157"/>
      <c r="B3" s="77" t="s">
        <v>130</v>
      </c>
      <c r="C3" s="38" t="s">
        <v>26</v>
      </c>
      <c r="D3" s="39" t="s">
        <v>250</v>
      </c>
      <c r="E3" s="39" t="s">
        <v>239</v>
      </c>
      <c r="F3" s="39" t="s">
        <v>239</v>
      </c>
      <c r="G3" s="39" t="s">
        <v>237</v>
      </c>
      <c r="H3" s="39" t="s">
        <v>239</v>
      </c>
      <c r="I3" s="39" t="s">
        <v>239</v>
      </c>
      <c r="J3" s="39" t="s">
        <v>239</v>
      </c>
      <c r="K3" s="39" t="s">
        <v>249</v>
      </c>
      <c r="L3" s="39" t="s">
        <v>239</v>
      </c>
      <c r="M3" s="39" t="s">
        <v>239</v>
      </c>
      <c r="N3" s="39" t="s">
        <v>249</v>
      </c>
      <c r="O3" s="39" t="s">
        <v>249</v>
      </c>
      <c r="P3" s="39" t="s">
        <v>239</v>
      </c>
      <c r="Q3" s="39" t="s">
        <v>239</v>
      </c>
      <c r="R3" s="39" t="s">
        <v>239</v>
      </c>
      <c r="S3" s="39" t="s">
        <v>249</v>
      </c>
      <c r="T3" s="39" t="s">
        <v>239</v>
      </c>
      <c r="U3" s="39" t="s">
        <v>239</v>
      </c>
      <c r="V3" s="39"/>
      <c r="W3" s="39"/>
      <c r="X3" s="39"/>
      <c r="Y3" s="39"/>
      <c r="Z3" s="39"/>
      <c r="AA3" s="39"/>
      <c r="AB3" s="39"/>
      <c r="AC3" s="40" t="s">
        <v>237</v>
      </c>
      <c r="AD3" s="40">
        <v>2</v>
      </c>
    </row>
    <row r="4" spans="1:30" ht="22.5" customHeight="1">
      <c r="A4" s="157"/>
      <c r="B4" s="77" t="s">
        <v>131</v>
      </c>
      <c r="C4" s="38" t="s">
        <v>26</v>
      </c>
      <c r="D4" s="39" t="s">
        <v>239</v>
      </c>
      <c r="E4" s="39" t="s">
        <v>239</v>
      </c>
      <c r="F4" s="39" t="s">
        <v>239</v>
      </c>
      <c r="G4" s="39" t="s">
        <v>239</v>
      </c>
      <c r="H4" s="39" t="s">
        <v>239</v>
      </c>
      <c r="I4" s="39" t="s">
        <v>239</v>
      </c>
      <c r="J4" s="39" t="s">
        <v>239</v>
      </c>
      <c r="K4" s="39" t="s">
        <v>239</v>
      </c>
      <c r="L4" s="39" t="s">
        <v>237</v>
      </c>
      <c r="M4" s="39" t="s">
        <v>239</v>
      </c>
      <c r="N4" s="39" t="s">
        <v>239</v>
      </c>
      <c r="O4" s="39" t="s">
        <v>239</v>
      </c>
      <c r="P4" s="39" t="s">
        <v>239</v>
      </c>
      <c r="Q4" s="39" t="s">
        <v>239</v>
      </c>
      <c r="R4" s="39" t="s">
        <v>239</v>
      </c>
      <c r="S4" s="39" t="s">
        <v>239</v>
      </c>
      <c r="T4" s="39" t="s">
        <v>239</v>
      </c>
      <c r="U4" s="39" t="s">
        <v>237</v>
      </c>
      <c r="V4" s="39"/>
      <c r="W4" s="39"/>
      <c r="X4" s="39"/>
      <c r="Y4" s="39"/>
      <c r="Z4" s="39"/>
      <c r="AA4" s="39"/>
      <c r="AB4" s="39"/>
      <c r="AC4" s="40" t="s">
        <v>209</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210</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210</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4</v>
      </c>
      <c r="E12" s="39">
        <v>5</v>
      </c>
      <c r="F12" s="39">
        <v>5</v>
      </c>
      <c r="G12" s="39">
        <v>3</v>
      </c>
      <c r="H12" s="39">
        <v>5</v>
      </c>
      <c r="I12" s="39">
        <v>5</v>
      </c>
      <c r="J12" s="39">
        <v>5</v>
      </c>
      <c r="K12" s="39">
        <v>4</v>
      </c>
      <c r="L12" s="39">
        <v>3</v>
      </c>
      <c r="M12" s="39">
        <v>5</v>
      </c>
      <c r="N12" s="39">
        <v>4</v>
      </c>
      <c r="O12" s="39">
        <v>4</v>
      </c>
      <c r="P12" s="39">
        <v>4</v>
      </c>
      <c r="Q12" s="39">
        <v>4</v>
      </c>
      <c r="R12" s="39">
        <v>4</v>
      </c>
      <c r="S12" s="39">
        <v>4</v>
      </c>
      <c r="T12" s="39">
        <v>4</v>
      </c>
      <c r="U12" s="39">
        <v>3</v>
      </c>
      <c r="V12" s="39"/>
      <c r="W12" s="39"/>
      <c r="X12" s="39"/>
      <c r="Y12" s="39"/>
      <c r="Z12" s="39"/>
      <c r="AA12" s="39"/>
      <c r="AB12" s="39"/>
    </row>
    <row r="13" spans="1:30" ht="26.25" customHeight="1">
      <c r="A13" s="44"/>
      <c r="B13" s="44"/>
      <c r="C13" s="80" t="s">
        <v>59</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73</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74</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75</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77</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78</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79</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80</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81</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82</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83</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84</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85</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87</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88</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89</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90</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A2:A12"/>
    <mergeCell ref="B14:AB14"/>
    <mergeCell ref="B15:AB15"/>
    <mergeCell ref="B16:AB16"/>
    <mergeCell ref="B17:AB17"/>
    <mergeCell ref="B18:AB18"/>
    <mergeCell ref="B19:AB19"/>
    <mergeCell ref="B20:AB20"/>
    <mergeCell ref="B21:AB21"/>
    <mergeCell ref="B22:AB22"/>
    <mergeCell ref="B25:AB25"/>
    <mergeCell ref="B26:AB26"/>
    <mergeCell ref="B27:AB27"/>
    <mergeCell ref="B28:AB28"/>
    <mergeCell ref="B29:AB29"/>
    <mergeCell ref="B38:AB38"/>
    <mergeCell ref="B39:AB39"/>
    <mergeCell ref="B30:AB30"/>
    <mergeCell ref="B31:AB31"/>
    <mergeCell ref="B32:AB32"/>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６－１</v>
      </c>
      <c r="B1" s="34" t="str">
        <f ca="1">RIGHT(CELL("filename",B1),LEN(CELL("filename",B1))-FIND("]",CELL("filename",B1)))</f>
        <v>家庭</v>
      </c>
      <c r="C1" s="35" t="s">
        <v>25</v>
      </c>
      <c r="D1" s="36" t="str">
        <f>A15</f>
        <v>秋山 晃佑</v>
      </c>
      <c r="E1" s="36" t="str">
        <f>A16</f>
        <v>阿部 由和</v>
      </c>
      <c r="F1" s="36" t="str">
        <f>A17</f>
        <v>伊藤 紗和</v>
      </c>
      <c r="G1" s="36" t="str">
        <f>A18</f>
        <v>伊藤 大翔</v>
      </c>
      <c r="H1" s="36" t="str">
        <f>A19</f>
        <v>岡田 帆香</v>
      </c>
      <c r="I1" s="36" t="str">
        <f>A20</f>
        <v>小口 絵麻</v>
      </c>
      <c r="J1" s="36" t="str">
        <f>A21</f>
        <v>小栗 桃愛</v>
      </c>
      <c r="K1" s="36" t="str">
        <f>A22</f>
        <v>上條 惇也</v>
      </c>
      <c r="L1" s="36" t="str">
        <f>A23</f>
        <v>上條 美生</v>
      </c>
      <c r="M1" s="36" t="str">
        <f>A24</f>
        <v>佐藤 くるみ</v>
      </c>
      <c r="N1" s="36" t="str">
        <f>A25</f>
        <v>杉野 葉琉</v>
      </c>
      <c r="O1" s="36" t="str">
        <f>A26</f>
        <v>杉本 灯</v>
      </c>
      <c r="P1" s="36" t="str">
        <f>A27</f>
        <v>長崎 結</v>
      </c>
      <c r="Q1" s="36" t="str">
        <f>A28</f>
        <v>宮下 貫正</v>
      </c>
      <c r="R1" s="36" t="str">
        <f>A29</f>
        <v>宮島 煌季</v>
      </c>
      <c r="S1" s="36" t="str">
        <f>A30</f>
        <v>山﨑 大輝</v>
      </c>
      <c r="T1" s="36" t="str">
        <f>A31</f>
        <v>横井 快斗</v>
      </c>
      <c r="U1" s="36" t="str">
        <f>A32</f>
        <v>吉河 治輝</v>
      </c>
      <c r="V1" s="36">
        <f>A33</f>
        <v>0</v>
      </c>
      <c r="W1" s="36">
        <f>A34</f>
        <v>0</v>
      </c>
      <c r="X1" s="36">
        <f>A35</f>
        <v>0</v>
      </c>
      <c r="Y1" s="36">
        <f>A36</f>
        <v>0</v>
      </c>
      <c r="Z1" s="36">
        <f>A37</f>
        <v>0</v>
      </c>
      <c r="AA1" s="36">
        <f>A38</f>
        <v>0</v>
      </c>
      <c r="AB1" s="36">
        <f>A39</f>
        <v>0</v>
      </c>
      <c r="AC1" s="37"/>
    </row>
    <row r="2" spans="1:30" ht="22.5" customHeight="1">
      <c r="A2" s="156" t="s">
        <v>251</v>
      </c>
      <c r="B2" s="89" t="s">
        <v>132</v>
      </c>
      <c r="C2" s="38" t="s">
        <v>26</v>
      </c>
      <c r="D2" s="39" t="s">
        <v>252</v>
      </c>
      <c r="E2" s="39" t="s">
        <v>253</v>
      </c>
      <c r="F2" s="39" t="s">
        <v>252</v>
      </c>
      <c r="G2" s="39" t="s">
        <v>252</v>
      </c>
      <c r="H2" s="39" t="s">
        <v>252</v>
      </c>
      <c r="I2" s="39" t="s">
        <v>239</v>
      </c>
      <c r="J2" s="39" t="s">
        <v>253</v>
      </c>
      <c r="K2" s="39" t="s">
        <v>252</v>
      </c>
      <c r="L2" s="39" t="s">
        <v>253</v>
      </c>
      <c r="M2" s="39" t="s">
        <v>252</v>
      </c>
      <c r="N2" s="39" t="s">
        <v>252</v>
      </c>
      <c r="O2" s="39" t="s">
        <v>253</v>
      </c>
      <c r="P2" s="39" t="s">
        <v>65</v>
      </c>
      <c r="Q2" s="39" t="s">
        <v>253</v>
      </c>
      <c r="R2" s="39" t="s">
        <v>253</v>
      </c>
      <c r="S2" s="39" t="s">
        <v>252</v>
      </c>
      <c r="T2" s="39" t="s">
        <v>69</v>
      </c>
      <c r="U2" s="39" t="s">
        <v>252</v>
      </c>
      <c r="V2" s="39"/>
      <c r="W2" s="39"/>
      <c r="X2" s="39"/>
      <c r="Y2" s="39"/>
      <c r="Z2" s="39"/>
      <c r="AA2" s="39"/>
      <c r="AB2" s="39"/>
      <c r="AC2" s="40" t="s">
        <v>239</v>
      </c>
      <c r="AD2" s="40">
        <v>1</v>
      </c>
    </row>
    <row r="3" spans="1:30" ht="22.5" customHeight="1">
      <c r="A3" s="157"/>
      <c r="B3" s="89" t="s">
        <v>133</v>
      </c>
      <c r="C3" s="38" t="s">
        <v>26</v>
      </c>
      <c r="D3" s="39" t="s">
        <v>253</v>
      </c>
      <c r="E3" s="39" t="s">
        <v>253</v>
      </c>
      <c r="F3" s="39" t="s">
        <v>252</v>
      </c>
      <c r="G3" s="39" t="s">
        <v>65</v>
      </c>
      <c r="H3" s="39" t="s">
        <v>252</v>
      </c>
      <c r="I3" s="39" t="s">
        <v>239</v>
      </c>
      <c r="J3" s="39" t="s">
        <v>252</v>
      </c>
      <c r="K3" s="39" t="s">
        <v>69</v>
      </c>
      <c r="L3" s="39" t="s">
        <v>239</v>
      </c>
      <c r="M3" s="39" t="s">
        <v>239</v>
      </c>
      <c r="N3" s="39" t="s">
        <v>252</v>
      </c>
      <c r="O3" s="39" t="s">
        <v>239</v>
      </c>
      <c r="P3" s="39" t="s">
        <v>239</v>
      </c>
      <c r="Q3" s="39" t="s">
        <v>237</v>
      </c>
      <c r="R3" s="39" t="s">
        <v>65</v>
      </c>
      <c r="S3" s="39" t="s">
        <v>252</v>
      </c>
      <c r="T3" s="39" t="s">
        <v>65</v>
      </c>
      <c r="U3" s="39" t="s">
        <v>237</v>
      </c>
      <c r="V3" s="39"/>
      <c r="W3" s="39"/>
      <c r="X3" s="39"/>
      <c r="Y3" s="39"/>
      <c r="Z3" s="39"/>
      <c r="AA3" s="39"/>
      <c r="AB3" s="39"/>
      <c r="AC3" s="40" t="s">
        <v>254</v>
      </c>
      <c r="AD3" s="40">
        <v>2</v>
      </c>
    </row>
    <row r="4" spans="1:30" ht="22.5" customHeight="1">
      <c r="A4" s="157"/>
      <c r="B4" s="89" t="s">
        <v>255</v>
      </c>
      <c r="C4" s="38" t="s">
        <v>26</v>
      </c>
      <c r="D4" s="39" t="s">
        <v>252</v>
      </c>
      <c r="E4" s="39" t="s">
        <v>237</v>
      </c>
      <c r="F4" s="39" t="s">
        <v>69</v>
      </c>
      <c r="G4" s="39" t="s">
        <v>237</v>
      </c>
      <c r="H4" s="39" t="s">
        <v>252</v>
      </c>
      <c r="I4" s="39" t="s">
        <v>239</v>
      </c>
      <c r="J4" s="39" t="s">
        <v>69</v>
      </c>
      <c r="K4" s="39" t="s">
        <v>253</v>
      </c>
      <c r="L4" s="39" t="s">
        <v>239</v>
      </c>
      <c r="M4" s="39" t="s">
        <v>239</v>
      </c>
      <c r="N4" s="39" t="s">
        <v>239</v>
      </c>
      <c r="O4" s="39" t="s">
        <v>239</v>
      </c>
      <c r="P4" s="39" t="s">
        <v>239</v>
      </c>
      <c r="Q4" s="39" t="s">
        <v>253</v>
      </c>
      <c r="R4" s="39" t="s">
        <v>237</v>
      </c>
      <c r="S4" s="39" t="s">
        <v>239</v>
      </c>
      <c r="T4" s="39" t="s">
        <v>239</v>
      </c>
      <c r="U4" s="39" t="s">
        <v>239</v>
      </c>
      <c r="V4" s="39"/>
      <c r="W4" s="39"/>
      <c r="X4" s="39"/>
      <c r="Y4" s="39"/>
      <c r="Z4" s="39"/>
      <c r="AA4" s="39"/>
      <c r="AB4" s="39"/>
      <c r="AC4" s="40" t="s">
        <v>256</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257</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210</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4</v>
      </c>
      <c r="E12" s="39">
        <v>3</v>
      </c>
      <c r="F12" s="39">
        <v>5</v>
      </c>
      <c r="G12" s="39">
        <v>3</v>
      </c>
      <c r="H12" s="39">
        <v>5</v>
      </c>
      <c r="I12" s="39">
        <v>5</v>
      </c>
      <c r="J12" s="39">
        <v>4</v>
      </c>
      <c r="K12" s="39">
        <v>4</v>
      </c>
      <c r="L12" s="39">
        <v>4</v>
      </c>
      <c r="M12" s="39">
        <v>5</v>
      </c>
      <c r="N12" s="39">
        <v>5</v>
      </c>
      <c r="O12" s="39">
        <v>4</v>
      </c>
      <c r="P12" s="39">
        <v>4</v>
      </c>
      <c r="Q12" s="39">
        <v>3</v>
      </c>
      <c r="R12" s="39">
        <v>3</v>
      </c>
      <c r="S12" s="39">
        <v>5</v>
      </c>
      <c r="T12" s="39">
        <v>4</v>
      </c>
      <c r="U12" s="39">
        <v>4</v>
      </c>
      <c r="V12" s="39"/>
      <c r="W12" s="39"/>
      <c r="X12" s="39"/>
      <c r="Y12" s="39"/>
      <c r="Z12" s="39"/>
      <c r="AA12" s="39"/>
      <c r="AB12" s="39"/>
    </row>
    <row r="13" spans="1:30" ht="26.25" customHeight="1">
      <c r="A13" s="44"/>
      <c r="B13" s="44"/>
      <c r="C13" s="80" t="s">
        <v>59</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73</v>
      </c>
      <c r="B15" s="153" t="s">
        <v>134</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74</v>
      </c>
      <c r="B16" s="153" t="s">
        <v>135</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75</v>
      </c>
      <c r="B17" s="153" t="s">
        <v>258</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76</v>
      </c>
      <c r="B18" s="153" t="s">
        <v>136</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77</v>
      </c>
      <c r="B19" s="153" t="s">
        <v>259</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78</v>
      </c>
      <c r="B20" s="153" t="s">
        <v>137</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79</v>
      </c>
      <c r="B21" s="153" t="s">
        <v>260</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80</v>
      </c>
      <c r="B22" s="153" t="s">
        <v>138</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81</v>
      </c>
      <c r="B23" s="153" t="s">
        <v>139</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82</v>
      </c>
      <c r="B24" s="153" t="s">
        <v>261</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83</v>
      </c>
      <c r="B25" s="153" t="s">
        <v>262</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84</v>
      </c>
      <c r="B26" s="153" t="s">
        <v>140</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85</v>
      </c>
      <c r="B27" s="153" t="s">
        <v>263</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t="s">
        <v>141</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87</v>
      </c>
      <c r="B29" s="153" t="s">
        <v>142</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88</v>
      </c>
      <c r="B30" s="153" t="s">
        <v>264</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89</v>
      </c>
      <c r="B31" s="153" t="s">
        <v>143</v>
      </c>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90</v>
      </c>
      <c r="B32" s="153" t="s">
        <v>144</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5:AB25"/>
    <mergeCell ref="B26:AB26"/>
    <mergeCell ref="B27:AB27"/>
    <mergeCell ref="A2:A12"/>
    <mergeCell ref="B14:AB14"/>
    <mergeCell ref="B15:AB15"/>
    <mergeCell ref="B16:AB16"/>
    <mergeCell ref="B17:AB17"/>
    <mergeCell ref="B18:AB18"/>
    <mergeCell ref="B19:AB19"/>
    <mergeCell ref="B20:AB20"/>
    <mergeCell ref="B21:AB21"/>
    <mergeCell ref="B22:AB22"/>
    <mergeCell ref="B23:AB23"/>
    <mergeCell ref="B24:AB24"/>
    <mergeCell ref="B28:AB28"/>
    <mergeCell ref="B29:AB29"/>
    <mergeCell ref="B30:AB30"/>
    <mergeCell ref="B31:AB31"/>
    <mergeCell ref="B32:AB32"/>
    <mergeCell ref="B38:AB38"/>
    <mergeCell ref="B39:AB39"/>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６－１</v>
      </c>
      <c r="B1" s="34" t="str">
        <f ca="1">RIGHT(CELL("filename",B1),LEN(CELL("filename",B1))-FIND("]",CELL("filename",B1)))</f>
        <v>道徳</v>
      </c>
      <c r="C1" s="47" t="s">
        <v>30</v>
      </c>
    </row>
    <row r="2" spans="1:3" ht="22.5" customHeight="1">
      <c r="A2" s="45" t="s">
        <v>28</v>
      </c>
      <c r="B2" s="48" t="s">
        <v>6</v>
      </c>
      <c r="C2" s="8" t="s">
        <v>265</v>
      </c>
    </row>
    <row r="3" spans="1:3" ht="59.25" customHeight="1">
      <c r="A3" s="46" t="s">
        <v>73</v>
      </c>
      <c r="B3" s="49" t="s">
        <v>145</v>
      </c>
      <c r="C3" s="8">
        <f>LEN(B3)</f>
        <v>216</v>
      </c>
    </row>
    <row r="4" spans="1:3" ht="59.25" customHeight="1">
      <c r="A4" s="46" t="s">
        <v>74</v>
      </c>
      <c r="B4" s="49" t="s">
        <v>146</v>
      </c>
      <c r="C4" s="8">
        <f t="shared" ref="C4:C27" si="0">LEN(B4)</f>
        <v>241</v>
      </c>
    </row>
    <row r="5" spans="1:3" ht="59.25" customHeight="1">
      <c r="A5" s="46" t="s">
        <v>75</v>
      </c>
      <c r="B5" s="49" t="s">
        <v>147</v>
      </c>
      <c r="C5" s="8">
        <f t="shared" si="0"/>
        <v>225</v>
      </c>
    </row>
    <row r="6" spans="1:3" ht="59.25" customHeight="1">
      <c r="A6" s="46" t="s">
        <v>76</v>
      </c>
      <c r="B6" s="49" t="s">
        <v>148</v>
      </c>
      <c r="C6" s="8">
        <f t="shared" si="0"/>
        <v>211</v>
      </c>
    </row>
    <row r="7" spans="1:3" ht="59.25" customHeight="1">
      <c r="A7" s="46" t="s">
        <v>77</v>
      </c>
      <c r="B7" s="49" t="s">
        <v>149</v>
      </c>
      <c r="C7" s="8">
        <f t="shared" si="0"/>
        <v>249</v>
      </c>
    </row>
    <row r="8" spans="1:3" ht="59.25" customHeight="1">
      <c r="A8" s="46" t="s">
        <v>78</v>
      </c>
      <c r="B8" s="49" t="s">
        <v>150</v>
      </c>
      <c r="C8" s="8">
        <f t="shared" si="0"/>
        <v>283</v>
      </c>
    </row>
    <row r="9" spans="1:3" ht="59.25" customHeight="1">
      <c r="A9" s="46" t="s">
        <v>79</v>
      </c>
      <c r="B9" s="49" t="s">
        <v>151</v>
      </c>
      <c r="C9" s="8">
        <f t="shared" si="0"/>
        <v>244</v>
      </c>
    </row>
    <row r="10" spans="1:3" ht="59.25" customHeight="1">
      <c r="A10" s="46" t="s">
        <v>80</v>
      </c>
      <c r="B10" s="49" t="s">
        <v>152</v>
      </c>
      <c r="C10" s="8">
        <f t="shared" si="0"/>
        <v>258</v>
      </c>
    </row>
    <row r="11" spans="1:3" ht="59.25" customHeight="1">
      <c r="A11" s="46" t="s">
        <v>81</v>
      </c>
      <c r="B11" s="49" t="s">
        <v>153</v>
      </c>
      <c r="C11" s="8">
        <f t="shared" si="0"/>
        <v>252</v>
      </c>
    </row>
    <row r="12" spans="1:3" ht="59.25" customHeight="1">
      <c r="A12" s="46" t="s">
        <v>82</v>
      </c>
      <c r="B12" s="49" t="s">
        <v>154</v>
      </c>
      <c r="C12" s="8">
        <f t="shared" si="0"/>
        <v>278</v>
      </c>
    </row>
    <row r="13" spans="1:3" ht="59.25" customHeight="1">
      <c r="A13" s="46" t="s">
        <v>83</v>
      </c>
      <c r="B13" s="49" t="s">
        <v>155</v>
      </c>
      <c r="C13" s="8">
        <f t="shared" si="0"/>
        <v>275</v>
      </c>
    </row>
    <row r="14" spans="1:3" ht="59.25" customHeight="1">
      <c r="A14" s="46" t="s">
        <v>84</v>
      </c>
      <c r="B14" s="49" t="s">
        <v>156</v>
      </c>
      <c r="C14" s="8">
        <f t="shared" si="0"/>
        <v>278</v>
      </c>
    </row>
    <row r="15" spans="1:3" ht="59.25" customHeight="1">
      <c r="A15" s="46" t="s">
        <v>85</v>
      </c>
      <c r="B15" s="49" t="s">
        <v>157</v>
      </c>
      <c r="C15" s="8">
        <f t="shared" si="0"/>
        <v>300</v>
      </c>
    </row>
    <row r="16" spans="1:3" ht="59.25" customHeight="1">
      <c r="A16" s="46" t="s">
        <v>86</v>
      </c>
      <c r="B16" s="49" t="s">
        <v>158</v>
      </c>
      <c r="C16" s="8">
        <f t="shared" si="0"/>
        <v>256</v>
      </c>
    </row>
    <row r="17" spans="1:3" ht="59.25" customHeight="1">
      <c r="A17" s="46" t="s">
        <v>87</v>
      </c>
      <c r="B17" s="49" t="s">
        <v>159</v>
      </c>
      <c r="C17" s="8">
        <f t="shared" si="0"/>
        <v>228</v>
      </c>
    </row>
    <row r="18" spans="1:3" ht="59.25" customHeight="1">
      <c r="A18" s="46" t="s">
        <v>88</v>
      </c>
      <c r="B18" s="49" t="s">
        <v>266</v>
      </c>
      <c r="C18" s="8">
        <f t="shared" si="0"/>
        <v>285</v>
      </c>
    </row>
    <row r="19" spans="1:3" ht="59.25" customHeight="1">
      <c r="A19" s="46" t="s">
        <v>89</v>
      </c>
      <c r="B19" s="49" t="s">
        <v>160</v>
      </c>
      <c r="C19" s="8">
        <f t="shared" si="0"/>
        <v>263</v>
      </c>
    </row>
    <row r="20" spans="1:3" ht="59.25" customHeight="1">
      <c r="A20" s="46" t="s">
        <v>90</v>
      </c>
      <c r="B20" s="49" t="s">
        <v>161</v>
      </c>
      <c r="C20" s="8">
        <f t="shared" si="0"/>
        <v>240</v>
      </c>
    </row>
    <row r="21" spans="1:3" ht="59.25" customHeight="1">
      <c r="A21" s="46"/>
      <c r="B21" s="49"/>
      <c r="C21" s="8">
        <f t="shared" si="0"/>
        <v>0</v>
      </c>
    </row>
    <row r="22" spans="1:3" ht="59.25" customHeight="1">
      <c r="A22" s="46"/>
      <c r="B22" s="49"/>
      <c r="C22" s="8">
        <f t="shared" si="0"/>
        <v>0</v>
      </c>
    </row>
    <row r="23" spans="1:3" ht="59.25" customHeight="1">
      <c r="A23" s="46"/>
      <c r="B23" s="49"/>
      <c r="C23" s="8">
        <f t="shared" si="0"/>
        <v>0</v>
      </c>
    </row>
    <row r="24" spans="1:3" ht="59.25" customHeight="1">
      <c r="A24" s="46"/>
      <c r="B24" s="49"/>
      <c r="C24" s="8">
        <f t="shared" si="0"/>
        <v>0</v>
      </c>
    </row>
    <row r="25" spans="1:3" ht="59.25" customHeight="1">
      <c r="A25" s="46"/>
      <c r="B25" s="49"/>
      <c r="C25" s="8">
        <f t="shared" si="0"/>
        <v>0</v>
      </c>
    </row>
    <row r="26" spans="1:3" ht="59.25" customHeight="1">
      <c r="A26" s="46"/>
      <c r="B26" s="49"/>
      <c r="C26" s="8">
        <f t="shared" si="0"/>
        <v>0</v>
      </c>
    </row>
    <row r="27" spans="1:3" ht="59.25" customHeight="1">
      <c r="A27" s="46"/>
      <c r="B27" s="49"/>
      <c r="C27" s="8">
        <f t="shared" si="0"/>
        <v>0</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11" priority="4" operator="greaterThan">
      <formula>200</formula>
    </cfRule>
    <cfRule type="cellIs" dxfId="10" priority="5" operator="lessThan">
      <formula>150</formula>
    </cfRule>
    <cfRule type="cellIs" dxfId="9" priority="6" operator="between">
      <formula>150</formula>
      <formula>200</formula>
    </cfRule>
  </conditionalFormatting>
  <conditionalFormatting sqref="C26">
    <cfRule type="cellIs" dxfId="8" priority="1" operator="greaterThan">
      <formula>200</formula>
    </cfRule>
    <cfRule type="cellIs" dxfId="7" priority="2" operator="lessThan">
      <formula>150</formula>
    </cfRule>
    <cfRule type="cellIs" dxfId="6"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202"/>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29" width="6" style="8" customWidth="1"/>
    <col min="30" max="16384" width="9" style="8"/>
  </cols>
  <sheetData>
    <row r="1" spans="1:29" ht="85.5" customHeight="1">
      <c r="A1" s="50" t="str">
        <f ca="1">MID(CELL("filename",A1),FIND("[",CELL("filename",A1))+1,3)</f>
        <v>６－１</v>
      </c>
      <c r="B1" s="51" t="s">
        <v>31</v>
      </c>
      <c r="C1" s="52" t="s">
        <v>25</v>
      </c>
      <c r="D1" s="36" t="str">
        <f>A13</f>
        <v>秋山 晃佑</v>
      </c>
      <c r="E1" s="36" t="str">
        <f>A14</f>
        <v>阿部 由和</v>
      </c>
      <c r="F1" s="36" t="str">
        <f>A15</f>
        <v>伊藤 紗和</v>
      </c>
      <c r="G1" s="36" t="str">
        <f>A16</f>
        <v>伊藤 大翔</v>
      </c>
      <c r="H1" s="36" t="str">
        <f>A17</f>
        <v>岡田 帆香</v>
      </c>
      <c r="I1" s="36" t="str">
        <f>A18</f>
        <v>小口 絵麻</v>
      </c>
      <c r="J1" s="36" t="str">
        <f>A19</f>
        <v>小栗 桃愛</v>
      </c>
      <c r="K1" s="36" t="str">
        <f>A20</f>
        <v>上條 惇也</v>
      </c>
      <c r="L1" s="36" t="str">
        <f>A21</f>
        <v>上條 美生</v>
      </c>
      <c r="M1" s="36" t="str">
        <f>A22</f>
        <v>佐藤 くるみ</v>
      </c>
      <c r="N1" s="36" t="str">
        <f>A23</f>
        <v>杉野 葉琉</v>
      </c>
      <c r="O1" s="36" t="str">
        <f>A24</f>
        <v>杉本 灯</v>
      </c>
      <c r="P1" s="36" t="str">
        <f>A25</f>
        <v>長崎 結</v>
      </c>
      <c r="Q1" s="36" t="str">
        <f>A26</f>
        <v>宮下 貫正</v>
      </c>
      <c r="R1" s="36" t="str">
        <f>A27</f>
        <v>宮島 煌季</v>
      </c>
      <c r="S1" s="36" t="str">
        <f>A28</f>
        <v>山﨑 大輝</v>
      </c>
      <c r="T1" s="36" t="str">
        <f>A29</f>
        <v>横井 快斗</v>
      </c>
      <c r="U1" s="36" t="str">
        <f>A30</f>
        <v>吉河 治輝</v>
      </c>
      <c r="V1" s="36">
        <f>A31</f>
        <v>0</v>
      </c>
      <c r="W1" s="36">
        <f>A32</f>
        <v>0</v>
      </c>
      <c r="X1" s="36">
        <f>A33</f>
        <v>0</v>
      </c>
      <c r="Y1" s="36">
        <f>A34</f>
        <v>0</v>
      </c>
      <c r="Z1" s="36">
        <f>A35</f>
        <v>0</v>
      </c>
      <c r="AA1" s="36">
        <f>A36</f>
        <v>0</v>
      </c>
      <c r="AB1" s="36">
        <f>A37</f>
        <v>0</v>
      </c>
      <c r="AC1" s="37"/>
    </row>
    <row r="2" spans="1:29" ht="22.5" customHeight="1">
      <c r="A2" s="171" t="s">
        <v>32</v>
      </c>
      <c r="B2" s="88" t="s">
        <v>61</v>
      </c>
      <c r="C2" s="38" t="s">
        <v>26</v>
      </c>
      <c r="D2" s="39" t="s">
        <v>267</v>
      </c>
      <c r="E2" s="39" t="s">
        <v>46</v>
      </c>
      <c r="F2" s="39" t="s">
        <v>46</v>
      </c>
      <c r="G2" s="39" t="s">
        <v>46</v>
      </c>
      <c r="H2" s="39" t="s">
        <v>46</v>
      </c>
      <c r="I2" s="39" t="s">
        <v>46</v>
      </c>
      <c r="J2" s="39" t="s">
        <v>46</v>
      </c>
      <c r="K2" s="39" t="s">
        <v>46</v>
      </c>
      <c r="L2" s="39" t="s">
        <v>46</v>
      </c>
      <c r="M2" s="39" t="s">
        <v>46</v>
      </c>
      <c r="N2" s="39" t="s">
        <v>46</v>
      </c>
      <c r="O2" s="39" t="s">
        <v>46</v>
      </c>
      <c r="P2" s="39" t="s">
        <v>46</v>
      </c>
      <c r="Q2" s="39" t="s">
        <v>46</v>
      </c>
      <c r="R2" s="39" t="s">
        <v>46</v>
      </c>
      <c r="S2" s="39" t="s">
        <v>46</v>
      </c>
      <c r="T2" s="39" t="s">
        <v>46</v>
      </c>
      <c r="U2" s="39" t="s">
        <v>46</v>
      </c>
      <c r="V2" s="39"/>
      <c r="W2" s="39"/>
      <c r="X2" s="39"/>
      <c r="Y2" s="39"/>
      <c r="Z2" s="39"/>
      <c r="AA2" s="39"/>
      <c r="AB2" s="39"/>
      <c r="AC2" s="73" t="s">
        <v>267</v>
      </c>
    </row>
    <row r="3" spans="1:29" ht="22.5" customHeight="1">
      <c r="A3" s="172"/>
      <c r="B3" s="88" t="s">
        <v>51</v>
      </c>
      <c r="C3" s="38" t="s">
        <v>26</v>
      </c>
      <c r="D3" s="39" t="s">
        <v>267</v>
      </c>
      <c r="E3" s="39" t="s">
        <v>45</v>
      </c>
      <c r="F3" s="39" t="s">
        <v>46</v>
      </c>
      <c r="G3" s="39" t="s">
        <v>46</v>
      </c>
      <c r="H3" s="39" t="s">
        <v>268</v>
      </c>
      <c r="I3" s="39" t="s">
        <v>46</v>
      </c>
      <c r="J3" s="39" t="s">
        <v>268</v>
      </c>
      <c r="K3" s="39" t="s">
        <v>46</v>
      </c>
      <c r="L3" s="39" t="s">
        <v>45</v>
      </c>
      <c r="M3" s="39" t="s">
        <v>237</v>
      </c>
      <c r="N3" s="39" t="s">
        <v>45</v>
      </c>
      <c r="O3" s="39" t="s">
        <v>45</v>
      </c>
      <c r="P3" s="39" t="s">
        <v>46</v>
      </c>
      <c r="Q3" s="39" t="s">
        <v>46</v>
      </c>
      <c r="R3" s="39" t="s">
        <v>46</v>
      </c>
      <c r="S3" s="39" t="s">
        <v>268</v>
      </c>
      <c r="T3" s="39" t="s">
        <v>46</v>
      </c>
      <c r="U3" s="39" t="s">
        <v>46</v>
      </c>
      <c r="V3" s="39"/>
      <c r="W3" s="39"/>
      <c r="X3" s="39"/>
      <c r="Y3" s="39"/>
      <c r="Z3" s="39"/>
      <c r="AA3" s="39"/>
      <c r="AB3" s="39"/>
      <c r="AC3" s="73" t="s">
        <v>268</v>
      </c>
    </row>
    <row r="4" spans="1:29" ht="22.5" customHeight="1">
      <c r="A4" s="172"/>
      <c r="B4" s="88" t="s">
        <v>52</v>
      </c>
      <c r="C4" s="38" t="s">
        <v>26</v>
      </c>
      <c r="D4" s="39" t="s">
        <v>237</v>
      </c>
      <c r="E4" s="39" t="s">
        <v>45</v>
      </c>
      <c r="F4" s="39" t="s">
        <v>45</v>
      </c>
      <c r="G4" s="39" t="s">
        <v>45</v>
      </c>
      <c r="H4" s="39" t="s">
        <v>46</v>
      </c>
      <c r="I4" s="39" t="s">
        <v>46</v>
      </c>
      <c r="J4" s="39" t="s">
        <v>46</v>
      </c>
      <c r="K4" s="39" t="s">
        <v>268</v>
      </c>
      <c r="L4" s="39" t="s">
        <v>45</v>
      </c>
      <c r="M4" s="39" t="s">
        <v>46</v>
      </c>
      <c r="N4" s="39" t="s">
        <v>46</v>
      </c>
      <c r="O4" s="39" t="s">
        <v>45</v>
      </c>
      <c r="P4" s="39" t="s">
        <v>46</v>
      </c>
      <c r="Q4" s="39" t="s">
        <v>45</v>
      </c>
      <c r="R4" s="39" t="s">
        <v>45</v>
      </c>
      <c r="S4" s="39" t="s">
        <v>46</v>
      </c>
      <c r="T4" s="39" t="s">
        <v>46</v>
      </c>
      <c r="U4" s="39" t="s">
        <v>45</v>
      </c>
      <c r="V4" s="39"/>
      <c r="W4" s="39"/>
      <c r="X4" s="39"/>
      <c r="Y4" s="39"/>
      <c r="Z4" s="39"/>
      <c r="AA4" s="39"/>
      <c r="AB4" s="39"/>
      <c r="AC4" s="73" t="s">
        <v>269</v>
      </c>
    </row>
    <row r="5" spans="1:29" ht="22.5" customHeight="1">
      <c r="A5" s="172"/>
      <c r="B5" s="88" t="s">
        <v>53</v>
      </c>
      <c r="C5" s="38" t="s">
        <v>26</v>
      </c>
      <c r="D5" s="39" t="s">
        <v>267</v>
      </c>
      <c r="E5" s="39" t="s">
        <v>46</v>
      </c>
      <c r="F5" s="39" t="s">
        <v>46</v>
      </c>
      <c r="G5" s="39" t="s">
        <v>45</v>
      </c>
      <c r="H5" s="39" t="s">
        <v>239</v>
      </c>
      <c r="I5" s="39" t="s">
        <v>46</v>
      </c>
      <c r="J5" s="39" t="s">
        <v>46</v>
      </c>
      <c r="K5" s="39" t="s">
        <v>45</v>
      </c>
      <c r="L5" s="39" t="s">
        <v>46</v>
      </c>
      <c r="M5" s="39" t="s">
        <v>267</v>
      </c>
      <c r="N5" s="39" t="s">
        <v>46</v>
      </c>
      <c r="O5" s="39" t="s">
        <v>46</v>
      </c>
      <c r="P5" s="39" t="s">
        <v>46</v>
      </c>
      <c r="Q5" s="39" t="s">
        <v>46</v>
      </c>
      <c r="R5" s="39" t="s">
        <v>46</v>
      </c>
      <c r="S5" s="39" t="s">
        <v>46</v>
      </c>
      <c r="T5" s="39" t="s">
        <v>45</v>
      </c>
      <c r="U5" s="39" t="s">
        <v>45</v>
      </c>
      <c r="V5" s="39"/>
      <c r="W5" s="39"/>
      <c r="X5" s="39"/>
      <c r="Y5" s="39"/>
      <c r="Z5" s="39"/>
      <c r="AA5" s="39"/>
      <c r="AB5" s="39"/>
      <c r="AC5" s="73" t="s">
        <v>210</v>
      </c>
    </row>
    <row r="6" spans="1:29" ht="22.5" customHeight="1">
      <c r="A6" s="172"/>
      <c r="B6" s="88" t="s">
        <v>54</v>
      </c>
      <c r="C6" s="38" t="s">
        <v>26</v>
      </c>
      <c r="D6" s="39" t="s">
        <v>237</v>
      </c>
      <c r="E6" s="39" t="s">
        <v>45</v>
      </c>
      <c r="F6" s="39" t="s">
        <v>45</v>
      </c>
      <c r="G6" s="39" t="s">
        <v>45</v>
      </c>
      <c r="H6" s="39" t="s">
        <v>45</v>
      </c>
      <c r="I6" s="39" t="s">
        <v>45</v>
      </c>
      <c r="J6" s="39" t="s">
        <v>237</v>
      </c>
      <c r="K6" s="39" t="s">
        <v>45</v>
      </c>
      <c r="L6" s="39" t="s">
        <v>45</v>
      </c>
      <c r="M6" s="39" t="s">
        <v>46</v>
      </c>
      <c r="N6" s="39" t="s">
        <v>46</v>
      </c>
      <c r="O6" s="39" t="s">
        <v>46</v>
      </c>
      <c r="P6" s="39" t="s">
        <v>45</v>
      </c>
      <c r="Q6" s="39" t="s">
        <v>45</v>
      </c>
      <c r="R6" s="39" t="s">
        <v>268</v>
      </c>
      <c r="S6" s="39" t="s">
        <v>46</v>
      </c>
      <c r="T6" s="39" t="s">
        <v>45</v>
      </c>
      <c r="U6" s="39" t="s">
        <v>46</v>
      </c>
      <c r="V6" s="39"/>
      <c r="W6" s="39"/>
      <c r="X6" s="39"/>
      <c r="Y6" s="39"/>
      <c r="Z6" s="39"/>
      <c r="AA6" s="39"/>
      <c r="AB6" s="39"/>
    </row>
    <row r="7" spans="1:29" ht="22.5" customHeight="1">
      <c r="A7" s="172"/>
      <c r="B7" s="88" t="s">
        <v>55</v>
      </c>
      <c r="C7" s="38" t="s">
        <v>26</v>
      </c>
      <c r="D7" s="39" t="s">
        <v>239</v>
      </c>
      <c r="E7" s="39" t="s">
        <v>46</v>
      </c>
      <c r="F7" s="39" t="s">
        <v>46</v>
      </c>
      <c r="G7" s="39" t="s">
        <v>45</v>
      </c>
      <c r="H7" s="39" t="s">
        <v>239</v>
      </c>
      <c r="I7" s="39" t="s">
        <v>46</v>
      </c>
      <c r="J7" s="39" t="s">
        <v>237</v>
      </c>
      <c r="K7" s="39" t="s">
        <v>237</v>
      </c>
      <c r="L7" s="39" t="s">
        <v>46</v>
      </c>
      <c r="M7" s="39" t="s">
        <v>46</v>
      </c>
      <c r="N7" s="39" t="s">
        <v>46</v>
      </c>
      <c r="O7" s="39" t="s">
        <v>46</v>
      </c>
      <c r="P7" s="39" t="s">
        <v>46</v>
      </c>
      <c r="Q7" s="39" t="s">
        <v>45</v>
      </c>
      <c r="R7" s="39" t="s">
        <v>237</v>
      </c>
      <c r="S7" s="39" t="s">
        <v>45</v>
      </c>
      <c r="T7" s="39" t="s">
        <v>45</v>
      </c>
      <c r="U7" s="39" t="s">
        <v>45</v>
      </c>
      <c r="V7" s="39"/>
      <c r="W7" s="39"/>
      <c r="X7" s="39"/>
      <c r="Y7" s="39"/>
      <c r="Z7" s="39"/>
      <c r="AA7" s="39"/>
      <c r="AB7" s="39"/>
    </row>
    <row r="8" spans="1:29" ht="22.5" customHeight="1">
      <c r="A8" s="172"/>
      <c r="B8" s="88" t="s">
        <v>62</v>
      </c>
      <c r="C8" s="38" t="s">
        <v>26</v>
      </c>
      <c r="D8" s="39" t="s">
        <v>237</v>
      </c>
      <c r="E8" s="39" t="s">
        <v>46</v>
      </c>
      <c r="F8" s="39" t="s">
        <v>46</v>
      </c>
      <c r="G8" s="39" t="s">
        <v>45</v>
      </c>
      <c r="H8" s="39" t="s">
        <v>46</v>
      </c>
      <c r="I8" s="39" t="s">
        <v>46</v>
      </c>
      <c r="J8" s="39" t="s">
        <v>239</v>
      </c>
      <c r="K8" s="39" t="s">
        <v>46</v>
      </c>
      <c r="L8" s="39" t="s">
        <v>46</v>
      </c>
      <c r="M8" s="39" t="s">
        <v>46</v>
      </c>
      <c r="N8" s="39" t="s">
        <v>46</v>
      </c>
      <c r="O8" s="39" t="s">
        <v>46</v>
      </c>
      <c r="P8" s="39" t="s">
        <v>46</v>
      </c>
      <c r="Q8" s="39" t="s">
        <v>46</v>
      </c>
      <c r="R8" s="39" t="s">
        <v>46</v>
      </c>
      <c r="S8" s="39" t="s">
        <v>46</v>
      </c>
      <c r="T8" s="39" t="s">
        <v>45</v>
      </c>
      <c r="U8" s="39" t="s">
        <v>45</v>
      </c>
      <c r="V8" s="39"/>
      <c r="W8" s="39"/>
      <c r="X8" s="39"/>
      <c r="Y8" s="39"/>
      <c r="Z8" s="39"/>
      <c r="AA8" s="39"/>
      <c r="AB8" s="39"/>
    </row>
    <row r="9" spans="1:29" ht="22.5" customHeight="1">
      <c r="A9" s="172"/>
      <c r="B9" s="88" t="s">
        <v>56</v>
      </c>
      <c r="C9" s="38" t="s">
        <v>26</v>
      </c>
      <c r="D9" s="39" t="s">
        <v>267</v>
      </c>
      <c r="E9" s="39" t="s">
        <v>45</v>
      </c>
      <c r="F9" s="39" t="s">
        <v>46</v>
      </c>
      <c r="G9" s="39" t="s">
        <v>46</v>
      </c>
      <c r="H9" s="39" t="s">
        <v>46</v>
      </c>
      <c r="I9" s="39" t="s">
        <v>237</v>
      </c>
      <c r="J9" s="39" t="s">
        <v>46</v>
      </c>
      <c r="K9" s="39" t="s">
        <v>237</v>
      </c>
      <c r="L9" s="39" t="s">
        <v>46</v>
      </c>
      <c r="M9" s="39" t="s">
        <v>237</v>
      </c>
      <c r="N9" s="39" t="s">
        <v>46</v>
      </c>
      <c r="O9" s="39" t="s">
        <v>46</v>
      </c>
      <c r="P9" s="39" t="s">
        <v>46</v>
      </c>
      <c r="Q9" s="39" t="s">
        <v>46</v>
      </c>
      <c r="R9" s="39" t="s">
        <v>46</v>
      </c>
      <c r="S9" s="39" t="s">
        <v>46</v>
      </c>
      <c r="T9" s="39" t="s">
        <v>46</v>
      </c>
      <c r="U9" s="39" t="s">
        <v>45</v>
      </c>
      <c r="V9" s="39"/>
      <c r="W9" s="39"/>
      <c r="X9" s="39"/>
      <c r="Y9" s="39"/>
      <c r="Z9" s="39"/>
      <c r="AA9" s="39"/>
      <c r="AB9" s="39"/>
    </row>
    <row r="10" spans="1:29" ht="22.5" customHeight="1">
      <c r="A10" s="53"/>
      <c r="B10" s="74" t="s">
        <v>57</v>
      </c>
      <c r="C10" s="38" t="s">
        <v>26</v>
      </c>
      <c r="D10" s="39" t="s">
        <v>268</v>
      </c>
      <c r="E10" s="39" t="s">
        <v>46</v>
      </c>
      <c r="F10" s="39" t="s">
        <v>237</v>
      </c>
      <c r="G10" s="39" t="s">
        <v>45</v>
      </c>
      <c r="H10" s="39" t="s">
        <v>45</v>
      </c>
      <c r="I10" s="39" t="s">
        <v>45</v>
      </c>
      <c r="J10" s="39" t="s">
        <v>237</v>
      </c>
      <c r="K10" s="39" t="s">
        <v>46</v>
      </c>
      <c r="L10" s="39" t="s">
        <v>46</v>
      </c>
      <c r="M10" s="39" t="s">
        <v>239</v>
      </c>
      <c r="N10" s="39" t="s">
        <v>46</v>
      </c>
      <c r="O10" s="39" t="s">
        <v>46</v>
      </c>
      <c r="P10" s="39" t="s">
        <v>46</v>
      </c>
      <c r="Q10" s="39" t="s">
        <v>237</v>
      </c>
      <c r="R10" s="39" t="s">
        <v>237</v>
      </c>
      <c r="S10" s="39" t="s">
        <v>45</v>
      </c>
      <c r="T10" s="39" t="s">
        <v>237</v>
      </c>
      <c r="U10" s="39" t="s">
        <v>45</v>
      </c>
      <c r="V10" s="39"/>
      <c r="W10" s="39"/>
      <c r="X10" s="39"/>
      <c r="Y10" s="39"/>
      <c r="Z10" s="39"/>
      <c r="AA10" s="39"/>
      <c r="AB10" s="39"/>
    </row>
    <row r="11" spans="1:29" ht="22.5" customHeight="1">
      <c r="A11" s="53"/>
      <c r="B11" s="74" t="s">
        <v>58</v>
      </c>
      <c r="C11" s="38" t="s">
        <v>26</v>
      </c>
      <c r="D11" s="39" t="s">
        <v>267</v>
      </c>
      <c r="E11" s="39" t="s">
        <v>45</v>
      </c>
      <c r="F11" s="39" t="s">
        <v>46</v>
      </c>
      <c r="G11" s="39" t="s">
        <v>46</v>
      </c>
      <c r="H11" s="39" t="s">
        <v>45</v>
      </c>
      <c r="I11" s="39" t="s">
        <v>45</v>
      </c>
      <c r="J11" s="39" t="s">
        <v>46</v>
      </c>
      <c r="K11" s="39" t="s">
        <v>46</v>
      </c>
      <c r="L11" s="39" t="s">
        <v>46</v>
      </c>
      <c r="M11" s="39" t="s">
        <v>46</v>
      </c>
      <c r="N11" s="39" t="s">
        <v>46</v>
      </c>
      <c r="O11" s="39" t="s">
        <v>46</v>
      </c>
      <c r="P11" s="39" t="s">
        <v>46</v>
      </c>
      <c r="Q11" s="39" t="s">
        <v>239</v>
      </c>
      <c r="R11" s="39" t="s">
        <v>46</v>
      </c>
      <c r="S11" s="39" t="s">
        <v>46</v>
      </c>
      <c r="T11" s="39" t="s">
        <v>46</v>
      </c>
      <c r="U11" s="39" t="s">
        <v>45</v>
      </c>
      <c r="V11" s="39"/>
      <c r="W11" s="39"/>
      <c r="X11" s="39"/>
      <c r="Y11" s="39"/>
      <c r="Z11" s="39"/>
      <c r="AA11" s="39"/>
      <c r="AB11" s="39"/>
    </row>
    <row r="12" spans="1:29" ht="22.5" customHeight="1">
      <c r="A12" s="176" t="s">
        <v>33</v>
      </c>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8"/>
    </row>
    <row r="13" spans="1:29" ht="22.5" customHeight="1">
      <c r="A13" s="54" t="s">
        <v>73</v>
      </c>
      <c r="B13" s="153" t="s">
        <v>162</v>
      </c>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5"/>
    </row>
    <row r="14" spans="1:29" ht="22.5" customHeight="1">
      <c r="A14" s="54" t="s">
        <v>74</v>
      </c>
      <c r="B14" s="153" t="s">
        <v>163</v>
      </c>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5"/>
    </row>
    <row r="15" spans="1:29" ht="22.5" customHeight="1">
      <c r="A15" s="54" t="s">
        <v>75</v>
      </c>
      <c r="B15" s="153" t="s">
        <v>164</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29" ht="22.5" customHeight="1">
      <c r="A16" s="54" t="s">
        <v>76</v>
      </c>
      <c r="B16" s="153" t="s">
        <v>165</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22.5" customHeight="1">
      <c r="A17" s="54" t="s">
        <v>77</v>
      </c>
      <c r="B17" s="153" t="s">
        <v>166</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22.5" customHeight="1">
      <c r="A18" s="54" t="s">
        <v>78</v>
      </c>
      <c r="B18" s="153" t="s">
        <v>167</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22.5" customHeight="1">
      <c r="A19" s="54" t="s">
        <v>79</v>
      </c>
      <c r="B19" s="153" t="s">
        <v>168</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22.5" customHeight="1">
      <c r="A20" s="54" t="s">
        <v>80</v>
      </c>
      <c r="B20" s="153" t="s">
        <v>169</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22.5" customHeight="1">
      <c r="A21" s="54" t="s">
        <v>81</v>
      </c>
      <c r="B21" s="153" t="s">
        <v>170</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22.5" customHeight="1">
      <c r="A22" s="54" t="s">
        <v>82</v>
      </c>
      <c r="B22" s="153" t="s">
        <v>171</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22.5" customHeight="1">
      <c r="A23" s="54" t="s">
        <v>83</v>
      </c>
      <c r="B23" s="153" t="s">
        <v>172</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22.5" customHeight="1">
      <c r="A24" s="54" t="s">
        <v>84</v>
      </c>
      <c r="B24" s="153" t="s">
        <v>173</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22.5" customHeight="1">
      <c r="A25" s="54" t="s">
        <v>85</v>
      </c>
      <c r="B25" s="153" t="s">
        <v>174</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22.5" customHeight="1">
      <c r="A26" s="54" t="s">
        <v>86</v>
      </c>
      <c r="B26" s="153" t="s">
        <v>175</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22.5" customHeight="1">
      <c r="A27" s="54" t="s">
        <v>87</v>
      </c>
      <c r="B27" s="153" t="s">
        <v>176</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22.5" customHeight="1">
      <c r="A28" s="54" t="s">
        <v>88</v>
      </c>
      <c r="B28" s="153" t="s">
        <v>177</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22.5" customHeight="1">
      <c r="A29" s="54" t="s">
        <v>89</v>
      </c>
      <c r="B29" s="153" t="s">
        <v>178</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22.5" customHeight="1">
      <c r="A30" s="54" t="s">
        <v>90</v>
      </c>
      <c r="B30" s="153" t="s">
        <v>179</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22.5" customHeight="1">
      <c r="A31" s="54"/>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22.5" customHeight="1">
      <c r="A32" s="54"/>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9" ht="22.5" customHeight="1">
      <c r="A33" s="54"/>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9" ht="22.5" customHeight="1">
      <c r="A34" s="54"/>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9" ht="22.5" customHeight="1">
      <c r="A35" s="54"/>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9" ht="22.5" customHeight="1">
      <c r="A36" s="54"/>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9" ht="22.5" customHeight="1">
      <c r="A37" s="54"/>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c r="AC37" s="47" t="s">
        <v>30</v>
      </c>
    </row>
    <row r="38" spans="1:29" ht="22.5" customHeight="1">
      <c r="A38" s="173" t="s">
        <v>270</v>
      </c>
      <c r="B38" s="174"/>
      <c r="C38" s="174"/>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5"/>
      <c r="AC38" s="8" t="s">
        <v>271</v>
      </c>
    </row>
    <row r="39" spans="1:29" ht="77.25" customHeight="1">
      <c r="A39" s="75" t="str">
        <f t="shared" ref="A39:A50" si="0">A13</f>
        <v>秋山 晃佑</v>
      </c>
      <c r="B39" s="168" t="s">
        <v>272</v>
      </c>
      <c r="C39" s="169" t="s">
        <v>180</v>
      </c>
      <c r="D39" s="169" t="s">
        <v>180</v>
      </c>
      <c r="E39" s="169" t="s">
        <v>180</v>
      </c>
      <c r="F39" s="169" t="s">
        <v>180</v>
      </c>
      <c r="G39" s="169" t="s">
        <v>180</v>
      </c>
      <c r="H39" s="169" t="s">
        <v>180</v>
      </c>
      <c r="I39" s="169" t="s">
        <v>180</v>
      </c>
      <c r="J39" s="169" t="s">
        <v>180</v>
      </c>
      <c r="K39" s="169" t="s">
        <v>180</v>
      </c>
      <c r="L39" s="169" t="s">
        <v>180</v>
      </c>
      <c r="M39" s="169" t="s">
        <v>180</v>
      </c>
      <c r="N39" s="169" t="s">
        <v>180</v>
      </c>
      <c r="O39" s="169" t="s">
        <v>180</v>
      </c>
      <c r="P39" s="169" t="s">
        <v>180</v>
      </c>
      <c r="Q39" s="169" t="s">
        <v>180</v>
      </c>
      <c r="R39" s="169" t="s">
        <v>180</v>
      </c>
      <c r="S39" s="169" t="s">
        <v>180</v>
      </c>
      <c r="T39" s="169" t="s">
        <v>180</v>
      </c>
      <c r="U39" s="169" t="s">
        <v>180</v>
      </c>
      <c r="V39" s="169" t="s">
        <v>180</v>
      </c>
      <c r="W39" s="169" t="s">
        <v>180</v>
      </c>
      <c r="X39" s="169" t="s">
        <v>180</v>
      </c>
      <c r="Y39" s="169" t="s">
        <v>180</v>
      </c>
      <c r="Z39" s="169" t="s">
        <v>180</v>
      </c>
      <c r="AA39" s="169" t="s">
        <v>180</v>
      </c>
      <c r="AB39" s="170" t="s">
        <v>180</v>
      </c>
      <c r="AC39" s="8">
        <f t="shared" ref="AC39:AC63" si="1">LEN(B39)</f>
        <v>587</v>
      </c>
    </row>
    <row r="40" spans="1:29" ht="77.25" customHeight="1">
      <c r="A40" s="75" t="str">
        <f t="shared" si="0"/>
        <v>阿部 由和</v>
      </c>
      <c r="B40" s="168" t="s">
        <v>273</v>
      </c>
      <c r="C40" s="169" t="s">
        <v>181</v>
      </c>
      <c r="D40" s="169" t="s">
        <v>181</v>
      </c>
      <c r="E40" s="169" t="s">
        <v>181</v>
      </c>
      <c r="F40" s="169" t="s">
        <v>181</v>
      </c>
      <c r="G40" s="169" t="s">
        <v>181</v>
      </c>
      <c r="H40" s="169" t="s">
        <v>181</v>
      </c>
      <c r="I40" s="169" t="s">
        <v>181</v>
      </c>
      <c r="J40" s="169" t="s">
        <v>181</v>
      </c>
      <c r="K40" s="169" t="s">
        <v>181</v>
      </c>
      <c r="L40" s="169" t="s">
        <v>181</v>
      </c>
      <c r="M40" s="169" t="s">
        <v>181</v>
      </c>
      <c r="N40" s="169" t="s">
        <v>181</v>
      </c>
      <c r="O40" s="169" t="s">
        <v>181</v>
      </c>
      <c r="P40" s="169" t="s">
        <v>181</v>
      </c>
      <c r="Q40" s="169" t="s">
        <v>181</v>
      </c>
      <c r="R40" s="169" t="s">
        <v>181</v>
      </c>
      <c r="S40" s="169" t="s">
        <v>181</v>
      </c>
      <c r="T40" s="169" t="s">
        <v>181</v>
      </c>
      <c r="U40" s="169" t="s">
        <v>181</v>
      </c>
      <c r="V40" s="169" t="s">
        <v>181</v>
      </c>
      <c r="W40" s="169" t="s">
        <v>181</v>
      </c>
      <c r="X40" s="169" t="s">
        <v>181</v>
      </c>
      <c r="Y40" s="169" t="s">
        <v>181</v>
      </c>
      <c r="Z40" s="169" t="s">
        <v>181</v>
      </c>
      <c r="AA40" s="169" t="s">
        <v>181</v>
      </c>
      <c r="AB40" s="170" t="s">
        <v>181</v>
      </c>
      <c r="AC40" s="8">
        <f t="shared" si="1"/>
        <v>576</v>
      </c>
    </row>
    <row r="41" spans="1:29" ht="77.25" customHeight="1">
      <c r="A41" s="75" t="str">
        <f t="shared" si="0"/>
        <v>伊藤 紗和</v>
      </c>
      <c r="B41" s="168" t="s">
        <v>274</v>
      </c>
      <c r="C41" s="169" t="s">
        <v>182</v>
      </c>
      <c r="D41" s="169" t="s">
        <v>182</v>
      </c>
      <c r="E41" s="169" t="s">
        <v>182</v>
      </c>
      <c r="F41" s="169" t="s">
        <v>182</v>
      </c>
      <c r="G41" s="169" t="s">
        <v>182</v>
      </c>
      <c r="H41" s="169" t="s">
        <v>182</v>
      </c>
      <c r="I41" s="169" t="s">
        <v>182</v>
      </c>
      <c r="J41" s="169" t="s">
        <v>182</v>
      </c>
      <c r="K41" s="169" t="s">
        <v>182</v>
      </c>
      <c r="L41" s="169" t="s">
        <v>182</v>
      </c>
      <c r="M41" s="169" t="s">
        <v>182</v>
      </c>
      <c r="N41" s="169" t="s">
        <v>182</v>
      </c>
      <c r="O41" s="169" t="s">
        <v>182</v>
      </c>
      <c r="P41" s="169" t="s">
        <v>182</v>
      </c>
      <c r="Q41" s="169" t="s">
        <v>182</v>
      </c>
      <c r="R41" s="169" t="s">
        <v>182</v>
      </c>
      <c r="S41" s="169" t="s">
        <v>182</v>
      </c>
      <c r="T41" s="169" t="s">
        <v>182</v>
      </c>
      <c r="U41" s="169" t="s">
        <v>182</v>
      </c>
      <c r="V41" s="169" t="s">
        <v>182</v>
      </c>
      <c r="W41" s="169" t="s">
        <v>182</v>
      </c>
      <c r="X41" s="169" t="s">
        <v>182</v>
      </c>
      <c r="Y41" s="169" t="s">
        <v>182</v>
      </c>
      <c r="Z41" s="169" t="s">
        <v>182</v>
      </c>
      <c r="AA41" s="169" t="s">
        <v>182</v>
      </c>
      <c r="AB41" s="170" t="s">
        <v>182</v>
      </c>
      <c r="AC41" s="8">
        <f t="shared" si="1"/>
        <v>579</v>
      </c>
    </row>
    <row r="42" spans="1:29" ht="77.25" customHeight="1">
      <c r="A42" s="75" t="str">
        <f t="shared" si="0"/>
        <v>伊藤 大翔</v>
      </c>
      <c r="B42" s="168" t="s">
        <v>183</v>
      </c>
      <c r="C42" s="169" t="s">
        <v>183</v>
      </c>
      <c r="D42" s="169" t="s">
        <v>183</v>
      </c>
      <c r="E42" s="169" t="s">
        <v>183</v>
      </c>
      <c r="F42" s="169" t="s">
        <v>183</v>
      </c>
      <c r="G42" s="169" t="s">
        <v>183</v>
      </c>
      <c r="H42" s="169" t="s">
        <v>183</v>
      </c>
      <c r="I42" s="169" t="s">
        <v>183</v>
      </c>
      <c r="J42" s="169" t="s">
        <v>183</v>
      </c>
      <c r="K42" s="169" t="s">
        <v>183</v>
      </c>
      <c r="L42" s="169" t="s">
        <v>183</v>
      </c>
      <c r="M42" s="169" t="s">
        <v>183</v>
      </c>
      <c r="N42" s="169" t="s">
        <v>183</v>
      </c>
      <c r="O42" s="169" t="s">
        <v>183</v>
      </c>
      <c r="P42" s="169" t="s">
        <v>183</v>
      </c>
      <c r="Q42" s="169" t="s">
        <v>183</v>
      </c>
      <c r="R42" s="169" t="s">
        <v>183</v>
      </c>
      <c r="S42" s="169" t="s">
        <v>183</v>
      </c>
      <c r="T42" s="169" t="s">
        <v>183</v>
      </c>
      <c r="U42" s="169" t="s">
        <v>183</v>
      </c>
      <c r="V42" s="169" t="s">
        <v>183</v>
      </c>
      <c r="W42" s="169" t="s">
        <v>183</v>
      </c>
      <c r="X42" s="169" t="s">
        <v>183</v>
      </c>
      <c r="Y42" s="169" t="s">
        <v>183</v>
      </c>
      <c r="Z42" s="169" t="s">
        <v>183</v>
      </c>
      <c r="AA42" s="169" t="s">
        <v>183</v>
      </c>
      <c r="AB42" s="170" t="s">
        <v>183</v>
      </c>
      <c r="AC42" s="8">
        <f t="shared" si="1"/>
        <v>605</v>
      </c>
    </row>
    <row r="43" spans="1:29" ht="77.25" customHeight="1">
      <c r="A43" s="75" t="str">
        <f t="shared" si="0"/>
        <v>岡田 帆香</v>
      </c>
      <c r="B43" s="168" t="s">
        <v>275</v>
      </c>
      <c r="C43" s="169" t="s">
        <v>184</v>
      </c>
      <c r="D43" s="169" t="s">
        <v>184</v>
      </c>
      <c r="E43" s="169" t="s">
        <v>184</v>
      </c>
      <c r="F43" s="169" t="s">
        <v>184</v>
      </c>
      <c r="G43" s="169" t="s">
        <v>184</v>
      </c>
      <c r="H43" s="169" t="s">
        <v>184</v>
      </c>
      <c r="I43" s="169" t="s">
        <v>184</v>
      </c>
      <c r="J43" s="169" t="s">
        <v>184</v>
      </c>
      <c r="K43" s="169" t="s">
        <v>184</v>
      </c>
      <c r="L43" s="169" t="s">
        <v>184</v>
      </c>
      <c r="M43" s="169" t="s">
        <v>184</v>
      </c>
      <c r="N43" s="169" t="s">
        <v>184</v>
      </c>
      <c r="O43" s="169" t="s">
        <v>184</v>
      </c>
      <c r="P43" s="169" t="s">
        <v>184</v>
      </c>
      <c r="Q43" s="169" t="s">
        <v>184</v>
      </c>
      <c r="R43" s="169" t="s">
        <v>184</v>
      </c>
      <c r="S43" s="169" t="s">
        <v>184</v>
      </c>
      <c r="T43" s="169" t="s">
        <v>184</v>
      </c>
      <c r="U43" s="169" t="s">
        <v>184</v>
      </c>
      <c r="V43" s="169" t="s">
        <v>184</v>
      </c>
      <c r="W43" s="169" t="s">
        <v>184</v>
      </c>
      <c r="X43" s="169" t="s">
        <v>184</v>
      </c>
      <c r="Y43" s="169" t="s">
        <v>184</v>
      </c>
      <c r="Z43" s="169" t="s">
        <v>184</v>
      </c>
      <c r="AA43" s="169" t="s">
        <v>184</v>
      </c>
      <c r="AB43" s="170" t="s">
        <v>184</v>
      </c>
      <c r="AC43" s="8">
        <f t="shared" si="1"/>
        <v>586</v>
      </c>
    </row>
    <row r="44" spans="1:29" ht="77.25" customHeight="1">
      <c r="A44" s="75" t="str">
        <f t="shared" si="0"/>
        <v>小口 絵麻</v>
      </c>
      <c r="B44" s="168" t="s">
        <v>185</v>
      </c>
      <c r="C44" s="169" t="s">
        <v>185</v>
      </c>
      <c r="D44" s="169" t="s">
        <v>185</v>
      </c>
      <c r="E44" s="169" t="s">
        <v>185</v>
      </c>
      <c r="F44" s="169" t="s">
        <v>185</v>
      </c>
      <c r="G44" s="169" t="s">
        <v>185</v>
      </c>
      <c r="H44" s="169" t="s">
        <v>185</v>
      </c>
      <c r="I44" s="169" t="s">
        <v>185</v>
      </c>
      <c r="J44" s="169" t="s">
        <v>185</v>
      </c>
      <c r="K44" s="169" t="s">
        <v>185</v>
      </c>
      <c r="L44" s="169" t="s">
        <v>185</v>
      </c>
      <c r="M44" s="169" t="s">
        <v>185</v>
      </c>
      <c r="N44" s="169" t="s">
        <v>185</v>
      </c>
      <c r="O44" s="169" t="s">
        <v>185</v>
      </c>
      <c r="P44" s="169" t="s">
        <v>185</v>
      </c>
      <c r="Q44" s="169" t="s">
        <v>185</v>
      </c>
      <c r="R44" s="169" t="s">
        <v>185</v>
      </c>
      <c r="S44" s="169" t="s">
        <v>185</v>
      </c>
      <c r="T44" s="169" t="s">
        <v>185</v>
      </c>
      <c r="U44" s="169" t="s">
        <v>185</v>
      </c>
      <c r="V44" s="169" t="s">
        <v>185</v>
      </c>
      <c r="W44" s="169" t="s">
        <v>185</v>
      </c>
      <c r="X44" s="169" t="s">
        <v>185</v>
      </c>
      <c r="Y44" s="169" t="s">
        <v>185</v>
      </c>
      <c r="Z44" s="169" t="s">
        <v>185</v>
      </c>
      <c r="AA44" s="169" t="s">
        <v>185</v>
      </c>
      <c r="AB44" s="170" t="s">
        <v>185</v>
      </c>
      <c r="AC44" s="8">
        <f t="shared" si="1"/>
        <v>600</v>
      </c>
    </row>
    <row r="45" spans="1:29" ht="77.25" customHeight="1">
      <c r="A45" s="75" t="str">
        <f t="shared" si="0"/>
        <v>小栗 桃愛</v>
      </c>
      <c r="B45" s="168" t="s">
        <v>276</v>
      </c>
      <c r="C45" s="169" t="s">
        <v>186</v>
      </c>
      <c r="D45" s="169" t="s">
        <v>186</v>
      </c>
      <c r="E45" s="169" t="s">
        <v>186</v>
      </c>
      <c r="F45" s="169" t="s">
        <v>186</v>
      </c>
      <c r="G45" s="169" t="s">
        <v>186</v>
      </c>
      <c r="H45" s="169" t="s">
        <v>186</v>
      </c>
      <c r="I45" s="169" t="s">
        <v>186</v>
      </c>
      <c r="J45" s="169" t="s">
        <v>186</v>
      </c>
      <c r="K45" s="169" t="s">
        <v>186</v>
      </c>
      <c r="L45" s="169" t="s">
        <v>186</v>
      </c>
      <c r="M45" s="169" t="s">
        <v>186</v>
      </c>
      <c r="N45" s="169" t="s">
        <v>186</v>
      </c>
      <c r="O45" s="169" t="s">
        <v>186</v>
      </c>
      <c r="P45" s="169" t="s">
        <v>186</v>
      </c>
      <c r="Q45" s="169" t="s">
        <v>186</v>
      </c>
      <c r="R45" s="169" t="s">
        <v>186</v>
      </c>
      <c r="S45" s="169" t="s">
        <v>186</v>
      </c>
      <c r="T45" s="169" t="s">
        <v>186</v>
      </c>
      <c r="U45" s="169" t="s">
        <v>186</v>
      </c>
      <c r="V45" s="169" t="s">
        <v>186</v>
      </c>
      <c r="W45" s="169" t="s">
        <v>186</v>
      </c>
      <c r="X45" s="169" t="s">
        <v>186</v>
      </c>
      <c r="Y45" s="169" t="s">
        <v>186</v>
      </c>
      <c r="Z45" s="169" t="s">
        <v>186</v>
      </c>
      <c r="AA45" s="169" t="s">
        <v>186</v>
      </c>
      <c r="AB45" s="170" t="s">
        <v>186</v>
      </c>
      <c r="AC45" s="8">
        <f t="shared" si="1"/>
        <v>586</v>
      </c>
    </row>
    <row r="46" spans="1:29" ht="77.25" customHeight="1">
      <c r="A46" s="75" t="str">
        <f t="shared" si="0"/>
        <v>上條 惇也</v>
      </c>
      <c r="B46" s="168" t="s">
        <v>277</v>
      </c>
      <c r="C46" s="169" t="s">
        <v>187</v>
      </c>
      <c r="D46" s="169" t="s">
        <v>187</v>
      </c>
      <c r="E46" s="169" t="s">
        <v>187</v>
      </c>
      <c r="F46" s="169" t="s">
        <v>187</v>
      </c>
      <c r="G46" s="169" t="s">
        <v>187</v>
      </c>
      <c r="H46" s="169" t="s">
        <v>187</v>
      </c>
      <c r="I46" s="169" t="s">
        <v>187</v>
      </c>
      <c r="J46" s="169" t="s">
        <v>187</v>
      </c>
      <c r="K46" s="169" t="s">
        <v>187</v>
      </c>
      <c r="L46" s="169" t="s">
        <v>187</v>
      </c>
      <c r="M46" s="169" t="s">
        <v>187</v>
      </c>
      <c r="N46" s="169" t="s">
        <v>187</v>
      </c>
      <c r="O46" s="169" t="s">
        <v>187</v>
      </c>
      <c r="P46" s="169" t="s">
        <v>187</v>
      </c>
      <c r="Q46" s="169" t="s">
        <v>187</v>
      </c>
      <c r="R46" s="169" t="s">
        <v>187</v>
      </c>
      <c r="S46" s="169" t="s">
        <v>187</v>
      </c>
      <c r="T46" s="169" t="s">
        <v>187</v>
      </c>
      <c r="U46" s="169" t="s">
        <v>187</v>
      </c>
      <c r="V46" s="169" t="s">
        <v>187</v>
      </c>
      <c r="W46" s="169" t="s">
        <v>187</v>
      </c>
      <c r="X46" s="169" t="s">
        <v>187</v>
      </c>
      <c r="Y46" s="169" t="s">
        <v>187</v>
      </c>
      <c r="Z46" s="169" t="s">
        <v>187</v>
      </c>
      <c r="AA46" s="169" t="s">
        <v>187</v>
      </c>
      <c r="AB46" s="170" t="s">
        <v>187</v>
      </c>
      <c r="AC46" s="8">
        <f t="shared" si="1"/>
        <v>607</v>
      </c>
    </row>
    <row r="47" spans="1:29" ht="77.25" customHeight="1">
      <c r="A47" s="75" t="str">
        <f t="shared" si="0"/>
        <v>上條 美生</v>
      </c>
      <c r="B47" s="168" t="s">
        <v>278</v>
      </c>
      <c r="C47" s="169" t="s">
        <v>188</v>
      </c>
      <c r="D47" s="169" t="s">
        <v>188</v>
      </c>
      <c r="E47" s="169" t="s">
        <v>188</v>
      </c>
      <c r="F47" s="169" t="s">
        <v>188</v>
      </c>
      <c r="G47" s="169" t="s">
        <v>188</v>
      </c>
      <c r="H47" s="169" t="s">
        <v>188</v>
      </c>
      <c r="I47" s="169" t="s">
        <v>188</v>
      </c>
      <c r="J47" s="169" t="s">
        <v>188</v>
      </c>
      <c r="K47" s="169" t="s">
        <v>188</v>
      </c>
      <c r="L47" s="169" t="s">
        <v>188</v>
      </c>
      <c r="M47" s="169" t="s">
        <v>188</v>
      </c>
      <c r="N47" s="169" t="s">
        <v>188</v>
      </c>
      <c r="O47" s="169" t="s">
        <v>188</v>
      </c>
      <c r="P47" s="169" t="s">
        <v>188</v>
      </c>
      <c r="Q47" s="169" t="s">
        <v>188</v>
      </c>
      <c r="R47" s="169" t="s">
        <v>188</v>
      </c>
      <c r="S47" s="169" t="s">
        <v>188</v>
      </c>
      <c r="T47" s="169" t="s">
        <v>188</v>
      </c>
      <c r="U47" s="169" t="s">
        <v>188</v>
      </c>
      <c r="V47" s="169" t="s">
        <v>188</v>
      </c>
      <c r="W47" s="169" t="s">
        <v>188</v>
      </c>
      <c r="X47" s="169" t="s">
        <v>188</v>
      </c>
      <c r="Y47" s="169" t="s">
        <v>188</v>
      </c>
      <c r="Z47" s="169" t="s">
        <v>188</v>
      </c>
      <c r="AA47" s="169" t="s">
        <v>188</v>
      </c>
      <c r="AB47" s="170" t="s">
        <v>188</v>
      </c>
      <c r="AC47" s="8">
        <f t="shared" si="1"/>
        <v>584</v>
      </c>
    </row>
    <row r="48" spans="1:29" ht="77.25" customHeight="1">
      <c r="A48" s="75" t="str">
        <f t="shared" si="0"/>
        <v>佐藤 くるみ</v>
      </c>
      <c r="B48" s="168" t="s">
        <v>189</v>
      </c>
      <c r="C48" s="169" t="s">
        <v>189</v>
      </c>
      <c r="D48" s="169" t="s">
        <v>189</v>
      </c>
      <c r="E48" s="169" t="s">
        <v>189</v>
      </c>
      <c r="F48" s="169" t="s">
        <v>189</v>
      </c>
      <c r="G48" s="169" t="s">
        <v>189</v>
      </c>
      <c r="H48" s="169" t="s">
        <v>189</v>
      </c>
      <c r="I48" s="169" t="s">
        <v>189</v>
      </c>
      <c r="J48" s="169" t="s">
        <v>189</v>
      </c>
      <c r="K48" s="169" t="s">
        <v>189</v>
      </c>
      <c r="L48" s="169" t="s">
        <v>189</v>
      </c>
      <c r="M48" s="169" t="s">
        <v>189</v>
      </c>
      <c r="N48" s="169" t="s">
        <v>189</v>
      </c>
      <c r="O48" s="169" t="s">
        <v>189</v>
      </c>
      <c r="P48" s="169" t="s">
        <v>189</v>
      </c>
      <c r="Q48" s="169" t="s">
        <v>189</v>
      </c>
      <c r="R48" s="169" t="s">
        <v>189</v>
      </c>
      <c r="S48" s="169" t="s">
        <v>189</v>
      </c>
      <c r="T48" s="169" t="s">
        <v>189</v>
      </c>
      <c r="U48" s="169" t="s">
        <v>189</v>
      </c>
      <c r="V48" s="169" t="s">
        <v>189</v>
      </c>
      <c r="W48" s="169" t="s">
        <v>189</v>
      </c>
      <c r="X48" s="169" t="s">
        <v>189</v>
      </c>
      <c r="Y48" s="169" t="s">
        <v>189</v>
      </c>
      <c r="Z48" s="169" t="s">
        <v>189</v>
      </c>
      <c r="AA48" s="169" t="s">
        <v>189</v>
      </c>
      <c r="AB48" s="170" t="s">
        <v>189</v>
      </c>
      <c r="AC48" s="8">
        <f t="shared" si="1"/>
        <v>593</v>
      </c>
    </row>
    <row r="49" spans="1:29" ht="77.25" customHeight="1">
      <c r="A49" s="75" t="str">
        <f t="shared" si="0"/>
        <v>杉野 葉琉</v>
      </c>
      <c r="B49" s="168" t="s">
        <v>190</v>
      </c>
      <c r="C49" s="169" t="s">
        <v>190</v>
      </c>
      <c r="D49" s="169" t="s">
        <v>190</v>
      </c>
      <c r="E49" s="169" t="s">
        <v>190</v>
      </c>
      <c r="F49" s="169" t="s">
        <v>190</v>
      </c>
      <c r="G49" s="169" t="s">
        <v>190</v>
      </c>
      <c r="H49" s="169" t="s">
        <v>190</v>
      </c>
      <c r="I49" s="169" t="s">
        <v>190</v>
      </c>
      <c r="J49" s="169" t="s">
        <v>190</v>
      </c>
      <c r="K49" s="169" t="s">
        <v>190</v>
      </c>
      <c r="L49" s="169" t="s">
        <v>190</v>
      </c>
      <c r="M49" s="169" t="s">
        <v>190</v>
      </c>
      <c r="N49" s="169" t="s">
        <v>190</v>
      </c>
      <c r="O49" s="169" t="s">
        <v>190</v>
      </c>
      <c r="P49" s="169" t="s">
        <v>190</v>
      </c>
      <c r="Q49" s="169" t="s">
        <v>190</v>
      </c>
      <c r="R49" s="169" t="s">
        <v>190</v>
      </c>
      <c r="S49" s="169" t="s">
        <v>190</v>
      </c>
      <c r="T49" s="169" t="s">
        <v>190</v>
      </c>
      <c r="U49" s="169" t="s">
        <v>190</v>
      </c>
      <c r="V49" s="169" t="s">
        <v>190</v>
      </c>
      <c r="W49" s="169" t="s">
        <v>190</v>
      </c>
      <c r="X49" s="169" t="s">
        <v>190</v>
      </c>
      <c r="Y49" s="169" t="s">
        <v>190</v>
      </c>
      <c r="Z49" s="169" t="s">
        <v>190</v>
      </c>
      <c r="AA49" s="169" t="s">
        <v>190</v>
      </c>
      <c r="AB49" s="170" t="s">
        <v>190</v>
      </c>
      <c r="AC49" s="8">
        <f t="shared" si="1"/>
        <v>586</v>
      </c>
    </row>
    <row r="50" spans="1:29" ht="77.25" customHeight="1">
      <c r="A50" s="75" t="str">
        <f t="shared" si="0"/>
        <v>杉本 灯</v>
      </c>
      <c r="B50" s="168" t="s">
        <v>191</v>
      </c>
      <c r="C50" s="169" t="s">
        <v>191</v>
      </c>
      <c r="D50" s="169" t="s">
        <v>191</v>
      </c>
      <c r="E50" s="169" t="s">
        <v>191</v>
      </c>
      <c r="F50" s="169" t="s">
        <v>191</v>
      </c>
      <c r="G50" s="169" t="s">
        <v>191</v>
      </c>
      <c r="H50" s="169" t="s">
        <v>191</v>
      </c>
      <c r="I50" s="169" t="s">
        <v>191</v>
      </c>
      <c r="J50" s="169" t="s">
        <v>191</v>
      </c>
      <c r="K50" s="169" t="s">
        <v>191</v>
      </c>
      <c r="L50" s="169" t="s">
        <v>191</v>
      </c>
      <c r="M50" s="169" t="s">
        <v>191</v>
      </c>
      <c r="N50" s="169" t="s">
        <v>191</v>
      </c>
      <c r="O50" s="169" t="s">
        <v>191</v>
      </c>
      <c r="P50" s="169" t="s">
        <v>191</v>
      </c>
      <c r="Q50" s="169" t="s">
        <v>191</v>
      </c>
      <c r="R50" s="169" t="s">
        <v>191</v>
      </c>
      <c r="S50" s="169" t="s">
        <v>191</v>
      </c>
      <c r="T50" s="169" t="s">
        <v>191</v>
      </c>
      <c r="U50" s="169" t="s">
        <v>191</v>
      </c>
      <c r="V50" s="169" t="s">
        <v>191</v>
      </c>
      <c r="W50" s="169" t="s">
        <v>191</v>
      </c>
      <c r="X50" s="169" t="s">
        <v>191</v>
      </c>
      <c r="Y50" s="169" t="s">
        <v>191</v>
      </c>
      <c r="Z50" s="169" t="s">
        <v>191</v>
      </c>
      <c r="AA50" s="169" t="s">
        <v>191</v>
      </c>
      <c r="AB50" s="170" t="s">
        <v>191</v>
      </c>
      <c r="AC50" s="8">
        <f t="shared" si="1"/>
        <v>576</v>
      </c>
    </row>
    <row r="51" spans="1:29" ht="77.25" customHeight="1">
      <c r="A51" s="75" t="str">
        <f>A25</f>
        <v>長崎 結</v>
      </c>
      <c r="B51" s="168" t="s">
        <v>192</v>
      </c>
      <c r="C51" s="169" t="s">
        <v>192</v>
      </c>
      <c r="D51" s="169" t="s">
        <v>192</v>
      </c>
      <c r="E51" s="169" t="s">
        <v>192</v>
      </c>
      <c r="F51" s="169" t="s">
        <v>192</v>
      </c>
      <c r="G51" s="169" t="s">
        <v>192</v>
      </c>
      <c r="H51" s="169" t="s">
        <v>192</v>
      </c>
      <c r="I51" s="169" t="s">
        <v>192</v>
      </c>
      <c r="J51" s="169" t="s">
        <v>192</v>
      </c>
      <c r="K51" s="169" t="s">
        <v>192</v>
      </c>
      <c r="L51" s="169" t="s">
        <v>192</v>
      </c>
      <c r="M51" s="169" t="s">
        <v>192</v>
      </c>
      <c r="N51" s="169" t="s">
        <v>192</v>
      </c>
      <c r="O51" s="169" t="s">
        <v>192</v>
      </c>
      <c r="P51" s="169" t="s">
        <v>192</v>
      </c>
      <c r="Q51" s="169" t="s">
        <v>192</v>
      </c>
      <c r="R51" s="169" t="s">
        <v>192</v>
      </c>
      <c r="S51" s="169" t="s">
        <v>192</v>
      </c>
      <c r="T51" s="169" t="s">
        <v>192</v>
      </c>
      <c r="U51" s="169" t="s">
        <v>192</v>
      </c>
      <c r="V51" s="169" t="s">
        <v>192</v>
      </c>
      <c r="W51" s="169" t="s">
        <v>192</v>
      </c>
      <c r="X51" s="169" t="s">
        <v>192</v>
      </c>
      <c r="Y51" s="169" t="s">
        <v>192</v>
      </c>
      <c r="Z51" s="169" t="s">
        <v>192</v>
      </c>
      <c r="AA51" s="169" t="s">
        <v>192</v>
      </c>
      <c r="AB51" s="170" t="s">
        <v>192</v>
      </c>
      <c r="AC51" s="8">
        <f t="shared" si="1"/>
        <v>589</v>
      </c>
    </row>
    <row r="52" spans="1:29" ht="77.25" customHeight="1">
      <c r="A52" s="75" t="str">
        <f>A26</f>
        <v>宮下 貫正</v>
      </c>
      <c r="B52" s="168" t="s">
        <v>193</v>
      </c>
      <c r="C52" s="169" t="s">
        <v>193</v>
      </c>
      <c r="D52" s="169" t="s">
        <v>193</v>
      </c>
      <c r="E52" s="169" t="s">
        <v>193</v>
      </c>
      <c r="F52" s="169" t="s">
        <v>193</v>
      </c>
      <c r="G52" s="169" t="s">
        <v>193</v>
      </c>
      <c r="H52" s="169" t="s">
        <v>193</v>
      </c>
      <c r="I52" s="169" t="s">
        <v>193</v>
      </c>
      <c r="J52" s="169" t="s">
        <v>193</v>
      </c>
      <c r="K52" s="169" t="s">
        <v>193</v>
      </c>
      <c r="L52" s="169" t="s">
        <v>193</v>
      </c>
      <c r="M52" s="169" t="s">
        <v>193</v>
      </c>
      <c r="N52" s="169" t="s">
        <v>193</v>
      </c>
      <c r="O52" s="169" t="s">
        <v>193</v>
      </c>
      <c r="P52" s="169" t="s">
        <v>193</v>
      </c>
      <c r="Q52" s="169" t="s">
        <v>193</v>
      </c>
      <c r="R52" s="169" t="s">
        <v>193</v>
      </c>
      <c r="S52" s="169" t="s">
        <v>193</v>
      </c>
      <c r="T52" s="169" t="s">
        <v>193</v>
      </c>
      <c r="U52" s="169" t="s">
        <v>193</v>
      </c>
      <c r="V52" s="169" t="s">
        <v>193</v>
      </c>
      <c r="W52" s="169" t="s">
        <v>193</v>
      </c>
      <c r="X52" s="169" t="s">
        <v>193</v>
      </c>
      <c r="Y52" s="169" t="s">
        <v>193</v>
      </c>
      <c r="Z52" s="169" t="s">
        <v>193</v>
      </c>
      <c r="AA52" s="169" t="s">
        <v>193</v>
      </c>
      <c r="AB52" s="170" t="s">
        <v>193</v>
      </c>
      <c r="AC52" s="8">
        <f t="shared" si="1"/>
        <v>579</v>
      </c>
    </row>
    <row r="53" spans="1:29" ht="77.25" customHeight="1">
      <c r="A53" s="75" t="str">
        <f t="shared" ref="A53:A63" si="2">A27</f>
        <v>宮島 煌季</v>
      </c>
      <c r="B53" s="168" t="s">
        <v>279</v>
      </c>
      <c r="C53" s="169" t="s">
        <v>194</v>
      </c>
      <c r="D53" s="169" t="s">
        <v>194</v>
      </c>
      <c r="E53" s="169" t="s">
        <v>194</v>
      </c>
      <c r="F53" s="169" t="s">
        <v>194</v>
      </c>
      <c r="G53" s="169" t="s">
        <v>194</v>
      </c>
      <c r="H53" s="169" t="s">
        <v>194</v>
      </c>
      <c r="I53" s="169" t="s">
        <v>194</v>
      </c>
      <c r="J53" s="169" t="s">
        <v>194</v>
      </c>
      <c r="K53" s="169" t="s">
        <v>194</v>
      </c>
      <c r="L53" s="169" t="s">
        <v>194</v>
      </c>
      <c r="M53" s="169" t="s">
        <v>194</v>
      </c>
      <c r="N53" s="169" t="s">
        <v>194</v>
      </c>
      <c r="O53" s="169" t="s">
        <v>194</v>
      </c>
      <c r="P53" s="169" t="s">
        <v>194</v>
      </c>
      <c r="Q53" s="169" t="s">
        <v>194</v>
      </c>
      <c r="R53" s="169" t="s">
        <v>194</v>
      </c>
      <c r="S53" s="169" t="s">
        <v>194</v>
      </c>
      <c r="T53" s="169" t="s">
        <v>194</v>
      </c>
      <c r="U53" s="169" t="s">
        <v>194</v>
      </c>
      <c r="V53" s="169" t="s">
        <v>194</v>
      </c>
      <c r="W53" s="169" t="s">
        <v>194</v>
      </c>
      <c r="X53" s="169" t="s">
        <v>194</v>
      </c>
      <c r="Y53" s="169" t="s">
        <v>194</v>
      </c>
      <c r="Z53" s="169" t="s">
        <v>194</v>
      </c>
      <c r="AA53" s="169" t="s">
        <v>194</v>
      </c>
      <c r="AB53" s="170" t="s">
        <v>194</v>
      </c>
      <c r="AC53" s="8">
        <f t="shared" si="1"/>
        <v>612</v>
      </c>
    </row>
    <row r="54" spans="1:29" ht="77.25" customHeight="1">
      <c r="A54" s="75" t="str">
        <f t="shared" si="2"/>
        <v>山﨑 大輝</v>
      </c>
      <c r="B54" s="168" t="s">
        <v>195</v>
      </c>
      <c r="C54" s="169" t="s">
        <v>195</v>
      </c>
      <c r="D54" s="169" t="s">
        <v>195</v>
      </c>
      <c r="E54" s="169" t="s">
        <v>195</v>
      </c>
      <c r="F54" s="169" t="s">
        <v>195</v>
      </c>
      <c r="G54" s="169" t="s">
        <v>195</v>
      </c>
      <c r="H54" s="169" t="s">
        <v>195</v>
      </c>
      <c r="I54" s="169" t="s">
        <v>195</v>
      </c>
      <c r="J54" s="169" t="s">
        <v>195</v>
      </c>
      <c r="K54" s="169" t="s">
        <v>195</v>
      </c>
      <c r="L54" s="169" t="s">
        <v>195</v>
      </c>
      <c r="M54" s="169" t="s">
        <v>195</v>
      </c>
      <c r="N54" s="169" t="s">
        <v>195</v>
      </c>
      <c r="O54" s="169" t="s">
        <v>195</v>
      </c>
      <c r="P54" s="169" t="s">
        <v>195</v>
      </c>
      <c r="Q54" s="169" t="s">
        <v>195</v>
      </c>
      <c r="R54" s="169" t="s">
        <v>195</v>
      </c>
      <c r="S54" s="169" t="s">
        <v>195</v>
      </c>
      <c r="T54" s="169" t="s">
        <v>195</v>
      </c>
      <c r="U54" s="169" t="s">
        <v>195</v>
      </c>
      <c r="V54" s="169" t="s">
        <v>195</v>
      </c>
      <c r="W54" s="169" t="s">
        <v>195</v>
      </c>
      <c r="X54" s="169" t="s">
        <v>195</v>
      </c>
      <c r="Y54" s="169" t="s">
        <v>195</v>
      </c>
      <c r="Z54" s="169" t="s">
        <v>195</v>
      </c>
      <c r="AA54" s="169" t="s">
        <v>195</v>
      </c>
      <c r="AB54" s="170" t="s">
        <v>195</v>
      </c>
      <c r="AC54" s="8">
        <f t="shared" si="1"/>
        <v>603</v>
      </c>
    </row>
    <row r="55" spans="1:29" ht="77.25" customHeight="1">
      <c r="A55" s="75" t="str">
        <f t="shared" si="2"/>
        <v>横井 快斗</v>
      </c>
      <c r="B55" s="168" t="s">
        <v>280</v>
      </c>
      <c r="C55" s="169" t="s">
        <v>196</v>
      </c>
      <c r="D55" s="169" t="s">
        <v>196</v>
      </c>
      <c r="E55" s="169" t="s">
        <v>196</v>
      </c>
      <c r="F55" s="169" t="s">
        <v>196</v>
      </c>
      <c r="G55" s="169" t="s">
        <v>196</v>
      </c>
      <c r="H55" s="169" t="s">
        <v>196</v>
      </c>
      <c r="I55" s="169" t="s">
        <v>196</v>
      </c>
      <c r="J55" s="169" t="s">
        <v>196</v>
      </c>
      <c r="K55" s="169" t="s">
        <v>196</v>
      </c>
      <c r="L55" s="169" t="s">
        <v>196</v>
      </c>
      <c r="M55" s="169" t="s">
        <v>196</v>
      </c>
      <c r="N55" s="169" t="s">
        <v>196</v>
      </c>
      <c r="O55" s="169" t="s">
        <v>196</v>
      </c>
      <c r="P55" s="169" t="s">
        <v>196</v>
      </c>
      <c r="Q55" s="169" t="s">
        <v>196</v>
      </c>
      <c r="R55" s="169" t="s">
        <v>196</v>
      </c>
      <c r="S55" s="169" t="s">
        <v>196</v>
      </c>
      <c r="T55" s="169" t="s">
        <v>196</v>
      </c>
      <c r="U55" s="169" t="s">
        <v>196</v>
      </c>
      <c r="V55" s="169" t="s">
        <v>196</v>
      </c>
      <c r="W55" s="169" t="s">
        <v>196</v>
      </c>
      <c r="X55" s="169" t="s">
        <v>196</v>
      </c>
      <c r="Y55" s="169" t="s">
        <v>196</v>
      </c>
      <c r="Z55" s="169" t="s">
        <v>196</v>
      </c>
      <c r="AA55" s="169" t="s">
        <v>196</v>
      </c>
      <c r="AB55" s="170" t="s">
        <v>196</v>
      </c>
      <c r="AC55" s="8">
        <f t="shared" si="1"/>
        <v>606</v>
      </c>
    </row>
    <row r="56" spans="1:29" ht="77.25" customHeight="1">
      <c r="A56" s="75" t="str">
        <f t="shared" si="2"/>
        <v>吉河 治輝</v>
      </c>
      <c r="B56" s="168" t="s">
        <v>281</v>
      </c>
      <c r="C56" s="169" t="s">
        <v>197</v>
      </c>
      <c r="D56" s="169" t="s">
        <v>197</v>
      </c>
      <c r="E56" s="169" t="s">
        <v>197</v>
      </c>
      <c r="F56" s="169" t="s">
        <v>197</v>
      </c>
      <c r="G56" s="169" t="s">
        <v>197</v>
      </c>
      <c r="H56" s="169" t="s">
        <v>197</v>
      </c>
      <c r="I56" s="169" t="s">
        <v>197</v>
      </c>
      <c r="J56" s="169" t="s">
        <v>197</v>
      </c>
      <c r="K56" s="169" t="s">
        <v>197</v>
      </c>
      <c r="L56" s="169" t="s">
        <v>197</v>
      </c>
      <c r="M56" s="169" t="s">
        <v>197</v>
      </c>
      <c r="N56" s="169" t="s">
        <v>197</v>
      </c>
      <c r="O56" s="169" t="s">
        <v>197</v>
      </c>
      <c r="P56" s="169" t="s">
        <v>197</v>
      </c>
      <c r="Q56" s="169" t="s">
        <v>197</v>
      </c>
      <c r="R56" s="169" t="s">
        <v>197</v>
      </c>
      <c r="S56" s="169" t="s">
        <v>197</v>
      </c>
      <c r="T56" s="169" t="s">
        <v>197</v>
      </c>
      <c r="U56" s="169" t="s">
        <v>197</v>
      </c>
      <c r="V56" s="169" t="s">
        <v>197</v>
      </c>
      <c r="W56" s="169" t="s">
        <v>197</v>
      </c>
      <c r="X56" s="169" t="s">
        <v>197</v>
      </c>
      <c r="Y56" s="169" t="s">
        <v>197</v>
      </c>
      <c r="Z56" s="169" t="s">
        <v>197</v>
      </c>
      <c r="AA56" s="169" t="s">
        <v>197</v>
      </c>
      <c r="AB56" s="170" t="s">
        <v>197</v>
      </c>
      <c r="AC56" s="8">
        <f t="shared" si="1"/>
        <v>578</v>
      </c>
    </row>
    <row r="57" spans="1:29" ht="77.25" customHeight="1">
      <c r="A57" s="75">
        <f t="shared" si="2"/>
        <v>0</v>
      </c>
      <c r="B57" s="168"/>
      <c r="C57" s="169"/>
      <c r="D57" s="169"/>
      <c r="E57" s="169"/>
      <c r="F57" s="169"/>
      <c r="G57" s="169"/>
      <c r="H57" s="169"/>
      <c r="I57" s="169"/>
      <c r="J57" s="169"/>
      <c r="K57" s="169"/>
      <c r="L57" s="169"/>
      <c r="M57" s="169"/>
      <c r="N57" s="169"/>
      <c r="O57" s="169"/>
      <c r="P57" s="169"/>
      <c r="Q57" s="169"/>
      <c r="R57" s="169"/>
      <c r="S57" s="169"/>
      <c r="T57" s="169"/>
      <c r="U57" s="169"/>
      <c r="V57" s="169"/>
      <c r="W57" s="169"/>
      <c r="X57" s="169"/>
      <c r="Y57" s="169"/>
      <c r="Z57" s="169"/>
      <c r="AA57" s="169"/>
      <c r="AB57" s="170"/>
      <c r="AC57" s="8">
        <f t="shared" si="1"/>
        <v>0</v>
      </c>
    </row>
    <row r="58" spans="1:29" ht="77.25" customHeight="1">
      <c r="A58" s="75">
        <f t="shared" si="2"/>
        <v>0</v>
      </c>
      <c r="B58" s="168"/>
      <c r="C58" s="169"/>
      <c r="D58" s="169"/>
      <c r="E58" s="169"/>
      <c r="F58" s="169"/>
      <c r="G58" s="169"/>
      <c r="H58" s="169"/>
      <c r="I58" s="169"/>
      <c r="J58" s="169"/>
      <c r="K58" s="169"/>
      <c r="L58" s="169"/>
      <c r="M58" s="169"/>
      <c r="N58" s="169"/>
      <c r="O58" s="169"/>
      <c r="P58" s="169"/>
      <c r="Q58" s="169"/>
      <c r="R58" s="169"/>
      <c r="S58" s="169"/>
      <c r="T58" s="169"/>
      <c r="U58" s="169"/>
      <c r="V58" s="169"/>
      <c r="W58" s="169"/>
      <c r="X58" s="169"/>
      <c r="Y58" s="169"/>
      <c r="Z58" s="169"/>
      <c r="AA58" s="169"/>
      <c r="AB58" s="170"/>
      <c r="AC58" s="8">
        <f t="shared" si="1"/>
        <v>0</v>
      </c>
    </row>
    <row r="59" spans="1:29" ht="77.25" customHeight="1">
      <c r="A59" s="75">
        <f t="shared" si="2"/>
        <v>0</v>
      </c>
      <c r="B59" s="168"/>
      <c r="C59" s="169"/>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70"/>
      <c r="AC59" s="8">
        <f t="shared" si="1"/>
        <v>0</v>
      </c>
    </row>
    <row r="60" spans="1:29" ht="77.25" customHeight="1">
      <c r="A60" s="75">
        <f t="shared" si="2"/>
        <v>0</v>
      </c>
      <c r="B60" s="168"/>
      <c r="C60" s="169"/>
      <c r="D60" s="169"/>
      <c r="E60" s="169"/>
      <c r="F60" s="169"/>
      <c r="G60" s="169"/>
      <c r="H60" s="169"/>
      <c r="I60" s="169"/>
      <c r="J60" s="169"/>
      <c r="K60" s="169"/>
      <c r="L60" s="169"/>
      <c r="M60" s="169"/>
      <c r="N60" s="169"/>
      <c r="O60" s="169"/>
      <c r="P60" s="169"/>
      <c r="Q60" s="169"/>
      <c r="R60" s="169"/>
      <c r="S60" s="169"/>
      <c r="T60" s="169"/>
      <c r="U60" s="169"/>
      <c r="V60" s="169"/>
      <c r="W60" s="169"/>
      <c r="X60" s="169"/>
      <c r="Y60" s="169"/>
      <c r="Z60" s="169"/>
      <c r="AA60" s="169"/>
      <c r="AB60" s="170"/>
      <c r="AC60" s="8">
        <f t="shared" si="1"/>
        <v>0</v>
      </c>
    </row>
    <row r="61" spans="1:29" ht="77.25" customHeight="1">
      <c r="A61" s="75">
        <f t="shared" si="2"/>
        <v>0</v>
      </c>
      <c r="B61" s="168"/>
      <c r="C61" s="169"/>
      <c r="D61" s="169"/>
      <c r="E61" s="169"/>
      <c r="F61" s="169"/>
      <c r="G61" s="169"/>
      <c r="H61" s="169"/>
      <c r="I61" s="169"/>
      <c r="J61" s="169"/>
      <c r="K61" s="169"/>
      <c r="L61" s="169"/>
      <c r="M61" s="169"/>
      <c r="N61" s="169"/>
      <c r="O61" s="169"/>
      <c r="P61" s="169"/>
      <c r="Q61" s="169"/>
      <c r="R61" s="169"/>
      <c r="S61" s="169"/>
      <c r="T61" s="169"/>
      <c r="U61" s="169"/>
      <c r="V61" s="169"/>
      <c r="W61" s="169"/>
      <c r="X61" s="169"/>
      <c r="Y61" s="169"/>
      <c r="Z61" s="169"/>
      <c r="AA61" s="169"/>
      <c r="AB61" s="170"/>
      <c r="AC61" s="8">
        <f t="shared" si="1"/>
        <v>0</v>
      </c>
    </row>
    <row r="62" spans="1:29" ht="77.25" customHeight="1">
      <c r="A62" s="75">
        <f t="shared" si="2"/>
        <v>0</v>
      </c>
      <c r="B62" s="168"/>
      <c r="C62" s="169"/>
      <c r="D62" s="169"/>
      <c r="E62" s="169"/>
      <c r="F62" s="169"/>
      <c r="G62" s="169"/>
      <c r="H62" s="169"/>
      <c r="I62" s="169"/>
      <c r="J62" s="169"/>
      <c r="K62" s="169"/>
      <c r="L62" s="169"/>
      <c r="M62" s="169"/>
      <c r="N62" s="169"/>
      <c r="O62" s="169"/>
      <c r="P62" s="169"/>
      <c r="Q62" s="169"/>
      <c r="R62" s="169"/>
      <c r="S62" s="169"/>
      <c r="T62" s="169"/>
      <c r="U62" s="169"/>
      <c r="V62" s="169"/>
      <c r="W62" s="169"/>
      <c r="X62" s="169"/>
      <c r="Y62" s="169"/>
      <c r="Z62" s="169"/>
      <c r="AA62" s="169"/>
      <c r="AB62" s="170"/>
      <c r="AC62" s="8">
        <f t="shared" si="1"/>
        <v>0</v>
      </c>
    </row>
    <row r="63" spans="1:29" ht="77.25" customHeight="1">
      <c r="A63" s="75">
        <f t="shared" si="2"/>
        <v>0</v>
      </c>
      <c r="B63" s="168"/>
      <c r="C63" s="169"/>
      <c r="D63" s="169"/>
      <c r="E63" s="169"/>
      <c r="F63" s="169"/>
      <c r="G63" s="169"/>
      <c r="H63" s="169"/>
      <c r="I63" s="169"/>
      <c r="J63" s="169"/>
      <c r="K63" s="169"/>
      <c r="L63" s="169"/>
      <c r="M63" s="169"/>
      <c r="N63" s="169"/>
      <c r="O63" s="169"/>
      <c r="P63" s="169"/>
      <c r="Q63" s="169"/>
      <c r="R63" s="169"/>
      <c r="S63" s="169"/>
      <c r="T63" s="169"/>
      <c r="U63" s="169"/>
      <c r="V63" s="169"/>
      <c r="W63" s="169"/>
      <c r="X63" s="169"/>
      <c r="Y63" s="169"/>
      <c r="Z63" s="169"/>
      <c r="AA63" s="169"/>
      <c r="AB63" s="170"/>
      <c r="AC63" s="8">
        <f t="shared" si="1"/>
        <v>0</v>
      </c>
    </row>
    <row r="64" spans="1:29"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row r="194" ht="17.25" customHeight="1"/>
    <row r="195" ht="17.25" customHeight="1"/>
    <row r="196" ht="17.25" customHeight="1"/>
    <row r="197" ht="17.25" customHeight="1"/>
    <row r="198" ht="17.25" customHeight="1"/>
    <row r="199" ht="17.25" customHeight="1"/>
    <row r="200" ht="17.25" customHeight="1"/>
    <row r="201" ht="17.25" customHeight="1"/>
    <row r="202" ht="17.25" customHeight="1"/>
  </sheetData>
  <mergeCells count="53">
    <mergeCell ref="B47:AB47"/>
    <mergeCell ref="A2:A9"/>
    <mergeCell ref="B42:AB42"/>
    <mergeCell ref="B43:AB43"/>
    <mergeCell ref="B44:AB44"/>
    <mergeCell ref="B45:AB45"/>
    <mergeCell ref="B46:AB46"/>
    <mergeCell ref="B37:AB37"/>
    <mergeCell ref="A38:AB38"/>
    <mergeCell ref="B39:AB39"/>
    <mergeCell ref="B40:AB40"/>
    <mergeCell ref="B41:AB41"/>
    <mergeCell ref="A12:AB12"/>
    <mergeCell ref="B13:AB13"/>
    <mergeCell ref="B14:AB14"/>
    <mergeCell ref="B15:AB15"/>
    <mergeCell ref="B58:AB58"/>
    <mergeCell ref="B59:AB59"/>
    <mergeCell ref="B48:AB48"/>
    <mergeCell ref="B49:AB49"/>
    <mergeCell ref="B50:AB50"/>
    <mergeCell ref="B57:AB57"/>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60:AB60"/>
    <mergeCell ref="B61:AB61"/>
    <mergeCell ref="B62:AB62"/>
    <mergeCell ref="B63:AB63"/>
    <mergeCell ref="B32:AB32"/>
    <mergeCell ref="B33:AB33"/>
    <mergeCell ref="B34:AB34"/>
    <mergeCell ref="B35:AB35"/>
    <mergeCell ref="B36:AB36"/>
    <mergeCell ref="B51:AB51"/>
    <mergeCell ref="B52:AB52"/>
    <mergeCell ref="B53:AB53"/>
    <mergeCell ref="B54:AB54"/>
    <mergeCell ref="B55:AB55"/>
    <mergeCell ref="B56:AB56"/>
  </mergeCells>
  <phoneticPr fontId="1"/>
  <conditionalFormatting sqref="AC39:AC50 AC52:AC63">
    <cfRule type="cellIs" dxfId="5" priority="4" operator="greaterThan">
      <formula>450</formula>
    </cfRule>
    <cfRule type="cellIs" dxfId="4" priority="5" operator="lessThan">
      <formula>400</formula>
    </cfRule>
    <cfRule type="cellIs" dxfId="3" priority="6" operator="between">
      <formula>400</formula>
      <formula>450</formula>
    </cfRule>
  </conditionalFormatting>
  <conditionalFormatting sqref="AC51">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disabled" allowBlank="1" showDropDown="1" showInputMessage="1" showErrorMessage="1" errorTitle="全角文字エラー" error="半角ABC=を入れて下さい。" sqref="D2:AB11">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8" customWidth="1"/>
    <col min="2" max="2" width="7.5" style="8" customWidth="1"/>
    <col min="3" max="3" width="9.375" style="8" customWidth="1"/>
    <col min="4" max="28" width="6.875" style="8" customWidth="1"/>
    <col min="29" max="16384" width="9" style="8"/>
  </cols>
  <sheetData>
    <row r="1" spans="1:29" ht="85.5" customHeight="1">
      <c r="A1" s="183" t="str">
        <f ca="1">MID(CELL("filename",A1),FIND("[",CELL("filename",A1))+1,3)</f>
        <v>６－１</v>
      </c>
      <c r="B1" s="184"/>
      <c r="C1" s="185"/>
      <c r="D1" s="76" t="str">
        <f>A10</f>
        <v>秋山 晃佑</v>
      </c>
      <c r="E1" s="76" t="str">
        <f>A11</f>
        <v>阿部 由和</v>
      </c>
      <c r="F1" s="76" t="str">
        <f>A12</f>
        <v>伊藤 紗和</v>
      </c>
      <c r="G1" s="76" t="str">
        <f>A13</f>
        <v>伊藤 大翔</v>
      </c>
      <c r="H1" s="76" t="str">
        <f>A14</f>
        <v>岡田 帆香</v>
      </c>
      <c r="I1" s="76" t="str">
        <f>A15</f>
        <v>小口 絵麻</v>
      </c>
      <c r="J1" s="76" t="str">
        <f>A16</f>
        <v>小栗 桃愛</v>
      </c>
      <c r="K1" s="76" t="str">
        <f>A17</f>
        <v>上條 惇也</v>
      </c>
      <c r="L1" s="76" t="str">
        <f>A18</f>
        <v>上條 美生</v>
      </c>
      <c r="M1" s="76" t="str">
        <f>A19</f>
        <v>佐藤 くるみ</v>
      </c>
      <c r="N1" s="76" t="str">
        <f>A20</f>
        <v>杉野 葉琉</v>
      </c>
      <c r="O1" s="76" t="str">
        <f>A21</f>
        <v>杉本 灯</v>
      </c>
      <c r="P1" s="76" t="str">
        <f>A22</f>
        <v>長崎 結</v>
      </c>
      <c r="Q1" s="76" t="str">
        <f>A23</f>
        <v>宮下 貫正</v>
      </c>
      <c r="R1" s="76" t="str">
        <f>A24</f>
        <v>宮島 煌季</v>
      </c>
      <c r="S1" s="76" t="str">
        <f>A25</f>
        <v>山﨑 大輝</v>
      </c>
      <c r="T1" s="76" t="str">
        <f>A26</f>
        <v>横井 快斗</v>
      </c>
      <c r="U1" s="76" t="str">
        <f>A27</f>
        <v>吉河 治輝</v>
      </c>
      <c r="V1" s="76">
        <f>A28</f>
        <v>0</v>
      </c>
      <c r="W1" s="76">
        <f>A29</f>
        <v>0</v>
      </c>
      <c r="X1" s="76">
        <f>A30</f>
        <v>0</v>
      </c>
      <c r="Y1" s="76">
        <f>A31</f>
        <v>0</v>
      </c>
      <c r="Z1" s="76">
        <f>A32</f>
        <v>0</v>
      </c>
      <c r="AA1" s="76">
        <f>A33</f>
        <v>0</v>
      </c>
      <c r="AB1" s="76">
        <f>A34</f>
        <v>0</v>
      </c>
      <c r="AC1" s="37"/>
    </row>
    <row r="2" spans="1:29" ht="22.5" customHeight="1">
      <c r="A2" s="182" t="s">
        <v>34</v>
      </c>
      <c r="B2" s="182"/>
      <c r="C2" s="182"/>
      <c r="D2" s="55">
        <v>76</v>
      </c>
      <c r="E2" s="55">
        <v>76</v>
      </c>
      <c r="F2" s="55">
        <v>76</v>
      </c>
      <c r="G2" s="55">
        <v>76</v>
      </c>
      <c r="H2" s="55">
        <v>76</v>
      </c>
      <c r="I2" s="55">
        <v>76</v>
      </c>
      <c r="J2" s="55">
        <v>76</v>
      </c>
      <c r="K2" s="55">
        <v>76</v>
      </c>
      <c r="L2" s="55">
        <v>76</v>
      </c>
      <c r="M2" s="55">
        <v>76</v>
      </c>
      <c r="N2" s="55">
        <v>76</v>
      </c>
      <c r="O2" s="55">
        <v>76</v>
      </c>
      <c r="P2" s="55">
        <v>76</v>
      </c>
      <c r="Q2" s="55">
        <v>76</v>
      </c>
      <c r="R2" s="55">
        <v>76</v>
      </c>
      <c r="S2" s="55">
        <v>76</v>
      </c>
      <c r="T2" s="55">
        <v>76</v>
      </c>
      <c r="U2" s="55">
        <v>76</v>
      </c>
      <c r="V2" s="55"/>
      <c r="W2" s="55"/>
      <c r="X2" s="55"/>
      <c r="Y2" s="55"/>
      <c r="Z2" s="55"/>
      <c r="AA2" s="55"/>
      <c r="AB2" s="55"/>
    </row>
    <row r="3" spans="1:29" ht="22.5" customHeight="1">
      <c r="A3" s="182" t="s">
        <v>35</v>
      </c>
      <c r="B3" s="182"/>
      <c r="C3" s="182"/>
      <c r="D3" s="55"/>
      <c r="E3" s="55"/>
      <c r="F3" s="55"/>
      <c r="G3" s="55"/>
      <c r="H3" s="55">
        <v>4</v>
      </c>
      <c r="I3" s="55"/>
      <c r="J3" s="55"/>
      <c r="K3" s="55"/>
      <c r="L3" s="55"/>
      <c r="M3" s="55"/>
      <c r="N3" s="55"/>
      <c r="O3" s="55"/>
      <c r="P3" s="55"/>
      <c r="Q3" s="55"/>
      <c r="R3" s="55"/>
      <c r="S3" s="55"/>
      <c r="T3" s="55"/>
      <c r="U3" s="55">
        <v>3</v>
      </c>
      <c r="V3" s="55"/>
      <c r="W3" s="55"/>
      <c r="X3" s="55"/>
      <c r="Y3" s="55"/>
      <c r="Z3" s="55"/>
      <c r="AA3" s="55"/>
      <c r="AB3" s="55"/>
    </row>
    <row r="4" spans="1:29" ht="22.5" customHeight="1">
      <c r="A4" s="182" t="s">
        <v>36</v>
      </c>
      <c r="B4" s="182"/>
      <c r="C4" s="182"/>
      <c r="D4" s="56">
        <f t="shared" ref="D4:AB4" si="0">D2-D3</f>
        <v>76</v>
      </c>
      <c r="E4" s="56">
        <f t="shared" si="0"/>
        <v>76</v>
      </c>
      <c r="F4" s="56">
        <f t="shared" si="0"/>
        <v>76</v>
      </c>
      <c r="G4" s="56">
        <f t="shared" si="0"/>
        <v>76</v>
      </c>
      <c r="H4" s="56">
        <f t="shared" si="0"/>
        <v>72</v>
      </c>
      <c r="I4" s="56">
        <f t="shared" si="0"/>
        <v>76</v>
      </c>
      <c r="J4" s="56">
        <f t="shared" si="0"/>
        <v>76</v>
      </c>
      <c r="K4" s="56">
        <f t="shared" si="0"/>
        <v>76</v>
      </c>
      <c r="L4" s="56">
        <f t="shared" si="0"/>
        <v>76</v>
      </c>
      <c r="M4" s="56">
        <f t="shared" si="0"/>
        <v>76</v>
      </c>
      <c r="N4" s="56">
        <f t="shared" si="0"/>
        <v>76</v>
      </c>
      <c r="O4" s="56">
        <f t="shared" si="0"/>
        <v>76</v>
      </c>
      <c r="P4" s="56">
        <f t="shared" si="0"/>
        <v>76</v>
      </c>
      <c r="Q4" s="56">
        <f t="shared" si="0"/>
        <v>76</v>
      </c>
      <c r="R4" s="56">
        <f t="shared" si="0"/>
        <v>76</v>
      </c>
      <c r="S4" s="56">
        <f t="shared" si="0"/>
        <v>76</v>
      </c>
      <c r="T4" s="56">
        <f t="shared" si="0"/>
        <v>76</v>
      </c>
      <c r="U4" s="56">
        <f t="shared" si="0"/>
        <v>73</v>
      </c>
      <c r="V4" s="56">
        <f t="shared" si="0"/>
        <v>0</v>
      </c>
      <c r="W4" s="56">
        <f t="shared" si="0"/>
        <v>0</v>
      </c>
      <c r="X4" s="56">
        <f t="shared" si="0"/>
        <v>0</v>
      </c>
      <c r="Y4" s="56">
        <f t="shared" si="0"/>
        <v>0</v>
      </c>
      <c r="Z4" s="56">
        <f t="shared" si="0"/>
        <v>0</v>
      </c>
      <c r="AA4" s="56">
        <f t="shared" si="0"/>
        <v>0</v>
      </c>
      <c r="AB4" s="56">
        <f t="shared" si="0"/>
        <v>0</v>
      </c>
    </row>
    <row r="5" spans="1:29" ht="22.5" customHeight="1">
      <c r="A5" s="186" t="s">
        <v>282</v>
      </c>
      <c r="B5" s="187"/>
      <c r="C5" s="188"/>
      <c r="D5" s="56">
        <f t="shared" ref="D5:AB5" si="1">D4-D6</f>
        <v>76</v>
      </c>
      <c r="E5" s="56">
        <f t="shared" si="1"/>
        <v>74</v>
      </c>
      <c r="F5" s="56">
        <f t="shared" si="1"/>
        <v>73</v>
      </c>
      <c r="G5" s="56">
        <f t="shared" si="1"/>
        <v>76</v>
      </c>
      <c r="H5" s="56">
        <f t="shared" si="1"/>
        <v>71</v>
      </c>
      <c r="I5" s="56">
        <f t="shared" si="1"/>
        <v>76</v>
      </c>
      <c r="J5" s="56">
        <f t="shared" si="1"/>
        <v>74</v>
      </c>
      <c r="K5" s="56">
        <f t="shared" si="1"/>
        <v>75</v>
      </c>
      <c r="L5" s="56">
        <f t="shared" si="1"/>
        <v>73</v>
      </c>
      <c r="M5" s="56">
        <f t="shared" si="1"/>
        <v>75</v>
      </c>
      <c r="N5" s="56">
        <f t="shared" si="1"/>
        <v>72</v>
      </c>
      <c r="O5" s="56">
        <f t="shared" si="1"/>
        <v>73</v>
      </c>
      <c r="P5" s="56">
        <f t="shared" si="1"/>
        <v>76</v>
      </c>
      <c r="Q5" s="56">
        <f t="shared" si="1"/>
        <v>71</v>
      </c>
      <c r="R5" s="56">
        <f t="shared" si="1"/>
        <v>76</v>
      </c>
      <c r="S5" s="56">
        <f t="shared" si="1"/>
        <v>75</v>
      </c>
      <c r="T5" s="56">
        <f t="shared" si="1"/>
        <v>76</v>
      </c>
      <c r="U5" s="56">
        <f t="shared" si="1"/>
        <v>73</v>
      </c>
      <c r="V5" s="56">
        <f t="shared" si="1"/>
        <v>0</v>
      </c>
      <c r="W5" s="56">
        <f t="shared" si="1"/>
        <v>0</v>
      </c>
      <c r="X5" s="56">
        <f t="shared" si="1"/>
        <v>0</v>
      </c>
      <c r="Y5" s="56">
        <f t="shared" si="1"/>
        <v>0</v>
      </c>
      <c r="Z5" s="56">
        <f t="shared" si="1"/>
        <v>0</v>
      </c>
      <c r="AA5" s="56">
        <f t="shared" si="1"/>
        <v>0</v>
      </c>
      <c r="AB5" s="56">
        <f t="shared" si="1"/>
        <v>0</v>
      </c>
    </row>
    <row r="6" spans="1:29" ht="22.5" customHeight="1">
      <c r="A6" s="179" t="s">
        <v>283</v>
      </c>
      <c r="B6" s="180"/>
      <c r="C6" s="181"/>
      <c r="D6" s="55"/>
      <c r="E6" s="55">
        <v>2</v>
      </c>
      <c r="F6" s="55">
        <v>3</v>
      </c>
      <c r="G6" s="55"/>
      <c r="H6" s="55">
        <v>1</v>
      </c>
      <c r="I6" s="55"/>
      <c r="J6" s="55">
        <v>2</v>
      </c>
      <c r="K6" s="55">
        <v>1</v>
      </c>
      <c r="L6" s="55">
        <v>3</v>
      </c>
      <c r="M6" s="55">
        <v>1</v>
      </c>
      <c r="N6" s="55">
        <v>4</v>
      </c>
      <c r="O6" s="55">
        <v>3</v>
      </c>
      <c r="P6" s="55"/>
      <c r="Q6" s="55">
        <v>5</v>
      </c>
      <c r="R6" s="55"/>
      <c r="S6" s="55">
        <v>1</v>
      </c>
      <c r="T6" s="55"/>
      <c r="U6" s="55"/>
      <c r="V6" s="55"/>
      <c r="W6" s="55"/>
      <c r="X6" s="55"/>
      <c r="Y6" s="55"/>
      <c r="Z6" s="55"/>
      <c r="AA6" s="55"/>
      <c r="AB6" s="55"/>
    </row>
    <row r="7" spans="1:29" ht="22.5" customHeight="1">
      <c r="A7" s="182" t="s">
        <v>37</v>
      </c>
      <c r="B7" s="182"/>
      <c r="C7" s="182"/>
      <c r="D7" s="55"/>
      <c r="E7" s="55"/>
      <c r="F7" s="55"/>
      <c r="G7" s="55"/>
      <c r="H7" s="55"/>
      <c r="I7" s="55"/>
      <c r="J7" s="55"/>
      <c r="K7" s="55"/>
      <c r="L7" s="55"/>
      <c r="M7" s="55"/>
      <c r="N7" s="55"/>
      <c r="O7" s="55"/>
      <c r="P7" s="55"/>
      <c r="Q7" s="55"/>
      <c r="R7" s="55"/>
      <c r="S7" s="55"/>
      <c r="T7" s="55"/>
      <c r="U7" s="55">
        <v>1</v>
      </c>
      <c r="V7" s="55"/>
      <c r="W7" s="55"/>
      <c r="X7" s="55"/>
      <c r="Y7" s="55"/>
      <c r="Z7" s="55"/>
      <c r="AA7" s="55"/>
      <c r="AB7" s="55"/>
    </row>
    <row r="8" spans="1:29" ht="22.5" customHeight="1">
      <c r="A8" s="182" t="s">
        <v>38</v>
      </c>
      <c r="B8" s="182"/>
      <c r="C8" s="182"/>
      <c r="D8" s="55"/>
      <c r="E8" s="55"/>
      <c r="F8" s="55">
        <v>1</v>
      </c>
      <c r="G8" s="55"/>
      <c r="H8" s="55"/>
      <c r="I8" s="55"/>
      <c r="J8" s="55">
        <v>1</v>
      </c>
      <c r="K8" s="55"/>
      <c r="L8" s="55">
        <v>2</v>
      </c>
      <c r="M8" s="55">
        <v>1</v>
      </c>
      <c r="N8" s="55"/>
      <c r="O8" s="55"/>
      <c r="P8" s="55">
        <v>1</v>
      </c>
      <c r="Q8" s="55">
        <v>1</v>
      </c>
      <c r="R8" s="55"/>
      <c r="S8" s="55"/>
      <c r="T8" s="55"/>
      <c r="U8" s="55"/>
      <c r="V8" s="55"/>
      <c r="W8" s="55"/>
      <c r="X8" s="55"/>
      <c r="Y8" s="55"/>
      <c r="Z8" s="55"/>
      <c r="AA8" s="55"/>
      <c r="AB8" s="55"/>
    </row>
    <row r="9" spans="1:29" ht="22.5" customHeight="1">
      <c r="A9" s="176" t="s">
        <v>39</v>
      </c>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s="177"/>
      <c r="AB9" s="178"/>
    </row>
    <row r="10" spans="1:29" ht="22.5" customHeight="1">
      <c r="A10" s="54" t="s">
        <v>73</v>
      </c>
      <c r="B10" s="153"/>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5"/>
    </row>
    <row r="11" spans="1:29" ht="22.5" customHeight="1">
      <c r="A11" s="54" t="s">
        <v>74</v>
      </c>
      <c r="B11" s="153" t="s">
        <v>198</v>
      </c>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5"/>
    </row>
    <row r="12" spans="1:29" ht="22.5" customHeight="1">
      <c r="A12" s="54" t="s">
        <v>75</v>
      </c>
      <c r="B12" s="153" t="s">
        <v>199</v>
      </c>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5"/>
    </row>
    <row r="13" spans="1:29" ht="22.5" customHeight="1">
      <c r="A13" s="54" t="s">
        <v>76</v>
      </c>
      <c r="B13" s="153"/>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5"/>
    </row>
    <row r="14" spans="1:29" ht="22.5" customHeight="1">
      <c r="A14" s="54" t="s">
        <v>77</v>
      </c>
      <c r="B14" s="153" t="s">
        <v>284</v>
      </c>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5"/>
    </row>
    <row r="15" spans="1:29" ht="22.5" customHeight="1">
      <c r="A15" s="54" t="s">
        <v>78</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29" ht="22.5" customHeight="1">
      <c r="A16" s="54" t="s">
        <v>79</v>
      </c>
      <c r="B16" s="153" t="s">
        <v>200</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22.5" customHeight="1">
      <c r="A17" s="54" t="s">
        <v>80</v>
      </c>
      <c r="B17" s="153" t="s">
        <v>201</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22.5" customHeight="1">
      <c r="A18" s="54" t="s">
        <v>81</v>
      </c>
      <c r="B18" s="153" t="s">
        <v>285</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22.5" customHeight="1">
      <c r="A19" s="54" t="s">
        <v>82</v>
      </c>
      <c r="B19" s="153" t="s">
        <v>286</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22.5" customHeight="1">
      <c r="A20" s="54" t="s">
        <v>83</v>
      </c>
      <c r="B20" s="153" t="s">
        <v>202</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22.5" customHeight="1">
      <c r="A21" s="54" t="s">
        <v>84</v>
      </c>
      <c r="B21" s="153" t="s">
        <v>203</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22.5" customHeight="1">
      <c r="A22" s="54" t="s">
        <v>85</v>
      </c>
      <c r="B22" s="153" t="s">
        <v>204</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22.5" customHeight="1">
      <c r="A23" s="54" t="s">
        <v>86</v>
      </c>
      <c r="B23" s="153" t="s">
        <v>287</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22.5" customHeight="1">
      <c r="A24" s="54" t="s">
        <v>87</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22.5" customHeight="1">
      <c r="A25" s="54" t="s">
        <v>88</v>
      </c>
      <c r="B25" s="153" t="s">
        <v>205</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22.5" customHeight="1">
      <c r="A26" s="54" t="s">
        <v>89</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22.5" customHeight="1">
      <c r="A27" s="54" t="s">
        <v>90</v>
      </c>
      <c r="B27" s="153" t="s">
        <v>288</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22.5" customHeight="1">
      <c r="A28" s="54"/>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22.5" customHeight="1">
      <c r="A29" s="54"/>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22.5" customHeight="1">
      <c r="A30" s="54"/>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22.5" customHeight="1">
      <c r="A31" s="54"/>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22.5" customHeight="1">
      <c r="A32" s="54"/>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22.5" customHeight="1">
      <c r="A33" s="54"/>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22.5" customHeight="1">
      <c r="A34" s="54"/>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A6:C6"/>
    <mergeCell ref="A7:C7"/>
    <mergeCell ref="A8:C8"/>
    <mergeCell ref="A1:C1"/>
    <mergeCell ref="A2:C2"/>
    <mergeCell ref="A3:C3"/>
    <mergeCell ref="A4:C4"/>
    <mergeCell ref="A5:C5"/>
    <mergeCell ref="A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33:AB33"/>
    <mergeCell ref="B34:AB34"/>
    <mergeCell ref="B24:AB24"/>
    <mergeCell ref="B25:AB25"/>
    <mergeCell ref="B26:AB26"/>
    <mergeCell ref="B27:AB27"/>
    <mergeCell ref="B28:AB28"/>
    <mergeCell ref="B29:AB29"/>
    <mergeCell ref="B30:AB30"/>
    <mergeCell ref="B31:AB31"/>
    <mergeCell ref="B32:AB3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算数</vt:lpstr>
      <vt:lpstr>理科</vt:lpstr>
      <vt:lpstr>社会</vt:lpstr>
      <vt:lpstr>英語</vt:lpstr>
      <vt:lpstr>音楽</vt:lpstr>
      <vt:lpstr>図工</vt:lpstr>
      <vt:lpstr>体育</vt:lpstr>
      <vt:lpstr>家庭</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2024-07-17T00:11:48Z</cp:lastPrinted>
  <dcterms:created xsi:type="dcterms:W3CDTF">2005-07-21T09:07:06Z</dcterms:created>
  <dcterms:modified xsi:type="dcterms:W3CDTF">2024-07-17T00:12:00Z</dcterms:modified>
</cp:coreProperties>
</file>