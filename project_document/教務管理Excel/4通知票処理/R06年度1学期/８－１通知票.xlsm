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15" yWindow="-15" windowWidth="11670" windowHeight="12660" tabRatio="783"/>
  </bookViews>
  <sheets>
    <sheet name="通知票" sheetId="49" r:id="rId1"/>
    <sheet name="所見集" sheetId="46" r:id="rId2"/>
    <sheet name="国語" sheetId="36" r:id="rId3"/>
    <sheet name="数学" sheetId="37" r:id="rId4"/>
    <sheet name="理科" sheetId="38" r:id="rId5"/>
    <sheet name="社会" sheetId="47" r:id="rId6"/>
    <sheet name="英語" sheetId="39" r:id="rId7"/>
    <sheet name="音楽" sheetId="40" r:id="rId8"/>
    <sheet name="美術" sheetId="41" r:id="rId9"/>
    <sheet name="保体" sheetId="42" r:id="rId10"/>
    <sheet name="技家" sheetId="48" r:id="rId11"/>
    <sheet name="道徳" sheetId="50" r:id="rId12"/>
    <sheet name="所見" sheetId="44" r:id="rId13"/>
    <sheet name="出欠" sheetId="45" r:id="rId14"/>
  </sheets>
  <definedNames>
    <definedName name="_xlnm.Print_Area" localSheetId="1">所見集!$A$1:$C$16</definedName>
    <definedName name="_xlnm.Print_Area" localSheetId="0">通知票!$A$1:$N$95</definedName>
    <definedName name="至">通知票!$Q$9</definedName>
    <definedName name="自">通知票!$P$9</definedName>
    <definedName name="番号">通知票!$B$2</definedName>
    <definedName name="番号2">所見集!$B$2</definedName>
  </definedNames>
  <calcPr calcId="152511"/>
</workbook>
</file>

<file path=xl/calcChain.xml><?xml version="1.0" encoding="utf-8"?>
<calcChain xmlns="http://schemas.openxmlformats.org/spreadsheetml/2006/main">
  <c r="AB5" i="45" l="1"/>
  <c r="Y5" i="45"/>
  <c r="T5" i="45"/>
  <c r="Q5" i="45"/>
  <c r="L5" i="45"/>
  <c r="I5" i="45"/>
  <c r="D5" i="45"/>
  <c r="AB4" i="45"/>
  <c r="AA4" i="45"/>
  <c r="AA5" i="45" s="1"/>
  <c r="Z4" i="45"/>
  <c r="Z5" i="45" s="1"/>
  <c r="Y4" i="45"/>
  <c r="X4" i="45"/>
  <c r="X5" i="45" s="1"/>
  <c r="W4" i="45"/>
  <c r="W5" i="45" s="1"/>
  <c r="V4" i="45"/>
  <c r="V5" i="45" s="1"/>
  <c r="U4" i="45"/>
  <c r="U5" i="45" s="1"/>
  <c r="T4" i="45"/>
  <c r="S4" i="45"/>
  <c r="S5" i="45" s="1"/>
  <c r="R4" i="45"/>
  <c r="R5" i="45" s="1"/>
  <c r="Q4" i="45"/>
  <c r="P4" i="45"/>
  <c r="P5" i="45" s="1"/>
  <c r="O4" i="45"/>
  <c r="O5" i="45" s="1"/>
  <c r="N4" i="45"/>
  <c r="N5" i="45" s="1"/>
  <c r="M4" i="45"/>
  <c r="M5" i="45" s="1"/>
  <c r="L4" i="45"/>
  <c r="K4" i="45"/>
  <c r="K5" i="45" s="1"/>
  <c r="J4" i="45"/>
  <c r="J5" i="45" s="1"/>
  <c r="I4" i="45"/>
  <c r="H4" i="45"/>
  <c r="H5" i="45" s="1"/>
  <c r="G4" i="45"/>
  <c r="G5" i="45" s="1"/>
  <c r="F4" i="45"/>
  <c r="F5" i="45" s="1"/>
  <c r="E4" i="45"/>
  <c r="E5" i="45" s="1"/>
  <c r="D4" i="45"/>
  <c r="AB1" i="45"/>
  <c r="AA1" i="45"/>
  <c r="Z1" i="45"/>
  <c r="Y1" i="45"/>
  <c r="X1" i="45"/>
  <c r="W1" i="45"/>
  <c r="V1" i="45"/>
  <c r="U1" i="45"/>
  <c r="T1" i="45"/>
  <c r="S1" i="45"/>
  <c r="R1" i="45"/>
  <c r="Q1" i="45"/>
  <c r="P1" i="45"/>
  <c r="O1" i="45"/>
  <c r="N1" i="45"/>
  <c r="M1" i="45"/>
  <c r="L1" i="45"/>
  <c r="K1" i="45"/>
  <c r="J1" i="45"/>
  <c r="I1" i="45"/>
  <c r="H1" i="45"/>
  <c r="G1" i="45"/>
  <c r="F1" i="45"/>
  <c r="E1" i="45"/>
  <c r="D1" i="45"/>
  <c r="A1" i="45"/>
  <c r="AC85" i="44" l="1"/>
  <c r="AC84" i="44"/>
  <c r="AC83" i="44"/>
  <c r="AC82" i="44"/>
  <c r="AC81" i="44"/>
  <c r="AC80" i="44"/>
  <c r="AC79" i="44"/>
  <c r="AC78" i="44"/>
  <c r="A78" i="44"/>
  <c r="AC77" i="44"/>
  <c r="AC76" i="44"/>
  <c r="AC75" i="44"/>
  <c r="AC74" i="44"/>
  <c r="AC73" i="44"/>
  <c r="AC72" i="44"/>
  <c r="AC71" i="44"/>
  <c r="AC70" i="44"/>
  <c r="AC69" i="44"/>
  <c r="AC68" i="44"/>
  <c r="AC67" i="44"/>
  <c r="AC66" i="44"/>
  <c r="AC65" i="44"/>
  <c r="AC64" i="44"/>
  <c r="AC63" i="44"/>
  <c r="AC62" i="44"/>
  <c r="AC61" i="44"/>
  <c r="A59" i="44"/>
  <c r="A85" i="44" s="1"/>
  <c r="A58" i="44"/>
  <c r="A84" i="44" s="1"/>
  <c r="A57" i="44"/>
  <c r="A83" i="44" s="1"/>
  <c r="A56" i="44"/>
  <c r="A82" i="44" s="1"/>
  <c r="A55" i="44"/>
  <c r="A81" i="44" s="1"/>
  <c r="A54" i="44"/>
  <c r="A80" i="44" s="1"/>
  <c r="A53" i="44"/>
  <c r="A79" i="44" s="1"/>
  <c r="A52" i="44"/>
  <c r="A51" i="44"/>
  <c r="A77" i="44" s="1"/>
  <c r="A50" i="44"/>
  <c r="A76" i="44" s="1"/>
  <c r="A49" i="44"/>
  <c r="A75" i="44" s="1"/>
  <c r="A48" i="44"/>
  <c r="A74" i="44" s="1"/>
  <c r="A47" i="44"/>
  <c r="A73" i="44" s="1"/>
  <c r="A46" i="44"/>
  <c r="A72" i="44" s="1"/>
  <c r="A45" i="44"/>
  <c r="A71" i="44" s="1"/>
  <c r="A44" i="44"/>
  <c r="A70" i="44" s="1"/>
  <c r="A43" i="44"/>
  <c r="A69" i="44" s="1"/>
  <c r="A42" i="44"/>
  <c r="A68" i="44" s="1"/>
  <c r="A41" i="44"/>
  <c r="A67" i="44" s="1"/>
  <c r="A40" i="44"/>
  <c r="A66" i="44" s="1"/>
  <c r="A39" i="44"/>
  <c r="A65" i="44" s="1"/>
  <c r="A38" i="44"/>
  <c r="A64" i="44" s="1"/>
  <c r="A37" i="44"/>
  <c r="A63" i="44" s="1"/>
  <c r="A36" i="44"/>
  <c r="A62" i="44" s="1"/>
  <c r="A35" i="44"/>
  <c r="A61" i="44" s="1"/>
  <c r="AB1" i="44"/>
  <c r="AA1" i="44"/>
  <c r="Z1" i="44"/>
  <c r="Y1" i="44"/>
  <c r="X1" i="44"/>
  <c r="W1" i="44"/>
  <c r="V1" i="44"/>
  <c r="U1" i="44"/>
  <c r="T1" i="44"/>
  <c r="S1" i="44"/>
  <c r="R1" i="44"/>
  <c r="Q1" i="44"/>
  <c r="P1" i="44"/>
  <c r="O1" i="44"/>
  <c r="N1" i="44"/>
  <c r="M1" i="44"/>
  <c r="L1" i="44"/>
  <c r="K1" i="44"/>
  <c r="J1" i="44"/>
  <c r="I1" i="44"/>
  <c r="H1" i="44"/>
  <c r="G1" i="44"/>
  <c r="F1" i="44"/>
  <c r="E1" i="44"/>
  <c r="D1" i="44"/>
  <c r="A1" i="44"/>
  <c r="C27" i="50" l="1"/>
  <c r="C26" i="50"/>
  <c r="C25" i="50"/>
  <c r="C24" i="50"/>
  <c r="C23" i="50"/>
  <c r="C22" i="50"/>
  <c r="C21" i="50"/>
  <c r="C20" i="50"/>
  <c r="C19" i="50"/>
  <c r="C18" i="50"/>
  <c r="C17" i="50"/>
  <c r="C16" i="50"/>
  <c r="C15" i="50"/>
  <c r="C14" i="50"/>
  <c r="C13" i="50"/>
  <c r="C12" i="50"/>
  <c r="C11" i="50"/>
  <c r="C10" i="50"/>
  <c r="C9" i="50"/>
  <c r="C8" i="50"/>
  <c r="C7" i="50"/>
  <c r="C6" i="50"/>
  <c r="C5" i="50"/>
  <c r="C4" i="50"/>
  <c r="C3" i="50"/>
  <c r="B1" i="50"/>
  <c r="A1" i="50"/>
  <c r="AB1" i="48" l="1"/>
  <c r="AA1" i="48"/>
  <c r="Z1" i="48"/>
  <c r="Y1" i="48"/>
  <c r="X1" i="48"/>
  <c r="W1" i="48"/>
  <c r="V1" i="48"/>
  <c r="U1" i="48"/>
  <c r="T1" i="48"/>
  <c r="S1" i="48"/>
  <c r="R1" i="48"/>
  <c r="Q1" i="48"/>
  <c r="P1" i="48"/>
  <c r="O1" i="48"/>
  <c r="N1" i="48"/>
  <c r="M1" i="48"/>
  <c r="L1" i="48"/>
  <c r="K1" i="48"/>
  <c r="J1" i="48"/>
  <c r="I1" i="48"/>
  <c r="H1" i="48"/>
  <c r="G1" i="48"/>
  <c r="F1" i="48"/>
  <c r="E1" i="48"/>
  <c r="D1" i="48"/>
  <c r="B1" i="48"/>
  <c r="A1" i="48"/>
  <c r="AB1" i="42" l="1"/>
  <c r="AA1" i="42"/>
  <c r="Z1" i="42"/>
  <c r="Y1" i="42"/>
  <c r="X1" i="42"/>
  <c r="W1" i="42"/>
  <c r="V1" i="42"/>
  <c r="U1" i="42"/>
  <c r="T1" i="42"/>
  <c r="S1" i="42"/>
  <c r="R1" i="42"/>
  <c r="Q1" i="42"/>
  <c r="P1" i="42"/>
  <c r="O1" i="42"/>
  <c r="N1" i="42"/>
  <c r="M1" i="42"/>
  <c r="L1" i="42"/>
  <c r="K1" i="42"/>
  <c r="J1" i="42"/>
  <c r="I1" i="42"/>
  <c r="H1" i="42"/>
  <c r="G1" i="42"/>
  <c r="F1" i="42"/>
  <c r="E1" i="42"/>
  <c r="D1" i="42"/>
  <c r="B1" i="42"/>
  <c r="A1" i="42"/>
  <c r="AB1" i="41" l="1"/>
  <c r="AA1" i="41"/>
  <c r="Z1" i="41"/>
  <c r="Y1" i="41"/>
  <c r="X1" i="41"/>
  <c r="W1" i="41"/>
  <c r="V1" i="41"/>
  <c r="U1" i="41"/>
  <c r="T1" i="41"/>
  <c r="S1" i="41"/>
  <c r="R1" i="41"/>
  <c r="Q1" i="41"/>
  <c r="P1" i="41"/>
  <c r="O1" i="41"/>
  <c r="N1" i="41"/>
  <c r="M1" i="41"/>
  <c r="L1" i="41"/>
  <c r="K1" i="41"/>
  <c r="J1" i="41"/>
  <c r="I1" i="41"/>
  <c r="H1" i="41"/>
  <c r="G1" i="41"/>
  <c r="F1" i="41"/>
  <c r="E1" i="41"/>
  <c r="D1" i="41"/>
  <c r="B1" i="41"/>
  <c r="A1" i="41"/>
  <c r="AB1" i="40" l="1"/>
  <c r="AA1" i="40"/>
  <c r="Z1" i="40"/>
  <c r="Y1" i="40"/>
  <c r="X1" i="40"/>
  <c r="W1" i="40"/>
  <c r="V1" i="40"/>
  <c r="U1" i="40"/>
  <c r="T1" i="40"/>
  <c r="S1" i="40"/>
  <c r="R1" i="40"/>
  <c r="Q1" i="40"/>
  <c r="P1" i="40"/>
  <c r="O1" i="40"/>
  <c r="N1" i="40"/>
  <c r="M1" i="40"/>
  <c r="L1" i="40"/>
  <c r="K1" i="40"/>
  <c r="J1" i="40"/>
  <c r="I1" i="40"/>
  <c r="H1" i="40"/>
  <c r="G1" i="40"/>
  <c r="F1" i="40"/>
  <c r="E1" i="40"/>
  <c r="D1" i="40"/>
  <c r="B1" i="40"/>
  <c r="A1" i="40"/>
  <c r="AB1" i="39" l="1"/>
  <c r="AA1" i="39"/>
  <c r="Z1" i="39"/>
  <c r="Y1" i="39"/>
  <c r="X1" i="39"/>
  <c r="W1" i="39"/>
  <c r="V1" i="39"/>
  <c r="U1" i="39"/>
  <c r="T1" i="39"/>
  <c r="S1" i="39"/>
  <c r="R1" i="39"/>
  <c r="Q1" i="39"/>
  <c r="P1" i="39"/>
  <c r="O1" i="39"/>
  <c r="N1" i="39"/>
  <c r="M1" i="39"/>
  <c r="L1" i="39"/>
  <c r="K1" i="39"/>
  <c r="J1" i="39"/>
  <c r="I1" i="39"/>
  <c r="H1" i="39"/>
  <c r="G1" i="39"/>
  <c r="F1" i="39"/>
  <c r="E1" i="39"/>
  <c r="D1" i="39"/>
  <c r="B1" i="39"/>
  <c r="A1" i="39"/>
  <c r="AB1" i="47" l="1"/>
  <c r="AA1" i="47"/>
  <c r="Z1" i="47"/>
  <c r="Y1" i="47"/>
  <c r="X1" i="47"/>
  <c r="W1" i="47"/>
  <c r="V1" i="47"/>
  <c r="U1" i="47"/>
  <c r="T1" i="47"/>
  <c r="S1" i="47"/>
  <c r="R1" i="47"/>
  <c r="Q1" i="47"/>
  <c r="P1" i="47"/>
  <c r="O1" i="47"/>
  <c r="N1" i="47"/>
  <c r="M1" i="47"/>
  <c r="L1" i="47"/>
  <c r="K1" i="47"/>
  <c r="J1" i="47"/>
  <c r="I1" i="47"/>
  <c r="H1" i="47"/>
  <c r="G1" i="47"/>
  <c r="F1" i="47"/>
  <c r="E1" i="47"/>
  <c r="D1" i="47"/>
  <c r="B1" i="47"/>
  <c r="A1" i="47"/>
  <c r="AB1" i="38" l="1"/>
  <c r="AA1" i="38"/>
  <c r="Z1" i="38"/>
  <c r="Y1" i="38"/>
  <c r="X1" i="38"/>
  <c r="W1" i="38"/>
  <c r="V1" i="38"/>
  <c r="U1" i="38"/>
  <c r="T1" i="38"/>
  <c r="S1" i="38"/>
  <c r="R1" i="38"/>
  <c r="Q1" i="38"/>
  <c r="P1" i="38"/>
  <c r="O1" i="38"/>
  <c r="N1" i="38"/>
  <c r="M1" i="38"/>
  <c r="L1" i="38"/>
  <c r="K1" i="38"/>
  <c r="J1" i="38"/>
  <c r="I1" i="38"/>
  <c r="H1" i="38"/>
  <c r="G1" i="38"/>
  <c r="F1" i="38"/>
  <c r="E1" i="38"/>
  <c r="D1" i="38"/>
  <c r="B1" i="38"/>
  <c r="A1" i="38"/>
  <c r="AB1" i="37" l="1"/>
  <c r="AA1" i="37"/>
  <c r="Z1" i="37"/>
  <c r="Y1" i="37"/>
  <c r="X1" i="37"/>
  <c r="W1" i="37"/>
  <c r="V1" i="37"/>
  <c r="U1" i="37"/>
  <c r="T1" i="37"/>
  <c r="S1" i="37"/>
  <c r="R1" i="37"/>
  <c r="Q1" i="37"/>
  <c r="P1" i="37"/>
  <c r="O1" i="37"/>
  <c r="N1" i="37"/>
  <c r="M1" i="37"/>
  <c r="L1" i="37"/>
  <c r="K1" i="37"/>
  <c r="J1" i="37"/>
  <c r="I1" i="37"/>
  <c r="H1" i="37"/>
  <c r="G1" i="37"/>
  <c r="F1" i="37"/>
  <c r="E1" i="37"/>
  <c r="D1" i="37"/>
  <c r="B1" i="37"/>
  <c r="A1" i="37"/>
  <c r="AB1" i="36" l="1"/>
  <c r="AA1" i="36"/>
  <c r="Z1" i="36"/>
  <c r="Y1" i="36"/>
  <c r="X1" i="36"/>
  <c r="W1" i="36"/>
  <c r="V1" i="36"/>
  <c r="U1" i="36"/>
  <c r="T1" i="36"/>
  <c r="S1" i="36"/>
  <c r="R1" i="36"/>
  <c r="Q1" i="36"/>
  <c r="P1" i="36"/>
  <c r="O1" i="36"/>
  <c r="N1" i="36"/>
  <c r="M1" i="36"/>
  <c r="L1" i="36"/>
  <c r="K1" i="36"/>
  <c r="J1" i="36"/>
  <c r="I1" i="36"/>
  <c r="H1" i="36"/>
  <c r="G1" i="36"/>
  <c r="F1" i="36"/>
  <c r="E1" i="36"/>
  <c r="D1" i="36"/>
  <c r="B1" i="36"/>
  <c r="A1" i="36"/>
  <c r="B13" i="46" l="1"/>
  <c r="B12" i="46"/>
  <c r="B11" i="46"/>
  <c r="B10" i="46"/>
  <c r="B9" i="46"/>
  <c r="B8" i="46"/>
  <c r="B7" i="46"/>
  <c r="B6" i="46"/>
  <c r="B5" i="46"/>
  <c r="M72" i="49"/>
  <c r="M64" i="49"/>
  <c r="M56" i="49"/>
  <c r="M46" i="49"/>
  <c r="M38" i="49"/>
  <c r="M30" i="49"/>
  <c r="M22" i="49"/>
  <c r="M14" i="49"/>
  <c r="M6" i="49"/>
  <c r="C7" i="46"/>
  <c r="C12" i="46"/>
  <c r="C5" i="46"/>
  <c r="C10" i="46"/>
  <c r="C8" i="46"/>
  <c r="C13" i="46"/>
  <c r="C9" i="46"/>
  <c r="C6" i="46"/>
  <c r="C11" i="46"/>
  <c r="Q85" i="49" l="1"/>
  <c r="Q19" i="49"/>
  <c r="U21" i="49"/>
  <c r="U8" i="49"/>
  <c r="U30" i="49"/>
  <c r="U7" i="49"/>
  <c r="U12" i="49"/>
  <c r="U23" i="49"/>
  <c r="U28" i="49"/>
  <c r="C2" i="46"/>
  <c r="U17" i="49"/>
  <c r="U19" i="49"/>
  <c r="U6" i="49"/>
  <c r="U24" i="49"/>
  <c r="U25" i="49"/>
  <c r="U15" i="49"/>
  <c r="U29" i="49"/>
  <c r="U20" i="49"/>
  <c r="U27" i="49"/>
  <c r="U13" i="49"/>
  <c r="C16" i="46"/>
  <c r="U14" i="49"/>
  <c r="U16" i="49"/>
  <c r="U10" i="49"/>
  <c r="U9" i="49"/>
  <c r="U18" i="49"/>
  <c r="U11" i="49"/>
  <c r="U22" i="49"/>
  <c r="U26" i="49"/>
  <c r="B95" i="49"/>
  <c r="C1" i="49" l="1"/>
  <c r="C1" i="46" s="1"/>
  <c r="N88" i="49"/>
  <c r="N87" i="49"/>
  <c r="N86" i="49"/>
  <c r="N85" i="49"/>
  <c r="N84" i="49"/>
  <c r="N83" i="49"/>
  <c r="N82" i="49"/>
  <c r="G87" i="49"/>
  <c r="B87" i="49"/>
  <c r="G86" i="49"/>
  <c r="B86" i="49"/>
  <c r="G85" i="49"/>
  <c r="B85" i="49"/>
  <c r="G84" i="49"/>
  <c r="B84" i="49"/>
  <c r="G83" i="49"/>
  <c r="B83" i="49"/>
  <c r="L79" i="49"/>
  <c r="B79" i="49"/>
  <c r="L78" i="49"/>
  <c r="B78" i="49"/>
  <c r="L77" i="49"/>
  <c r="B77" i="49"/>
  <c r="L76" i="49"/>
  <c r="B76" i="49"/>
  <c r="L75" i="49"/>
  <c r="B75" i="49"/>
  <c r="L74" i="49"/>
  <c r="B74" i="49"/>
  <c r="L73" i="49"/>
  <c r="B73" i="49"/>
  <c r="L71" i="49"/>
  <c r="B71" i="49"/>
  <c r="L70" i="49"/>
  <c r="B70" i="49"/>
  <c r="L69" i="49"/>
  <c r="B69" i="49"/>
  <c r="L68" i="49"/>
  <c r="B68" i="49"/>
  <c r="L67" i="49"/>
  <c r="B67" i="49"/>
  <c r="L66" i="49"/>
  <c r="B66" i="49"/>
  <c r="L65" i="49"/>
  <c r="B65" i="49"/>
  <c r="L63" i="49"/>
  <c r="B63" i="49"/>
  <c r="L62" i="49"/>
  <c r="B62" i="49"/>
  <c r="L61" i="49"/>
  <c r="B61" i="49"/>
  <c r="L60" i="49"/>
  <c r="B60" i="49"/>
  <c r="L59" i="49"/>
  <c r="B59" i="49"/>
  <c r="L58" i="49"/>
  <c r="B58" i="49"/>
  <c r="L57" i="49"/>
  <c r="B57" i="49"/>
  <c r="L53" i="49"/>
  <c r="B53" i="49"/>
  <c r="L52" i="49"/>
  <c r="B52" i="49"/>
  <c r="L51" i="49"/>
  <c r="B51" i="49"/>
  <c r="L50" i="49"/>
  <c r="B50" i="49"/>
  <c r="L49" i="49"/>
  <c r="B49" i="49"/>
  <c r="L48" i="49"/>
  <c r="B48" i="49"/>
  <c r="L47" i="49"/>
  <c r="B47" i="49"/>
  <c r="L45" i="49"/>
  <c r="B45" i="49"/>
  <c r="L44" i="49"/>
  <c r="B44" i="49"/>
  <c r="L43" i="49"/>
  <c r="B43" i="49"/>
  <c r="L42" i="49"/>
  <c r="B42" i="49"/>
  <c r="L41" i="49"/>
  <c r="B41" i="49"/>
  <c r="L40" i="49"/>
  <c r="B40" i="49"/>
  <c r="L39" i="49"/>
  <c r="B39" i="49"/>
  <c r="L37" i="49"/>
  <c r="B37" i="49"/>
  <c r="L36" i="49"/>
  <c r="B36" i="49"/>
  <c r="L35" i="49"/>
  <c r="B35" i="49"/>
  <c r="L34" i="49"/>
  <c r="B34" i="49"/>
  <c r="L33" i="49"/>
  <c r="B33" i="49"/>
  <c r="L32" i="49"/>
  <c r="B32" i="49"/>
  <c r="L31" i="49"/>
  <c r="B31" i="49"/>
  <c r="L29" i="49"/>
  <c r="B29" i="49"/>
  <c r="L28" i="49"/>
  <c r="B28" i="49"/>
  <c r="L27" i="49"/>
  <c r="B27" i="49"/>
  <c r="L26" i="49"/>
  <c r="B26" i="49"/>
  <c r="L25" i="49"/>
  <c r="B25" i="49"/>
  <c r="L24" i="49"/>
  <c r="B24" i="49"/>
  <c r="L23" i="49"/>
  <c r="B23" i="49"/>
  <c r="G82" i="49"/>
  <c r="B82" i="49"/>
  <c r="L72" i="49"/>
  <c r="B72" i="49"/>
  <c r="L64" i="49"/>
  <c r="B64" i="49"/>
  <c r="L56" i="49"/>
  <c r="B56" i="49"/>
  <c r="L46" i="49"/>
  <c r="B46" i="49"/>
  <c r="L38" i="49"/>
  <c r="B38" i="49"/>
  <c r="L30" i="49"/>
  <c r="B30" i="49"/>
  <c r="L22" i="49"/>
  <c r="B22" i="49"/>
  <c r="L21" i="49"/>
  <c r="B21" i="49"/>
  <c r="L20" i="49"/>
  <c r="B20" i="49"/>
  <c r="L19" i="49"/>
  <c r="B19" i="49"/>
  <c r="L18" i="49"/>
  <c r="B18" i="49"/>
  <c r="L17" i="49"/>
  <c r="B17" i="49"/>
  <c r="L16" i="49"/>
  <c r="B16" i="49"/>
  <c r="L15" i="49"/>
  <c r="B15" i="49"/>
  <c r="L14" i="49"/>
  <c r="B14" i="49"/>
  <c r="L13" i="49"/>
  <c r="B13" i="49"/>
  <c r="L12" i="49"/>
  <c r="B12" i="49"/>
  <c r="L11" i="49"/>
  <c r="B11" i="49"/>
  <c r="L10" i="49"/>
  <c r="B10" i="49"/>
  <c r="L9" i="49"/>
  <c r="B9" i="49"/>
  <c r="L8" i="49"/>
  <c r="B8" i="49"/>
  <c r="L7" i="49"/>
  <c r="B7" i="49"/>
  <c r="L6" i="49"/>
  <c r="B6" i="49"/>
  <c r="B80" i="49"/>
  <c r="F89" i="49"/>
  <c r="B89" i="49"/>
  <c r="K89" i="49"/>
  <c r="L2" i="49"/>
  <c r="A1" i="49" l="1"/>
  <c r="A1" i="46" s="1"/>
  <c r="B14" i="46"/>
</calcChain>
</file>

<file path=xl/sharedStrings.xml><?xml version="1.0" encoding="utf-8"?>
<sst xmlns="http://schemas.openxmlformats.org/spreadsheetml/2006/main" count="1140" uniqueCount="259">
  <si>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</si>
  <si>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</si>
  <si>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</si>
  <si>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</si>
  <si>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</si>
  <si>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</si>
  <si>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</si>
  <si>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</si>
  <si>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</si>
  <si>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</si>
  <si>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</si>
  <si>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</si>
  <si>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</si>
  <si>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</si>
  <si>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</si>
  <si>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</si>
  <si>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</si>
  <si>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</si>
  <si>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</si>
  <si>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t>道徳</t>
    <rPh sb="0" eb="2">
      <t>ドウトク</t>
    </rPh>
    <phoneticPr fontId="1"/>
  </si>
  <si>
    <t>氏名</t>
  </si>
  <si>
    <t>文字数</t>
    <rPh sb="0" eb="3">
      <t>もじすう</t>
    </rPh>
    <phoneticPr fontId="9" type="Hiragana" alignment="distributed"/>
  </si>
  <si>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</si>
  <si>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</si>
  <si>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</si>
  <si>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</si>
  <si>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</si>
  <si>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B</t>
  </si>
  <si>
    <t>A</t>
  </si>
  <si>
    <t>理科</t>
    <rPh sb="0" eb="2">
      <t>リカ</t>
    </rPh>
    <phoneticPr fontId="1"/>
  </si>
  <si>
    <t>社会</t>
    <rPh sb="0" eb="2">
      <t>シャカイ</t>
    </rPh>
    <phoneticPr fontId="1"/>
  </si>
  <si>
    <t>C</t>
  </si>
  <si>
    <t>数学</t>
    <phoneticPr fontId="1"/>
  </si>
  <si>
    <t>美術</t>
    <phoneticPr fontId="1"/>
  </si>
  <si>
    <t>保健体育</t>
    <rPh sb="0" eb="2">
      <t>ホケン</t>
    </rPh>
    <rPh sb="2" eb="4">
      <t>タイイク</t>
    </rPh>
    <phoneticPr fontId="1"/>
  </si>
  <si>
    <t>技術家庭</t>
    <rPh sb="0" eb="2">
      <t>ギジュツ</t>
    </rPh>
    <rPh sb="2" eb="4">
      <t>カテイ</t>
    </rPh>
    <phoneticPr fontId="1"/>
  </si>
  <si>
    <t>A:十分　B:普通　C:不足</t>
  </si>
  <si>
    <t>行動のようす</t>
    <phoneticPr fontId="1"/>
  </si>
  <si>
    <t>総合学習</t>
    <rPh sb="0" eb="2">
      <t>ソウゴウ</t>
    </rPh>
    <rPh sb="2" eb="4">
      <t>ガクシュウ</t>
    </rPh>
    <phoneticPr fontId="1"/>
  </si>
  <si>
    <t>特別活動</t>
    <rPh sb="0" eb="2">
      <t>トクベツ</t>
    </rPh>
    <rPh sb="2" eb="4">
      <t>カツドウ</t>
    </rPh>
    <phoneticPr fontId="1"/>
  </si>
  <si>
    <t>備考</t>
    <rPh sb="0" eb="2">
      <t>ビコウ</t>
    </rPh>
    <phoneticPr fontId="1"/>
  </si>
  <si>
    <t>※注意※
この欄の名前は変更不可</t>
    <rPh sb="1" eb="3">
      <t>チュウイ</t>
    </rPh>
    <rPh sb="7" eb="8">
      <t>ラン</t>
    </rPh>
    <rPh sb="9" eb="11">
      <t>ナマエ</t>
    </rPh>
    <rPh sb="12" eb="14">
      <t>ヘンコウ</t>
    </rPh>
    <rPh sb="14" eb="16">
      <t>フカ</t>
    </rPh>
    <phoneticPr fontId="1"/>
  </si>
  <si>
    <t>この項目は適宜変更して下さい。
※注意※
ただし、行数は増やさないようにお願いします。</t>
    <rPh sb="2" eb="4">
      <t>コウモク</t>
    </rPh>
    <rPh sb="5" eb="7">
      <t>テキギ</t>
    </rPh>
    <rPh sb="7" eb="9">
      <t>ヘンコウ</t>
    </rPh>
    <rPh sb="11" eb="12">
      <t>クダ</t>
    </rPh>
    <rPh sb="17" eb="19">
      <t>チュウイ</t>
    </rPh>
    <rPh sb="25" eb="27">
      <t>ギョウスウ</t>
    </rPh>
    <rPh sb="28" eb="29">
      <t>フ</t>
    </rPh>
    <rPh sb="37" eb="38">
      <t>ネガ</t>
    </rPh>
    <phoneticPr fontId="1"/>
  </si>
  <si>
    <t>行動の様子</t>
    <rPh sb="0" eb="2">
      <t>コウドウ</t>
    </rPh>
    <rPh sb="3" eb="5">
      <t>ヨウス</t>
    </rPh>
    <phoneticPr fontId="1"/>
  </si>
  <si>
    <t>特別活動 ※注意※改行せず、続けて文章を書いて下さい。</t>
    <rPh sb="0" eb="2">
      <t>トクベツ</t>
    </rPh>
    <rPh sb="2" eb="4">
      <t>カツドウ</t>
    </rPh>
    <rPh sb="6" eb="8">
      <t>チュウイ</t>
    </rPh>
    <rPh sb="9" eb="11">
      <t>カイギョウ</t>
    </rPh>
    <rPh sb="14" eb="15">
      <t>ツズ</t>
    </rPh>
    <rPh sb="17" eb="19">
      <t>ブンショウ</t>
    </rPh>
    <rPh sb="20" eb="21">
      <t>カ</t>
    </rPh>
    <rPh sb="23" eb="24">
      <t>クダ</t>
    </rPh>
    <phoneticPr fontId="1"/>
  </si>
  <si>
    <t>数学</t>
    <rPh sb="0" eb="2">
      <t>スウガク</t>
    </rPh>
    <phoneticPr fontId="1"/>
  </si>
  <si>
    <t>美術</t>
    <rPh sb="0" eb="2">
      <t>ビジュツ</t>
    </rPh>
    <phoneticPr fontId="1"/>
  </si>
  <si>
    <t>技家</t>
    <rPh sb="0" eb="2">
      <t>ギカ</t>
    </rPh>
    <phoneticPr fontId="1"/>
  </si>
  <si>
    <t>保体</t>
    <rPh sb="0" eb="2">
      <t>ホタイ</t>
    </rPh>
    <phoneticPr fontId="1"/>
  </si>
  <si>
    <r>
      <t xml:space="preserve">学年
</t>
    </r>
    <r>
      <rPr>
        <sz val="9"/>
        <rFont val="ＭＳ Ｐ明朝"/>
        <family val="1"/>
        <charset val="128"/>
      </rPr>
      <t>(3学期)</t>
    </r>
    <rPh sb="5" eb="7">
      <t>ガッキ</t>
    </rPh>
    <phoneticPr fontId="1"/>
  </si>
  <si>
    <t>知識・技能（単元テスト・定期テスト）</t>
    <rPh sb="6" eb="8">
      <t>タンゲン</t>
    </rPh>
    <phoneticPr fontId="1"/>
  </si>
  <si>
    <t>知識・技能（単元テスト・定期テスト）</t>
  </si>
  <si>
    <t>思考力・表現力・判断力（単元テスト・定期テスト）</t>
  </si>
  <si>
    <t>主体的に学習に取り組む態度</t>
  </si>
  <si>
    <t>5</t>
  </si>
  <si>
    <t>4</t>
  </si>
  <si>
    <t>3</t>
  </si>
  <si>
    <t>主体的に学習に取り組む態度</t>
    <rPh sb="0" eb="3">
      <t>しゅたいてき</t>
    </rPh>
    <rPh sb="4" eb="6">
      <t>がくしゅう</t>
    </rPh>
    <rPh sb="7" eb="8">
      <t>と</t>
    </rPh>
    <rPh sb="9" eb="10">
      <t>く</t>
    </rPh>
    <rPh sb="11" eb="13">
      <t>たいど</t>
    </rPh>
    <phoneticPr fontId="14" type="Hiragana" alignment="distributed"/>
  </si>
  <si>
    <t>思考力・表現力・判断力（実技）</t>
  </si>
  <si>
    <t>知識・技能（定期テスト・漢字テスト・文法理解）</t>
    <rPh sb="6" eb="8">
      <t>テイキ</t>
    </rPh>
    <rPh sb="12" eb="14">
      <t>カンジ</t>
    </rPh>
    <rPh sb="18" eb="20">
      <t>ブンポウ</t>
    </rPh>
    <rPh sb="20" eb="22">
      <t>リカイ</t>
    </rPh>
    <phoneticPr fontId="1"/>
  </si>
  <si>
    <t>思考力・表現力・判断力（定期テスト・リスニングテスト・作文・音読・話し合い活動）</t>
    <rPh sb="27" eb="29">
      <t>サクブン</t>
    </rPh>
    <rPh sb="30" eb="32">
      <t>オンドク</t>
    </rPh>
    <rPh sb="33" eb="34">
      <t>ハナ</t>
    </rPh>
    <rPh sb="35" eb="36">
      <t>ア</t>
    </rPh>
    <rPh sb="37" eb="39">
      <t>カツドウ</t>
    </rPh>
    <phoneticPr fontId="1"/>
  </si>
  <si>
    <t>B</t>
    <phoneticPr fontId="1"/>
  </si>
  <si>
    <t>※注意※
この欄の名前は変更不可</t>
  </si>
  <si>
    <t>A～C</t>
  </si>
  <si>
    <t>１～５</t>
  </si>
  <si>
    <t>今学期の様子（教科担任から学級担任へ）</t>
  </si>
  <si>
    <t>伊東 資竜</t>
  </si>
  <si>
    <t>大堀キム 未奈</t>
  </si>
  <si>
    <t>門田 湧真</t>
  </si>
  <si>
    <t>行田 さとみ</t>
  </si>
  <si>
    <t>久保田 明誠</t>
  </si>
  <si>
    <t>小松 流翔</t>
  </si>
  <si>
    <t>佐藤 美月</t>
  </si>
  <si>
    <t>辛 祐輝</t>
  </si>
  <si>
    <t>新保 芙佑香</t>
  </si>
  <si>
    <t>宋 語唯</t>
  </si>
  <si>
    <t>髙山 愛永</t>
  </si>
  <si>
    <t>滝澤 愛佳</t>
  </si>
  <si>
    <t>中山 千愛</t>
  </si>
  <si>
    <t>花岡 麻貴</t>
  </si>
  <si>
    <t>宮下 花</t>
  </si>
  <si>
    <t>六井 啓翔</t>
  </si>
  <si>
    <t>知識・技能(定期テスト・レポート・週末課題・単元テスト）</t>
    <rPh sb="0" eb="2">
      <t>ちしき</t>
    </rPh>
    <rPh sb="3" eb="5">
      <t>ぎのう</t>
    </rPh>
    <rPh sb="6" eb="8">
      <t>ていき</t>
    </rPh>
    <rPh sb="17" eb="19">
      <t>しゅうまつ</t>
    </rPh>
    <rPh sb="19" eb="21">
      <t>かだい</t>
    </rPh>
    <rPh sb="22" eb="24">
      <t>たんげん</t>
    </rPh>
    <phoneticPr fontId="14" type="Hiragana" alignment="distributed"/>
  </si>
  <si>
    <t>思考・判断・表現（レポート・単元テスト・実験の考察）</t>
    <rPh sb="0" eb="2">
      <t>しこう</t>
    </rPh>
    <rPh sb="3" eb="5">
      <t>はんだん</t>
    </rPh>
    <rPh sb="6" eb="8">
      <t>ひょうげん</t>
    </rPh>
    <rPh sb="14" eb="16">
      <t>たんげん</t>
    </rPh>
    <rPh sb="20" eb="22">
      <t>じっけん</t>
    </rPh>
    <rPh sb="23" eb="25">
      <t>こうさつ</t>
    </rPh>
    <phoneticPr fontId="14" type="Hiragana" alignment="distributed"/>
  </si>
  <si>
    <t>・知識定着あと一歩。1学期当初に比べると向上している。</t>
    <rPh sb="1" eb="5">
      <t>チシキテイチャク</t>
    </rPh>
    <rPh sb="7" eb="9">
      <t>イッポ</t>
    </rPh>
    <rPh sb="11" eb="13">
      <t>ガッキ</t>
    </rPh>
    <rPh sb="13" eb="15">
      <t>トウショ</t>
    </rPh>
    <rPh sb="16" eb="17">
      <t>クラ</t>
    </rPh>
    <rPh sb="20" eb="22">
      <t>コウジョウ</t>
    </rPh>
    <phoneticPr fontId="1"/>
  </si>
  <si>
    <t>・まじめな学習態度。知識も確実である。</t>
    <rPh sb="5" eb="7">
      <t>ガクシュウ</t>
    </rPh>
    <rPh sb="7" eb="9">
      <t>タイド</t>
    </rPh>
    <rPh sb="10" eb="12">
      <t>チシキ</t>
    </rPh>
    <rPh sb="13" eb="15">
      <t>カクジツ</t>
    </rPh>
    <phoneticPr fontId="1"/>
  </si>
  <si>
    <t>・向上してきている。学習態度も良い方向に動きつつある。</t>
    <rPh sb="1" eb="3">
      <t>コウジョウ</t>
    </rPh>
    <rPh sb="10" eb="12">
      <t>ガクシュウ</t>
    </rPh>
    <rPh sb="12" eb="14">
      <t>タイド</t>
    </rPh>
    <rPh sb="15" eb="16">
      <t>ヨ</t>
    </rPh>
    <rPh sb="17" eb="19">
      <t>ホウコウ</t>
    </rPh>
    <rPh sb="20" eb="21">
      <t>ウゴ</t>
    </rPh>
    <phoneticPr fontId="1"/>
  </si>
  <si>
    <t>・知識の定着が確実になってきている。二学期さらに期待したい。</t>
    <rPh sb="1" eb="3">
      <t>チシキ</t>
    </rPh>
    <rPh sb="4" eb="6">
      <t>テイチャク</t>
    </rPh>
    <rPh sb="7" eb="9">
      <t>カクジツ</t>
    </rPh>
    <rPh sb="18" eb="21">
      <t>ニガッキ</t>
    </rPh>
    <rPh sb="24" eb="26">
      <t>キタイ</t>
    </rPh>
    <phoneticPr fontId="1"/>
  </si>
  <si>
    <t>・授業中、集中力が欠けることが時々あった。最近はけじめのある学習態度に変化しつつある。</t>
    <rPh sb="1" eb="4">
      <t>ジュギョウチュウ</t>
    </rPh>
    <rPh sb="5" eb="8">
      <t>シュウチュウリョク</t>
    </rPh>
    <rPh sb="9" eb="10">
      <t>カ</t>
    </rPh>
    <rPh sb="15" eb="17">
      <t>トキドキ</t>
    </rPh>
    <rPh sb="21" eb="23">
      <t>サイキン</t>
    </rPh>
    <rPh sb="30" eb="32">
      <t>ガクシュウ</t>
    </rPh>
    <rPh sb="32" eb="34">
      <t>タイド</t>
    </rPh>
    <rPh sb="35" eb="37">
      <t>ヘンカ</t>
    </rPh>
    <phoneticPr fontId="1"/>
  </si>
  <si>
    <t>・知識の定着が甘い。レポートなど1学期当初に比べると、内容が充実してきている。持っている力を発揮してほしい。</t>
    <rPh sb="1" eb="3">
      <t>チシキ</t>
    </rPh>
    <rPh sb="4" eb="6">
      <t>テイチャク</t>
    </rPh>
    <rPh sb="7" eb="8">
      <t>アマ</t>
    </rPh>
    <rPh sb="17" eb="19">
      <t>ガッキ</t>
    </rPh>
    <rPh sb="19" eb="21">
      <t>トウショ</t>
    </rPh>
    <rPh sb="22" eb="23">
      <t>クラ</t>
    </rPh>
    <rPh sb="27" eb="29">
      <t>ナイヨウ</t>
    </rPh>
    <rPh sb="30" eb="32">
      <t>ジュウジツ</t>
    </rPh>
    <rPh sb="39" eb="40">
      <t>モ</t>
    </rPh>
    <rPh sb="44" eb="45">
      <t>チカラ</t>
    </rPh>
    <rPh sb="46" eb="48">
      <t>ハッキ</t>
    </rPh>
    <phoneticPr fontId="1"/>
  </si>
  <si>
    <t>・熱心に取り組んでいる。知識の定着を確実にしたい。</t>
    <rPh sb="1" eb="3">
      <t>ネッシン</t>
    </rPh>
    <rPh sb="4" eb="5">
      <t>ト</t>
    </rPh>
    <rPh sb="6" eb="7">
      <t>ク</t>
    </rPh>
    <rPh sb="12" eb="14">
      <t>チシキ</t>
    </rPh>
    <rPh sb="15" eb="17">
      <t>テイチャク</t>
    </rPh>
    <rPh sb="18" eb="20">
      <t>カクジツ</t>
    </rPh>
    <phoneticPr fontId="1"/>
  </si>
  <si>
    <t>・意欲的に学習に取り組んでいる。やや早とちり（ケアレスミス）なところがあり指導をした。</t>
    <rPh sb="1" eb="4">
      <t>イヨクテキ</t>
    </rPh>
    <rPh sb="5" eb="7">
      <t>ガクシュウ</t>
    </rPh>
    <rPh sb="8" eb="9">
      <t>ト</t>
    </rPh>
    <rPh sb="10" eb="11">
      <t>ク</t>
    </rPh>
    <rPh sb="18" eb="19">
      <t>ハヤ</t>
    </rPh>
    <rPh sb="37" eb="39">
      <t>シドウ</t>
    </rPh>
    <phoneticPr fontId="1"/>
  </si>
  <si>
    <t>・真面目な学習態度である。納得するまで追求する姿がある。</t>
    <rPh sb="1" eb="4">
      <t>マジメ</t>
    </rPh>
    <rPh sb="5" eb="7">
      <t>ガクシュウ</t>
    </rPh>
    <rPh sb="7" eb="9">
      <t>タイド</t>
    </rPh>
    <rPh sb="13" eb="15">
      <t>ナットク</t>
    </rPh>
    <rPh sb="19" eb="21">
      <t>ツイキュウ</t>
    </rPh>
    <rPh sb="23" eb="24">
      <t>スガタ</t>
    </rPh>
    <phoneticPr fontId="1"/>
  </si>
  <si>
    <t>・復習を丁寧にやっている。週末課題なども手抜きなく提出できる。</t>
    <rPh sb="1" eb="3">
      <t>フクシュウ</t>
    </rPh>
    <rPh sb="4" eb="6">
      <t>テイネイ</t>
    </rPh>
    <rPh sb="13" eb="15">
      <t>シュウマツ</t>
    </rPh>
    <rPh sb="15" eb="17">
      <t>カダイ</t>
    </rPh>
    <rPh sb="20" eb="22">
      <t>テヌ</t>
    </rPh>
    <rPh sb="25" eb="27">
      <t>テイシュツ</t>
    </rPh>
    <phoneticPr fontId="1"/>
  </si>
  <si>
    <t>・1学期当初に比べると、知識の定着が確実になってきている。二学期に期待したい。</t>
    <rPh sb="2" eb="4">
      <t>ガッキ</t>
    </rPh>
    <rPh sb="4" eb="6">
      <t>トウショ</t>
    </rPh>
    <rPh sb="7" eb="8">
      <t>クラ</t>
    </rPh>
    <rPh sb="12" eb="14">
      <t>チシキ</t>
    </rPh>
    <rPh sb="15" eb="17">
      <t>テイチャク</t>
    </rPh>
    <rPh sb="18" eb="20">
      <t>カクジツ</t>
    </rPh>
    <rPh sb="29" eb="32">
      <t>ニガッキ</t>
    </rPh>
    <rPh sb="33" eb="35">
      <t>キタイ</t>
    </rPh>
    <phoneticPr fontId="1"/>
  </si>
  <si>
    <t>・知識の定着、あと一歩。特に計算問題等を確実に習得しておきたい。</t>
    <rPh sb="1" eb="3">
      <t>チシキ</t>
    </rPh>
    <rPh sb="4" eb="6">
      <t>テイチャク</t>
    </rPh>
    <rPh sb="9" eb="11">
      <t>イッポ</t>
    </rPh>
    <rPh sb="12" eb="13">
      <t>トク</t>
    </rPh>
    <rPh sb="14" eb="16">
      <t>ケイサン</t>
    </rPh>
    <rPh sb="16" eb="18">
      <t>モンダイ</t>
    </rPh>
    <rPh sb="18" eb="19">
      <t>トウ</t>
    </rPh>
    <rPh sb="20" eb="22">
      <t>カクジツ</t>
    </rPh>
    <rPh sb="23" eb="25">
      <t>シュウトク</t>
    </rPh>
    <phoneticPr fontId="1"/>
  </si>
  <si>
    <t>・1学期当初に比べると、学習態度は向上しつつある。知識の定着がやや甘い。</t>
    <rPh sb="2" eb="4">
      <t>ガッキ</t>
    </rPh>
    <rPh sb="4" eb="6">
      <t>トウショ</t>
    </rPh>
    <rPh sb="7" eb="8">
      <t>クラ</t>
    </rPh>
    <rPh sb="12" eb="14">
      <t>ガクシュウ</t>
    </rPh>
    <rPh sb="14" eb="16">
      <t>タイド</t>
    </rPh>
    <rPh sb="17" eb="19">
      <t>コウジョウ</t>
    </rPh>
    <rPh sb="25" eb="27">
      <t>チシキ</t>
    </rPh>
    <rPh sb="28" eb="30">
      <t>テイチャク</t>
    </rPh>
    <rPh sb="33" eb="34">
      <t>アマ</t>
    </rPh>
    <phoneticPr fontId="1"/>
  </si>
  <si>
    <t>・意欲的に学習に取り組んでいる。復習も確実である。</t>
    <rPh sb="1" eb="4">
      <t>イヨクテキ</t>
    </rPh>
    <rPh sb="16" eb="18">
      <t>フクシュウ</t>
    </rPh>
    <rPh sb="19" eb="21">
      <t>カクジツ</t>
    </rPh>
    <phoneticPr fontId="1"/>
  </si>
  <si>
    <t>・知識の定着が確実である。</t>
    <rPh sb="1" eb="3">
      <t>チシキ</t>
    </rPh>
    <rPh sb="4" eb="6">
      <t>テイチャク</t>
    </rPh>
    <rPh sb="7" eb="9">
      <t>カクジツ</t>
    </rPh>
    <phoneticPr fontId="1"/>
  </si>
  <si>
    <t>・レポート等の内容がやや甘い。知識の定着をさらに確実にしたい。</t>
    <rPh sb="5" eb="6">
      <t>トウ</t>
    </rPh>
    <rPh sb="7" eb="9">
      <t>ナイヨウ</t>
    </rPh>
    <rPh sb="12" eb="13">
      <t>アマ</t>
    </rPh>
    <rPh sb="15" eb="17">
      <t>チシキ</t>
    </rPh>
    <rPh sb="18" eb="20">
      <t>テイチャク</t>
    </rPh>
    <rPh sb="24" eb="26">
      <t>カクジツ</t>
    </rPh>
    <phoneticPr fontId="1"/>
  </si>
  <si>
    <t>授業中の私語が時折見られる。発言回数が多かったのでA評価にしたが、気を付けるように。</t>
    <rPh sb="0" eb="3">
      <t>ジュギョウチュウ</t>
    </rPh>
    <rPh sb="4" eb="6">
      <t>シゴ</t>
    </rPh>
    <rPh sb="7" eb="9">
      <t>トキオリ</t>
    </rPh>
    <rPh sb="9" eb="10">
      <t>ミ</t>
    </rPh>
    <rPh sb="14" eb="18">
      <t>ハツゲンカイスウ</t>
    </rPh>
    <rPh sb="19" eb="20">
      <t>オオ</t>
    </rPh>
    <rPh sb="26" eb="28">
      <t>ヒョウカ</t>
    </rPh>
    <rPh sb="33" eb="34">
      <t>キ</t>
    </rPh>
    <rPh sb="35" eb="36">
      <t>ツ</t>
    </rPh>
    <phoneticPr fontId="1"/>
  </si>
  <si>
    <t>提出物にバラつきがある。授業中の私語が多い。</t>
    <rPh sb="0" eb="3">
      <t>テイシュツブツ</t>
    </rPh>
    <rPh sb="12" eb="15">
      <t>ジュギョウナカ</t>
    </rPh>
    <rPh sb="16" eb="18">
      <t>シゴ</t>
    </rPh>
    <rPh sb="19" eb="20">
      <t>オオ</t>
    </rPh>
    <phoneticPr fontId="1"/>
  </si>
  <si>
    <t>授業中、無断で立ち歩くことが多い。準備を完全に済ませた上で、授業に臨むように。</t>
    <rPh sb="0" eb="3">
      <t>ジュギョウチュウ</t>
    </rPh>
    <rPh sb="4" eb="6">
      <t>ムダン</t>
    </rPh>
    <rPh sb="7" eb="8">
      <t>タ</t>
    </rPh>
    <rPh sb="9" eb="10">
      <t>アル</t>
    </rPh>
    <rPh sb="14" eb="15">
      <t>オオ</t>
    </rPh>
    <rPh sb="17" eb="19">
      <t>ジュンビ</t>
    </rPh>
    <rPh sb="20" eb="22">
      <t>カンゼン</t>
    </rPh>
    <rPh sb="23" eb="24">
      <t>ス</t>
    </rPh>
    <rPh sb="27" eb="28">
      <t>ウエ</t>
    </rPh>
    <rPh sb="30" eb="32">
      <t>ジュギョウ</t>
    </rPh>
    <rPh sb="33" eb="34">
      <t>ノゾ</t>
    </rPh>
    <phoneticPr fontId="1"/>
  </si>
  <si>
    <t>知識・技能（期末テストワークテスト）</t>
  </si>
  <si>
    <t>思考力・判断力・表現力（オンライン授業・リスニング・英作文）</t>
    <rPh sb="17" eb="19">
      <t>ジュギョウ</t>
    </rPh>
    <rPh sb="26" eb="29">
      <t>エイサクブン</t>
    </rPh>
    <rPh sb="28" eb="29">
      <t>アヤ</t>
    </rPh>
    <phoneticPr fontId="1"/>
  </si>
  <si>
    <t>主体的に取り組む態度（提出物・授業態度）</t>
  </si>
  <si>
    <t>宿題提出率50％ ペアやグループでコミュニケーション活動を楽しむ姿勢が多く見られました。課題への取り組みで評価が下がっています。</t>
    <rPh sb="0" eb="2">
      <t>シュクダイ</t>
    </rPh>
    <rPh sb="2" eb="5">
      <t>テイシュツリツ</t>
    </rPh>
    <rPh sb="26" eb="28">
      <t>カツドウ</t>
    </rPh>
    <rPh sb="29" eb="30">
      <t>タノ</t>
    </rPh>
    <rPh sb="32" eb="34">
      <t>シセイ</t>
    </rPh>
    <rPh sb="35" eb="36">
      <t>オオ</t>
    </rPh>
    <rPh sb="37" eb="38">
      <t>ミ</t>
    </rPh>
    <rPh sb="44" eb="46">
      <t>カダイ</t>
    </rPh>
    <rPh sb="48" eb="49">
      <t>ト</t>
    </rPh>
    <rPh sb="50" eb="51">
      <t>ク</t>
    </rPh>
    <rPh sb="53" eb="55">
      <t>ヒョウカ</t>
    </rPh>
    <rPh sb="56" eb="57">
      <t>サ</t>
    </rPh>
    <phoneticPr fontId="1"/>
  </si>
  <si>
    <t>宿題提出率100％　期末では９９点を取り、日頃から丁寧な学習を継続できていることが伺えます。コミュニケーションスキルの伸びています。</t>
    <rPh sb="0" eb="2">
      <t>シュクダイ</t>
    </rPh>
    <rPh sb="2" eb="5">
      <t>テイシュツリツ</t>
    </rPh>
    <rPh sb="10" eb="12">
      <t>キマツ</t>
    </rPh>
    <rPh sb="16" eb="17">
      <t>テン</t>
    </rPh>
    <rPh sb="18" eb="19">
      <t>ト</t>
    </rPh>
    <rPh sb="21" eb="22">
      <t>ヒ</t>
    </rPh>
    <rPh sb="22" eb="23">
      <t>コロ</t>
    </rPh>
    <rPh sb="25" eb="27">
      <t>テイネイ</t>
    </rPh>
    <rPh sb="28" eb="30">
      <t>ガクシュウ</t>
    </rPh>
    <rPh sb="31" eb="33">
      <t>ケイゾク</t>
    </rPh>
    <rPh sb="41" eb="42">
      <t>ウカガ</t>
    </rPh>
    <rPh sb="59" eb="60">
      <t>ノ</t>
    </rPh>
    <phoneticPr fontId="1"/>
  </si>
  <si>
    <t>宿題提出率100％　得意な英語をできるだけ使おうとする姿勢がとても評価できます。英語寸劇でもリーダーシップを発揮できました。</t>
    <rPh sb="0" eb="2">
      <t>シュクダイ</t>
    </rPh>
    <rPh sb="2" eb="5">
      <t>テイシュツリツ</t>
    </rPh>
    <rPh sb="10" eb="12">
      <t>トクイ</t>
    </rPh>
    <rPh sb="13" eb="15">
      <t>エイゴ</t>
    </rPh>
    <rPh sb="21" eb="22">
      <t>ツカ</t>
    </rPh>
    <rPh sb="27" eb="29">
      <t>シセイ</t>
    </rPh>
    <rPh sb="33" eb="35">
      <t>ヒョウカ</t>
    </rPh>
    <rPh sb="40" eb="42">
      <t>エイゴ</t>
    </rPh>
    <rPh sb="42" eb="44">
      <t>スンゲキ</t>
    </rPh>
    <rPh sb="54" eb="56">
      <t>ハッキ</t>
    </rPh>
    <phoneticPr fontId="1"/>
  </si>
  <si>
    <t>宿題提出率100％　授業や家庭学習の取り組みから、英語力を伸ばそうと努力していることが伝わってきます。英語寸劇の発表では英語力とリーダーシップが大いに発揮されました。</t>
    <rPh sb="0" eb="2">
      <t>シュクダイ</t>
    </rPh>
    <rPh sb="2" eb="5">
      <t>テイシュツリツ</t>
    </rPh>
    <rPh sb="10" eb="12">
      <t>ジュギョウ</t>
    </rPh>
    <rPh sb="13" eb="17">
      <t>カテイガクシュウ</t>
    </rPh>
    <rPh sb="18" eb="19">
      <t>ト</t>
    </rPh>
    <rPh sb="20" eb="21">
      <t>ク</t>
    </rPh>
    <rPh sb="25" eb="28">
      <t>エイゴリョク</t>
    </rPh>
    <rPh sb="29" eb="30">
      <t>ノ</t>
    </rPh>
    <rPh sb="34" eb="36">
      <t>ドリョク</t>
    </rPh>
    <rPh sb="43" eb="44">
      <t>ツタ</t>
    </rPh>
    <rPh sb="51" eb="53">
      <t>エイゴ</t>
    </rPh>
    <rPh sb="53" eb="55">
      <t>スンゲキ</t>
    </rPh>
    <rPh sb="56" eb="58">
      <t>ハッピョウ</t>
    </rPh>
    <rPh sb="60" eb="63">
      <t>エイゴリョク</t>
    </rPh>
    <rPh sb="72" eb="73">
      <t>オオ</t>
    </rPh>
    <rPh sb="75" eb="77">
      <t>ハッキ</t>
    </rPh>
    <phoneticPr fontId="1"/>
  </si>
  <si>
    <t>宿題提出率100％　意欲的に取り組み、英語でのコミュニケーションの機会を大事にしていることが伺えます。単語や基本文をきちんと覚える習慣が期末の成果につながりました。</t>
    <rPh sb="0" eb="2">
      <t>シュクダイ</t>
    </rPh>
    <rPh sb="2" eb="5">
      <t>テイシュツリツ</t>
    </rPh>
    <rPh sb="10" eb="13">
      <t>イヨクテキ</t>
    </rPh>
    <rPh sb="14" eb="15">
      <t>ト</t>
    </rPh>
    <rPh sb="16" eb="17">
      <t>ク</t>
    </rPh>
    <rPh sb="19" eb="21">
      <t>エイゴ</t>
    </rPh>
    <rPh sb="33" eb="35">
      <t>キカイ</t>
    </rPh>
    <rPh sb="36" eb="38">
      <t>ダイジ</t>
    </rPh>
    <rPh sb="46" eb="47">
      <t>ウカガ</t>
    </rPh>
    <rPh sb="51" eb="53">
      <t>タンゴ</t>
    </rPh>
    <rPh sb="54" eb="57">
      <t>キホンブン</t>
    </rPh>
    <rPh sb="62" eb="63">
      <t>オボ</t>
    </rPh>
    <rPh sb="65" eb="67">
      <t>シュウカン</t>
    </rPh>
    <rPh sb="68" eb="70">
      <t>キマツ</t>
    </rPh>
    <rPh sb="71" eb="73">
      <t>セイカ</t>
    </rPh>
    <phoneticPr fontId="1"/>
  </si>
  <si>
    <t>宿題提出率91％　積極的に英語力を使おうとする姿勢が素晴らしいです。英語寸劇の発表では高い英語力が発揮できました。</t>
    <rPh sb="0" eb="2">
      <t>シュクダイ</t>
    </rPh>
    <rPh sb="2" eb="5">
      <t>テイシュツリツ</t>
    </rPh>
    <rPh sb="9" eb="12">
      <t>セッキョクテキ</t>
    </rPh>
    <rPh sb="17" eb="18">
      <t>ツカ</t>
    </rPh>
    <rPh sb="23" eb="25">
      <t>シセイ</t>
    </rPh>
    <rPh sb="26" eb="28">
      <t>スバ</t>
    </rPh>
    <rPh sb="43" eb="44">
      <t>タカ</t>
    </rPh>
    <rPh sb="45" eb="48">
      <t>エイゴリョク</t>
    </rPh>
    <rPh sb="49" eb="51">
      <t>ハッキ</t>
    </rPh>
    <phoneticPr fontId="1"/>
  </si>
  <si>
    <t>宿題提出率100％　とても丁寧な学習を継続し、基礎力をきちんと定着させています。スピーキング力や英作文の力も伸びています。</t>
    <rPh sb="0" eb="2">
      <t>シュクダイ</t>
    </rPh>
    <rPh sb="2" eb="5">
      <t>テイシュツリツ</t>
    </rPh>
    <rPh sb="13" eb="15">
      <t>テイネイ</t>
    </rPh>
    <rPh sb="16" eb="18">
      <t>ガクシュウ</t>
    </rPh>
    <rPh sb="19" eb="21">
      <t>ケイゾク</t>
    </rPh>
    <rPh sb="23" eb="26">
      <t>キソリョク</t>
    </rPh>
    <rPh sb="31" eb="33">
      <t>テイチャク</t>
    </rPh>
    <rPh sb="46" eb="47">
      <t>チカラ</t>
    </rPh>
    <rPh sb="48" eb="51">
      <t>エイサクブン</t>
    </rPh>
    <rPh sb="52" eb="53">
      <t>チカラ</t>
    </rPh>
    <rPh sb="54" eb="55">
      <t>ノ</t>
    </rPh>
    <phoneticPr fontId="1"/>
  </si>
  <si>
    <t>知識・技能(提出物、演奏聴取、ワークシート、定期テスト)</t>
    <rPh sb="0" eb="2">
      <t>チシキ</t>
    </rPh>
    <rPh sb="3" eb="5">
      <t>ギノウ</t>
    </rPh>
    <rPh sb="6" eb="9">
      <t>テイシュツブツ</t>
    </rPh>
    <rPh sb="10" eb="14">
      <t>エンソウチョウシュ</t>
    </rPh>
    <rPh sb="22" eb="24">
      <t>テイキ</t>
    </rPh>
    <phoneticPr fontId="1"/>
  </si>
  <si>
    <t>思考力・判断力・表現力(提出物、演奏聴取、ワークシート、定期テスト)</t>
    <rPh sb="0" eb="3">
      <t>シコウリョク</t>
    </rPh>
    <rPh sb="4" eb="7">
      <t>ハンダンリョク</t>
    </rPh>
    <rPh sb="8" eb="11">
      <t>ヒョウゲンリョク</t>
    </rPh>
    <rPh sb="12" eb="15">
      <t>テイシュツブツ</t>
    </rPh>
    <rPh sb="16" eb="20">
      <t>エンソウチョウシュ</t>
    </rPh>
    <rPh sb="28" eb="30">
      <t>テイキ</t>
    </rPh>
    <phoneticPr fontId="1"/>
  </si>
  <si>
    <t>主体的に学習に取り組む態度</t>
    <rPh sb="0" eb="3">
      <t>シュタイテキ</t>
    </rPh>
    <rPh sb="4" eb="6">
      <t>ガクシュウ</t>
    </rPh>
    <rPh sb="7" eb="8">
      <t>ト</t>
    </rPh>
    <rPh sb="9" eb="10">
      <t>ク</t>
    </rPh>
    <rPh sb="11" eb="13">
      <t>タイド</t>
    </rPh>
    <phoneticPr fontId="1"/>
  </si>
  <si>
    <t>テストの点数が低かったです。</t>
    <rPh sb="4" eb="6">
      <t>テンスウ</t>
    </rPh>
    <rPh sb="7" eb="8">
      <t>ヒク</t>
    </rPh>
    <phoneticPr fontId="1"/>
  </si>
  <si>
    <t>集中して学習に取り組むことが少なかったです。</t>
    <rPh sb="0" eb="2">
      <t>シュウチュウ</t>
    </rPh>
    <rPh sb="4" eb="6">
      <t>ガクシュウ</t>
    </rPh>
    <rPh sb="7" eb="8">
      <t>ト</t>
    </rPh>
    <rPh sb="9" eb="10">
      <t>ク</t>
    </rPh>
    <rPh sb="14" eb="15">
      <t>スク</t>
    </rPh>
    <phoneticPr fontId="1"/>
  </si>
  <si>
    <t>知識・技能（ワークシート・テスト）</t>
    <rPh sb="0" eb="2">
      <t>チシキ</t>
    </rPh>
    <rPh sb="3" eb="5">
      <t>ギノウ</t>
    </rPh>
    <phoneticPr fontId="1"/>
  </si>
  <si>
    <t>思考・判断・表現（作品・テスト・クロッキー）</t>
    <rPh sb="0" eb="2">
      <t>シコウ</t>
    </rPh>
    <rPh sb="3" eb="5">
      <t>ハンダン</t>
    </rPh>
    <rPh sb="6" eb="8">
      <t>ヒョウゲン</t>
    </rPh>
    <rPh sb="9" eb="11">
      <t>サクヒン</t>
    </rPh>
    <phoneticPr fontId="1"/>
  </si>
  <si>
    <t>主体的な態度（振り返りシート・授業態度・提出物・持ち物）</t>
    <rPh sb="0" eb="3">
      <t>シュタイテキ</t>
    </rPh>
    <rPh sb="4" eb="6">
      <t>タイド</t>
    </rPh>
    <rPh sb="7" eb="8">
      <t>フ</t>
    </rPh>
    <rPh sb="9" eb="10">
      <t>カエ</t>
    </rPh>
    <rPh sb="15" eb="19">
      <t>ジュギョウタイド</t>
    </rPh>
    <rPh sb="20" eb="23">
      <t>テイシュツブツ</t>
    </rPh>
    <rPh sb="24" eb="25">
      <t>モ</t>
    </rPh>
    <rPh sb="26" eb="27">
      <t>モノ</t>
    </rPh>
    <phoneticPr fontId="1"/>
  </si>
  <si>
    <t>知識・技能（実技・定期テスト）</t>
  </si>
  <si>
    <t>知識・技能(定期テスト・学習ノート・電池チェッカーの製作・テーブルタップの組立）</t>
    <rPh sb="0" eb="2">
      <t>ちしき</t>
    </rPh>
    <rPh sb="3" eb="5">
      <t>ぎのう</t>
    </rPh>
    <rPh sb="6" eb="8">
      <t>ていき</t>
    </rPh>
    <rPh sb="12" eb="14">
      <t>がくしゅう</t>
    </rPh>
    <rPh sb="18" eb="20">
      <t>でんち</t>
    </rPh>
    <rPh sb="26" eb="28">
      <t>せいさく</t>
    </rPh>
    <rPh sb="37" eb="39">
      <t>くみたて</t>
    </rPh>
    <phoneticPr fontId="14" type="Hiragana" alignment="distributed"/>
  </si>
  <si>
    <t>思考・判断・表現（電気図記号を使った電気回路の製作・半田付・部屋の平面計画・授業プリント）</t>
    <rPh sb="0" eb="2">
      <t>しこう</t>
    </rPh>
    <rPh sb="3" eb="5">
      <t>はんだん</t>
    </rPh>
    <rPh sb="6" eb="8">
      <t>ひょうげん</t>
    </rPh>
    <rPh sb="9" eb="11">
      <t>でんき</t>
    </rPh>
    <rPh sb="11" eb="14">
      <t>ずきごう</t>
    </rPh>
    <rPh sb="15" eb="16">
      <t>つか</t>
    </rPh>
    <rPh sb="18" eb="20">
      <t>でんき</t>
    </rPh>
    <rPh sb="20" eb="22">
      <t>かいろ</t>
    </rPh>
    <rPh sb="23" eb="25">
      <t>せいさく</t>
    </rPh>
    <rPh sb="26" eb="29">
      <t>はんだづ</t>
    </rPh>
    <rPh sb="30" eb="32">
      <t>へや</t>
    </rPh>
    <rPh sb="33" eb="37">
      <t>へいめんけいかく</t>
    </rPh>
    <rPh sb="38" eb="40">
      <t>じゅぎょう</t>
    </rPh>
    <phoneticPr fontId="14" type="Hiragana" alignment="distributed"/>
  </si>
  <si>
    <t>定期試験の成績が振るいませんでした。授業に教科書、技家ノートを忘れずに用意しましょう。（家庭科）
・実習は放課後残って遅れを取り戻そうとする姿が見られるようになってきている。知識の定着がよくない。</t>
    <rPh sb="0" eb="4">
      <t>テイキシケン</t>
    </rPh>
    <rPh sb="5" eb="7">
      <t>セイセキ</t>
    </rPh>
    <rPh sb="8" eb="9">
      <t>フ</t>
    </rPh>
    <rPh sb="18" eb="20">
      <t>ジュギョウ</t>
    </rPh>
    <rPh sb="21" eb="24">
      <t>キョウカショ</t>
    </rPh>
    <rPh sb="25" eb="27">
      <t>ギカ</t>
    </rPh>
    <rPh sb="31" eb="32">
      <t>ワス</t>
    </rPh>
    <rPh sb="35" eb="37">
      <t>ヨウイ</t>
    </rPh>
    <rPh sb="44" eb="47">
      <t>カテイカ</t>
    </rPh>
    <rPh sb="50" eb="52">
      <t>ジッシュウ</t>
    </rPh>
    <rPh sb="53" eb="56">
      <t>ホウカゴ</t>
    </rPh>
    <rPh sb="56" eb="57">
      <t>ノコ</t>
    </rPh>
    <rPh sb="59" eb="60">
      <t>オク</t>
    </rPh>
    <rPh sb="62" eb="63">
      <t>ト</t>
    </rPh>
    <rPh sb="64" eb="65">
      <t>モド</t>
    </rPh>
    <rPh sb="70" eb="71">
      <t>スガタ</t>
    </rPh>
    <rPh sb="72" eb="73">
      <t>ミ</t>
    </rPh>
    <rPh sb="87" eb="89">
      <t>チシキ</t>
    </rPh>
    <rPh sb="90" eb="92">
      <t>テイチャク</t>
    </rPh>
    <phoneticPr fontId="1"/>
  </si>
  <si>
    <t>頑張っていますが、忘れ物が多いです。今後、提出物の提出をしっかりしていきましょう。（家庭科）
・時々集中力を欠いてしまうときがあり、残念。知識の定着あと一歩。</t>
    <rPh sb="0" eb="2">
      <t>ガンバ</t>
    </rPh>
    <rPh sb="9" eb="10">
      <t>ワス</t>
    </rPh>
    <rPh sb="11" eb="12">
      <t>モノ</t>
    </rPh>
    <rPh sb="13" eb="14">
      <t>オオ</t>
    </rPh>
    <rPh sb="18" eb="20">
      <t>コンゴ</t>
    </rPh>
    <rPh sb="21" eb="24">
      <t>テイシュツブツ</t>
    </rPh>
    <rPh sb="25" eb="27">
      <t>テイシュツ</t>
    </rPh>
    <rPh sb="42" eb="45">
      <t>カテイカ</t>
    </rPh>
    <rPh sb="48" eb="50">
      <t>トキドキ</t>
    </rPh>
    <rPh sb="50" eb="53">
      <t>シュウチュウリョク</t>
    </rPh>
    <rPh sb="54" eb="55">
      <t>カ</t>
    </rPh>
    <rPh sb="66" eb="68">
      <t>ザンネン</t>
    </rPh>
    <rPh sb="69" eb="71">
      <t>チシキ</t>
    </rPh>
    <rPh sb="72" eb="74">
      <t>テイチャク</t>
    </rPh>
    <rPh sb="76" eb="78">
      <t>イッポ</t>
    </rPh>
    <phoneticPr fontId="1"/>
  </si>
  <si>
    <t>英語係、SDGｓ委員会、卓球部</t>
    <rPh sb="0" eb="2">
      <t>エイゴ</t>
    </rPh>
    <rPh sb="2" eb="3">
      <t>カカリ</t>
    </rPh>
    <rPh sb="8" eb="11">
      <t>イインカイ</t>
    </rPh>
    <rPh sb="12" eb="15">
      <t>タッキュウブ</t>
    </rPh>
    <phoneticPr fontId="17"/>
  </si>
  <si>
    <t>副学級長、礼節風紀係、倫理委員会、テニス部体育祭実行委員会放送係、さいきょう祭ミュージカル演出副係長</t>
    <rPh sb="0" eb="1">
      <t>フク</t>
    </rPh>
    <rPh sb="1" eb="4">
      <t>ガッキュウチョウ</t>
    </rPh>
    <rPh sb="5" eb="9">
      <t>レイセツフウキ</t>
    </rPh>
    <rPh sb="9" eb="10">
      <t>カカリ</t>
    </rPh>
    <rPh sb="11" eb="13">
      <t>リンリ</t>
    </rPh>
    <rPh sb="13" eb="16">
      <t>イインカイ</t>
    </rPh>
    <rPh sb="29" eb="32">
      <t>ホウソウカカリ</t>
    </rPh>
    <rPh sb="38" eb="39">
      <t>サイ</t>
    </rPh>
    <rPh sb="45" eb="47">
      <t>エンシュツ</t>
    </rPh>
    <rPh sb="47" eb="48">
      <t>フク</t>
    </rPh>
    <rPh sb="48" eb="50">
      <t>カカリチョウ</t>
    </rPh>
    <phoneticPr fontId="17"/>
  </si>
  <si>
    <t>書記長、環境委員会、卓球部</t>
    <rPh sb="0" eb="3">
      <t>ショキチョウ</t>
    </rPh>
    <rPh sb="4" eb="9">
      <t>カンキョウイインカイ</t>
    </rPh>
    <rPh sb="10" eb="13">
      <t>タッキュウブ</t>
    </rPh>
    <phoneticPr fontId="17"/>
  </si>
  <si>
    <t>数学係、環境委員会、バスケ部、体育祭実行委員会応援団</t>
    <rPh sb="0" eb="3">
      <t>スウガクカカリ</t>
    </rPh>
    <rPh sb="4" eb="9">
      <t>カンキョウイインカイ</t>
    </rPh>
    <rPh sb="13" eb="14">
      <t>ブ</t>
    </rPh>
    <phoneticPr fontId="17"/>
  </si>
  <si>
    <t>社会係、衛生委員会、バスケ部、体育祭８学年白組副リーダー</t>
    <rPh sb="0" eb="3">
      <t>シャカイカカリ</t>
    </rPh>
    <rPh sb="4" eb="9">
      <t>エイセイイインカイ</t>
    </rPh>
    <rPh sb="13" eb="14">
      <t>ブ</t>
    </rPh>
    <rPh sb="21" eb="22">
      <t>シロ</t>
    </rPh>
    <rPh sb="23" eb="24">
      <t>フク</t>
    </rPh>
    <phoneticPr fontId="17"/>
  </si>
  <si>
    <t>数学係、報道委員会、美術部、体育祭８学年赤組副リーダー</t>
    <rPh sb="0" eb="2">
      <t>スウガク</t>
    </rPh>
    <rPh sb="2" eb="3">
      <t>カカ</t>
    </rPh>
    <rPh sb="4" eb="9">
      <t>ホウドウイインカイ</t>
    </rPh>
    <rPh sb="10" eb="13">
      <t>ビジュツブ</t>
    </rPh>
    <rPh sb="22" eb="23">
      <t>フク</t>
    </rPh>
    <phoneticPr fontId="17"/>
  </si>
  <si>
    <t>佐藤 美月</t>
    <rPh sb="0" eb="2">
      <t>サトウ</t>
    </rPh>
    <rPh sb="3" eb="4">
      <t>ビ</t>
    </rPh>
    <rPh sb="4" eb="5">
      <t>ツキ</t>
    </rPh>
    <phoneticPr fontId="0"/>
  </si>
  <si>
    <t>英語係、図書委員会書記、バスケ部、体育祭実行委員会応援団</t>
    <rPh sb="0" eb="3">
      <t>エイゴカカリ</t>
    </rPh>
    <rPh sb="4" eb="9">
      <t>トショイインカイ</t>
    </rPh>
    <rPh sb="9" eb="11">
      <t>ショキ</t>
    </rPh>
    <rPh sb="15" eb="16">
      <t>ブ</t>
    </rPh>
    <phoneticPr fontId="17"/>
  </si>
  <si>
    <t>自主勉係、体育委員会、バスケ部、体育祭８学年赤組リーダー、さいきょう祭ミュージカル演出副係長</t>
    <rPh sb="0" eb="3">
      <t>ジシュベン</t>
    </rPh>
    <rPh sb="3" eb="4">
      <t>カカリ</t>
    </rPh>
    <rPh sb="5" eb="10">
      <t>タイイクイインカイ</t>
    </rPh>
    <rPh sb="14" eb="15">
      <t>ブ</t>
    </rPh>
    <rPh sb="16" eb="19">
      <t>タイイクサイ</t>
    </rPh>
    <rPh sb="20" eb="22">
      <t>ガクネン</t>
    </rPh>
    <rPh sb="22" eb="24">
      <t>アカグミ</t>
    </rPh>
    <phoneticPr fontId="17"/>
  </si>
  <si>
    <t>学級長、時間日程係、代表委員会、合唱部、さいきょう祭ミュージカル演出係長</t>
    <rPh sb="0" eb="3">
      <t>ガッキュウチョウ</t>
    </rPh>
    <rPh sb="4" eb="8">
      <t>ジカンニッテイ</t>
    </rPh>
    <rPh sb="8" eb="9">
      <t>カカリ</t>
    </rPh>
    <rPh sb="10" eb="15">
      <t>ダイヒョウイインカイ</t>
    </rPh>
    <rPh sb="16" eb="19">
      <t>ガッショウブ</t>
    </rPh>
    <phoneticPr fontId="17"/>
  </si>
  <si>
    <t>宋 語唯</t>
    <rPh sb="0" eb="1">
      <t>ソウ</t>
    </rPh>
    <rPh sb="2" eb="3">
      <t>ゴ</t>
    </rPh>
    <rPh sb="3" eb="4">
      <t>ユイ</t>
    </rPh>
    <phoneticPr fontId="0"/>
  </si>
  <si>
    <t>音楽美術係、報道委員会、体育祭実行委員会用具係、吹奏楽部</t>
    <rPh sb="0" eb="2">
      <t>オンガク</t>
    </rPh>
    <rPh sb="2" eb="5">
      <t>ビジュツカカリ</t>
    </rPh>
    <rPh sb="6" eb="11">
      <t>ホウドウイインカイ</t>
    </rPh>
    <rPh sb="20" eb="23">
      <t>ヨウグカカリ</t>
    </rPh>
    <rPh sb="24" eb="28">
      <t>スイソウガクブ</t>
    </rPh>
    <phoneticPr fontId="17"/>
  </si>
  <si>
    <t>理科係、衛生委員会、卓球部</t>
    <rPh sb="0" eb="2">
      <t>リカ</t>
    </rPh>
    <rPh sb="2" eb="3">
      <t>カカリ</t>
    </rPh>
    <rPh sb="4" eb="9">
      <t>エイセイイインカイ</t>
    </rPh>
    <rPh sb="10" eb="13">
      <t>タッキュウブ</t>
    </rPh>
    <phoneticPr fontId="17"/>
  </si>
  <si>
    <t>衛生・欠席対応係、福祉委員会、合唱部</t>
    <rPh sb="0" eb="2">
      <t>エイセイ</t>
    </rPh>
    <rPh sb="3" eb="5">
      <t>ケッセキ</t>
    </rPh>
    <rPh sb="5" eb="8">
      <t>タイオウカカリ</t>
    </rPh>
    <rPh sb="9" eb="14">
      <t>フクシイインカイ</t>
    </rPh>
    <rPh sb="15" eb="18">
      <t>ガッショウブ</t>
    </rPh>
    <phoneticPr fontId="17"/>
  </si>
  <si>
    <t>中山 千愛</t>
    <rPh sb="0" eb="2">
      <t>ナカヤマ</t>
    </rPh>
    <rPh sb="3" eb="4">
      <t>セン</t>
    </rPh>
    <rPh sb="4" eb="5">
      <t>アイ</t>
    </rPh>
    <phoneticPr fontId="0"/>
  </si>
  <si>
    <t>技術家庭科係、福祉委員会、体育祭実行委員会応援団</t>
    <rPh sb="0" eb="2">
      <t>ギジュツ</t>
    </rPh>
    <rPh sb="2" eb="5">
      <t>カテイカ</t>
    </rPh>
    <rPh sb="5" eb="6">
      <t>カカリ</t>
    </rPh>
    <rPh sb="7" eb="12">
      <t>フクシイインカイ</t>
    </rPh>
    <phoneticPr fontId="17"/>
  </si>
  <si>
    <t>保健体育係、園芸委員会、バスケ部、体育祭実行委員会応援団、体育祭８学年白組リーダー</t>
    <rPh sb="0" eb="4">
      <t>ホケンタイイク</t>
    </rPh>
    <rPh sb="4" eb="5">
      <t>カカリ</t>
    </rPh>
    <rPh sb="6" eb="11">
      <t>エンゲイイインカイ</t>
    </rPh>
    <rPh sb="35" eb="36">
      <t>シロブ</t>
    </rPh>
    <phoneticPr fontId="17"/>
  </si>
  <si>
    <t>国語係、園芸委員会、吹奏楽部</t>
    <rPh sb="0" eb="3">
      <t>コクゴカカリ</t>
    </rPh>
    <rPh sb="4" eb="9">
      <t>エンゲイイインカイ</t>
    </rPh>
    <rPh sb="10" eb="14">
      <t>スイソウガクブ</t>
    </rPh>
    <phoneticPr fontId="17"/>
  </si>
  <si>
    <t>生活記録係、図書委員会、卓球部</t>
    <rPh sb="0" eb="5">
      <t>セイカツキロクカカリ</t>
    </rPh>
    <rPh sb="6" eb="11">
      <t>トショイインカイ</t>
    </rPh>
    <rPh sb="12" eb="15">
      <t>タッキュウブ</t>
    </rPh>
    <phoneticPr fontId="17"/>
  </si>
  <si>
    <t>進路ガイダンス、職業調べ、STEAM学習（弘法山清掃活動、、さいきょう祭ミュージカル準備）、宿泊研修事前・事後学習（乗鞍キャンプ）</t>
    <rPh sb="0" eb="2">
      <t>シンロ</t>
    </rPh>
    <rPh sb="8" eb="10">
      <t>ショクギョウ</t>
    </rPh>
    <rPh sb="10" eb="11">
      <t>シラ</t>
    </rPh>
    <rPh sb="18" eb="20">
      <t>ガクシュウ</t>
    </rPh>
    <rPh sb="21" eb="24">
      <t>コウボウヤマ</t>
    </rPh>
    <rPh sb="24" eb="28">
      <t>セイソウカツドウ</t>
    </rPh>
    <rPh sb="46" eb="50">
      <t>シュクハクケンシュウ</t>
    </rPh>
    <rPh sb="50" eb="52">
      <t>ジゼン</t>
    </rPh>
    <rPh sb="53" eb="55">
      <t>ジゴ</t>
    </rPh>
    <rPh sb="55" eb="57">
      <t>ガクシュウ</t>
    </rPh>
    <rPh sb="58" eb="60">
      <t>ノリクラ</t>
    </rPh>
    <phoneticPr fontId="1"/>
  </si>
  <si>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</si>
  <si>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</si>
  <si>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</si>
  <si>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</si>
  <si>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</si>
  <si>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</si>
  <si>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欠席１（吐き気１）、早退１（発熱１）、遅刻３（小児科通院１、腹痛１、首の痛み１）</t>
    <rPh sb="0" eb="2">
      <t>ケッセキ</t>
    </rPh>
    <rPh sb="4" eb="5">
      <t>ハ</t>
    </rPh>
    <rPh sb="6" eb="7">
      <t>ケ</t>
    </rPh>
    <rPh sb="10" eb="12">
      <t>ソウタイ</t>
    </rPh>
    <rPh sb="14" eb="16">
      <t>ハツネツ</t>
    </rPh>
    <rPh sb="19" eb="21">
      <t>チコク</t>
    </rPh>
    <rPh sb="23" eb="28">
      <t>ショウニカツウイン</t>
    </rPh>
    <rPh sb="30" eb="32">
      <t>フクツウ</t>
    </rPh>
    <rPh sb="34" eb="35">
      <t>クビ</t>
    </rPh>
    <rPh sb="36" eb="37">
      <t>イタ</t>
    </rPh>
    <phoneticPr fontId="1"/>
  </si>
  <si>
    <t>欠席２（かぜ１、家事都合１）、早退１（耳鼻科通院１）、遅刻１（腹痛１）</t>
    <rPh sb="0" eb="2">
      <t>ケッセキ</t>
    </rPh>
    <rPh sb="8" eb="12">
      <t>カジツゴウ</t>
    </rPh>
    <rPh sb="15" eb="17">
      <t>ソウタイ</t>
    </rPh>
    <rPh sb="19" eb="24">
      <t>ジビカツウイン</t>
    </rPh>
    <rPh sb="27" eb="29">
      <t>チコク</t>
    </rPh>
    <rPh sb="31" eb="33">
      <t>フクツウ</t>
    </rPh>
    <phoneticPr fontId="1"/>
  </si>
  <si>
    <t>欠席１（発熱１）</t>
    <rPh sb="0" eb="2">
      <t>ケッセキ</t>
    </rPh>
    <rPh sb="4" eb="6">
      <t>ハツネツ</t>
    </rPh>
    <phoneticPr fontId="1"/>
  </si>
  <si>
    <t>欠席１（小児科通院１）、早退１（発疹１）</t>
    <rPh sb="0" eb="2">
      <t>ケッセキ</t>
    </rPh>
    <rPh sb="4" eb="9">
      <t>ショウニカツウイン</t>
    </rPh>
    <rPh sb="12" eb="14">
      <t>ソウタイ</t>
    </rPh>
    <rPh sb="16" eb="18">
      <t>ホッシン</t>
    </rPh>
    <phoneticPr fontId="1"/>
  </si>
  <si>
    <t>遅刻１（小児科通院１）</t>
    <rPh sb="0" eb="2">
      <t>チコク</t>
    </rPh>
    <rPh sb="4" eb="7">
      <t>ショウニカ</t>
    </rPh>
    <rPh sb="7" eb="9">
      <t>ツウイン</t>
    </rPh>
    <phoneticPr fontId="1"/>
  </si>
  <si>
    <t>欠席１（かぜ１）、遅刻１（かぜ１）</t>
    <rPh sb="0" eb="2">
      <t>ケッセキ</t>
    </rPh>
    <rPh sb="9" eb="11">
      <t>チコク</t>
    </rPh>
    <phoneticPr fontId="1"/>
  </si>
  <si>
    <t>規範意識をしっかりと持ち、落ち着いた毎日を送ることができました。体育祭では、自チームの勝利のため常に真剣に練習に取り組み、チームワークを深めて、毎回ほとんどミスすることなく本番に臨むことができました。『今後もFollowerとして皆を支えていきたい』と自ら振り返る通り、自分らしさを生かして、できることを模索して学校生活を送っています。乗鞍キャンプでは、１日目の午後から少し体調を崩しましたが、弱音を吐かずに頑張って二日間を過ごし、立派でした。学習面では、静かに落ち着いて授業に臨むことができています。分からないことがあれば主体的に質問したり、調べたりしていって、主体的に学力を向上させていきましょう。また、勉学の基本は日々の宿題への取り組みです。自分のやりたいことを優先せずに、学生としての本分を全うしましょう。早く寝るべき時は寝て、翌日に備えることも生活の上で大切です。整理整頓、書類管理も課題の一つです。少なくとも、提出が必須の重要なお便りは、必ず保護者の方に渡すように心掛けましょう。</t>
    <rPh sb="0" eb="2">
      <t>キハン</t>
    </rPh>
    <phoneticPr fontId="1"/>
  </si>
  <si>
    <t>出席停止５（新型コロナ５）、欠席２（家事都合２）</t>
    <rPh sb="0" eb="4">
      <t>シュッセキテイシ</t>
    </rPh>
    <rPh sb="6" eb="8">
      <t>シンガタ</t>
    </rPh>
    <rPh sb="14" eb="16">
      <t>ケッセキ</t>
    </rPh>
    <rPh sb="18" eb="22">
      <t>カジツゴウ</t>
    </rPh>
    <phoneticPr fontId="1"/>
  </si>
  <si>
    <t>この項目は適宜変更して下さい。
※注意※
ただし、項目数は１０個まで。仮に少ない場合も行の削除は絶対に行わないで下さい。</t>
    <phoneticPr fontId="1"/>
  </si>
  <si>
    <t>A</t>
    <phoneticPr fontId="1"/>
  </si>
  <si>
    <t>道徳の授業で学ぶべき、社会生活を送るうえで大切な考え方について、友達と話し合い再確認する『道徳で何を学ぶの？』の単元では、「今回の話し合いで、周りの人の意見にすごく共感できた。これからも、色々な考え方に触れて、物事の視野を広くしたり相手の考えを尊重したりすることを大切にしていきたい。」と振り返りました。今後の生活の中でも、進んで実践していきましょう。</t>
    <phoneticPr fontId="1"/>
  </si>
  <si>
    <t>「ピンクシャツデー」の活動について知り、「いじめ」や「いじり」をなくすために大切なことを考える『明日、みんなで着よう』の単元では、「全員が、相手がどういう気持ちなのか汲み取る力をつけ、どこからがいじめやいじりなのか判断できるようになること、空気に流されないで、ダメなことはダメだと言える環境にすることが大切だと思う。」と振り返りました。今後の生活の中でも、進んで実践していきましょう。</t>
    <phoneticPr fontId="1"/>
  </si>
  <si>
    <t>富士山でごみ拾いボランティアと啓発運動を続ける人へのインタビューから、自然保護について考える『僕の仕事場は富士山です』の単元では、「自然保護の大切さを訴えるために、実態をもっと写真や映像で広めたり、ポスター製作や声掛け運動などの啓発が必要だと思う。自分にも日頃からできることはたくさんあると思うので、心掛けていきたい。」と振り返りました。今後の生活の中でも、進んで実践していきましょう。</t>
    <phoneticPr fontId="1"/>
  </si>
  <si>
    <t>欠席５（かぜ４、家事都合１）、遅刻４（家事都合４）</t>
    <rPh sb="0" eb="2">
      <t>ケッセキ</t>
    </rPh>
    <rPh sb="8" eb="12">
      <t>カジツゴウ</t>
    </rPh>
    <rPh sb="15" eb="17">
      <t>チコク</t>
    </rPh>
    <rPh sb="19" eb="23">
      <t>カジツゴウ</t>
    </rPh>
    <phoneticPr fontId="1"/>
  </si>
  <si>
    <t>欠席２（かぜ１、家事都合１）、遅刻２（家事都合１、首の痛み１）、早退１（家事都合１）</t>
    <rPh sb="0" eb="2">
      <t>ケッセキ</t>
    </rPh>
    <rPh sb="8" eb="12">
      <t>カジツゴウ</t>
    </rPh>
    <rPh sb="15" eb="17">
      <t>チコク</t>
    </rPh>
    <rPh sb="19" eb="23">
      <t>カジツゴウ</t>
    </rPh>
    <rPh sb="25" eb="26">
      <t>クビ</t>
    </rPh>
    <rPh sb="27" eb="28">
      <t>イタ</t>
    </rPh>
    <rPh sb="32" eb="34">
      <t>ソウタイ</t>
    </rPh>
    <rPh sb="36" eb="40">
      <t>カジツゴウ</t>
    </rPh>
    <phoneticPr fontId="1"/>
  </si>
  <si>
    <t>-</t>
    <phoneticPr fontId="1"/>
  </si>
  <si>
    <t>道徳の授業で学ぶべき、社会生活を送るうえで大切な考え方について、友達と話し合い再確認する『道徳で何を学ぶの？』の単元では、「人それぞれ違う考え方があることや、自分も考えていることが色々あったのだなと改めて知れた。自分はなかなか行動に移せないことがあるので、希望と勇気・強い意志という項目を特に学んでいきたい。」と振り返りました。今後の生活の中でも、進んで実践していきましょう。</t>
    <phoneticPr fontId="1"/>
  </si>
  <si>
    <t>「ピンクシャツデー」の活動について知り、「いじめ」や「いじり」をなくすために大切なことを考える『明日、みんなで着よう』の単元では、「いじりからいじめに発展することも多いため、他人を軽い気持ちでからかわないように心掛けたい。実際に周りで起こっている時には、勇気を出して止める行動を取っていきたい。」と振り返りました。今後の生活の中でも、進んで実践していきましょう。</t>
    <phoneticPr fontId="1"/>
  </si>
  <si>
    <t>「ピンクシャツデー」の活動について知り、「いじめ」や「いじり」をなくすために大切なことを考える『明日、みんなで着よう』の単元では、「周りから見ていてダメだと思ったら、いじめられている人のためにどう行動するかが大切。いじめる側にならないよう、常に相手がどう思うかを考えるべきだと思う。」と振り返りました。今後の生活の中でも、進んで実践していきましょう。</t>
    <phoneticPr fontId="1"/>
  </si>
  <si>
    <t>「ピンクシャツデー」の活動について知り、「いじめ」や「いじり」をなくすために大切なことを考える『明日、みんなで着よう』の単元では、「嫌だと思ったことを、嫌だと言える環境作りが大切だと思う。人によっていじめかいじりかと感じることは全然違うから、何かあった人が、すぐに相談できるような存在になりたいです。」と振り返りました。今後の生活の中でも、進んで実践していきましょう。</t>
    <phoneticPr fontId="1"/>
  </si>
  <si>
    <t>富士山でごみ拾いボランティアと啓発運動を続ける人へのインタビューから、自然保護について考える『僕の仕事場は富士山です』の単元では、「自分達が快適に過ごしたり観光したりできる裏には、このような人や、STEAM活動で関わるライオンズクラブのような人たちがいることを忘れずに、自分もそういった活動に頑張って取り組みたいと改めて思った。」と振り返りました。今後の生活の中でも、進んで実践していきましょう。</t>
    <phoneticPr fontId="1"/>
  </si>
  <si>
    <t>この項目は適宜変更して下さい。
※注意※
ただし、項目数は１０個まで。仮に少ない場合も行の削除は絶対に行わないで下さい。</t>
    <phoneticPr fontId="1"/>
  </si>
  <si>
    <t>C</t>
    <phoneticPr fontId="1"/>
  </si>
  <si>
    <t>A</t>
    <phoneticPr fontId="1"/>
  </si>
  <si>
    <t>A</t>
    <phoneticPr fontId="1"/>
  </si>
  <si>
    <t>C</t>
    <phoneticPr fontId="1"/>
  </si>
  <si>
    <t>B</t>
    <phoneticPr fontId="1"/>
  </si>
  <si>
    <t>A</t>
    <phoneticPr fontId="1"/>
  </si>
  <si>
    <t>B</t>
    <phoneticPr fontId="1"/>
  </si>
  <si>
    <t>B</t>
    <phoneticPr fontId="1"/>
  </si>
  <si>
    <t>A</t>
    <phoneticPr fontId="1"/>
  </si>
  <si>
    <t>主体的に学習に取り組む態度</t>
    <phoneticPr fontId="1"/>
  </si>
  <si>
    <t>C</t>
    <phoneticPr fontId="1"/>
  </si>
  <si>
    <t>-</t>
    <phoneticPr fontId="1"/>
  </si>
  <si>
    <t>A</t>
    <phoneticPr fontId="1"/>
  </si>
  <si>
    <t>思考力・表現力・判断力（単元テスト・定期テスト）</t>
    <phoneticPr fontId="1"/>
  </si>
  <si>
    <t>B</t>
    <phoneticPr fontId="1"/>
  </si>
  <si>
    <t>主体的に学習に取り組む態度</t>
    <phoneticPr fontId="1"/>
  </si>
  <si>
    <t>-</t>
    <phoneticPr fontId="1"/>
  </si>
  <si>
    <t>この項目は適宜変更して下さい。
※注意※
ただし、項目数は１０個まで。仮に少ない場合も行の削除は絶対に行わないで下さい。</t>
    <phoneticPr fontId="1"/>
  </si>
  <si>
    <t>B</t>
    <phoneticPr fontId="14" type="Hiragana" alignment="distributed"/>
  </si>
  <si>
    <t>A</t>
    <phoneticPr fontId="14" type="Hiragana" alignment="distributed"/>
  </si>
  <si>
    <t>A</t>
    <phoneticPr fontId="14" type="Hiragana" alignment="distributed"/>
  </si>
  <si>
    <t>C</t>
    <phoneticPr fontId="14" type="Hiragana" alignment="distributed"/>
  </si>
  <si>
    <t>B</t>
    <phoneticPr fontId="14" type="Hiragana" alignment="distributed"/>
  </si>
  <si>
    <t>A</t>
    <phoneticPr fontId="1"/>
  </si>
  <si>
    <t>B</t>
    <phoneticPr fontId="1"/>
  </si>
  <si>
    <t>C</t>
    <phoneticPr fontId="1"/>
  </si>
  <si>
    <t>-</t>
    <phoneticPr fontId="1"/>
  </si>
  <si>
    <t>宋 語唯</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</si>
  <si>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</si>
  <si>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</si>
  <si>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</si>
  <si>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</si>
  <si>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</si>
  <si>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A</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</si>
  <si>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</si>
  <si>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</si>
  <si>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</si>
  <si>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</si>
  <si>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</si>
  <si>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</si>
  <si>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C</t>
    <phoneticPr fontId="14" type="Hiragana" alignment="distributed"/>
  </si>
  <si>
    <t>A</t>
    <phoneticPr fontId="14" type="Hiragana" alignment="distributed"/>
  </si>
  <si>
    <t>B</t>
    <phoneticPr fontId="14" type="Hiragana" alignment="distributed"/>
  </si>
  <si>
    <t>B</t>
    <phoneticPr fontId="1"/>
  </si>
  <si>
    <t>A</t>
    <phoneticPr fontId="14" type="Hiragana" alignment="distributed"/>
  </si>
  <si>
    <t>C</t>
    <phoneticPr fontId="14" type="Hiragana" alignment="distributed"/>
  </si>
  <si>
    <t>150～200</t>
    <phoneticPr fontId="9" type="Hiragana" alignment="distributed"/>
  </si>
  <si>
    <t>道徳の授業で学ぶべき、社会生活を送るうえで大切な考え方について、友達と話し合い再確認する『道徳で何を学ぶの？』の単元では、「人それぞれ、色々な悩みや課題があることが意外だった。人と話すのは苦手だけれど、自分以外の人の感情もよく知り、大切にしていきたい」と振り返りました。今後の生活の中でも、進んで実践していきましょう。</t>
    <phoneticPr fontId="1"/>
  </si>
  <si>
    <t>「ピンクシャツデー」の活動について知り、「いじめ」や「いじり」をなくすために大切なことを考える『明日、みんなで着よう』の単元では、「いじめを無くすためには、周りの人の在り方が一番大切。この活動を始めた人のように、周りを巻き込んで、いじめられている人の心に寄り添えるような行動を取っていきたい。」と振り返りました。今後の生活の中でも、進んで実践していきましょう。</t>
    <phoneticPr fontId="1"/>
  </si>
  <si>
    <t>道徳の授業で学ぶべき、社会生活を送るうえで大切な考え方について、友達と話し合い再確認する『道徳で何を学ぶの？』の単元では、「自分は特に、遵法精神・公徳心・モラルの項目について興味を持った。周りの人の意見から、色々な考え方があることを知ったので、他の授業でもしっかりと意見交流したい。」と振り返りました。今後の生活の中でも、進んで実践していきましょう。</t>
    <phoneticPr fontId="1"/>
  </si>
  <si>
    <t>「ピンクシャツデー」の活動について知り、「いじめ」や「いじり」をなくすために大切なことを考える『明日、みんなで着よう』の単元では、「もし、いじめやいじりに近いことがあったとしても、すぐに仲直りできるような親密度のあるクラスにしたいです。それと、ただの傍観者とならないように、そのような場面があったら止めさせる行動を取りたいです。」と振り返りました。今後の生活の中でも、進んで実践していきましょう。</t>
    <phoneticPr fontId="1"/>
  </si>
  <si>
    <t>富士山でごみ拾いボランティアと啓発運動を続ける人へのインタビューから、自然保護について考える『僕の仕事場は富士山です』の単元では、「身近な人への声掛けや教育活動、啓発ポスターなどで、自然保護の大切さを伝えていきたい。STEAM活動で実際にごみ拾いを体験して、ライオンズクラブの掲げる『よりよい社会の創造』について考えを深めていきたい」と振り返りました。今後の生活の中でも、進んで実践していきましょう。</t>
    <phoneticPr fontId="1"/>
  </si>
  <si>
    <t>道徳の授業で学ぶべき、社会生活を送るうえで大切な考え方について、友達と話し合い再確認する『道徳で何を学ぶの？』の単元では、「他の人と意見交流をすることで、共感が生まれるとともに、自分の意見にも自信を持てました。自分の意思をしっかりと持ちつつ、自分とは違った角度から考えることも大切にしていきたいです。」と振り返りました。今後の生活の中でも、進んで実践していきましょう。</t>
    <phoneticPr fontId="1"/>
  </si>
  <si>
    <t>富士山でごみ拾いボランティアと啓発運動を続ける人へのインタビューから、自然保護について考える『僕の仕事場は富士山です』の単元では、「なぜごみを捨ててはいけないかを考えて、今美術で取り組んでいるSDGｓポスターをしっかりと考えたり、STEAM活動の弘法山美化運動に真剣に取り組んだりすることから、啓発活動に携わっていきたい。」と振り返りました。今後の生活の中でも、進んで実践していきましょう。</t>
    <phoneticPr fontId="1"/>
  </si>
  <si>
    <t>道徳の授業で学ぶべき、社会生活を送るうえで大切な考え方について、友達と話し合い再確認する『道徳で何を学ぶの？』の単元では、「勇気や強い意志、公徳心など、まだピンと来ていない項目が色々とあったので、今後考えなければいけない課題がたくさんあると改めて感じた。特に、様々な感謝の心が足りていないかもしれないので行動に移したい。」と振り返りました。今後の生活の中でも、進んで実践していきましょう。</t>
    <phoneticPr fontId="1"/>
  </si>
  <si>
    <t>基本的な生活習慣（礼節，欠席，遅刻，体調管理など）</t>
    <phoneticPr fontId="1"/>
  </si>
  <si>
    <t>A～C</t>
    <phoneticPr fontId="1"/>
  </si>
  <si>
    <t>B</t>
    <phoneticPr fontId="1"/>
  </si>
  <si>
    <t>A</t>
    <phoneticPr fontId="1"/>
  </si>
  <si>
    <t>A</t>
    <phoneticPr fontId="1"/>
  </si>
  <si>
    <t>自主・自律（主体的な行動，計画性，整理整頓，宿題，提出物など）</t>
    <phoneticPr fontId="1"/>
  </si>
  <si>
    <t>A～C</t>
    <phoneticPr fontId="1"/>
  </si>
  <si>
    <t>責任感（係，委員会，役割など）</t>
    <phoneticPr fontId="1"/>
  </si>
  <si>
    <t>思いやり・協力（友人関係，共同作業，協調性など）</t>
    <phoneticPr fontId="1"/>
  </si>
  <si>
    <t>勤労・奉仕（清掃，給食，奉仕活動など）</t>
    <phoneticPr fontId="1"/>
  </si>
  <si>
    <t>公正・公平（規則，マナー，平等など）</t>
    <phoneticPr fontId="1"/>
  </si>
  <si>
    <t>400～450</t>
    <phoneticPr fontId="9" type="Hiragana" alignment="distributed"/>
  </si>
  <si>
    <t>毎日元気に、クラスメイトと親睦を深めながら、規範意識をしっかりと持って過ごすことができました。１学期は副学級長として、よりよい学校生活や学級内のコミュニケーション向上を目指して、率先して活動を行いました。今後も生徒会活動や、さいきょう祭演出副係長としての仕事など、リーダーシップを発揮すべき場面が多々あることと思いますが、一つ一つ試行錯誤しつつ、強い心を持ってクリアしていき、更なる成長をしていきましょう。体育祭では、自分の関わる競技の練習に真剣に取り組むとともに、実行委員会の放送係として行事の成功を支えました。後輩のサポートを行いつつ、仲間と協調して諸活動に取り組めており立派でした。乗鞍キャンプでは、二日間の仲間との共同生活を通して絆を深め、持続可能な社会の在り方について学んできました。宿舎での行動の随所から、生活能力の高さが伺えました。学習面では、日々の授業や宿題、自主学習にたいへん積極的に取り組み、期末試験では学年一位という素晴らしい成績を残すことができました。今後もこの調子で頑張りましょう。</t>
    <phoneticPr fontId="1"/>
  </si>
  <si>
    <t>毎日元気に、クラスメイトと親睦を深めながら、規範意識をしっかりと持って過ごすことができました。１学期は書記長に推薦され、正副学級長とともによりよい学級運営に携わりました。9年生となるまでに、今後はぜひ、周りの目や失敗した場合を気にせずに、こういった役職に立候補で就いて経験を積み、主体的に成長を目指していきましょう。湧真くんには、その素質は十分に備わっているはずです。体育祭では、自チームの勝利にこだわって真剣に練習に取り組み、８年生という立場をしっかりと自覚し、他学年と協力したりアドバイスしたりしている姿が立派でした。学習面では、日々の授業や宿題、自主学習にしっかりと取り組んでおり、さらに期末試験には、明確な目的意識を持って臨んだ成果が出て、順位を普段以上に上げることができました。今後も、目標を高く立てて成長していきましょう。生活記録や感想記入など、長文を書くことに若干苦手意識が見られます。感じたことや学んだことを、具体的に記述することを意識して練習していきましょう。</t>
    <phoneticPr fontId="1"/>
  </si>
  <si>
    <t>毎日明るく、クラスメイトと親睦を深めながら、規範意識をしっかりと持って過ごすことができました。体育祭では、自分の関わる競技の練習に真剣に取り組むとともに、実行委員として、赤組応援団に所属しました。全校生徒への指導のために、いち早く複雑な演舞を覚え、大きな声で応援し、時には後輩の前で指示を出すなど、来年度には立派な９年生として活躍できる、と確信が持てるような姿が垣間見えましたので、期待しています。乗鞍キャンプでは、二日間の仲間との共同生活を通して絆を深め、持続可能な社会の在り方について学んできました。学習面では、日々の授業や宿題にしっかりと取り組んでおり、期末試験５教科で４２９点と、中学生になってから最高の成績を残すことができました。本人としては、自主学習時間が少ないと反省しているようですので、そこを頑張ればさらに成長できるかと思います。誤字、脱字が目立ちますので、ケアレスミスを減らすためにも、意識して改善していきましょう。</t>
    <phoneticPr fontId="1"/>
  </si>
  <si>
    <t>毎日元気に、クラスメイトと親睦を深めながら過ごすことができました。体育祭では、8学年白組の副キャプテンとして、チームを勝利に導くため全力を尽くしました。副という立ち位置以上に、積極的にチームの鼓舞や作戦立案に携わり、白組の勝利に貢献することができました。正リーダーという立場は敬遠しているようですが、今後はぜひ、矢面に立って困難を乗り越えていく経験も積んでみてください。更なる成長の機会となるはずです。乗鞍キャンプでは、二日間の仲間との共同生活を通して絆を深め、持続可能な社会の在り方について学んできました。学習面では、日々の課題にしっかりと取り組んでおり、期末試験５教科で４３９点と、中学生になってから最高の成績を残すことができました。油断せず、この調子で頑張りましょう。ただし、授業態度の面で、複数の教科担当の先生から指摘を受けることがありました。明誠くんであれば、逆に周りを注意して律していくこともできるはずですので、そういった姿に期待しています。</t>
    <phoneticPr fontId="1"/>
  </si>
  <si>
    <t>体育祭では、８学年赤組の副キャプテンに就きました。当初は、リーダーとしての役割がよく分かっていない様子でしたが、正キャプテンの姿や、勝ちにこだわる下級生の思いを受けて、自分の立場への自覚と責任感を高まってきていたようでした。今回の経験や反省を、今後の学校生活に活かしていってほしいと願っています。乗鞍キャンプでは、樹上アスレチックへの挑戦を怖がっていた様子でしたが、仲間と声を掛け合いながら勇気を持って取り組み、上級者コースまで制覇することができました。頑張りましたね。二日間を通して、規範意識を持って過ごせており成長を感じました。学習面では、まずは目的意識を自分で明確に持ちましょう。将来どうなりたいのか、１年後にどの高校を受験したいのかを考えていくと、自ずとしなければならないことが見えてくるはずです。また、何事に関しても言えますが、努力する前から『自分にはできない』と諦めてしまわなければ、自分の想像以上に力を発揮できるはずです。流翔くんが更に活躍する姿を期待しています。</t>
    <phoneticPr fontId="1"/>
  </si>
  <si>
    <t>毎日元気に、クラスメイトと親睦を深めながら、規範意識をしっかりと持って過ごすことができました。体育祭では、自分の関わる競技の練習に真剣に取り組むとともに、実行委員として、赤組応援団に所属しました。複雑な演舞を、他の生徒に先んじて覚えなければならず、心が折れそうになることもありましたが、一生懸命に練習して、見事に成し遂げることができました。本当によく頑張りましたね。部活動や生徒会活動などにも、人一倍実直に取り組んでおり、たいへん立派です。乗鞍キャンプでは、樹上アスレチックへの挑戦を怖がっていた様子でしたが、仲間と声を掛け合いながら勇気を持って取り組み、上級者コースまで制覇することができました。頑張りましたね。学習面では、日々の授業や宿題にしっかりと取り組んでいます。知識を定着させるために最も大事なのは、一人でいかに効率よく勉強を進められるかです。段取りを立てて、短時間に集中して勉強できる姿勢が身に付けば、結果も表れてくると思いますので、意識してみましょう。</t>
    <phoneticPr fontId="1"/>
  </si>
  <si>
    <t>毎日元気に、クラスメイトと親睦を深めながら過ごすことができました。規範意識、責任感を持って、率先して動いたり皆に声掛けをしたりすることができ、担任としてもとても頼りにさせてもらいました。ただし、まだ一部の場面で羽目を外し過ぎてしまい、評価を大きく落としてしまう姿が見られました。日頃の働きからすると、非常に勿体ないことですので、２学期はより気を付けて生活を送りましょう。体育祭では、８学年赤組のキャプテンとして、チームを勝利に導くため全力を尽くしました。誰よりも気合を入れて大きな声で檄を飛ばし、日々勝つためにはどうすればよいか模索して作戦を指導する姿は立派でした。今後の生徒会活動や来年の体育祭に向けても、十分な能力があることを示してくれました。期待しています。学習面では、日々の授業にしっかりと取り組み、宿題の提出率もほぼ１００％を維持しています。休み時間などに急いで宿題を片付けている場面が見られますので、落ち着いた環境で、ゆっくりと勉強する時間が増えると良いかもしれません。習い事で忙しいかとも思いますが、文武両道を目指して頑張りましょう。</t>
    <phoneticPr fontId="1"/>
  </si>
  <si>
    <t>毎日明るく、クラスメイトと親睦を深めながら、規範意識をしっかりと持って過ごすことができました。１学期は学級長として、よりよい学校生活や学級内のコミュニケーション向上を目指して、精力的に活動を行いました。クラス内をよく見渡して、手が足りていないことを見つけて率先して手伝う姿も見られ、たいへん立派でした。Leadershipの面だけでなく、同じく学年目標であるFollowershipについても、体育祭などを通して学ぶことができた様子です。今後も生徒会活動や、さいきょう祭演出係長としての仕事など、芙佑香さんの能力が必要となる場面が多々あることと思いますが、一つ一つ試行錯誤しつつ、強い心を持ってクリアしていき、更なる成長をしていきましょう。学習面では、日々の授業や宿題、自主学習にたいへん積極的に取り組み、中間試験では学年一位という素晴らしい成績を残すことができました。全国模試や期末試験の結果も優秀でしたが、本人としては不服だったようですので、今後も向上心を持って、更に学力を高めていきましょう。</t>
    <phoneticPr fontId="1"/>
  </si>
  <si>
    <t>規範意識をしっかりと持ち、落ち着いた毎日を送ることができました。体育祭では、自分の関わる競技の練習に真剣に取り組むとともに、実行委員会の用具係として行事の成功を支えました。慌ただしい中で、一生懸命に走って仕事を全うする姿は本当に立派でした。目立つ場面には出たがりませんが、優秀なFollowerとしてリーダーやチーム全体を支える様子が多々見受けられ、感心しています。リーダーとして周りを導く能力も十分に有していると思いますので、今後ぜひ挑戦してみてください。乗鞍キャンプでは、二日間の仲間との共同生活を通して絆を深め、持続可能な社会の在り方について学んできました。学習面では、日々の授業や宿題、自主学習にたいへん積極的に取り組み、期末試験では５教科で４４１点と、中学生になってから最高の成績を残し、順位も大幅に上げることができました。今後もこの調子で頑張りましょう。生活記録での日々の振り返りが素晴らしく、一つ一つの出来事から人一倍多くのことを学んでいるように思います。これからもその真摯な姿勢を大切にしていってください。</t>
    <phoneticPr fontId="1"/>
  </si>
  <si>
    <t>規範意識をしっかりと持ち、落ち着いた毎日を送ることができました。１学期当初は、新しいクラス内でのお友達作りに悩んでいたようですが、一歩踏み出して交友関係を広げることができました。体育祭では、自チームの勝利のため常に真剣に練習に取り組み、チームワークを深めて、万全の状態で本番に臨むことができました。選抜リレー選手として、プレッシャーに押し潰されそうになりながらも、直前まで練習して、素晴らしい走りを見せてくれました。様々な面で、「自分はダメだ」と自己肯定感を持てていない様子が見受けられましたが、愛永さんの頑張りは本当に立派です。自信を持って、前向きに過ごしましょう。学習面では、日々の授業や宿題にしっかりと取り組んでいます。期末試験では１０教科８００点以上を達成するという、中学生になってから最高の成績を残し、順位も大幅に上げることができました。苦手意識のある社会・数学にも力を入れられれば、学年トップ１０入りも可能な圏内ですので、次回の試験も頑張りましょう。</t>
    <phoneticPr fontId="1"/>
  </si>
  <si>
    <t>毎日明るく、クラスメイトと親睦を深めながら、規範意識をしっかりと持って過ごすことができました。学校行事全般へ自発的、積極的に取り組んでおり、たいへん立派です。今年度から新設となった福祉委員会として、休み時間も使ってたくさんのベルマークを集計してくれました。体育祭では、自チームの勝利のため常に真剣に練習に取り組み、チームワークを深めて、万全の状態で本番に臨むことができました。特に台風の目では、７年生をしっかりとリードし指導する姿が素晴らしかったです。乗鞍キャンプでは、二日間の仲間との共同生活を通して絆を深め、持続可能な社会の在り方について学んできました。樹上アスレチック、初めは怖がっていましたが、よく頑張りましたね。学習面では、稽古事に熱心に取り組みつつも、日々の授業や宿題にしっかりと取り組んでおり、高い学力を維持しています。毎日１時間の自主勉強を続けているようで、感心しています。今後も両立させていき、志望する進路に必要な学力を付けていきましょう。</t>
    <phoneticPr fontId="1"/>
  </si>
  <si>
    <t>毎日明るく、クラスメイトと親睦を深めながら、規範意識をしっかりと持って過ごすことができました。新しいクラス編成となりましたが、積極的にコミュニケーションを取って交友関係を広めています。体育祭では、自分の関わる競技の練習に真剣に取り組むとともに、実行委員として、白組応援団に所属しました。全校生徒への指導のために、いち早く複雑な演舞を覚え、大きな声で応援する姿は本当に立派でした。来年度の体育祭での活躍も、期待しています。乗鞍キャンプでは、二日間の仲間との共同生活を通して絆を深め、持続可能な社会の在り方について学んできました。若干ホームシック気味な様子も見られましたが、弱音を吐くことなく活動に取り組み、時間意識をしっかりと持って過ごすことができました。学習面では、日々の授業や宿題にしっかりと取り組んでいます。苦手な数学や英語を、いかに克服していくかが課題です。分からないところを先生に聞いたり問題演習を増やしたりして、さらに積極的に克服していきましょう。</t>
    <phoneticPr fontId="1"/>
  </si>
  <si>
    <t>毎日明るく、クラスメイトと親睦を深めながら、規範意識をしっかりと持って過ごすことができました。体育祭では、８学年白組のキャプテンとして、チームを勝利に導くため全力を尽くしました。台風の目においては、初期は負けが込む状況が続いていましたが、決して投げ出さずに落ち着いて『勝つためには何が必要か』を練って指導を続け、最終的には安定して勝利し続ける状態にまでチームを引っ張ることができました。また、実行委員の白組応援団としても活動し、複雑な演舞をいち早く覚えて、立派に職務を全うしました。今回の経験を、今後も様々な場面で活かしていってほしいと思います。乗鞍キャンプでは、二日間の仲間との共同生活を通して絆を深め、持続可能な社会の在り方について学んできました。学習面では、日々の授業や宿題、自主学習にたいへん積極的に取り組み、優秀な成績を修めています。教材をデータ化してまとめたり、ワーク類を何周もしたりといった工夫が素晴らしいです。今後も頑張って取り組んで、更に高い学力を身に付けていきましょう。</t>
    <phoneticPr fontId="1"/>
  </si>
  <si>
    <t>毎日明るく、クラスメイトと親睦を深めながら、規範意識をしっかりと持って過ごすことができました。体育祭では、運動神経には自信の無い花さんでしたが、８年生という立場を意識して、自チームの勝利のため常に真剣に練習に取り組み、チームワークを深め、立派な走りを見せることができました。よく頑張りましたね。乗鞍キャンプでは、二日間の仲間との共同生活を通して絆を深め、持続可能な社会の在り方について学んできました。怖がっていた樹上アスレチックでも、仲間と声を掛け合いながら、一生懸命にコースを制覇することができました。生活面では、準備や行動に時間のかかる場面が見受けられましたので、今後の課題としていきましょう。学習面では、日々の授業や宿題、自主学習にたいへん積極的に取り組み、元々優秀な学力を有していますが、期末試験では更なる頑張りを見せ、素晴らしい好成績を残すことができました。習い事や外部での研修など、様々な経験を積極的に積みつつ、落ち着いた学校生活とも両立しており立派ですね。今後もこの調子で頑張りましょう。</t>
    <phoneticPr fontId="1"/>
  </si>
  <si>
    <t>毎日元気に、クラスメイトと親睦を深めながら過ごすことができました。自チームの勝利のため常に真剣に練習に取り組み、チームワークを深めて、万全の状態で本番に臨むことができました。乗鞍キャンプでは、二日間の仲間との共同生活を通して絆を深め、持続可能な社会の在り方について学んできました。朝起きて準備を整えたり、規範を守って集団行動を送ったりといった面でも、落ち着いた二日間を送ることができており感心しました。学習面では、４月当初は提出率や勉強への目的意識に課題が見られましたが、現在では、学生としての本分を全うしようと努力する様子が見受けられます。成長しましたね。結果としても、少しずつ表れてきていますので、今後もこの調子で頑張りましょう。生活面では、かなり改善しましたが、整理整頓、書類管理は引き続き課題の一つです。少なくとも、提出が必須の重要なお便りは、必ず保護者の方に渡すように心掛けましょう。先生方からの指導を真摯に受け止めて改善に務められるところは、啓翔くんの長所です。今後も一つひとつ、成長を重ねていきましょう。</t>
    <phoneticPr fontId="1"/>
  </si>
  <si>
    <t xml:space="preserve"> 出席日数（自動計算）</t>
    <phoneticPr fontId="1"/>
  </si>
  <si>
    <t xml:space="preserve"> 欠席日数</t>
    <phoneticPr fontId="1"/>
  </si>
  <si>
    <t>忌引３（祖母葬儀のため３）、欠席１（家事都合１）</t>
    <rPh sb="0" eb="2">
      <t>キビ</t>
    </rPh>
    <rPh sb="4" eb="6">
      <t>ソボ</t>
    </rPh>
    <rPh sb="6" eb="8">
      <t>ソウギ</t>
    </rPh>
    <rPh sb="14" eb="16">
      <t>ケッセキ</t>
    </rPh>
    <rPh sb="18" eb="22">
      <t>カジツゴウ</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</si>
</sst>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u/>
      <sz val="11"/>
      <color indexed="12"/>
      <name val="ＭＳ Ｐゴシック"/>
      <family val="3"/>
      <charset val="128"/>
    </font>
    <font>
      <sz val="11"/>
      <name val="ＭＳ 明朝"/>
      <family val="1"/>
      <charset val="128"/>
    </font>
    <font>
      <b/>
      <sz val="12"/>
      <color theme="0"/>
      <name val="ＭＳ Ｐ明朝"/>
      <family val="1"/>
      <charset val="128"/>
    </font>
    <font>
      <i/>
      <sz val="11"/>
      <color rgb="FF7F7F7F"/>
      <name val="ＭＳ Ｐゴシック"/>
      <family val="2"/>
      <charset val="128"/>
      <scheme val="minor"/>
    </font>
  </fonts>
  <fills count="15">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
      <patternFill patternType="solid">
        <fgColor indexed="42"/>
        <bgColor indexed="64"/>
      </patternFill>
    </fill>
    <fill>
      <patternFill patternType="solid">
        <fgColor theme="7" tint="0.59999389629810485"/>
        <bgColor indexed="64"/>
      </patternFill>
    </fill>
  </fills>
  <borders count="51">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
      <left style="hair">
        <color indexed="64"/>
      </left>
      <right style="thin">
        <color indexed="64"/>
      </right>
      <top style="thin">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right style="hair">
        <color indexed="64"/>
      </right>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alignment vertical="center"/>
    </xf>
  </cellStyleXfs>
  <cellXfs count="210">
    <xf numFmtId="0" fontId="0" fillId="0" borderId="0" xfId="0">
      <alignment vertical="center"/>
    </xf>
    <xf numFmtId="0" fontId="3" fillId="0" borderId="1" xfId="0" applyFont="1" applyFill="1" applyBorder="1" applyAlignment="1">
      <alignment horizontal="righ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9" xfId="0" applyFont="1" applyFill="1" applyBorder="1" applyAlignment="1">
      <alignment horizontal="center" vertical="center"/>
    </xf>
    <xf numFmtId="0" fontId="3" fillId="0" borderId="10"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shrinkToFit="1"/>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7" fillId="2" borderId="11" xfId="0" applyNumberFormat="1" applyFont="1" applyFill="1" applyBorder="1" applyAlignment="1">
      <alignment horizontal="center" vertical="center" wrapText="1"/>
    </xf>
    <xf numFmtId="0" fontId="7" fillId="2" borderId="11" xfId="0" applyFont="1" applyFill="1" applyBorder="1" applyAlignment="1">
      <alignment horizontal="center" vertical="center"/>
    </xf>
    <xf numFmtId="0" fontId="6" fillId="2" borderId="11" xfId="0" applyFont="1" applyFill="1" applyBorder="1" applyAlignment="1">
      <alignment horizontal="center" vertical="center" wrapText="1"/>
    </xf>
    <xf numFmtId="0" fontId="3" fillId="3" borderId="11" xfId="0" applyFont="1" applyFill="1" applyBorder="1" applyAlignment="1">
      <alignment vertical="top" textRotation="255"/>
    </xf>
    <xf numFmtId="0" fontId="3" fillId="0" borderId="0" xfId="0" applyFont="1" applyFill="1" applyAlignment="1">
      <alignment vertical="center" textRotation="255"/>
    </xf>
    <xf numFmtId="0" fontId="3" fillId="3" borderId="11" xfId="0" applyFont="1" applyFill="1" applyBorder="1" applyAlignment="1">
      <alignment horizontal="center" vertical="center"/>
    </xf>
    <xf numFmtId="0" fontId="2" fillId="0" borderId="11" xfId="0" applyFont="1" applyFill="1" applyBorder="1" applyAlignment="1" applyProtection="1">
      <alignment horizontal="center" vertical="center"/>
      <protection locked="0"/>
    </xf>
    <xf numFmtId="0" fontId="8" fillId="0" borderId="0" xfId="0" applyFont="1" applyFill="1">
      <alignment vertical="center"/>
    </xf>
    <xf numFmtId="0" fontId="3" fillId="3" borderId="11" xfId="0" applyFont="1" applyFill="1" applyBorder="1" applyAlignment="1">
      <alignment horizontal="left" vertical="center" wrapText="1"/>
    </xf>
    <xf numFmtId="0" fontId="3" fillId="0" borderId="23" xfId="0" applyFont="1" applyFill="1" applyBorder="1" applyAlignment="1">
      <alignment horizontal="left" vertical="center" wrapText="1"/>
    </xf>
    <xf numFmtId="0" fontId="3" fillId="5" borderId="11" xfId="0" applyFont="1" applyFill="1" applyBorder="1" applyAlignment="1">
      <alignment horizontal="center" vertical="center" wrapText="1"/>
    </xf>
    <xf numFmtId="0" fontId="2" fillId="3" borderId="11" xfId="0" applyFont="1" applyFill="1" applyBorder="1" applyAlignment="1" applyProtection="1">
      <alignment vertical="center"/>
      <protection locked="0"/>
    </xf>
    <xf numFmtId="0" fontId="3" fillId="0" borderId="0" xfId="0" applyFont="1" applyFill="1" applyAlignment="1">
      <alignment horizontal="center" vertical="center"/>
    </xf>
    <xf numFmtId="0" fontId="3" fillId="5" borderId="11" xfId="0" applyNumberFormat="1" applyFont="1" applyFill="1" applyBorder="1" applyAlignment="1">
      <alignment horizontal="center" vertical="center" wrapText="1"/>
    </xf>
    <xf numFmtId="0" fontId="3" fillId="0" borderId="11" xfId="0" applyNumberFormat="1" applyFont="1" applyFill="1" applyBorder="1" applyAlignment="1" applyProtection="1">
      <alignment horizontal="left" vertical="center" wrapText="1"/>
      <protection locked="0"/>
    </xf>
    <xf numFmtId="0" fontId="10" fillId="6" borderId="11"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3" fillId="6" borderId="11" xfId="0" applyFont="1" applyFill="1" applyBorder="1" applyAlignment="1">
      <alignment horizontal="center" vertical="center" wrapText="1"/>
    </xf>
    <xf numFmtId="0" fontId="3" fillId="3" borderId="11" xfId="0" applyFont="1" applyFill="1" applyBorder="1" applyAlignment="1" applyProtection="1">
      <alignment vertical="center"/>
      <protection locked="0"/>
    </xf>
    <xf numFmtId="0" fontId="11" fillId="11" borderId="38" xfId="0" applyFont="1" applyFill="1" applyBorder="1" applyAlignment="1">
      <alignment horizontal="center" vertical="center"/>
    </xf>
    <xf numFmtId="0" fontId="12" fillId="10" borderId="3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2" xfId="0" applyFont="1" applyFill="1" applyBorder="1" applyAlignment="1">
      <alignment vertical="center"/>
    </xf>
    <xf numFmtId="0" fontId="3" fillId="0" borderId="9"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1" xfId="0" applyFont="1" applyFill="1" applyBorder="1" applyAlignment="1">
      <alignment horizontal="left" vertical="top" wrapText="1"/>
    </xf>
    <xf numFmtId="0" fontId="3" fillId="0" borderId="13" xfId="0" applyFont="1" applyFill="1" applyBorder="1" applyAlignment="1">
      <alignment vertical="center" textRotation="255"/>
    </xf>
    <xf numFmtId="0" fontId="5" fillId="0" borderId="41" xfId="0" applyFont="1" applyFill="1" applyBorder="1" applyAlignment="1">
      <alignment horizontal="center" vertical="center"/>
    </xf>
    <xf numFmtId="0" fontId="3" fillId="0" borderId="33" xfId="0" applyFont="1" applyFill="1" applyBorder="1" applyAlignment="1">
      <alignment horizontal="left" vertical="top" wrapText="1"/>
    </xf>
    <xf numFmtId="0" fontId="3" fillId="0" borderId="0" xfId="0" applyFont="1" applyFill="1" applyAlignment="1">
      <alignment horizontal="left" vertical="top" wrapText="1"/>
    </xf>
    <xf numFmtId="0" fontId="3" fillId="0" borderId="23" xfId="0" applyFont="1" applyFill="1" applyBorder="1">
      <alignment vertical="center"/>
    </xf>
    <xf numFmtId="0" fontId="2" fillId="0" borderId="0" xfId="0" applyFont="1" applyFill="1" applyBorder="1" applyAlignment="1">
      <alignment horizontal="left" vertical="center" indent="1"/>
    </xf>
    <xf numFmtId="0" fontId="8" fillId="0" borderId="0" xfId="0" applyFont="1" applyFill="1" applyProtection="1">
      <alignment vertical="center"/>
      <protection locked="0"/>
    </xf>
    <xf numFmtId="0" fontId="3" fillId="3" borderId="11" xfId="0" applyFont="1" applyFill="1" applyBorder="1" applyAlignment="1" applyProtection="1">
      <alignment vertical="center"/>
    </xf>
    <xf numFmtId="0" fontId="3" fillId="0" borderId="22" xfId="0" applyFont="1" applyBorder="1" applyAlignment="1" applyProtection="1">
      <alignment horizontal="left" vertical="center" shrinkToFit="1"/>
      <protection locked="0"/>
    </xf>
    <xf numFmtId="0" fontId="5" fillId="0" borderId="2" xfId="0" applyFont="1" applyFill="1" applyBorder="1" applyAlignment="1">
      <alignment horizontal="center" vertical="center"/>
    </xf>
    <xf numFmtId="0" fontId="5"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0" xfId="0" applyFont="1" applyFill="1" applyAlignment="1">
      <alignment horizontal="left" vertical="center" wrapText="1"/>
    </xf>
    <xf numFmtId="0" fontId="15" fillId="0" borderId="7" xfId="0" applyFont="1" applyFill="1" applyBorder="1" applyAlignment="1">
      <alignment horizontal="center" vertical="center" textRotation="255"/>
    </xf>
    <xf numFmtId="0" fontId="3" fillId="0" borderId="1" xfId="0" applyFont="1" applyFill="1" applyBorder="1">
      <alignment vertical="center"/>
    </xf>
    <xf numFmtId="0" fontId="3" fillId="0" borderId="42" xfId="0" applyFont="1" applyFill="1" applyBorder="1" applyAlignment="1">
      <alignment horizontal="center" vertical="center"/>
    </xf>
    <xf numFmtId="0" fontId="3" fillId="0" borderId="26" xfId="0" applyFont="1" applyFill="1" applyBorder="1">
      <alignment vertical="center"/>
    </xf>
    <xf numFmtId="0" fontId="4" fillId="0" borderId="36" xfId="0" applyFont="1" applyBorder="1" applyAlignment="1">
      <alignment vertical="center" wrapText="1" shrinkToFit="1"/>
    </xf>
    <xf numFmtId="0" fontId="3" fillId="0" borderId="4" xfId="0" applyFont="1" applyFill="1" applyBorder="1" applyAlignment="1">
      <alignment horizontal="center" vertical="center"/>
    </xf>
    <xf numFmtId="0" fontId="4" fillId="0" borderId="1" xfId="0" applyFont="1" applyFill="1" applyBorder="1" applyAlignment="1">
      <alignment horizontal="left" vertical="top"/>
    </xf>
    <xf numFmtId="0" fontId="4" fillId="0" borderId="26" xfId="0" applyFont="1" applyBorder="1" applyAlignment="1">
      <alignment vertical="center" wrapText="1" shrinkToFit="1"/>
    </xf>
    <xf numFmtId="0" fontId="4" fillId="0" borderId="26" xfId="0" applyFont="1" applyBorder="1" applyAlignment="1">
      <alignment vertical="center" shrinkToFit="1"/>
    </xf>
    <xf numFmtId="0" fontId="3" fillId="0" borderId="22" xfId="0" applyFont="1" applyBorder="1" applyProtection="1">
      <alignment vertical="center"/>
      <protection locked="0"/>
    </xf>
    <xf numFmtId="0" fontId="3" fillId="3" borderId="35" xfId="0" applyFont="1" applyFill="1" applyBorder="1" applyAlignment="1">
      <alignment horizontal="center" vertical="center"/>
    </xf>
    <xf numFmtId="0" fontId="3" fillId="0" borderId="11" xfId="0" applyFont="1" applyFill="1" applyBorder="1" applyAlignment="1">
      <alignment horizontal="right" vertical="center"/>
    </xf>
    <xf numFmtId="0" fontId="16" fillId="0" borderId="0" xfId="0" applyFont="1" applyFill="1" applyBorder="1" applyAlignment="1">
      <alignment vertical="top" wrapText="1" shrinkToFit="1"/>
    </xf>
    <xf numFmtId="0" fontId="3" fillId="12" borderId="11" xfId="0" applyFont="1" applyFill="1" applyBorder="1" applyAlignment="1">
      <alignment horizontal="center" vertical="center" wrapText="1"/>
    </xf>
    <xf numFmtId="0" fontId="3" fillId="0" borderId="22" xfId="0" applyFont="1" applyBorder="1" applyAlignment="1" applyProtection="1">
      <alignment vertical="center" shrinkToFit="1"/>
      <protection locked="0"/>
    </xf>
    <xf numFmtId="0" fontId="2" fillId="0" borderId="11" xfId="0" applyFont="1" applyBorder="1" applyAlignment="1" applyProtection="1">
      <alignment horizontal="center" vertical="center"/>
      <protection locked="0"/>
    </xf>
    <xf numFmtId="0" fontId="3" fillId="0" borderId="0" xfId="0" applyFont="1" applyAlignment="1">
      <alignment vertical="center" textRotation="255"/>
    </xf>
    <xf numFmtId="0" fontId="3" fillId="0" borderId="0" xfId="0" applyFont="1">
      <alignment vertical="center"/>
    </xf>
    <xf numFmtId="0" fontId="8" fillId="0" borderId="0" xfId="0" applyFont="1">
      <alignment vertical="center"/>
    </xf>
    <xf numFmtId="0" fontId="3" fillId="0" borderId="11" xfId="0" applyFont="1" applyBorder="1" applyAlignment="1" applyProtection="1">
      <alignment horizontal="left" vertical="center" shrinkToFit="1"/>
      <protection locked="0"/>
    </xf>
    <xf numFmtId="0" fontId="3" fillId="0" borderId="23" xfId="0" applyFont="1" applyBorder="1" applyAlignment="1">
      <alignment horizontal="left" vertical="center" wrapText="1"/>
    </xf>
    <xf numFmtId="0" fontId="3" fillId="14" borderId="11" xfId="0" applyFont="1" applyFill="1" applyBorder="1" applyAlignment="1">
      <alignment horizontal="center" vertical="center"/>
    </xf>
    <xf numFmtId="0" fontId="7" fillId="2" borderId="11" xfId="0" applyFont="1" applyFill="1" applyBorder="1" applyAlignment="1">
      <alignment horizontal="center" vertical="center" wrapText="1"/>
    </xf>
    <xf numFmtId="0" fontId="2" fillId="3" borderId="11" xfId="0" applyFont="1" applyFill="1" applyBorder="1" applyProtection="1">
      <alignment vertical="center"/>
      <protection locked="0"/>
    </xf>
    <xf numFmtId="0" fontId="3" fillId="3" borderId="11" xfId="0" applyFont="1" applyFill="1" applyBorder="1" applyAlignment="1">
      <alignment vertical="top" textRotation="255" shrinkToFit="1"/>
    </xf>
    <xf numFmtId="0" fontId="2" fillId="0" borderId="11" xfId="0" applyFont="1" applyBorder="1" applyProtection="1">
      <alignment vertical="center"/>
      <protection locked="0"/>
    </xf>
    <xf numFmtId="0" fontId="2" fillId="0" borderId="11" xfId="0" applyFont="1" applyFill="1" applyBorder="1" applyProtection="1">
      <alignment vertical="center"/>
      <protection locked="0"/>
    </xf>
    <xf numFmtId="0" fontId="2" fillId="7" borderId="11" xfId="0" applyFont="1" applyFill="1" applyBorder="1">
      <alignment vertical="center"/>
    </xf>
    <xf numFmtId="0" fontId="3" fillId="0" borderId="32" xfId="0" applyFont="1" applyFill="1" applyBorder="1" applyAlignment="1">
      <alignment horizontal="left" vertical="top" wrapText="1"/>
    </xf>
    <xf numFmtId="0" fontId="3" fillId="0" borderId="23" xfId="0" applyFont="1" applyFill="1" applyBorder="1" applyAlignment="1">
      <alignment horizontal="left" vertical="top" wrapText="1"/>
    </xf>
    <xf numFmtId="0" fontId="3" fillId="0" borderId="24" xfId="0" applyFont="1" applyFill="1" applyBorder="1" applyAlignment="1">
      <alignment horizontal="left" vertical="top" wrapText="1"/>
    </xf>
    <xf numFmtId="0" fontId="12" fillId="10" borderId="39" xfId="0" applyFont="1" applyFill="1" applyBorder="1" applyAlignment="1">
      <alignment horizontal="center" vertical="center"/>
    </xf>
    <xf numFmtId="0" fontId="12" fillId="10" borderId="40" xfId="0" applyFont="1" applyFill="1" applyBorder="1" applyAlignment="1">
      <alignment horizontal="center" vertical="center"/>
    </xf>
    <xf numFmtId="0" fontId="3" fillId="0" borderId="20" xfId="0" applyFont="1" applyFill="1" applyBorder="1" applyAlignment="1">
      <alignment horizontal="left" vertical="center"/>
    </xf>
    <xf numFmtId="0" fontId="3" fillId="0" borderId="5" xfId="0" applyFont="1" applyFill="1" applyBorder="1" applyAlignment="1">
      <alignment horizontal="left" vertical="center"/>
    </xf>
    <xf numFmtId="0" fontId="15" fillId="0" borderId="12" xfId="0" applyFont="1" applyFill="1" applyBorder="1" applyAlignment="1">
      <alignment horizontal="center" vertical="center" wrapText="1" shrinkToFit="1"/>
    </xf>
    <xf numFmtId="0" fontId="15" fillId="0" borderId="13" xfId="0" applyFont="1" applyFill="1" applyBorder="1" applyAlignment="1">
      <alignment horizontal="center" vertical="center" wrapText="1" shrinkToFit="1"/>
    </xf>
    <xf numFmtId="0" fontId="15" fillId="0" borderId="14" xfId="0" applyFont="1" applyFill="1" applyBorder="1" applyAlignment="1">
      <alignment horizontal="center" vertical="center" wrapText="1" shrinkToFit="1"/>
    </xf>
    <xf numFmtId="0" fontId="3" fillId="0" borderId="2" xfId="0" applyFont="1" applyFill="1" applyBorder="1" applyAlignment="1">
      <alignment horizontal="left" vertical="top" wrapText="1" shrinkToFit="1"/>
    </xf>
    <xf numFmtId="0" fontId="3" fillId="0" borderId="25" xfId="0" applyFont="1" applyFill="1" applyBorder="1" applyAlignment="1">
      <alignment horizontal="left" vertical="top" wrapText="1" shrinkToFit="1"/>
    </xf>
    <xf numFmtId="0" fontId="3" fillId="0" borderId="0" xfId="0" applyFont="1" applyFill="1" applyBorder="1" applyAlignment="1">
      <alignment horizontal="left" vertical="top" wrapText="1" shrinkToFit="1"/>
    </xf>
    <xf numFmtId="0" fontId="3" fillId="0" borderId="26" xfId="0" applyFont="1" applyFill="1" applyBorder="1" applyAlignment="1">
      <alignment horizontal="left" vertical="top" wrapText="1" shrinkToFit="1"/>
    </xf>
    <xf numFmtId="0" fontId="3" fillId="0" borderId="1" xfId="0" applyFont="1" applyFill="1" applyBorder="1" applyAlignment="1">
      <alignment horizontal="left" vertical="top" wrapText="1" shrinkToFit="1"/>
    </xf>
    <xf numFmtId="0" fontId="3" fillId="0" borderId="30" xfId="0" applyFont="1" applyFill="1" applyBorder="1" applyAlignment="1">
      <alignment horizontal="left" vertical="top" wrapText="1" shrinkToFit="1"/>
    </xf>
    <xf numFmtId="0" fontId="15" fillId="0" borderId="12" xfId="0" applyFont="1" applyFill="1" applyBorder="1" applyAlignment="1">
      <alignment horizontal="center" vertical="center" textRotation="255"/>
    </xf>
    <xf numFmtId="0" fontId="15" fillId="0" borderId="13" xfId="0" applyFont="1" applyFill="1" applyBorder="1" applyAlignment="1">
      <alignment horizontal="center" vertical="center" textRotation="255"/>
    </xf>
    <xf numFmtId="0" fontId="15" fillId="0" borderId="14" xfId="0" applyFont="1" applyFill="1" applyBorder="1" applyAlignment="1">
      <alignment horizontal="center" vertical="center" textRotation="255"/>
    </xf>
    <xf numFmtId="0" fontId="3" fillId="0" borderId="2" xfId="0" applyFont="1" applyBorder="1" applyAlignment="1">
      <alignment horizontal="left" vertical="top" wrapText="1"/>
    </xf>
    <xf numFmtId="0" fontId="3" fillId="0" borderId="25" xfId="0" applyFont="1" applyBorder="1" applyAlignment="1">
      <alignment horizontal="left" vertical="top" wrapText="1"/>
    </xf>
    <xf numFmtId="0" fontId="3" fillId="0" borderId="0" xfId="0" applyFont="1" applyBorder="1" applyAlignment="1">
      <alignment horizontal="left" vertical="top" wrapText="1"/>
    </xf>
    <xf numFmtId="0" fontId="3" fillId="0" borderId="26" xfId="0" applyFont="1" applyBorder="1" applyAlignment="1">
      <alignment horizontal="left" vertical="top" wrapText="1"/>
    </xf>
    <xf numFmtId="0" fontId="3" fillId="0" borderId="1" xfId="0" applyFont="1" applyBorder="1" applyAlignment="1">
      <alignment horizontal="left" vertical="top" wrapText="1"/>
    </xf>
    <xf numFmtId="0" fontId="3" fillId="0" borderId="30" xfId="0" applyFont="1" applyBorder="1" applyAlignment="1">
      <alignment horizontal="left" vertical="top" wrapText="1"/>
    </xf>
    <xf numFmtId="0" fontId="3" fillId="0" borderId="43" xfId="0" applyFont="1" applyFill="1" applyBorder="1" applyAlignment="1">
      <alignment horizontal="center" vertical="center" textRotation="255" wrapText="1"/>
    </xf>
    <xf numFmtId="0" fontId="3" fillId="0" borderId="46" xfId="0" applyFont="1" applyFill="1" applyBorder="1" applyAlignment="1">
      <alignment horizontal="center" vertical="center" textRotation="255" wrapText="1"/>
    </xf>
    <xf numFmtId="0" fontId="3" fillId="0" borderId="47" xfId="0" applyFont="1" applyFill="1" applyBorder="1" applyAlignment="1">
      <alignment horizontal="center" vertical="center" textRotation="255" wrapText="1"/>
    </xf>
    <xf numFmtId="0" fontId="3" fillId="0" borderId="44" xfId="0" applyFont="1" applyFill="1" applyBorder="1" applyAlignment="1">
      <alignment horizontal="left" vertical="top" wrapText="1"/>
    </xf>
    <xf numFmtId="0" fontId="3" fillId="0" borderId="45" xfId="0" applyFont="1" applyFill="1" applyBorder="1" applyAlignment="1">
      <alignment horizontal="left" vertical="top" wrapText="1"/>
    </xf>
    <xf numFmtId="0" fontId="3" fillId="0" borderId="41" xfId="0" applyFont="1" applyFill="1" applyBorder="1" applyAlignment="1">
      <alignment horizontal="left" vertical="top" wrapText="1"/>
    </xf>
    <xf numFmtId="0" fontId="3" fillId="0" borderId="33" xfId="0" applyFont="1" applyFill="1" applyBorder="1" applyAlignment="1">
      <alignment horizontal="left" vertical="top" wrapText="1"/>
    </xf>
    <xf numFmtId="0" fontId="3" fillId="0" borderId="48" xfId="0" applyFont="1" applyFill="1" applyBorder="1" applyAlignment="1">
      <alignment horizontal="left" vertical="top" wrapText="1"/>
    </xf>
    <xf numFmtId="0" fontId="3" fillId="0" borderId="49" xfId="0" applyFont="1" applyFill="1" applyBorder="1" applyAlignment="1">
      <alignment horizontal="left" vertical="top" wrapText="1"/>
    </xf>
    <xf numFmtId="0" fontId="3" fillId="0" borderId="20" xfId="0" applyFont="1" applyBorder="1" applyAlignment="1">
      <alignment horizontal="left" vertical="center" shrinkToFit="1"/>
    </xf>
    <xf numFmtId="0" fontId="3" fillId="0" borderId="5" xfId="0" applyFont="1" applyBorder="1" applyAlignment="1">
      <alignment horizontal="left" vertical="center" shrinkToFit="1"/>
    </xf>
    <xf numFmtId="0" fontId="3" fillId="0" borderId="29" xfId="0" applyFont="1" applyBorder="1" applyAlignment="1">
      <alignment horizontal="left" vertical="center" shrinkToFit="1"/>
    </xf>
    <xf numFmtId="0" fontId="3" fillId="0" borderId="6" xfId="0" applyFont="1" applyBorder="1" applyAlignment="1">
      <alignment horizontal="left" vertical="center" shrinkToFit="1"/>
    </xf>
    <xf numFmtId="0" fontId="3" fillId="0" borderId="32" xfId="0" applyFont="1" applyFill="1" applyBorder="1" applyAlignment="1">
      <alignment horizontal="left" vertical="top" wrapText="1" shrinkToFit="1"/>
    </xf>
    <xf numFmtId="0" fontId="3" fillId="0" borderId="23" xfId="0" applyFont="1" applyFill="1" applyBorder="1" applyAlignment="1">
      <alignment horizontal="left" vertical="top" wrapText="1" shrinkToFit="1"/>
    </xf>
    <xf numFmtId="0" fontId="3" fillId="0" borderId="24" xfId="0" applyFont="1" applyFill="1" applyBorder="1" applyAlignment="1">
      <alignment horizontal="left" vertical="top" wrapText="1" shrinkToFit="1"/>
    </xf>
    <xf numFmtId="0" fontId="4" fillId="0" borderId="0" xfId="0" applyFont="1" applyFill="1" applyBorder="1" applyAlignment="1">
      <alignment horizontal="right"/>
    </xf>
    <xf numFmtId="0" fontId="15" fillId="0" borderId="12" xfId="0" applyFont="1" applyFill="1" applyBorder="1" applyAlignment="1">
      <alignment horizontal="center" vertical="center" textRotation="255" wrapText="1"/>
    </xf>
    <xf numFmtId="0" fontId="15" fillId="0" borderId="13" xfId="0" applyFont="1" applyFill="1" applyBorder="1" applyAlignment="1">
      <alignment horizontal="center" vertical="center" textRotation="255" wrapText="1"/>
    </xf>
    <xf numFmtId="0" fontId="15" fillId="0" borderId="14" xfId="0" applyFont="1" applyFill="1" applyBorder="1" applyAlignment="1">
      <alignment horizontal="center" vertical="center" textRotation="255" wrapText="1"/>
    </xf>
    <xf numFmtId="0" fontId="3" fillId="0" borderId="17" xfId="0" applyFont="1" applyBorder="1" applyAlignment="1">
      <alignment horizontal="left" vertical="center" shrinkToFit="1"/>
    </xf>
    <xf numFmtId="0" fontId="3" fillId="0" borderId="21" xfId="0" applyFont="1" applyBorder="1" applyAlignment="1">
      <alignment horizontal="left" vertical="center" shrinkToFit="1"/>
    </xf>
    <xf numFmtId="0" fontId="3" fillId="0" borderId="17" xfId="0" applyFont="1" applyFill="1" applyBorder="1" applyAlignment="1">
      <alignment horizontal="left" vertical="center"/>
    </xf>
    <xf numFmtId="0" fontId="3" fillId="0" borderId="21" xfId="0" applyFont="1" applyFill="1" applyBorder="1" applyAlignment="1">
      <alignment horizontal="left" vertical="center"/>
    </xf>
    <xf numFmtId="0" fontId="3" fillId="0" borderId="19" xfId="0" applyFont="1" applyFill="1" applyBorder="1" applyAlignment="1">
      <alignment horizontal="left" vertical="center" shrinkToFit="1"/>
    </xf>
    <xf numFmtId="0" fontId="3" fillId="0" borderId="20" xfId="0" applyFont="1" applyFill="1" applyBorder="1" applyAlignment="1">
      <alignment horizontal="left" vertical="center" shrinkToFit="1"/>
    </xf>
    <xf numFmtId="0" fontId="3" fillId="0" borderId="15" xfId="0" applyFont="1" applyFill="1" applyBorder="1" applyAlignment="1">
      <alignment horizontal="left" vertical="center" shrinkToFit="1"/>
    </xf>
    <xf numFmtId="0" fontId="3" fillId="0" borderId="16" xfId="0" applyFont="1" applyFill="1" applyBorder="1" applyAlignment="1">
      <alignment horizontal="left" vertical="center" shrinkToFit="1"/>
    </xf>
    <xf numFmtId="0" fontId="3" fillId="0" borderId="17" xfId="0" applyFont="1" applyFill="1" applyBorder="1" applyAlignment="1">
      <alignment horizontal="left" vertical="center" shrinkToFit="1"/>
    </xf>
    <xf numFmtId="0" fontId="5" fillId="0" borderId="2" xfId="0" applyFont="1" applyFill="1" applyBorder="1" applyAlignment="1">
      <alignment horizontal="center" vertical="center"/>
    </xf>
    <xf numFmtId="0" fontId="5" fillId="0" borderId="25"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0" xfId="0" applyFont="1" applyFill="1" applyBorder="1" applyAlignment="1">
      <alignment horizontal="center" vertical="center"/>
    </xf>
    <xf numFmtId="0" fontId="3" fillId="0" borderId="18" xfId="0" applyFont="1" applyFill="1" applyBorder="1" applyAlignment="1">
      <alignment horizontal="left" vertical="center" shrinkToFit="1"/>
    </xf>
    <xf numFmtId="0" fontId="3" fillId="0" borderId="27" xfId="0" applyFont="1" applyFill="1" applyBorder="1" applyAlignment="1">
      <alignment horizontal="left" vertical="center" shrinkToFit="1"/>
    </xf>
    <xf numFmtId="0" fontId="3" fillId="0" borderId="28" xfId="0" applyFont="1" applyFill="1" applyBorder="1" applyAlignment="1">
      <alignment horizontal="left" vertical="center" shrinkToFit="1"/>
    </xf>
    <xf numFmtId="0" fontId="3" fillId="0" borderId="29" xfId="0" applyFont="1" applyFill="1" applyBorder="1" applyAlignment="1">
      <alignment horizontal="left" vertical="center" shrinkToFit="1"/>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3" fillId="0" borderId="24"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34"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8" xfId="0" applyFont="1" applyFill="1" applyBorder="1" applyAlignment="1">
      <alignment horizontal="left" vertical="top" wrapText="1"/>
    </xf>
    <xf numFmtId="0" fontId="3" fillId="0" borderId="31" xfId="0" applyFont="1" applyFill="1" applyBorder="1" applyAlignment="1">
      <alignment horizontal="left" vertical="top" wrapText="1"/>
    </xf>
    <xf numFmtId="0" fontId="3" fillId="0" borderId="22" xfId="0" applyNumberFormat="1" applyFont="1" applyFill="1" applyBorder="1" applyAlignment="1" applyProtection="1">
      <alignment horizontal="left" vertical="center" wrapText="1"/>
      <protection locked="0"/>
    </xf>
    <xf numFmtId="0" fontId="3" fillId="0" borderId="23" xfId="0" applyNumberFormat="1" applyFont="1" applyFill="1" applyBorder="1" applyAlignment="1" applyProtection="1">
      <alignment horizontal="left" vertical="center" wrapText="1"/>
      <protection locked="0"/>
    </xf>
    <xf numFmtId="0" fontId="3" fillId="0" borderId="24" xfId="0" applyNumberFormat="1" applyFont="1" applyFill="1" applyBorder="1" applyAlignment="1" applyProtection="1">
      <alignment horizontal="left" vertical="center" wrapText="1"/>
      <protection locked="0"/>
    </xf>
    <xf numFmtId="0" fontId="6" fillId="4" borderId="35" xfId="0" applyFont="1" applyFill="1" applyBorder="1" applyAlignment="1">
      <alignment horizontal="left" vertical="center" wrapText="1"/>
    </xf>
    <xf numFmtId="0" fontId="6" fillId="4" borderId="36" xfId="0" applyFont="1" applyFill="1" applyBorder="1" applyAlignment="1">
      <alignment horizontal="left" vertical="center" wrapText="1"/>
    </xf>
    <xf numFmtId="0" fontId="6" fillId="4" borderId="50" xfId="0" applyFont="1" applyFill="1" applyBorder="1" applyAlignment="1">
      <alignment horizontal="left" vertical="center" wrapText="1"/>
    </xf>
    <xf numFmtId="0" fontId="3" fillId="5" borderId="22" xfId="0" applyNumberFormat="1" applyFont="1" applyFill="1" applyBorder="1" applyAlignment="1">
      <alignment horizontal="center" vertical="center" wrapText="1"/>
    </xf>
    <xf numFmtId="0" fontId="3" fillId="5" borderId="23" xfId="0" applyNumberFormat="1" applyFont="1" applyFill="1" applyBorder="1" applyAlignment="1">
      <alignment horizontal="center" vertical="center" wrapText="1"/>
    </xf>
    <xf numFmtId="0" fontId="3" fillId="5" borderId="24" xfId="0" applyNumberFormat="1" applyFont="1" applyFill="1" applyBorder="1" applyAlignment="1">
      <alignment horizontal="center" vertical="center" wrapText="1"/>
    </xf>
    <xf numFmtId="0" fontId="3" fillId="0" borderId="22" xfId="0" applyFont="1" applyBorder="1" applyAlignment="1" applyProtection="1">
      <alignment horizontal="left" vertical="center" wrapText="1"/>
      <protection locked="0"/>
    </xf>
    <xf numFmtId="0" fontId="3" fillId="0" borderId="23" xfId="0" applyFont="1" applyBorder="1" applyAlignment="1" applyProtection="1">
      <alignment horizontal="left" vertical="center" wrapText="1"/>
      <protection locked="0"/>
    </xf>
    <xf numFmtId="0" fontId="3" fillId="0" borderId="24" xfId="0" applyFont="1" applyBorder="1" applyAlignment="1" applyProtection="1">
      <alignment horizontal="left" vertical="center" wrapText="1"/>
      <protection locked="0"/>
    </xf>
    <xf numFmtId="0" fontId="3" fillId="5" borderId="22"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3" fillId="5" borderId="24" xfId="0" applyFont="1" applyFill="1" applyBorder="1" applyAlignment="1">
      <alignment horizontal="center" vertical="center" wrapText="1"/>
    </xf>
    <xf numFmtId="0" fontId="3" fillId="0" borderId="22" xfId="0" applyNumberFormat="1" applyFont="1" applyFill="1" applyBorder="1" applyAlignment="1" applyProtection="1">
      <alignment horizontal="left" vertical="top" wrapText="1"/>
      <protection locked="0"/>
    </xf>
    <xf numFmtId="0" fontId="3" fillId="0" borderId="23" xfId="0" applyNumberFormat="1" applyFont="1" applyFill="1" applyBorder="1" applyAlignment="1" applyProtection="1">
      <alignment horizontal="left" vertical="top" wrapText="1"/>
      <protection locked="0"/>
    </xf>
    <xf numFmtId="0" fontId="3" fillId="0" borderId="24" xfId="0" applyNumberFormat="1" applyFont="1" applyFill="1" applyBorder="1" applyAlignment="1" applyProtection="1">
      <alignment horizontal="left" vertical="top" wrapText="1"/>
      <protection locked="0"/>
    </xf>
    <xf numFmtId="0" fontId="3" fillId="0" borderId="22"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3" fillId="9" borderId="22" xfId="0" applyFont="1" applyFill="1" applyBorder="1" applyAlignment="1">
      <alignment horizontal="left" vertical="center"/>
    </xf>
    <xf numFmtId="0" fontId="3" fillId="9" borderId="23" xfId="0" applyFont="1" applyFill="1" applyBorder="1" applyAlignment="1">
      <alignment horizontal="left" vertical="center"/>
    </xf>
    <xf numFmtId="0" fontId="3" fillId="9" borderId="24" xfId="0" applyFont="1" applyFill="1" applyBorder="1" applyAlignment="1">
      <alignment horizontal="left" vertical="center"/>
    </xf>
    <xf numFmtId="0" fontId="3" fillId="13" borderId="22" xfId="0" applyFont="1" applyFill="1" applyBorder="1" applyAlignment="1">
      <alignment horizontal="left" vertical="center"/>
    </xf>
    <xf numFmtId="0" fontId="3" fillId="13" borderId="23" xfId="0" applyFont="1" applyFill="1" applyBorder="1" applyAlignment="1">
      <alignment horizontal="left" vertical="center"/>
    </xf>
    <xf numFmtId="0" fontId="3" fillId="13" borderId="24" xfId="0" applyFont="1" applyFill="1" applyBorder="1" applyAlignment="1">
      <alignment horizontal="left" vertical="center"/>
    </xf>
    <xf numFmtId="0" fontId="3" fillId="7" borderId="25" xfId="0" applyFont="1" applyFill="1" applyBorder="1" applyAlignment="1">
      <alignment horizontal="left" vertical="center" wrapText="1"/>
    </xf>
    <xf numFmtId="0" fontId="3" fillId="7" borderId="26" xfId="0" applyFont="1" applyFill="1" applyBorder="1" applyAlignment="1">
      <alignment horizontal="left" vertical="center" wrapText="1"/>
    </xf>
    <xf numFmtId="0" fontId="3" fillId="8" borderId="22" xfId="0" applyFont="1" applyFill="1" applyBorder="1" applyAlignment="1">
      <alignment horizontal="left" vertical="center" wrapText="1"/>
    </xf>
    <xf numFmtId="0" fontId="3" fillId="8" borderId="23" xfId="0" applyFont="1" applyFill="1" applyBorder="1" applyAlignment="1">
      <alignment horizontal="left" vertical="center" wrapText="1"/>
    </xf>
    <xf numFmtId="0" fontId="3" fillId="8" borderId="24" xfId="0" applyFont="1" applyFill="1" applyBorder="1" applyAlignment="1">
      <alignment horizontal="left" vertical="center" wrapText="1"/>
    </xf>
    <xf numFmtId="0" fontId="3" fillId="7" borderId="22" xfId="0" applyFont="1" applyFill="1" applyBorder="1" applyAlignment="1">
      <alignment horizontal="left" vertical="center"/>
    </xf>
    <xf numFmtId="0" fontId="3" fillId="7" borderId="23" xfId="0" applyFont="1" applyFill="1" applyBorder="1" applyAlignment="1">
      <alignment horizontal="left" vertical="center"/>
    </xf>
    <xf numFmtId="0" fontId="3" fillId="7" borderId="24" xfId="0" applyFont="1" applyFill="1" applyBorder="1" applyAlignment="1">
      <alignment horizontal="left" vertical="center"/>
    </xf>
    <xf numFmtId="0" fontId="3" fillId="7" borderId="11" xfId="0" applyFont="1" applyFill="1" applyBorder="1" applyAlignment="1">
      <alignment horizontal="left" vertical="center"/>
    </xf>
    <xf numFmtId="0" fontId="10" fillId="6" borderId="22" xfId="0" applyNumberFormat="1" applyFont="1" applyFill="1" applyBorder="1" applyAlignment="1">
      <alignment horizontal="center" vertical="center"/>
    </xf>
    <xf numFmtId="0" fontId="10" fillId="6" borderId="23" xfId="0" applyNumberFormat="1" applyFont="1" applyFill="1" applyBorder="1" applyAlignment="1">
      <alignment horizontal="center" vertical="center"/>
    </xf>
    <xf numFmtId="0" fontId="10" fillId="6" borderId="24" xfId="0" applyNumberFormat="1" applyFont="1" applyFill="1" applyBorder="1" applyAlignment="1">
      <alignment horizontal="center" vertical="center"/>
    </xf>
    <xf numFmtId="0" fontId="3" fillId="7" borderId="37" xfId="0" applyFont="1" applyFill="1" applyBorder="1" applyAlignment="1">
      <alignment horizontal="left" vertical="center"/>
    </xf>
    <xf numFmtId="0" fontId="3" fillId="7" borderId="2" xfId="0" applyFont="1" applyFill="1" applyBorder="1" applyAlignment="1">
      <alignment horizontal="left" vertical="center"/>
    </xf>
    <xf numFmtId="0" fontId="3" fillId="7" borderId="25" xfId="0" applyFont="1" applyFill="1" applyBorder="1" applyAlignment="1">
      <alignment horizontal="left" vertical="center"/>
    </xf>
  </cellXfs>
  <cellStyles count="1">
    <cellStyle name="標準" xfId="0" builtinId="0"/>
  </cellStyles>
  <dxfs count="26">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4</xdr:row>
          <xdr:rowOff>28575</xdr:rowOff>
        </xdr:from>
        <xdr:to>
          <xdr:col>17</xdr:col>
          <xdr:colOff>123825</xdr:colOff>
          <xdr:row>5</xdr:row>
          <xdr:rowOff>95250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10</xdr:row>
          <xdr:rowOff>76200</xdr:rowOff>
        </xdr:from>
        <xdr:to>
          <xdr:col>17</xdr:col>
          <xdr:colOff>161925</xdr:colOff>
          <xdr:row>11</xdr:row>
          <xdr:rowOff>152400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14</xdr:col>
      <xdr:colOff>581024</xdr:colOff>
      <xdr:row>0</xdr:row>
      <xdr:rowOff>114300</xdr:rowOff>
    </xdr:from>
    <xdr:to>
      <xdr:col>22</xdr:col>
      <xdr:colOff>600074</xdr:colOff>
      <xdr:row>3</xdr:row>
      <xdr:rowOff>95250</xdr:rowOff>
    </xdr:to>
    <xdr:sp macro="" textlink="">
      <xdr:nvSpPr>
        <xdr:cNvPr id="4" name="テキスト ボックス 3"/>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21</xdr:col>
      <xdr:colOff>104776</xdr:colOff>
      <xdr:row>5</xdr:row>
      <xdr:rowOff>66675</xdr:rowOff>
    </xdr:from>
    <xdr:to>
      <xdr:col>22</xdr:col>
      <xdr:colOff>561976</xdr:colOff>
      <xdr:row>7</xdr:row>
      <xdr:rowOff>114300</xdr:rowOff>
    </xdr:to>
    <xdr:sp macro="" textlink="">
      <xdr:nvSpPr>
        <xdr:cNvPr id="5" name="テキスト ボックス 4"/>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14</xdr:col>
          <xdr:colOff>571500</xdr:colOff>
          <xdr:row>12</xdr:row>
          <xdr:rowOff>47625</xdr:rowOff>
        </xdr:from>
        <xdr:to>
          <xdr:col>17</xdr:col>
          <xdr:colOff>161925</xdr:colOff>
          <xdr:row>13</xdr:row>
          <xdr:rowOff>123825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21</xdr:col>
      <xdr:colOff>104776</xdr:colOff>
      <xdr:row>5</xdr:row>
      <xdr:rowOff>66675</xdr:rowOff>
    </xdr:from>
    <xdr:to>
      <xdr:col>22</xdr:col>
      <xdr:colOff>561976</xdr:colOff>
      <xdr:row>7</xdr:row>
      <xdr:rowOff>114300</xdr:rowOff>
    </xdr:to>
    <xdr:sp macro="" textlink="">
      <xdr:nvSpPr>
        <xdr:cNvPr id="7" name="テキスト ボックス 6"/>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21</xdr:col>
      <xdr:colOff>104776</xdr:colOff>
      <xdr:row>5</xdr:row>
      <xdr:rowOff>66675</xdr:rowOff>
    </xdr:from>
    <xdr:to>
      <xdr:col>22</xdr:col>
      <xdr:colOff>561976</xdr:colOff>
      <xdr:row>7</xdr:row>
      <xdr:rowOff>114300</xdr:rowOff>
    </xdr:to>
    <xdr:sp macro="" textlink="">
      <xdr:nvSpPr>
        <xdr:cNvPr id="8" name="テキスト ボックス 7"/>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20</xdr:col>
      <xdr:colOff>1247776</xdr:colOff>
      <xdr:row>5</xdr:row>
      <xdr:rowOff>76200</xdr:rowOff>
    </xdr:from>
    <xdr:to>
      <xdr:col>22</xdr:col>
      <xdr:colOff>666750</xdr:colOff>
      <xdr:row>10</xdr:row>
      <xdr:rowOff>171451</xdr:rowOff>
    </xdr:to>
    <xdr:sp macro="" textlink="">
      <xdr:nvSpPr>
        <xdr:cNvPr id="9" name="テキスト ボックス 8"/>
        <xdr:cNvSpPr txBox="1"/>
      </xdr:nvSpPr>
      <xdr:spPr>
        <a:xfrm>
          <a:off x="11915776" y="1143000"/>
          <a:ext cx="1085849" cy="1238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15</xdr:col>
          <xdr:colOff>66675</xdr:colOff>
          <xdr:row>83</xdr:row>
          <xdr:rowOff>200025</xdr:rowOff>
        </xdr:from>
        <xdr:to>
          <xdr:col>16</xdr:col>
          <xdr:colOff>9525</xdr:colOff>
          <xdr:row>85</xdr:row>
          <xdr:rowOff>19050</xdr:rowOff>
        </xdr:to>
        <xdr:sp macro="" textlink="">
          <xdr:nvSpPr>
            <xdr:cNvPr id="15364" name="Button 4" hidden="1">
              <a:extLst>
                <a:ext uri="{63B3BB69-23CF-44E3-9099-C40C66FF867C}">
                  <a14:compatExt spid="_x0000_s153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83</xdr:row>
          <xdr:rowOff>200025</xdr:rowOff>
        </xdr:from>
        <xdr:to>
          <xdr:col>17</xdr:col>
          <xdr:colOff>438150</xdr:colOff>
          <xdr:row>85</xdr:row>
          <xdr:rowOff>19050</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17</xdr:row>
          <xdr:rowOff>200025</xdr:rowOff>
        </xdr:from>
        <xdr:to>
          <xdr:col>16</xdr:col>
          <xdr:colOff>9525</xdr:colOff>
          <xdr:row>19</xdr:row>
          <xdr:rowOff>19050</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17</xdr:row>
          <xdr:rowOff>200025</xdr:rowOff>
        </xdr:from>
        <xdr:to>
          <xdr:col>17</xdr:col>
          <xdr:colOff>438150</xdr:colOff>
          <xdr:row>19</xdr:row>
          <xdr:rowOff>19050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V95"/>
  <sheetViews>
    <sheetView tabSelected="1" view="pageBreakPreview" zoomScaleNormal="100" zoomScaleSheetLayoutView="100" workbookViewId="0">
      <selection activeCell="S10" sqref="S10"/>
    </sheetView>
  </sheetViews>
  <sheetFormatPr defaultRowHeight="13.5"/>
  <cols>
    <col min="1" max="2" width="4.25" style="4" customWidth="1"/>
    <col min="3" max="3" width="20.375" style="4" customWidth="1"/>
    <col min="4" max="5" width="4" style="4" customWidth="1"/>
    <col min="6" max="6" width="18.375" style="4" customWidth="1"/>
    <col min="7" max="7" width="7.375" style="4" customWidth="1"/>
    <col min="8" max="8" width="4.375" style="4" customWidth="1"/>
    <col min="9" max="9" width="4.625" style="4" customWidth="1"/>
    <col min="10" max="10" width="3.625" style="4" customWidth="1"/>
    <col min="11" max="11" width="12.25" style="4" customWidth="1"/>
    <col min="12" max="12" width="7.25" style="4" bestFit="1" customWidth="1"/>
    <col min="13" max="13" width="3" style="4" customWidth="1"/>
    <col min="14" max="14" width="5.625" style="4" customWidth="1"/>
    <col min="15" max="15" width="9" style="4"/>
    <col min="16" max="17" width="4.75" style="4" customWidth="1"/>
    <col min="18" max="18" width="9" style="4"/>
    <col min="19" max="19" width="4.75" style="4" customWidth="1"/>
    <col min="20" max="20" width="4.375" style="4" customWidth="1"/>
    <col min="21" max="21" width="17.25" style="4" customWidth="1"/>
    <col min="22" max="22" width="4.625" style="4" customWidth="1"/>
    <col min="23" max="23" width="13.25" style="4" customWidth="1"/>
    <col min="24" max="16384" width="9" style="4"/>
  </cols>
  <sheetData>
    <row r="1" spans="1:22" ht="18" customHeight="1">
      <c r="A1" s="156" t="str">
        <f ca="1">MID(CELL("filename",A1),FIND("[",CELL("filename",A1))+1,3)</f>
        <v>８－１</v>
      </c>
      <c r="B1" s="156"/>
      <c r="C1" s="157" t="str">
        <f ca="1">RIGHT(LEFT(CELL("filename",A1),FIND("[",CELL("filename",A1))-2),3)</f>
        <v>1学期</v>
      </c>
      <c r="D1" s="157"/>
      <c r="E1" s="157"/>
      <c r="F1" s="157"/>
      <c r="G1" s="157"/>
      <c r="H1" s="157"/>
      <c r="I1" s="157"/>
      <c r="J1" s="157"/>
      <c r="K1" s="157"/>
      <c r="L1" s="157"/>
      <c r="M1" s="2"/>
      <c r="N1" s="2"/>
    </row>
    <row r="2" spans="1:22" ht="18" customHeight="1">
      <c r="A2" s="1" t="s">
        <v>15</v>
      </c>
      <c r="B2" s="61">
        <v>8</v>
      </c>
      <c r="C2" s="63"/>
      <c r="D2" s="63"/>
      <c r="E2" s="63"/>
      <c r="F2" s="63"/>
      <c r="G2" s="63"/>
      <c r="K2" s="61" t="s">
        <v>14</v>
      </c>
      <c r="L2" s="158" t="str">
        <f ca="1">INDIRECT("'所見'!A"&amp;8+$B$2)</f>
        <v>辛 祐輝</v>
      </c>
      <c r="M2" s="158"/>
      <c r="N2" s="158"/>
    </row>
    <row r="3" spans="1:22" ht="12" customHeight="1">
      <c r="C3" s="5"/>
      <c r="D3" s="5"/>
      <c r="E3" s="5"/>
      <c r="F3" s="5"/>
      <c r="G3" s="5"/>
      <c r="H3" s="5"/>
      <c r="I3" s="5"/>
      <c r="J3" s="5"/>
      <c r="K3" s="5"/>
      <c r="L3" s="5"/>
      <c r="M3" s="5"/>
      <c r="N3" s="5"/>
    </row>
    <row r="4" spans="1:22" ht="18" customHeight="1">
      <c r="A4" s="159" t="s">
        <v>16</v>
      </c>
      <c r="B4" s="160"/>
      <c r="C4" s="160"/>
      <c r="D4" s="160"/>
      <c r="E4" s="160"/>
      <c r="F4" s="160"/>
      <c r="G4" s="160"/>
      <c r="H4" s="160"/>
      <c r="I4" s="160"/>
      <c r="J4" s="160"/>
      <c r="K4" s="160"/>
      <c r="L4" s="160"/>
      <c r="M4" s="160"/>
      <c r="N4" s="161"/>
    </row>
    <row r="5" spans="1:22" ht="18" customHeight="1">
      <c r="A5" s="13" t="s">
        <v>1</v>
      </c>
      <c r="B5" s="162" t="s">
        <v>2</v>
      </c>
      <c r="C5" s="160"/>
      <c r="D5" s="160"/>
      <c r="E5" s="160"/>
      <c r="F5" s="160"/>
      <c r="G5" s="160"/>
      <c r="H5" s="160"/>
      <c r="I5" s="160"/>
      <c r="J5" s="160"/>
      <c r="K5" s="163"/>
      <c r="L5" s="62" t="s">
        <v>3</v>
      </c>
      <c r="M5" s="164" t="s">
        <v>4</v>
      </c>
      <c r="N5" s="165"/>
      <c r="V5" s="75">
        <v>60</v>
      </c>
    </row>
    <row r="6" spans="1:22" ht="18" customHeight="1" thickBot="1">
      <c r="A6" s="108" t="s">
        <v>5</v>
      </c>
      <c r="B6" s="143" t="str">
        <f>国語!B2</f>
        <v>知識・技能（定期テスト・漢字テスト・文法理解）</v>
      </c>
      <c r="C6" s="144"/>
      <c r="D6" s="144"/>
      <c r="E6" s="144"/>
      <c r="F6" s="144"/>
      <c r="G6" s="144"/>
      <c r="H6" s="144"/>
      <c r="I6" s="144"/>
      <c r="J6" s="144"/>
      <c r="K6" s="145"/>
      <c r="L6" s="14" t="str">
        <f ca="1">OFFSET(国語!C2,0,$B$2)</f>
        <v>B</v>
      </c>
      <c r="M6" s="146">
        <f ca="1">OFFSET(国語!C12,0,$B$2)</f>
        <v>3</v>
      </c>
      <c r="N6" s="147"/>
      <c r="T6" s="4">
        <v>1</v>
      </c>
      <c r="U6" s="42" t="str">
        <f ca="1">INDIRECT("'出欠'!A"&amp;9+T6)</f>
        <v>伊東 資竜</v>
      </c>
    </row>
    <row r="7" spans="1:22" ht="18" customHeight="1" thickBot="1">
      <c r="A7" s="109"/>
      <c r="B7" s="152" t="str">
        <f>国語!B3</f>
        <v>思考力・表現力・判断力（定期テスト・リスニングテスト・作文・音読・話し合い活動）</v>
      </c>
      <c r="C7" s="141"/>
      <c r="D7" s="141"/>
      <c r="E7" s="141"/>
      <c r="F7" s="141"/>
      <c r="G7" s="141"/>
      <c r="H7" s="141"/>
      <c r="I7" s="141"/>
      <c r="J7" s="141"/>
      <c r="K7" s="142"/>
      <c r="L7" s="11" t="str">
        <f ca="1">OFFSET(国語!C3,0,$B$2)</f>
        <v>B</v>
      </c>
      <c r="M7" s="148"/>
      <c r="N7" s="149"/>
      <c r="P7" s="95" t="s">
        <v>22</v>
      </c>
      <c r="Q7" s="96"/>
      <c r="T7" s="4">
        <v>2</v>
      </c>
      <c r="U7" s="42" t="str">
        <f t="shared" ref="U7:U30" ca="1" si="0">INDIRECT("'出欠'!A"&amp;9+T7)</f>
        <v>大堀キム 未奈</v>
      </c>
    </row>
    <row r="8" spans="1:22" ht="18" customHeight="1" thickBot="1">
      <c r="A8" s="109"/>
      <c r="B8" s="152" t="str">
        <f>国語!B4</f>
        <v>主体的に学習に取り組む態度</v>
      </c>
      <c r="C8" s="141"/>
      <c r="D8" s="141"/>
      <c r="E8" s="141"/>
      <c r="F8" s="141"/>
      <c r="G8" s="141"/>
      <c r="H8" s="141"/>
      <c r="I8" s="141"/>
      <c r="J8" s="141"/>
      <c r="K8" s="142"/>
      <c r="L8" s="11" t="str">
        <f ca="1">OFFSET(国語!C4,0,$B$2)</f>
        <v>A</v>
      </c>
      <c r="M8" s="148"/>
      <c r="N8" s="149"/>
      <c r="P8" s="41" t="s">
        <v>23</v>
      </c>
      <c r="Q8" s="41" t="s">
        <v>24</v>
      </c>
      <c r="T8" s="4">
        <v>3</v>
      </c>
      <c r="U8" s="42" t="str">
        <f t="shared" ca="1" si="0"/>
        <v>門田 湧真</v>
      </c>
    </row>
    <row r="9" spans="1:22" ht="18" customHeight="1" thickBot="1">
      <c r="A9" s="109"/>
      <c r="B9" s="152">
        <f>国語!B5</f>
        <v>0</v>
      </c>
      <c r="C9" s="141"/>
      <c r="D9" s="141"/>
      <c r="E9" s="141"/>
      <c r="F9" s="141"/>
      <c r="G9" s="141"/>
      <c r="H9" s="141"/>
      <c r="I9" s="141"/>
      <c r="J9" s="141"/>
      <c r="K9" s="142"/>
      <c r="L9" s="11">
        <f ca="1">OFFSET(国語!C5,0,$B$2)</f>
        <v>0</v>
      </c>
      <c r="M9" s="148"/>
      <c r="N9" s="149"/>
      <c r="P9" s="40">
        <v>7</v>
      </c>
      <c r="Q9" s="40">
        <v>7</v>
      </c>
      <c r="T9" s="4">
        <v>4</v>
      </c>
      <c r="U9" s="42" t="str">
        <f t="shared" ca="1" si="0"/>
        <v>行田 さとみ</v>
      </c>
    </row>
    <row r="10" spans="1:22" ht="18" customHeight="1">
      <c r="A10" s="109"/>
      <c r="B10" s="152">
        <f>国語!B6</f>
        <v>0</v>
      </c>
      <c r="C10" s="141"/>
      <c r="D10" s="141"/>
      <c r="E10" s="141"/>
      <c r="F10" s="141"/>
      <c r="G10" s="141"/>
      <c r="H10" s="141"/>
      <c r="I10" s="141"/>
      <c r="J10" s="141"/>
      <c r="K10" s="142"/>
      <c r="L10" s="11">
        <f ca="1">OFFSET(国語!C6,0,$B$2)</f>
        <v>0</v>
      </c>
      <c r="M10" s="148"/>
      <c r="N10" s="149"/>
      <c r="T10" s="4">
        <v>5</v>
      </c>
      <c r="U10" s="42" t="str">
        <f t="shared" ca="1" si="0"/>
        <v>久保田 明誠</v>
      </c>
    </row>
    <row r="11" spans="1:22" ht="18" customHeight="1">
      <c r="A11" s="109"/>
      <c r="B11" s="152">
        <f>国語!B7</f>
        <v>0</v>
      </c>
      <c r="C11" s="141"/>
      <c r="D11" s="141"/>
      <c r="E11" s="141"/>
      <c r="F11" s="141"/>
      <c r="G11" s="141"/>
      <c r="H11" s="141"/>
      <c r="I11" s="141"/>
      <c r="J11" s="141"/>
      <c r="K11" s="142"/>
      <c r="L11" s="11">
        <f ca="1">OFFSET(国語!C7,0,$B$2)</f>
        <v>0</v>
      </c>
      <c r="M11" s="148"/>
      <c r="N11" s="149"/>
      <c r="T11" s="4">
        <v>6</v>
      </c>
      <c r="U11" s="42" t="str">
        <f t="shared" ca="1" si="0"/>
        <v>小松 流翔</v>
      </c>
    </row>
    <row r="12" spans="1:22" ht="18" customHeight="1">
      <c r="A12" s="109"/>
      <c r="B12" s="152">
        <f>国語!B8</f>
        <v>0</v>
      </c>
      <c r="C12" s="141"/>
      <c r="D12" s="141"/>
      <c r="E12" s="141"/>
      <c r="F12" s="141"/>
      <c r="G12" s="141"/>
      <c r="H12" s="141"/>
      <c r="I12" s="141"/>
      <c r="J12" s="141"/>
      <c r="K12" s="142"/>
      <c r="L12" s="11">
        <f ca="1">OFFSET(国語!C8,0,$B$2)</f>
        <v>0</v>
      </c>
      <c r="M12" s="148"/>
      <c r="N12" s="149"/>
      <c r="T12" s="4">
        <v>7</v>
      </c>
      <c r="U12" s="42" t="str">
        <f t="shared" ca="1" si="0"/>
        <v>佐藤 美月</v>
      </c>
    </row>
    <row r="13" spans="1:22" ht="18" customHeight="1">
      <c r="A13" s="109"/>
      <c r="B13" s="153">
        <f>国語!B9</f>
        <v>0</v>
      </c>
      <c r="C13" s="154"/>
      <c r="D13" s="154"/>
      <c r="E13" s="154"/>
      <c r="F13" s="154"/>
      <c r="G13" s="154"/>
      <c r="H13" s="154"/>
      <c r="I13" s="154"/>
      <c r="J13" s="154"/>
      <c r="K13" s="155"/>
      <c r="L13" s="11">
        <f ca="1">OFFSET(国語!C9,0,$B$2)</f>
        <v>0</v>
      </c>
      <c r="M13" s="148"/>
      <c r="N13" s="149"/>
      <c r="T13" s="4">
        <v>8</v>
      </c>
      <c r="U13" s="42" t="str">
        <f t="shared" ca="1" si="0"/>
        <v>辛 祐輝</v>
      </c>
    </row>
    <row r="14" spans="1:22" ht="18" customHeight="1">
      <c r="A14" s="108" t="s">
        <v>32</v>
      </c>
      <c r="B14" s="143" t="str">
        <f>数学!B2</f>
        <v>知識・技能（単元テスト・定期テスト）</v>
      </c>
      <c r="C14" s="144"/>
      <c r="D14" s="144"/>
      <c r="E14" s="144"/>
      <c r="F14" s="144"/>
      <c r="G14" s="144"/>
      <c r="H14" s="144"/>
      <c r="I14" s="144"/>
      <c r="J14" s="144"/>
      <c r="K14" s="145"/>
      <c r="L14" s="14" t="str">
        <f ca="1">OFFSET(数学!C2,0,$B$2)</f>
        <v>A</v>
      </c>
      <c r="M14" s="146">
        <f ca="1">OFFSET(数学!C12,0,$B$2)</f>
        <v>4</v>
      </c>
      <c r="N14" s="147"/>
      <c r="T14" s="4">
        <v>9</v>
      </c>
      <c r="U14" s="42" t="str">
        <f t="shared" ca="1" si="0"/>
        <v>新保 芙佑香</v>
      </c>
    </row>
    <row r="15" spans="1:22" ht="18" customHeight="1">
      <c r="A15" s="109"/>
      <c r="B15" s="152" t="str">
        <f>数学!B3</f>
        <v>思考力・表現力・判断力（単元テスト・定期テスト）</v>
      </c>
      <c r="C15" s="141"/>
      <c r="D15" s="141"/>
      <c r="E15" s="141"/>
      <c r="F15" s="141"/>
      <c r="G15" s="141"/>
      <c r="H15" s="141"/>
      <c r="I15" s="141"/>
      <c r="J15" s="141"/>
      <c r="K15" s="142"/>
      <c r="L15" s="11" t="str">
        <f ca="1">OFFSET(数学!C3,0,$B$2)</f>
        <v>B</v>
      </c>
      <c r="M15" s="148"/>
      <c r="N15" s="149"/>
      <c r="T15" s="4">
        <v>10</v>
      </c>
      <c r="U15" s="42" t="str">
        <f t="shared" ca="1" si="0"/>
        <v>宋 語唯</v>
      </c>
    </row>
    <row r="16" spans="1:22" ht="18" customHeight="1">
      <c r="A16" s="109"/>
      <c r="B16" s="152" t="str">
        <f>数学!B4</f>
        <v>主体的に学習に取り組む態度</v>
      </c>
      <c r="C16" s="141"/>
      <c r="D16" s="141"/>
      <c r="E16" s="141"/>
      <c r="F16" s="141"/>
      <c r="G16" s="141"/>
      <c r="H16" s="141"/>
      <c r="I16" s="141"/>
      <c r="J16" s="141"/>
      <c r="K16" s="142"/>
      <c r="L16" s="11" t="str">
        <f ca="1">OFFSET(数学!C4,0,$B$2)</f>
        <v>A</v>
      </c>
      <c r="M16" s="148"/>
      <c r="N16" s="149"/>
      <c r="T16" s="4">
        <v>11</v>
      </c>
      <c r="U16" s="42" t="str">
        <f t="shared" ca="1" si="0"/>
        <v>髙山 愛永</v>
      </c>
    </row>
    <row r="17" spans="1:21" ht="18" customHeight="1">
      <c r="A17" s="109"/>
      <c r="B17" s="152">
        <f>数学!B5</f>
        <v>0</v>
      </c>
      <c r="C17" s="141"/>
      <c r="D17" s="141"/>
      <c r="E17" s="141"/>
      <c r="F17" s="141"/>
      <c r="G17" s="141"/>
      <c r="H17" s="141"/>
      <c r="I17" s="141"/>
      <c r="J17" s="141"/>
      <c r="K17" s="142"/>
      <c r="L17" s="11">
        <f ca="1">OFFSET(数学!C5,0,$B$2)</f>
        <v>0</v>
      </c>
      <c r="M17" s="148"/>
      <c r="N17" s="149"/>
      <c r="Q17" s="18"/>
      <c r="R17" s="18"/>
      <c r="T17" s="4">
        <v>12</v>
      </c>
      <c r="U17" s="42" t="str">
        <f t="shared" ca="1" si="0"/>
        <v>滝澤 愛佳</v>
      </c>
    </row>
    <row r="18" spans="1:21" ht="18" customHeight="1">
      <c r="A18" s="109"/>
      <c r="B18" s="152">
        <f>数学!B6</f>
        <v>0</v>
      </c>
      <c r="C18" s="141"/>
      <c r="D18" s="141"/>
      <c r="E18" s="141"/>
      <c r="F18" s="141"/>
      <c r="G18" s="141"/>
      <c r="H18" s="141"/>
      <c r="I18" s="141"/>
      <c r="J18" s="141"/>
      <c r="K18" s="142"/>
      <c r="L18" s="11">
        <f ca="1">OFFSET(数学!C6,0,$B$2)</f>
        <v>0</v>
      </c>
      <c r="M18" s="148"/>
      <c r="N18" s="149"/>
      <c r="Q18" s="18"/>
      <c r="R18" s="18"/>
      <c r="T18" s="4">
        <v>13</v>
      </c>
      <c r="U18" s="42" t="str">
        <f t="shared" ca="1" si="0"/>
        <v>中山 千愛</v>
      </c>
    </row>
    <row r="19" spans="1:21" ht="18" customHeight="1">
      <c r="A19" s="109"/>
      <c r="B19" s="152">
        <f>数学!B7</f>
        <v>0</v>
      </c>
      <c r="C19" s="141"/>
      <c r="D19" s="141"/>
      <c r="E19" s="141"/>
      <c r="F19" s="141"/>
      <c r="G19" s="141"/>
      <c r="H19" s="141"/>
      <c r="I19" s="141"/>
      <c r="J19" s="141"/>
      <c r="K19" s="142"/>
      <c r="L19" s="11">
        <f ca="1">OFFSET(数学!C7,0,$B$2)</f>
        <v>0</v>
      </c>
      <c r="M19" s="148"/>
      <c r="N19" s="149"/>
      <c r="Q19" s="76">
        <f>番号</f>
        <v>8</v>
      </c>
      <c r="R19" s="18"/>
      <c r="T19" s="4">
        <v>14</v>
      </c>
      <c r="U19" s="42" t="str">
        <f t="shared" ca="1" si="0"/>
        <v>花岡 麻貴</v>
      </c>
    </row>
    <row r="20" spans="1:21" ht="18" customHeight="1">
      <c r="A20" s="109"/>
      <c r="B20" s="152">
        <f>数学!B8</f>
        <v>0</v>
      </c>
      <c r="C20" s="141"/>
      <c r="D20" s="141"/>
      <c r="E20" s="141"/>
      <c r="F20" s="141"/>
      <c r="G20" s="141"/>
      <c r="H20" s="141"/>
      <c r="I20" s="141"/>
      <c r="J20" s="141"/>
      <c r="K20" s="142"/>
      <c r="L20" s="11">
        <f ca="1">OFFSET(数学!C8,0,$B$2)</f>
        <v>0</v>
      </c>
      <c r="M20" s="148"/>
      <c r="N20" s="149"/>
      <c r="Q20" s="18"/>
      <c r="R20" s="18"/>
      <c r="T20" s="4">
        <v>15</v>
      </c>
      <c r="U20" s="42" t="str">
        <f t="shared" ca="1" si="0"/>
        <v>宮下 花</v>
      </c>
    </row>
    <row r="21" spans="1:21" ht="18" customHeight="1">
      <c r="A21" s="109"/>
      <c r="B21" s="153">
        <f>数学!B9</f>
        <v>0</v>
      </c>
      <c r="C21" s="154"/>
      <c r="D21" s="154"/>
      <c r="E21" s="154"/>
      <c r="F21" s="154"/>
      <c r="G21" s="154"/>
      <c r="H21" s="154"/>
      <c r="I21" s="154"/>
      <c r="J21" s="154"/>
      <c r="K21" s="155"/>
      <c r="L21" s="11">
        <f ca="1">OFFSET(数学!C9,0,$B$2)</f>
        <v>0</v>
      </c>
      <c r="M21" s="148"/>
      <c r="N21" s="149"/>
      <c r="T21" s="4">
        <v>16</v>
      </c>
      <c r="U21" s="42" t="str">
        <f t="shared" ca="1" si="0"/>
        <v>六井 啓翔</v>
      </c>
    </row>
    <row r="22" spans="1:21" ht="18" customHeight="1">
      <c r="A22" s="108" t="s">
        <v>29</v>
      </c>
      <c r="B22" s="143" t="str">
        <f>理科!B2</f>
        <v>知識・技能(定期テスト・レポート・週末課題・単元テスト）</v>
      </c>
      <c r="C22" s="144"/>
      <c r="D22" s="144"/>
      <c r="E22" s="144"/>
      <c r="F22" s="144"/>
      <c r="G22" s="144"/>
      <c r="H22" s="144"/>
      <c r="I22" s="144"/>
      <c r="J22" s="144"/>
      <c r="K22" s="145"/>
      <c r="L22" s="14" t="str">
        <f ca="1">OFFSET(理科!C2,0,$B$2)</f>
        <v>B</v>
      </c>
      <c r="M22" s="146">
        <f ca="1">OFFSET(理科!C12,0,$B$2)</f>
        <v>3</v>
      </c>
      <c r="N22" s="147"/>
      <c r="T22" s="4">
        <v>17</v>
      </c>
      <c r="U22" s="42">
        <f t="shared" ca="1" si="0"/>
        <v>0</v>
      </c>
    </row>
    <row r="23" spans="1:21" ht="18" customHeight="1">
      <c r="A23" s="109"/>
      <c r="B23" s="152" t="str">
        <f>理科!B3</f>
        <v>思考・判断・表現（レポート・単元テスト・実験の考察）</v>
      </c>
      <c r="C23" s="141"/>
      <c r="D23" s="141"/>
      <c r="E23" s="141"/>
      <c r="F23" s="141"/>
      <c r="G23" s="141"/>
      <c r="H23" s="141"/>
      <c r="I23" s="141"/>
      <c r="J23" s="141"/>
      <c r="K23" s="142"/>
      <c r="L23" s="11" t="str">
        <f ca="1">OFFSET(理科!C3,0,$B$2)</f>
        <v>B</v>
      </c>
      <c r="M23" s="148"/>
      <c r="N23" s="149"/>
      <c r="T23" s="4">
        <v>18</v>
      </c>
      <c r="U23" s="42">
        <f t="shared" ca="1" si="0"/>
        <v>0</v>
      </c>
    </row>
    <row r="24" spans="1:21" ht="18" customHeight="1">
      <c r="A24" s="109"/>
      <c r="B24" s="152" t="str">
        <f>理科!B4</f>
        <v>主体的に学習に取り組む態度</v>
      </c>
      <c r="C24" s="141"/>
      <c r="D24" s="141"/>
      <c r="E24" s="141"/>
      <c r="F24" s="141"/>
      <c r="G24" s="141"/>
      <c r="H24" s="141"/>
      <c r="I24" s="141"/>
      <c r="J24" s="141"/>
      <c r="K24" s="142"/>
      <c r="L24" s="11" t="str">
        <f ca="1">OFFSET(理科!C4,0,$B$2)</f>
        <v>A</v>
      </c>
      <c r="M24" s="148"/>
      <c r="N24" s="149"/>
      <c r="T24" s="4">
        <v>19</v>
      </c>
      <c r="U24" s="42">
        <f t="shared" ca="1" si="0"/>
        <v>0</v>
      </c>
    </row>
    <row r="25" spans="1:21" ht="18" customHeight="1">
      <c r="A25" s="109"/>
      <c r="B25" s="152">
        <f>理科!B5</f>
        <v>0</v>
      </c>
      <c r="C25" s="141"/>
      <c r="D25" s="141"/>
      <c r="E25" s="141"/>
      <c r="F25" s="141"/>
      <c r="G25" s="141"/>
      <c r="H25" s="141"/>
      <c r="I25" s="141"/>
      <c r="J25" s="141"/>
      <c r="K25" s="142"/>
      <c r="L25" s="11">
        <f ca="1">OFFSET(理科!C5,0,$B$2)</f>
        <v>0</v>
      </c>
      <c r="M25" s="148"/>
      <c r="N25" s="149"/>
      <c r="T25" s="4">
        <v>20</v>
      </c>
      <c r="U25" s="42">
        <f t="shared" ca="1" si="0"/>
        <v>0</v>
      </c>
    </row>
    <row r="26" spans="1:21" ht="18" customHeight="1">
      <c r="A26" s="109"/>
      <c r="B26" s="152">
        <f>理科!B6</f>
        <v>0</v>
      </c>
      <c r="C26" s="141"/>
      <c r="D26" s="141"/>
      <c r="E26" s="141"/>
      <c r="F26" s="141"/>
      <c r="G26" s="141"/>
      <c r="H26" s="141"/>
      <c r="I26" s="141"/>
      <c r="J26" s="141"/>
      <c r="K26" s="142"/>
      <c r="L26" s="11">
        <f ca="1">OFFSET(理科!C6,0,$B$2)</f>
        <v>0</v>
      </c>
      <c r="M26" s="148"/>
      <c r="N26" s="149"/>
      <c r="T26" s="4">
        <v>21</v>
      </c>
      <c r="U26" s="42">
        <f t="shared" ca="1" si="0"/>
        <v>0</v>
      </c>
    </row>
    <row r="27" spans="1:21" ht="18" customHeight="1">
      <c r="A27" s="109"/>
      <c r="B27" s="152">
        <f>理科!B7</f>
        <v>0</v>
      </c>
      <c r="C27" s="141"/>
      <c r="D27" s="141"/>
      <c r="E27" s="141"/>
      <c r="F27" s="141"/>
      <c r="G27" s="141"/>
      <c r="H27" s="141"/>
      <c r="I27" s="141"/>
      <c r="J27" s="141"/>
      <c r="K27" s="142"/>
      <c r="L27" s="11">
        <f ca="1">OFFSET(理科!C7,0,$B$2)</f>
        <v>0</v>
      </c>
      <c r="M27" s="148"/>
      <c r="N27" s="149"/>
      <c r="T27" s="4">
        <v>22</v>
      </c>
      <c r="U27" s="42">
        <f t="shared" ca="1" si="0"/>
        <v>0</v>
      </c>
    </row>
    <row r="28" spans="1:21" ht="18" customHeight="1">
      <c r="A28" s="109"/>
      <c r="B28" s="152">
        <f>理科!B8</f>
        <v>0</v>
      </c>
      <c r="C28" s="141"/>
      <c r="D28" s="141"/>
      <c r="E28" s="141"/>
      <c r="F28" s="141"/>
      <c r="G28" s="141"/>
      <c r="H28" s="141"/>
      <c r="I28" s="141"/>
      <c r="J28" s="141"/>
      <c r="K28" s="142"/>
      <c r="L28" s="11">
        <f ca="1">OFFSET(理科!C8,0,$B$2)</f>
        <v>0</v>
      </c>
      <c r="M28" s="148"/>
      <c r="N28" s="149"/>
      <c r="T28" s="4">
        <v>23</v>
      </c>
      <c r="U28" s="42">
        <f t="shared" ca="1" si="0"/>
        <v>0</v>
      </c>
    </row>
    <row r="29" spans="1:21" ht="18" customHeight="1">
      <c r="A29" s="109"/>
      <c r="B29" s="153">
        <f>理科!B9</f>
        <v>0</v>
      </c>
      <c r="C29" s="154"/>
      <c r="D29" s="154"/>
      <c r="E29" s="154"/>
      <c r="F29" s="154"/>
      <c r="G29" s="154"/>
      <c r="H29" s="154"/>
      <c r="I29" s="154"/>
      <c r="J29" s="154"/>
      <c r="K29" s="155"/>
      <c r="L29" s="11">
        <f ca="1">OFFSET(理科!C9,0,$B$2)</f>
        <v>0</v>
      </c>
      <c r="M29" s="148"/>
      <c r="N29" s="149"/>
      <c r="T29" s="4">
        <v>24</v>
      </c>
      <c r="U29" s="42">
        <f t="shared" ca="1" si="0"/>
        <v>0</v>
      </c>
    </row>
    <row r="30" spans="1:21" ht="18" customHeight="1">
      <c r="A30" s="108" t="s">
        <v>30</v>
      </c>
      <c r="B30" s="143" t="str">
        <f>社会!B2</f>
        <v>知識・技能（単元テスト・定期テスト）</v>
      </c>
      <c r="C30" s="144"/>
      <c r="D30" s="144"/>
      <c r="E30" s="144"/>
      <c r="F30" s="144"/>
      <c r="G30" s="144"/>
      <c r="H30" s="144"/>
      <c r="I30" s="144"/>
      <c r="J30" s="144"/>
      <c r="K30" s="145"/>
      <c r="L30" s="14" t="str">
        <f ca="1">OFFSET(社会!C2,0,$B$2)</f>
        <v>B</v>
      </c>
      <c r="M30" s="146">
        <f ca="1">OFFSET(社会!C12,0,$B$2)</f>
        <v>3</v>
      </c>
      <c r="N30" s="147"/>
      <c r="T30" s="4">
        <v>25</v>
      </c>
      <c r="U30" s="42">
        <f t="shared" ca="1" si="0"/>
        <v>0</v>
      </c>
    </row>
    <row r="31" spans="1:21" ht="18" customHeight="1">
      <c r="A31" s="109"/>
      <c r="B31" s="152" t="str">
        <f>社会!B3</f>
        <v>思考力・表現力・判断力（単元テスト・定期テスト）</v>
      </c>
      <c r="C31" s="141"/>
      <c r="D31" s="141"/>
      <c r="E31" s="141"/>
      <c r="F31" s="141"/>
      <c r="G31" s="141"/>
      <c r="H31" s="141"/>
      <c r="I31" s="141"/>
      <c r="J31" s="141"/>
      <c r="K31" s="142"/>
      <c r="L31" s="11" t="str">
        <f ca="1">OFFSET(社会!C3,0,$B$2)</f>
        <v>B</v>
      </c>
      <c r="M31" s="148"/>
      <c r="N31" s="149"/>
    </row>
    <row r="32" spans="1:21" ht="18" customHeight="1">
      <c r="A32" s="109"/>
      <c r="B32" s="152" t="str">
        <f>社会!B4</f>
        <v>主体的に学習に取り組む態度</v>
      </c>
      <c r="C32" s="141"/>
      <c r="D32" s="141"/>
      <c r="E32" s="141"/>
      <c r="F32" s="141"/>
      <c r="G32" s="141"/>
      <c r="H32" s="141"/>
      <c r="I32" s="141"/>
      <c r="J32" s="141"/>
      <c r="K32" s="142"/>
      <c r="L32" s="11" t="str">
        <f ca="1">OFFSET(社会!C4,0,$B$2)</f>
        <v>A</v>
      </c>
      <c r="M32" s="148"/>
      <c r="N32" s="149"/>
    </row>
    <row r="33" spans="1:14" ht="18" customHeight="1">
      <c r="A33" s="109"/>
      <c r="B33" s="152">
        <f>社会!B5</f>
        <v>0</v>
      </c>
      <c r="C33" s="141"/>
      <c r="D33" s="141"/>
      <c r="E33" s="141"/>
      <c r="F33" s="141"/>
      <c r="G33" s="141"/>
      <c r="H33" s="141"/>
      <c r="I33" s="141"/>
      <c r="J33" s="141"/>
      <c r="K33" s="142"/>
      <c r="L33" s="11">
        <f ca="1">OFFSET(社会!C5,0,$B$2)</f>
        <v>0</v>
      </c>
      <c r="M33" s="148"/>
      <c r="N33" s="149"/>
    </row>
    <row r="34" spans="1:14" ht="18" customHeight="1">
      <c r="A34" s="109"/>
      <c r="B34" s="152">
        <f>社会!B6</f>
        <v>0</v>
      </c>
      <c r="C34" s="141"/>
      <c r="D34" s="141"/>
      <c r="E34" s="141"/>
      <c r="F34" s="141"/>
      <c r="G34" s="141"/>
      <c r="H34" s="141"/>
      <c r="I34" s="141"/>
      <c r="J34" s="141"/>
      <c r="K34" s="142"/>
      <c r="L34" s="11">
        <f ca="1">OFFSET(社会!C6,0,$B$2)</f>
        <v>0</v>
      </c>
      <c r="M34" s="148"/>
      <c r="N34" s="149"/>
    </row>
    <row r="35" spans="1:14" ht="18" customHeight="1">
      <c r="A35" s="109"/>
      <c r="B35" s="152">
        <f>社会!B7</f>
        <v>0</v>
      </c>
      <c r="C35" s="141"/>
      <c r="D35" s="141"/>
      <c r="E35" s="141"/>
      <c r="F35" s="141"/>
      <c r="G35" s="141"/>
      <c r="H35" s="141"/>
      <c r="I35" s="141"/>
      <c r="J35" s="141"/>
      <c r="K35" s="142"/>
      <c r="L35" s="11">
        <f ca="1">OFFSET(社会!C7,0,$B$2)</f>
        <v>0</v>
      </c>
      <c r="M35" s="148"/>
      <c r="N35" s="149"/>
    </row>
    <row r="36" spans="1:14" ht="18" customHeight="1">
      <c r="A36" s="109"/>
      <c r="B36" s="152">
        <f>社会!B8</f>
        <v>0</v>
      </c>
      <c r="C36" s="141"/>
      <c r="D36" s="141"/>
      <c r="E36" s="141"/>
      <c r="F36" s="141"/>
      <c r="G36" s="141"/>
      <c r="H36" s="141"/>
      <c r="I36" s="141"/>
      <c r="J36" s="141"/>
      <c r="K36" s="142"/>
      <c r="L36" s="11">
        <f ca="1">OFFSET(社会!C8,0,$B$2)</f>
        <v>0</v>
      </c>
      <c r="M36" s="148"/>
      <c r="N36" s="149"/>
    </row>
    <row r="37" spans="1:14" ht="18" customHeight="1">
      <c r="A37" s="109"/>
      <c r="B37" s="153">
        <f>社会!B9</f>
        <v>0</v>
      </c>
      <c r="C37" s="154"/>
      <c r="D37" s="154"/>
      <c r="E37" s="154"/>
      <c r="F37" s="154"/>
      <c r="G37" s="154"/>
      <c r="H37" s="154"/>
      <c r="I37" s="154"/>
      <c r="J37" s="154"/>
      <c r="K37" s="155"/>
      <c r="L37" s="11">
        <f ca="1">OFFSET(社会!C9,0,$B$2)</f>
        <v>0</v>
      </c>
      <c r="M37" s="148"/>
      <c r="N37" s="149"/>
    </row>
    <row r="38" spans="1:14" ht="18" customHeight="1">
      <c r="A38" s="108" t="s">
        <v>6</v>
      </c>
      <c r="B38" s="143" t="str">
        <f>英語!B2</f>
        <v>知識・技能（期末テストワークテスト）</v>
      </c>
      <c r="C38" s="144"/>
      <c r="D38" s="144"/>
      <c r="E38" s="144"/>
      <c r="F38" s="144"/>
      <c r="G38" s="144"/>
      <c r="H38" s="144"/>
      <c r="I38" s="144"/>
      <c r="J38" s="144"/>
      <c r="K38" s="145"/>
      <c r="L38" s="14" t="str">
        <f ca="1">OFFSET(英語!C2,0,$B$2)</f>
        <v>B</v>
      </c>
      <c r="M38" s="146" t="str">
        <f ca="1">OFFSET(英語!C12,0,$B$2)</f>
        <v>4</v>
      </c>
      <c r="N38" s="147"/>
    </row>
    <row r="39" spans="1:14" ht="18" customHeight="1">
      <c r="A39" s="109"/>
      <c r="B39" s="152" t="str">
        <f>英語!B3</f>
        <v>思考力・判断力・表現力（オンライン授業・リスニング・英作文）</v>
      </c>
      <c r="C39" s="141"/>
      <c r="D39" s="141"/>
      <c r="E39" s="141"/>
      <c r="F39" s="141"/>
      <c r="G39" s="141"/>
      <c r="H39" s="141"/>
      <c r="I39" s="141"/>
      <c r="J39" s="141"/>
      <c r="K39" s="142"/>
      <c r="L39" s="11" t="str">
        <f ca="1">OFFSET(英語!C3,0,$B$2)</f>
        <v>A</v>
      </c>
      <c r="M39" s="148"/>
      <c r="N39" s="149"/>
    </row>
    <row r="40" spans="1:14" ht="18" customHeight="1">
      <c r="A40" s="109"/>
      <c r="B40" s="152" t="str">
        <f>英語!B4</f>
        <v>主体的に取り組む態度（提出物・授業態度）</v>
      </c>
      <c r="C40" s="141"/>
      <c r="D40" s="141"/>
      <c r="E40" s="141"/>
      <c r="F40" s="141"/>
      <c r="G40" s="141"/>
      <c r="H40" s="141"/>
      <c r="I40" s="141"/>
      <c r="J40" s="141"/>
      <c r="K40" s="142"/>
      <c r="L40" s="11" t="str">
        <f ca="1">OFFSET(英語!C4,0,$B$2)</f>
        <v>A</v>
      </c>
      <c r="M40" s="148"/>
      <c r="N40" s="149"/>
    </row>
    <row r="41" spans="1:14" ht="18" customHeight="1">
      <c r="A41" s="109"/>
      <c r="B41" s="152">
        <f>英語!B5</f>
        <v>0</v>
      </c>
      <c r="C41" s="141"/>
      <c r="D41" s="141"/>
      <c r="E41" s="141"/>
      <c r="F41" s="141"/>
      <c r="G41" s="141"/>
      <c r="H41" s="141"/>
      <c r="I41" s="141"/>
      <c r="J41" s="141"/>
      <c r="K41" s="142"/>
      <c r="L41" s="11">
        <f ca="1">OFFSET(英語!C5,0,$B$2)</f>
        <v>0</v>
      </c>
      <c r="M41" s="148"/>
      <c r="N41" s="149"/>
    </row>
    <row r="42" spans="1:14" ht="18" customHeight="1">
      <c r="A42" s="109"/>
      <c r="B42" s="152">
        <f>英語!B6</f>
        <v>0</v>
      </c>
      <c r="C42" s="141"/>
      <c r="D42" s="141"/>
      <c r="E42" s="141"/>
      <c r="F42" s="141"/>
      <c r="G42" s="141"/>
      <c r="H42" s="141"/>
      <c r="I42" s="141"/>
      <c r="J42" s="141"/>
      <c r="K42" s="142"/>
      <c r="L42" s="11">
        <f ca="1">OFFSET(英語!C6,0,$B$2)</f>
        <v>0</v>
      </c>
      <c r="M42" s="148"/>
      <c r="N42" s="149"/>
    </row>
    <row r="43" spans="1:14" ht="18" customHeight="1">
      <c r="A43" s="109"/>
      <c r="B43" s="152">
        <f>英語!B7</f>
        <v>0</v>
      </c>
      <c r="C43" s="141"/>
      <c r="D43" s="141"/>
      <c r="E43" s="141"/>
      <c r="F43" s="141"/>
      <c r="G43" s="141"/>
      <c r="H43" s="141"/>
      <c r="I43" s="141"/>
      <c r="J43" s="141"/>
      <c r="K43" s="142"/>
      <c r="L43" s="11">
        <f ca="1">OFFSET(英語!C7,0,$B$2)</f>
        <v>0</v>
      </c>
      <c r="M43" s="148"/>
      <c r="N43" s="149"/>
    </row>
    <row r="44" spans="1:14" ht="18" customHeight="1">
      <c r="A44" s="109"/>
      <c r="B44" s="152">
        <f>英語!B8</f>
        <v>0</v>
      </c>
      <c r="C44" s="141"/>
      <c r="D44" s="141"/>
      <c r="E44" s="141"/>
      <c r="F44" s="141"/>
      <c r="G44" s="141"/>
      <c r="H44" s="141"/>
      <c r="I44" s="141"/>
      <c r="J44" s="141"/>
      <c r="K44" s="142"/>
      <c r="L44" s="11">
        <f ca="1">OFFSET(英語!C8,0,$B$2)</f>
        <v>0</v>
      </c>
      <c r="M44" s="148"/>
      <c r="N44" s="149"/>
    </row>
    <row r="45" spans="1:14" ht="18" customHeight="1">
      <c r="A45" s="109"/>
      <c r="B45" s="153">
        <f>英語!B9</f>
        <v>0</v>
      </c>
      <c r="C45" s="154"/>
      <c r="D45" s="154"/>
      <c r="E45" s="154"/>
      <c r="F45" s="154"/>
      <c r="G45" s="154"/>
      <c r="H45" s="154"/>
      <c r="I45" s="154"/>
      <c r="J45" s="154"/>
      <c r="K45" s="155"/>
      <c r="L45" s="11">
        <f ca="1">OFFSET(英語!C9,0,$B$2)</f>
        <v>0</v>
      </c>
      <c r="M45" s="148"/>
      <c r="N45" s="149"/>
    </row>
    <row r="46" spans="1:14" ht="18" customHeight="1">
      <c r="A46" s="108" t="s">
        <v>0</v>
      </c>
      <c r="B46" s="143" t="str">
        <f>音楽!B2</f>
        <v>知識・技能(提出物、演奏聴取、ワークシート、定期テスト)</v>
      </c>
      <c r="C46" s="144"/>
      <c r="D46" s="144"/>
      <c r="E46" s="144"/>
      <c r="F46" s="144"/>
      <c r="G46" s="144"/>
      <c r="H46" s="144"/>
      <c r="I46" s="144"/>
      <c r="J46" s="144"/>
      <c r="K46" s="145"/>
      <c r="L46" s="14" t="str">
        <f ca="1">OFFSET(音楽!C2,0,$B$2)</f>
        <v>A</v>
      </c>
      <c r="M46" s="146">
        <f ca="1">OFFSET(音楽!C12,0,$B$2)</f>
        <v>4</v>
      </c>
      <c r="N46" s="147"/>
    </row>
    <row r="47" spans="1:14" ht="18" customHeight="1">
      <c r="A47" s="109"/>
      <c r="B47" s="152" t="str">
        <f>音楽!B3</f>
        <v>思考力・判断力・表現力(提出物、演奏聴取、ワークシート、定期テスト)</v>
      </c>
      <c r="C47" s="141"/>
      <c r="D47" s="141"/>
      <c r="E47" s="141"/>
      <c r="F47" s="141"/>
      <c r="G47" s="141"/>
      <c r="H47" s="141"/>
      <c r="I47" s="141"/>
      <c r="J47" s="141"/>
      <c r="K47" s="142"/>
      <c r="L47" s="11" t="str">
        <f ca="1">OFFSET(音楽!C3,0,$B$2)</f>
        <v>A</v>
      </c>
      <c r="M47" s="148"/>
      <c r="N47" s="149"/>
    </row>
    <row r="48" spans="1:14" ht="18" customHeight="1">
      <c r="A48" s="109"/>
      <c r="B48" s="152" t="str">
        <f>音楽!B4</f>
        <v>主体的に学習に取り組む態度</v>
      </c>
      <c r="C48" s="141"/>
      <c r="D48" s="141"/>
      <c r="E48" s="141"/>
      <c r="F48" s="141"/>
      <c r="G48" s="141"/>
      <c r="H48" s="141"/>
      <c r="I48" s="141"/>
      <c r="J48" s="141"/>
      <c r="K48" s="142"/>
      <c r="L48" s="11" t="str">
        <f ca="1">OFFSET(音楽!C4,0,$B$2)</f>
        <v>B</v>
      </c>
      <c r="M48" s="148"/>
      <c r="N48" s="149"/>
    </row>
    <row r="49" spans="1:14" ht="18" customHeight="1">
      <c r="A49" s="109"/>
      <c r="B49" s="152">
        <f>音楽!B5</f>
        <v>0</v>
      </c>
      <c r="C49" s="141"/>
      <c r="D49" s="141"/>
      <c r="E49" s="141"/>
      <c r="F49" s="141"/>
      <c r="G49" s="141"/>
      <c r="H49" s="141"/>
      <c r="I49" s="141"/>
      <c r="J49" s="141"/>
      <c r="K49" s="142"/>
      <c r="L49" s="11">
        <f ca="1">OFFSET(音楽!C5,0,$B$2)</f>
        <v>0</v>
      </c>
      <c r="M49" s="148"/>
      <c r="N49" s="149"/>
    </row>
    <row r="50" spans="1:14" ht="18" customHeight="1">
      <c r="A50" s="109"/>
      <c r="B50" s="152">
        <f>音楽!B6</f>
        <v>0</v>
      </c>
      <c r="C50" s="141"/>
      <c r="D50" s="141"/>
      <c r="E50" s="141"/>
      <c r="F50" s="141"/>
      <c r="G50" s="141"/>
      <c r="H50" s="141"/>
      <c r="I50" s="141"/>
      <c r="J50" s="141"/>
      <c r="K50" s="142"/>
      <c r="L50" s="11">
        <f ca="1">OFFSET(音楽!C6,0,$B$2)</f>
        <v>0</v>
      </c>
      <c r="M50" s="148"/>
      <c r="N50" s="149"/>
    </row>
    <row r="51" spans="1:14" ht="18" customHeight="1">
      <c r="A51" s="109"/>
      <c r="B51" s="152">
        <f>音楽!B7</f>
        <v>0</v>
      </c>
      <c r="C51" s="141"/>
      <c r="D51" s="141"/>
      <c r="E51" s="141"/>
      <c r="F51" s="141"/>
      <c r="G51" s="141"/>
      <c r="H51" s="141"/>
      <c r="I51" s="141"/>
      <c r="J51" s="141"/>
      <c r="K51" s="142"/>
      <c r="L51" s="11">
        <f ca="1">OFFSET(音楽!C7,0,$B$2)</f>
        <v>0</v>
      </c>
      <c r="M51" s="148"/>
      <c r="N51" s="149"/>
    </row>
    <row r="52" spans="1:14" ht="18" customHeight="1">
      <c r="A52" s="109"/>
      <c r="B52" s="152">
        <f>音楽!B8</f>
        <v>0</v>
      </c>
      <c r="C52" s="141"/>
      <c r="D52" s="141"/>
      <c r="E52" s="141"/>
      <c r="F52" s="141"/>
      <c r="G52" s="141"/>
      <c r="H52" s="141"/>
      <c r="I52" s="141"/>
      <c r="J52" s="141"/>
      <c r="K52" s="142"/>
      <c r="L52" s="11">
        <f ca="1">OFFSET(音楽!C8,0,$B$2)</f>
        <v>0</v>
      </c>
      <c r="M52" s="148"/>
      <c r="N52" s="149"/>
    </row>
    <row r="53" spans="1:14" ht="18" customHeight="1">
      <c r="A53" s="109"/>
      <c r="B53" s="153">
        <f>音楽!B9</f>
        <v>0</v>
      </c>
      <c r="C53" s="154"/>
      <c r="D53" s="154"/>
      <c r="E53" s="154"/>
      <c r="F53" s="154"/>
      <c r="G53" s="154"/>
      <c r="H53" s="154"/>
      <c r="I53" s="154"/>
      <c r="J53" s="154"/>
      <c r="K53" s="155"/>
      <c r="L53" s="11">
        <f ca="1">OFFSET(音楽!C9,0,$B$2)</f>
        <v>0</v>
      </c>
      <c r="M53" s="148"/>
      <c r="N53" s="149"/>
    </row>
    <row r="54" spans="1:14" ht="6.75" customHeight="1">
      <c r="A54" s="3"/>
      <c r="B54" s="19"/>
      <c r="C54" s="6"/>
      <c r="D54" s="6"/>
      <c r="E54" s="6"/>
      <c r="F54" s="6"/>
      <c r="G54" s="6"/>
      <c r="H54" s="6"/>
      <c r="I54" s="6"/>
      <c r="J54" s="6"/>
      <c r="K54" s="6"/>
      <c r="L54" s="3"/>
      <c r="M54" s="59"/>
      <c r="N54" s="59"/>
    </row>
    <row r="55" spans="1:14" ht="19.5" customHeight="1">
      <c r="A55" s="61"/>
      <c r="B55" s="20"/>
      <c r="C55" s="7"/>
      <c r="D55" s="7"/>
      <c r="E55" s="7"/>
      <c r="F55" s="7"/>
      <c r="G55" s="7"/>
      <c r="H55" s="7"/>
      <c r="I55" s="7"/>
      <c r="J55" s="7"/>
      <c r="K55" s="7"/>
      <c r="L55" s="61"/>
      <c r="M55" s="60"/>
      <c r="N55" s="60"/>
    </row>
    <row r="56" spans="1:14" ht="18" customHeight="1">
      <c r="A56" s="108" t="s">
        <v>33</v>
      </c>
      <c r="B56" s="143" t="str">
        <f>美術!B2</f>
        <v>知識・技能（ワークシート・テスト）</v>
      </c>
      <c r="C56" s="144"/>
      <c r="D56" s="144"/>
      <c r="E56" s="144"/>
      <c r="F56" s="144"/>
      <c r="G56" s="144"/>
      <c r="H56" s="144"/>
      <c r="I56" s="144"/>
      <c r="J56" s="144"/>
      <c r="K56" s="145"/>
      <c r="L56" s="14" t="str">
        <f ca="1">OFFSET(美術!C2,0,$B$2)</f>
        <v>B</v>
      </c>
      <c r="M56" s="146">
        <f ca="1">OFFSET(美術!C12,0,$B$2)</f>
        <v>3</v>
      </c>
      <c r="N56" s="147"/>
    </row>
    <row r="57" spans="1:14" ht="18" customHeight="1">
      <c r="A57" s="109"/>
      <c r="B57" s="152" t="str">
        <f>美術!B3</f>
        <v>思考・判断・表現（作品・テスト・クロッキー）</v>
      </c>
      <c r="C57" s="141"/>
      <c r="D57" s="141"/>
      <c r="E57" s="141"/>
      <c r="F57" s="141"/>
      <c r="G57" s="141"/>
      <c r="H57" s="141"/>
      <c r="I57" s="141"/>
      <c r="J57" s="141"/>
      <c r="K57" s="142"/>
      <c r="L57" s="11" t="str">
        <f ca="1">OFFSET(美術!C3,0,$B$2)</f>
        <v>B</v>
      </c>
      <c r="M57" s="148"/>
      <c r="N57" s="149"/>
    </row>
    <row r="58" spans="1:14" ht="18" customHeight="1">
      <c r="A58" s="109"/>
      <c r="B58" s="152" t="str">
        <f>美術!B4</f>
        <v>主体的な態度（振り返りシート・授業態度・提出物・持ち物）</v>
      </c>
      <c r="C58" s="141"/>
      <c r="D58" s="141"/>
      <c r="E58" s="141"/>
      <c r="F58" s="141"/>
      <c r="G58" s="141"/>
      <c r="H58" s="141"/>
      <c r="I58" s="141"/>
      <c r="J58" s="141"/>
      <c r="K58" s="142"/>
      <c r="L58" s="11" t="str">
        <f ca="1">OFFSET(美術!C4,0,$B$2)</f>
        <v>B</v>
      </c>
      <c r="M58" s="148"/>
      <c r="N58" s="149"/>
    </row>
    <row r="59" spans="1:14" ht="18" customHeight="1">
      <c r="A59" s="109"/>
      <c r="B59" s="152">
        <f>美術!B5</f>
        <v>0</v>
      </c>
      <c r="C59" s="141"/>
      <c r="D59" s="141"/>
      <c r="E59" s="141"/>
      <c r="F59" s="141"/>
      <c r="G59" s="141"/>
      <c r="H59" s="141"/>
      <c r="I59" s="141"/>
      <c r="J59" s="141"/>
      <c r="K59" s="142"/>
      <c r="L59" s="11">
        <f ca="1">OFFSET(美術!C5,0,$B$2)</f>
        <v>0</v>
      </c>
      <c r="M59" s="148"/>
      <c r="N59" s="149"/>
    </row>
    <row r="60" spans="1:14" ht="18" customHeight="1">
      <c r="A60" s="109"/>
      <c r="B60" s="152">
        <f>美術!B6</f>
        <v>0</v>
      </c>
      <c r="C60" s="141"/>
      <c r="D60" s="141"/>
      <c r="E60" s="141"/>
      <c r="F60" s="141"/>
      <c r="G60" s="141"/>
      <c r="H60" s="141"/>
      <c r="I60" s="141"/>
      <c r="J60" s="141"/>
      <c r="K60" s="142"/>
      <c r="L60" s="11">
        <f ca="1">OFFSET(美術!C6,0,$B$2)</f>
        <v>0</v>
      </c>
      <c r="M60" s="148"/>
      <c r="N60" s="149"/>
    </row>
    <row r="61" spans="1:14" ht="18" customHeight="1">
      <c r="A61" s="109"/>
      <c r="B61" s="152">
        <f>美術!B7</f>
        <v>0</v>
      </c>
      <c r="C61" s="141"/>
      <c r="D61" s="141"/>
      <c r="E61" s="141"/>
      <c r="F61" s="141"/>
      <c r="G61" s="141"/>
      <c r="H61" s="141"/>
      <c r="I61" s="141"/>
      <c r="J61" s="141"/>
      <c r="K61" s="142"/>
      <c r="L61" s="11">
        <f ca="1">OFFSET(美術!C7,0,$B$2)</f>
        <v>0</v>
      </c>
      <c r="M61" s="148"/>
      <c r="N61" s="149"/>
    </row>
    <row r="62" spans="1:14" ht="18" customHeight="1">
      <c r="A62" s="109"/>
      <c r="B62" s="152">
        <f>美術!B8</f>
        <v>0</v>
      </c>
      <c r="C62" s="141"/>
      <c r="D62" s="141"/>
      <c r="E62" s="141"/>
      <c r="F62" s="141"/>
      <c r="G62" s="141"/>
      <c r="H62" s="141"/>
      <c r="I62" s="141"/>
      <c r="J62" s="141"/>
      <c r="K62" s="142"/>
      <c r="L62" s="11">
        <f ca="1">OFFSET(美術!C8,0,$B$2)</f>
        <v>0</v>
      </c>
      <c r="M62" s="148"/>
      <c r="N62" s="149"/>
    </row>
    <row r="63" spans="1:14" ht="18" customHeight="1">
      <c r="A63" s="109"/>
      <c r="B63" s="153">
        <f>美術!B9</f>
        <v>0</v>
      </c>
      <c r="C63" s="154"/>
      <c r="D63" s="154"/>
      <c r="E63" s="154"/>
      <c r="F63" s="154"/>
      <c r="G63" s="154"/>
      <c r="H63" s="154"/>
      <c r="I63" s="154"/>
      <c r="J63" s="154"/>
      <c r="K63" s="155"/>
      <c r="L63" s="11">
        <f ca="1">OFFSET(美術!C9,0,$B$2)</f>
        <v>0</v>
      </c>
      <c r="M63" s="148"/>
      <c r="N63" s="149"/>
    </row>
    <row r="64" spans="1:14" ht="18" customHeight="1">
      <c r="A64" s="108" t="s">
        <v>34</v>
      </c>
      <c r="B64" s="143" t="str">
        <f>保体!B2</f>
        <v>知識・技能（実技・定期テスト）</v>
      </c>
      <c r="C64" s="144"/>
      <c r="D64" s="144"/>
      <c r="E64" s="144"/>
      <c r="F64" s="144"/>
      <c r="G64" s="144"/>
      <c r="H64" s="144"/>
      <c r="I64" s="144"/>
      <c r="J64" s="144"/>
      <c r="K64" s="145"/>
      <c r="L64" s="14" t="str">
        <f ca="1">OFFSET(保体!C2,0,$B$2)</f>
        <v>A</v>
      </c>
      <c r="M64" s="146">
        <f ca="1">OFFSET(保体!C12,0,$B$2)</f>
        <v>4</v>
      </c>
      <c r="N64" s="147"/>
    </row>
    <row r="65" spans="1:19" ht="18" customHeight="1">
      <c r="A65" s="109"/>
      <c r="B65" s="152" t="str">
        <f>保体!B3</f>
        <v>思考力・表現力・判断力（実技）</v>
      </c>
      <c r="C65" s="141"/>
      <c r="D65" s="141"/>
      <c r="E65" s="141"/>
      <c r="F65" s="141"/>
      <c r="G65" s="141"/>
      <c r="H65" s="141"/>
      <c r="I65" s="141"/>
      <c r="J65" s="141"/>
      <c r="K65" s="142"/>
      <c r="L65" s="11" t="str">
        <f ca="1">OFFSET(保体!C3,0,$B$2)</f>
        <v>A</v>
      </c>
      <c r="M65" s="148"/>
      <c r="N65" s="149"/>
    </row>
    <row r="66" spans="1:19" ht="18" customHeight="1">
      <c r="A66" s="109"/>
      <c r="B66" s="152" t="str">
        <f>保体!B4</f>
        <v>主体的に学習に取り組む態度</v>
      </c>
      <c r="C66" s="141"/>
      <c r="D66" s="141"/>
      <c r="E66" s="141"/>
      <c r="F66" s="141"/>
      <c r="G66" s="141"/>
      <c r="H66" s="141"/>
      <c r="I66" s="141"/>
      <c r="J66" s="141"/>
      <c r="K66" s="142"/>
      <c r="L66" s="11" t="str">
        <f ca="1">OFFSET(保体!C4,0,$B$2)</f>
        <v>B</v>
      </c>
      <c r="M66" s="148"/>
      <c r="N66" s="149"/>
    </row>
    <row r="67" spans="1:19" ht="18" customHeight="1">
      <c r="A67" s="109"/>
      <c r="B67" s="152">
        <f>保体!B5</f>
        <v>0</v>
      </c>
      <c r="C67" s="141"/>
      <c r="D67" s="141"/>
      <c r="E67" s="141"/>
      <c r="F67" s="141"/>
      <c r="G67" s="141"/>
      <c r="H67" s="141"/>
      <c r="I67" s="141"/>
      <c r="J67" s="141"/>
      <c r="K67" s="142"/>
      <c r="L67" s="11">
        <f ca="1">OFFSET(保体!C5,0,$B$2)</f>
        <v>0</v>
      </c>
      <c r="M67" s="148"/>
      <c r="N67" s="149"/>
    </row>
    <row r="68" spans="1:19" ht="18" customHeight="1">
      <c r="A68" s="109"/>
      <c r="B68" s="152">
        <f>保体!B6</f>
        <v>0</v>
      </c>
      <c r="C68" s="141"/>
      <c r="D68" s="141"/>
      <c r="E68" s="141"/>
      <c r="F68" s="141"/>
      <c r="G68" s="141"/>
      <c r="H68" s="141"/>
      <c r="I68" s="141"/>
      <c r="J68" s="141"/>
      <c r="K68" s="142"/>
      <c r="L68" s="11">
        <f ca="1">OFFSET(保体!C6,0,$B$2)</f>
        <v>0</v>
      </c>
      <c r="M68" s="148"/>
      <c r="N68" s="149"/>
    </row>
    <row r="69" spans="1:19" ht="18" customHeight="1">
      <c r="A69" s="109"/>
      <c r="B69" s="152">
        <f>保体!B7</f>
        <v>0</v>
      </c>
      <c r="C69" s="141"/>
      <c r="D69" s="141"/>
      <c r="E69" s="141"/>
      <c r="F69" s="141"/>
      <c r="G69" s="141"/>
      <c r="H69" s="141"/>
      <c r="I69" s="141"/>
      <c r="J69" s="141"/>
      <c r="K69" s="142"/>
      <c r="L69" s="11">
        <f ca="1">OFFSET(保体!C7,0,$B$2)</f>
        <v>0</v>
      </c>
      <c r="M69" s="148"/>
      <c r="N69" s="149"/>
    </row>
    <row r="70" spans="1:19" ht="18" customHeight="1">
      <c r="A70" s="109"/>
      <c r="B70" s="152">
        <f>保体!B8</f>
        <v>0</v>
      </c>
      <c r="C70" s="141"/>
      <c r="D70" s="141"/>
      <c r="E70" s="141"/>
      <c r="F70" s="141"/>
      <c r="G70" s="141"/>
      <c r="H70" s="141"/>
      <c r="I70" s="141"/>
      <c r="J70" s="141"/>
      <c r="K70" s="142"/>
      <c r="L70" s="11">
        <f ca="1">OFFSET(保体!C8,0,$B$2)</f>
        <v>0</v>
      </c>
      <c r="M70" s="148"/>
      <c r="N70" s="149"/>
    </row>
    <row r="71" spans="1:19" ht="18" customHeight="1">
      <c r="A71" s="109"/>
      <c r="B71" s="153">
        <f>保体!B9</f>
        <v>0</v>
      </c>
      <c r="C71" s="154"/>
      <c r="D71" s="154"/>
      <c r="E71" s="154"/>
      <c r="F71" s="154"/>
      <c r="G71" s="154"/>
      <c r="H71" s="154"/>
      <c r="I71" s="154"/>
      <c r="J71" s="154"/>
      <c r="K71" s="155"/>
      <c r="L71" s="11">
        <f ca="1">OFFSET(保体!C9,0,$B$2)</f>
        <v>0</v>
      </c>
      <c r="M71" s="148"/>
      <c r="N71" s="149"/>
    </row>
    <row r="72" spans="1:19" ht="18" customHeight="1">
      <c r="A72" s="108" t="s">
        <v>35</v>
      </c>
      <c r="B72" s="143" t="str">
        <f>技家!B2</f>
        <v>知識・技能(定期テスト・学習ノート・電池チェッカーの製作・テーブルタップの組立）</v>
      </c>
      <c r="C72" s="144"/>
      <c r="D72" s="144"/>
      <c r="E72" s="144"/>
      <c r="F72" s="144"/>
      <c r="G72" s="144"/>
      <c r="H72" s="144"/>
      <c r="I72" s="144"/>
      <c r="J72" s="144"/>
      <c r="K72" s="145"/>
      <c r="L72" s="14" t="str">
        <f ca="1">OFFSET(技家!C2,0,$B$2)</f>
        <v>B</v>
      </c>
      <c r="M72" s="146">
        <f ca="1">OFFSET(技家!C12,0,$B$2)</f>
        <v>4</v>
      </c>
      <c r="N72" s="147"/>
    </row>
    <row r="73" spans="1:19" ht="18" customHeight="1">
      <c r="A73" s="109"/>
      <c r="B73" s="152" t="str">
        <f>技家!B3</f>
        <v>思考・判断・表現（電気図記号を使った電気回路の製作・半田付・部屋の平面計画・授業プリント）</v>
      </c>
      <c r="C73" s="141"/>
      <c r="D73" s="141"/>
      <c r="E73" s="141"/>
      <c r="F73" s="141"/>
      <c r="G73" s="141"/>
      <c r="H73" s="141"/>
      <c r="I73" s="141"/>
      <c r="J73" s="141"/>
      <c r="K73" s="142"/>
      <c r="L73" s="11" t="str">
        <f ca="1">OFFSET(技家!C3,0,$B$2)</f>
        <v>A</v>
      </c>
      <c r="M73" s="148"/>
      <c r="N73" s="149"/>
    </row>
    <row r="74" spans="1:19" ht="18" customHeight="1">
      <c r="A74" s="109"/>
      <c r="B74" s="152" t="str">
        <f>技家!B4</f>
        <v>主体的に学習に取り組む態度</v>
      </c>
      <c r="C74" s="141"/>
      <c r="D74" s="141"/>
      <c r="E74" s="141"/>
      <c r="F74" s="141"/>
      <c r="G74" s="141"/>
      <c r="H74" s="141"/>
      <c r="I74" s="141"/>
      <c r="J74" s="141"/>
      <c r="K74" s="142"/>
      <c r="L74" s="11" t="str">
        <f ca="1">OFFSET(技家!C4,0,$B$2)</f>
        <v>A</v>
      </c>
      <c r="M74" s="148"/>
      <c r="N74" s="149"/>
    </row>
    <row r="75" spans="1:19" ht="18" customHeight="1">
      <c r="A75" s="109"/>
      <c r="B75" s="152">
        <f>技家!B5</f>
        <v>0</v>
      </c>
      <c r="C75" s="141"/>
      <c r="D75" s="141"/>
      <c r="E75" s="141"/>
      <c r="F75" s="141"/>
      <c r="G75" s="141"/>
      <c r="H75" s="141"/>
      <c r="I75" s="141"/>
      <c r="J75" s="141"/>
      <c r="K75" s="142"/>
      <c r="L75" s="11">
        <f ca="1">OFFSET(技家!C5,0,$B$2)</f>
        <v>0</v>
      </c>
      <c r="M75" s="148"/>
      <c r="N75" s="149"/>
    </row>
    <row r="76" spans="1:19" ht="18" customHeight="1">
      <c r="A76" s="109"/>
      <c r="B76" s="152">
        <f>技家!B6</f>
        <v>0</v>
      </c>
      <c r="C76" s="141"/>
      <c r="D76" s="141"/>
      <c r="E76" s="141"/>
      <c r="F76" s="141"/>
      <c r="G76" s="141"/>
      <c r="H76" s="141"/>
      <c r="I76" s="141"/>
      <c r="J76" s="141"/>
      <c r="K76" s="142"/>
      <c r="L76" s="11">
        <f ca="1">OFFSET(技家!C6,0,$B$2)</f>
        <v>0</v>
      </c>
      <c r="M76" s="148"/>
      <c r="N76" s="149"/>
      <c r="S76" s="8"/>
    </row>
    <row r="77" spans="1:19" ht="18" customHeight="1">
      <c r="A77" s="109"/>
      <c r="B77" s="152">
        <f>技家!B7</f>
        <v>0</v>
      </c>
      <c r="C77" s="141"/>
      <c r="D77" s="141"/>
      <c r="E77" s="141"/>
      <c r="F77" s="141"/>
      <c r="G77" s="141"/>
      <c r="H77" s="141"/>
      <c r="I77" s="141"/>
      <c r="J77" s="141"/>
      <c r="K77" s="142"/>
      <c r="L77" s="11">
        <f ca="1">OFFSET(技家!C7,0,$B$2)</f>
        <v>0</v>
      </c>
      <c r="M77" s="148"/>
      <c r="N77" s="149"/>
      <c r="Q77" s="10"/>
      <c r="R77" s="8"/>
      <c r="S77" s="18"/>
    </row>
    <row r="78" spans="1:19" ht="18" customHeight="1">
      <c r="A78" s="109"/>
      <c r="B78" s="152">
        <f>技家!B8</f>
        <v>0</v>
      </c>
      <c r="C78" s="141"/>
      <c r="D78" s="141"/>
      <c r="E78" s="141"/>
      <c r="F78" s="141"/>
      <c r="G78" s="141"/>
      <c r="H78" s="141"/>
      <c r="I78" s="141"/>
      <c r="J78" s="141"/>
      <c r="K78" s="142"/>
      <c r="L78" s="11">
        <f ca="1">OFFSET(技家!C8,0,$B$2)</f>
        <v>0</v>
      </c>
      <c r="M78" s="148"/>
      <c r="N78" s="149"/>
      <c r="Q78" s="10"/>
      <c r="R78" s="18"/>
      <c r="S78" s="18"/>
    </row>
    <row r="79" spans="1:19" ht="18" customHeight="1">
      <c r="A79" s="110"/>
      <c r="B79" s="153">
        <f>技家!B9</f>
        <v>0</v>
      </c>
      <c r="C79" s="154"/>
      <c r="D79" s="154"/>
      <c r="E79" s="154"/>
      <c r="F79" s="154"/>
      <c r="G79" s="154"/>
      <c r="H79" s="154"/>
      <c r="I79" s="154"/>
      <c r="J79" s="154"/>
      <c r="K79" s="155"/>
      <c r="L79" s="12">
        <f ca="1">OFFSET(技家!C9,0,$B$2)</f>
        <v>0</v>
      </c>
      <c r="M79" s="150"/>
      <c r="N79" s="151"/>
      <c r="Q79" s="18"/>
      <c r="R79" s="18"/>
      <c r="S79" s="18"/>
    </row>
    <row r="80" spans="1:19" ht="75" customHeight="1">
      <c r="A80" s="64" t="s">
        <v>19</v>
      </c>
      <c r="B80" s="130" t="str">
        <f ca="1">INDIRECT("'道徳'!B"&amp;2+$B$2)</f>
        <v>「ピンクシャツデー」の活動について知り、「いじめ」や「いじり」をなくすために大切なことを考える『明日、みんなで着よう』の単元では、「もし、いじめやいじりに近いことがあったとしても、すぐに仲直りできるような親密度のあるクラスにしたいです。それと、ただの傍観者とならないように、そのような場面があったら止めさせる行動を取りたいです。」と振り返りました。今後の生活の中でも、進んで実践していきましょう。</v>
      </c>
      <c r="C80" s="131"/>
      <c r="D80" s="131"/>
      <c r="E80" s="131"/>
      <c r="F80" s="131"/>
      <c r="G80" s="131"/>
      <c r="H80" s="131"/>
      <c r="I80" s="131"/>
      <c r="J80" s="131"/>
      <c r="K80" s="131"/>
      <c r="L80" s="131"/>
      <c r="M80" s="131"/>
      <c r="N80" s="132"/>
      <c r="Q80" s="18"/>
      <c r="R80" s="18"/>
      <c r="S80" s="18"/>
    </row>
    <row r="81" spans="1:19" ht="18" customHeight="1">
      <c r="F81" s="133" t="s">
        <v>36</v>
      </c>
      <c r="G81" s="133"/>
      <c r="I81" s="65"/>
      <c r="K81" s="8"/>
      <c r="Q81" s="18"/>
      <c r="R81" s="18"/>
      <c r="S81" s="18"/>
    </row>
    <row r="82" spans="1:19" ht="18" customHeight="1">
      <c r="A82" s="134" t="s">
        <v>37</v>
      </c>
      <c r="B82" s="137" t="str">
        <f>所見!B2</f>
        <v>基本的な生活習慣（礼節，欠席，遅刻，体調管理など）</v>
      </c>
      <c r="C82" s="138"/>
      <c r="D82" s="138"/>
      <c r="E82" s="138"/>
      <c r="F82" s="138"/>
      <c r="G82" s="66" t="str">
        <f ca="1">OFFSET(所見!C2,0,$B$2)</f>
        <v>A</v>
      </c>
      <c r="H82" s="67"/>
      <c r="I82" s="108" t="s">
        <v>7</v>
      </c>
      <c r="J82" s="139" t="s">
        <v>9</v>
      </c>
      <c r="K82" s="139"/>
      <c r="L82" s="140"/>
      <c r="M82" s="140"/>
      <c r="N82" s="15">
        <f ca="1">OFFSET(出欠!C2,0,$B$2)</f>
        <v>76</v>
      </c>
      <c r="Q82" s="18"/>
      <c r="R82" s="18"/>
      <c r="S82" s="18"/>
    </row>
    <row r="83" spans="1:19" ht="18" customHeight="1">
      <c r="A83" s="135"/>
      <c r="B83" s="126" t="str">
        <f>所見!B3</f>
        <v>自主・自律（主体的な行動，計画性，整理整頓，宿題，提出物など）</v>
      </c>
      <c r="C83" s="127"/>
      <c r="D83" s="127"/>
      <c r="E83" s="127"/>
      <c r="F83" s="127"/>
      <c r="G83" s="9" t="str">
        <f ca="1">OFFSET(所見!C3,0,$B$2)</f>
        <v>A</v>
      </c>
      <c r="H83" s="67"/>
      <c r="I83" s="109"/>
      <c r="J83" s="97" t="s">
        <v>10</v>
      </c>
      <c r="K83" s="97"/>
      <c r="L83" s="98"/>
      <c r="M83" s="98"/>
      <c r="N83" s="9">
        <f ca="1">OFFSET(出欠!C3,0,$B$2)</f>
        <v>0</v>
      </c>
      <c r="Q83" s="18"/>
      <c r="R83" s="18"/>
      <c r="S83" s="18"/>
    </row>
    <row r="84" spans="1:19" ht="18" customHeight="1">
      <c r="A84" s="135"/>
      <c r="B84" s="126" t="str">
        <f>所見!B4</f>
        <v>責任感（係，委員会，役割など）</v>
      </c>
      <c r="C84" s="127"/>
      <c r="D84" s="127"/>
      <c r="E84" s="127"/>
      <c r="F84" s="127"/>
      <c r="G84" s="9" t="str">
        <f ca="1">OFFSET(所見!C4,0,$B$2)</f>
        <v>A</v>
      </c>
      <c r="H84" s="68"/>
      <c r="I84" s="109"/>
      <c r="J84" s="141" t="s">
        <v>17</v>
      </c>
      <c r="K84" s="141"/>
      <c r="L84" s="141"/>
      <c r="M84" s="142"/>
      <c r="N84" s="9">
        <f ca="1">OFFSET(出欠!C4,0,$B$2)</f>
        <v>76</v>
      </c>
      <c r="Q84" s="18"/>
      <c r="R84" s="18"/>
      <c r="S84" s="18"/>
    </row>
    <row r="85" spans="1:19" ht="18" customHeight="1">
      <c r="A85" s="135"/>
      <c r="B85" s="126" t="str">
        <f>所見!B5</f>
        <v>思いやり・協力（友人関係，共同作業，協調性など）</v>
      </c>
      <c r="C85" s="127"/>
      <c r="D85" s="127"/>
      <c r="E85" s="127"/>
      <c r="F85" s="127"/>
      <c r="G85" s="9" t="str">
        <f ca="1">OFFSET(所見!C5,0,$B$2)</f>
        <v>B</v>
      </c>
      <c r="H85" s="67"/>
      <c r="I85" s="109"/>
      <c r="J85" s="97" t="s">
        <v>11</v>
      </c>
      <c r="K85" s="97"/>
      <c r="L85" s="98"/>
      <c r="M85" s="98"/>
      <c r="N85" s="9">
        <f ca="1">OFFSET(出欠!C5,0,$B$2)</f>
        <v>74</v>
      </c>
      <c r="Q85" s="76">
        <f>番号</f>
        <v>8</v>
      </c>
      <c r="R85" s="18"/>
      <c r="S85" s="18"/>
    </row>
    <row r="86" spans="1:19" ht="18" customHeight="1">
      <c r="A86" s="135"/>
      <c r="B86" s="126" t="str">
        <f>所見!B6</f>
        <v>勤労・奉仕（清掃，給食，奉仕活動など）</v>
      </c>
      <c r="C86" s="127"/>
      <c r="D86" s="127"/>
      <c r="E86" s="127"/>
      <c r="F86" s="127"/>
      <c r="G86" s="9" t="str">
        <f ca="1">OFFSET(所見!C6,0,$B$2)</f>
        <v>A</v>
      </c>
      <c r="H86" s="68"/>
      <c r="I86" s="109"/>
      <c r="J86" s="97" t="s">
        <v>18</v>
      </c>
      <c r="K86" s="97"/>
      <c r="L86" s="98"/>
      <c r="M86" s="98"/>
      <c r="N86" s="9">
        <f ca="1">OFFSET(出欠!C6,0,$B$2)</f>
        <v>2</v>
      </c>
      <c r="Q86" s="18"/>
      <c r="R86" s="18"/>
      <c r="S86" s="18"/>
    </row>
    <row r="87" spans="1:19" ht="18" customHeight="1">
      <c r="A87" s="136"/>
      <c r="B87" s="128" t="str">
        <f>所見!B7</f>
        <v>公正・公平（規則，マナー，平等など）</v>
      </c>
      <c r="C87" s="129"/>
      <c r="D87" s="129"/>
      <c r="E87" s="129"/>
      <c r="F87" s="129"/>
      <c r="G87" s="69" t="str">
        <f ca="1">OFFSET(所見!C7,0,$B$2)</f>
        <v>B</v>
      </c>
      <c r="H87" s="67"/>
      <c r="I87" s="109"/>
      <c r="J87" s="97" t="s">
        <v>12</v>
      </c>
      <c r="K87" s="97"/>
      <c r="L87" s="98"/>
      <c r="M87" s="98"/>
      <c r="N87" s="9">
        <f ca="1">OFFSET(出欠!C7,0,$B$2)</f>
        <v>2</v>
      </c>
      <c r="Q87" s="18"/>
      <c r="R87" s="18"/>
      <c r="S87" s="17"/>
    </row>
    <row r="88" spans="1:19" ht="18" customHeight="1">
      <c r="F88" s="70"/>
      <c r="G88" s="70"/>
      <c r="H88" s="67"/>
      <c r="I88" s="109"/>
      <c r="J88" s="97" t="s">
        <v>13</v>
      </c>
      <c r="K88" s="97"/>
      <c r="L88" s="98"/>
      <c r="M88" s="98"/>
      <c r="N88" s="9">
        <f ca="1">OFFSET(出欠!C8,0,$B$2)</f>
        <v>1</v>
      </c>
      <c r="Q88" s="17"/>
      <c r="R88" s="17"/>
      <c r="S88" s="17"/>
    </row>
    <row r="89" spans="1:19" ht="18" customHeight="1">
      <c r="A89" s="99" t="s">
        <v>38</v>
      </c>
      <c r="B89" s="102" t="str">
        <f ca="1">INDIRECT("'所見'!B"&amp;34+$B$2)</f>
        <v>進路ガイダンス、職業調べ、STEAM学習（弘法山清掃活動、、さいきょう祭ミュージカル準備）、宿泊研修事前・事後学習（乗鞍キャンプ）</v>
      </c>
      <c r="C89" s="103"/>
      <c r="E89" s="108" t="s">
        <v>39</v>
      </c>
      <c r="F89" s="111" t="str">
        <f ca="1">INDIRECT("'所見'!B"&amp;8+$B$2)</f>
        <v>自主勉係、体育委員会、バスケ部、体育祭８学年赤組リーダー、さいきょう祭ミュージカル演出副係長</v>
      </c>
      <c r="G89" s="112"/>
      <c r="H89" s="67"/>
      <c r="I89" s="109"/>
      <c r="J89" s="117" t="s">
        <v>40</v>
      </c>
      <c r="K89" s="120" t="str">
        <f ca="1">"備考： "&amp;INDIRECT("'出欠'!B"&amp;9+$B$2)</f>
        <v>備考： 欠席２（かぜ１、家事都合１）、遅刻２（家事都合１、首の痛み１）、早退１（家事都合１）</v>
      </c>
      <c r="L89" s="120"/>
      <c r="M89" s="120"/>
      <c r="N89" s="121"/>
      <c r="Q89" s="17"/>
      <c r="R89" s="17"/>
    </row>
    <row r="90" spans="1:19" ht="18" customHeight="1">
      <c r="A90" s="100"/>
      <c r="B90" s="104"/>
      <c r="C90" s="105"/>
      <c r="E90" s="109"/>
      <c r="F90" s="113"/>
      <c r="G90" s="114"/>
      <c r="H90" s="71"/>
      <c r="I90" s="109"/>
      <c r="J90" s="118"/>
      <c r="K90" s="122"/>
      <c r="L90" s="122"/>
      <c r="M90" s="122"/>
      <c r="N90" s="123"/>
    </row>
    <row r="91" spans="1:19" ht="18" customHeight="1">
      <c r="A91" s="100"/>
      <c r="B91" s="104"/>
      <c r="C91" s="105"/>
      <c r="E91" s="109"/>
      <c r="F91" s="113"/>
      <c r="G91" s="114"/>
      <c r="H91" s="67"/>
      <c r="I91" s="109"/>
      <c r="J91" s="118"/>
      <c r="K91" s="122"/>
      <c r="L91" s="122"/>
      <c r="M91" s="122"/>
      <c r="N91" s="123"/>
    </row>
    <row r="92" spans="1:19" ht="18" customHeight="1">
      <c r="A92" s="100"/>
      <c r="B92" s="104"/>
      <c r="C92" s="105"/>
      <c r="E92" s="109"/>
      <c r="F92" s="113"/>
      <c r="G92" s="114"/>
      <c r="H92" s="67"/>
      <c r="I92" s="109"/>
      <c r="J92" s="118"/>
      <c r="K92" s="122"/>
      <c r="L92" s="122"/>
      <c r="M92" s="122"/>
      <c r="N92" s="123"/>
    </row>
    <row r="93" spans="1:19" ht="18" customHeight="1">
      <c r="A93" s="101"/>
      <c r="B93" s="106"/>
      <c r="C93" s="107"/>
      <c r="E93" s="110"/>
      <c r="F93" s="115"/>
      <c r="G93" s="116"/>
      <c r="H93" s="72"/>
      <c r="I93" s="110"/>
      <c r="J93" s="119"/>
      <c r="K93" s="124"/>
      <c r="L93" s="124"/>
      <c r="M93" s="124"/>
      <c r="N93" s="125"/>
    </row>
    <row r="94" spans="1:19" ht="15" customHeight="1">
      <c r="H94" s="10"/>
    </row>
    <row r="95" spans="1:19" ht="187.5" customHeight="1">
      <c r="A95" s="64" t="s">
        <v>8</v>
      </c>
      <c r="B95" s="92" t="str">
        <f ca="1">INDIRECT("'所見'!B"&amp;$V$5+$B$2)</f>
        <v>毎日元気に、クラスメイトと親睦を深めながら過ごすことができました。規範意識、責任感を持って、率先して動いたり皆に声掛けをしたりすることができ、担任としてもとても頼りにさせてもらいました。ただし、まだ一部の場面で羽目を外し過ぎてしまい、評価を大きく落としてしまう姿が見られました。日頃の働きからすると、非常に勿体ないことですので、２学期はより気を付けて生活を送りましょう。体育祭では、８学年赤組のキャプテンとして、チームを勝利に導くため全力を尽くしました。誰よりも気合を入れて大きな声で檄を飛ばし、日々勝つためにはどうすればよいか模索して作戦を指導する姿は立派でした。今後の生徒会活動や来年の体育祭に向けても、十分な能力があることを示してくれました。期待しています。学習面では、日々の授業にしっかりと取り組み、宿題の提出率もほぼ１００％を維持しています。休み時間などに急いで宿題を片付けている場面が見られますので、落ち着いた環境で、ゆっくりと勉強する時間が増えると良いかもしれません。習い事で忙しいかとも思いますが、文武両道を目指して頑張りましょう。</v>
      </c>
      <c r="C95" s="93"/>
      <c r="D95" s="93"/>
      <c r="E95" s="93"/>
      <c r="F95" s="93"/>
      <c r="G95" s="93"/>
      <c r="H95" s="93"/>
      <c r="I95" s="93"/>
      <c r="J95" s="93"/>
      <c r="K95" s="93"/>
      <c r="L95" s="93"/>
      <c r="M95" s="93"/>
      <c r="N95" s="94"/>
    </row>
  </sheetData>
  <mergeCells count="121">
    <mergeCell ref="A1:B1"/>
    <mergeCell ref="C1:L1"/>
    <mergeCell ref="L2:N2"/>
    <mergeCell ref="A4:N4"/>
    <mergeCell ref="B5:K5"/>
    <mergeCell ref="M5:N5"/>
    <mergeCell ref="A6:A13"/>
    <mergeCell ref="B6:K6"/>
    <mergeCell ref="M6:N13"/>
    <mergeCell ref="B7:K7"/>
    <mergeCell ref="B8:K8"/>
    <mergeCell ref="B9:K9"/>
    <mergeCell ref="B10:K10"/>
    <mergeCell ref="B11:K11"/>
    <mergeCell ref="B12:K12"/>
    <mergeCell ref="B13:K13"/>
    <mergeCell ref="A14:A21"/>
    <mergeCell ref="B14:K14"/>
    <mergeCell ref="M14:N21"/>
    <mergeCell ref="B15:K15"/>
    <mergeCell ref="B16:K16"/>
    <mergeCell ref="B17:K17"/>
    <mergeCell ref="B18:K18"/>
    <mergeCell ref="B19:K19"/>
    <mergeCell ref="B20:K20"/>
    <mergeCell ref="B21:K21"/>
    <mergeCell ref="A22:A29"/>
    <mergeCell ref="B22:K22"/>
    <mergeCell ref="M22:N29"/>
    <mergeCell ref="B23:K23"/>
    <mergeCell ref="B24:K24"/>
    <mergeCell ref="B25:K25"/>
    <mergeCell ref="B26:K26"/>
    <mergeCell ref="B27:K27"/>
    <mergeCell ref="B28:K28"/>
    <mergeCell ref="B29:K29"/>
    <mergeCell ref="A30:A37"/>
    <mergeCell ref="B30:K30"/>
    <mergeCell ref="M30:N37"/>
    <mergeCell ref="B31:K31"/>
    <mergeCell ref="B32:K32"/>
    <mergeCell ref="B33:K33"/>
    <mergeCell ref="B34:K34"/>
    <mergeCell ref="B35:K35"/>
    <mergeCell ref="B36:K36"/>
    <mergeCell ref="B37:K37"/>
    <mergeCell ref="A38:A45"/>
    <mergeCell ref="B38:K38"/>
    <mergeCell ref="M38:N45"/>
    <mergeCell ref="B39:K39"/>
    <mergeCell ref="B40:K40"/>
    <mergeCell ref="B41:K41"/>
    <mergeCell ref="B42:K42"/>
    <mergeCell ref="B43:K43"/>
    <mergeCell ref="B44:K44"/>
    <mergeCell ref="B45:K45"/>
    <mergeCell ref="A46:A53"/>
    <mergeCell ref="B46:K46"/>
    <mergeCell ref="M46:N53"/>
    <mergeCell ref="B47:K47"/>
    <mergeCell ref="B48:K48"/>
    <mergeCell ref="B49:K49"/>
    <mergeCell ref="B50:K50"/>
    <mergeCell ref="B51:K51"/>
    <mergeCell ref="B52:K52"/>
    <mergeCell ref="B53:K53"/>
    <mergeCell ref="A56:A63"/>
    <mergeCell ref="B56:K56"/>
    <mergeCell ref="M56:N63"/>
    <mergeCell ref="B57:K57"/>
    <mergeCell ref="B58:K58"/>
    <mergeCell ref="B59:K59"/>
    <mergeCell ref="B60:K60"/>
    <mergeCell ref="B61:K61"/>
    <mergeCell ref="B62:K62"/>
    <mergeCell ref="B63:K63"/>
    <mergeCell ref="A64:A71"/>
    <mergeCell ref="B64:K64"/>
    <mergeCell ref="M64:N71"/>
    <mergeCell ref="B65:K65"/>
    <mergeCell ref="B66:K66"/>
    <mergeCell ref="B67:K67"/>
    <mergeCell ref="B68:K68"/>
    <mergeCell ref="B69:K69"/>
    <mergeCell ref="B70:K70"/>
    <mergeCell ref="B71:K71"/>
    <mergeCell ref="J84:M84"/>
    <mergeCell ref="A72:A79"/>
    <mergeCell ref="B72:K72"/>
    <mergeCell ref="M72:N79"/>
    <mergeCell ref="B73:K73"/>
    <mergeCell ref="B74:K74"/>
    <mergeCell ref="B75:K75"/>
    <mergeCell ref="B76:K76"/>
    <mergeCell ref="B77:K77"/>
    <mergeCell ref="B78:K78"/>
    <mergeCell ref="B79:K79"/>
    <mergeCell ref="B95:N95"/>
    <mergeCell ref="P7:Q7"/>
    <mergeCell ref="J88:M88"/>
    <mergeCell ref="A89:A93"/>
    <mergeCell ref="B89:C93"/>
    <mergeCell ref="E89:E93"/>
    <mergeCell ref="F89:G93"/>
    <mergeCell ref="J89:J93"/>
    <mergeCell ref="K89:N93"/>
    <mergeCell ref="B85:F85"/>
    <mergeCell ref="J85:M85"/>
    <mergeCell ref="B86:F86"/>
    <mergeCell ref="J86:M86"/>
    <mergeCell ref="B87:F87"/>
    <mergeCell ref="J87:M87"/>
    <mergeCell ref="B80:N80"/>
    <mergeCell ref="F81:G81"/>
    <mergeCell ref="A82:A87"/>
    <mergeCell ref="B82:F82"/>
    <mergeCell ref="I82:I93"/>
    <mergeCell ref="J82:M82"/>
    <mergeCell ref="B83:F83"/>
    <mergeCell ref="J83:M83"/>
    <mergeCell ref="B84:F84"/>
  </mergeCells>
  <phoneticPr fontId="1"/>
  <conditionalFormatting sqref="K89 L6:L79 B6:B53 F89 B56:B80 G82:G87 H93 B82 B95 C54:K55 B89">
    <cfRule type="cellIs" dxfId="25" priority="5" stopIfTrue="1" operator="equal">
      <formula>0</formula>
    </cfRule>
  </conditionalFormatting>
  <conditionalFormatting sqref="B83:B87">
    <cfRule type="cellIs" dxfId="24" priority="4" stopIfTrue="1" operator="equal">
      <formula>0</formula>
    </cfRule>
  </conditionalFormatting>
  <conditionalFormatting sqref="Q87:R89 S77:S88">
    <cfRule type="cellIs" dxfId="23" priority="3" stopIfTrue="1" operator="equal">
      <formula>0</formula>
    </cfRule>
  </conditionalFormatting>
  <conditionalFormatting sqref="Q79:R86 R78">
    <cfRule type="cellIs" dxfId="22" priority="2" stopIfTrue="1" operator="equal">
      <formula>0</formula>
    </cfRule>
  </conditionalFormatting>
  <conditionalFormatting sqref="Q17:R20">
    <cfRule type="cellIs" dxfId="21"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3" fitToHeight="2" orientation="portrait" horizontalDpi="300" verticalDpi="300" r:id="rId1"/>
  <headerFooter alignWithMargins="0"/>
  <rowBreaks count="1" manualBreakCount="1">
    <brk id="54"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元データ取込">
                <anchor moveWithCells="1" sizeWithCells="1">
                  <from>
                    <xdr:col>14</xdr:col>
                    <xdr:colOff>571500</xdr:colOff>
                    <xdr:row>4</xdr:row>
                    <xdr:rowOff>28575</xdr:rowOff>
                  </from>
                  <to>
                    <xdr:col>17</xdr:col>
                    <xdr:colOff>123825</xdr:colOff>
                    <xdr:row>5</xdr:row>
                    <xdr:rowOff>95250</xdr:rowOff>
                  </to>
                </anchor>
              </controlPr>
            </control>
          </mc:Choice>
        </mc:AlternateContent>
        <mc:AlternateContent xmlns:mc="http://schemas.openxmlformats.org/markup-compatibility/2006">
          <mc:Choice Requires="x14">
            <control shapeId="15362" r:id="rId5" name="Button 2">
              <controlPr defaultSize="0" print="0" autoFill="0" autoPict="0" macro="[0]!通知票印刷">
                <anchor moveWithCells="1" sizeWithCells="1">
                  <from>
                    <xdr:col>14</xdr:col>
                    <xdr:colOff>571500</xdr:colOff>
                    <xdr:row>10</xdr:row>
                    <xdr:rowOff>76200</xdr:rowOff>
                  </from>
                  <to>
                    <xdr:col>17</xdr:col>
                    <xdr:colOff>161925</xdr:colOff>
                    <xdr:row>11</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所見集印刷">
                <anchor moveWithCells="1" sizeWithCells="1">
                  <from>
                    <xdr:col>14</xdr:col>
                    <xdr:colOff>571500</xdr:colOff>
                    <xdr:row>12</xdr:row>
                    <xdr:rowOff>47625</xdr:rowOff>
                  </from>
                  <to>
                    <xdr:col>17</xdr:col>
                    <xdr:colOff>161925</xdr:colOff>
                    <xdr:row>13</xdr:row>
                    <xdr:rowOff>123825</xdr:rowOff>
                  </to>
                </anchor>
              </controlPr>
            </control>
          </mc:Choice>
        </mc:AlternateContent>
        <mc:AlternateContent xmlns:mc="http://schemas.openxmlformats.org/markup-compatibility/2006">
          <mc:Choice Requires="x14">
            <control shapeId="15364" r:id="rId7" name="Button 4">
              <controlPr defaultSize="0" print="0" autoFill="0" autoPict="0" macro="[0]!前">
                <anchor moveWithCells="1" sizeWithCells="1">
                  <from>
                    <xdr:col>15</xdr:col>
                    <xdr:colOff>66675</xdr:colOff>
                    <xdr:row>83</xdr:row>
                    <xdr:rowOff>200025</xdr:rowOff>
                  </from>
                  <to>
                    <xdr:col>16</xdr:col>
                    <xdr:colOff>9525</xdr:colOff>
                    <xdr:row>85</xdr:row>
                    <xdr:rowOff>19050</xdr:rowOff>
                  </to>
                </anchor>
              </controlPr>
            </control>
          </mc:Choice>
        </mc:AlternateContent>
        <mc:AlternateContent xmlns:mc="http://schemas.openxmlformats.org/markup-compatibility/2006">
          <mc:Choice Requires="x14">
            <control shapeId="15365" r:id="rId8" name="Button 5">
              <controlPr defaultSize="0" print="0" autoFill="0" autoPict="0" macro="[0]!先">
                <anchor moveWithCells="1" sizeWithCells="1">
                  <from>
                    <xdr:col>17</xdr:col>
                    <xdr:colOff>133350</xdr:colOff>
                    <xdr:row>83</xdr:row>
                    <xdr:rowOff>200025</xdr:rowOff>
                  </from>
                  <to>
                    <xdr:col>17</xdr:col>
                    <xdr:colOff>438150</xdr:colOff>
                    <xdr:row>85</xdr:row>
                    <xdr:rowOff>19050</xdr:rowOff>
                  </to>
                </anchor>
              </controlPr>
            </control>
          </mc:Choice>
        </mc:AlternateContent>
        <mc:AlternateContent xmlns:mc="http://schemas.openxmlformats.org/markup-compatibility/2006">
          <mc:Choice Requires="x14">
            <control shapeId="15366" r:id="rId9" name="Button 6">
              <controlPr defaultSize="0" print="0" autoFill="0" autoPict="0" macro="[0]!前">
                <anchor moveWithCells="1" sizeWithCells="1">
                  <from>
                    <xdr:col>15</xdr:col>
                    <xdr:colOff>66675</xdr:colOff>
                    <xdr:row>17</xdr:row>
                    <xdr:rowOff>200025</xdr:rowOff>
                  </from>
                  <to>
                    <xdr:col>16</xdr:col>
                    <xdr:colOff>9525</xdr:colOff>
                    <xdr:row>19</xdr:row>
                    <xdr:rowOff>19050</xdr:rowOff>
                  </to>
                </anchor>
              </controlPr>
            </control>
          </mc:Choice>
        </mc:AlternateContent>
        <mc:AlternateContent xmlns:mc="http://schemas.openxmlformats.org/markup-compatibility/2006">
          <mc:Choice Requires="x14">
            <control shapeId="15367" r:id="rId10" name="Button 7">
              <controlPr defaultSize="0" print="0" autoFill="0" autoPict="0" macro="[0]!先">
                <anchor moveWithCells="1" sizeWithCells="1">
                  <from>
                    <xdr:col>17</xdr:col>
                    <xdr:colOff>133350</xdr:colOff>
                    <xdr:row>17</xdr:row>
                    <xdr:rowOff>200025</xdr:rowOff>
                  </from>
                  <to>
                    <xdr:col>17</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6"/>
  <sheetViews>
    <sheetView view="pageBreakPreview" zoomScaleNormal="70" zoomScaleSheetLayoutView="100" workbookViewId="0">
      <selection activeCell="C6" sqref="C6"/>
    </sheetView>
  </sheetViews>
  <sheetFormatPr defaultRowHeight="13.5"/>
  <cols>
    <col min="1" max="2" width="4.25" style="4" customWidth="1"/>
    <col min="3" max="3" width="95" style="4" customWidth="1"/>
    <col min="4" max="16384" width="9" style="4"/>
  </cols>
  <sheetData>
    <row r="1" spans="1:3" ht="18.75" customHeight="1">
      <c r="A1" s="156" t="str">
        <f ca="1">通知票!A1</f>
        <v>８－１</v>
      </c>
      <c r="B1" s="156"/>
      <c r="C1" s="43" t="str">
        <f ca="1">通知票!C1</f>
        <v>1学期</v>
      </c>
    </row>
    <row r="2" spans="1:3" ht="18.75" customHeight="1">
      <c r="A2" s="44" t="s">
        <v>25</v>
      </c>
      <c r="B2" s="43">
        <v>17</v>
      </c>
      <c r="C2" s="55">
        <f ca="1">INDIRECT("'所見'!A"&amp;8+$B$2)</f>
        <v>0</v>
      </c>
    </row>
    <row r="3" spans="1:3" ht="12" customHeight="1">
      <c r="C3" s="5"/>
    </row>
    <row r="4" spans="1:3" ht="18.75" customHeight="1">
      <c r="A4" s="45" t="s">
        <v>1</v>
      </c>
      <c r="B4" s="46" t="s">
        <v>3</v>
      </c>
      <c r="C4" s="15" t="s">
        <v>26</v>
      </c>
    </row>
    <row r="5" spans="1:3" ht="67.5" customHeight="1">
      <c r="A5" s="47" t="s">
        <v>5</v>
      </c>
      <c r="B5" s="48">
        <f ca="1">OFFSET(国語!C12,0,$B$2)</f>
        <v>0</v>
      </c>
      <c r="C5" s="49">
        <f ca="1">INDIRECT("'国語'!B"&amp;14+$B$2)</f>
        <v>0</v>
      </c>
    </row>
    <row r="6" spans="1:3" ht="67.5" customHeight="1">
      <c r="A6" s="50" t="s">
        <v>45</v>
      </c>
      <c r="B6" s="51">
        <f ca="1">OFFSET(数学!C12,0,$B$2)</f>
        <v>0</v>
      </c>
      <c r="C6" s="52">
        <f ca="1">INDIRECT("'数学'!B"&amp;14+$B$2)</f>
        <v>0</v>
      </c>
    </row>
    <row r="7" spans="1:3" ht="67.5" customHeight="1">
      <c r="A7" s="47" t="s">
        <v>29</v>
      </c>
      <c r="B7" s="48">
        <f ca="1">OFFSET(理科!C12,0,$B$2)</f>
        <v>0</v>
      </c>
      <c r="C7" s="49">
        <f ca="1">INDIRECT("'理科'!B"&amp;14+$B$2)</f>
        <v>0</v>
      </c>
    </row>
    <row r="8" spans="1:3" ht="67.5" customHeight="1">
      <c r="A8" s="47" t="s">
        <v>30</v>
      </c>
      <c r="B8" s="48">
        <f ca="1">OFFSET(社会!C12,0,$B$2)</f>
        <v>0</v>
      </c>
      <c r="C8" s="49">
        <f ca="1">INDIRECT("'社会'!B"&amp;14+$B$2)</f>
        <v>0</v>
      </c>
    </row>
    <row r="9" spans="1:3" ht="67.5" customHeight="1">
      <c r="A9" s="50" t="s">
        <v>6</v>
      </c>
      <c r="B9" s="51">
        <f ca="1">OFFSET(英語!C12,0,$B$2)</f>
        <v>0</v>
      </c>
      <c r="C9" s="52">
        <f ca="1">INDIRECT("'英語'!B"&amp;14+$B$2)</f>
        <v>0</v>
      </c>
    </row>
    <row r="10" spans="1:3" ht="67.5" customHeight="1">
      <c r="A10" s="47" t="s">
        <v>0</v>
      </c>
      <c r="B10" s="48">
        <f ca="1">OFFSET(音楽!C12,0,$B$2)</f>
        <v>0</v>
      </c>
      <c r="C10" s="49">
        <f ca="1">INDIRECT("'音楽'!B"&amp;14+$B$2)</f>
        <v>0</v>
      </c>
    </row>
    <row r="11" spans="1:3" ht="67.5" customHeight="1">
      <c r="A11" s="50" t="s">
        <v>46</v>
      </c>
      <c r="B11" s="51">
        <f ca="1">OFFSET(美術!C12,0,$B$2)</f>
        <v>0</v>
      </c>
      <c r="C11" s="52">
        <f ca="1">INDIRECT("'美術'!B"&amp;14+$B$2)</f>
        <v>0</v>
      </c>
    </row>
    <row r="12" spans="1:3" ht="67.5" customHeight="1">
      <c r="A12" s="47" t="s">
        <v>48</v>
      </c>
      <c r="B12" s="48">
        <f ca="1">OFFSET(保体!C12,0,$B$2)</f>
        <v>0</v>
      </c>
      <c r="C12" s="49">
        <f ca="1">INDIRECT("'保体'!B"&amp;14+$B$2)</f>
        <v>0</v>
      </c>
    </row>
    <row r="13" spans="1:3" ht="67.5" customHeight="1">
      <c r="A13" s="47" t="s">
        <v>47</v>
      </c>
      <c r="B13" s="48">
        <f ca="1">OFFSET(技家!C12,0,$B$2)</f>
        <v>0</v>
      </c>
      <c r="C13" s="49">
        <f ca="1">INDIRECT("'技家'!B"&amp;14+$B$2)</f>
        <v>0</v>
      </c>
    </row>
    <row r="14" spans="1:3" ht="67.5" customHeight="1">
      <c r="A14" s="47" t="s">
        <v>19</v>
      </c>
      <c r="B14" s="166">
        <f ca="1">INDIRECT("'道徳'!B"&amp;2+$B$2)</f>
        <v>0</v>
      </c>
      <c r="C14" s="167"/>
    </row>
    <row r="15" spans="1:3" ht="15" customHeight="1">
      <c r="C15" s="53"/>
    </row>
    <row r="16" spans="1:3" ht="224.25" customHeight="1">
      <c r="A16" s="16" t="s">
        <v>8</v>
      </c>
      <c r="B16" s="54"/>
      <c r="C16" s="49">
        <f ca="1">INDIRECT("'所見'!B"&amp;通知票!$V$5+$B$2)</f>
        <v>0</v>
      </c>
    </row>
  </sheetData>
  <mergeCells count="2">
    <mergeCell ref="A1:B1"/>
    <mergeCell ref="B14:C14"/>
  </mergeCells>
  <phoneticPr fontId="1"/>
  <conditionalFormatting sqref="C16 C5:C7 C9:C12">
    <cfRule type="cellIs" dxfId="20" priority="3" stopIfTrue="1" operator="equal">
      <formula>0</formula>
    </cfRule>
  </conditionalFormatting>
  <conditionalFormatting sqref="C8">
    <cfRule type="cellIs" dxfId="19" priority="2" stopIfTrue="1" operator="equal">
      <formula>0</formula>
    </cfRule>
  </conditionalFormatting>
  <conditionalFormatting sqref="C13">
    <cfRule type="cellIs" dxfId="18"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86"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８－１</v>
      </c>
      <c r="B1" s="22" t="str">
        <f ca="1">RIGHT(CELL("filename",B1),LEN(CELL("filename",B1))-FIND("]",CELL("filename",B1)))</f>
        <v>国語</v>
      </c>
      <c r="C1" s="23" t="s">
        <v>62</v>
      </c>
      <c r="D1" s="24" t="str">
        <f>A15</f>
        <v>伊東 資竜</v>
      </c>
      <c r="E1" s="24" t="str">
        <f>A16</f>
        <v>大堀キム 未奈</v>
      </c>
      <c r="F1" s="24" t="str">
        <f>A17</f>
        <v>門田 湧真</v>
      </c>
      <c r="G1" s="24" t="str">
        <f>A18</f>
        <v>行田 さとみ</v>
      </c>
      <c r="H1" s="24" t="str">
        <f>A19</f>
        <v>久保田 明誠</v>
      </c>
      <c r="I1" s="24" t="str">
        <f>A20</f>
        <v>小松 流翔</v>
      </c>
      <c r="J1" s="24" t="str">
        <f>A21</f>
        <v>佐藤 美月</v>
      </c>
      <c r="K1" s="24" t="str">
        <f>A22</f>
        <v>辛 祐輝</v>
      </c>
      <c r="L1" s="24" t="str">
        <f>A23</f>
        <v>新保 芙佑香</v>
      </c>
      <c r="M1" s="24" t="str">
        <f>A24</f>
        <v>宋 語唯</v>
      </c>
      <c r="N1" s="24" t="str">
        <f>A25</f>
        <v>髙山 愛永</v>
      </c>
      <c r="O1" s="24" t="str">
        <f>A26</f>
        <v>滝澤 愛佳</v>
      </c>
      <c r="P1" s="24" t="str">
        <f>A27</f>
        <v>中山 千愛</v>
      </c>
      <c r="Q1" s="24" t="str">
        <f>A28</f>
        <v>花岡 麻貴</v>
      </c>
      <c r="R1" s="24" t="str">
        <f>A29</f>
        <v>宮下 花</v>
      </c>
      <c r="S1" s="24" t="str">
        <f>A30</f>
        <v>六井 啓翔</v>
      </c>
      <c r="T1" s="24">
        <f>A31</f>
        <v>0</v>
      </c>
      <c r="U1" s="24">
        <f>A32</f>
        <v>0</v>
      </c>
      <c r="V1" s="24">
        <f>A33</f>
        <v>0</v>
      </c>
      <c r="W1" s="24">
        <f>A34</f>
        <v>0</v>
      </c>
      <c r="X1" s="24">
        <f>A35</f>
        <v>0</v>
      </c>
      <c r="Y1" s="24">
        <f>A36</f>
        <v>0</v>
      </c>
      <c r="Z1" s="24">
        <f>A37</f>
        <v>0</v>
      </c>
      <c r="AA1" s="24">
        <f>A38</f>
        <v>0</v>
      </c>
      <c r="AB1" s="24">
        <f>A39</f>
        <v>0</v>
      </c>
      <c r="AC1" s="25"/>
    </row>
    <row r="2" spans="1:30" ht="22.5" customHeight="1">
      <c r="A2" s="171" t="s">
        <v>173</v>
      </c>
      <c r="B2" s="58" t="s">
        <v>59</v>
      </c>
      <c r="C2" s="26" t="s">
        <v>63</v>
      </c>
      <c r="D2" s="79" t="s">
        <v>174</v>
      </c>
      <c r="E2" s="79" t="s">
        <v>175</v>
      </c>
      <c r="F2" s="79" t="s">
        <v>175</v>
      </c>
      <c r="G2" s="79" t="s">
        <v>176</v>
      </c>
      <c r="H2" s="79" t="s">
        <v>176</v>
      </c>
      <c r="I2" s="79" t="s">
        <v>177</v>
      </c>
      <c r="J2" s="79" t="s">
        <v>61</v>
      </c>
      <c r="K2" s="79" t="s">
        <v>178</v>
      </c>
      <c r="L2" s="79" t="s">
        <v>176</v>
      </c>
      <c r="M2" s="79" t="s">
        <v>179</v>
      </c>
      <c r="N2" s="79" t="s">
        <v>175</v>
      </c>
      <c r="O2" s="79" t="s">
        <v>175</v>
      </c>
      <c r="P2" s="79" t="s">
        <v>179</v>
      </c>
      <c r="Q2" s="79" t="s">
        <v>175</v>
      </c>
      <c r="R2" s="79" t="s">
        <v>179</v>
      </c>
      <c r="S2" s="79" t="s">
        <v>180</v>
      </c>
      <c r="T2" s="27"/>
      <c r="U2" s="27"/>
      <c r="V2" s="27"/>
      <c r="W2" s="27"/>
      <c r="X2" s="27"/>
      <c r="Y2" s="27"/>
      <c r="Z2" s="27"/>
      <c r="AA2" s="27"/>
      <c r="AB2" s="27"/>
      <c r="AC2" s="28" t="s">
        <v>179</v>
      </c>
      <c r="AD2" s="28">
        <v>1</v>
      </c>
    </row>
    <row r="3" spans="1:30" ht="22.5" customHeight="1">
      <c r="A3" s="172"/>
      <c r="B3" s="58" t="s">
        <v>60</v>
      </c>
      <c r="C3" s="26" t="s">
        <v>63</v>
      </c>
      <c r="D3" s="79" t="s">
        <v>180</v>
      </c>
      <c r="E3" s="79" t="s">
        <v>179</v>
      </c>
      <c r="F3" s="79" t="s">
        <v>179</v>
      </c>
      <c r="G3" s="79" t="s">
        <v>181</v>
      </c>
      <c r="H3" s="79" t="s">
        <v>179</v>
      </c>
      <c r="I3" s="79" t="s">
        <v>181</v>
      </c>
      <c r="J3" s="79" t="s">
        <v>180</v>
      </c>
      <c r="K3" s="79" t="s">
        <v>180</v>
      </c>
      <c r="L3" s="79" t="s">
        <v>182</v>
      </c>
      <c r="M3" s="79" t="s">
        <v>179</v>
      </c>
      <c r="N3" s="79" t="s">
        <v>181</v>
      </c>
      <c r="O3" s="79" t="s">
        <v>179</v>
      </c>
      <c r="P3" s="79" t="s">
        <v>180</v>
      </c>
      <c r="Q3" s="79" t="s">
        <v>176</v>
      </c>
      <c r="R3" s="79" t="s">
        <v>179</v>
      </c>
      <c r="S3" s="79" t="s">
        <v>180</v>
      </c>
      <c r="T3" s="27"/>
      <c r="U3" s="27"/>
      <c r="V3" s="27"/>
      <c r="W3" s="27"/>
      <c r="X3" s="27"/>
      <c r="Y3" s="27"/>
      <c r="Z3" s="27"/>
      <c r="AA3" s="27"/>
      <c r="AB3" s="27"/>
      <c r="AC3" s="28" t="s">
        <v>180</v>
      </c>
      <c r="AD3" s="28">
        <v>2</v>
      </c>
    </row>
    <row r="4" spans="1:30" ht="22.5" customHeight="1">
      <c r="A4" s="172"/>
      <c r="B4" s="58" t="s">
        <v>183</v>
      </c>
      <c r="C4" s="26" t="s">
        <v>63</v>
      </c>
      <c r="D4" s="79" t="s">
        <v>184</v>
      </c>
      <c r="E4" s="79" t="s">
        <v>179</v>
      </c>
      <c r="F4" s="79" t="s">
        <v>179</v>
      </c>
      <c r="G4" s="79" t="s">
        <v>179</v>
      </c>
      <c r="H4" s="79" t="s">
        <v>179</v>
      </c>
      <c r="I4" s="79" t="s">
        <v>179</v>
      </c>
      <c r="J4" s="79" t="s">
        <v>179</v>
      </c>
      <c r="K4" s="79" t="s">
        <v>179</v>
      </c>
      <c r="L4" s="79" t="s">
        <v>179</v>
      </c>
      <c r="M4" s="79" t="s">
        <v>176</v>
      </c>
      <c r="N4" s="79" t="s">
        <v>179</v>
      </c>
      <c r="O4" s="79" t="s">
        <v>179</v>
      </c>
      <c r="P4" s="79" t="s">
        <v>176</v>
      </c>
      <c r="Q4" s="79" t="s">
        <v>179</v>
      </c>
      <c r="R4" s="79" t="s">
        <v>179</v>
      </c>
      <c r="S4" s="79" t="s">
        <v>184</v>
      </c>
      <c r="T4" s="27"/>
      <c r="U4" s="27"/>
      <c r="V4" s="27"/>
      <c r="W4" s="27"/>
      <c r="X4" s="27"/>
      <c r="Y4" s="27"/>
      <c r="Z4" s="27"/>
      <c r="AA4" s="27"/>
      <c r="AB4" s="27"/>
      <c r="AC4" s="28" t="s">
        <v>184</v>
      </c>
      <c r="AD4" s="28">
        <v>3</v>
      </c>
    </row>
    <row r="5" spans="1:30" ht="22.5" customHeight="1">
      <c r="A5" s="172"/>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185</v>
      </c>
      <c r="AD5" s="28">
        <v>4</v>
      </c>
    </row>
    <row r="6" spans="1:30" ht="22.5" customHeight="1">
      <c r="A6" s="172"/>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2"/>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185</v>
      </c>
    </row>
    <row r="8" spans="1:30" ht="22.5" customHeight="1">
      <c r="A8" s="172"/>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2"/>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2"/>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2"/>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3"/>
      <c r="B12" s="29"/>
      <c r="C12" s="85" t="s">
        <v>64</v>
      </c>
      <c r="D12" s="79">
        <v>2</v>
      </c>
      <c r="E12" s="79">
        <v>5</v>
      </c>
      <c r="F12" s="79">
        <v>5</v>
      </c>
      <c r="G12" s="79">
        <v>4</v>
      </c>
      <c r="H12" s="79">
        <v>5</v>
      </c>
      <c r="I12" s="79">
        <v>3</v>
      </c>
      <c r="J12" s="79">
        <v>3</v>
      </c>
      <c r="K12" s="79">
        <v>3</v>
      </c>
      <c r="L12" s="79">
        <v>5</v>
      </c>
      <c r="M12" s="79">
        <v>5</v>
      </c>
      <c r="N12" s="79">
        <v>4</v>
      </c>
      <c r="O12" s="79">
        <v>5</v>
      </c>
      <c r="P12" s="79">
        <v>4</v>
      </c>
      <c r="Q12" s="79">
        <v>5</v>
      </c>
      <c r="R12" s="79">
        <v>5</v>
      </c>
      <c r="S12" s="79">
        <v>3</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65</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66</v>
      </c>
      <c r="B15" s="168"/>
      <c r="C15" s="169"/>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69"/>
      <c r="AB15" s="170"/>
    </row>
    <row r="16" spans="1:30" ht="59.25" customHeight="1">
      <c r="A16" s="32" t="s">
        <v>67</v>
      </c>
      <c r="B16" s="168"/>
      <c r="C16" s="169"/>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69"/>
      <c r="AB16" s="170"/>
    </row>
    <row r="17" spans="1:28" ht="59.25" customHeight="1">
      <c r="A17" s="32" t="s">
        <v>68</v>
      </c>
      <c r="B17" s="168"/>
      <c r="C17" s="169"/>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69"/>
      <c r="AB17" s="170"/>
    </row>
    <row r="18" spans="1:28" ht="59.25" customHeight="1">
      <c r="A18" s="32" t="s">
        <v>69</v>
      </c>
      <c r="B18" s="168"/>
      <c r="C18" s="169"/>
      <c r="D18" s="169"/>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70"/>
    </row>
    <row r="19" spans="1:28" ht="59.25" customHeight="1">
      <c r="A19" s="32" t="s">
        <v>70</v>
      </c>
      <c r="B19" s="168"/>
      <c r="C19" s="169"/>
      <c r="D19" s="169"/>
      <c r="E19" s="169"/>
      <c r="F19" s="169"/>
      <c r="G19" s="169"/>
      <c r="H19" s="169"/>
      <c r="I19" s="169"/>
      <c r="J19" s="169"/>
      <c r="K19" s="169"/>
      <c r="L19" s="169"/>
      <c r="M19" s="169"/>
      <c r="N19" s="169"/>
      <c r="O19" s="169"/>
      <c r="P19" s="169"/>
      <c r="Q19" s="169"/>
      <c r="R19" s="169"/>
      <c r="S19" s="169"/>
      <c r="T19" s="169"/>
      <c r="U19" s="169"/>
      <c r="V19" s="169"/>
      <c r="W19" s="169"/>
      <c r="X19" s="169"/>
      <c r="Y19" s="169"/>
      <c r="Z19" s="169"/>
      <c r="AA19" s="169"/>
      <c r="AB19" s="170"/>
    </row>
    <row r="20" spans="1:28" ht="59.25" customHeight="1">
      <c r="A20" s="32" t="s">
        <v>71</v>
      </c>
      <c r="B20" s="168"/>
      <c r="C20" s="169"/>
      <c r="D20" s="169"/>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70"/>
    </row>
    <row r="21" spans="1:28" ht="59.25" customHeight="1">
      <c r="A21" s="32" t="s">
        <v>72</v>
      </c>
      <c r="B21" s="168"/>
      <c r="C21" s="169"/>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69"/>
      <c r="AB21" s="170"/>
    </row>
    <row r="22" spans="1:28" ht="59.25" customHeight="1">
      <c r="A22" s="32" t="s">
        <v>73</v>
      </c>
      <c r="B22" s="168"/>
      <c r="C22" s="169"/>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9"/>
      <c r="AB22" s="170"/>
    </row>
    <row r="23" spans="1:28" ht="59.25" customHeight="1">
      <c r="A23" s="32" t="s">
        <v>74</v>
      </c>
      <c r="B23" s="168"/>
      <c r="C23" s="169"/>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9"/>
      <c r="AB23" s="170"/>
    </row>
    <row r="24" spans="1:28" ht="59.25" customHeight="1">
      <c r="A24" s="32" t="s">
        <v>75</v>
      </c>
      <c r="B24" s="168"/>
      <c r="C24" s="169"/>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9"/>
      <c r="AB24" s="170"/>
    </row>
    <row r="25" spans="1:28" ht="59.25" customHeight="1">
      <c r="A25" s="32" t="s">
        <v>76</v>
      </c>
      <c r="B25" s="168"/>
      <c r="C25" s="169"/>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9"/>
      <c r="AB25" s="170"/>
    </row>
    <row r="26" spans="1:28" ht="59.25" customHeight="1">
      <c r="A26" s="32" t="s">
        <v>77</v>
      </c>
      <c r="B26" s="168"/>
      <c r="C26" s="169"/>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69"/>
      <c r="AB26" s="170"/>
    </row>
    <row r="27" spans="1:28" ht="59.25" customHeight="1">
      <c r="A27" s="32" t="s">
        <v>78</v>
      </c>
      <c r="B27" s="168"/>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70"/>
    </row>
    <row r="28" spans="1:28" ht="59.25" customHeight="1">
      <c r="A28" s="32" t="s">
        <v>79</v>
      </c>
      <c r="B28" s="168"/>
      <c r="C28" s="169"/>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9"/>
      <c r="AB28" s="170"/>
    </row>
    <row r="29" spans="1:28" ht="59.25" customHeight="1">
      <c r="A29" s="32" t="s">
        <v>80</v>
      </c>
      <c r="B29" s="168"/>
      <c r="C29" s="169"/>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9"/>
      <c r="AB29" s="170"/>
    </row>
    <row r="30" spans="1:28" ht="59.25" customHeight="1">
      <c r="A30" s="32" t="s">
        <v>81</v>
      </c>
      <c r="B30" s="168"/>
      <c r="C30" s="169"/>
      <c r="D30" s="169"/>
      <c r="E30" s="169"/>
      <c r="F30" s="169"/>
      <c r="G30" s="169"/>
      <c r="H30" s="169"/>
      <c r="I30" s="169"/>
      <c r="J30" s="169"/>
      <c r="K30" s="169"/>
      <c r="L30" s="169"/>
      <c r="M30" s="169"/>
      <c r="N30" s="169"/>
      <c r="O30" s="169"/>
      <c r="P30" s="169"/>
      <c r="Q30" s="169"/>
      <c r="R30" s="169"/>
      <c r="S30" s="169"/>
      <c r="T30" s="169"/>
      <c r="U30" s="169"/>
      <c r="V30" s="169"/>
      <c r="W30" s="169"/>
      <c r="X30" s="169"/>
      <c r="Y30" s="169"/>
      <c r="Z30" s="169"/>
      <c r="AA30" s="169"/>
      <c r="AB30" s="170"/>
    </row>
    <row r="31" spans="1:28" ht="59.25" customHeight="1">
      <c r="A31" s="32"/>
      <c r="B31" s="168"/>
      <c r="C31" s="169"/>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69"/>
      <c r="AB31" s="170"/>
    </row>
    <row r="32" spans="1:28" ht="59.25" customHeight="1">
      <c r="A32" s="32"/>
      <c r="B32" s="168"/>
      <c r="C32" s="169"/>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70"/>
    </row>
    <row r="33" spans="1:28" ht="59.25" customHeight="1">
      <c r="A33" s="32"/>
      <c r="B33" s="168"/>
      <c r="C33" s="169"/>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169"/>
      <c r="AB33" s="170"/>
    </row>
    <row r="34" spans="1:28" ht="59.25" customHeight="1">
      <c r="A34" s="32"/>
      <c r="B34" s="168"/>
      <c r="C34" s="169"/>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70"/>
    </row>
    <row r="35" spans="1:28" ht="59.25" customHeight="1">
      <c r="A35" s="32"/>
      <c r="B35" s="168"/>
      <c r="C35" s="169"/>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70"/>
    </row>
    <row r="36" spans="1:28" ht="59.25" customHeight="1">
      <c r="A36" s="32"/>
      <c r="B36" s="168"/>
      <c r="C36" s="169"/>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69"/>
      <c r="AB36" s="170"/>
    </row>
    <row r="37" spans="1:28" ht="59.25" customHeight="1">
      <c r="A37" s="32"/>
      <c r="B37" s="168"/>
      <c r="C37" s="169"/>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169"/>
      <c r="AB37" s="170"/>
    </row>
    <row r="38" spans="1:28" ht="59.25" customHeight="1">
      <c r="A38" s="32"/>
      <c r="B38" s="168"/>
      <c r="C38" s="169"/>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70"/>
    </row>
    <row r="39" spans="1:28" ht="59.25" customHeight="1">
      <c r="A39" s="32"/>
      <c r="B39" s="168"/>
      <c r="C39" s="169"/>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70"/>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８－１</v>
      </c>
      <c r="B1" s="22" t="str">
        <f ca="1">RIGHT(CELL("filename",B1),LEN(CELL("filename",B1))-FIND("]",CELL("filename",B1)))</f>
        <v>数学</v>
      </c>
      <c r="C1" s="23" t="s">
        <v>62</v>
      </c>
      <c r="D1" s="24" t="str">
        <f>A15</f>
        <v>伊東 資竜</v>
      </c>
      <c r="E1" s="24" t="str">
        <f>A16</f>
        <v>大堀キム 未奈</v>
      </c>
      <c r="F1" s="24" t="str">
        <f>A17</f>
        <v>門田 湧真</v>
      </c>
      <c r="G1" s="24" t="str">
        <f>A18</f>
        <v>行田 さとみ</v>
      </c>
      <c r="H1" s="24" t="str">
        <f>A19</f>
        <v>久保田 明誠</v>
      </c>
      <c r="I1" s="24" t="str">
        <f>A20</f>
        <v>小松 流翔</v>
      </c>
      <c r="J1" s="24" t="str">
        <f>A21</f>
        <v>佐藤 美月</v>
      </c>
      <c r="K1" s="24" t="str">
        <f>A22</f>
        <v>辛 祐輝</v>
      </c>
      <c r="L1" s="24" t="str">
        <f>A23</f>
        <v>新保 芙佑香</v>
      </c>
      <c r="M1" s="24" t="str">
        <f>A24</f>
        <v>宋 語唯</v>
      </c>
      <c r="N1" s="24" t="str">
        <f>A25</f>
        <v>髙山 愛永</v>
      </c>
      <c r="O1" s="24" t="str">
        <f>A26</f>
        <v>滝澤 愛佳</v>
      </c>
      <c r="P1" s="24" t="str">
        <f>A27</f>
        <v>中山 千愛</v>
      </c>
      <c r="Q1" s="24" t="str">
        <f>A28</f>
        <v>花岡 麻貴</v>
      </c>
      <c r="R1" s="24" t="str">
        <f>A29</f>
        <v>宮下 花</v>
      </c>
      <c r="S1" s="24" t="str">
        <f>A30</f>
        <v>六井 啓翔</v>
      </c>
      <c r="T1" s="24">
        <f>A31</f>
        <v>0</v>
      </c>
      <c r="U1" s="24">
        <f>A32</f>
        <v>0</v>
      </c>
      <c r="V1" s="24">
        <f>A33</f>
        <v>0</v>
      </c>
      <c r="W1" s="24">
        <f>A34</f>
        <v>0</v>
      </c>
      <c r="X1" s="24">
        <f>A35</f>
        <v>0</v>
      </c>
      <c r="Y1" s="24">
        <f>A36</f>
        <v>0</v>
      </c>
      <c r="Z1" s="24">
        <f>A37</f>
        <v>0</v>
      </c>
      <c r="AA1" s="24">
        <f>A38</f>
        <v>0</v>
      </c>
      <c r="AB1" s="24">
        <f>A39</f>
        <v>0</v>
      </c>
      <c r="AC1" s="25"/>
    </row>
    <row r="2" spans="1:30" ht="22.5" customHeight="1">
      <c r="A2" s="171" t="s">
        <v>160</v>
      </c>
      <c r="B2" s="58" t="s">
        <v>50</v>
      </c>
      <c r="C2" s="26" t="s">
        <v>63</v>
      </c>
      <c r="D2" s="27" t="s">
        <v>31</v>
      </c>
      <c r="E2" s="27" t="s">
        <v>28</v>
      </c>
      <c r="F2" s="27" t="s">
        <v>28</v>
      </c>
      <c r="G2" s="27" t="s">
        <v>28</v>
      </c>
      <c r="H2" s="27" t="s">
        <v>28</v>
      </c>
      <c r="I2" s="27" t="s">
        <v>27</v>
      </c>
      <c r="J2" s="27" t="s">
        <v>27</v>
      </c>
      <c r="K2" s="27" t="s">
        <v>28</v>
      </c>
      <c r="L2" s="27" t="s">
        <v>28</v>
      </c>
      <c r="M2" s="27" t="s">
        <v>28</v>
      </c>
      <c r="N2" s="27" t="s">
        <v>27</v>
      </c>
      <c r="O2" s="27" t="s">
        <v>28</v>
      </c>
      <c r="P2" s="27" t="s">
        <v>27</v>
      </c>
      <c r="Q2" s="27" t="s">
        <v>28</v>
      </c>
      <c r="R2" s="27" t="s">
        <v>28</v>
      </c>
      <c r="S2" s="27" t="s">
        <v>27</v>
      </c>
      <c r="T2" s="27"/>
      <c r="U2" s="27"/>
      <c r="V2" s="27"/>
      <c r="W2" s="27"/>
      <c r="X2" s="27"/>
      <c r="Y2" s="27"/>
      <c r="Z2" s="27"/>
      <c r="AA2" s="27"/>
      <c r="AB2" s="27"/>
      <c r="AC2" s="28" t="s">
        <v>186</v>
      </c>
      <c r="AD2" s="28">
        <v>1</v>
      </c>
    </row>
    <row r="3" spans="1:30" ht="22.5" customHeight="1">
      <c r="A3" s="172"/>
      <c r="B3" s="58" t="s">
        <v>187</v>
      </c>
      <c r="C3" s="26" t="s">
        <v>63</v>
      </c>
      <c r="D3" s="27" t="s">
        <v>31</v>
      </c>
      <c r="E3" s="27" t="s">
        <v>28</v>
      </c>
      <c r="F3" s="27" t="s">
        <v>27</v>
      </c>
      <c r="G3" s="27" t="s">
        <v>28</v>
      </c>
      <c r="H3" s="27" t="s">
        <v>27</v>
      </c>
      <c r="I3" s="27" t="s">
        <v>31</v>
      </c>
      <c r="J3" s="27" t="s">
        <v>27</v>
      </c>
      <c r="K3" s="27" t="s">
        <v>27</v>
      </c>
      <c r="L3" s="27" t="s">
        <v>28</v>
      </c>
      <c r="M3" s="27" t="s">
        <v>28</v>
      </c>
      <c r="N3" s="27" t="s">
        <v>27</v>
      </c>
      <c r="O3" s="27" t="s">
        <v>28</v>
      </c>
      <c r="P3" s="27" t="s">
        <v>27</v>
      </c>
      <c r="Q3" s="27" t="s">
        <v>28</v>
      </c>
      <c r="R3" s="27" t="s">
        <v>28</v>
      </c>
      <c r="S3" s="27" t="s">
        <v>27</v>
      </c>
      <c r="T3" s="27"/>
      <c r="U3" s="27"/>
      <c r="V3" s="27"/>
      <c r="W3" s="27"/>
      <c r="X3" s="27"/>
      <c r="Y3" s="27"/>
      <c r="Z3" s="27"/>
      <c r="AA3" s="27"/>
      <c r="AB3" s="27"/>
      <c r="AC3" s="28" t="s">
        <v>188</v>
      </c>
      <c r="AD3" s="28">
        <v>2</v>
      </c>
    </row>
    <row r="4" spans="1:30" ht="22.5" customHeight="1">
      <c r="A4" s="172"/>
      <c r="B4" s="58" t="s">
        <v>189</v>
      </c>
      <c r="C4" s="26" t="s">
        <v>63</v>
      </c>
      <c r="D4" s="27" t="s">
        <v>27</v>
      </c>
      <c r="E4" s="27" t="s">
        <v>28</v>
      </c>
      <c r="F4" s="27" t="s">
        <v>28</v>
      </c>
      <c r="G4" s="27" t="s">
        <v>28</v>
      </c>
      <c r="H4" s="27" t="s">
        <v>28</v>
      </c>
      <c r="I4" s="27" t="s">
        <v>28</v>
      </c>
      <c r="J4" s="27" t="s">
        <v>28</v>
      </c>
      <c r="K4" s="27" t="s">
        <v>28</v>
      </c>
      <c r="L4" s="27" t="s">
        <v>28</v>
      </c>
      <c r="M4" s="27" t="s">
        <v>28</v>
      </c>
      <c r="N4" s="27" t="s">
        <v>28</v>
      </c>
      <c r="O4" s="27" t="s">
        <v>28</v>
      </c>
      <c r="P4" s="27" t="s">
        <v>28</v>
      </c>
      <c r="Q4" s="27" t="s">
        <v>28</v>
      </c>
      <c r="R4" s="27" t="s">
        <v>28</v>
      </c>
      <c r="S4" s="27" t="s">
        <v>28</v>
      </c>
      <c r="T4" s="27"/>
      <c r="U4" s="27"/>
      <c r="V4" s="27"/>
      <c r="W4" s="27"/>
      <c r="X4" s="27"/>
      <c r="Y4" s="27"/>
      <c r="Z4" s="27"/>
      <c r="AA4" s="27"/>
      <c r="AB4" s="27"/>
      <c r="AC4" s="28" t="s">
        <v>184</v>
      </c>
      <c r="AD4" s="28">
        <v>3</v>
      </c>
    </row>
    <row r="5" spans="1:30" ht="22.5" customHeight="1">
      <c r="A5" s="172"/>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190</v>
      </c>
      <c r="AD5" s="28">
        <v>4</v>
      </c>
    </row>
    <row r="6" spans="1:30" ht="22.5" customHeight="1">
      <c r="A6" s="172"/>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2"/>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167</v>
      </c>
    </row>
    <row r="8" spans="1:30" ht="22.5" customHeight="1">
      <c r="A8" s="172"/>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2"/>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2"/>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2"/>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3"/>
      <c r="B12" s="29"/>
      <c r="C12" s="85" t="s">
        <v>64</v>
      </c>
      <c r="D12" s="27">
        <v>2</v>
      </c>
      <c r="E12" s="27">
        <v>5</v>
      </c>
      <c r="F12" s="27">
        <v>4</v>
      </c>
      <c r="G12" s="27">
        <v>5</v>
      </c>
      <c r="H12" s="27">
        <v>4</v>
      </c>
      <c r="I12" s="27">
        <v>3</v>
      </c>
      <c r="J12" s="27">
        <v>3</v>
      </c>
      <c r="K12" s="27">
        <v>4</v>
      </c>
      <c r="L12" s="27">
        <v>5</v>
      </c>
      <c r="M12" s="27">
        <v>5</v>
      </c>
      <c r="N12" s="27">
        <v>3</v>
      </c>
      <c r="O12" s="27">
        <v>5</v>
      </c>
      <c r="P12" s="27">
        <v>3</v>
      </c>
      <c r="Q12" s="27">
        <v>5</v>
      </c>
      <c r="R12" s="27">
        <v>5</v>
      </c>
      <c r="S12" s="27">
        <v>3</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65</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66</v>
      </c>
      <c r="B15" s="168"/>
      <c r="C15" s="169"/>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69"/>
      <c r="AB15" s="170"/>
    </row>
    <row r="16" spans="1:30" ht="59.25" customHeight="1">
      <c r="A16" s="32" t="s">
        <v>67</v>
      </c>
      <c r="B16" s="168"/>
      <c r="C16" s="169"/>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69"/>
      <c r="AB16" s="170"/>
    </row>
    <row r="17" spans="1:28" ht="59.25" customHeight="1">
      <c r="A17" s="32" t="s">
        <v>68</v>
      </c>
      <c r="B17" s="168"/>
      <c r="C17" s="169"/>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69"/>
      <c r="AB17" s="170"/>
    </row>
    <row r="18" spans="1:28" ht="59.25" customHeight="1">
      <c r="A18" s="32" t="s">
        <v>69</v>
      </c>
      <c r="B18" s="168"/>
      <c r="C18" s="169"/>
      <c r="D18" s="169"/>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70"/>
    </row>
    <row r="19" spans="1:28" ht="59.25" customHeight="1">
      <c r="A19" s="32" t="s">
        <v>70</v>
      </c>
      <c r="B19" s="168"/>
      <c r="C19" s="169"/>
      <c r="D19" s="169"/>
      <c r="E19" s="169"/>
      <c r="F19" s="169"/>
      <c r="G19" s="169"/>
      <c r="H19" s="169"/>
      <c r="I19" s="169"/>
      <c r="J19" s="169"/>
      <c r="K19" s="169"/>
      <c r="L19" s="169"/>
      <c r="M19" s="169"/>
      <c r="N19" s="169"/>
      <c r="O19" s="169"/>
      <c r="P19" s="169"/>
      <c r="Q19" s="169"/>
      <c r="R19" s="169"/>
      <c r="S19" s="169"/>
      <c r="T19" s="169"/>
      <c r="U19" s="169"/>
      <c r="V19" s="169"/>
      <c r="W19" s="169"/>
      <c r="X19" s="169"/>
      <c r="Y19" s="169"/>
      <c r="Z19" s="169"/>
      <c r="AA19" s="169"/>
      <c r="AB19" s="170"/>
    </row>
    <row r="20" spans="1:28" ht="59.25" customHeight="1">
      <c r="A20" s="32" t="s">
        <v>71</v>
      </c>
      <c r="B20" s="168"/>
      <c r="C20" s="169"/>
      <c r="D20" s="169"/>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70"/>
    </row>
    <row r="21" spans="1:28" ht="59.25" customHeight="1">
      <c r="A21" s="32" t="s">
        <v>72</v>
      </c>
      <c r="B21" s="168"/>
      <c r="C21" s="169"/>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69"/>
      <c r="AB21" s="170"/>
    </row>
    <row r="22" spans="1:28" ht="59.25" customHeight="1">
      <c r="A22" s="32" t="s">
        <v>73</v>
      </c>
      <c r="B22" s="168"/>
      <c r="C22" s="169"/>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9"/>
      <c r="AB22" s="170"/>
    </row>
    <row r="23" spans="1:28" ht="59.25" customHeight="1">
      <c r="A23" s="32" t="s">
        <v>74</v>
      </c>
      <c r="B23" s="168"/>
      <c r="C23" s="169"/>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9"/>
      <c r="AB23" s="170"/>
    </row>
    <row r="24" spans="1:28" ht="59.25" customHeight="1">
      <c r="A24" s="32" t="s">
        <v>75</v>
      </c>
      <c r="B24" s="168"/>
      <c r="C24" s="169"/>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9"/>
      <c r="AB24" s="170"/>
    </row>
    <row r="25" spans="1:28" ht="59.25" customHeight="1">
      <c r="A25" s="32" t="s">
        <v>76</v>
      </c>
      <c r="B25" s="168"/>
      <c r="C25" s="169"/>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9"/>
      <c r="AB25" s="170"/>
    </row>
    <row r="26" spans="1:28" ht="59.25" customHeight="1">
      <c r="A26" s="32" t="s">
        <v>77</v>
      </c>
      <c r="B26" s="168"/>
      <c r="C26" s="169"/>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69"/>
      <c r="AB26" s="170"/>
    </row>
    <row r="27" spans="1:28" ht="59.25" customHeight="1">
      <c r="A27" s="32" t="s">
        <v>78</v>
      </c>
      <c r="B27" s="168"/>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70"/>
    </row>
    <row r="28" spans="1:28" ht="59.25" customHeight="1">
      <c r="A28" s="32" t="s">
        <v>79</v>
      </c>
      <c r="B28" s="168"/>
      <c r="C28" s="169"/>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9"/>
      <c r="AB28" s="170"/>
    </row>
    <row r="29" spans="1:28" ht="59.25" customHeight="1">
      <c r="A29" s="32" t="s">
        <v>80</v>
      </c>
      <c r="B29" s="168"/>
      <c r="C29" s="169"/>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9"/>
      <c r="AB29" s="170"/>
    </row>
    <row r="30" spans="1:28" ht="59.25" customHeight="1">
      <c r="A30" s="32" t="s">
        <v>81</v>
      </c>
      <c r="B30" s="168"/>
      <c r="C30" s="169"/>
      <c r="D30" s="169"/>
      <c r="E30" s="169"/>
      <c r="F30" s="169"/>
      <c r="G30" s="169"/>
      <c r="H30" s="169"/>
      <c r="I30" s="169"/>
      <c r="J30" s="169"/>
      <c r="K30" s="169"/>
      <c r="L30" s="169"/>
      <c r="M30" s="169"/>
      <c r="N30" s="169"/>
      <c r="O30" s="169"/>
      <c r="P30" s="169"/>
      <c r="Q30" s="169"/>
      <c r="R30" s="169"/>
      <c r="S30" s="169"/>
      <c r="T30" s="169"/>
      <c r="U30" s="169"/>
      <c r="V30" s="169"/>
      <c r="W30" s="169"/>
      <c r="X30" s="169"/>
      <c r="Y30" s="169"/>
      <c r="Z30" s="169"/>
      <c r="AA30" s="169"/>
      <c r="AB30" s="170"/>
    </row>
    <row r="31" spans="1:28" ht="59.25" customHeight="1">
      <c r="A31" s="32"/>
      <c r="B31" s="168"/>
      <c r="C31" s="169"/>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69"/>
      <c r="AB31" s="170"/>
    </row>
    <row r="32" spans="1:28" ht="59.25" customHeight="1">
      <c r="A32" s="32"/>
      <c r="B32" s="168"/>
      <c r="C32" s="169"/>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70"/>
    </row>
    <row r="33" spans="1:28" ht="59.25" customHeight="1">
      <c r="A33" s="32"/>
      <c r="B33" s="168"/>
      <c r="C33" s="169"/>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169"/>
      <c r="AB33" s="170"/>
    </row>
    <row r="34" spans="1:28" ht="59.25" customHeight="1">
      <c r="A34" s="32"/>
      <c r="B34" s="168"/>
      <c r="C34" s="169"/>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70"/>
    </row>
    <row r="35" spans="1:28" ht="59.25" customHeight="1">
      <c r="A35" s="32"/>
      <c r="B35" s="168"/>
      <c r="C35" s="169"/>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70"/>
    </row>
    <row r="36" spans="1:28" ht="59.25" customHeight="1">
      <c r="A36" s="32"/>
      <c r="B36" s="168"/>
      <c r="C36" s="169"/>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69"/>
      <c r="AB36" s="170"/>
    </row>
    <row r="37" spans="1:28" ht="59.25" customHeight="1">
      <c r="A37" s="32"/>
      <c r="B37" s="168"/>
      <c r="C37" s="169"/>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169"/>
      <c r="AB37" s="170"/>
    </row>
    <row r="38" spans="1:28" ht="59.25" customHeight="1">
      <c r="A38" s="32"/>
      <c r="B38" s="168"/>
      <c r="C38" s="169"/>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70"/>
    </row>
    <row r="39" spans="1:28" ht="59.25" customHeight="1">
      <c r="A39" s="32"/>
      <c r="B39" s="168"/>
      <c r="C39" s="169"/>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70"/>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８－１</v>
      </c>
      <c r="B1" s="22" t="str">
        <f ca="1">RIGHT(CELL("filename",B1),LEN(CELL("filename",B1))-FIND("]",CELL("filename",B1)))</f>
        <v>理科</v>
      </c>
      <c r="C1" s="23" t="s">
        <v>62</v>
      </c>
      <c r="D1" s="24" t="str">
        <f>A15</f>
        <v>伊東 資竜</v>
      </c>
      <c r="E1" s="24" t="str">
        <f>A16</f>
        <v>大堀キム 未奈</v>
      </c>
      <c r="F1" s="24" t="str">
        <f>A17</f>
        <v>門田 湧真</v>
      </c>
      <c r="G1" s="24" t="str">
        <f>A18</f>
        <v>行田 さとみ</v>
      </c>
      <c r="H1" s="24" t="str">
        <f>A19</f>
        <v>久保田 明誠</v>
      </c>
      <c r="I1" s="24" t="str">
        <f>A20</f>
        <v>小松 流翔</v>
      </c>
      <c r="J1" s="24" t="str">
        <f>A21</f>
        <v>佐藤 美月</v>
      </c>
      <c r="K1" s="24" t="str">
        <f>A22</f>
        <v>辛 祐輝</v>
      </c>
      <c r="L1" s="24" t="str">
        <f>A23</f>
        <v>新保 芙佑香</v>
      </c>
      <c r="M1" s="24" t="str">
        <f>A24</f>
        <v>宋 語唯</v>
      </c>
      <c r="N1" s="24" t="str">
        <f>A25</f>
        <v>髙山 愛永</v>
      </c>
      <c r="O1" s="24" t="str">
        <f>A26</f>
        <v>滝澤 愛佳</v>
      </c>
      <c r="P1" s="24" t="str">
        <f>A27</f>
        <v>中山 千愛</v>
      </c>
      <c r="Q1" s="24" t="str">
        <f>A28</f>
        <v>花岡 麻貴</v>
      </c>
      <c r="R1" s="24" t="str">
        <f>A29</f>
        <v>宮下 花</v>
      </c>
      <c r="S1" s="24" t="str">
        <f>A30</f>
        <v>六井 啓翔</v>
      </c>
      <c r="T1" s="24">
        <f>A31</f>
        <v>0</v>
      </c>
      <c r="U1" s="24">
        <f>A32</f>
        <v>0</v>
      </c>
      <c r="V1" s="24">
        <f>A33</f>
        <v>0</v>
      </c>
      <c r="W1" s="24">
        <f>A34</f>
        <v>0</v>
      </c>
      <c r="X1" s="24">
        <f>A35</f>
        <v>0</v>
      </c>
      <c r="Y1" s="24">
        <f>A36</f>
        <v>0</v>
      </c>
      <c r="Z1" s="24">
        <f>A37</f>
        <v>0</v>
      </c>
      <c r="AA1" s="24">
        <f>A38</f>
        <v>0</v>
      </c>
      <c r="AB1" s="24">
        <f>A39</f>
        <v>0</v>
      </c>
      <c r="AC1" s="25"/>
    </row>
    <row r="2" spans="1:30" ht="22.5" customHeight="1">
      <c r="A2" s="171" t="s">
        <v>191</v>
      </c>
      <c r="B2" s="58" t="s">
        <v>82</v>
      </c>
      <c r="C2" s="26" t="s">
        <v>63</v>
      </c>
      <c r="D2" s="79" t="s">
        <v>192</v>
      </c>
      <c r="E2" s="79" t="s">
        <v>193</v>
      </c>
      <c r="F2" s="79" t="s">
        <v>193</v>
      </c>
      <c r="G2" s="79" t="s">
        <v>193</v>
      </c>
      <c r="H2" s="79" t="s">
        <v>194</v>
      </c>
      <c r="I2" s="79" t="s">
        <v>195</v>
      </c>
      <c r="J2" s="79" t="s">
        <v>196</v>
      </c>
      <c r="K2" s="79" t="s">
        <v>192</v>
      </c>
      <c r="L2" s="79" t="s">
        <v>193</v>
      </c>
      <c r="M2" s="79" t="s">
        <v>193</v>
      </c>
      <c r="N2" s="79" t="s">
        <v>192</v>
      </c>
      <c r="O2" s="79" t="s">
        <v>192</v>
      </c>
      <c r="P2" s="79" t="s">
        <v>192</v>
      </c>
      <c r="Q2" s="79" t="s">
        <v>193</v>
      </c>
      <c r="R2" s="79" t="s">
        <v>194</v>
      </c>
      <c r="S2" s="79" t="s">
        <v>192</v>
      </c>
      <c r="T2" s="27"/>
      <c r="U2" s="27"/>
      <c r="V2" s="27"/>
      <c r="W2" s="27"/>
      <c r="X2" s="27"/>
      <c r="Y2" s="27"/>
      <c r="Z2" s="27"/>
      <c r="AA2" s="27"/>
      <c r="AB2" s="27"/>
      <c r="AC2" s="28" t="s">
        <v>197</v>
      </c>
      <c r="AD2" s="28">
        <v>1</v>
      </c>
    </row>
    <row r="3" spans="1:30" ht="22.5" customHeight="1">
      <c r="A3" s="172"/>
      <c r="B3" s="58" t="s">
        <v>83</v>
      </c>
      <c r="C3" s="26" t="s">
        <v>63</v>
      </c>
      <c r="D3" s="79" t="s">
        <v>192</v>
      </c>
      <c r="E3" s="79" t="s">
        <v>194</v>
      </c>
      <c r="F3" s="79" t="s">
        <v>196</v>
      </c>
      <c r="G3" s="79" t="s">
        <v>193</v>
      </c>
      <c r="H3" s="79" t="s">
        <v>192</v>
      </c>
      <c r="I3" s="79" t="s">
        <v>196</v>
      </c>
      <c r="J3" s="79" t="s">
        <v>196</v>
      </c>
      <c r="K3" s="79" t="s">
        <v>192</v>
      </c>
      <c r="L3" s="79" t="s">
        <v>193</v>
      </c>
      <c r="M3" s="79" t="s">
        <v>194</v>
      </c>
      <c r="N3" s="79" t="s">
        <v>194</v>
      </c>
      <c r="O3" s="79" t="s">
        <v>193</v>
      </c>
      <c r="P3" s="79" t="s">
        <v>192</v>
      </c>
      <c r="Q3" s="79" t="s">
        <v>193</v>
      </c>
      <c r="R3" s="79" t="s">
        <v>193</v>
      </c>
      <c r="S3" s="79" t="s">
        <v>192</v>
      </c>
      <c r="T3" s="27"/>
      <c r="U3" s="27"/>
      <c r="V3" s="27"/>
      <c r="W3" s="27"/>
      <c r="X3" s="27"/>
      <c r="Y3" s="27"/>
      <c r="Z3" s="27"/>
      <c r="AA3" s="27"/>
      <c r="AB3" s="27"/>
      <c r="AC3" s="28" t="s">
        <v>198</v>
      </c>
      <c r="AD3" s="28">
        <v>2</v>
      </c>
    </row>
    <row r="4" spans="1:30" ht="22.5" customHeight="1">
      <c r="A4" s="172"/>
      <c r="B4" s="83" t="s">
        <v>57</v>
      </c>
      <c r="C4" s="26" t="s">
        <v>63</v>
      </c>
      <c r="D4" s="79" t="s">
        <v>192</v>
      </c>
      <c r="E4" s="79" t="s">
        <v>193</v>
      </c>
      <c r="F4" s="79" t="s">
        <v>193</v>
      </c>
      <c r="G4" s="79" t="s">
        <v>193</v>
      </c>
      <c r="H4" s="79" t="s">
        <v>193</v>
      </c>
      <c r="I4" s="79" t="s">
        <v>192</v>
      </c>
      <c r="J4" s="79" t="s">
        <v>193</v>
      </c>
      <c r="K4" s="79" t="s">
        <v>193</v>
      </c>
      <c r="L4" s="79" t="s">
        <v>193</v>
      </c>
      <c r="M4" s="79" t="s">
        <v>194</v>
      </c>
      <c r="N4" s="79" t="s">
        <v>193</v>
      </c>
      <c r="O4" s="79" t="s">
        <v>193</v>
      </c>
      <c r="P4" s="79" t="s">
        <v>193</v>
      </c>
      <c r="Q4" s="79" t="s">
        <v>193</v>
      </c>
      <c r="R4" s="79" t="s">
        <v>193</v>
      </c>
      <c r="S4" s="79" t="s">
        <v>196</v>
      </c>
      <c r="T4" s="27"/>
      <c r="U4" s="27"/>
      <c r="V4" s="27"/>
      <c r="W4" s="27"/>
      <c r="X4" s="27"/>
      <c r="Y4" s="27"/>
      <c r="Z4" s="27"/>
      <c r="AA4" s="27"/>
      <c r="AB4" s="27"/>
      <c r="AC4" s="28" t="s">
        <v>199</v>
      </c>
      <c r="AD4" s="28">
        <v>3</v>
      </c>
    </row>
    <row r="5" spans="1:30" ht="22.5" customHeight="1">
      <c r="A5" s="172"/>
      <c r="B5" s="78"/>
      <c r="C5" s="26" t="s">
        <v>63</v>
      </c>
      <c r="D5" s="79"/>
      <c r="E5" s="79"/>
      <c r="F5" s="79"/>
      <c r="G5" s="79"/>
      <c r="H5" s="79"/>
      <c r="I5" s="79"/>
      <c r="J5" s="79"/>
      <c r="K5" s="79"/>
      <c r="L5" s="79"/>
      <c r="M5" s="79"/>
      <c r="N5" s="79"/>
      <c r="O5" s="79"/>
      <c r="P5" s="79"/>
      <c r="Q5" s="79"/>
      <c r="R5" s="79"/>
      <c r="S5" s="79"/>
      <c r="T5" s="27"/>
      <c r="U5" s="27"/>
      <c r="V5" s="27"/>
      <c r="W5" s="27"/>
      <c r="X5" s="27"/>
      <c r="Y5" s="27"/>
      <c r="Z5" s="27"/>
      <c r="AA5" s="27"/>
      <c r="AB5" s="27"/>
      <c r="AC5" s="28" t="s">
        <v>200</v>
      </c>
      <c r="AD5" s="28">
        <v>4</v>
      </c>
    </row>
    <row r="6" spans="1:30" ht="22.5" customHeight="1">
      <c r="A6" s="172"/>
      <c r="B6" s="78"/>
      <c r="C6" s="26" t="s">
        <v>63</v>
      </c>
      <c r="D6" s="79"/>
      <c r="E6" s="79"/>
      <c r="F6" s="79"/>
      <c r="G6" s="79"/>
      <c r="H6" s="79"/>
      <c r="I6" s="79"/>
      <c r="J6" s="79"/>
      <c r="K6" s="79"/>
      <c r="L6" s="79"/>
      <c r="M6" s="79"/>
      <c r="N6" s="79"/>
      <c r="O6" s="79"/>
      <c r="P6" s="79"/>
      <c r="Q6" s="79"/>
      <c r="R6" s="79"/>
      <c r="S6" s="79"/>
      <c r="T6" s="27"/>
      <c r="U6" s="27"/>
      <c r="V6" s="27"/>
      <c r="W6" s="27"/>
      <c r="X6" s="27"/>
      <c r="Y6" s="27"/>
      <c r="Z6" s="27"/>
      <c r="AA6" s="27"/>
      <c r="AB6" s="27"/>
      <c r="AC6" s="28"/>
      <c r="AD6" s="28">
        <v>5</v>
      </c>
    </row>
    <row r="7" spans="1:30" ht="22.5" customHeight="1">
      <c r="A7" s="172"/>
      <c r="B7" s="78"/>
      <c r="C7" s="26" t="s">
        <v>63</v>
      </c>
      <c r="D7" s="79"/>
      <c r="E7" s="79"/>
      <c r="F7" s="79"/>
      <c r="G7" s="79"/>
      <c r="H7" s="79"/>
      <c r="I7" s="79"/>
      <c r="J7" s="79"/>
      <c r="K7" s="79"/>
      <c r="L7" s="79"/>
      <c r="M7" s="79"/>
      <c r="N7" s="79"/>
      <c r="O7" s="79"/>
      <c r="P7" s="79"/>
      <c r="Q7" s="79"/>
      <c r="R7" s="79"/>
      <c r="S7" s="79"/>
      <c r="T7" s="27"/>
      <c r="U7" s="27"/>
      <c r="V7" s="27"/>
      <c r="W7" s="27"/>
      <c r="X7" s="27"/>
      <c r="Y7" s="27"/>
      <c r="Z7" s="27"/>
      <c r="AA7" s="27"/>
      <c r="AB7" s="27"/>
      <c r="AC7" s="28"/>
      <c r="AD7" s="28" t="s">
        <v>185</v>
      </c>
    </row>
    <row r="8" spans="1:30" ht="22.5" customHeight="1">
      <c r="A8" s="172"/>
      <c r="B8" s="78"/>
      <c r="C8" s="26" t="s">
        <v>63</v>
      </c>
      <c r="D8" s="79"/>
      <c r="E8" s="79"/>
      <c r="F8" s="79"/>
      <c r="G8" s="79"/>
      <c r="H8" s="79"/>
      <c r="I8" s="79"/>
      <c r="J8" s="79"/>
      <c r="K8" s="79"/>
      <c r="L8" s="79"/>
      <c r="M8" s="79"/>
      <c r="N8" s="79"/>
      <c r="O8" s="79"/>
      <c r="P8" s="79"/>
      <c r="Q8" s="79"/>
      <c r="R8" s="79"/>
      <c r="S8" s="79"/>
      <c r="T8" s="27"/>
      <c r="U8" s="27"/>
      <c r="V8" s="27"/>
      <c r="W8" s="27"/>
      <c r="X8" s="27"/>
      <c r="Y8" s="27"/>
      <c r="Z8" s="27"/>
      <c r="AA8" s="27"/>
      <c r="AB8" s="27"/>
    </row>
    <row r="9" spans="1:30" ht="22.5" customHeight="1">
      <c r="A9" s="172"/>
      <c r="B9" s="78"/>
      <c r="C9" s="26" t="s">
        <v>63</v>
      </c>
      <c r="D9" s="79"/>
      <c r="E9" s="79"/>
      <c r="F9" s="79"/>
      <c r="G9" s="79"/>
      <c r="H9" s="79"/>
      <c r="I9" s="79"/>
      <c r="J9" s="79"/>
      <c r="K9" s="79"/>
      <c r="L9" s="79"/>
      <c r="M9" s="79"/>
      <c r="N9" s="79"/>
      <c r="O9" s="79"/>
      <c r="P9" s="79"/>
      <c r="Q9" s="79"/>
      <c r="R9" s="79"/>
      <c r="S9" s="79"/>
      <c r="T9" s="27"/>
      <c r="U9" s="27"/>
      <c r="V9" s="27"/>
      <c r="W9" s="27"/>
      <c r="X9" s="27"/>
      <c r="Y9" s="27"/>
      <c r="Z9" s="27"/>
      <c r="AA9" s="27"/>
      <c r="AB9" s="27"/>
    </row>
    <row r="10" spans="1:30" ht="22.5" customHeight="1">
      <c r="A10" s="172"/>
      <c r="B10" s="78"/>
      <c r="C10" s="26" t="s">
        <v>63</v>
      </c>
      <c r="D10" s="79"/>
      <c r="E10" s="79"/>
      <c r="F10" s="79"/>
      <c r="G10" s="79"/>
      <c r="H10" s="79"/>
      <c r="I10" s="79"/>
      <c r="J10" s="79"/>
      <c r="K10" s="79"/>
      <c r="L10" s="79"/>
      <c r="M10" s="79"/>
      <c r="N10" s="79"/>
      <c r="O10" s="79"/>
      <c r="P10" s="79"/>
      <c r="Q10" s="79"/>
      <c r="R10" s="79"/>
      <c r="S10" s="79"/>
      <c r="T10" s="27"/>
      <c r="U10" s="27"/>
      <c r="V10" s="27"/>
      <c r="W10" s="27"/>
      <c r="X10" s="27"/>
      <c r="Y10" s="27"/>
      <c r="Z10" s="27"/>
      <c r="AA10" s="27"/>
      <c r="AB10" s="27"/>
    </row>
    <row r="11" spans="1:30" ht="22.5" customHeight="1">
      <c r="A11" s="172"/>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3"/>
      <c r="B12" s="29"/>
      <c r="C12" s="85" t="s">
        <v>64</v>
      </c>
      <c r="D12" s="79">
        <v>3</v>
      </c>
      <c r="E12" s="79">
        <v>5</v>
      </c>
      <c r="F12" s="79">
        <v>4</v>
      </c>
      <c r="G12" s="79">
        <v>5</v>
      </c>
      <c r="H12" s="79">
        <v>4</v>
      </c>
      <c r="I12" s="79">
        <v>3</v>
      </c>
      <c r="J12" s="79">
        <v>3</v>
      </c>
      <c r="K12" s="79">
        <v>3</v>
      </c>
      <c r="L12" s="79">
        <v>5</v>
      </c>
      <c r="M12" s="79">
        <v>5</v>
      </c>
      <c r="N12" s="79">
        <v>4</v>
      </c>
      <c r="O12" s="79">
        <v>4</v>
      </c>
      <c r="P12" s="79">
        <v>3</v>
      </c>
      <c r="Q12" s="79">
        <v>5</v>
      </c>
      <c r="R12" s="79">
        <v>5</v>
      </c>
      <c r="S12" s="79">
        <v>3</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65</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66</v>
      </c>
      <c r="B15" s="168" t="s">
        <v>84</v>
      </c>
      <c r="C15" s="169"/>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69"/>
      <c r="AB15" s="170"/>
    </row>
    <row r="16" spans="1:30" ht="59.25" customHeight="1">
      <c r="A16" s="32" t="s">
        <v>67</v>
      </c>
      <c r="B16" s="168" t="s">
        <v>85</v>
      </c>
      <c r="C16" s="169"/>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69"/>
      <c r="AB16" s="170"/>
    </row>
    <row r="17" spans="1:28" ht="59.25" customHeight="1">
      <c r="A17" s="32" t="s">
        <v>68</v>
      </c>
      <c r="B17" s="168" t="s">
        <v>86</v>
      </c>
      <c r="C17" s="169"/>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69"/>
      <c r="AB17" s="170"/>
    </row>
    <row r="18" spans="1:28" ht="59.25" customHeight="1">
      <c r="A18" s="32" t="s">
        <v>69</v>
      </c>
      <c r="B18" s="168" t="s">
        <v>87</v>
      </c>
      <c r="C18" s="169"/>
      <c r="D18" s="169"/>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70"/>
    </row>
    <row r="19" spans="1:28" ht="59.25" customHeight="1">
      <c r="A19" s="32" t="s">
        <v>70</v>
      </c>
      <c r="B19" s="168" t="s">
        <v>88</v>
      </c>
      <c r="C19" s="169"/>
      <c r="D19" s="169"/>
      <c r="E19" s="169"/>
      <c r="F19" s="169"/>
      <c r="G19" s="169"/>
      <c r="H19" s="169"/>
      <c r="I19" s="169"/>
      <c r="J19" s="169"/>
      <c r="K19" s="169"/>
      <c r="L19" s="169"/>
      <c r="M19" s="169"/>
      <c r="N19" s="169"/>
      <c r="O19" s="169"/>
      <c r="P19" s="169"/>
      <c r="Q19" s="169"/>
      <c r="R19" s="169"/>
      <c r="S19" s="169"/>
      <c r="T19" s="169"/>
      <c r="U19" s="169"/>
      <c r="V19" s="169"/>
      <c r="W19" s="169"/>
      <c r="X19" s="169"/>
      <c r="Y19" s="169"/>
      <c r="Z19" s="169"/>
      <c r="AA19" s="169"/>
      <c r="AB19" s="170"/>
    </row>
    <row r="20" spans="1:28" ht="59.25" customHeight="1">
      <c r="A20" s="32" t="s">
        <v>71</v>
      </c>
      <c r="B20" s="168" t="s">
        <v>89</v>
      </c>
      <c r="C20" s="169"/>
      <c r="D20" s="169"/>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70"/>
    </row>
    <row r="21" spans="1:28" ht="59.25" customHeight="1">
      <c r="A21" s="32" t="s">
        <v>72</v>
      </c>
      <c r="B21" s="168" t="s">
        <v>90</v>
      </c>
      <c r="C21" s="169"/>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69"/>
      <c r="AB21" s="170"/>
    </row>
    <row r="22" spans="1:28" ht="59.25" customHeight="1">
      <c r="A22" s="32" t="s">
        <v>73</v>
      </c>
      <c r="B22" s="168" t="s">
        <v>91</v>
      </c>
      <c r="C22" s="169"/>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9"/>
      <c r="AB22" s="170"/>
    </row>
    <row r="23" spans="1:28" ht="59.25" customHeight="1">
      <c r="A23" s="32" t="s">
        <v>74</v>
      </c>
      <c r="B23" s="168" t="s">
        <v>92</v>
      </c>
      <c r="C23" s="169"/>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9"/>
      <c r="AB23" s="170"/>
    </row>
    <row r="24" spans="1:28" ht="59.25" customHeight="1">
      <c r="A24" s="32" t="s">
        <v>201</v>
      </c>
      <c r="B24" s="168" t="s">
        <v>93</v>
      </c>
      <c r="C24" s="169"/>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9"/>
      <c r="AB24" s="170"/>
    </row>
    <row r="25" spans="1:28" ht="59.25" customHeight="1">
      <c r="A25" s="32" t="s">
        <v>76</v>
      </c>
      <c r="B25" s="168" t="s">
        <v>94</v>
      </c>
      <c r="C25" s="169"/>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9"/>
      <c r="AB25" s="170"/>
    </row>
    <row r="26" spans="1:28" ht="59.25" customHeight="1">
      <c r="A26" s="32" t="s">
        <v>77</v>
      </c>
      <c r="B26" s="168" t="s">
        <v>95</v>
      </c>
      <c r="C26" s="169"/>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69"/>
      <c r="AB26" s="170"/>
    </row>
    <row r="27" spans="1:28" ht="59.25" customHeight="1">
      <c r="A27" s="32" t="s">
        <v>78</v>
      </c>
      <c r="B27" s="168" t="s">
        <v>96</v>
      </c>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70"/>
    </row>
    <row r="28" spans="1:28" ht="59.25" customHeight="1">
      <c r="A28" s="32" t="s">
        <v>79</v>
      </c>
      <c r="B28" s="168" t="s">
        <v>97</v>
      </c>
      <c r="C28" s="169"/>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9"/>
      <c r="AB28" s="170"/>
    </row>
    <row r="29" spans="1:28" ht="59.25" customHeight="1">
      <c r="A29" s="32" t="s">
        <v>80</v>
      </c>
      <c r="B29" s="168" t="s">
        <v>98</v>
      </c>
      <c r="C29" s="169"/>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9"/>
      <c r="AB29" s="170"/>
    </row>
    <row r="30" spans="1:28" ht="59.25" customHeight="1">
      <c r="A30" s="32" t="s">
        <v>81</v>
      </c>
      <c r="B30" s="168" t="s">
        <v>99</v>
      </c>
      <c r="C30" s="169"/>
      <c r="D30" s="169"/>
      <c r="E30" s="169"/>
      <c r="F30" s="169"/>
      <c r="G30" s="169"/>
      <c r="H30" s="169"/>
      <c r="I30" s="169"/>
      <c r="J30" s="169"/>
      <c r="K30" s="169"/>
      <c r="L30" s="169"/>
      <c r="M30" s="169"/>
      <c r="N30" s="169"/>
      <c r="O30" s="169"/>
      <c r="P30" s="169"/>
      <c r="Q30" s="169"/>
      <c r="R30" s="169"/>
      <c r="S30" s="169"/>
      <c r="T30" s="169"/>
      <c r="U30" s="169"/>
      <c r="V30" s="169"/>
      <c r="W30" s="169"/>
      <c r="X30" s="169"/>
      <c r="Y30" s="169"/>
      <c r="Z30" s="169"/>
      <c r="AA30" s="169"/>
      <c r="AB30" s="170"/>
    </row>
    <row r="31" spans="1:28" ht="59.25" customHeight="1">
      <c r="A31" s="32"/>
      <c r="B31" s="168"/>
      <c r="C31" s="169"/>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69"/>
      <c r="AB31" s="170"/>
    </row>
    <row r="32" spans="1:28" ht="59.25" customHeight="1">
      <c r="A32" s="32"/>
      <c r="B32" s="168"/>
      <c r="C32" s="169"/>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70"/>
    </row>
    <row r="33" spans="1:28" ht="59.25" customHeight="1">
      <c r="A33" s="32"/>
      <c r="B33" s="168"/>
      <c r="C33" s="169"/>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169"/>
      <c r="AB33" s="170"/>
    </row>
    <row r="34" spans="1:28" ht="59.25" customHeight="1">
      <c r="A34" s="32"/>
      <c r="B34" s="168"/>
      <c r="C34" s="169"/>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70"/>
    </row>
    <row r="35" spans="1:28" ht="59.25" customHeight="1">
      <c r="A35" s="32"/>
      <c r="B35" s="168"/>
      <c r="C35" s="169"/>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70"/>
    </row>
    <row r="36" spans="1:28" ht="59.25" customHeight="1">
      <c r="A36" s="32"/>
      <c r="B36" s="168"/>
      <c r="C36" s="169"/>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69"/>
      <c r="AB36" s="170"/>
    </row>
    <row r="37" spans="1:28" ht="59.25" customHeight="1">
      <c r="A37" s="32"/>
      <c r="B37" s="168"/>
      <c r="C37" s="169"/>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169"/>
      <c r="AB37" s="170"/>
    </row>
    <row r="38" spans="1:28" ht="59.25" customHeight="1">
      <c r="A38" s="32"/>
      <c r="B38" s="168"/>
      <c r="C38" s="169"/>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70"/>
    </row>
    <row r="39" spans="1:28" ht="59.25" customHeight="1">
      <c r="A39" s="32"/>
      <c r="B39" s="168"/>
      <c r="C39" s="169"/>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70"/>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D193"/>
  <sheetViews>
    <sheetView workbookViewId="0">
      <selection sqref="A1:XFD1048576"/>
    </sheetView>
  </sheetViews>
  <sheetFormatPr defaultColWidth="9" defaultRowHeight="13.5"/>
  <cols>
    <col min="1" max="1" width="13.5" style="81" customWidth="1"/>
    <col min="2" max="2" width="79.125" style="81" customWidth="1"/>
    <col min="3" max="3" width="9.375" style="81" customWidth="1"/>
    <col min="4" max="28" width="4.125" style="81" customWidth="1"/>
    <col min="29" max="16384" width="9" style="81"/>
  </cols>
  <sheetData>
    <row r="1" spans="1:30" ht="85.5" customHeight="1">
      <c r="A1" s="86" t="str">
        <f ca="1">MID(CELL("filename",A1),FIND("[",CELL("filename",A1))+1,3)</f>
        <v>８－１</v>
      </c>
      <c r="B1" s="22" t="str">
        <f ca="1">RIGHT(CELL("filename",B1),LEN(CELL("filename",B1))-FIND("]",CELL("filename",B1)))</f>
        <v>社会</v>
      </c>
      <c r="C1" s="23" t="s">
        <v>62</v>
      </c>
      <c r="D1" s="24" t="str">
        <f>A15</f>
        <v>伊東 資竜</v>
      </c>
      <c r="E1" s="24" t="str">
        <f>A16</f>
        <v>大堀キム 未奈</v>
      </c>
      <c r="F1" s="24" t="str">
        <f>A17</f>
        <v>門田 湧真</v>
      </c>
      <c r="G1" s="24" t="str">
        <f>A18</f>
        <v>行田 さとみ</v>
      </c>
      <c r="H1" s="24" t="str">
        <f>A19</f>
        <v>久保田 明誠</v>
      </c>
      <c r="I1" s="24" t="str">
        <f>A20</f>
        <v>小松 流翔</v>
      </c>
      <c r="J1" s="24" t="str">
        <f>A21</f>
        <v>佐藤 美月</v>
      </c>
      <c r="K1" s="24" t="str">
        <f>A22</f>
        <v>辛 祐輝</v>
      </c>
      <c r="L1" s="24" t="str">
        <f>A23</f>
        <v>新保 芙佑香</v>
      </c>
      <c r="M1" s="24" t="str">
        <f>A24</f>
        <v>宋 語唯</v>
      </c>
      <c r="N1" s="24" t="str">
        <f>A25</f>
        <v>髙山 愛永</v>
      </c>
      <c r="O1" s="24" t="str">
        <f>A26</f>
        <v>滝澤 愛佳</v>
      </c>
      <c r="P1" s="24" t="str">
        <f>A27</f>
        <v>中山 千愛</v>
      </c>
      <c r="Q1" s="24" t="str">
        <f>A28</f>
        <v>花岡 麻貴</v>
      </c>
      <c r="R1" s="24" t="str">
        <f>A29</f>
        <v>宮下 花</v>
      </c>
      <c r="S1" s="24" t="str">
        <f>A30</f>
        <v>六井 啓翔</v>
      </c>
      <c r="T1" s="24">
        <f>A31</f>
        <v>0</v>
      </c>
      <c r="U1" s="24">
        <f>A32</f>
        <v>0</v>
      </c>
      <c r="V1" s="24">
        <f>A33</f>
        <v>0</v>
      </c>
      <c r="W1" s="24">
        <f>A34</f>
        <v>0</v>
      </c>
      <c r="X1" s="24">
        <f>A35</f>
        <v>0</v>
      </c>
      <c r="Y1" s="24">
        <f>A36</f>
        <v>0</v>
      </c>
      <c r="Z1" s="24">
        <f>A37</f>
        <v>0</v>
      </c>
      <c r="AA1" s="24">
        <f>A38</f>
        <v>0</v>
      </c>
      <c r="AB1" s="24">
        <f>A39</f>
        <v>0</v>
      </c>
      <c r="AC1" s="80"/>
    </row>
    <row r="2" spans="1:30" ht="22.5" customHeight="1">
      <c r="A2" s="171" t="s">
        <v>173</v>
      </c>
      <c r="B2" s="58" t="s">
        <v>51</v>
      </c>
      <c r="C2" s="26" t="s">
        <v>63</v>
      </c>
      <c r="D2" s="79" t="s">
        <v>181</v>
      </c>
      <c r="E2" s="79" t="s">
        <v>176</v>
      </c>
      <c r="F2" s="79" t="s">
        <v>179</v>
      </c>
      <c r="G2" s="79" t="s">
        <v>181</v>
      </c>
      <c r="H2" s="79" t="s">
        <v>179</v>
      </c>
      <c r="I2" s="79" t="s">
        <v>181</v>
      </c>
      <c r="J2" s="79" t="s">
        <v>180</v>
      </c>
      <c r="K2" s="79" t="s">
        <v>180</v>
      </c>
      <c r="L2" s="79" t="s">
        <v>179</v>
      </c>
      <c r="M2" s="79" t="s">
        <v>176</v>
      </c>
      <c r="N2" s="79" t="s">
        <v>180</v>
      </c>
      <c r="O2" s="79" t="s">
        <v>176</v>
      </c>
      <c r="P2" s="79" t="s">
        <v>176</v>
      </c>
      <c r="Q2" s="79" t="s">
        <v>179</v>
      </c>
      <c r="R2" s="79" t="s">
        <v>176</v>
      </c>
      <c r="S2" s="79" t="s">
        <v>181</v>
      </c>
      <c r="T2" s="79"/>
      <c r="U2" s="79"/>
      <c r="V2" s="79"/>
      <c r="W2" s="79"/>
      <c r="X2" s="79"/>
      <c r="Y2" s="79"/>
      <c r="Z2" s="79"/>
      <c r="AA2" s="79"/>
      <c r="AB2" s="79"/>
      <c r="AC2" s="82" t="s">
        <v>179</v>
      </c>
      <c r="AD2" s="82">
        <v>1</v>
      </c>
    </row>
    <row r="3" spans="1:30" ht="22.5" customHeight="1">
      <c r="A3" s="172"/>
      <c r="B3" s="58" t="s">
        <v>52</v>
      </c>
      <c r="C3" s="26" t="s">
        <v>63</v>
      </c>
      <c r="D3" s="79" t="s">
        <v>184</v>
      </c>
      <c r="E3" s="79" t="s">
        <v>179</v>
      </c>
      <c r="F3" s="79" t="s">
        <v>180</v>
      </c>
      <c r="G3" s="79" t="s">
        <v>179</v>
      </c>
      <c r="H3" s="79" t="s">
        <v>179</v>
      </c>
      <c r="I3" s="79" t="s">
        <v>180</v>
      </c>
      <c r="J3" s="79" t="s">
        <v>181</v>
      </c>
      <c r="K3" s="79" t="s">
        <v>180</v>
      </c>
      <c r="L3" s="79" t="s">
        <v>176</v>
      </c>
      <c r="M3" s="79" t="s">
        <v>179</v>
      </c>
      <c r="N3" s="79" t="s">
        <v>180</v>
      </c>
      <c r="O3" s="79" t="s">
        <v>181</v>
      </c>
      <c r="P3" s="79" t="s">
        <v>180</v>
      </c>
      <c r="Q3" s="79" t="s">
        <v>176</v>
      </c>
      <c r="R3" s="79" t="s">
        <v>176</v>
      </c>
      <c r="S3" s="79" t="s">
        <v>180</v>
      </c>
      <c r="T3" s="79"/>
      <c r="U3" s="79"/>
      <c r="V3" s="79"/>
      <c r="W3" s="79"/>
      <c r="X3" s="79"/>
      <c r="Y3" s="79"/>
      <c r="Z3" s="79"/>
      <c r="AA3" s="79"/>
      <c r="AB3" s="79"/>
      <c r="AC3" s="82" t="s">
        <v>180</v>
      </c>
      <c r="AD3" s="82">
        <v>2</v>
      </c>
    </row>
    <row r="4" spans="1:30" ht="22.5" customHeight="1">
      <c r="A4" s="172"/>
      <c r="B4" s="58" t="s">
        <v>53</v>
      </c>
      <c r="C4" s="26" t="s">
        <v>63</v>
      </c>
      <c r="D4" s="79" t="s">
        <v>180</v>
      </c>
      <c r="E4" s="79" t="s">
        <v>179</v>
      </c>
      <c r="F4" s="79" t="s">
        <v>179</v>
      </c>
      <c r="G4" s="79" t="s">
        <v>176</v>
      </c>
      <c r="H4" s="79" t="s">
        <v>179</v>
      </c>
      <c r="I4" s="79" t="s">
        <v>184</v>
      </c>
      <c r="J4" s="79" t="s">
        <v>179</v>
      </c>
      <c r="K4" s="79" t="s">
        <v>179</v>
      </c>
      <c r="L4" s="79" t="s">
        <v>176</v>
      </c>
      <c r="M4" s="79" t="s">
        <v>179</v>
      </c>
      <c r="N4" s="79" t="s">
        <v>179</v>
      </c>
      <c r="O4" s="79" t="s">
        <v>179</v>
      </c>
      <c r="P4" s="79" t="s">
        <v>176</v>
      </c>
      <c r="Q4" s="79" t="s">
        <v>179</v>
      </c>
      <c r="R4" s="79" t="s">
        <v>179</v>
      </c>
      <c r="S4" s="79" t="s">
        <v>184</v>
      </c>
      <c r="T4" s="79"/>
      <c r="U4" s="79"/>
      <c r="V4" s="79"/>
      <c r="W4" s="79"/>
      <c r="X4" s="79"/>
      <c r="Y4" s="79"/>
      <c r="Z4" s="79"/>
      <c r="AA4" s="79"/>
      <c r="AB4" s="79"/>
      <c r="AC4" s="82" t="s">
        <v>184</v>
      </c>
      <c r="AD4" s="82">
        <v>3</v>
      </c>
    </row>
    <row r="5" spans="1:30" ht="22.5" customHeight="1">
      <c r="A5" s="172"/>
      <c r="B5" s="78"/>
      <c r="C5" s="26" t="s">
        <v>63</v>
      </c>
      <c r="D5" s="79"/>
      <c r="E5" s="79"/>
      <c r="F5" s="79"/>
      <c r="G5" s="79"/>
      <c r="H5" s="79"/>
      <c r="I5" s="79"/>
      <c r="J5" s="79"/>
      <c r="K5" s="79"/>
      <c r="L5" s="79"/>
      <c r="M5" s="79"/>
      <c r="N5" s="79"/>
      <c r="O5" s="79"/>
      <c r="P5" s="79"/>
      <c r="Q5" s="79"/>
      <c r="R5" s="79"/>
      <c r="S5" s="79"/>
      <c r="T5" s="79"/>
      <c r="U5" s="79"/>
      <c r="V5" s="79"/>
      <c r="W5" s="79"/>
      <c r="X5" s="79"/>
      <c r="Y5" s="79"/>
      <c r="Z5" s="79"/>
      <c r="AA5" s="79"/>
      <c r="AB5" s="79"/>
      <c r="AC5" s="82" t="s">
        <v>185</v>
      </c>
      <c r="AD5" s="82">
        <v>4</v>
      </c>
    </row>
    <row r="6" spans="1:30" ht="22.5" customHeight="1">
      <c r="A6" s="172"/>
      <c r="B6" s="78"/>
      <c r="C6" s="26" t="s">
        <v>63</v>
      </c>
      <c r="D6" s="79"/>
      <c r="E6" s="79"/>
      <c r="F6" s="79"/>
      <c r="G6" s="79"/>
      <c r="H6" s="79"/>
      <c r="I6" s="79"/>
      <c r="J6" s="79"/>
      <c r="K6" s="79"/>
      <c r="L6" s="79"/>
      <c r="M6" s="79"/>
      <c r="N6" s="79"/>
      <c r="O6" s="79"/>
      <c r="P6" s="79"/>
      <c r="Q6" s="79"/>
      <c r="R6" s="79"/>
      <c r="S6" s="79"/>
      <c r="T6" s="79"/>
      <c r="U6" s="79"/>
      <c r="V6" s="79"/>
      <c r="W6" s="79"/>
      <c r="X6" s="79"/>
      <c r="Y6" s="79"/>
      <c r="Z6" s="79"/>
      <c r="AA6" s="79"/>
      <c r="AB6" s="79"/>
      <c r="AC6" s="82"/>
      <c r="AD6" s="82">
        <v>5</v>
      </c>
    </row>
    <row r="7" spans="1:30" ht="22.5" customHeight="1">
      <c r="A7" s="172"/>
      <c r="B7" s="78"/>
      <c r="C7" s="26" t="s">
        <v>63</v>
      </c>
      <c r="D7" s="79"/>
      <c r="E7" s="79"/>
      <c r="F7" s="79"/>
      <c r="G7" s="79"/>
      <c r="H7" s="79"/>
      <c r="I7" s="79"/>
      <c r="J7" s="79"/>
      <c r="K7" s="79"/>
      <c r="L7" s="79"/>
      <c r="M7" s="79"/>
      <c r="N7" s="79"/>
      <c r="O7" s="79"/>
      <c r="P7" s="79"/>
      <c r="Q7" s="79"/>
      <c r="R7" s="79"/>
      <c r="S7" s="79"/>
      <c r="T7" s="79"/>
      <c r="U7" s="79"/>
      <c r="V7" s="79"/>
      <c r="W7" s="79"/>
      <c r="X7" s="79"/>
      <c r="Y7" s="79"/>
      <c r="Z7" s="79"/>
      <c r="AA7" s="79"/>
      <c r="AB7" s="79"/>
      <c r="AC7" s="82"/>
      <c r="AD7" s="82" t="s">
        <v>185</v>
      </c>
    </row>
    <row r="8" spans="1:30" ht="22.5" customHeight="1">
      <c r="A8" s="172"/>
      <c r="B8" s="78"/>
      <c r="C8" s="26" t="s">
        <v>63</v>
      </c>
      <c r="D8" s="79"/>
      <c r="E8" s="79"/>
      <c r="F8" s="79"/>
      <c r="G8" s="79"/>
      <c r="H8" s="79"/>
      <c r="I8" s="79"/>
      <c r="J8" s="79"/>
      <c r="K8" s="79"/>
      <c r="L8" s="79"/>
      <c r="M8" s="79"/>
      <c r="N8" s="79"/>
      <c r="O8" s="79"/>
      <c r="P8" s="79"/>
      <c r="Q8" s="79"/>
      <c r="R8" s="79"/>
      <c r="S8" s="79"/>
      <c r="T8" s="79"/>
      <c r="U8" s="79"/>
      <c r="V8" s="79"/>
      <c r="W8" s="79"/>
      <c r="X8" s="79"/>
      <c r="Y8" s="79"/>
      <c r="Z8" s="79"/>
      <c r="AA8" s="79"/>
      <c r="AB8" s="79"/>
    </row>
    <row r="9" spans="1:30" ht="22.5" customHeight="1">
      <c r="A9" s="172"/>
      <c r="B9" s="78"/>
      <c r="C9" s="26" t="s">
        <v>63</v>
      </c>
      <c r="D9" s="79"/>
      <c r="E9" s="79"/>
      <c r="F9" s="79"/>
      <c r="G9" s="79"/>
      <c r="H9" s="79"/>
      <c r="I9" s="79"/>
      <c r="J9" s="79"/>
      <c r="K9" s="79"/>
      <c r="L9" s="79"/>
      <c r="M9" s="79"/>
      <c r="N9" s="79"/>
      <c r="O9" s="79"/>
      <c r="P9" s="79"/>
      <c r="Q9" s="79"/>
      <c r="R9" s="79"/>
      <c r="S9" s="79"/>
      <c r="T9" s="79"/>
      <c r="U9" s="79"/>
      <c r="V9" s="79"/>
      <c r="W9" s="79"/>
      <c r="X9" s="79"/>
      <c r="Y9" s="79"/>
      <c r="Z9" s="79"/>
      <c r="AA9" s="79"/>
      <c r="AB9" s="79"/>
    </row>
    <row r="10" spans="1:30" ht="22.5" customHeight="1">
      <c r="A10" s="172"/>
      <c r="B10" s="78"/>
      <c r="C10" s="26" t="s">
        <v>63</v>
      </c>
      <c r="D10" s="79"/>
      <c r="E10" s="79"/>
      <c r="F10" s="79"/>
      <c r="G10" s="79"/>
      <c r="H10" s="79"/>
      <c r="I10" s="79"/>
      <c r="J10" s="79"/>
      <c r="K10" s="79"/>
      <c r="L10" s="79"/>
      <c r="M10" s="79"/>
      <c r="N10" s="79"/>
      <c r="O10" s="79"/>
      <c r="P10" s="79"/>
      <c r="Q10" s="79"/>
      <c r="R10" s="79"/>
      <c r="S10" s="79"/>
      <c r="T10" s="79"/>
      <c r="U10" s="79"/>
      <c r="V10" s="79"/>
      <c r="W10" s="79"/>
      <c r="X10" s="79"/>
      <c r="Y10" s="79"/>
      <c r="Z10" s="79"/>
      <c r="AA10" s="79"/>
      <c r="AB10" s="79"/>
    </row>
    <row r="11" spans="1:30" ht="22.5" customHeight="1">
      <c r="A11" s="172"/>
      <c r="B11" s="78"/>
      <c r="C11" s="26" t="s">
        <v>63</v>
      </c>
      <c r="D11" s="79"/>
      <c r="E11" s="79"/>
      <c r="F11" s="79"/>
      <c r="G11" s="79"/>
      <c r="H11" s="79"/>
      <c r="I11" s="79"/>
      <c r="J11" s="79"/>
      <c r="K11" s="79"/>
      <c r="L11" s="79"/>
      <c r="M11" s="79"/>
      <c r="N11" s="79"/>
      <c r="O11" s="79"/>
      <c r="P11" s="79"/>
      <c r="Q11" s="79"/>
      <c r="R11" s="79"/>
      <c r="S11" s="79"/>
      <c r="T11" s="79"/>
      <c r="U11" s="79"/>
      <c r="V11" s="79"/>
      <c r="W11" s="79"/>
      <c r="X11" s="79"/>
      <c r="Y11" s="79"/>
      <c r="Z11" s="79"/>
      <c r="AA11" s="79"/>
      <c r="AB11" s="79"/>
    </row>
    <row r="12" spans="1:30" ht="30" customHeight="1">
      <c r="A12" s="173"/>
      <c r="B12" s="29"/>
      <c r="C12" s="85" t="s">
        <v>64</v>
      </c>
      <c r="D12" s="79">
        <v>3</v>
      </c>
      <c r="E12" s="79">
        <v>5</v>
      </c>
      <c r="F12" s="79">
        <v>4</v>
      </c>
      <c r="G12" s="79">
        <v>4</v>
      </c>
      <c r="H12" s="79">
        <v>5</v>
      </c>
      <c r="I12" s="79">
        <v>3</v>
      </c>
      <c r="J12" s="79">
        <v>3</v>
      </c>
      <c r="K12" s="79">
        <v>3</v>
      </c>
      <c r="L12" s="79">
        <v>5</v>
      </c>
      <c r="M12" s="79">
        <v>5</v>
      </c>
      <c r="N12" s="79">
        <v>3</v>
      </c>
      <c r="O12" s="79">
        <v>4</v>
      </c>
      <c r="P12" s="79">
        <v>4</v>
      </c>
      <c r="Q12" s="79">
        <v>5</v>
      </c>
      <c r="R12" s="79">
        <v>5</v>
      </c>
      <c r="S12" s="79">
        <v>3</v>
      </c>
      <c r="T12" s="79"/>
      <c r="U12" s="79"/>
      <c r="V12" s="79"/>
      <c r="W12" s="79"/>
      <c r="X12" s="79"/>
      <c r="Y12" s="79"/>
      <c r="Z12" s="79"/>
      <c r="AA12" s="79"/>
      <c r="AB12" s="79"/>
    </row>
    <row r="13" spans="1:30" ht="26.25" customHeight="1">
      <c r="A13" s="84"/>
      <c r="B13" s="84"/>
      <c r="C13" s="77" t="s">
        <v>49</v>
      </c>
      <c r="D13" s="79"/>
      <c r="E13" s="79"/>
      <c r="F13" s="79"/>
      <c r="G13" s="79"/>
      <c r="H13" s="79"/>
      <c r="I13" s="79"/>
      <c r="J13" s="79"/>
      <c r="K13" s="79"/>
      <c r="L13" s="79"/>
      <c r="M13" s="79"/>
      <c r="N13" s="79"/>
      <c r="O13" s="79"/>
      <c r="P13" s="79"/>
      <c r="Q13" s="79"/>
      <c r="R13" s="79"/>
      <c r="S13" s="79"/>
      <c r="T13" s="79"/>
      <c r="U13" s="79"/>
      <c r="V13" s="79"/>
      <c r="W13" s="79"/>
      <c r="X13" s="79"/>
      <c r="Y13" s="79"/>
      <c r="Z13" s="79"/>
      <c r="AA13" s="79"/>
      <c r="AB13" s="79"/>
    </row>
    <row r="14" spans="1:30" ht="22.5" customHeight="1">
      <c r="A14" s="31" t="s">
        <v>20</v>
      </c>
      <c r="B14" s="180" t="s">
        <v>65</v>
      </c>
      <c r="C14" s="181"/>
      <c r="D14" s="181"/>
      <c r="E14" s="181"/>
      <c r="F14" s="181"/>
      <c r="G14" s="181"/>
      <c r="H14" s="181"/>
      <c r="I14" s="181"/>
      <c r="J14" s="181"/>
      <c r="K14" s="181"/>
      <c r="L14" s="181"/>
      <c r="M14" s="181"/>
      <c r="N14" s="181"/>
      <c r="O14" s="181"/>
      <c r="P14" s="181"/>
      <c r="Q14" s="181"/>
      <c r="R14" s="181"/>
      <c r="S14" s="181"/>
      <c r="T14" s="181"/>
      <c r="U14" s="181"/>
      <c r="V14" s="181"/>
      <c r="W14" s="181"/>
      <c r="X14" s="181"/>
      <c r="Y14" s="181"/>
      <c r="Z14" s="181"/>
      <c r="AA14" s="181"/>
      <c r="AB14" s="182"/>
    </row>
    <row r="15" spans="1:30" ht="59.25" customHeight="1">
      <c r="A15" s="87" t="s">
        <v>66</v>
      </c>
      <c r="B15" s="177"/>
      <c r="C15" s="178"/>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78"/>
      <c r="AB15" s="179"/>
    </row>
    <row r="16" spans="1:30" ht="59.25" customHeight="1">
      <c r="A16" s="87" t="s">
        <v>67</v>
      </c>
      <c r="B16" s="177"/>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78"/>
      <c r="AB16" s="179"/>
    </row>
    <row r="17" spans="1:28" ht="59.25" customHeight="1">
      <c r="A17" s="87" t="s">
        <v>68</v>
      </c>
      <c r="B17" s="177"/>
      <c r="C17" s="178"/>
      <c r="D17" s="178"/>
      <c r="E17" s="178"/>
      <c r="F17" s="178"/>
      <c r="G17" s="178"/>
      <c r="H17" s="178"/>
      <c r="I17" s="178"/>
      <c r="J17" s="178"/>
      <c r="K17" s="178"/>
      <c r="L17" s="178"/>
      <c r="M17" s="178"/>
      <c r="N17" s="178"/>
      <c r="O17" s="178"/>
      <c r="P17" s="178"/>
      <c r="Q17" s="178"/>
      <c r="R17" s="178"/>
      <c r="S17" s="178"/>
      <c r="T17" s="178"/>
      <c r="U17" s="178"/>
      <c r="V17" s="178"/>
      <c r="W17" s="178"/>
      <c r="X17" s="178"/>
      <c r="Y17" s="178"/>
      <c r="Z17" s="178"/>
      <c r="AA17" s="178"/>
      <c r="AB17" s="179"/>
    </row>
    <row r="18" spans="1:28" ht="59.25" customHeight="1">
      <c r="A18" s="87" t="s">
        <v>69</v>
      </c>
      <c r="B18" s="177"/>
      <c r="C18" s="178"/>
      <c r="D18" s="178"/>
      <c r="E18" s="178"/>
      <c r="F18" s="178"/>
      <c r="G18" s="178"/>
      <c r="H18" s="178"/>
      <c r="I18" s="178"/>
      <c r="J18" s="178"/>
      <c r="K18" s="178"/>
      <c r="L18" s="178"/>
      <c r="M18" s="178"/>
      <c r="N18" s="178"/>
      <c r="O18" s="178"/>
      <c r="P18" s="178"/>
      <c r="Q18" s="178"/>
      <c r="R18" s="178"/>
      <c r="S18" s="178"/>
      <c r="T18" s="178"/>
      <c r="U18" s="178"/>
      <c r="V18" s="178"/>
      <c r="W18" s="178"/>
      <c r="X18" s="178"/>
      <c r="Y18" s="178"/>
      <c r="Z18" s="178"/>
      <c r="AA18" s="178"/>
      <c r="AB18" s="179"/>
    </row>
    <row r="19" spans="1:28" ht="59.25" customHeight="1">
      <c r="A19" s="87" t="s">
        <v>70</v>
      </c>
      <c r="B19" s="177" t="s">
        <v>100</v>
      </c>
      <c r="C19" s="178"/>
      <c r="D19" s="178"/>
      <c r="E19" s="178"/>
      <c r="F19" s="178"/>
      <c r="G19" s="178"/>
      <c r="H19" s="178"/>
      <c r="I19" s="178"/>
      <c r="J19" s="178"/>
      <c r="K19" s="178"/>
      <c r="L19" s="178"/>
      <c r="M19" s="178"/>
      <c r="N19" s="178"/>
      <c r="O19" s="178"/>
      <c r="P19" s="178"/>
      <c r="Q19" s="178"/>
      <c r="R19" s="178"/>
      <c r="S19" s="178"/>
      <c r="T19" s="178"/>
      <c r="U19" s="178"/>
      <c r="V19" s="178"/>
      <c r="W19" s="178"/>
      <c r="X19" s="178"/>
      <c r="Y19" s="178"/>
      <c r="Z19" s="178"/>
      <c r="AA19" s="178"/>
      <c r="AB19" s="179"/>
    </row>
    <row r="20" spans="1:28" ht="59.25" customHeight="1">
      <c r="A20" s="87" t="s">
        <v>71</v>
      </c>
      <c r="B20" s="177" t="s">
        <v>101</v>
      </c>
      <c r="C20" s="178"/>
      <c r="D20" s="178"/>
      <c r="E20" s="178"/>
      <c r="F20" s="178"/>
      <c r="G20" s="178"/>
      <c r="H20" s="178"/>
      <c r="I20" s="178"/>
      <c r="J20" s="178"/>
      <c r="K20" s="178"/>
      <c r="L20" s="178"/>
      <c r="M20" s="178"/>
      <c r="N20" s="178"/>
      <c r="O20" s="178"/>
      <c r="P20" s="178"/>
      <c r="Q20" s="178"/>
      <c r="R20" s="178"/>
      <c r="S20" s="178"/>
      <c r="T20" s="178"/>
      <c r="U20" s="178"/>
      <c r="V20" s="178"/>
      <c r="W20" s="178"/>
      <c r="X20" s="178"/>
      <c r="Y20" s="178"/>
      <c r="Z20" s="178"/>
      <c r="AA20" s="178"/>
      <c r="AB20" s="179"/>
    </row>
    <row r="21" spans="1:28" ht="59.25" customHeight="1">
      <c r="A21" s="87" t="s">
        <v>72</v>
      </c>
      <c r="B21" s="177"/>
      <c r="C21" s="178"/>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178"/>
      <c r="AB21" s="179"/>
    </row>
    <row r="22" spans="1:28" ht="59.25" customHeight="1">
      <c r="A22" s="87" t="s">
        <v>73</v>
      </c>
      <c r="B22" s="177"/>
      <c r="C22" s="178"/>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78"/>
      <c r="AB22" s="179"/>
    </row>
    <row r="23" spans="1:28" ht="59.25" customHeight="1">
      <c r="A23" s="87" t="s">
        <v>74</v>
      </c>
      <c r="B23" s="177"/>
      <c r="C23" s="178"/>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78"/>
      <c r="AB23" s="179"/>
    </row>
    <row r="24" spans="1:28" ht="59.25" customHeight="1">
      <c r="A24" s="87" t="s">
        <v>75</v>
      </c>
      <c r="B24" s="177"/>
      <c r="C24" s="178"/>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78"/>
      <c r="AB24" s="179"/>
    </row>
    <row r="25" spans="1:28" ht="59.25" customHeight="1">
      <c r="A25" s="87" t="s">
        <v>76</v>
      </c>
      <c r="B25" s="177"/>
      <c r="C25" s="178"/>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78"/>
      <c r="AB25" s="179"/>
    </row>
    <row r="26" spans="1:28" ht="59.25" customHeight="1">
      <c r="A26" s="87" t="s">
        <v>77</v>
      </c>
      <c r="B26" s="177"/>
      <c r="C26" s="178"/>
      <c r="D26" s="178"/>
      <c r="E26" s="178"/>
      <c r="F26" s="178"/>
      <c r="G26" s="178"/>
      <c r="H26" s="178"/>
      <c r="I26" s="178"/>
      <c r="J26" s="178"/>
      <c r="K26" s="178"/>
      <c r="L26" s="178"/>
      <c r="M26" s="178"/>
      <c r="N26" s="178"/>
      <c r="O26" s="178"/>
      <c r="P26" s="178"/>
      <c r="Q26" s="178"/>
      <c r="R26" s="178"/>
      <c r="S26" s="178"/>
      <c r="T26" s="178"/>
      <c r="U26" s="178"/>
      <c r="V26" s="178"/>
      <c r="W26" s="178"/>
      <c r="X26" s="178"/>
      <c r="Y26" s="178"/>
      <c r="Z26" s="178"/>
      <c r="AA26" s="178"/>
      <c r="AB26" s="179"/>
    </row>
    <row r="27" spans="1:28" ht="59.25" customHeight="1">
      <c r="A27" s="87" t="s">
        <v>78</v>
      </c>
      <c r="B27" s="177"/>
      <c r="C27" s="178"/>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78"/>
      <c r="AB27" s="179"/>
    </row>
    <row r="28" spans="1:28" ht="59.25" customHeight="1">
      <c r="A28" s="87" t="s">
        <v>79</v>
      </c>
      <c r="B28" s="177"/>
      <c r="C28" s="178"/>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78"/>
      <c r="AB28" s="179"/>
    </row>
    <row r="29" spans="1:28" ht="59.25" customHeight="1">
      <c r="A29" s="87" t="s">
        <v>80</v>
      </c>
      <c r="B29" s="177"/>
      <c r="C29" s="178"/>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78"/>
      <c r="AB29" s="179"/>
    </row>
    <row r="30" spans="1:28" ht="59.25" customHeight="1">
      <c r="A30" s="87" t="s">
        <v>81</v>
      </c>
      <c r="B30" s="177" t="s">
        <v>102</v>
      </c>
      <c r="C30" s="178"/>
      <c r="D30" s="178"/>
      <c r="E30" s="178"/>
      <c r="F30" s="178"/>
      <c r="G30" s="178"/>
      <c r="H30" s="178"/>
      <c r="I30" s="178"/>
      <c r="J30" s="178"/>
      <c r="K30" s="178"/>
      <c r="L30" s="178"/>
      <c r="M30" s="178"/>
      <c r="N30" s="178"/>
      <c r="O30" s="178"/>
      <c r="P30" s="178"/>
      <c r="Q30" s="178"/>
      <c r="R30" s="178"/>
      <c r="S30" s="178"/>
      <c r="T30" s="178"/>
      <c r="U30" s="178"/>
      <c r="V30" s="178"/>
      <c r="W30" s="178"/>
      <c r="X30" s="178"/>
      <c r="Y30" s="178"/>
      <c r="Z30" s="178"/>
      <c r="AA30" s="178"/>
      <c r="AB30" s="179"/>
    </row>
    <row r="31" spans="1:28" ht="59.25" customHeight="1">
      <c r="A31" s="87"/>
      <c r="B31" s="177"/>
      <c r="C31" s="178"/>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178"/>
      <c r="AB31" s="179"/>
    </row>
    <row r="32" spans="1:28" ht="59.25" customHeight="1">
      <c r="A32" s="87"/>
      <c r="B32" s="177"/>
      <c r="C32" s="178"/>
      <c r="D32" s="178"/>
      <c r="E32" s="178"/>
      <c r="F32" s="178"/>
      <c r="G32" s="178"/>
      <c r="H32" s="178"/>
      <c r="I32" s="178"/>
      <c r="J32" s="178"/>
      <c r="K32" s="178"/>
      <c r="L32" s="178"/>
      <c r="M32" s="178"/>
      <c r="N32" s="178"/>
      <c r="O32" s="178"/>
      <c r="P32" s="178"/>
      <c r="Q32" s="178"/>
      <c r="R32" s="178"/>
      <c r="S32" s="178"/>
      <c r="T32" s="178"/>
      <c r="U32" s="178"/>
      <c r="V32" s="178"/>
      <c r="W32" s="178"/>
      <c r="X32" s="178"/>
      <c r="Y32" s="178"/>
      <c r="Z32" s="178"/>
      <c r="AA32" s="178"/>
      <c r="AB32" s="179"/>
    </row>
    <row r="33" spans="1:28" ht="59.25" customHeight="1">
      <c r="A33" s="87"/>
      <c r="B33" s="177"/>
      <c r="C33" s="178"/>
      <c r="D33" s="178"/>
      <c r="E33" s="178"/>
      <c r="F33" s="178"/>
      <c r="G33" s="178"/>
      <c r="H33" s="178"/>
      <c r="I33" s="178"/>
      <c r="J33" s="178"/>
      <c r="K33" s="178"/>
      <c r="L33" s="178"/>
      <c r="M33" s="178"/>
      <c r="N33" s="178"/>
      <c r="O33" s="178"/>
      <c r="P33" s="178"/>
      <c r="Q33" s="178"/>
      <c r="R33" s="178"/>
      <c r="S33" s="178"/>
      <c r="T33" s="178"/>
      <c r="U33" s="178"/>
      <c r="V33" s="178"/>
      <c r="W33" s="178"/>
      <c r="X33" s="178"/>
      <c r="Y33" s="178"/>
      <c r="Z33" s="178"/>
      <c r="AA33" s="178"/>
      <c r="AB33" s="179"/>
    </row>
    <row r="34" spans="1:28" ht="59.25" customHeight="1">
      <c r="A34" s="87"/>
      <c r="B34" s="177"/>
      <c r="C34" s="178"/>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178"/>
      <c r="AB34" s="179"/>
    </row>
    <row r="35" spans="1:28" ht="59.25" customHeight="1">
      <c r="A35" s="87"/>
      <c r="B35" s="177"/>
      <c r="C35" s="178"/>
      <c r="D35" s="178"/>
      <c r="E35" s="178"/>
      <c r="F35" s="178"/>
      <c r="G35" s="178"/>
      <c r="H35" s="178"/>
      <c r="I35" s="178"/>
      <c r="J35" s="178"/>
      <c r="K35" s="178"/>
      <c r="L35" s="178"/>
      <c r="M35" s="178"/>
      <c r="N35" s="178"/>
      <c r="O35" s="178"/>
      <c r="P35" s="178"/>
      <c r="Q35" s="178"/>
      <c r="R35" s="178"/>
      <c r="S35" s="178"/>
      <c r="T35" s="178"/>
      <c r="U35" s="178"/>
      <c r="V35" s="178"/>
      <c r="W35" s="178"/>
      <c r="X35" s="178"/>
      <c r="Y35" s="178"/>
      <c r="Z35" s="178"/>
      <c r="AA35" s="178"/>
      <c r="AB35" s="179"/>
    </row>
    <row r="36" spans="1:28" ht="59.25" customHeight="1">
      <c r="A36" s="87"/>
      <c r="B36" s="177"/>
      <c r="C36" s="178"/>
      <c r="D36" s="178"/>
      <c r="E36" s="178"/>
      <c r="F36" s="178"/>
      <c r="G36" s="178"/>
      <c r="H36" s="178"/>
      <c r="I36" s="178"/>
      <c r="J36" s="178"/>
      <c r="K36" s="178"/>
      <c r="L36" s="178"/>
      <c r="M36" s="178"/>
      <c r="N36" s="178"/>
      <c r="O36" s="178"/>
      <c r="P36" s="178"/>
      <c r="Q36" s="178"/>
      <c r="R36" s="178"/>
      <c r="S36" s="178"/>
      <c r="T36" s="178"/>
      <c r="U36" s="178"/>
      <c r="V36" s="178"/>
      <c r="W36" s="178"/>
      <c r="X36" s="178"/>
      <c r="Y36" s="178"/>
      <c r="Z36" s="178"/>
      <c r="AA36" s="178"/>
      <c r="AB36" s="179"/>
    </row>
    <row r="37" spans="1:28" ht="59.25" customHeight="1">
      <c r="A37" s="87"/>
      <c r="B37" s="177"/>
      <c r="C37" s="178"/>
      <c r="D37" s="178"/>
      <c r="E37" s="178"/>
      <c r="F37" s="178"/>
      <c r="G37" s="178"/>
      <c r="H37" s="178"/>
      <c r="I37" s="178"/>
      <c r="J37" s="178"/>
      <c r="K37" s="178"/>
      <c r="L37" s="178"/>
      <c r="M37" s="178"/>
      <c r="N37" s="178"/>
      <c r="O37" s="178"/>
      <c r="P37" s="178"/>
      <c r="Q37" s="178"/>
      <c r="R37" s="178"/>
      <c r="S37" s="178"/>
      <c r="T37" s="178"/>
      <c r="U37" s="178"/>
      <c r="V37" s="178"/>
      <c r="W37" s="178"/>
      <c r="X37" s="178"/>
      <c r="Y37" s="178"/>
      <c r="Z37" s="178"/>
      <c r="AA37" s="178"/>
      <c r="AB37" s="179"/>
    </row>
    <row r="38" spans="1:28" ht="59.25" customHeight="1">
      <c r="A38" s="87"/>
      <c r="B38" s="177"/>
      <c r="C38" s="178"/>
      <c r="D38" s="178"/>
      <c r="E38" s="178"/>
      <c r="F38" s="178"/>
      <c r="G38" s="178"/>
      <c r="H38" s="178"/>
      <c r="I38" s="178"/>
      <c r="J38" s="178"/>
      <c r="K38" s="178"/>
      <c r="L38" s="178"/>
      <c r="M38" s="178"/>
      <c r="N38" s="178"/>
      <c r="O38" s="178"/>
      <c r="P38" s="178"/>
      <c r="Q38" s="178"/>
      <c r="R38" s="178"/>
      <c r="S38" s="178"/>
      <c r="T38" s="178"/>
      <c r="U38" s="178"/>
      <c r="V38" s="178"/>
      <c r="W38" s="178"/>
      <c r="X38" s="178"/>
      <c r="Y38" s="178"/>
      <c r="Z38" s="178"/>
      <c r="AA38" s="178"/>
      <c r="AB38" s="179"/>
    </row>
    <row r="39" spans="1:28" ht="59.25" customHeight="1">
      <c r="A39" s="87"/>
      <c r="B39" s="177"/>
      <c r="C39" s="178"/>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9"/>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14:AB14"/>
    <mergeCell ref="B15:AB15"/>
    <mergeCell ref="A2:A12"/>
    <mergeCell ref="B31:AB31"/>
    <mergeCell ref="B32:AB32"/>
    <mergeCell ref="B26:AB26"/>
    <mergeCell ref="B27:AB27"/>
    <mergeCell ref="B28:AB28"/>
    <mergeCell ref="B29:AB29"/>
    <mergeCell ref="B30:AB30"/>
    <mergeCell ref="B16:AB16"/>
    <mergeCell ref="B17:AB17"/>
    <mergeCell ref="B18:AB18"/>
    <mergeCell ref="B19:AB19"/>
    <mergeCell ref="B20:AB20"/>
    <mergeCell ref="B21:AB21"/>
    <mergeCell ref="B22:AB22"/>
    <mergeCell ref="B23:AB23"/>
    <mergeCell ref="B24:AB24"/>
    <mergeCell ref="B25:AB25"/>
    <mergeCell ref="B38:AB38"/>
    <mergeCell ref="B39:AB39"/>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８－１</v>
      </c>
      <c r="B1" s="22" t="str">
        <f ca="1">RIGHT(CELL("filename",B1),LEN(CELL("filename",B1))-FIND("]",CELL("filename",B1)))</f>
        <v>英語</v>
      </c>
      <c r="C1" s="23" t="s">
        <v>62</v>
      </c>
      <c r="D1" s="24" t="str">
        <f>A15</f>
        <v>伊東 資竜</v>
      </c>
      <c r="E1" s="24" t="str">
        <f>A16</f>
        <v>大堀キム 未奈</v>
      </c>
      <c r="F1" s="24" t="str">
        <f>A17</f>
        <v>門田 湧真</v>
      </c>
      <c r="G1" s="24" t="str">
        <f>A18</f>
        <v>行田 さとみ</v>
      </c>
      <c r="H1" s="24" t="str">
        <f>A19</f>
        <v>久保田 明誠</v>
      </c>
      <c r="I1" s="24" t="str">
        <f>A20</f>
        <v>小松 流翔</v>
      </c>
      <c r="J1" s="24" t="str">
        <f>A21</f>
        <v>佐藤 美月</v>
      </c>
      <c r="K1" s="24" t="str">
        <f>A22</f>
        <v>辛 祐輝</v>
      </c>
      <c r="L1" s="24" t="str">
        <f>A23</f>
        <v>新保 芙佑香</v>
      </c>
      <c r="M1" s="24" t="str">
        <f>A24</f>
        <v>宋 語唯</v>
      </c>
      <c r="N1" s="24" t="str">
        <f>A25</f>
        <v>髙山 愛永</v>
      </c>
      <c r="O1" s="24" t="str">
        <f>A26</f>
        <v>滝澤 愛佳</v>
      </c>
      <c r="P1" s="24" t="str">
        <f>A27</f>
        <v>中山 千愛</v>
      </c>
      <c r="Q1" s="24" t="str">
        <f>A28</f>
        <v>花岡 麻貴</v>
      </c>
      <c r="R1" s="24" t="str">
        <f>A29</f>
        <v>宮下 花</v>
      </c>
      <c r="S1" s="24" t="str">
        <f>A30</f>
        <v>六井 啓翔</v>
      </c>
      <c r="T1" s="24">
        <f>A31</f>
        <v>0</v>
      </c>
      <c r="U1" s="24">
        <f>A32</f>
        <v>0</v>
      </c>
      <c r="V1" s="24">
        <f>A33</f>
        <v>0</v>
      </c>
      <c r="W1" s="24">
        <f>A34</f>
        <v>0</v>
      </c>
      <c r="X1" s="24">
        <f>A35</f>
        <v>0</v>
      </c>
      <c r="Y1" s="24">
        <f>A36</f>
        <v>0</v>
      </c>
      <c r="Z1" s="24">
        <f>A37</f>
        <v>0</v>
      </c>
      <c r="AA1" s="24">
        <f>A38</f>
        <v>0</v>
      </c>
      <c r="AB1" s="24">
        <f>A39</f>
        <v>0</v>
      </c>
      <c r="AC1" s="25"/>
    </row>
    <row r="2" spans="1:30" ht="22.5" customHeight="1">
      <c r="A2" s="171" t="s">
        <v>160</v>
      </c>
      <c r="B2" s="58" t="s">
        <v>103</v>
      </c>
      <c r="C2" s="26" t="s">
        <v>63</v>
      </c>
      <c r="D2" s="27" t="s">
        <v>28</v>
      </c>
      <c r="E2" s="27" t="s">
        <v>28</v>
      </c>
      <c r="F2" s="27" t="s">
        <v>28</v>
      </c>
      <c r="G2" s="27" t="s">
        <v>28</v>
      </c>
      <c r="H2" s="27" t="s">
        <v>28</v>
      </c>
      <c r="I2" s="27" t="s">
        <v>31</v>
      </c>
      <c r="J2" s="27" t="s">
        <v>31</v>
      </c>
      <c r="K2" s="27" t="s">
        <v>27</v>
      </c>
      <c r="L2" s="27" t="s">
        <v>28</v>
      </c>
      <c r="M2" s="27" t="s">
        <v>28</v>
      </c>
      <c r="N2" s="27" t="s">
        <v>28</v>
      </c>
      <c r="O2" s="27" t="s">
        <v>27</v>
      </c>
      <c r="P2" s="27" t="s">
        <v>27</v>
      </c>
      <c r="Q2" s="27" t="s">
        <v>28</v>
      </c>
      <c r="R2" s="27" t="s">
        <v>28</v>
      </c>
      <c r="S2" s="27" t="s">
        <v>27</v>
      </c>
      <c r="T2" s="27"/>
      <c r="U2" s="27"/>
      <c r="V2" s="27"/>
      <c r="W2" s="27"/>
      <c r="X2" s="27"/>
      <c r="Y2" s="27"/>
      <c r="Z2" s="27"/>
      <c r="AA2" s="27"/>
      <c r="AB2" s="27"/>
      <c r="AC2" s="28" t="s">
        <v>197</v>
      </c>
      <c r="AD2" s="28">
        <v>1</v>
      </c>
    </row>
    <row r="3" spans="1:30" ht="22.5" customHeight="1">
      <c r="A3" s="172"/>
      <c r="B3" s="58" t="s">
        <v>104</v>
      </c>
      <c r="C3" s="26" t="s">
        <v>63</v>
      </c>
      <c r="D3" s="27" t="s">
        <v>28</v>
      </c>
      <c r="E3" s="27" t="s">
        <v>28</v>
      </c>
      <c r="F3" s="27" t="s">
        <v>28</v>
      </c>
      <c r="G3" s="27" t="s">
        <v>28</v>
      </c>
      <c r="H3" s="27" t="s">
        <v>28</v>
      </c>
      <c r="I3" s="27" t="s">
        <v>27</v>
      </c>
      <c r="J3" s="27" t="s">
        <v>27</v>
      </c>
      <c r="K3" s="27" t="s">
        <v>28</v>
      </c>
      <c r="L3" s="27" t="s">
        <v>28</v>
      </c>
      <c r="M3" s="27" t="s">
        <v>28</v>
      </c>
      <c r="N3" s="27" t="s">
        <v>28</v>
      </c>
      <c r="O3" s="27" t="s">
        <v>28</v>
      </c>
      <c r="P3" s="27" t="s">
        <v>27</v>
      </c>
      <c r="Q3" s="27" t="s">
        <v>28</v>
      </c>
      <c r="R3" s="27" t="s">
        <v>28</v>
      </c>
      <c r="S3" s="27" t="s">
        <v>28</v>
      </c>
      <c r="T3" s="27"/>
      <c r="U3" s="27"/>
      <c r="V3" s="27"/>
      <c r="W3" s="27"/>
      <c r="X3" s="27"/>
      <c r="Y3" s="27"/>
      <c r="Z3" s="27"/>
      <c r="AA3" s="27"/>
      <c r="AB3" s="27"/>
      <c r="AC3" s="28" t="s">
        <v>198</v>
      </c>
      <c r="AD3" s="28">
        <v>2</v>
      </c>
    </row>
    <row r="4" spans="1:30" ht="22.5" customHeight="1">
      <c r="A4" s="172"/>
      <c r="B4" s="58" t="s">
        <v>105</v>
      </c>
      <c r="C4" s="26" t="s">
        <v>63</v>
      </c>
      <c r="D4" s="27" t="s">
        <v>198</v>
      </c>
      <c r="E4" s="27" t="s">
        <v>28</v>
      </c>
      <c r="F4" s="27" t="s">
        <v>28</v>
      </c>
      <c r="G4" s="27" t="s">
        <v>28</v>
      </c>
      <c r="H4" s="27" t="s">
        <v>28</v>
      </c>
      <c r="I4" s="27" t="s">
        <v>27</v>
      </c>
      <c r="J4" s="27" t="s">
        <v>28</v>
      </c>
      <c r="K4" s="27" t="s">
        <v>28</v>
      </c>
      <c r="L4" s="27" t="s">
        <v>28</v>
      </c>
      <c r="M4" s="27" t="s">
        <v>28</v>
      </c>
      <c r="N4" s="27" t="s">
        <v>28</v>
      </c>
      <c r="O4" s="27" t="s">
        <v>28</v>
      </c>
      <c r="P4" s="27" t="s">
        <v>28</v>
      </c>
      <c r="Q4" s="27" t="s">
        <v>28</v>
      </c>
      <c r="R4" s="27" t="s">
        <v>28</v>
      </c>
      <c r="S4" s="27" t="s">
        <v>28</v>
      </c>
      <c r="T4" s="27"/>
      <c r="U4" s="27"/>
      <c r="V4" s="27"/>
      <c r="W4" s="27"/>
      <c r="X4" s="27"/>
      <c r="Y4" s="27"/>
      <c r="Z4" s="27"/>
      <c r="AA4" s="27"/>
      <c r="AB4" s="27"/>
      <c r="AC4" s="28" t="s">
        <v>199</v>
      </c>
      <c r="AD4" s="28">
        <v>3</v>
      </c>
    </row>
    <row r="5" spans="1:30" ht="22.5" customHeight="1">
      <c r="A5" s="172"/>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200</v>
      </c>
      <c r="AD5" s="28">
        <v>4</v>
      </c>
    </row>
    <row r="6" spans="1:30" ht="22.5" customHeight="1">
      <c r="A6" s="172"/>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2"/>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185</v>
      </c>
    </row>
    <row r="8" spans="1:30" ht="22.5" customHeight="1">
      <c r="A8" s="172"/>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2"/>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2"/>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2"/>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3"/>
      <c r="B12" s="29"/>
      <c r="C12" s="85" t="s">
        <v>64</v>
      </c>
      <c r="D12" s="27">
        <v>4</v>
      </c>
      <c r="E12" s="27" t="s">
        <v>54</v>
      </c>
      <c r="F12" s="27" t="s">
        <v>54</v>
      </c>
      <c r="G12" s="27" t="s">
        <v>54</v>
      </c>
      <c r="H12" s="27" t="s">
        <v>54</v>
      </c>
      <c r="I12" s="27" t="s">
        <v>56</v>
      </c>
      <c r="J12" s="27" t="s">
        <v>56</v>
      </c>
      <c r="K12" s="27" t="s">
        <v>55</v>
      </c>
      <c r="L12" s="27" t="s">
        <v>54</v>
      </c>
      <c r="M12" s="27" t="s">
        <v>54</v>
      </c>
      <c r="N12" s="27" t="s">
        <v>54</v>
      </c>
      <c r="O12" s="27" t="s">
        <v>55</v>
      </c>
      <c r="P12" s="27" t="s">
        <v>56</v>
      </c>
      <c r="Q12" s="27" t="s">
        <v>54</v>
      </c>
      <c r="R12" s="27" t="s">
        <v>54</v>
      </c>
      <c r="S12" s="27" t="s">
        <v>55</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65</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66</v>
      </c>
      <c r="B15" s="168" t="s">
        <v>106</v>
      </c>
      <c r="C15" s="169"/>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69"/>
      <c r="AB15" s="170"/>
    </row>
    <row r="16" spans="1:30" ht="59.25" customHeight="1">
      <c r="A16" s="32" t="s">
        <v>67</v>
      </c>
      <c r="B16" s="168" t="s">
        <v>107</v>
      </c>
      <c r="C16" s="169"/>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69"/>
      <c r="AB16" s="170"/>
    </row>
    <row r="17" spans="1:28" ht="59.25" customHeight="1">
      <c r="A17" s="32" t="s">
        <v>68</v>
      </c>
      <c r="B17" s="168" t="s">
        <v>108</v>
      </c>
      <c r="C17" s="169"/>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69"/>
      <c r="AB17" s="170"/>
    </row>
    <row r="18" spans="1:28" ht="59.25" customHeight="1">
      <c r="A18" s="32" t="s">
        <v>69</v>
      </c>
      <c r="B18" s="168"/>
      <c r="C18" s="169"/>
      <c r="D18" s="169"/>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70"/>
    </row>
    <row r="19" spans="1:28" ht="59.25" customHeight="1">
      <c r="A19" s="32" t="s">
        <v>70</v>
      </c>
      <c r="B19" s="168"/>
      <c r="C19" s="169"/>
      <c r="D19" s="169"/>
      <c r="E19" s="169"/>
      <c r="F19" s="169"/>
      <c r="G19" s="169"/>
      <c r="H19" s="169"/>
      <c r="I19" s="169"/>
      <c r="J19" s="169"/>
      <c r="K19" s="169"/>
      <c r="L19" s="169"/>
      <c r="M19" s="169"/>
      <c r="N19" s="169"/>
      <c r="O19" s="169"/>
      <c r="P19" s="169"/>
      <c r="Q19" s="169"/>
      <c r="R19" s="169"/>
      <c r="S19" s="169"/>
      <c r="T19" s="169"/>
      <c r="U19" s="169"/>
      <c r="V19" s="169"/>
      <c r="W19" s="169"/>
      <c r="X19" s="169"/>
      <c r="Y19" s="169"/>
      <c r="Z19" s="169"/>
      <c r="AA19" s="169"/>
      <c r="AB19" s="170"/>
    </row>
    <row r="20" spans="1:28" ht="59.25" customHeight="1">
      <c r="A20" s="32" t="s">
        <v>71</v>
      </c>
      <c r="B20" s="168"/>
      <c r="C20" s="169"/>
      <c r="D20" s="169"/>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70"/>
    </row>
    <row r="21" spans="1:28" ht="59.25" customHeight="1">
      <c r="A21" s="32" t="s">
        <v>72</v>
      </c>
      <c r="B21" s="168"/>
      <c r="C21" s="169"/>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69"/>
      <c r="AB21" s="170"/>
    </row>
    <row r="22" spans="1:28" ht="59.25" customHeight="1">
      <c r="A22" s="32" t="s">
        <v>73</v>
      </c>
      <c r="B22" s="168"/>
      <c r="C22" s="169"/>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9"/>
      <c r="AB22" s="170"/>
    </row>
    <row r="23" spans="1:28" ht="59.25" customHeight="1">
      <c r="A23" s="32" t="s">
        <v>74</v>
      </c>
      <c r="B23" s="168" t="s">
        <v>109</v>
      </c>
      <c r="C23" s="169"/>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9"/>
      <c r="AB23" s="170"/>
    </row>
    <row r="24" spans="1:28" ht="59.25" customHeight="1">
      <c r="A24" s="32" t="s">
        <v>75</v>
      </c>
      <c r="B24" s="168" t="s">
        <v>110</v>
      </c>
      <c r="C24" s="169"/>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9"/>
      <c r="AB24" s="170"/>
    </row>
    <row r="25" spans="1:28" ht="59.25" customHeight="1">
      <c r="A25" s="32" t="s">
        <v>76</v>
      </c>
      <c r="B25" s="168"/>
      <c r="C25" s="169"/>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9"/>
      <c r="AB25" s="170"/>
    </row>
    <row r="26" spans="1:28" ht="59.25" customHeight="1">
      <c r="A26" s="32" t="s">
        <v>77</v>
      </c>
      <c r="B26" s="168"/>
      <c r="C26" s="169"/>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69"/>
      <c r="AB26" s="170"/>
    </row>
    <row r="27" spans="1:28" ht="59.25" customHeight="1">
      <c r="A27" s="32" t="s">
        <v>78</v>
      </c>
      <c r="B27" s="168"/>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70"/>
    </row>
    <row r="28" spans="1:28" ht="59.25" customHeight="1">
      <c r="A28" s="32" t="s">
        <v>79</v>
      </c>
      <c r="B28" s="168" t="s">
        <v>111</v>
      </c>
      <c r="C28" s="169"/>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9"/>
      <c r="AB28" s="170"/>
    </row>
    <row r="29" spans="1:28" ht="59.25" customHeight="1">
      <c r="A29" s="32" t="s">
        <v>80</v>
      </c>
      <c r="B29" s="168" t="s">
        <v>112</v>
      </c>
      <c r="C29" s="169"/>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9"/>
      <c r="AB29" s="170"/>
    </row>
    <row r="30" spans="1:28" ht="59.25" customHeight="1">
      <c r="A30" s="32" t="s">
        <v>81</v>
      </c>
      <c r="B30" s="168"/>
      <c r="C30" s="169"/>
      <c r="D30" s="169"/>
      <c r="E30" s="169"/>
      <c r="F30" s="169"/>
      <c r="G30" s="169"/>
      <c r="H30" s="169"/>
      <c r="I30" s="169"/>
      <c r="J30" s="169"/>
      <c r="K30" s="169"/>
      <c r="L30" s="169"/>
      <c r="M30" s="169"/>
      <c r="N30" s="169"/>
      <c r="O30" s="169"/>
      <c r="P30" s="169"/>
      <c r="Q30" s="169"/>
      <c r="R30" s="169"/>
      <c r="S30" s="169"/>
      <c r="T30" s="169"/>
      <c r="U30" s="169"/>
      <c r="V30" s="169"/>
      <c r="W30" s="169"/>
      <c r="X30" s="169"/>
      <c r="Y30" s="169"/>
      <c r="Z30" s="169"/>
      <c r="AA30" s="169"/>
      <c r="AB30" s="170"/>
    </row>
    <row r="31" spans="1:28" ht="59.25" customHeight="1">
      <c r="A31" s="32"/>
      <c r="B31" s="168"/>
      <c r="C31" s="169"/>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69"/>
      <c r="AB31" s="170"/>
    </row>
    <row r="32" spans="1:28" ht="59.25" customHeight="1">
      <c r="A32" s="32"/>
      <c r="B32" s="168"/>
      <c r="C32" s="169"/>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70"/>
    </row>
    <row r="33" spans="1:28" ht="59.25" customHeight="1">
      <c r="A33" s="32"/>
      <c r="B33" s="168"/>
      <c r="C33" s="169"/>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169"/>
      <c r="AB33" s="170"/>
    </row>
    <row r="34" spans="1:28" ht="59.25" customHeight="1">
      <c r="A34" s="32"/>
      <c r="B34" s="168"/>
      <c r="C34" s="169"/>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70"/>
    </row>
    <row r="35" spans="1:28" ht="59.25" customHeight="1">
      <c r="A35" s="32"/>
      <c r="B35" s="168"/>
      <c r="C35" s="169"/>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70"/>
    </row>
    <row r="36" spans="1:28" ht="59.25" customHeight="1">
      <c r="A36" s="32"/>
      <c r="B36" s="168"/>
      <c r="C36" s="169"/>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69"/>
      <c r="AB36" s="170"/>
    </row>
    <row r="37" spans="1:28" ht="59.25" customHeight="1">
      <c r="A37" s="32"/>
      <c r="B37" s="168"/>
      <c r="C37" s="169"/>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169"/>
      <c r="AB37" s="170"/>
    </row>
    <row r="38" spans="1:28" ht="59.25" customHeight="1">
      <c r="A38" s="32"/>
      <c r="B38" s="168"/>
      <c r="C38" s="169"/>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70"/>
    </row>
    <row r="39" spans="1:28" ht="59.25" customHeight="1">
      <c r="A39" s="32"/>
      <c r="B39" s="168"/>
      <c r="C39" s="169"/>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70"/>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８－１</v>
      </c>
      <c r="B1" s="22" t="str">
        <f ca="1">RIGHT(CELL("filename",B1),LEN(CELL("filename",B1))-FIND("]",CELL("filename",B1)))</f>
        <v>音楽</v>
      </c>
      <c r="C1" s="23" t="s">
        <v>62</v>
      </c>
      <c r="D1" s="24" t="str">
        <f>A15</f>
        <v>伊東 資竜</v>
      </c>
      <c r="E1" s="24" t="str">
        <f>A16</f>
        <v>大堀キム 未奈</v>
      </c>
      <c r="F1" s="24" t="str">
        <f>A17</f>
        <v>門田 湧真</v>
      </c>
      <c r="G1" s="24" t="str">
        <f>A18</f>
        <v>行田 さとみ</v>
      </c>
      <c r="H1" s="24" t="str">
        <f>A19</f>
        <v>久保田 明誠</v>
      </c>
      <c r="I1" s="24" t="str">
        <f>A20</f>
        <v>小松 流翔</v>
      </c>
      <c r="J1" s="24" t="str">
        <f>A21</f>
        <v>佐藤 美月</v>
      </c>
      <c r="K1" s="24" t="str">
        <f>A22</f>
        <v>辛 祐輝</v>
      </c>
      <c r="L1" s="24" t="str">
        <f>A23</f>
        <v>新保 芙佑香</v>
      </c>
      <c r="M1" s="24" t="str">
        <f>A24</f>
        <v>宋 語唯</v>
      </c>
      <c r="N1" s="24" t="str">
        <f>A25</f>
        <v>髙山 愛永</v>
      </c>
      <c r="O1" s="24" t="str">
        <f>A26</f>
        <v>滝澤 愛佳</v>
      </c>
      <c r="P1" s="24" t="str">
        <f>A27</f>
        <v>中山 千愛</v>
      </c>
      <c r="Q1" s="24" t="str">
        <f>A28</f>
        <v>花岡 麻貴</v>
      </c>
      <c r="R1" s="24" t="str">
        <f>A29</f>
        <v>宮下 花</v>
      </c>
      <c r="S1" s="24" t="str">
        <f>A30</f>
        <v>六井 啓翔</v>
      </c>
      <c r="T1" s="24">
        <f>A31</f>
        <v>0</v>
      </c>
      <c r="U1" s="24">
        <f>A32</f>
        <v>0</v>
      </c>
      <c r="V1" s="24">
        <f>A33</f>
        <v>0</v>
      </c>
      <c r="W1" s="24">
        <f>A34</f>
        <v>0</v>
      </c>
      <c r="X1" s="24">
        <f>A35</f>
        <v>0</v>
      </c>
      <c r="Y1" s="24">
        <f>A36</f>
        <v>0</v>
      </c>
      <c r="Z1" s="24">
        <f>A37</f>
        <v>0</v>
      </c>
      <c r="AA1" s="24">
        <f>A38</f>
        <v>0</v>
      </c>
      <c r="AB1" s="24">
        <f>A39</f>
        <v>0</v>
      </c>
      <c r="AC1" s="25"/>
    </row>
    <row r="2" spans="1:30" ht="22.5" customHeight="1">
      <c r="A2" s="171" t="s">
        <v>202</v>
      </c>
      <c r="B2" s="58" t="s">
        <v>113</v>
      </c>
      <c r="C2" s="26" t="s">
        <v>63</v>
      </c>
      <c r="D2" s="27" t="s">
        <v>31</v>
      </c>
      <c r="E2" s="27" t="s">
        <v>28</v>
      </c>
      <c r="F2" s="27" t="s">
        <v>28</v>
      </c>
      <c r="G2" s="27" t="s">
        <v>27</v>
      </c>
      <c r="H2" s="27" t="s">
        <v>28</v>
      </c>
      <c r="I2" s="27" t="s">
        <v>31</v>
      </c>
      <c r="J2" s="27" t="s">
        <v>27</v>
      </c>
      <c r="K2" s="27" t="s">
        <v>28</v>
      </c>
      <c r="L2" s="27" t="s">
        <v>28</v>
      </c>
      <c r="M2" s="27" t="s">
        <v>28</v>
      </c>
      <c r="N2" s="27" t="s">
        <v>28</v>
      </c>
      <c r="O2" s="27" t="s">
        <v>28</v>
      </c>
      <c r="P2" s="27" t="s">
        <v>28</v>
      </c>
      <c r="Q2" s="27" t="s">
        <v>27</v>
      </c>
      <c r="R2" s="27" t="s">
        <v>28</v>
      </c>
      <c r="S2" s="27" t="s">
        <v>27</v>
      </c>
      <c r="T2" s="27"/>
      <c r="U2" s="27"/>
      <c r="V2" s="27"/>
      <c r="W2" s="27"/>
      <c r="X2" s="27"/>
      <c r="Y2" s="27"/>
      <c r="Z2" s="27"/>
      <c r="AA2" s="27"/>
      <c r="AB2" s="27"/>
      <c r="AC2" s="28" t="s">
        <v>203</v>
      </c>
      <c r="AD2" s="28">
        <v>1</v>
      </c>
    </row>
    <row r="3" spans="1:30" ht="22.5" customHeight="1">
      <c r="A3" s="172"/>
      <c r="B3" s="58" t="s">
        <v>114</v>
      </c>
      <c r="C3" s="26" t="s">
        <v>63</v>
      </c>
      <c r="D3" s="27" t="s">
        <v>27</v>
      </c>
      <c r="E3" s="27" t="s">
        <v>28</v>
      </c>
      <c r="F3" s="27" t="s">
        <v>28</v>
      </c>
      <c r="G3" s="27" t="s">
        <v>28</v>
      </c>
      <c r="H3" s="27" t="s">
        <v>28</v>
      </c>
      <c r="I3" s="27" t="s">
        <v>27</v>
      </c>
      <c r="J3" s="27" t="s">
        <v>28</v>
      </c>
      <c r="K3" s="27" t="s">
        <v>28</v>
      </c>
      <c r="L3" s="27" t="s">
        <v>28</v>
      </c>
      <c r="M3" s="27" t="s">
        <v>28</v>
      </c>
      <c r="N3" s="27" t="s">
        <v>28</v>
      </c>
      <c r="O3" s="27" t="s">
        <v>28</v>
      </c>
      <c r="P3" s="27" t="s">
        <v>28</v>
      </c>
      <c r="Q3" s="27" t="s">
        <v>28</v>
      </c>
      <c r="R3" s="27" t="s">
        <v>28</v>
      </c>
      <c r="S3" s="27" t="s">
        <v>27</v>
      </c>
      <c r="T3" s="27"/>
      <c r="U3" s="27"/>
      <c r="V3" s="27"/>
      <c r="W3" s="27"/>
      <c r="X3" s="27"/>
      <c r="Y3" s="27"/>
      <c r="Z3" s="27"/>
      <c r="AA3" s="27"/>
      <c r="AB3" s="27"/>
      <c r="AC3" s="28" t="s">
        <v>204</v>
      </c>
      <c r="AD3" s="28">
        <v>2</v>
      </c>
    </row>
    <row r="4" spans="1:30" ht="22.5" customHeight="1">
      <c r="A4" s="172"/>
      <c r="B4" s="58" t="s">
        <v>115</v>
      </c>
      <c r="C4" s="26" t="s">
        <v>63</v>
      </c>
      <c r="D4" s="27" t="s">
        <v>27</v>
      </c>
      <c r="E4" s="27" t="s">
        <v>28</v>
      </c>
      <c r="F4" s="27" t="s">
        <v>28</v>
      </c>
      <c r="G4" s="27" t="s">
        <v>28</v>
      </c>
      <c r="H4" s="27" t="s">
        <v>28</v>
      </c>
      <c r="I4" s="27" t="s">
        <v>27</v>
      </c>
      <c r="J4" s="27" t="s">
        <v>28</v>
      </c>
      <c r="K4" s="27" t="s">
        <v>27</v>
      </c>
      <c r="L4" s="27" t="s">
        <v>28</v>
      </c>
      <c r="M4" s="27" t="s">
        <v>28</v>
      </c>
      <c r="N4" s="27" t="s">
        <v>28</v>
      </c>
      <c r="O4" s="27" t="s">
        <v>28</v>
      </c>
      <c r="P4" s="27" t="s">
        <v>28</v>
      </c>
      <c r="Q4" s="27" t="s">
        <v>28</v>
      </c>
      <c r="R4" s="27" t="s">
        <v>28</v>
      </c>
      <c r="S4" s="27" t="s">
        <v>27</v>
      </c>
      <c r="T4" s="27"/>
      <c r="U4" s="27"/>
      <c r="V4" s="27"/>
      <c r="W4" s="27"/>
      <c r="X4" s="27"/>
      <c r="Y4" s="27"/>
      <c r="Z4" s="27"/>
      <c r="AA4" s="27"/>
      <c r="AB4" s="27"/>
      <c r="AC4" s="28" t="s">
        <v>205</v>
      </c>
      <c r="AD4" s="28">
        <v>3</v>
      </c>
    </row>
    <row r="5" spans="1:30" ht="22.5" customHeight="1">
      <c r="A5" s="172"/>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185</v>
      </c>
      <c r="AD5" s="28">
        <v>4</v>
      </c>
    </row>
    <row r="6" spans="1:30" ht="22.5" customHeight="1">
      <c r="A6" s="172"/>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2"/>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206</v>
      </c>
    </row>
    <row r="8" spans="1:30" ht="22.5" customHeight="1">
      <c r="A8" s="172"/>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2"/>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2"/>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2"/>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3"/>
      <c r="B12" s="29"/>
      <c r="C12" s="85" t="s">
        <v>64</v>
      </c>
      <c r="D12" s="27">
        <v>3</v>
      </c>
      <c r="E12" s="27">
        <v>5</v>
      </c>
      <c r="F12" s="27">
        <v>5</v>
      </c>
      <c r="G12" s="27">
        <v>4</v>
      </c>
      <c r="H12" s="27">
        <v>5</v>
      </c>
      <c r="I12" s="27">
        <v>3</v>
      </c>
      <c r="J12" s="27">
        <v>4</v>
      </c>
      <c r="K12" s="27">
        <v>4</v>
      </c>
      <c r="L12" s="27">
        <v>5</v>
      </c>
      <c r="M12" s="27">
        <v>5</v>
      </c>
      <c r="N12" s="27">
        <v>5</v>
      </c>
      <c r="O12" s="27">
        <v>5</v>
      </c>
      <c r="P12" s="27">
        <v>5</v>
      </c>
      <c r="Q12" s="27">
        <v>4</v>
      </c>
      <c r="R12" s="27">
        <v>5</v>
      </c>
      <c r="S12" s="27">
        <v>3</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65</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66</v>
      </c>
      <c r="B15" s="168" t="s">
        <v>116</v>
      </c>
      <c r="C15" s="169"/>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69"/>
      <c r="AB15" s="170"/>
    </row>
    <row r="16" spans="1:30" ht="59.25" customHeight="1">
      <c r="A16" s="32" t="s">
        <v>67</v>
      </c>
      <c r="B16" s="168"/>
      <c r="C16" s="169"/>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69"/>
      <c r="AB16" s="170"/>
    </row>
    <row r="17" spans="1:28" ht="59.25" customHeight="1">
      <c r="A17" s="32" t="s">
        <v>68</v>
      </c>
      <c r="B17" s="168"/>
      <c r="C17" s="169"/>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69"/>
      <c r="AB17" s="170"/>
    </row>
    <row r="18" spans="1:28" ht="59.25" customHeight="1">
      <c r="A18" s="32" t="s">
        <v>69</v>
      </c>
      <c r="B18" s="168"/>
      <c r="C18" s="169"/>
      <c r="D18" s="169"/>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70"/>
    </row>
    <row r="19" spans="1:28" ht="59.25" customHeight="1">
      <c r="A19" s="32" t="s">
        <v>70</v>
      </c>
      <c r="B19" s="168"/>
      <c r="C19" s="169"/>
      <c r="D19" s="169"/>
      <c r="E19" s="169"/>
      <c r="F19" s="169"/>
      <c r="G19" s="169"/>
      <c r="H19" s="169"/>
      <c r="I19" s="169"/>
      <c r="J19" s="169"/>
      <c r="K19" s="169"/>
      <c r="L19" s="169"/>
      <c r="M19" s="169"/>
      <c r="N19" s="169"/>
      <c r="O19" s="169"/>
      <c r="P19" s="169"/>
      <c r="Q19" s="169"/>
      <c r="R19" s="169"/>
      <c r="S19" s="169"/>
      <c r="T19" s="169"/>
      <c r="U19" s="169"/>
      <c r="V19" s="169"/>
      <c r="W19" s="169"/>
      <c r="X19" s="169"/>
      <c r="Y19" s="169"/>
      <c r="Z19" s="169"/>
      <c r="AA19" s="169"/>
      <c r="AB19" s="170"/>
    </row>
    <row r="20" spans="1:28" ht="59.25" customHeight="1">
      <c r="A20" s="32" t="s">
        <v>71</v>
      </c>
      <c r="B20" s="168" t="s">
        <v>117</v>
      </c>
      <c r="C20" s="169"/>
      <c r="D20" s="169"/>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70"/>
    </row>
    <row r="21" spans="1:28" ht="59.25" customHeight="1">
      <c r="A21" s="32" t="s">
        <v>72</v>
      </c>
      <c r="B21" s="168"/>
      <c r="C21" s="169"/>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69"/>
      <c r="AB21" s="170"/>
    </row>
    <row r="22" spans="1:28" ht="59.25" customHeight="1">
      <c r="A22" s="32" t="s">
        <v>73</v>
      </c>
      <c r="B22" s="168"/>
      <c r="C22" s="169"/>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9"/>
      <c r="AB22" s="170"/>
    </row>
    <row r="23" spans="1:28" ht="59.25" customHeight="1">
      <c r="A23" s="32" t="s">
        <v>74</v>
      </c>
      <c r="B23" s="168"/>
      <c r="C23" s="169"/>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9"/>
      <c r="AB23" s="170"/>
    </row>
    <row r="24" spans="1:28" ht="59.25" customHeight="1">
      <c r="A24" s="32" t="s">
        <v>75</v>
      </c>
      <c r="B24" s="168"/>
      <c r="C24" s="169"/>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9"/>
      <c r="AB24" s="170"/>
    </row>
    <row r="25" spans="1:28" ht="59.25" customHeight="1">
      <c r="A25" s="32" t="s">
        <v>76</v>
      </c>
      <c r="B25" s="168"/>
      <c r="C25" s="169"/>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9"/>
      <c r="AB25" s="170"/>
    </row>
    <row r="26" spans="1:28" ht="59.25" customHeight="1">
      <c r="A26" s="32" t="s">
        <v>77</v>
      </c>
      <c r="B26" s="168"/>
      <c r="C26" s="169"/>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69"/>
      <c r="AB26" s="170"/>
    </row>
    <row r="27" spans="1:28" ht="59.25" customHeight="1">
      <c r="A27" s="32" t="s">
        <v>78</v>
      </c>
      <c r="B27" s="168"/>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70"/>
    </row>
    <row r="28" spans="1:28" ht="59.25" customHeight="1">
      <c r="A28" s="32" t="s">
        <v>79</v>
      </c>
      <c r="B28" s="168"/>
      <c r="C28" s="169"/>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9"/>
      <c r="AB28" s="170"/>
    </row>
    <row r="29" spans="1:28" ht="59.25" customHeight="1">
      <c r="A29" s="32" t="s">
        <v>80</v>
      </c>
      <c r="B29" s="168"/>
      <c r="C29" s="169"/>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9"/>
      <c r="AB29" s="170"/>
    </row>
    <row r="30" spans="1:28" ht="59.25" customHeight="1">
      <c r="A30" s="32" t="s">
        <v>81</v>
      </c>
      <c r="B30" s="168"/>
      <c r="C30" s="169"/>
      <c r="D30" s="169"/>
      <c r="E30" s="169"/>
      <c r="F30" s="169"/>
      <c r="G30" s="169"/>
      <c r="H30" s="169"/>
      <c r="I30" s="169"/>
      <c r="J30" s="169"/>
      <c r="K30" s="169"/>
      <c r="L30" s="169"/>
      <c r="M30" s="169"/>
      <c r="N30" s="169"/>
      <c r="O30" s="169"/>
      <c r="P30" s="169"/>
      <c r="Q30" s="169"/>
      <c r="R30" s="169"/>
      <c r="S30" s="169"/>
      <c r="T30" s="169"/>
      <c r="U30" s="169"/>
      <c r="V30" s="169"/>
      <c r="W30" s="169"/>
      <c r="X30" s="169"/>
      <c r="Y30" s="169"/>
      <c r="Z30" s="169"/>
      <c r="AA30" s="169"/>
      <c r="AB30" s="170"/>
    </row>
    <row r="31" spans="1:28" ht="59.25" customHeight="1">
      <c r="A31" s="32"/>
      <c r="B31" s="168"/>
      <c r="C31" s="169"/>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69"/>
      <c r="AB31" s="170"/>
    </row>
    <row r="32" spans="1:28" ht="59.25" customHeight="1">
      <c r="A32" s="32"/>
      <c r="B32" s="168"/>
      <c r="C32" s="169"/>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70"/>
    </row>
    <row r="33" spans="1:28" ht="59.25" customHeight="1">
      <c r="A33" s="32"/>
      <c r="B33" s="168"/>
      <c r="C33" s="169"/>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169"/>
      <c r="AB33" s="170"/>
    </row>
    <row r="34" spans="1:28" ht="59.25" customHeight="1">
      <c r="A34" s="32"/>
      <c r="B34" s="168"/>
      <c r="C34" s="169"/>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70"/>
    </row>
    <row r="35" spans="1:28" ht="59.25" customHeight="1">
      <c r="A35" s="32"/>
      <c r="B35" s="168"/>
      <c r="C35" s="169"/>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70"/>
    </row>
    <row r="36" spans="1:28" ht="59.25" customHeight="1">
      <c r="A36" s="32"/>
      <c r="B36" s="168"/>
      <c r="C36" s="169"/>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69"/>
      <c r="AB36" s="170"/>
    </row>
    <row r="37" spans="1:28" ht="59.25" customHeight="1">
      <c r="A37" s="32"/>
      <c r="B37" s="168"/>
      <c r="C37" s="169"/>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169"/>
      <c r="AB37" s="170"/>
    </row>
    <row r="38" spans="1:28" ht="59.25" customHeight="1">
      <c r="A38" s="32"/>
      <c r="B38" s="168"/>
      <c r="C38" s="169"/>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70"/>
    </row>
    <row r="39" spans="1:28" ht="59.25" customHeight="1">
      <c r="A39" s="32"/>
      <c r="B39" s="168"/>
      <c r="C39" s="169"/>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70"/>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８－１</v>
      </c>
      <c r="B1" s="22" t="str">
        <f ca="1">RIGHT(CELL("filename",B1),LEN(CELL("filename",B1))-FIND("]",CELL("filename",B1)))</f>
        <v>美術</v>
      </c>
      <c r="C1" s="23" t="s">
        <v>62</v>
      </c>
      <c r="D1" s="24" t="str">
        <f>A15</f>
        <v>伊東 資竜</v>
      </c>
      <c r="E1" s="24" t="str">
        <f>A16</f>
        <v>大堀キム 未奈</v>
      </c>
      <c r="F1" s="24" t="str">
        <f>A17</f>
        <v>門田 湧真</v>
      </c>
      <c r="G1" s="24" t="str">
        <f>A18</f>
        <v>行田 さとみ</v>
      </c>
      <c r="H1" s="24" t="str">
        <f>A19</f>
        <v>久保田 明誠</v>
      </c>
      <c r="I1" s="24" t="str">
        <f>A20</f>
        <v>小松 流翔</v>
      </c>
      <c r="J1" s="24" t="str">
        <f>A21</f>
        <v>佐藤 美月</v>
      </c>
      <c r="K1" s="24" t="str">
        <f>A22</f>
        <v>辛 祐輝</v>
      </c>
      <c r="L1" s="24" t="str">
        <f>A23</f>
        <v>新保 芙佑香</v>
      </c>
      <c r="M1" s="24" t="str">
        <f>A24</f>
        <v>宋 語唯</v>
      </c>
      <c r="N1" s="24" t="str">
        <f>A25</f>
        <v>髙山 愛永</v>
      </c>
      <c r="O1" s="24" t="str">
        <f>A26</f>
        <v>滝澤 愛佳</v>
      </c>
      <c r="P1" s="24" t="str">
        <f>A27</f>
        <v>中山 千愛</v>
      </c>
      <c r="Q1" s="24" t="str">
        <f>A28</f>
        <v>花岡 麻貴</v>
      </c>
      <c r="R1" s="24" t="str">
        <f>A29</f>
        <v>宮下 花</v>
      </c>
      <c r="S1" s="24" t="str">
        <f>A30</f>
        <v>六井 啓翔</v>
      </c>
      <c r="T1" s="24">
        <f>A31</f>
        <v>0</v>
      </c>
      <c r="U1" s="24">
        <f>A32</f>
        <v>0</v>
      </c>
      <c r="V1" s="24">
        <f>A33</f>
        <v>0</v>
      </c>
      <c r="W1" s="24">
        <f>A34</f>
        <v>0</v>
      </c>
      <c r="X1" s="24">
        <f>A35</f>
        <v>0</v>
      </c>
      <c r="Y1" s="24">
        <f>A36</f>
        <v>0</v>
      </c>
      <c r="Z1" s="24">
        <f>A37</f>
        <v>0</v>
      </c>
      <c r="AA1" s="24">
        <f>A38</f>
        <v>0</v>
      </c>
      <c r="AB1" s="24">
        <f>A39</f>
        <v>0</v>
      </c>
      <c r="AC1" s="25"/>
    </row>
    <row r="2" spans="1:30" ht="22.5" customHeight="1">
      <c r="A2" s="171" t="s">
        <v>160</v>
      </c>
      <c r="B2" s="58" t="s">
        <v>118</v>
      </c>
      <c r="C2" s="26" t="s">
        <v>63</v>
      </c>
      <c r="D2" s="27" t="s">
        <v>199</v>
      </c>
      <c r="E2" s="27" t="s">
        <v>207</v>
      </c>
      <c r="F2" s="27" t="s">
        <v>161</v>
      </c>
      <c r="G2" s="27" t="s">
        <v>197</v>
      </c>
      <c r="H2" s="27" t="s">
        <v>180</v>
      </c>
      <c r="I2" s="27" t="s">
        <v>199</v>
      </c>
      <c r="J2" s="27" t="s">
        <v>180</v>
      </c>
      <c r="K2" s="27" t="s">
        <v>180</v>
      </c>
      <c r="L2" s="27" t="s">
        <v>197</v>
      </c>
      <c r="M2" s="27" t="s">
        <v>179</v>
      </c>
      <c r="N2" s="27" t="s">
        <v>161</v>
      </c>
      <c r="O2" s="27" t="s">
        <v>179</v>
      </c>
      <c r="P2" s="27" t="s">
        <v>180</v>
      </c>
      <c r="Q2" s="27" t="s">
        <v>198</v>
      </c>
      <c r="R2" s="27" t="s">
        <v>198</v>
      </c>
      <c r="S2" s="27" t="s">
        <v>184</v>
      </c>
      <c r="T2" s="27"/>
      <c r="U2" s="27"/>
      <c r="V2" s="27"/>
      <c r="W2" s="27"/>
      <c r="X2" s="27"/>
      <c r="Y2" s="27"/>
      <c r="Z2" s="27"/>
      <c r="AA2" s="27"/>
      <c r="AB2" s="27"/>
      <c r="AC2" s="28" t="s">
        <v>197</v>
      </c>
      <c r="AD2" s="28">
        <v>1</v>
      </c>
    </row>
    <row r="3" spans="1:30" ht="22.5" customHeight="1">
      <c r="A3" s="172"/>
      <c r="B3" s="58" t="s">
        <v>119</v>
      </c>
      <c r="C3" s="26" t="s">
        <v>63</v>
      </c>
      <c r="D3" s="27" t="s">
        <v>198</v>
      </c>
      <c r="E3" s="27" t="s">
        <v>179</v>
      </c>
      <c r="F3" s="27" t="s">
        <v>179</v>
      </c>
      <c r="G3" s="27" t="s">
        <v>180</v>
      </c>
      <c r="H3" s="27" t="s">
        <v>180</v>
      </c>
      <c r="I3" s="27" t="s">
        <v>180</v>
      </c>
      <c r="J3" s="27" t="s">
        <v>179</v>
      </c>
      <c r="K3" s="27" t="s">
        <v>180</v>
      </c>
      <c r="L3" s="27" t="s">
        <v>179</v>
      </c>
      <c r="M3" s="27" t="s">
        <v>179</v>
      </c>
      <c r="N3" s="27" t="s">
        <v>197</v>
      </c>
      <c r="O3" s="27" t="s">
        <v>179</v>
      </c>
      <c r="P3" s="27" t="s">
        <v>180</v>
      </c>
      <c r="Q3" s="27" t="s">
        <v>179</v>
      </c>
      <c r="R3" s="27" t="s">
        <v>179</v>
      </c>
      <c r="S3" s="27" t="s">
        <v>198</v>
      </c>
      <c r="T3" s="27"/>
      <c r="U3" s="27"/>
      <c r="V3" s="27"/>
      <c r="W3" s="27"/>
      <c r="X3" s="27"/>
      <c r="Y3" s="27"/>
      <c r="Z3" s="27"/>
      <c r="AA3" s="27"/>
      <c r="AB3" s="27"/>
      <c r="AC3" s="28" t="s">
        <v>180</v>
      </c>
      <c r="AD3" s="28">
        <v>2</v>
      </c>
    </row>
    <row r="4" spans="1:30" ht="22.5" customHeight="1">
      <c r="A4" s="172"/>
      <c r="B4" s="58" t="s">
        <v>120</v>
      </c>
      <c r="C4" s="26" t="s">
        <v>63</v>
      </c>
      <c r="D4" s="27" t="s">
        <v>198</v>
      </c>
      <c r="E4" s="27" t="s">
        <v>179</v>
      </c>
      <c r="F4" s="27" t="s">
        <v>179</v>
      </c>
      <c r="G4" s="27" t="s">
        <v>197</v>
      </c>
      <c r="H4" s="27" t="s">
        <v>184</v>
      </c>
      <c r="I4" s="27" t="s">
        <v>184</v>
      </c>
      <c r="J4" s="27" t="s">
        <v>179</v>
      </c>
      <c r="K4" s="27" t="s">
        <v>198</v>
      </c>
      <c r="L4" s="27" t="s">
        <v>179</v>
      </c>
      <c r="M4" s="27" t="s">
        <v>197</v>
      </c>
      <c r="N4" s="27" t="s">
        <v>179</v>
      </c>
      <c r="O4" s="27" t="s">
        <v>179</v>
      </c>
      <c r="P4" s="27" t="s">
        <v>179</v>
      </c>
      <c r="Q4" s="27" t="s">
        <v>179</v>
      </c>
      <c r="R4" s="27" t="s">
        <v>179</v>
      </c>
      <c r="S4" s="27" t="s">
        <v>184</v>
      </c>
      <c r="T4" s="27"/>
      <c r="U4" s="27"/>
      <c r="V4" s="27"/>
      <c r="W4" s="27"/>
      <c r="X4" s="27"/>
      <c r="Y4" s="27"/>
      <c r="Z4" s="27"/>
      <c r="AA4" s="27"/>
      <c r="AB4" s="27"/>
      <c r="AC4" s="28" t="s">
        <v>184</v>
      </c>
      <c r="AD4" s="28">
        <v>3</v>
      </c>
    </row>
    <row r="5" spans="1:30" ht="22.5" customHeight="1">
      <c r="A5" s="172"/>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185</v>
      </c>
      <c r="AD5" s="28">
        <v>4</v>
      </c>
    </row>
    <row r="6" spans="1:30" ht="22.5" customHeight="1">
      <c r="A6" s="172"/>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2"/>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185</v>
      </c>
    </row>
    <row r="8" spans="1:30" ht="22.5" customHeight="1">
      <c r="A8" s="172"/>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2"/>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2"/>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2"/>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3"/>
      <c r="B12" s="29"/>
      <c r="C12" s="85" t="s">
        <v>64</v>
      </c>
      <c r="D12" s="27">
        <v>3</v>
      </c>
      <c r="E12" s="27">
        <v>5</v>
      </c>
      <c r="F12" s="27">
        <v>5</v>
      </c>
      <c r="G12" s="27">
        <v>4</v>
      </c>
      <c r="H12" s="27">
        <v>3</v>
      </c>
      <c r="I12" s="27">
        <v>2</v>
      </c>
      <c r="J12" s="27">
        <v>4</v>
      </c>
      <c r="K12" s="27">
        <v>3</v>
      </c>
      <c r="L12" s="27">
        <v>5</v>
      </c>
      <c r="M12" s="27">
        <v>5</v>
      </c>
      <c r="N12" s="27">
        <v>5</v>
      </c>
      <c r="O12" s="27">
        <v>5</v>
      </c>
      <c r="P12" s="27">
        <v>3</v>
      </c>
      <c r="Q12" s="27">
        <v>4</v>
      </c>
      <c r="R12" s="27">
        <v>4</v>
      </c>
      <c r="S12" s="27">
        <v>2</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65</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66</v>
      </c>
      <c r="B15" s="168"/>
      <c r="C15" s="169"/>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69"/>
      <c r="AB15" s="170"/>
    </row>
    <row r="16" spans="1:30" ht="59.25" customHeight="1">
      <c r="A16" s="32" t="s">
        <v>67</v>
      </c>
      <c r="B16" s="168"/>
      <c r="C16" s="169"/>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69"/>
      <c r="AB16" s="170"/>
    </row>
    <row r="17" spans="1:28" ht="59.25" customHeight="1">
      <c r="A17" s="32" t="s">
        <v>68</v>
      </c>
      <c r="B17" s="168"/>
      <c r="C17" s="169"/>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69"/>
      <c r="AB17" s="170"/>
    </row>
    <row r="18" spans="1:28" ht="59.25" customHeight="1">
      <c r="A18" s="32" t="s">
        <v>69</v>
      </c>
      <c r="B18" s="168"/>
      <c r="C18" s="169"/>
      <c r="D18" s="169"/>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70"/>
    </row>
    <row r="19" spans="1:28" ht="59.25" customHeight="1">
      <c r="A19" s="32" t="s">
        <v>70</v>
      </c>
      <c r="B19" s="168"/>
      <c r="C19" s="169"/>
      <c r="D19" s="169"/>
      <c r="E19" s="169"/>
      <c r="F19" s="169"/>
      <c r="G19" s="169"/>
      <c r="H19" s="169"/>
      <c r="I19" s="169"/>
      <c r="J19" s="169"/>
      <c r="K19" s="169"/>
      <c r="L19" s="169"/>
      <c r="M19" s="169"/>
      <c r="N19" s="169"/>
      <c r="O19" s="169"/>
      <c r="P19" s="169"/>
      <c r="Q19" s="169"/>
      <c r="R19" s="169"/>
      <c r="S19" s="169"/>
      <c r="T19" s="169"/>
      <c r="U19" s="169"/>
      <c r="V19" s="169"/>
      <c r="W19" s="169"/>
      <c r="X19" s="169"/>
      <c r="Y19" s="169"/>
      <c r="Z19" s="169"/>
      <c r="AA19" s="169"/>
      <c r="AB19" s="170"/>
    </row>
    <row r="20" spans="1:28" ht="59.25" customHeight="1">
      <c r="A20" s="32" t="s">
        <v>71</v>
      </c>
      <c r="B20" s="168"/>
      <c r="C20" s="169"/>
      <c r="D20" s="169"/>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70"/>
    </row>
    <row r="21" spans="1:28" ht="59.25" customHeight="1">
      <c r="A21" s="32" t="s">
        <v>72</v>
      </c>
      <c r="B21" s="168"/>
      <c r="C21" s="169"/>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69"/>
      <c r="AB21" s="170"/>
    </row>
    <row r="22" spans="1:28" ht="59.25" customHeight="1">
      <c r="A22" s="32" t="s">
        <v>73</v>
      </c>
      <c r="B22" s="168"/>
      <c r="C22" s="169"/>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9"/>
      <c r="AB22" s="170"/>
    </row>
    <row r="23" spans="1:28" ht="59.25" customHeight="1">
      <c r="A23" s="32" t="s">
        <v>74</v>
      </c>
      <c r="B23" s="168"/>
      <c r="C23" s="169"/>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9"/>
      <c r="AB23" s="170"/>
    </row>
    <row r="24" spans="1:28" ht="59.25" customHeight="1">
      <c r="A24" s="32" t="s">
        <v>75</v>
      </c>
      <c r="B24" s="168"/>
      <c r="C24" s="169"/>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9"/>
      <c r="AB24" s="170"/>
    </row>
    <row r="25" spans="1:28" ht="59.25" customHeight="1">
      <c r="A25" s="32" t="s">
        <v>76</v>
      </c>
      <c r="B25" s="168"/>
      <c r="C25" s="169"/>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9"/>
      <c r="AB25" s="170"/>
    </row>
    <row r="26" spans="1:28" ht="59.25" customHeight="1">
      <c r="A26" s="32" t="s">
        <v>77</v>
      </c>
      <c r="B26" s="168"/>
      <c r="C26" s="169"/>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69"/>
      <c r="AB26" s="170"/>
    </row>
    <row r="27" spans="1:28" ht="59.25" customHeight="1">
      <c r="A27" s="32" t="s">
        <v>78</v>
      </c>
      <c r="B27" s="168"/>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70"/>
    </row>
    <row r="28" spans="1:28" ht="59.25" customHeight="1">
      <c r="A28" s="32" t="s">
        <v>79</v>
      </c>
      <c r="B28" s="168"/>
      <c r="C28" s="169"/>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9"/>
      <c r="AB28" s="170"/>
    </row>
    <row r="29" spans="1:28" ht="59.25" customHeight="1">
      <c r="A29" s="32" t="s">
        <v>80</v>
      </c>
      <c r="B29" s="168"/>
      <c r="C29" s="169"/>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9"/>
      <c r="AB29" s="170"/>
    </row>
    <row r="30" spans="1:28" ht="59.25" customHeight="1">
      <c r="A30" s="32" t="s">
        <v>81</v>
      </c>
      <c r="B30" s="168"/>
      <c r="C30" s="169"/>
      <c r="D30" s="169"/>
      <c r="E30" s="169"/>
      <c r="F30" s="169"/>
      <c r="G30" s="169"/>
      <c r="H30" s="169"/>
      <c r="I30" s="169"/>
      <c r="J30" s="169"/>
      <c r="K30" s="169"/>
      <c r="L30" s="169"/>
      <c r="M30" s="169"/>
      <c r="N30" s="169"/>
      <c r="O30" s="169"/>
      <c r="P30" s="169"/>
      <c r="Q30" s="169"/>
      <c r="R30" s="169"/>
      <c r="S30" s="169"/>
      <c r="T30" s="169"/>
      <c r="U30" s="169"/>
      <c r="V30" s="169"/>
      <c r="W30" s="169"/>
      <c r="X30" s="169"/>
      <c r="Y30" s="169"/>
      <c r="Z30" s="169"/>
      <c r="AA30" s="169"/>
      <c r="AB30" s="170"/>
    </row>
    <row r="31" spans="1:28" ht="59.25" customHeight="1">
      <c r="A31" s="32"/>
      <c r="B31" s="168"/>
      <c r="C31" s="169"/>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69"/>
      <c r="AB31" s="170"/>
    </row>
    <row r="32" spans="1:28" ht="59.25" customHeight="1">
      <c r="A32" s="32"/>
      <c r="B32" s="168"/>
      <c r="C32" s="169"/>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70"/>
    </row>
    <row r="33" spans="1:28" ht="59.25" customHeight="1">
      <c r="A33" s="32"/>
      <c r="B33" s="168"/>
      <c r="C33" s="169"/>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169"/>
      <c r="AB33" s="170"/>
    </row>
    <row r="34" spans="1:28" ht="59.25" customHeight="1">
      <c r="A34" s="32"/>
      <c r="B34" s="168"/>
      <c r="C34" s="169"/>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70"/>
    </row>
    <row r="35" spans="1:28" ht="59.25" customHeight="1">
      <c r="A35" s="32"/>
      <c r="B35" s="168"/>
      <c r="C35" s="169"/>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70"/>
    </row>
    <row r="36" spans="1:28" ht="59.25" customHeight="1">
      <c r="A36" s="32"/>
      <c r="B36" s="168"/>
      <c r="C36" s="169"/>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69"/>
      <c r="AB36" s="170"/>
    </row>
    <row r="37" spans="1:28" ht="59.25" customHeight="1">
      <c r="A37" s="32"/>
      <c r="B37" s="168"/>
      <c r="C37" s="169"/>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169"/>
      <c r="AB37" s="170"/>
    </row>
    <row r="38" spans="1:28" ht="59.25" customHeight="1">
      <c r="A38" s="32"/>
      <c r="B38" s="168"/>
      <c r="C38" s="169"/>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70"/>
    </row>
    <row r="39" spans="1:28" ht="59.25" customHeight="1">
      <c r="A39" s="32"/>
      <c r="B39" s="168"/>
      <c r="C39" s="169"/>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70"/>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８－１</v>
      </c>
      <c r="B1" s="22" t="str">
        <f ca="1">RIGHT(CELL("filename",B1),LEN(CELL("filename",B1))-FIND("]",CELL("filename",B1)))</f>
        <v>保体</v>
      </c>
      <c r="C1" s="23" t="s">
        <v>62</v>
      </c>
      <c r="D1" s="24" t="str">
        <f>A15</f>
        <v>伊東 資竜</v>
      </c>
      <c r="E1" s="24" t="str">
        <f>A16</f>
        <v>大堀キム 未奈</v>
      </c>
      <c r="F1" s="24" t="str">
        <f>A17</f>
        <v>門田 湧真</v>
      </c>
      <c r="G1" s="24" t="str">
        <f>A18</f>
        <v>行田 さとみ</v>
      </c>
      <c r="H1" s="24" t="str">
        <f>A19</f>
        <v>久保田 明誠</v>
      </c>
      <c r="I1" s="24" t="str">
        <f>A20</f>
        <v>小松 流翔</v>
      </c>
      <c r="J1" s="24" t="str">
        <f>A21</f>
        <v>佐藤 美月</v>
      </c>
      <c r="K1" s="24" t="str">
        <f>A22</f>
        <v>辛 祐輝</v>
      </c>
      <c r="L1" s="24" t="str">
        <f>A23</f>
        <v>新保 芙佑香</v>
      </c>
      <c r="M1" s="24" t="str">
        <f>A24</f>
        <v>宋 語唯</v>
      </c>
      <c r="N1" s="24" t="str">
        <f>A25</f>
        <v>髙山 愛永</v>
      </c>
      <c r="O1" s="24" t="str">
        <f>A26</f>
        <v>滝澤 愛佳</v>
      </c>
      <c r="P1" s="24" t="str">
        <f>A27</f>
        <v>中山 千愛</v>
      </c>
      <c r="Q1" s="24" t="str">
        <f>A28</f>
        <v>花岡 麻貴</v>
      </c>
      <c r="R1" s="24" t="str">
        <f>A29</f>
        <v>宮下 花</v>
      </c>
      <c r="S1" s="24" t="str">
        <f>A30</f>
        <v>六井 啓翔</v>
      </c>
      <c r="T1" s="24">
        <f>A31</f>
        <v>0</v>
      </c>
      <c r="U1" s="24">
        <f>A32</f>
        <v>0</v>
      </c>
      <c r="V1" s="24">
        <f>A33</f>
        <v>0</v>
      </c>
      <c r="W1" s="24">
        <f>A34</f>
        <v>0</v>
      </c>
      <c r="X1" s="24">
        <f>A35</f>
        <v>0</v>
      </c>
      <c r="Y1" s="24">
        <f>A36</f>
        <v>0</v>
      </c>
      <c r="Z1" s="24">
        <f>A37</f>
        <v>0</v>
      </c>
      <c r="AA1" s="24">
        <f>A38</f>
        <v>0</v>
      </c>
      <c r="AB1" s="24">
        <f>A39</f>
        <v>0</v>
      </c>
      <c r="AC1" s="25"/>
    </row>
    <row r="2" spans="1:30" ht="22.5" customHeight="1">
      <c r="A2" s="171" t="s">
        <v>208</v>
      </c>
      <c r="B2" s="58" t="s">
        <v>121</v>
      </c>
      <c r="C2" s="26" t="s">
        <v>63</v>
      </c>
      <c r="D2" s="27" t="s">
        <v>27</v>
      </c>
      <c r="E2" s="27" t="s">
        <v>28</v>
      </c>
      <c r="F2" s="27" t="s">
        <v>28</v>
      </c>
      <c r="G2" s="27" t="s">
        <v>27</v>
      </c>
      <c r="H2" s="27" t="s">
        <v>28</v>
      </c>
      <c r="I2" s="27" t="s">
        <v>27</v>
      </c>
      <c r="J2" s="27" t="s">
        <v>27</v>
      </c>
      <c r="K2" s="27" t="s">
        <v>28</v>
      </c>
      <c r="L2" s="27" t="s">
        <v>28</v>
      </c>
      <c r="M2" s="27" t="s">
        <v>27</v>
      </c>
      <c r="N2" s="27" t="s">
        <v>27</v>
      </c>
      <c r="O2" s="27" t="s">
        <v>27</v>
      </c>
      <c r="P2" s="27" t="s">
        <v>27</v>
      </c>
      <c r="Q2" s="27" t="s">
        <v>28</v>
      </c>
      <c r="R2" s="27" t="s">
        <v>27</v>
      </c>
      <c r="S2" s="27" t="s">
        <v>28</v>
      </c>
      <c r="T2" s="27"/>
      <c r="U2" s="27"/>
      <c r="V2" s="27"/>
      <c r="W2" s="27"/>
      <c r="X2" s="27"/>
      <c r="Y2" s="27"/>
      <c r="Z2" s="27"/>
      <c r="AA2" s="27"/>
      <c r="AB2" s="27"/>
      <c r="AC2" s="28" t="s">
        <v>209</v>
      </c>
      <c r="AD2" s="28">
        <v>1</v>
      </c>
    </row>
    <row r="3" spans="1:30" ht="22.5" customHeight="1">
      <c r="A3" s="172"/>
      <c r="B3" s="58" t="s">
        <v>58</v>
      </c>
      <c r="C3" s="26" t="s">
        <v>63</v>
      </c>
      <c r="D3" s="27" t="s">
        <v>28</v>
      </c>
      <c r="E3" s="27" t="s">
        <v>28</v>
      </c>
      <c r="F3" s="27" t="s">
        <v>28</v>
      </c>
      <c r="G3" s="27" t="s">
        <v>28</v>
      </c>
      <c r="H3" s="27" t="s">
        <v>28</v>
      </c>
      <c r="I3" s="27" t="s">
        <v>28</v>
      </c>
      <c r="J3" s="27" t="s">
        <v>28</v>
      </c>
      <c r="K3" s="27" t="s">
        <v>28</v>
      </c>
      <c r="L3" s="27" t="s">
        <v>28</v>
      </c>
      <c r="M3" s="27" t="s">
        <v>27</v>
      </c>
      <c r="N3" s="27" t="s">
        <v>28</v>
      </c>
      <c r="O3" s="27" t="s">
        <v>28</v>
      </c>
      <c r="P3" s="27" t="s">
        <v>27</v>
      </c>
      <c r="Q3" s="27" t="s">
        <v>28</v>
      </c>
      <c r="R3" s="27" t="s">
        <v>27</v>
      </c>
      <c r="S3" s="27" t="s">
        <v>28</v>
      </c>
      <c r="T3" s="27"/>
      <c r="U3" s="27"/>
      <c r="V3" s="27"/>
      <c r="W3" s="27"/>
      <c r="X3" s="27"/>
      <c r="Y3" s="27"/>
      <c r="Z3" s="27"/>
      <c r="AA3" s="27"/>
      <c r="AB3" s="27"/>
      <c r="AC3" s="28" t="s">
        <v>210</v>
      </c>
      <c r="AD3" s="28">
        <v>2</v>
      </c>
    </row>
    <row r="4" spans="1:30" ht="22.5" customHeight="1">
      <c r="A4" s="172"/>
      <c r="B4" s="58" t="s">
        <v>53</v>
      </c>
      <c r="C4" s="26" t="s">
        <v>63</v>
      </c>
      <c r="D4" s="27" t="s">
        <v>27</v>
      </c>
      <c r="E4" s="27" t="s">
        <v>28</v>
      </c>
      <c r="F4" s="27" t="s">
        <v>27</v>
      </c>
      <c r="G4" s="27" t="s">
        <v>28</v>
      </c>
      <c r="H4" s="27" t="s">
        <v>27</v>
      </c>
      <c r="I4" s="27" t="s">
        <v>27</v>
      </c>
      <c r="J4" s="27" t="s">
        <v>28</v>
      </c>
      <c r="K4" s="27" t="s">
        <v>27</v>
      </c>
      <c r="L4" s="27" t="s">
        <v>28</v>
      </c>
      <c r="M4" s="27" t="s">
        <v>27</v>
      </c>
      <c r="N4" s="27" t="s">
        <v>27</v>
      </c>
      <c r="O4" s="27" t="s">
        <v>27</v>
      </c>
      <c r="P4" s="27" t="s">
        <v>27</v>
      </c>
      <c r="Q4" s="27" t="s">
        <v>28</v>
      </c>
      <c r="R4" s="27" t="s">
        <v>28</v>
      </c>
      <c r="S4" s="27" t="s">
        <v>27</v>
      </c>
      <c r="T4" s="27"/>
      <c r="U4" s="27"/>
      <c r="V4" s="27"/>
      <c r="W4" s="27"/>
      <c r="X4" s="27"/>
      <c r="Y4" s="27"/>
      <c r="Z4" s="27"/>
      <c r="AA4" s="27"/>
      <c r="AB4" s="27"/>
      <c r="AC4" s="28" t="s">
        <v>211</v>
      </c>
      <c r="AD4" s="28">
        <v>3</v>
      </c>
    </row>
    <row r="5" spans="1:30" ht="22.5" customHeight="1">
      <c r="A5" s="172"/>
      <c r="B5" s="78"/>
      <c r="C5" s="26" t="s">
        <v>63</v>
      </c>
      <c r="D5" s="27"/>
      <c r="E5" s="27"/>
      <c r="F5" s="27"/>
      <c r="G5" s="27"/>
      <c r="H5" s="27"/>
      <c r="I5" s="27"/>
      <c r="J5" s="27"/>
      <c r="K5" s="27"/>
      <c r="L5" s="27"/>
      <c r="M5" s="27"/>
      <c r="N5" s="27"/>
      <c r="O5" s="27"/>
      <c r="P5" s="27"/>
      <c r="Q5" s="27"/>
      <c r="R5" s="27"/>
      <c r="S5" s="27"/>
      <c r="T5" s="27"/>
      <c r="U5" s="27"/>
      <c r="V5" s="27"/>
      <c r="W5" s="27"/>
      <c r="X5" s="27"/>
      <c r="Y5" s="27"/>
      <c r="Z5" s="27"/>
      <c r="AA5" s="27"/>
      <c r="AB5" s="27"/>
      <c r="AC5" s="28" t="s">
        <v>212</v>
      </c>
      <c r="AD5" s="28">
        <v>4</v>
      </c>
    </row>
    <row r="6" spans="1:30" ht="22.5" customHeight="1">
      <c r="A6" s="172"/>
      <c r="B6" s="78"/>
      <c r="C6" s="26" t="s">
        <v>63</v>
      </c>
      <c r="D6" s="27"/>
      <c r="E6" s="27"/>
      <c r="F6" s="27"/>
      <c r="G6" s="27"/>
      <c r="H6" s="27"/>
      <c r="I6" s="27"/>
      <c r="J6" s="27"/>
      <c r="K6" s="27"/>
      <c r="L6" s="27"/>
      <c r="M6" s="27"/>
      <c r="N6" s="27"/>
      <c r="O6" s="27"/>
      <c r="P6" s="27"/>
      <c r="Q6" s="27"/>
      <c r="R6" s="27"/>
      <c r="S6" s="27"/>
      <c r="T6" s="27"/>
      <c r="U6" s="27"/>
      <c r="V6" s="27"/>
      <c r="W6" s="27"/>
      <c r="X6" s="27"/>
      <c r="Y6" s="27"/>
      <c r="Z6" s="27"/>
      <c r="AA6" s="27"/>
      <c r="AB6" s="27"/>
      <c r="AC6" s="28"/>
      <c r="AD6" s="28">
        <v>5</v>
      </c>
    </row>
    <row r="7" spans="1:30" ht="22.5" customHeight="1">
      <c r="A7" s="172"/>
      <c r="B7" s="78"/>
      <c r="C7" s="26" t="s">
        <v>63</v>
      </c>
      <c r="D7" s="27"/>
      <c r="E7" s="27"/>
      <c r="F7" s="27"/>
      <c r="G7" s="27"/>
      <c r="H7" s="27"/>
      <c r="I7" s="27"/>
      <c r="J7" s="27"/>
      <c r="K7" s="27"/>
      <c r="L7" s="27"/>
      <c r="M7" s="27"/>
      <c r="N7" s="27"/>
      <c r="O7" s="27"/>
      <c r="P7" s="27"/>
      <c r="Q7" s="27"/>
      <c r="R7" s="27"/>
      <c r="S7" s="27"/>
      <c r="T7" s="27"/>
      <c r="U7" s="27"/>
      <c r="V7" s="27"/>
      <c r="W7" s="27"/>
      <c r="X7" s="27"/>
      <c r="Y7" s="27"/>
      <c r="Z7" s="27"/>
      <c r="AA7" s="27"/>
      <c r="AB7" s="27"/>
      <c r="AC7" s="28"/>
      <c r="AD7" s="28" t="s">
        <v>212</v>
      </c>
    </row>
    <row r="8" spans="1:30" ht="22.5" customHeight="1">
      <c r="A8" s="172"/>
      <c r="B8" s="78"/>
      <c r="C8" s="26" t="s">
        <v>63</v>
      </c>
      <c r="D8" s="27"/>
      <c r="E8" s="27"/>
      <c r="F8" s="27"/>
      <c r="G8" s="27"/>
      <c r="H8" s="27"/>
      <c r="I8" s="27"/>
      <c r="J8" s="27"/>
      <c r="K8" s="27"/>
      <c r="L8" s="27"/>
      <c r="M8" s="27"/>
      <c r="N8" s="27"/>
      <c r="O8" s="27"/>
      <c r="P8" s="27"/>
      <c r="Q8" s="27"/>
      <c r="R8" s="27"/>
      <c r="S8" s="27"/>
      <c r="T8" s="27"/>
      <c r="U8" s="27"/>
      <c r="V8" s="27"/>
      <c r="W8" s="27"/>
      <c r="X8" s="27"/>
      <c r="Y8" s="27"/>
      <c r="Z8" s="27"/>
      <c r="AA8" s="27"/>
      <c r="AB8" s="27"/>
    </row>
    <row r="9" spans="1:30" ht="22.5" customHeight="1">
      <c r="A9" s="172"/>
      <c r="B9" s="78"/>
      <c r="C9" s="26" t="s">
        <v>63</v>
      </c>
      <c r="D9" s="27"/>
      <c r="E9" s="27"/>
      <c r="F9" s="27"/>
      <c r="G9" s="27"/>
      <c r="H9" s="27"/>
      <c r="I9" s="27"/>
      <c r="J9" s="27"/>
      <c r="K9" s="27"/>
      <c r="L9" s="27"/>
      <c r="M9" s="27"/>
      <c r="N9" s="27"/>
      <c r="O9" s="27"/>
      <c r="P9" s="27"/>
      <c r="Q9" s="27"/>
      <c r="R9" s="27"/>
      <c r="S9" s="27"/>
      <c r="T9" s="27"/>
      <c r="U9" s="27"/>
      <c r="V9" s="27"/>
      <c r="W9" s="27"/>
      <c r="X9" s="27"/>
      <c r="Y9" s="27"/>
      <c r="Z9" s="27"/>
      <c r="AA9" s="27"/>
      <c r="AB9" s="27"/>
    </row>
    <row r="10" spans="1:30" ht="22.5" customHeight="1">
      <c r="A10" s="172"/>
      <c r="B10" s="78"/>
      <c r="C10" s="26" t="s">
        <v>63</v>
      </c>
      <c r="D10" s="27"/>
      <c r="E10" s="27"/>
      <c r="F10" s="27"/>
      <c r="G10" s="27"/>
      <c r="H10" s="27"/>
      <c r="I10" s="27"/>
      <c r="J10" s="27"/>
      <c r="K10" s="27"/>
      <c r="L10" s="27"/>
      <c r="M10" s="27"/>
      <c r="N10" s="27"/>
      <c r="O10" s="27"/>
      <c r="P10" s="27"/>
      <c r="Q10" s="27"/>
      <c r="R10" s="27"/>
      <c r="S10" s="27"/>
      <c r="T10" s="27"/>
      <c r="U10" s="27"/>
      <c r="V10" s="27"/>
      <c r="W10" s="27"/>
      <c r="X10" s="27"/>
      <c r="Y10" s="27"/>
      <c r="Z10" s="27"/>
      <c r="AA10" s="27"/>
      <c r="AB10" s="27"/>
    </row>
    <row r="11" spans="1:30" ht="22.5" customHeight="1">
      <c r="A11" s="172"/>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3"/>
      <c r="B12" s="29"/>
      <c r="C12" s="85" t="s">
        <v>64</v>
      </c>
      <c r="D12" s="27">
        <v>3</v>
      </c>
      <c r="E12" s="27">
        <v>5</v>
      </c>
      <c r="F12" s="27">
        <v>4</v>
      </c>
      <c r="G12" s="27">
        <v>4</v>
      </c>
      <c r="H12" s="27">
        <v>4</v>
      </c>
      <c r="I12" s="27">
        <v>3</v>
      </c>
      <c r="J12" s="27">
        <v>4</v>
      </c>
      <c r="K12" s="27">
        <v>4</v>
      </c>
      <c r="L12" s="27">
        <v>5</v>
      </c>
      <c r="M12" s="27">
        <v>3</v>
      </c>
      <c r="N12" s="27">
        <v>3</v>
      </c>
      <c r="O12" s="27">
        <v>3</v>
      </c>
      <c r="P12" s="27">
        <v>3</v>
      </c>
      <c r="Q12" s="27">
        <v>5</v>
      </c>
      <c r="R12" s="27">
        <v>3</v>
      </c>
      <c r="S12" s="27">
        <v>4</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65</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66</v>
      </c>
      <c r="B15" s="168"/>
      <c r="C15" s="169"/>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69"/>
      <c r="AB15" s="170"/>
    </row>
    <row r="16" spans="1:30" ht="59.25" customHeight="1">
      <c r="A16" s="32" t="s">
        <v>67</v>
      </c>
      <c r="B16" s="168"/>
      <c r="C16" s="169"/>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69"/>
      <c r="AB16" s="170"/>
    </row>
    <row r="17" spans="1:28" ht="59.25" customHeight="1">
      <c r="A17" s="32" t="s">
        <v>68</v>
      </c>
      <c r="B17" s="168"/>
      <c r="C17" s="169"/>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69"/>
      <c r="AB17" s="170"/>
    </row>
    <row r="18" spans="1:28" ht="59.25" customHeight="1">
      <c r="A18" s="32" t="s">
        <v>69</v>
      </c>
      <c r="B18" s="168"/>
      <c r="C18" s="169"/>
      <c r="D18" s="169"/>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70"/>
    </row>
    <row r="19" spans="1:28" ht="59.25" customHeight="1">
      <c r="A19" s="32" t="s">
        <v>70</v>
      </c>
      <c r="B19" s="168"/>
      <c r="C19" s="169"/>
      <c r="D19" s="169"/>
      <c r="E19" s="169"/>
      <c r="F19" s="169"/>
      <c r="G19" s="169"/>
      <c r="H19" s="169"/>
      <c r="I19" s="169"/>
      <c r="J19" s="169"/>
      <c r="K19" s="169"/>
      <c r="L19" s="169"/>
      <c r="M19" s="169"/>
      <c r="N19" s="169"/>
      <c r="O19" s="169"/>
      <c r="P19" s="169"/>
      <c r="Q19" s="169"/>
      <c r="R19" s="169"/>
      <c r="S19" s="169"/>
      <c r="T19" s="169"/>
      <c r="U19" s="169"/>
      <c r="V19" s="169"/>
      <c r="W19" s="169"/>
      <c r="X19" s="169"/>
      <c r="Y19" s="169"/>
      <c r="Z19" s="169"/>
      <c r="AA19" s="169"/>
      <c r="AB19" s="170"/>
    </row>
    <row r="20" spans="1:28" ht="59.25" customHeight="1">
      <c r="A20" s="32" t="s">
        <v>71</v>
      </c>
      <c r="B20" s="168"/>
      <c r="C20" s="169"/>
      <c r="D20" s="169"/>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70"/>
    </row>
    <row r="21" spans="1:28" ht="59.25" customHeight="1">
      <c r="A21" s="32" t="s">
        <v>72</v>
      </c>
      <c r="B21" s="168"/>
      <c r="C21" s="169"/>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69"/>
      <c r="AB21" s="170"/>
    </row>
    <row r="22" spans="1:28" ht="59.25" customHeight="1">
      <c r="A22" s="32" t="s">
        <v>73</v>
      </c>
      <c r="B22" s="168"/>
      <c r="C22" s="169"/>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9"/>
      <c r="AB22" s="170"/>
    </row>
    <row r="23" spans="1:28" ht="59.25" customHeight="1">
      <c r="A23" s="32" t="s">
        <v>74</v>
      </c>
      <c r="B23" s="168"/>
      <c r="C23" s="169"/>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9"/>
      <c r="AB23" s="170"/>
    </row>
    <row r="24" spans="1:28" ht="59.25" customHeight="1">
      <c r="A24" s="32" t="s">
        <v>75</v>
      </c>
      <c r="B24" s="168"/>
      <c r="C24" s="169"/>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9"/>
      <c r="AB24" s="170"/>
    </row>
    <row r="25" spans="1:28" ht="59.25" customHeight="1">
      <c r="A25" s="32" t="s">
        <v>76</v>
      </c>
      <c r="B25" s="168"/>
      <c r="C25" s="169"/>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9"/>
      <c r="AB25" s="170"/>
    </row>
    <row r="26" spans="1:28" ht="59.25" customHeight="1">
      <c r="A26" s="32" t="s">
        <v>77</v>
      </c>
      <c r="B26" s="168"/>
      <c r="C26" s="169"/>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69"/>
      <c r="AB26" s="170"/>
    </row>
    <row r="27" spans="1:28" ht="59.25" customHeight="1">
      <c r="A27" s="32" t="s">
        <v>78</v>
      </c>
      <c r="B27" s="168"/>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70"/>
    </row>
    <row r="28" spans="1:28" ht="59.25" customHeight="1">
      <c r="A28" s="32" t="s">
        <v>79</v>
      </c>
      <c r="B28" s="168"/>
      <c r="C28" s="169"/>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9"/>
      <c r="AB28" s="170"/>
    </row>
    <row r="29" spans="1:28" ht="59.25" customHeight="1">
      <c r="A29" s="32" t="s">
        <v>80</v>
      </c>
      <c r="B29" s="168"/>
      <c r="C29" s="169"/>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9"/>
      <c r="AB29" s="170"/>
    </row>
    <row r="30" spans="1:28" ht="59.25" customHeight="1">
      <c r="A30" s="32" t="s">
        <v>81</v>
      </c>
      <c r="B30" s="168"/>
      <c r="C30" s="169"/>
      <c r="D30" s="169"/>
      <c r="E30" s="169"/>
      <c r="F30" s="169"/>
      <c r="G30" s="169"/>
      <c r="H30" s="169"/>
      <c r="I30" s="169"/>
      <c r="J30" s="169"/>
      <c r="K30" s="169"/>
      <c r="L30" s="169"/>
      <c r="M30" s="169"/>
      <c r="N30" s="169"/>
      <c r="O30" s="169"/>
      <c r="P30" s="169"/>
      <c r="Q30" s="169"/>
      <c r="R30" s="169"/>
      <c r="S30" s="169"/>
      <c r="T30" s="169"/>
      <c r="U30" s="169"/>
      <c r="V30" s="169"/>
      <c r="W30" s="169"/>
      <c r="X30" s="169"/>
      <c r="Y30" s="169"/>
      <c r="Z30" s="169"/>
      <c r="AA30" s="169"/>
      <c r="AB30" s="170"/>
    </row>
    <row r="31" spans="1:28" ht="59.25" customHeight="1">
      <c r="A31" s="32"/>
      <c r="B31" s="168"/>
      <c r="C31" s="169"/>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69"/>
      <c r="AB31" s="170"/>
    </row>
    <row r="32" spans="1:28" ht="59.25" customHeight="1">
      <c r="A32" s="32"/>
      <c r="B32" s="168"/>
      <c r="C32" s="169"/>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70"/>
    </row>
    <row r="33" spans="1:28" ht="59.25" customHeight="1">
      <c r="A33" s="32"/>
      <c r="B33" s="168"/>
      <c r="C33" s="169"/>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169"/>
      <c r="AB33" s="170"/>
    </row>
    <row r="34" spans="1:28" ht="59.25" customHeight="1">
      <c r="A34" s="32"/>
      <c r="B34" s="168"/>
      <c r="C34" s="169"/>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70"/>
    </row>
    <row r="35" spans="1:28" ht="59.25" customHeight="1">
      <c r="A35" s="32"/>
      <c r="B35" s="168"/>
      <c r="C35" s="169"/>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70"/>
    </row>
    <row r="36" spans="1:28" ht="59.25" customHeight="1">
      <c r="A36" s="32"/>
      <c r="B36" s="168"/>
      <c r="C36" s="169"/>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69"/>
      <c r="AB36" s="170"/>
    </row>
    <row r="37" spans="1:28" ht="59.25" customHeight="1">
      <c r="A37" s="32"/>
      <c r="B37" s="168"/>
      <c r="C37" s="169"/>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169"/>
      <c r="AB37" s="170"/>
    </row>
    <row r="38" spans="1:28" ht="59.25" customHeight="1">
      <c r="A38" s="32"/>
      <c r="B38" s="168"/>
      <c r="C38" s="169"/>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70"/>
    </row>
    <row r="39" spans="1:28" ht="59.25" customHeight="1">
      <c r="A39" s="32"/>
      <c r="B39" s="168"/>
      <c r="C39" s="169"/>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70"/>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A2:A12"/>
    <mergeCell ref="B23:AB23"/>
    <mergeCell ref="B24:AB24"/>
    <mergeCell ref="B14:AB14"/>
    <mergeCell ref="B15:AB15"/>
    <mergeCell ref="B16:AB16"/>
    <mergeCell ref="B17:AB17"/>
    <mergeCell ref="B18:AB18"/>
    <mergeCell ref="B19:AB19"/>
    <mergeCell ref="B20:AB20"/>
    <mergeCell ref="B21:AB21"/>
    <mergeCell ref="B22:AB22"/>
    <mergeCell ref="B30:AB30"/>
    <mergeCell ref="B31:AB31"/>
    <mergeCell ref="B32:AB32"/>
    <mergeCell ref="B33:AB33"/>
    <mergeCell ref="B34:AB34"/>
    <mergeCell ref="B25:AB25"/>
    <mergeCell ref="B26:AB26"/>
    <mergeCell ref="B27:AB27"/>
    <mergeCell ref="B28:AB28"/>
    <mergeCell ref="B29:AB29"/>
    <mergeCell ref="B38:AB38"/>
    <mergeCell ref="B39:AB39"/>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1:AD193"/>
  <sheetViews>
    <sheetView workbookViewId="0">
      <selection sqref="A1:XFD1048576"/>
    </sheetView>
  </sheetViews>
  <sheetFormatPr defaultRowHeight="13.5"/>
  <cols>
    <col min="1" max="1" width="13.5" style="4" customWidth="1"/>
    <col min="2" max="2" width="79.125" style="4" customWidth="1"/>
    <col min="3" max="3" width="9.375" style="4" customWidth="1"/>
    <col min="4" max="28" width="4.125" style="4" customWidth="1"/>
    <col min="29" max="16384" width="9" style="4"/>
  </cols>
  <sheetData>
    <row r="1" spans="1:30" ht="85.5" customHeight="1">
      <c r="A1" s="21" t="str">
        <f ca="1">MID(CELL("filename",A1),FIND("[",CELL("filename",A1))+1,3)</f>
        <v>８－１</v>
      </c>
      <c r="B1" s="22" t="str">
        <f ca="1">RIGHT(CELL("filename",B1),LEN(CELL("filename",B1))-FIND("]",CELL("filename",B1)))</f>
        <v>技家</v>
      </c>
      <c r="C1" s="23" t="s">
        <v>62</v>
      </c>
      <c r="D1" s="24" t="str">
        <f>A15</f>
        <v>伊東 資竜</v>
      </c>
      <c r="E1" s="24" t="str">
        <f>A16</f>
        <v>大堀キム 未奈</v>
      </c>
      <c r="F1" s="24" t="str">
        <f>A17</f>
        <v>門田 湧真</v>
      </c>
      <c r="G1" s="24" t="str">
        <f>A18</f>
        <v>行田 さとみ</v>
      </c>
      <c r="H1" s="24" t="str">
        <f>A19</f>
        <v>久保田 明誠</v>
      </c>
      <c r="I1" s="24" t="str">
        <f>A20</f>
        <v>小松 流翔</v>
      </c>
      <c r="J1" s="24" t="str">
        <f>A21</f>
        <v>佐藤 美月</v>
      </c>
      <c r="K1" s="24" t="str">
        <f>A22</f>
        <v>辛 祐輝</v>
      </c>
      <c r="L1" s="24" t="str">
        <f>A23</f>
        <v>新保 芙佑香</v>
      </c>
      <c r="M1" s="24" t="str">
        <f>A24</f>
        <v>宋 語唯</v>
      </c>
      <c r="N1" s="24" t="str">
        <f>A25</f>
        <v>髙山 愛永</v>
      </c>
      <c r="O1" s="24" t="str">
        <f>A26</f>
        <v>滝澤 愛佳</v>
      </c>
      <c r="P1" s="24" t="str">
        <f>A27</f>
        <v>中山 千愛</v>
      </c>
      <c r="Q1" s="24" t="str">
        <f>A28</f>
        <v>花岡 麻貴</v>
      </c>
      <c r="R1" s="24" t="str">
        <f>A29</f>
        <v>宮下 花</v>
      </c>
      <c r="S1" s="24" t="str">
        <f>A30</f>
        <v>六井 啓翔</v>
      </c>
      <c r="T1" s="24">
        <f>A31</f>
        <v>0</v>
      </c>
      <c r="U1" s="24">
        <f>A32</f>
        <v>0</v>
      </c>
      <c r="V1" s="24">
        <f>A33</f>
        <v>0</v>
      </c>
      <c r="W1" s="24">
        <f>A34</f>
        <v>0</v>
      </c>
      <c r="X1" s="24">
        <f>A35</f>
        <v>0</v>
      </c>
      <c r="Y1" s="24">
        <f>A36</f>
        <v>0</v>
      </c>
      <c r="Z1" s="24">
        <f>A37</f>
        <v>0</v>
      </c>
      <c r="AA1" s="24">
        <f>A38</f>
        <v>0</v>
      </c>
      <c r="AB1" s="24">
        <f>A39</f>
        <v>0</v>
      </c>
      <c r="AC1" s="25"/>
    </row>
    <row r="2" spans="1:30" ht="22.5" customHeight="1">
      <c r="A2" s="171" t="s">
        <v>213</v>
      </c>
      <c r="B2" s="58" t="s">
        <v>122</v>
      </c>
      <c r="C2" s="26" t="s">
        <v>63</v>
      </c>
      <c r="D2" s="79" t="s">
        <v>214</v>
      </c>
      <c r="E2" s="79" t="s">
        <v>215</v>
      </c>
      <c r="F2" s="79" t="s">
        <v>215</v>
      </c>
      <c r="G2" s="79" t="s">
        <v>215</v>
      </c>
      <c r="H2" s="79" t="s">
        <v>216</v>
      </c>
      <c r="I2" s="79" t="s">
        <v>196</v>
      </c>
      <c r="J2" s="79" t="s">
        <v>196</v>
      </c>
      <c r="K2" s="79" t="s">
        <v>196</v>
      </c>
      <c r="L2" s="79" t="s">
        <v>215</v>
      </c>
      <c r="M2" s="79" t="s">
        <v>216</v>
      </c>
      <c r="N2" s="79" t="s">
        <v>194</v>
      </c>
      <c r="O2" s="79" t="s">
        <v>215</v>
      </c>
      <c r="P2" s="79" t="s">
        <v>194</v>
      </c>
      <c r="Q2" s="79" t="s">
        <v>215</v>
      </c>
      <c r="R2" s="79" t="s">
        <v>194</v>
      </c>
      <c r="S2" s="79" t="s">
        <v>196</v>
      </c>
      <c r="T2" s="27"/>
      <c r="U2" s="27"/>
      <c r="V2" s="27"/>
      <c r="W2" s="27"/>
      <c r="X2" s="27"/>
      <c r="Y2" s="27"/>
      <c r="Z2" s="27"/>
      <c r="AA2" s="27"/>
      <c r="AB2" s="27"/>
      <c r="AC2" s="28" t="s">
        <v>179</v>
      </c>
      <c r="AD2" s="28">
        <v>1</v>
      </c>
    </row>
    <row r="3" spans="1:30" ht="22.5" customHeight="1">
      <c r="A3" s="172"/>
      <c r="B3" s="58" t="s">
        <v>123</v>
      </c>
      <c r="C3" s="26" t="s">
        <v>63</v>
      </c>
      <c r="D3" s="79" t="s">
        <v>214</v>
      </c>
      <c r="E3" s="79" t="s">
        <v>194</v>
      </c>
      <c r="F3" s="79" t="s">
        <v>196</v>
      </c>
      <c r="G3" s="79" t="s">
        <v>196</v>
      </c>
      <c r="H3" s="79" t="s">
        <v>194</v>
      </c>
      <c r="I3" s="79" t="s">
        <v>196</v>
      </c>
      <c r="J3" s="79" t="s">
        <v>196</v>
      </c>
      <c r="K3" s="79" t="s">
        <v>194</v>
      </c>
      <c r="L3" s="79" t="s">
        <v>215</v>
      </c>
      <c r="M3" s="79" t="s">
        <v>194</v>
      </c>
      <c r="N3" s="79" t="s">
        <v>196</v>
      </c>
      <c r="O3" s="79" t="s">
        <v>215</v>
      </c>
      <c r="P3" s="79" t="s">
        <v>196</v>
      </c>
      <c r="Q3" s="79" t="s">
        <v>194</v>
      </c>
      <c r="R3" s="79" t="s">
        <v>194</v>
      </c>
      <c r="S3" s="79" t="s">
        <v>216</v>
      </c>
      <c r="T3" s="27"/>
      <c r="U3" s="27"/>
      <c r="V3" s="27"/>
      <c r="W3" s="27"/>
      <c r="X3" s="27"/>
      <c r="Y3" s="27"/>
      <c r="Z3" s="27"/>
      <c r="AA3" s="27"/>
      <c r="AB3" s="27"/>
      <c r="AC3" s="28" t="s">
        <v>217</v>
      </c>
      <c r="AD3" s="28">
        <v>2</v>
      </c>
    </row>
    <row r="4" spans="1:30" ht="22.5" customHeight="1">
      <c r="A4" s="172"/>
      <c r="B4" s="83" t="s">
        <v>57</v>
      </c>
      <c r="C4" s="26" t="s">
        <v>63</v>
      </c>
      <c r="D4" s="79" t="s">
        <v>216</v>
      </c>
      <c r="E4" s="79" t="s">
        <v>194</v>
      </c>
      <c r="F4" s="79" t="s">
        <v>194</v>
      </c>
      <c r="G4" s="79" t="s">
        <v>194</v>
      </c>
      <c r="H4" s="79" t="s">
        <v>218</v>
      </c>
      <c r="I4" s="79" t="s">
        <v>196</v>
      </c>
      <c r="J4" s="79" t="s">
        <v>194</v>
      </c>
      <c r="K4" s="79" t="s">
        <v>194</v>
      </c>
      <c r="L4" s="79" t="s">
        <v>194</v>
      </c>
      <c r="M4" s="79" t="s">
        <v>194</v>
      </c>
      <c r="N4" s="79" t="s">
        <v>194</v>
      </c>
      <c r="O4" s="79" t="s">
        <v>194</v>
      </c>
      <c r="P4" s="79" t="s">
        <v>194</v>
      </c>
      <c r="Q4" s="79" t="s">
        <v>194</v>
      </c>
      <c r="R4" s="79" t="s">
        <v>194</v>
      </c>
      <c r="S4" s="79" t="s">
        <v>219</v>
      </c>
      <c r="T4" s="27"/>
      <c r="U4" s="27"/>
      <c r="V4" s="27"/>
      <c r="W4" s="27"/>
      <c r="X4" s="27"/>
      <c r="Y4" s="27"/>
      <c r="Z4" s="27"/>
      <c r="AA4" s="27"/>
      <c r="AB4" s="27"/>
      <c r="AC4" s="28" t="s">
        <v>184</v>
      </c>
      <c r="AD4" s="28">
        <v>3</v>
      </c>
    </row>
    <row r="5" spans="1:30" ht="22.5" customHeight="1">
      <c r="A5" s="172"/>
      <c r="B5" s="78"/>
      <c r="C5" s="26" t="s">
        <v>63</v>
      </c>
      <c r="D5" s="79"/>
      <c r="E5" s="79"/>
      <c r="F5" s="79"/>
      <c r="G5" s="79"/>
      <c r="H5" s="79"/>
      <c r="I5" s="79"/>
      <c r="J5" s="79"/>
      <c r="K5" s="79"/>
      <c r="L5" s="79"/>
      <c r="M5" s="79"/>
      <c r="N5" s="79"/>
      <c r="O5" s="79"/>
      <c r="P5" s="79"/>
      <c r="Q5" s="79"/>
      <c r="R5" s="79"/>
      <c r="S5" s="79"/>
      <c r="T5" s="27"/>
      <c r="U5" s="27"/>
      <c r="V5" s="27"/>
      <c r="W5" s="27"/>
      <c r="X5" s="27"/>
      <c r="Y5" s="27"/>
      <c r="Z5" s="27"/>
      <c r="AA5" s="27"/>
      <c r="AB5" s="27"/>
      <c r="AC5" s="28" t="s">
        <v>185</v>
      </c>
      <c r="AD5" s="28">
        <v>4</v>
      </c>
    </row>
    <row r="6" spans="1:30" ht="22.5" customHeight="1">
      <c r="A6" s="172"/>
      <c r="B6" s="78"/>
      <c r="C6" s="26" t="s">
        <v>63</v>
      </c>
      <c r="D6" s="79"/>
      <c r="E6" s="79"/>
      <c r="F6" s="79"/>
      <c r="G6" s="79"/>
      <c r="H6" s="79"/>
      <c r="I6" s="79"/>
      <c r="J6" s="79"/>
      <c r="K6" s="79"/>
      <c r="L6" s="79"/>
      <c r="M6" s="79"/>
      <c r="N6" s="79"/>
      <c r="O6" s="79"/>
      <c r="P6" s="79"/>
      <c r="Q6" s="79"/>
      <c r="R6" s="79"/>
      <c r="S6" s="79"/>
      <c r="T6" s="27"/>
      <c r="U6" s="27"/>
      <c r="V6" s="27"/>
      <c r="W6" s="27"/>
      <c r="X6" s="27"/>
      <c r="Y6" s="27"/>
      <c r="Z6" s="27"/>
      <c r="AA6" s="27"/>
      <c r="AB6" s="27"/>
      <c r="AC6" s="28"/>
      <c r="AD6" s="28">
        <v>5</v>
      </c>
    </row>
    <row r="7" spans="1:30" ht="22.5" customHeight="1">
      <c r="A7" s="172"/>
      <c r="B7" s="78"/>
      <c r="C7" s="26" t="s">
        <v>63</v>
      </c>
      <c r="D7" s="79"/>
      <c r="E7" s="79"/>
      <c r="F7" s="79"/>
      <c r="G7" s="79"/>
      <c r="H7" s="79"/>
      <c r="I7" s="79"/>
      <c r="J7" s="79"/>
      <c r="K7" s="79"/>
      <c r="L7" s="79"/>
      <c r="M7" s="79"/>
      <c r="N7" s="79"/>
      <c r="O7" s="79"/>
      <c r="P7" s="79"/>
      <c r="Q7" s="79"/>
      <c r="R7" s="79"/>
      <c r="S7" s="79"/>
      <c r="T7" s="27"/>
      <c r="U7" s="27"/>
      <c r="V7" s="27"/>
      <c r="W7" s="27"/>
      <c r="X7" s="27"/>
      <c r="Y7" s="27"/>
      <c r="Z7" s="27"/>
      <c r="AA7" s="27"/>
      <c r="AB7" s="27"/>
      <c r="AC7" s="28"/>
      <c r="AD7" s="28" t="s">
        <v>185</v>
      </c>
    </row>
    <row r="8" spans="1:30" ht="22.5" customHeight="1">
      <c r="A8" s="172"/>
      <c r="B8" s="78"/>
      <c r="C8" s="26" t="s">
        <v>63</v>
      </c>
      <c r="D8" s="79"/>
      <c r="E8" s="79"/>
      <c r="F8" s="79"/>
      <c r="G8" s="79"/>
      <c r="H8" s="79"/>
      <c r="I8" s="79"/>
      <c r="J8" s="79"/>
      <c r="K8" s="79"/>
      <c r="L8" s="79"/>
      <c r="M8" s="79"/>
      <c r="N8" s="79"/>
      <c r="O8" s="79"/>
      <c r="P8" s="79"/>
      <c r="Q8" s="79"/>
      <c r="R8" s="79"/>
      <c r="S8" s="79"/>
      <c r="T8" s="27"/>
      <c r="U8" s="27"/>
      <c r="V8" s="27"/>
      <c r="W8" s="27"/>
      <c r="X8" s="27"/>
      <c r="Y8" s="27"/>
      <c r="Z8" s="27"/>
      <c r="AA8" s="27"/>
      <c r="AB8" s="27"/>
    </row>
    <row r="9" spans="1:30" ht="22.5" customHeight="1">
      <c r="A9" s="172"/>
      <c r="B9" s="78"/>
      <c r="C9" s="26" t="s">
        <v>63</v>
      </c>
      <c r="D9" s="79"/>
      <c r="E9" s="79"/>
      <c r="F9" s="79"/>
      <c r="G9" s="79"/>
      <c r="H9" s="79"/>
      <c r="I9" s="79"/>
      <c r="J9" s="79"/>
      <c r="K9" s="79"/>
      <c r="L9" s="79"/>
      <c r="M9" s="79"/>
      <c r="N9" s="79"/>
      <c r="O9" s="79"/>
      <c r="P9" s="79"/>
      <c r="Q9" s="79"/>
      <c r="R9" s="79"/>
      <c r="S9" s="79"/>
      <c r="T9" s="27"/>
      <c r="U9" s="27"/>
      <c r="V9" s="27"/>
      <c r="W9" s="27"/>
      <c r="X9" s="27"/>
      <c r="Y9" s="27"/>
      <c r="Z9" s="27"/>
      <c r="AA9" s="27"/>
      <c r="AB9" s="27"/>
    </row>
    <row r="10" spans="1:30" ht="22.5" customHeight="1">
      <c r="A10" s="172"/>
      <c r="B10" s="78"/>
      <c r="C10" s="26" t="s">
        <v>63</v>
      </c>
      <c r="D10" s="79"/>
      <c r="E10" s="79"/>
      <c r="F10" s="79"/>
      <c r="G10" s="79"/>
      <c r="H10" s="79"/>
      <c r="I10" s="79"/>
      <c r="J10" s="79"/>
      <c r="K10" s="79"/>
      <c r="L10" s="79"/>
      <c r="M10" s="79"/>
      <c r="N10" s="79"/>
      <c r="O10" s="79"/>
      <c r="P10" s="79"/>
      <c r="Q10" s="79"/>
      <c r="R10" s="79"/>
      <c r="S10" s="79"/>
      <c r="T10" s="27"/>
      <c r="U10" s="27"/>
      <c r="V10" s="27"/>
      <c r="W10" s="27"/>
      <c r="X10" s="27"/>
      <c r="Y10" s="27"/>
      <c r="Z10" s="27"/>
      <c r="AA10" s="27"/>
      <c r="AB10" s="27"/>
    </row>
    <row r="11" spans="1:30" ht="22.5" customHeight="1">
      <c r="A11" s="172"/>
      <c r="B11" s="78"/>
      <c r="C11" s="26" t="s">
        <v>63</v>
      </c>
      <c r="D11" s="27"/>
      <c r="E11" s="27"/>
      <c r="F11" s="27"/>
      <c r="G11" s="27"/>
      <c r="H11" s="27"/>
      <c r="I11" s="27"/>
      <c r="J11" s="27"/>
      <c r="K11" s="27"/>
      <c r="L11" s="27"/>
      <c r="M11" s="27"/>
      <c r="N11" s="27"/>
      <c r="O11" s="27"/>
      <c r="P11" s="27"/>
      <c r="Q11" s="27"/>
      <c r="R11" s="27"/>
      <c r="S11" s="27"/>
      <c r="T11" s="27"/>
      <c r="U11" s="27"/>
      <c r="V11" s="27"/>
      <c r="W11" s="27"/>
      <c r="X11" s="27"/>
      <c r="Y11" s="27"/>
      <c r="Z11" s="27"/>
      <c r="AA11" s="27"/>
      <c r="AB11" s="27"/>
    </row>
    <row r="12" spans="1:30" ht="30" customHeight="1">
      <c r="A12" s="173"/>
      <c r="B12" s="29"/>
      <c r="C12" s="85" t="s">
        <v>64</v>
      </c>
      <c r="D12" s="79">
        <v>2</v>
      </c>
      <c r="E12" s="79">
        <v>5</v>
      </c>
      <c r="F12" s="79">
        <v>4</v>
      </c>
      <c r="G12" s="79">
        <v>4</v>
      </c>
      <c r="H12" s="79">
        <v>4</v>
      </c>
      <c r="I12" s="79">
        <v>3</v>
      </c>
      <c r="J12" s="79">
        <v>3</v>
      </c>
      <c r="K12" s="79">
        <v>4</v>
      </c>
      <c r="L12" s="79">
        <v>5</v>
      </c>
      <c r="M12" s="79">
        <v>4</v>
      </c>
      <c r="N12" s="79">
        <v>4</v>
      </c>
      <c r="O12" s="79">
        <v>5</v>
      </c>
      <c r="P12" s="79">
        <v>4</v>
      </c>
      <c r="Q12" s="79">
        <v>5</v>
      </c>
      <c r="R12" s="79">
        <v>5</v>
      </c>
      <c r="S12" s="79">
        <v>3</v>
      </c>
      <c r="T12" s="27"/>
      <c r="U12" s="27"/>
      <c r="V12" s="27"/>
      <c r="W12" s="27"/>
      <c r="X12" s="27"/>
      <c r="Y12" s="27"/>
      <c r="Z12" s="27"/>
      <c r="AA12" s="27"/>
      <c r="AB12" s="27"/>
    </row>
    <row r="13" spans="1:30" ht="26.25" customHeight="1">
      <c r="A13" s="30"/>
      <c r="B13" s="30"/>
      <c r="C13" s="77" t="s">
        <v>49</v>
      </c>
      <c r="D13" s="27"/>
      <c r="E13" s="27"/>
      <c r="F13" s="27"/>
      <c r="G13" s="27"/>
      <c r="H13" s="27"/>
      <c r="I13" s="27"/>
      <c r="J13" s="27"/>
      <c r="K13" s="27"/>
      <c r="L13" s="27"/>
      <c r="M13" s="27"/>
      <c r="N13" s="27"/>
      <c r="O13" s="27"/>
      <c r="P13" s="27"/>
      <c r="Q13" s="27"/>
      <c r="R13" s="27"/>
      <c r="S13" s="27"/>
      <c r="T13" s="27"/>
      <c r="U13" s="27"/>
      <c r="V13" s="27"/>
      <c r="W13" s="27"/>
      <c r="X13" s="27"/>
      <c r="Y13" s="27"/>
      <c r="Z13" s="27"/>
      <c r="AA13" s="27"/>
      <c r="AB13" s="27"/>
    </row>
    <row r="14" spans="1:30" ht="22.5" customHeight="1">
      <c r="A14" s="31" t="s">
        <v>20</v>
      </c>
      <c r="B14" s="174" t="s">
        <v>65</v>
      </c>
      <c r="C14" s="175"/>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75"/>
      <c r="AB14" s="176"/>
    </row>
    <row r="15" spans="1:30" ht="59.25" customHeight="1">
      <c r="A15" s="32" t="s">
        <v>66</v>
      </c>
      <c r="B15" s="168" t="s">
        <v>124</v>
      </c>
      <c r="C15" s="169"/>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69"/>
      <c r="AB15" s="170"/>
    </row>
    <row r="16" spans="1:30" ht="59.25" customHeight="1">
      <c r="A16" s="32" t="s">
        <v>67</v>
      </c>
      <c r="B16" s="168"/>
      <c r="C16" s="169"/>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69"/>
      <c r="AB16" s="170"/>
    </row>
    <row r="17" spans="1:28" ht="59.25" customHeight="1">
      <c r="A17" s="32" t="s">
        <v>68</v>
      </c>
      <c r="B17" s="168"/>
      <c r="C17" s="169"/>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69"/>
      <c r="AB17" s="170"/>
    </row>
    <row r="18" spans="1:28" ht="59.25" customHeight="1">
      <c r="A18" s="32" t="s">
        <v>69</v>
      </c>
      <c r="B18" s="168"/>
      <c r="C18" s="169"/>
      <c r="D18" s="169"/>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70"/>
    </row>
    <row r="19" spans="1:28" ht="59.25" customHeight="1">
      <c r="A19" s="32" t="s">
        <v>70</v>
      </c>
      <c r="B19" s="168"/>
      <c r="C19" s="169"/>
      <c r="D19" s="169"/>
      <c r="E19" s="169"/>
      <c r="F19" s="169"/>
      <c r="G19" s="169"/>
      <c r="H19" s="169"/>
      <c r="I19" s="169"/>
      <c r="J19" s="169"/>
      <c r="K19" s="169"/>
      <c r="L19" s="169"/>
      <c r="M19" s="169"/>
      <c r="N19" s="169"/>
      <c r="O19" s="169"/>
      <c r="P19" s="169"/>
      <c r="Q19" s="169"/>
      <c r="R19" s="169"/>
      <c r="S19" s="169"/>
      <c r="T19" s="169"/>
      <c r="U19" s="169"/>
      <c r="V19" s="169"/>
      <c r="W19" s="169"/>
      <c r="X19" s="169"/>
      <c r="Y19" s="169"/>
      <c r="Z19" s="169"/>
      <c r="AA19" s="169"/>
      <c r="AB19" s="170"/>
    </row>
    <row r="20" spans="1:28" ht="59.25" customHeight="1">
      <c r="A20" s="32" t="s">
        <v>71</v>
      </c>
      <c r="B20" s="168"/>
      <c r="C20" s="169"/>
      <c r="D20" s="169"/>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70"/>
    </row>
    <row r="21" spans="1:28" ht="59.25" customHeight="1">
      <c r="A21" s="32" t="s">
        <v>72</v>
      </c>
      <c r="B21" s="168"/>
      <c r="C21" s="169"/>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69"/>
      <c r="AB21" s="170"/>
    </row>
    <row r="22" spans="1:28" ht="59.25" customHeight="1">
      <c r="A22" s="32" t="s">
        <v>73</v>
      </c>
      <c r="B22" s="168"/>
      <c r="C22" s="169"/>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9"/>
      <c r="AB22" s="170"/>
    </row>
    <row r="23" spans="1:28" ht="59.25" customHeight="1">
      <c r="A23" s="32" t="s">
        <v>74</v>
      </c>
      <c r="B23" s="168"/>
      <c r="C23" s="169"/>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9"/>
      <c r="AB23" s="170"/>
    </row>
    <row r="24" spans="1:28" ht="59.25" customHeight="1">
      <c r="A24" s="32" t="s">
        <v>75</v>
      </c>
      <c r="B24" s="168"/>
      <c r="C24" s="169"/>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9"/>
      <c r="AB24" s="170"/>
    </row>
    <row r="25" spans="1:28" ht="59.25" customHeight="1">
      <c r="A25" s="32" t="s">
        <v>76</v>
      </c>
      <c r="B25" s="168"/>
      <c r="C25" s="169"/>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9"/>
      <c r="AB25" s="170"/>
    </row>
    <row r="26" spans="1:28" ht="59.25" customHeight="1">
      <c r="A26" s="32" t="s">
        <v>77</v>
      </c>
      <c r="B26" s="168"/>
      <c r="C26" s="169"/>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69"/>
      <c r="AB26" s="170"/>
    </row>
    <row r="27" spans="1:28" ht="59.25" customHeight="1">
      <c r="A27" s="32" t="s">
        <v>78</v>
      </c>
      <c r="B27" s="168"/>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70"/>
    </row>
    <row r="28" spans="1:28" ht="59.25" customHeight="1">
      <c r="A28" s="32" t="s">
        <v>79</v>
      </c>
      <c r="B28" s="168"/>
      <c r="C28" s="169"/>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9"/>
      <c r="AB28" s="170"/>
    </row>
    <row r="29" spans="1:28" ht="59.25" customHeight="1">
      <c r="A29" s="32" t="s">
        <v>80</v>
      </c>
      <c r="B29" s="168"/>
      <c r="C29" s="169"/>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9"/>
      <c r="AB29" s="170"/>
    </row>
    <row r="30" spans="1:28" ht="59.25" customHeight="1">
      <c r="A30" s="32" t="s">
        <v>81</v>
      </c>
      <c r="B30" s="168" t="s">
        <v>125</v>
      </c>
      <c r="C30" s="169"/>
      <c r="D30" s="169"/>
      <c r="E30" s="169"/>
      <c r="F30" s="169"/>
      <c r="G30" s="169"/>
      <c r="H30" s="169"/>
      <c r="I30" s="169"/>
      <c r="J30" s="169"/>
      <c r="K30" s="169"/>
      <c r="L30" s="169"/>
      <c r="M30" s="169"/>
      <c r="N30" s="169"/>
      <c r="O30" s="169"/>
      <c r="P30" s="169"/>
      <c r="Q30" s="169"/>
      <c r="R30" s="169"/>
      <c r="S30" s="169"/>
      <c r="T30" s="169"/>
      <c r="U30" s="169"/>
      <c r="V30" s="169"/>
      <c r="W30" s="169"/>
      <c r="X30" s="169"/>
      <c r="Y30" s="169"/>
      <c r="Z30" s="169"/>
      <c r="AA30" s="169"/>
      <c r="AB30" s="170"/>
    </row>
    <row r="31" spans="1:28" ht="59.25" customHeight="1">
      <c r="A31" s="32"/>
      <c r="B31" s="168"/>
      <c r="C31" s="169"/>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69"/>
      <c r="AB31" s="170"/>
    </row>
    <row r="32" spans="1:28" ht="59.25" customHeight="1">
      <c r="A32" s="32"/>
      <c r="B32" s="168"/>
      <c r="C32" s="169"/>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70"/>
    </row>
    <row r="33" spans="1:28" ht="59.25" customHeight="1">
      <c r="A33" s="32"/>
      <c r="B33" s="168"/>
      <c r="C33" s="169"/>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169"/>
      <c r="AB33" s="170"/>
    </row>
    <row r="34" spans="1:28" ht="59.25" customHeight="1">
      <c r="A34" s="32"/>
      <c r="B34" s="168"/>
      <c r="C34" s="169"/>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70"/>
    </row>
    <row r="35" spans="1:28" ht="59.25" customHeight="1">
      <c r="A35" s="32"/>
      <c r="B35" s="168"/>
      <c r="C35" s="169"/>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70"/>
    </row>
    <row r="36" spans="1:28" ht="59.25" customHeight="1">
      <c r="A36" s="32"/>
      <c r="B36" s="168"/>
      <c r="C36" s="169"/>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69"/>
      <c r="AB36" s="170"/>
    </row>
    <row r="37" spans="1:28" ht="59.25" customHeight="1">
      <c r="A37" s="32"/>
      <c r="B37" s="168"/>
      <c r="C37" s="169"/>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169"/>
      <c r="AB37" s="170"/>
    </row>
    <row r="38" spans="1:28" ht="59.25" customHeight="1">
      <c r="A38" s="32"/>
      <c r="B38" s="168"/>
      <c r="C38" s="169"/>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70"/>
    </row>
    <row r="39" spans="1:28" ht="59.25" customHeight="1">
      <c r="A39" s="32"/>
      <c r="B39" s="168"/>
      <c r="C39" s="169"/>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70"/>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14:AB14"/>
    <mergeCell ref="B15:AB15"/>
    <mergeCell ref="A2:A12"/>
    <mergeCell ref="B31:AB31"/>
    <mergeCell ref="B32:AB32"/>
    <mergeCell ref="B26:AB26"/>
    <mergeCell ref="B27:AB27"/>
    <mergeCell ref="B28:AB28"/>
    <mergeCell ref="B29:AB29"/>
    <mergeCell ref="B30:AB30"/>
    <mergeCell ref="B16:AB16"/>
    <mergeCell ref="B17:AB17"/>
    <mergeCell ref="B18:AB18"/>
    <mergeCell ref="B19:AB19"/>
    <mergeCell ref="B20:AB20"/>
    <mergeCell ref="B21:AB21"/>
    <mergeCell ref="B22:AB22"/>
    <mergeCell ref="B23:AB23"/>
    <mergeCell ref="B24:AB24"/>
    <mergeCell ref="B25:AB25"/>
    <mergeCell ref="B38:AB38"/>
    <mergeCell ref="B39:AB39"/>
    <mergeCell ref="B33:AB33"/>
    <mergeCell ref="B34:AB34"/>
    <mergeCell ref="B35:AB35"/>
    <mergeCell ref="B36:AB36"/>
    <mergeCell ref="B37:AB37"/>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9"/>
  <sheetViews>
    <sheetView workbookViewId="0">
      <selection sqref="A1:XFD1048576"/>
    </sheetView>
  </sheetViews>
  <sheetFormatPr defaultRowHeight="13.5"/>
  <cols>
    <col min="1" max="1" width="13.5" style="4" customWidth="1"/>
    <col min="2" max="2" width="147.75" style="4" customWidth="1"/>
    <col min="3" max="16384" width="9" style="4"/>
  </cols>
  <sheetData>
    <row r="1" spans="1:3" ht="27.75" customHeight="1">
      <c r="A1" s="21" t="str">
        <f ca="1">MID(CELL("filename",A1),FIND("[",CELL("filename",A1))+1,3)</f>
        <v>８－１</v>
      </c>
      <c r="B1" s="22" t="str">
        <f ca="1">RIGHT(CELL("filename",B1),LEN(CELL("filename",B1))-FIND("]",CELL("filename",B1)))</f>
        <v>道徳</v>
      </c>
      <c r="C1" s="33" t="s">
        <v>21</v>
      </c>
    </row>
    <row r="2" spans="1:3" ht="22.5" customHeight="1">
      <c r="A2" s="31" t="s">
        <v>20</v>
      </c>
      <c r="B2" s="34" t="s">
        <v>3</v>
      </c>
      <c r="C2" s="4" t="s">
        <v>220</v>
      </c>
    </row>
    <row r="3" spans="1:3" ht="59.25" customHeight="1">
      <c r="A3" s="32" t="s">
        <v>66</v>
      </c>
      <c r="B3" s="35" t="s">
        <v>221</v>
      </c>
      <c r="C3" s="4">
        <f>LEN(B3)</f>
        <v>159</v>
      </c>
    </row>
    <row r="4" spans="1:3" ht="59.25" customHeight="1">
      <c r="A4" s="32" t="s">
        <v>67</v>
      </c>
      <c r="B4" s="35" t="s">
        <v>222</v>
      </c>
      <c r="C4" s="4">
        <f t="shared" ref="C4:C27" si="0">LEN(B4)</f>
        <v>180</v>
      </c>
    </row>
    <row r="5" spans="1:3" ht="59.25" customHeight="1">
      <c r="A5" s="32" t="s">
        <v>68</v>
      </c>
      <c r="B5" s="35" t="s">
        <v>169</v>
      </c>
      <c r="C5" s="4">
        <f t="shared" si="0"/>
        <v>181</v>
      </c>
    </row>
    <row r="6" spans="1:3" ht="59.25" customHeight="1">
      <c r="A6" s="32" t="s">
        <v>69</v>
      </c>
      <c r="B6" s="35" t="s">
        <v>162</v>
      </c>
      <c r="C6" s="4">
        <f t="shared" si="0"/>
        <v>176</v>
      </c>
    </row>
    <row r="7" spans="1:3" ht="59.25" customHeight="1">
      <c r="A7" s="32" t="s">
        <v>70</v>
      </c>
      <c r="B7" s="35" t="s">
        <v>223</v>
      </c>
      <c r="C7" s="4">
        <f t="shared" si="0"/>
        <v>175</v>
      </c>
    </row>
    <row r="8" spans="1:3" ht="59.25" customHeight="1">
      <c r="A8" s="32" t="s">
        <v>71</v>
      </c>
      <c r="B8" s="35" t="s">
        <v>170</v>
      </c>
      <c r="C8" s="4">
        <f t="shared" si="0"/>
        <v>175</v>
      </c>
    </row>
    <row r="9" spans="1:3" ht="59.25" customHeight="1">
      <c r="A9" s="32" t="s">
        <v>72</v>
      </c>
      <c r="B9" s="35" t="s">
        <v>171</v>
      </c>
      <c r="C9" s="4">
        <f t="shared" si="0"/>
        <v>184</v>
      </c>
    </row>
    <row r="10" spans="1:3" ht="59.25" customHeight="1">
      <c r="A10" s="32" t="s">
        <v>73</v>
      </c>
      <c r="B10" s="35" t="s">
        <v>224</v>
      </c>
      <c r="C10" s="4">
        <f t="shared" si="0"/>
        <v>198</v>
      </c>
    </row>
    <row r="11" spans="1:3" ht="59.25" customHeight="1">
      <c r="A11" s="32" t="s">
        <v>74</v>
      </c>
      <c r="B11" s="35" t="s">
        <v>225</v>
      </c>
      <c r="C11" s="4">
        <f t="shared" si="0"/>
        <v>200</v>
      </c>
    </row>
    <row r="12" spans="1:3" ht="59.25" customHeight="1">
      <c r="A12" s="32" t="s">
        <v>75</v>
      </c>
      <c r="B12" s="35" t="s">
        <v>226</v>
      </c>
      <c r="C12" s="4">
        <f t="shared" si="0"/>
        <v>184</v>
      </c>
    </row>
    <row r="13" spans="1:3" ht="59.25" customHeight="1">
      <c r="A13" s="32" t="s">
        <v>76</v>
      </c>
      <c r="B13" s="35" t="s">
        <v>163</v>
      </c>
      <c r="C13" s="4">
        <f t="shared" si="0"/>
        <v>192</v>
      </c>
    </row>
    <row r="14" spans="1:3" ht="59.25" customHeight="1">
      <c r="A14" s="32" t="s">
        <v>77</v>
      </c>
      <c r="B14" s="35" t="s">
        <v>168</v>
      </c>
      <c r="C14" s="4">
        <f t="shared" si="0"/>
        <v>188</v>
      </c>
    </row>
    <row r="15" spans="1:3" ht="59.25" customHeight="1">
      <c r="A15" s="32" t="s">
        <v>78</v>
      </c>
      <c r="B15" s="35" t="s">
        <v>227</v>
      </c>
      <c r="C15" s="4">
        <f t="shared" si="0"/>
        <v>195</v>
      </c>
    </row>
    <row r="16" spans="1:3" ht="59.25" customHeight="1">
      <c r="A16" s="32" t="s">
        <v>79</v>
      </c>
      <c r="B16" s="35" t="s">
        <v>164</v>
      </c>
      <c r="C16" s="4">
        <f t="shared" si="0"/>
        <v>193</v>
      </c>
    </row>
    <row r="17" spans="1:3" ht="59.25" customHeight="1">
      <c r="A17" s="32" t="s">
        <v>80</v>
      </c>
      <c r="B17" s="35" t="s">
        <v>172</v>
      </c>
      <c r="C17" s="4">
        <f t="shared" si="0"/>
        <v>198</v>
      </c>
    </row>
    <row r="18" spans="1:3" ht="59.25" customHeight="1">
      <c r="A18" s="32" t="s">
        <v>81</v>
      </c>
      <c r="B18" s="35" t="s">
        <v>228</v>
      </c>
      <c r="C18" s="4">
        <f t="shared" si="0"/>
        <v>194</v>
      </c>
    </row>
    <row r="19" spans="1:3" ht="59.25" customHeight="1">
      <c r="A19" s="32"/>
      <c r="B19" s="35"/>
      <c r="C19" s="4">
        <f t="shared" si="0"/>
        <v>0</v>
      </c>
    </row>
    <row r="20" spans="1:3" ht="59.25" customHeight="1">
      <c r="A20" s="32"/>
      <c r="B20" s="35"/>
      <c r="C20" s="4">
        <f t="shared" si="0"/>
        <v>0</v>
      </c>
    </row>
    <row r="21" spans="1:3" ht="59.25" customHeight="1">
      <c r="A21" s="32"/>
      <c r="B21" s="35"/>
      <c r="C21" s="4">
        <f t="shared" si="0"/>
        <v>0</v>
      </c>
    </row>
    <row r="22" spans="1:3" ht="59.25" customHeight="1">
      <c r="A22" s="32"/>
      <c r="B22" s="35"/>
      <c r="C22" s="4">
        <f t="shared" si="0"/>
        <v>0</v>
      </c>
    </row>
    <row r="23" spans="1:3" ht="59.25" customHeight="1">
      <c r="A23" s="32"/>
      <c r="B23" s="35"/>
      <c r="C23" s="4">
        <f t="shared" si="0"/>
        <v>0</v>
      </c>
    </row>
    <row r="24" spans="1:3" ht="59.25" customHeight="1">
      <c r="A24" s="32"/>
      <c r="B24" s="35"/>
      <c r="C24" s="4">
        <f t="shared" si="0"/>
        <v>0</v>
      </c>
    </row>
    <row r="25" spans="1:3" ht="59.25" customHeight="1">
      <c r="A25" s="32"/>
      <c r="B25" s="35"/>
      <c r="C25" s="4">
        <f t="shared" si="0"/>
        <v>0</v>
      </c>
    </row>
    <row r="26" spans="1:3" ht="59.25" customHeight="1">
      <c r="A26" s="32"/>
      <c r="B26" s="35"/>
      <c r="C26" s="4">
        <f t="shared" si="0"/>
        <v>0</v>
      </c>
    </row>
    <row r="27" spans="1:3" ht="59.25" customHeight="1">
      <c r="A27" s="32"/>
      <c r="B27" s="35"/>
      <c r="C27" s="4">
        <f t="shared" si="0"/>
        <v>0</v>
      </c>
    </row>
    <row r="28" spans="1:3" ht="22.5" customHeight="1"/>
    <row r="29" spans="1:3" ht="2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sheetData>
  <phoneticPr fontId="1"/>
  <conditionalFormatting sqref="C27 C3:C25">
    <cfRule type="cellIs" dxfId="8" priority="4" operator="greaterThan">
      <formula>200</formula>
    </cfRule>
    <cfRule type="cellIs" dxfId="7" priority="5" operator="lessThan">
      <formula>150</formula>
    </cfRule>
    <cfRule type="cellIs" dxfId="6" priority="6" operator="between">
      <formula>150</formula>
      <formula>200</formula>
    </cfRule>
  </conditionalFormatting>
  <conditionalFormatting sqref="C26">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AC91"/>
  <sheetViews>
    <sheetView workbookViewId="0">
      <selection sqref="A1:XFD1048576"/>
    </sheetView>
  </sheetViews>
  <sheetFormatPr defaultColWidth="9" defaultRowHeight="13.5"/>
  <cols>
    <col min="1" max="1" width="13.5" style="4" customWidth="1"/>
    <col min="2" max="2" width="64.5" style="4" customWidth="1"/>
    <col min="3" max="3" width="9.375" style="4" customWidth="1"/>
    <col min="4" max="28" width="4.125" style="4" customWidth="1"/>
    <col min="29" max="29" width="6.125" style="4" customWidth="1"/>
    <col min="30" max="16384" width="9" style="4"/>
  </cols>
  <sheetData>
    <row r="1" spans="1:29" ht="93.75" customHeight="1">
      <c r="A1" s="36" t="str">
        <f ca="1">MID(CELL("filename",A1),FIND("[",CELL("filename",A1))+1,3)</f>
        <v>８－１</v>
      </c>
      <c r="B1" s="37" t="s">
        <v>43</v>
      </c>
      <c r="C1" s="38" t="s">
        <v>41</v>
      </c>
      <c r="D1" s="24" t="str">
        <f>A9</f>
        <v>伊東 資竜</v>
      </c>
      <c r="E1" s="24" t="str">
        <f>A10</f>
        <v>大堀キム 未奈</v>
      </c>
      <c r="F1" s="24" t="str">
        <f>A11</f>
        <v>門田 湧真</v>
      </c>
      <c r="G1" s="24" t="str">
        <f>A12</f>
        <v>行田 さとみ</v>
      </c>
      <c r="H1" s="24" t="str">
        <f>A13</f>
        <v>久保田 明誠</v>
      </c>
      <c r="I1" s="24" t="str">
        <f>A14</f>
        <v>小松 流翔</v>
      </c>
      <c r="J1" s="24" t="str">
        <f>A15</f>
        <v>佐藤 美月</v>
      </c>
      <c r="K1" s="24" t="str">
        <f>A16</f>
        <v>辛 祐輝</v>
      </c>
      <c r="L1" s="24" t="str">
        <f>A17</f>
        <v>新保 芙佑香</v>
      </c>
      <c r="M1" s="24" t="str">
        <f>A18</f>
        <v>宋 語唯</v>
      </c>
      <c r="N1" s="24" t="str">
        <f>A19</f>
        <v>髙山 愛永</v>
      </c>
      <c r="O1" s="24" t="str">
        <f>A20</f>
        <v>滝澤 愛佳</v>
      </c>
      <c r="P1" s="24" t="str">
        <f>A21</f>
        <v>中山 千愛</v>
      </c>
      <c r="Q1" s="24" t="str">
        <f>A22</f>
        <v>花岡 麻貴</v>
      </c>
      <c r="R1" s="24" t="str">
        <f>A23</f>
        <v>宮下 花</v>
      </c>
      <c r="S1" s="24" t="str">
        <f>A24</f>
        <v>六井 啓翔</v>
      </c>
      <c r="T1" s="24">
        <f>A25</f>
        <v>0</v>
      </c>
      <c r="U1" s="24">
        <f>A26</f>
        <v>0</v>
      </c>
      <c r="V1" s="24">
        <f>A27</f>
        <v>0</v>
      </c>
      <c r="W1" s="24">
        <f>A28</f>
        <v>0</v>
      </c>
      <c r="X1" s="24">
        <f>A29</f>
        <v>0</v>
      </c>
      <c r="Y1" s="24">
        <f>A30</f>
        <v>0</v>
      </c>
      <c r="Z1" s="24">
        <f>A31</f>
        <v>0</v>
      </c>
      <c r="AA1" s="24">
        <f>A32</f>
        <v>0</v>
      </c>
      <c r="AB1" s="24">
        <f>A33</f>
        <v>0</v>
      </c>
      <c r="AC1" s="25"/>
    </row>
    <row r="2" spans="1:29" ht="22.5" customHeight="1">
      <c r="A2" s="195" t="s">
        <v>42</v>
      </c>
      <c r="B2" s="73" t="s">
        <v>229</v>
      </c>
      <c r="C2" s="26" t="s">
        <v>230</v>
      </c>
      <c r="D2" s="79" t="s">
        <v>231</v>
      </c>
      <c r="E2" s="79" t="s">
        <v>232</v>
      </c>
      <c r="F2" s="79" t="s">
        <v>233</v>
      </c>
      <c r="G2" s="79" t="s">
        <v>232</v>
      </c>
      <c r="H2" s="79" t="s">
        <v>232</v>
      </c>
      <c r="I2" s="79" t="s">
        <v>233</v>
      </c>
      <c r="J2" s="79" t="s">
        <v>232</v>
      </c>
      <c r="K2" s="79" t="s">
        <v>232</v>
      </c>
      <c r="L2" s="79" t="s">
        <v>232</v>
      </c>
      <c r="M2" s="79" t="s">
        <v>179</v>
      </c>
      <c r="N2" s="79" t="s">
        <v>179</v>
      </c>
      <c r="O2" s="79" t="s">
        <v>232</v>
      </c>
      <c r="P2" s="79" t="s">
        <v>232</v>
      </c>
      <c r="Q2" s="79" t="s">
        <v>179</v>
      </c>
      <c r="R2" s="79" t="s">
        <v>179</v>
      </c>
      <c r="S2" s="79" t="s">
        <v>179</v>
      </c>
      <c r="T2" s="27"/>
      <c r="U2" s="27"/>
      <c r="V2" s="27"/>
      <c r="W2" s="27"/>
      <c r="X2" s="27"/>
      <c r="Y2" s="27"/>
      <c r="Z2" s="27"/>
      <c r="AA2" s="27"/>
      <c r="AB2" s="27"/>
      <c r="AC2" s="56" t="s">
        <v>232</v>
      </c>
    </row>
    <row r="3" spans="1:29" ht="22.5" customHeight="1">
      <c r="A3" s="196"/>
      <c r="B3" s="73" t="s">
        <v>234</v>
      </c>
      <c r="C3" s="74" t="s">
        <v>235</v>
      </c>
      <c r="D3" s="79" t="s">
        <v>184</v>
      </c>
      <c r="E3" s="79" t="s">
        <v>232</v>
      </c>
      <c r="F3" s="79" t="s">
        <v>232</v>
      </c>
      <c r="G3" s="79" t="s">
        <v>232</v>
      </c>
      <c r="H3" s="79" t="s">
        <v>179</v>
      </c>
      <c r="I3" s="79" t="s">
        <v>231</v>
      </c>
      <c r="J3" s="79" t="s">
        <v>180</v>
      </c>
      <c r="K3" s="79" t="s">
        <v>179</v>
      </c>
      <c r="L3" s="79" t="s">
        <v>232</v>
      </c>
      <c r="M3" s="79" t="s">
        <v>179</v>
      </c>
      <c r="N3" s="79" t="s">
        <v>231</v>
      </c>
      <c r="O3" s="79" t="s">
        <v>232</v>
      </c>
      <c r="P3" s="79" t="s">
        <v>232</v>
      </c>
      <c r="Q3" s="79" t="s">
        <v>232</v>
      </c>
      <c r="R3" s="79" t="s">
        <v>179</v>
      </c>
      <c r="S3" s="79" t="s">
        <v>184</v>
      </c>
      <c r="T3" s="27"/>
      <c r="U3" s="27"/>
      <c r="V3" s="27"/>
      <c r="W3" s="27"/>
      <c r="X3" s="27"/>
      <c r="Y3" s="27"/>
      <c r="Z3" s="27"/>
      <c r="AA3" s="27"/>
      <c r="AB3" s="27"/>
      <c r="AC3" s="56" t="s">
        <v>231</v>
      </c>
    </row>
    <row r="4" spans="1:29" ht="22.5" customHeight="1">
      <c r="A4" s="196"/>
      <c r="B4" s="73" t="s">
        <v>236</v>
      </c>
      <c r="C4" s="26" t="s">
        <v>235</v>
      </c>
      <c r="D4" s="79" t="s">
        <v>231</v>
      </c>
      <c r="E4" s="79" t="s">
        <v>179</v>
      </c>
      <c r="F4" s="79" t="s">
        <v>180</v>
      </c>
      <c r="G4" s="79" t="s">
        <v>232</v>
      </c>
      <c r="H4" s="79" t="s">
        <v>179</v>
      </c>
      <c r="I4" s="79" t="s">
        <v>180</v>
      </c>
      <c r="J4" s="79" t="s">
        <v>233</v>
      </c>
      <c r="K4" s="79" t="s">
        <v>232</v>
      </c>
      <c r="L4" s="79" t="s">
        <v>179</v>
      </c>
      <c r="M4" s="79" t="s">
        <v>179</v>
      </c>
      <c r="N4" s="79" t="s">
        <v>232</v>
      </c>
      <c r="O4" s="79" t="s">
        <v>179</v>
      </c>
      <c r="P4" s="79" t="s">
        <v>179</v>
      </c>
      <c r="Q4" s="79" t="s">
        <v>179</v>
      </c>
      <c r="R4" s="79" t="s">
        <v>179</v>
      </c>
      <c r="S4" s="79" t="s">
        <v>179</v>
      </c>
      <c r="T4" s="27"/>
      <c r="U4" s="27"/>
      <c r="V4" s="27"/>
      <c r="W4" s="27"/>
      <c r="X4" s="27"/>
      <c r="Y4" s="27"/>
      <c r="Z4" s="27"/>
      <c r="AA4" s="27"/>
      <c r="AB4" s="27"/>
      <c r="AC4" s="56" t="s">
        <v>184</v>
      </c>
    </row>
    <row r="5" spans="1:29" ht="22.5" customHeight="1">
      <c r="A5" s="196"/>
      <c r="B5" s="73" t="s">
        <v>237</v>
      </c>
      <c r="C5" s="74" t="s">
        <v>235</v>
      </c>
      <c r="D5" s="79" t="s">
        <v>179</v>
      </c>
      <c r="E5" s="79" t="s">
        <v>232</v>
      </c>
      <c r="F5" s="79" t="s">
        <v>232</v>
      </c>
      <c r="G5" s="79" t="s">
        <v>179</v>
      </c>
      <c r="H5" s="79" t="s">
        <v>180</v>
      </c>
      <c r="I5" s="79" t="s">
        <v>180</v>
      </c>
      <c r="J5" s="79" t="s">
        <v>179</v>
      </c>
      <c r="K5" s="79" t="s">
        <v>180</v>
      </c>
      <c r="L5" s="79" t="s">
        <v>179</v>
      </c>
      <c r="M5" s="79" t="s">
        <v>179</v>
      </c>
      <c r="N5" s="79" t="s">
        <v>231</v>
      </c>
      <c r="O5" s="79" t="s">
        <v>179</v>
      </c>
      <c r="P5" s="79" t="s">
        <v>179</v>
      </c>
      <c r="Q5" s="79" t="s">
        <v>179</v>
      </c>
      <c r="R5" s="79" t="s">
        <v>179</v>
      </c>
      <c r="S5" s="79" t="s">
        <v>180</v>
      </c>
      <c r="T5" s="27"/>
      <c r="U5" s="27"/>
      <c r="V5" s="27"/>
      <c r="W5" s="27"/>
      <c r="X5" s="27"/>
      <c r="Y5" s="27"/>
      <c r="Z5" s="27"/>
      <c r="AA5" s="27"/>
      <c r="AB5" s="27"/>
      <c r="AC5" s="56" t="s">
        <v>185</v>
      </c>
    </row>
    <row r="6" spans="1:29" ht="22.5" customHeight="1">
      <c r="A6" s="196"/>
      <c r="B6" s="73" t="s">
        <v>238</v>
      </c>
      <c r="C6" s="74" t="s">
        <v>235</v>
      </c>
      <c r="D6" s="79" t="s">
        <v>179</v>
      </c>
      <c r="E6" s="79" t="s">
        <v>232</v>
      </c>
      <c r="F6" s="79" t="s">
        <v>179</v>
      </c>
      <c r="G6" s="79" t="s">
        <v>231</v>
      </c>
      <c r="H6" s="79" t="s">
        <v>232</v>
      </c>
      <c r="I6" s="79" t="s">
        <v>232</v>
      </c>
      <c r="J6" s="79" t="s">
        <v>180</v>
      </c>
      <c r="K6" s="79" t="s">
        <v>179</v>
      </c>
      <c r="L6" s="79" t="s">
        <v>179</v>
      </c>
      <c r="M6" s="79" t="s">
        <v>232</v>
      </c>
      <c r="N6" s="79" t="s">
        <v>179</v>
      </c>
      <c r="O6" s="79" t="s">
        <v>179</v>
      </c>
      <c r="P6" s="79" t="s">
        <v>179</v>
      </c>
      <c r="Q6" s="79" t="s">
        <v>232</v>
      </c>
      <c r="R6" s="79" t="s">
        <v>180</v>
      </c>
      <c r="S6" s="79" t="s">
        <v>232</v>
      </c>
      <c r="T6" s="27"/>
      <c r="U6" s="27"/>
      <c r="V6" s="27"/>
      <c r="W6" s="27"/>
      <c r="X6" s="27"/>
      <c r="Y6" s="27"/>
      <c r="Z6" s="27"/>
      <c r="AA6" s="27"/>
      <c r="AB6" s="27"/>
    </row>
    <row r="7" spans="1:29" ht="22.5" customHeight="1">
      <c r="A7" s="196"/>
      <c r="B7" s="73" t="s">
        <v>239</v>
      </c>
      <c r="C7" s="26" t="s">
        <v>235</v>
      </c>
      <c r="D7" s="79" t="s">
        <v>233</v>
      </c>
      <c r="E7" s="79" t="s">
        <v>232</v>
      </c>
      <c r="F7" s="79" t="s">
        <v>179</v>
      </c>
      <c r="G7" s="79" t="s">
        <v>179</v>
      </c>
      <c r="H7" s="79" t="s">
        <v>231</v>
      </c>
      <c r="I7" s="79" t="s">
        <v>180</v>
      </c>
      <c r="J7" s="79" t="s">
        <v>179</v>
      </c>
      <c r="K7" s="79" t="s">
        <v>231</v>
      </c>
      <c r="L7" s="79" t="s">
        <v>232</v>
      </c>
      <c r="M7" s="79" t="s">
        <v>179</v>
      </c>
      <c r="N7" s="79" t="s">
        <v>179</v>
      </c>
      <c r="O7" s="79" t="s">
        <v>179</v>
      </c>
      <c r="P7" s="79" t="s">
        <v>232</v>
      </c>
      <c r="Q7" s="79" t="s">
        <v>179</v>
      </c>
      <c r="R7" s="79" t="s">
        <v>179</v>
      </c>
      <c r="S7" s="79" t="s">
        <v>179</v>
      </c>
      <c r="T7" s="27"/>
      <c r="U7" s="27"/>
      <c r="V7" s="27"/>
      <c r="W7" s="27"/>
      <c r="X7" s="27"/>
      <c r="Y7" s="27"/>
      <c r="Z7" s="27"/>
      <c r="AA7" s="27"/>
      <c r="AB7" s="27"/>
    </row>
    <row r="8" spans="1:29" ht="22.5" customHeight="1">
      <c r="A8" s="197" t="s">
        <v>44</v>
      </c>
      <c r="B8" s="198"/>
      <c r="C8" s="198"/>
      <c r="D8" s="198"/>
      <c r="E8" s="198"/>
      <c r="F8" s="198"/>
      <c r="G8" s="198"/>
      <c r="H8" s="198"/>
      <c r="I8" s="198"/>
      <c r="J8" s="198"/>
      <c r="K8" s="198"/>
      <c r="L8" s="198"/>
      <c r="M8" s="198"/>
      <c r="N8" s="198"/>
      <c r="O8" s="198"/>
      <c r="P8" s="198"/>
      <c r="Q8" s="198"/>
      <c r="R8" s="198"/>
      <c r="S8" s="198"/>
      <c r="T8" s="198"/>
      <c r="U8" s="198"/>
      <c r="V8" s="198"/>
      <c r="W8" s="198"/>
      <c r="X8" s="198"/>
      <c r="Y8" s="198"/>
      <c r="Z8" s="198"/>
      <c r="AA8" s="198"/>
      <c r="AB8" s="199"/>
    </row>
    <row r="9" spans="1:29" ht="22.5" customHeight="1">
      <c r="A9" s="39" t="s">
        <v>66</v>
      </c>
      <c r="B9" s="168" t="s">
        <v>126</v>
      </c>
      <c r="C9" s="169"/>
      <c r="D9" s="169"/>
      <c r="E9" s="169"/>
      <c r="F9" s="169"/>
      <c r="G9" s="169"/>
      <c r="H9" s="169"/>
      <c r="I9" s="169"/>
      <c r="J9" s="169"/>
      <c r="K9" s="169"/>
      <c r="L9" s="169"/>
      <c r="M9" s="169"/>
      <c r="N9" s="169"/>
      <c r="O9" s="169"/>
      <c r="P9" s="169"/>
      <c r="Q9" s="169"/>
      <c r="R9" s="169"/>
      <c r="S9" s="169"/>
      <c r="T9" s="169"/>
      <c r="U9" s="169"/>
      <c r="V9" s="169"/>
      <c r="W9" s="169"/>
      <c r="X9" s="169"/>
      <c r="Y9" s="169"/>
      <c r="Z9" s="169"/>
      <c r="AA9" s="169"/>
      <c r="AB9" s="170"/>
    </row>
    <row r="10" spans="1:29" ht="22.5" customHeight="1">
      <c r="A10" s="39" t="s">
        <v>67</v>
      </c>
      <c r="B10" s="168" t="s">
        <v>127</v>
      </c>
      <c r="C10" s="169"/>
      <c r="D10" s="169"/>
      <c r="E10" s="169"/>
      <c r="F10" s="169"/>
      <c r="G10" s="169"/>
      <c r="H10" s="169"/>
      <c r="I10" s="169"/>
      <c r="J10" s="169"/>
      <c r="K10" s="169"/>
      <c r="L10" s="169"/>
      <c r="M10" s="169"/>
      <c r="N10" s="169"/>
      <c r="O10" s="169"/>
      <c r="P10" s="169"/>
      <c r="Q10" s="169"/>
      <c r="R10" s="169"/>
      <c r="S10" s="169"/>
      <c r="T10" s="169"/>
      <c r="U10" s="169"/>
      <c r="V10" s="169"/>
      <c r="W10" s="169"/>
      <c r="X10" s="169"/>
      <c r="Y10" s="169"/>
      <c r="Z10" s="169"/>
      <c r="AA10" s="169"/>
      <c r="AB10" s="170"/>
    </row>
    <row r="11" spans="1:29" ht="22.5" customHeight="1">
      <c r="A11" s="39" t="s">
        <v>68</v>
      </c>
      <c r="B11" s="168" t="s">
        <v>128</v>
      </c>
      <c r="C11" s="169"/>
      <c r="D11" s="169"/>
      <c r="E11" s="169"/>
      <c r="F11" s="169"/>
      <c r="G11" s="169"/>
      <c r="H11" s="169"/>
      <c r="I11" s="169"/>
      <c r="J11" s="169"/>
      <c r="K11" s="169"/>
      <c r="L11" s="169"/>
      <c r="M11" s="169"/>
      <c r="N11" s="169"/>
      <c r="O11" s="169"/>
      <c r="P11" s="169"/>
      <c r="Q11" s="169"/>
      <c r="R11" s="169"/>
      <c r="S11" s="169"/>
      <c r="T11" s="169"/>
      <c r="U11" s="169"/>
      <c r="V11" s="169"/>
      <c r="W11" s="169"/>
      <c r="X11" s="169"/>
      <c r="Y11" s="169"/>
      <c r="Z11" s="169"/>
      <c r="AA11" s="169"/>
      <c r="AB11" s="170"/>
    </row>
    <row r="12" spans="1:29" ht="22.5" customHeight="1">
      <c r="A12" s="39" t="s">
        <v>69</v>
      </c>
      <c r="B12" s="168" t="s">
        <v>129</v>
      </c>
      <c r="C12" s="169"/>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69"/>
      <c r="AB12" s="170"/>
    </row>
    <row r="13" spans="1:29" ht="22.5" customHeight="1">
      <c r="A13" s="39" t="s">
        <v>70</v>
      </c>
      <c r="B13" s="168" t="s">
        <v>130</v>
      </c>
      <c r="C13" s="169"/>
      <c r="D13" s="169"/>
      <c r="E13" s="169"/>
      <c r="F13" s="169"/>
      <c r="G13" s="169"/>
      <c r="H13" s="169"/>
      <c r="I13" s="169"/>
      <c r="J13" s="169"/>
      <c r="K13" s="169"/>
      <c r="L13" s="169"/>
      <c r="M13" s="169"/>
      <c r="N13" s="169"/>
      <c r="O13" s="169"/>
      <c r="P13" s="169"/>
      <c r="Q13" s="169"/>
      <c r="R13" s="169"/>
      <c r="S13" s="169"/>
      <c r="T13" s="169"/>
      <c r="U13" s="169"/>
      <c r="V13" s="169"/>
      <c r="W13" s="169"/>
      <c r="X13" s="169"/>
      <c r="Y13" s="169"/>
      <c r="Z13" s="169"/>
      <c r="AA13" s="169"/>
      <c r="AB13" s="170"/>
    </row>
    <row r="14" spans="1:29" ht="22.5" customHeight="1">
      <c r="A14" s="39" t="s">
        <v>71</v>
      </c>
      <c r="B14" s="168" t="s">
        <v>131</v>
      </c>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70"/>
    </row>
    <row r="15" spans="1:29" ht="22.5" customHeight="1">
      <c r="A15" s="39" t="s">
        <v>132</v>
      </c>
      <c r="B15" s="168" t="s">
        <v>133</v>
      </c>
      <c r="C15" s="169"/>
      <c r="D15" s="169"/>
      <c r="E15" s="169"/>
      <c r="F15" s="169"/>
      <c r="G15" s="169"/>
      <c r="H15" s="169"/>
      <c r="I15" s="169"/>
      <c r="J15" s="169"/>
      <c r="K15" s="169"/>
      <c r="L15" s="169"/>
      <c r="M15" s="169"/>
      <c r="N15" s="169"/>
      <c r="O15" s="169"/>
      <c r="P15" s="169"/>
      <c r="Q15" s="169"/>
      <c r="R15" s="169"/>
      <c r="S15" s="169"/>
      <c r="T15" s="169"/>
      <c r="U15" s="169"/>
      <c r="V15" s="169"/>
      <c r="W15" s="169"/>
      <c r="X15" s="169"/>
      <c r="Y15" s="169"/>
      <c r="Z15" s="169"/>
      <c r="AA15" s="169"/>
      <c r="AB15" s="170"/>
    </row>
    <row r="16" spans="1:29" ht="22.5" customHeight="1">
      <c r="A16" s="39" t="s">
        <v>73</v>
      </c>
      <c r="B16" s="168" t="s">
        <v>134</v>
      </c>
      <c r="C16" s="169"/>
      <c r="D16" s="169"/>
      <c r="E16" s="169"/>
      <c r="F16" s="169"/>
      <c r="G16" s="169"/>
      <c r="H16" s="169"/>
      <c r="I16" s="169"/>
      <c r="J16" s="169"/>
      <c r="K16" s="169"/>
      <c r="L16" s="169"/>
      <c r="M16" s="169"/>
      <c r="N16" s="169"/>
      <c r="O16" s="169"/>
      <c r="P16" s="169"/>
      <c r="Q16" s="169"/>
      <c r="R16" s="169"/>
      <c r="S16" s="169"/>
      <c r="T16" s="169"/>
      <c r="U16" s="169"/>
      <c r="V16" s="169"/>
      <c r="W16" s="169"/>
      <c r="X16" s="169"/>
      <c r="Y16" s="169"/>
      <c r="Z16" s="169"/>
      <c r="AA16" s="169"/>
      <c r="AB16" s="170"/>
    </row>
    <row r="17" spans="1:28" ht="22.5" customHeight="1">
      <c r="A17" s="39" t="s">
        <v>74</v>
      </c>
      <c r="B17" s="168" t="s">
        <v>135</v>
      </c>
      <c r="C17" s="169"/>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69"/>
      <c r="AB17" s="170"/>
    </row>
    <row r="18" spans="1:28" ht="22.5" customHeight="1">
      <c r="A18" s="39" t="s">
        <v>136</v>
      </c>
      <c r="B18" s="168" t="s">
        <v>137</v>
      </c>
      <c r="C18" s="169"/>
      <c r="D18" s="169"/>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70"/>
    </row>
    <row r="19" spans="1:28" ht="22.5" customHeight="1">
      <c r="A19" s="39" t="s">
        <v>76</v>
      </c>
      <c r="B19" s="168" t="s">
        <v>138</v>
      </c>
      <c r="C19" s="169"/>
      <c r="D19" s="169"/>
      <c r="E19" s="169"/>
      <c r="F19" s="169"/>
      <c r="G19" s="169"/>
      <c r="H19" s="169"/>
      <c r="I19" s="169"/>
      <c r="J19" s="169"/>
      <c r="K19" s="169"/>
      <c r="L19" s="169"/>
      <c r="M19" s="169"/>
      <c r="N19" s="169"/>
      <c r="O19" s="169"/>
      <c r="P19" s="169"/>
      <c r="Q19" s="169"/>
      <c r="R19" s="169"/>
      <c r="S19" s="169"/>
      <c r="T19" s="169"/>
      <c r="U19" s="169"/>
      <c r="V19" s="169"/>
      <c r="W19" s="169"/>
      <c r="X19" s="169"/>
      <c r="Y19" s="169"/>
      <c r="Z19" s="169"/>
      <c r="AA19" s="169"/>
      <c r="AB19" s="170"/>
    </row>
    <row r="20" spans="1:28" ht="22.5" customHeight="1">
      <c r="A20" s="39" t="s">
        <v>77</v>
      </c>
      <c r="B20" s="168" t="s">
        <v>139</v>
      </c>
      <c r="C20" s="169"/>
      <c r="D20" s="169"/>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70"/>
    </row>
    <row r="21" spans="1:28" ht="22.5" customHeight="1">
      <c r="A21" s="39" t="s">
        <v>140</v>
      </c>
      <c r="B21" s="168" t="s">
        <v>141</v>
      </c>
      <c r="C21" s="169"/>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69"/>
      <c r="AB21" s="170"/>
    </row>
    <row r="22" spans="1:28" ht="22.5" customHeight="1">
      <c r="A22" s="39" t="s">
        <v>79</v>
      </c>
      <c r="B22" s="168" t="s">
        <v>142</v>
      </c>
      <c r="C22" s="169"/>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9"/>
      <c r="AB22" s="170"/>
    </row>
    <row r="23" spans="1:28" ht="22.5" customHeight="1">
      <c r="A23" s="39" t="s">
        <v>80</v>
      </c>
      <c r="B23" s="168" t="s">
        <v>143</v>
      </c>
      <c r="C23" s="169"/>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9"/>
      <c r="AB23" s="170"/>
    </row>
    <row r="24" spans="1:28" ht="22.5" customHeight="1">
      <c r="A24" s="39" t="s">
        <v>81</v>
      </c>
      <c r="B24" s="168" t="s">
        <v>144</v>
      </c>
      <c r="C24" s="169"/>
      <c r="D24" s="169"/>
      <c r="E24" s="169"/>
      <c r="F24" s="169"/>
      <c r="G24" s="169"/>
      <c r="H24" s="169"/>
      <c r="I24" s="169"/>
      <c r="J24" s="169"/>
      <c r="K24" s="169"/>
      <c r="L24" s="169"/>
      <c r="M24" s="169"/>
      <c r="N24" s="169"/>
      <c r="O24" s="169"/>
      <c r="P24" s="169"/>
      <c r="Q24" s="169"/>
      <c r="R24" s="169"/>
      <c r="S24" s="169"/>
      <c r="T24" s="169"/>
      <c r="U24" s="169"/>
      <c r="V24" s="169"/>
      <c r="W24" s="169"/>
      <c r="X24" s="169"/>
      <c r="Y24" s="169"/>
      <c r="Z24" s="169"/>
      <c r="AA24" s="169"/>
      <c r="AB24" s="170"/>
    </row>
    <row r="25" spans="1:28" ht="22.5" customHeight="1">
      <c r="A25" s="39"/>
      <c r="B25" s="168"/>
      <c r="C25" s="169"/>
      <c r="D25" s="169"/>
      <c r="E25" s="169"/>
      <c r="F25" s="169"/>
      <c r="G25" s="169"/>
      <c r="H25" s="169"/>
      <c r="I25" s="169"/>
      <c r="J25" s="169"/>
      <c r="K25" s="169"/>
      <c r="L25" s="169"/>
      <c r="M25" s="169"/>
      <c r="N25" s="169"/>
      <c r="O25" s="169"/>
      <c r="P25" s="169"/>
      <c r="Q25" s="169"/>
      <c r="R25" s="169"/>
      <c r="S25" s="169"/>
      <c r="T25" s="169"/>
      <c r="U25" s="169"/>
      <c r="V25" s="169"/>
      <c r="W25" s="169"/>
      <c r="X25" s="169"/>
      <c r="Y25" s="169"/>
      <c r="Z25" s="169"/>
      <c r="AA25" s="169"/>
      <c r="AB25" s="170"/>
    </row>
    <row r="26" spans="1:28" ht="22.5" customHeight="1">
      <c r="A26" s="39"/>
      <c r="B26" s="168"/>
      <c r="C26" s="169"/>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69"/>
      <c r="AB26" s="170"/>
    </row>
    <row r="27" spans="1:28" ht="22.5" customHeight="1">
      <c r="A27" s="39"/>
      <c r="B27" s="168"/>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70"/>
    </row>
    <row r="28" spans="1:28" ht="22.5" customHeight="1">
      <c r="A28" s="39"/>
      <c r="B28" s="168"/>
      <c r="C28" s="169"/>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9"/>
      <c r="AB28" s="170"/>
    </row>
    <row r="29" spans="1:28" ht="22.5" customHeight="1">
      <c r="A29" s="39"/>
      <c r="B29" s="168"/>
      <c r="C29" s="169"/>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9"/>
      <c r="AB29" s="170"/>
    </row>
    <row r="30" spans="1:28" ht="22.5" customHeight="1">
      <c r="A30" s="39"/>
      <c r="B30" s="168"/>
      <c r="C30" s="169"/>
      <c r="D30" s="169"/>
      <c r="E30" s="169"/>
      <c r="F30" s="169"/>
      <c r="G30" s="169"/>
      <c r="H30" s="169"/>
      <c r="I30" s="169"/>
      <c r="J30" s="169"/>
      <c r="K30" s="169"/>
      <c r="L30" s="169"/>
      <c r="M30" s="169"/>
      <c r="N30" s="169"/>
      <c r="O30" s="169"/>
      <c r="P30" s="169"/>
      <c r="Q30" s="169"/>
      <c r="R30" s="169"/>
      <c r="S30" s="169"/>
      <c r="T30" s="169"/>
      <c r="U30" s="169"/>
      <c r="V30" s="169"/>
      <c r="W30" s="169"/>
      <c r="X30" s="169"/>
      <c r="Y30" s="169"/>
      <c r="Z30" s="169"/>
      <c r="AA30" s="169"/>
      <c r="AB30" s="170"/>
    </row>
    <row r="31" spans="1:28" ht="22.5" customHeight="1">
      <c r="A31" s="39"/>
      <c r="B31" s="168"/>
      <c r="C31" s="169"/>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69"/>
      <c r="AB31" s="170"/>
    </row>
    <row r="32" spans="1:28" ht="22.5" customHeight="1">
      <c r="A32" s="39"/>
      <c r="B32" s="168"/>
      <c r="C32" s="169"/>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70"/>
    </row>
    <row r="33" spans="1:28" ht="22.5" customHeight="1">
      <c r="A33" s="39"/>
      <c r="B33" s="168"/>
      <c r="C33" s="169"/>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169"/>
      <c r="AB33" s="170"/>
    </row>
    <row r="34" spans="1:28" ht="22.5" customHeight="1">
      <c r="A34" s="192" t="s">
        <v>38</v>
      </c>
      <c r="B34" s="193"/>
      <c r="C34" s="193"/>
      <c r="D34" s="193"/>
      <c r="E34" s="193"/>
      <c r="F34" s="193"/>
      <c r="G34" s="193"/>
      <c r="H34" s="193"/>
      <c r="I34" s="193"/>
      <c r="J34" s="193"/>
      <c r="K34" s="193"/>
      <c r="L34" s="193"/>
      <c r="M34" s="193"/>
      <c r="N34" s="193"/>
      <c r="O34" s="193"/>
      <c r="P34" s="193"/>
      <c r="Q34" s="193"/>
      <c r="R34" s="193"/>
      <c r="S34" s="193"/>
      <c r="T34" s="193"/>
      <c r="U34" s="193"/>
      <c r="V34" s="193"/>
      <c r="W34" s="193"/>
      <c r="X34" s="193"/>
      <c r="Y34" s="193"/>
      <c r="Z34" s="193"/>
      <c r="AA34" s="193"/>
      <c r="AB34" s="194"/>
    </row>
    <row r="35" spans="1:28" ht="22.5" customHeight="1">
      <c r="A35" s="57" t="str">
        <f>A9</f>
        <v>伊東 資竜</v>
      </c>
      <c r="B35" s="168" t="s">
        <v>145</v>
      </c>
      <c r="C35" s="169"/>
      <c r="D35" s="169"/>
      <c r="E35" s="169"/>
      <c r="F35" s="169"/>
      <c r="G35" s="169"/>
      <c r="H35" s="169"/>
      <c r="I35" s="169"/>
      <c r="J35" s="169"/>
      <c r="K35" s="169"/>
      <c r="L35" s="169"/>
      <c r="M35" s="169"/>
      <c r="N35" s="169"/>
      <c r="O35" s="169"/>
      <c r="P35" s="169"/>
      <c r="Q35" s="169"/>
      <c r="R35" s="169"/>
      <c r="S35" s="169"/>
      <c r="T35" s="169"/>
      <c r="U35" s="169"/>
      <c r="V35" s="169"/>
      <c r="W35" s="169"/>
      <c r="X35" s="169"/>
      <c r="Y35" s="169"/>
      <c r="Z35" s="169"/>
      <c r="AA35" s="169"/>
      <c r="AB35" s="170"/>
    </row>
    <row r="36" spans="1:28" ht="22.5" customHeight="1">
      <c r="A36" s="57" t="str">
        <f t="shared" ref="A36:A59" si="0">A10</f>
        <v>大堀キム 未奈</v>
      </c>
      <c r="B36" s="168" t="s">
        <v>145</v>
      </c>
      <c r="C36" s="169"/>
      <c r="D36" s="169"/>
      <c r="E36" s="169"/>
      <c r="F36" s="169"/>
      <c r="G36" s="169"/>
      <c r="H36" s="169"/>
      <c r="I36" s="169"/>
      <c r="J36" s="169"/>
      <c r="K36" s="169"/>
      <c r="L36" s="169"/>
      <c r="M36" s="169"/>
      <c r="N36" s="169"/>
      <c r="O36" s="169"/>
      <c r="P36" s="169"/>
      <c r="Q36" s="169"/>
      <c r="R36" s="169"/>
      <c r="S36" s="169"/>
      <c r="T36" s="169"/>
      <c r="U36" s="169"/>
      <c r="V36" s="169"/>
      <c r="W36" s="169"/>
      <c r="X36" s="169"/>
      <c r="Y36" s="169"/>
      <c r="Z36" s="169"/>
      <c r="AA36" s="169"/>
      <c r="AB36" s="170"/>
    </row>
    <row r="37" spans="1:28" ht="22.5" customHeight="1">
      <c r="A37" s="57" t="str">
        <f t="shared" si="0"/>
        <v>門田 湧真</v>
      </c>
      <c r="B37" s="168" t="s">
        <v>145</v>
      </c>
      <c r="C37" s="169"/>
      <c r="D37" s="169"/>
      <c r="E37" s="169"/>
      <c r="F37" s="169"/>
      <c r="G37" s="169"/>
      <c r="H37" s="169"/>
      <c r="I37" s="169"/>
      <c r="J37" s="169"/>
      <c r="K37" s="169"/>
      <c r="L37" s="169"/>
      <c r="M37" s="169"/>
      <c r="N37" s="169"/>
      <c r="O37" s="169"/>
      <c r="P37" s="169"/>
      <c r="Q37" s="169"/>
      <c r="R37" s="169"/>
      <c r="S37" s="169"/>
      <c r="T37" s="169"/>
      <c r="U37" s="169"/>
      <c r="V37" s="169"/>
      <c r="W37" s="169"/>
      <c r="X37" s="169"/>
      <c r="Y37" s="169"/>
      <c r="Z37" s="169"/>
      <c r="AA37" s="169"/>
      <c r="AB37" s="170"/>
    </row>
    <row r="38" spans="1:28" ht="22.5" customHeight="1">
      <c r="A38" s="57" t="str">
        <f t="shared" si="0"/>
        <v>行田 さとみ</v>
      </c>
      <c r="B38" s="168" t="s">
        <v>145</v>
      </c>
      <c r="C38" s="169"/>
      <c r="D38" s="169"/>
      <c r="E38" s="169"/>
      <c r="F38" s="169"/>
      <c r="G38" s="169"/>
      <c r="H38" s="169"/>
      <c r="I38" s="169"/>
      <c r="J38" s="169"/>
      <c r="K38" s="169"/>
      <c r="L38" s="169"/>
      <c r="M38" s="169"/>
      <c r="N38" s="169"/>
      <c r="O38" s="169"/>
      <c r="P38" s="169"/>
      <c r="Q38" s="169"/>
      <c r="R38" s="169"/>
      <c r="S38" s="169"/>
      <c r="T38" s="169"/>
      <c r="U38" s="169"/>
      <c r="V38" s="169"/>
      <c r="W38" s="169"/>
      <c r="X38" s="169"/>
      <c r="Y38" s="169"/>
      <c r="Z38" s="169"/>
      <c r="AA38" s="169"/>
      <c r="AB38" s="170"/>
    </row>
    <row r="39" spans="1:28" ht="22.5" customHeight="1">
      <c r="A39" s="57" t="str">
        <f t="shared" si="0"/>
        <v>久保田 明誠</v>
      </c>
      <c r="B39" s="168" t="s">
        <v>145</v>
      </c>
      <c r="C39" s="169"/>
      <c r="D39" s="169"/>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70"/>
    </row>
    <row r="40" spans="1:28" ht="22.5" customHeight="1">
      <c r="A40" s="57" t="str">
        <f t="shared" si="0"/>
        <v>小松 流翔</v>
      </c>
      <c r="B40" s="168" t="s">
        <v>145</v>
      </c>
      <c r="C40" s="169"/>
      <c r="D40" s="169"/>
      <c r="E40" s="169"/>
      <c r="F40" s="169"/>
      <c r="G40" s="169"/>
      <c r="H40" s="169"/>
      <c r="I40" s="169"/>
      <c r="J40" s="169"/>
      <c r="K40" s="169"/>
      <c r="L40" s="169"/>
      <c r="M40" s="169"/>
      <c r="N40" s="169"/>
      <c r="O40" s="169"/>
      <c r="P40" s="169"/>
      <c r="Q40" s="169"/>
      <c r="R40" s="169"/>
      <c r="S40" s="169"/>
      <c r="T40" s="169"/>
      <c r="U40" s="169"/>
      <c r="V40" s="169"/>
      <c r="W40" s="169"/>
      <c r="X40" s="169"/>
      <c r="Y40" s="169"/>
      <c r="Z40" s="169"/>
      <c r="AA40" s="169"/>
      <c r="AB40" s="170"/>
    </row>
    <row r="41" spans="1:28" ht="22.5" customHeight="1">
      <c r="A41" s="57" t="str">
        <f t="shared" si="0"/>
        <v>佐藤 美月</v>
      </c>
      <c r="B41" s="168" t="s">
        <v>145</v>
      </c>
      <c r="C41" s="169"/>
      <c r="D41" s="169"/>
      <c r="E41" s="169"/>
      <c r="F41" s="169"/>
      <c r="G41" s="169"/>
      <c r="H41" s="169"/>
      <c r="I41" s="169"/>
      <c r="J41" s="169"/>
      <c r="K41" s="169"/>
      <c r="L41" s="169"/>
      <c r="M41" s="169"/>
      <c r="N41" s="169"/>
      <c r="O41" s="169"/>
      <c r="P41" s="169"/>
      <c r="Q41" s="169"/>
      <c r="R41" s="169"/>
      <c r="S41" s="169"/>
      <c r="T41" s="169"/>
      <c r="U41" s="169"/>
      <c r="V41" s="169"/>
      <c r="W41" s="169"/>
      <c r="X41" s="169"/>
      <c r="Y41" s="169"/>
      <c r="Z41" s="169"/>
      <c r="AA41" s="169"/>
      <c r="AB41" s="170"/>
    </row>
    <row r="42" spans="1:28" ht="22.5" customHeight="1">
      <c r="A42" s="57" t="str">
        <f t="shared" si="0"/>
        <v>辛 祐輝</v>
      </c>
      <c r="B42" s="168" t="s">
        <v>145</v>
      </c>
      <c r="C42" s="169"/>
      <c r="D42" s="169"/>
      <c r="E42" s="169"/>
      <c r="F42" s="169"/>
      <c r="G42" s="169"/>
      <c r="H42" s="169"/>
      <c r="I42" s="169"/>
      <c r="J42" s="169"/>
      <c r="K42" s="169"/>
      <c r="L42" s="169"/>
      <c r="M42" s="169"/>
      <c r="N42" s="169"/>
      <c r="O42" s="169"/>
      <c r="P42" s="169"/>
      <c r="Q42" s="169"/>
      <c r="R42" s="169"/>
      <c r="S42" s="169"/>
      <c r="T42" s="169"/>
      <c r="U42" s="169"/>
      <c r="V42" s="169"/>
      <c r="W42" s="169"/>
      <c r="X42" s="169"/>
      <c r="Y42" s="169"/>
      <c r="Z42" s="169"/>
      <c r="AA42" s="169"/>
      <c r="AB42" s="170"/>
    </row>
    <row r="43" spans="1:28" ht="22.5" customHeight="1">
      <c r="A43" s="57" t="str">
        <f t="shared" si="0"/>
        <v>新保 芙佑香</v>
      </c>
      <c r="B43" s="168" t="s">
        <v>145</v>
      </c>
      <c r="C43" s="169"/>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70"/>
    </row>
    <row r="44" spans="1:28" ht="22.5" customHeight="1">
      <c r="A44" s="57" t="str">
        <f t="shared" si="0"/>
        <v>宋 語唯</v>
      </c>
      <c r="B44" s="168" t="s">
        <v>145</v>
      </c>
      <c r="C44" s="169"/>
      <c r="D44" s="169"/>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70"/>
    </row>
    <row r="45" spans="1:28" ht="22.5" customHeight="1">
      <c r="A45" s="57" t="str">
        <f t="shared" si="0"/>
        <v>髙山 愛永</v>
      </c>
      <c r="B45" s="168" t="s">
        <v>145</v>
      </c>
      <c r="C45" s="169"/>
      <c r="D45" s="169"/>
      <c r="E45" s="169"/>
      <c r="F45" s="169"/>
      <c r="G45" s="169"/>
      <c r="H45" s="169"/>
      <c r="I45" s="169"/>
      <c r="J45" s="169"/>
      <c r="K45" s="169"/>
      <c r="L45" s="169"/>
      <c r="M45" s="169"/>
      <c r="N45" s="169"/>
      <c r="O45" s="169"/>
      <c r="P45" s="169"/>
      <c r="Q45" s="169"/>
      <c r="R45" s="169"/>
      <c r="S45" s="169"/>
      <c r="T45" s="169"/>
      <c r="U45" s="169"/>
      <c r="V45" s="169"/>
      <c r="W45" s="169"/>
      <c r="X45" s="169"/>
      <c r="Y45" s="169"/>
      <c r="Z45" s="169"/>
      <c r="AA45" s="169"/>
      <c r="AB45" s="170"/>
    </row>
    <row r="46" spans="1:28" ht="22.5" customHeight="1">
      <c r="A46" s="57" t="str">
        <f t="shared" si="0"/>
        <v>滝澤 愛佳</v>
      </c>
      <c r="B46" s="168" t="s">
        <v>145</v>
      </c>
      <c r="C46" s="169"/>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169"/>
      <c r="AB46" s="170"/>
    </row>
    <row r="47" spans="1:28" ht="22.5" customHeight="1">
      <c r="A47" s="57" t="str">
        <f t="shared" si="0"/>
        <v>中山 千愛</v>
      </c>
      <c r="B47" s="168" t="s">
        <v>145</v>
      </c>
      <c r="C47" s="169"/>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169"/>
      <c r="AB47" s="170"/>
    </row>
    <row r="48" spans="1:28" ht="22.5" customHeight="1">
      <c r="A48" s="57" t="str">
        <f t="shared" si="0"/>
        <v>花岡 麻貴</v>
      </c>
      <c r="B48" s="168" t="s">
        <v>145</v>
      </c>
      <c r="C48" s="169"/>
      <c r="D48" s="169"/>
      <c r="E48" s="169"/>
      <c r="F48" s="169"/>
      <c r="G48" s="169"/>
      <c r="H48" s="169"/>
      <c r="I48" s="169"/>
      <c r="J48" s="169"/>
      <c r="K48" s="169"/>
      <c r="L48" s="169"/>
      <c r="M48" s="169"/>
      <c r="N48" s="169"/>
      <c r="O48" s="169"/>
      <c r="P48" s="169"/>
      <c r="Q48" s="169"/>
      <c r="R48" s="169"/>
      <c r="S48" s="169"/>
      <c r="T48" s="169"/>
      <c r="U48" s="169"/>
      <c r="V48" s="169"/>
      <c r="W48" s="169"/>
      <c r="X48" s="169"/>
      <c r="Y48" s="169"/>
      <c r="Z48" s="169"/>
      <c r="AA48" s="169"/>
      <c r="AB48" s="170"/>
    </row>
    <row r="49" spans="1:29" ht="22.5" customHeight="1">
      <c r="A49" s="57" t="str">
        <f t="shared" si="0"/>
        <v>宮下 花</v>
      </c>
      <c r="B49" s="168" t="s">
        <v>145</v>
      </c>
      <c r="C49" s="169"/>
      <c r="D49" s="169"/>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70"/>
    </row>
    <row r="50" spans="1:29" ht="22.5" customHeight="1">
      <c r="A50" s="57" t="str">
        <f t="shared" si="0"/>
        <v>六井 啓翔</v>
      </c>
      <c r="B50" s="168" t="s">
        <v>145</v>
      </c>
      <c r="C50" s="169"/>
      <c r="D50" s="169"/>
      <c r="E50" s="169"/>
      <c r="F50" s="169"/>
      <c r="G50" s="169"/>
      <c r="H50" s="169"/>
      <c r="I50" s="169"/>
      <c r="J50" s="169"/>
      <c r="K50" s="169"/>
      <c r="L50" s="169"/>
      <c r="M50" s="169"/>
      <c r="N50" s="169"/>
      <c r="O50" s="169"/>
      <c r="P50" s="169"/>
      <c r="Q50" s="169"/>
      <c r="R50" s="169"/>
      <c r="S50" s="169"/>
      <c r="T50" s="169"/>
      <c r="U50" s="169"/>
      <c r="V50" s="169"/>
      <c r="W50" s="169"/>
      <c r="X50" s="169"/>
      <c r="Y50" s="169"/>
      <c r="Z50" s="169"/>
      <c r="AA50" s="169"/>
      <c r="AB50" s="170"/>
    </row>
    <row r="51" spans="1:29" ht="22.5" customHeight="1">
      <c r="A51" s="57">
        <f t="shared" si="0"/>
        <v>0</v>
      </c>
      <c r="B51" s="168"/>
      <c r="C51" s="169"/>
      <c r="D51" s="169"/>
      <c r="E51" s="169"/>
      <c r="F51" s="169"/>
      <c r="G51" s="169"/>
      <c r="H51" s="169"/>
      <c r="I51" s="169"/>
      <c r="J51" s="169"/>
      <c r="K51" s="169"/>
      <c r="L51" s="169"/>
      <c r="M51" s="169"/>
      <c r="N51" s="169"/>
      <c r="O51" s="169"/>
      <c r="P51" s="169"/>
      <c r="Q51" s="169"/>
      <c r="R51" s="169"/>
      <c r="S51" s="169"/>
      <c r="T51" s="169"/>
      <c r="U51" s="169"/>
      <c r="V51" s="169"/>
      <c r="W51" s="169"/>
      <c r="X51" s="169"/>
      <c r="Y51" s="169"/>
      <c r="Z51" s="169"/>
      <c r="AA51" s="169"/>
      <c r="AB51" s="170"/>
    </row>
    <row r="52" spans="1:29" ht="22.5" customHeight="1">
      <c r="A52" s="57">
        <f t="shared" si="0"/>
        <v>0</v>
      </c>
      <c r="B52" s="168"/>
      <c r="C52" s="169"/>
      <c r="D52" s="169"/>
      <c r="E52" s="169"/>
      <c r="F52" s="169"/>
      <c r="G52" s="169"/>
      <c r="H52" s="169"/>
      <c r="I52" s="169"/>
      <c r="J52" s="169"/>
      <c r="K52" s="169"/>
      <c r="L52" s="169"/>
      <c r="M52" s="169"/>
      <c r="N52" s="169"/>
      <c r="O52" s="169"/>
      <c r="P52" s="169"/>
      <c r="Q52" s="169"/>
      <c r="R52" s="169"/>
      <c r="S52" s="169"/>
      <c r="T52" s="169"/>
      <c r="U52" s="169"/>
      <c r="V52" s="169"/>
      <c r="W52" s="169"/>
      <c r="X52" s="169"/>
      <c r="Y52" s="169"/>
      <c r="Z52" s="169"/>
      <c r="AA52" s="169"/>
      <c r="AB52" s="170"/>
    </row>
    <row r="53" spans="1:29" ht="22.5" customHeight="1">
      <c r="A53" s="57">
        <f t="shared" si="0"/>
        <v>0</v>
      </c>
      <c r="B53" s="168"/>
      <c r="C53" s="169"/>
      <c r="D53" s="169"/>
      <c r="E53" s="169"/>
      <c r="F53" s="169"/>
      <c r="G53" s="169"/>
      <c r="H53" s="169"/>
      <c r="I53" s="169"/>
      <c r="J53" s="169"/>
      <c r="K53" s="169"/>
      <c r="L53" s="169"/>
      <c r="M53" s="169"/>
      <c r="N53" s="169"/>
      <c r="O53" s="169"/>
      <c r="P53" s="169"/>
      <c r="Q53" s="169"/>
      <c r="R53" s="169"/>
      <c r="S53" s="169"/>
      <c r="T53" s="169"/>
      <c r="U53" s="169"/>
      <c r="V53" s="169"/>
      <c r="W53" s="169"/>
      <c r="X53" s="169"/>
      <c r="Y53" s="169"/>
      <c r="Z53" s="169"/>
      <c r="AA53" s="169"/>
      <c r="AB53" s="170"/>
    </row>
    <row r="54" spans="1:29" ht="22.5" customHeight="1">
      <c r="A54" s="57">
        <f t="shared" si="0"/>
        <v>0</v>
      </c>
      <c r="B54" s="168"/>
      <c r="C54" s="169"/>
      <c r="D54" s="169"/>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70"/>
    </row>
    <row r="55" spans="1:29" ht="22.5" customHeight="1">
      <c r="A55" s="57">
        <f t="shared" si="0"/>
        <v>0</v>
      </c>
      <c r="B55" s="168"/>
      <c r="C55" s="169"/>
      <c r="D55" s="169"/>
      <c r="E55" s="169"/>
      <c r="F55" s="169"/>
      <c r="G55" s="169"/>
      <c r="H55" s="169"/>
      <c r="I55" s="169"/>
      <c r="J55" s="169"/>
      <c r="K55" s="169"/>
      <c r="L55" s="169"/>
      <c r="M55" s="169"/>
      <c r="N55" s="169"/>
      <c r="O55" s="169"/>
      <c r="P55" s="169"/>
      <c r="Q55" s="169"/>
      <c r="R55" s="169"/>
      <c r="S55" s="169"/>
      <c r="T55" s="169"/>
      <c r="U55" s="169"/>
      <c r="V55" s="169"/>
      <c r="W55" s="169"/>
      <c r="X55" s="169"/>
      <c r="Y55" s="169"/>
      <c r="Z55" s="169"/>
      <c r="AA55" s="169"/>
      <c r="AB55" s="170"/>
    </row>
    <row r="56" spans="1:29" ht="22.5" customHeight="1">
      <c r="A56" s="57">
        <f t="shared" si="0"/>
        <v>0</v>
      </c>
      <c r="B56" s="168"/>
      <c r="C56" s="169"/>
      <c r="D56" s="169"/>
      <c r="E56" s="169"/>
      <c r="F56" s="169"/>
      <c r="G56" s="169"/>
      <c r="H56" s="169"/>
      <c r="I56" s="169"/>
      <c r="J56" s="169"/>
      <c r="K56" s="169"/>
      <c r="L56" s="169"/>
      <c r="M56" s="169"/>
      <c r="N56" s="169"/>
      <c r="O56" s="169"/>
      <c r="P56" s="169"/>
      <c r="Q56" s="169"/>
      <c r="R56" s="169"/>
      <c r="S56" s="169"/>
      <c r="T56" s="169"/>
      <c r="U56" s="169"/>
      <c r="V56" s="169"/>
      <c r="W56" s="169"/>
      <c r="X56" s="169"/>
      <c r="Y56" s="169"/>
      <c r="Z56" s="169"/>
      <c r="AA56" s="169"/>
      <c r="AB56" s="170"/>
    </row>
    <row r="57" spans="1:29" ht="22.5" customHeight="1">
      <c r="A57" s="57">
        <f t="shared" si="0"/>
        <v>0</v>
      </c>
      <c r="B57" s="168"/>
      <c r="C57" s="169"/>
      <c r="D57" s="169"/>
      <c r="E57" s="169"/>
      <c r="F57" s="169"/>
      <c r="G57" s="169"/>
      <c r="H57" s="169"/>
      <c r="I57" s="169"/>
      <c r="J57" s="169"/>
      <c r="K57" s="169"/>
      <c r="L57" s="169"/>
      <c r="M57" s="169"/>
      <c r="N57" s="169"/>
      <c r="O57" s="169"/>
      <c r="P57" s="169"/>
      <c r="Q57" s="169"/>
      <c r="R57" s="169"/>
      <c r="S57" s="169"/>
      <c r="T57" s="169"/>
      <c r="U57" s="169"/>
      <c r="V57" s="169"/>
      <c r="W57" s="169"/>
      <c r="X57" s="169"/>
      <c r="Y57" s="169"/>
      <c r="Z57" s="169"/>
      <c r="AA57" s="169"/>
      <c r="AB57" s="170"/>
    </row>
    <row r="58" spans="1:29" ht="22.5" customHeight="1">
      <c r="A58" s="57">
        <f t="shared" si="0"/>
        <v>0</v>
      </c>
      <c r="B58" s="168"/>
      <c r="C58" s="169"/>
      <c r="D58" s="169"/>
      <c r="E58" s="169"/>
      <c r="F58" s="169"/>
      <c r="G58" s="169"/>
      <c r="H58" s="169"/>
      <c r="I58" s="169"/>
      <c r="J58" s="169"/>
      <c r="K58" s="169"/>
      <c r="L58" s="169"/>
      <c r="M58" s="169"/>
      <c r="N58" s="169"/>
      <c r="O58" s="169"/>
      <c r="P58" s="169"/>
      <c r="Q58" s="169"/>
      <c r="R58" s="169"/>
      <c r="S58" s="169"/>
      <c r="T58" s="169"/>
      <c r="U58" s="169"/>
      <c r="V58" s="169"/>
      <c r="W58" s="169"/>
      <c r="X58" s="169"/>
      <c r="Y58" s="169"/>
      <c r="Z58" s="169"/>
      <c r="AA58" s="169"/>
      <c r="AB58" s="170"/>
    </row>
    <row r="59" spans="1:29" ht="22.5" customHeight="1">
      <c r="A59" s="57">
        <f t="shared" si="0"/>
        <v>0</v>
      </c>
      <c r="B59" s="168"/>
      <c r="C59" s="169"/>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70"/>
      <c r="AC59" s="33" t="s">
        <v>21</v>
      </c>
    </row>
    <row r="60" spans="1:29" ht="24" customHeight="1">
      <c r="A60" s="189" t="s">
        <v>8</v>
      </c>
      <c r="B60" s="190"/>
      <c r="C60" s="190"/>
      <c r="D60" s="190"/>
      <c r="E60" s="190"/>
      <c r="F60" s="190"/>
      <c r="G60" s="190"/>
      <c r="H60" s="190"/>
      <c r="I60" s="190"/>
      <c r="J60" s="190"/>
      <c r="K60" s="190"/>
      <c r="L60" s="190"/>
      <c r="M60" s="190"/>
      <c r="N60" s="190"/>
      <c r="O60" s="190"/>
      <c r="P60" s="190"/>
      <c r="Q60" s="190"/>
      <c r="R60" s="190"/>
      <c r="S60" s="190"/>
      <c r="T60" s="190"/>
      <c r="U60" s="190"/>
      <c r="V60" s="190"/>
      <c r="W60" s="190"/>
      <c r="X60" s="190"/>
      <c r="Y60" s="190"/>
      <c r="Z60" s="190"/>
      <c r="AA60" s="190"/>
      <c r="AB60" s="191"/>
      <c r="AC60" s="4" t="s">
        <v>240</v>
      </c>
    </row>
    <row r="61" spans="1:29" ht="77.25" customHeight="1">
      <c r="A61" s="57" t="str">
        <f>A35</f>
        <v>伊東 資竜</v>
      </c>
      <c r="B61" s="183" t="s">
        <v>158</v>
      </c>
      <c r="C61" s="184"/>
      <c r="D61" s="184"/>
      <c r="E61" s="184"/>
      <c r="F61" s="184"/>
      <c r="G61" s="184"/>
      <c r="H61" s="184"/>
      <c r="I61" s="184"/>
      <c r="J61" s="184"/>
      <c r="K61" s="184"/>
      <c r="L61" s="184"/>
      <c r="M61" s="184"/>
      <c r="N61" s="184"/>
      <c r="O61" s="184"/>
      <c r="P61" s="184"/>
      <c r="Q61" s="184"/>
      <c r="R61" s="184"/>
      <c r="S61" s="184"/>
      <c r="T61" s="184"/>
      <c r="U61" s="184"/>
      <c r="V61" s="184"/>
      <c r="W61" s="184"/>
      <c r="X61" s="184"/>
      <c r="Y61" s="184"/>
      <c r="Z61" s="184"/>
      <c r="AA61" s="184"/>
      <c r="AB61" s="185"/>
      <c r="AC61" s="4">
        <f>LEN(B61)</f>
        <v>446</v>
      </c>
    </row>
    <row r="62" spans="1:29" ht="77.25" customHeight="1">
      <c r="A62" s="57" t="str">
        <f t="shared" ref="A62:A85" si="1">A36</f>
        <v>大堀キム 未奈</v>
      </c>
      <c r="B62" s="183" t="s">
        <v>241</v>
      </c>
      <c r="C62" s="184"/>
      <c r="D62" s="184"/>
      <c r="E62" s="184"/>
      <c r="F62" s="184"/>
      <c r="G62" s="184"/>
      <c r="H62" s="184"/>
      <c r="I62" s="184"/>
      <c r="J62" s="184"/>
      <c r="K62" s="184"/>
      <c r="L62" s="184"/>
      <c r="M62" s="184"/>
      <c r="N62" s="184"/>
      <c r="O62" s="184"/>
      <c r="P62" s="184"/>
      <c r="Q62" s="184"/>
      <c r="R62" s="184"/>
      <c r="S62" s="184"/>
      <c r="T62" s="184"/>
      <c r="U62" s="184"/>
      <c r="V62" s="184"/>
      <c r="W62" s="184"/>
      <c r="X62" s="184"/>
      <c r="Y62" s="184"/>
      <c r="Z62" s="184"/>
      <c r="AA62" s="184"/>
      <c r="AB62" s="185"/>
      <c r="AC62" s="4">
        <f t="shared" ref="AC62:AC85" si="2">LEN(B62)</f>
        <v>454</v>
      </c>
    </row>
    <row r="63" spans="1:29" ht="77.25" customHeight="1">
      <c r="A63" s="57" t="str">
        <f t="shared" si="1"/>
        <v>門田 湧真</v>
      </c>
      <c r="B63" s="183" t="s">
        <v>242</v>
      </c>
      <c r="C63" s="184"/>
      <c r="D63" s="184"/>
      <c r="E63" s="184"/>
      <c r="F63" s="184"/>
      <c r="G63" s="184"/>
      <c r="H63" s="184"/>
      <c r="I63" s="184"/>
      <c r="J63" s="184"/>
      <c r="K63" s="184"/>
      <c r="L63" s="184"/>
      <c r="M63" s="184"/>
      <c r="N63" s="184"/>
      <c r="O63" s="184"/>
      <c r="P63" s="184"/>
      <c r="Q63" s="184"/>
      <c r="R63" s="184"/>
      <c r="S63" s="184"/>
      <c r="T63" s="184"/>
      <c r="U63" s="184"/>
      <c r="V63" s="184"/>
      <c r="W63" s="184"/>
      <c r="X63" s="184"/>
      <c r="Y63" s="184"/>
      <c r="Z63" s="184"/>
      <c r="AA63" s="184"/>
      <c r="AB63" s="185"/>
      <c r="AC63" s="4">
        <f t="shared" si="2"/>
        <v>439</v>
      </c>
    </row>
    <row r="64" spans="1:29" ht="77.25" customHeight="1">
      <c r="A64" s="57" t="str">
        <f t="shared" si="1"/>
        <v>行田 さとみ</v>
      </c>
      <c r="B64" s="183" t="s">
        <v>243</v>
      </c>
      <c r="C64" s="184"/>
      <c r="D64" s="184"/>
      <c r="E64" s="184"/>
      <c r="F64" s="184"/>
      <c r="G64" s="184"/>
      <c r="H64" s="184"/>
      <c r="I64" s="184"/>
      <c r="J64" s="184"/>
      <c r="K64" s="184"/>
      <c r="L64" s="184"/>
      <c r="M64" s="184"/>
      <c r="N64" s="184"/>
      <c r="O64" s="184"/>
      <c r="P64" s="184"/>
      <c r="Q64" s="184"/>
      <c r="R64" s="184"/>
      <c r="S64" s="184"/>
      <c r="T64" s="184"/>
      <c r="U64" s="184"/>
      <c r="V64" s="184"/>
      <c r="W64" s="184"/>
      <c r="X64" s="184"/>
      <c r="Y64" s="184"/>
      <c r="Z64" s="184"/>
      <c r="AA64" s="184"/>
      <c r="AB64" s="185"/>
      <c r="AC64" s="4">
        <f t="shared" si="2"/>
        <v>417</v>
      </c>
    </row>
    <row r="65" spans="1:29" ht="77.25" customHeight="1">
      <c r="A65" s="57" t="str">
        <f t="shared" si="1"/>
        <v>久保田 明誠</v>
      </c>
      <c r="B65" s="183" t="s">
        <v>244</v>
      </c>
      <c r="C65" s="184"/>
      <c r="D65" s="184"/>
      <c r="E65" s="184"/>
      <c r="F65" s="184"/>
      <c r="G65" s="184"/>
      <c r="H65" s="184"/>
      <c r="I65" s="184"/>
      <c r="J65" s="184"/>
      <c r="K65" s="184"/>
      <c r="L65" s="184"/>
      <c r="M65" s="184"/>
      <c r="N65" s="184"/>
      <c r="O65" s="184"/>
      <c r="P65" s="184"/>
      <c r="Q65" s="184"/>
      <c r="R65" s="184"/>
      <c r="S65" s="184"/>
      <c r="T65" s="184"/>
      <c r="U65" s="184"/>
      <c r="V65" s="184"/>
      <c r="W65" s="184"/>
      <c r="X65" s="184"/>
      <c r="Y65" s="184"/>
      <c r="Z65" s="184"/>
      <c r="AA65" s="184"/>
      <c r="AB65" s="185"/>
      <c r="AC65" s="4">
        <f t="shared" si="2"/>
        <v>427</v>
      </c>
    </row>
    <row r="66" spans="1:29" ht="77.25" customHeight="1">
      <c r="A66" s="57" t="str">
        <f t="shared" si="1"/>
        <v>小松 流翔</v>
      </c>
      <c r="B66" s="183" t="s">
        <v>245</v>
      </c>
      <c r="C66" s="184"/>
      <c r="D66" s="184"/>
      <c r="E66" s="184"/>
      <c r="F66" s="184"/>
      <c r="G66" s="184"/>
      <c r="H66" s="184"/>
      <c r="I66" s="184"/>
      <c r="J66" s="184"/>
      <c r="K66" s="184"/>
      <c r="L66" s="184"/>
      <c r="M66" s="184"/>
      <c r="N66" s="184"/>
      <c r="O66" s="184"/>
      <c r="P66" s="184"/>
      <c r="Q66" s="184"/>
      <c r="R66" s="184"/>
      <c r="S66" s="184"/>
      <c r="T66" s="184"/>
      <c r="U66" s="184"/>
      <c r="V66" s="184"/>
      <c r="W66" s="184"/>
      <c r="X66" s="184"/>
      <c r="Y66" s="184"/>
      <c r="Z66" s="184"/>
      <c r="AA66" s="184"/>
      <c r="AB66" s="185"/>
      <c r="AC66" s="4">
        <f t="shared" si="2"/>
        <v>439</v>
      </c>
    </row>
    <row r="67" spans="1:29" ht="77.25" customHeight="1">
      <c r="A67" s="57" t="str">
        <f t="shared" si="1"/>
        <v>佐藤 美月</v>
      </c>
      <c r="B67" s="183" t="s">
        <v>246</v>
      </c>
      <c r="C67" s="184"/>
      <c r="D67" s="184"/>
      <c r="E67" s="184"/>
      <c r="F67" s="184"/>
      <c r="G67" s="184"/>
      <c r="H67" s="184"/>
      <c r="I67" s="184"/>
      <c r="J67" s="184"/>
      <c r="K67" s="184"/>
      <c r="L67" s="184"/>
      <c r="M67" s="184"/>
      <c r="N67" s="184"/>
      <c r="O67" s="184"/>
      <c r="P67" s="184"/>
      <c r="Q67" s="184"/>
      <c r="R67" s="184"/>
      <c r="S67" s="184"/>
      <c r="T67" s="184"/>
      <c r="U67" s="184"/>
      <c r="V67" s="184"/>
      <c r="W67" s="184"/>
      <c r="X67" s="184"/>
      <c r="Y67" s="184"/>
      <c r="Z67" s="184"/>
      <c r="AA67" s="184"/>
      <c r="AB67" s="185"/>
      <c r="AC67" s="4">
        <f t="shared" si="2"/>
        <v>433</v>
      </c>
    </row>
    <row r="68" spans="1:29" ht="77.25" customHeight="1">
      <c r="A68" s="57" t="str">
        <f t="shared" si="1"/>
        <v>辛 祐輝</v>
      </c>
      <c r="B68" s="183" t="s">
        <v>247</v>
      </c>
      <c r="C68" s="184"/>
      <c r="D68" s="184"/>
      <c r="E68" s="184"/>
      <c r="F68" s="184"/>
      <c r="G68" s="184"/>
      <c r="H68" s="184"/>
      <c r="I68" s="184"/>
      <c r="J68" s="184"/>
      <c r="K68" s="184"/>
      <c r="L68" s="184"/>
      <c r="M68" s="184"/>
      <c r="N68" s="184"/>
      <c r="O68" s="184"/>
      <c r="P68" s="184"/>
      <c r="Q68" s="184"/>
      <c r="R68" s="184"/>
      <c r="S68" s="184"/>
      <c r="T68" s="184"/>
      <c r="U68" s="184"/>
      <c r="V68" s="184"/>
      <c r="W68" s="184"/>
      <c r="X68" s="184"/>
      <c r="Y68" s="184"/>
      <c r="Z68" s="184"/>
      <c r="AA68" s="184"/>
      <c r="AB68" s="185"/>
      <c r="AC68" s="4">
        <f t="shared" si="2"/>
        <v>474</v>
      </c>
    </row>
    <row r="69" spans="1:29" ht="77.25" customHeight="1">
      <c r="A69" s="57" t="str">
        <f t="shared" si="1"/>
        <v>新保 芙佑香</v>
      </c>
      <c r="B69" s="183" t="s">
        <v>248</v>
      </c>
      <c r="C69" s="184"/>
      <c r="D69" s="184"/>
      <c r="E69" s="184"/>
      <c r="F69" s="184"/>
      <c r="G69" s="184"/>
      <c r="H69" s="184"/>
      <c r="I69" s="184"/>
      <c r="J69" s="184"/>
      <c r="K69" s="184"/>
      <c r="L69" s="184"/>
      <c r="M69" s="184"/>
      <c r="N69" s="184"/>
      <c r="O69" s="184"/>
      <c r="P69" s="184"/>
      <c r="Q69" s="184"/>
      <c r="R69" s="184"/>
      <c r="S69" s="184"/>
      <c r="T69" s="184"/>
      <c r="U69" s="184"/>
      <c r="V69" s="184"/>
      <c r="W69" s="184"/>
      <c r="X69" s="184"/>
      <c r="Y69" s="184"/>
      <c r="Z69" s="184"/>
      <c r="AA69" s="184"/>
      <c r="AB69" s="185"/>
      <c r="AC69" s="4">
        <f t="shared" si="2"/>
        <v>449</v>
      </c>
    </row>
    <row r="70" spans="1:29" ht="77.25" customHeight="1">
      <c r="A70" s="57" t="str">
        <f t="shared" si="1"/>
        <v>宋 語唯</v>
      </c>
      <c r="B70" s="186" t="s">
        <v>249</v>
      </c>
      <c r="C70" s="187"/>
      <c r="D70" s="187"/>
      <c r="E70" s="187"/>
      <c r="F70" s="187"/>
      <c r="G70" s="187"/>
      <c r="H70" s="187"/>
      <c r="I70" s="187"/>
      <c r="J70" s="187"/>
      <c r="K70" s="187"/>
      <c r="L70" s="187"/>
      <c r="M70" s="187"/>
      <c r="N70" s="187"/>
      <c r="O70" s="187"/>
      <c r="P70" s="187"/>
      <c r="Q70" s="187"/>
      <c r="R70" s="187"/>
      <c r="S70" s="187"/>
      <c r="T70" s="187"/>
      <c r="U70" s="187"/>
      <c r="V70" s="187"/>
      <c r="W70" s="187"/>
      <c r="X70" s="187"/>
      <c r="Y70" s="187"/>
      <c r="Z70" s="187"/>
      <c r="AA70" s="187"/>
      <c r="AB70" s="188"/>
      <c r="AC70" s="4">
        <f t="shared" si="2"/>
        <v>461</v>
      </c>
    </row>
    <row r="71" spans="1:29" ht="77.25" customHeight="1">
      <c r="A71" s="57" t="str">
        <f t="shared" si="1"/>
        <v>髙山 愛永</v>
      </c>
      <c r="B71" s="183" t="s">
        <v>250</v>
      </c>
      <c r="C71" s="184"/>
      <c r="D71" s="184"/>
      <c r="E71" s="184"/>
      <c r="F71" s="184"/>
      <c r="G71" s="184"/>
      <c r="H71" s="184"/>
      <c r="I71" s="184"/>
      <c r="J71" s="184"/>
      <c r="K71" s="184"/>
      <c r="L71" s="184"/>
      <c r="M71" s="184"/>
      <c r="N71" s="184"/>
      <c r="O71" s="184"/>
      <c r="P71" s="184"/>
      <c r="Q71" s="184"/>
      <c r="R71" s="184"/>
      <c r="S71" s="184"/>
      <c r="T71" s="184"/>
      <c r="U71" s="184"/>
      <c r="V71" s="184"/>
      <c r="W71" s="184"/>
      <c r="X71" s="184"/>
      <c r="Y71" s="184"/>
      <c r="Z71" s="184"/>
      <c r="AA71" s="184"/>
      <c r="AB71" s="185"/>
      <c r="AC71" s="4">
        <f t="shared" si="2"/>
        <v>431</v>
      </c>
    </row>
    <row r="72" spans="1:29" ht="77.25" customHeight="1">
      <c r="A72" s="57" t="str">
        <f t="shared" si="1"/>
        <v>滝澤 愛佳</v>
      </c>
      <c r="B72" s="183" t="s">
        <v>251</v>
      </c>
      <c r="C72" s="184"/>
      <c r="D72" s="184"/>
      <c r="E72" s="184"/>
      <c r="F72" s="184"/>
      <c r="G72" s="184"/>
      <c r="H72" s="184"/>
      <c r="I72" s="184"/>
      <c r="J72" s="184"/>
      <c r="K72" s="184"/>
      <c r="L72" s="184"/>
      <c r="M72" s="184"/>
      <c r="N72" s="184"/>
      <c r="O72" s="184"/>
      <c r="P72" s="184"/>
      <c r="Q72" s="184"/>
      <c r="R72" s="184"/>
      <c r="S72" s="184"/>
      <c r="T72" s="184"/>
      <c r="U72" s="184"/>
      <c r="V72" s="184"/>
      <c r="W72" s="184"/>
      <c r="X72" s="184"/>
      <c r="Y72" s="184"/>
      <c r="Z72" s="184"/>
      <c r="AA72" s="184"/>
      <c r="AB72" s="185"/>
      <c r="AC72" s="4">
        <f t="shared" si="2"/>
        <v>429</v>
      </c>
    </row>
    <row r="73" spans="1:29" ht="77.25" customHeight="1">
      <c r="A73" s="57" t="str">
        <f t="shared" si="1"/>
        <v>中山 千愛</v>
      </c>
      <c r="B73" s="183" t="s">
        <v>252</v>
      </c>
      <c r="C73" s="184"/>
      <c r="D73" s="184"/>
      <c r="E73" s="184"/>
      <c r="F73" s="184"/>
      <c r="G73" s="184"/>
      <c r="H73" s="184"/>
      <c r="I73" s="184"/>
      <c r="J73" s="184"/>
      <c r="K73" s="184"/>
      <c r="L73" s="184"/>
      <c r="M73" s="184"/>
      <c r="N73" s="184"/>
      <c r="O73" s="184"/>
      <c r="P73" s="184"/>
      <c r="Q73" s="184"/>
      <c r="R73" s="184"/>
      <c r="S73" s="184"/>
      <c r="T73" s="184"/>
      <c r="U73" s="184"/>
      <c r="V73" s="184"/>
      <c r="W73" s="184"/>
      <c r="X73" s="184"/>
      <c r="Y73" s="184"/>
      <c r="Z73" s="184"/>
      <c r="AA73" s="184"/>
      <c r="AB73" s="185"/>
      <c r="AC73" s="4">
        <f t="shared" si="2"/>
        <v>429</v>
      </c>
    </row>
    <row r="74" spans="1:29" ht="77.25" customHeight="1">
      <c r="A74" s="57" t="str">
        <f t="shared" si="1"/>
        <v>花岡 麻貴</v>
      </c>
      <c r="B74" s="183" t="s">
        <v>253</v>
      </c>
      <c r="C74" s="184"/>
      <c r="D74" s="184"/>
      <c r="E74" s="184"/>
      <c r="F74" s="184"/>
      <c r="G74" s="184"/>
      <c r="H74" s="184"/>
      <c r="I74" s="184"/>
      <c r="J74" s="184"/>
      <c r="K74" s="184"/>
      <c r="L74" s="184"/>
      <c r="M74" s="184"/>
      <c r="N74" s="184"/>
      <c r="O74" s="184"/>
      <c r="P74" s="184"/>
      <c r="Q74" s="184"/>
      <c r="R74" s="184"/>
      <c r="S74" s="184"/>
      <c r="T74" s="184"/>
      <c r="U74" s="184"/>
      <c r="V74" s="184"/>
      <c r="W74" s="184"/>
      <c r="X74" s="184"/>
      <c r="Y74" s="184"/>
      <c r="Z74" s="184"/>
      <c r="AA74" s="184"/>
      <c r="AB74" s="185"/>
      <c r="AC74" s="4">
        <f t="shared" si="2"/>
        <v>445</v>
      </c>
    </row>
    <row r="75" spans="1:29" ht="77.25" customHeight="1">
      <c r="A75" s="57" t="str">
        <f t="shared" si="1"/>
        <v>宮下 花</v>
      </c>
      <c r="B75" s="183" t="s">
        <v>254</v>
      </c>
      <c r="C75" s="184"/>
      <c r="D75" s="184"/>
      <c r="E75" s="184"/>
      <c r="F75" s="184"/>
      <c r="G75" s="184"/>
      <c r="H75" s="184"/>
      <c r="I75" s="184"/>
      <c r="J75" s="184"/>
      <c r="K75" s="184"/>
      <c r="L75" s="184"/>
      <c r="M75" s="184"/>
      <c r="N75" s="184"/>
      <c r="O75" s="184"/>
      <c r="P75" s="184"/>
      <c r="Q75" s="184"/>
      <c r="R75" s="184"/>
      <c r="S75" s="184"/>
      <c r="T75" s="184"/>
      <c r="U75" s="184"/>
      <c r="V75" s="184"/>
      <c r="W75" s="184"/>
      <c r="X75" s="184"/>
      <c r="Y75" s="184"/>
      <c r="Z75" s="184"/>
      <c r="AA75" s="184"/>
      <c r="AB75" s="185"/>
      <c r="AC75" s="4">
        <f t="shared" si="2"/>
        <v>451</v>
      </c>
    </row>
    <row r="76" spans="1:29" ht="77.25" customHeight="1">
      <c r="A76" s="57" t="str">
        <f t="shared" si="1"/>
        <v>六井 啓翔</v>
      </c>
      <c r="B76" s="183" t="s">
        <v>255</v>
      </c>
      <c r="C76" s="184"/>
      <c r="D76" s="184"/>
      <c r="E76" s="184"/>
      <c r="F76" s="184"/>
      <c r="G76" s="184"/>
      <c r="H76" s="184"/>
      <c r="I76" s="184"/>
      <c r="J76" s="184"/>
      <c r="K76" s="184"/>
      <c r="L76" s="184"/>
      <c r="M76" s="184"/>
      <c r="N76" s="184"/>
      <c r="O76" s="184"/>
      <c r="P76" s="184"/>
      <c r="Q76" s="184"/>
      <c r="R76" s="184"/>
      <c r="S76" s="184"/>
      <c r="T76" s="184"/>
      <c r="U76" s="184"/>
      <c r="V76" s="184"/>
      <c r="W76" s="184"/>
      <c r="X76" s="184"/>
      <c r="Y76" s="184"/>
      <c r="Z76" s="184"/>
      <c r="AA76" s="184"/>
      <c r="AB76" s="185"/>
      <c r="AC76" s="4">
        <f t="shared" si="2"/>
        <v>459</v>
      </c>
    </row>
    <row r="77" spans="1:29" ht="77.25" customHeight="1">
      <c r="A77" s="57">
        <f t="shared" si="1"/>
        <v>0</v>
      </c>
      <c r="B77" s="183"/>
      <c r="C77" s="184"/>
      <c r="D77" s="184"/>
      <c r="E77" s="184"/>
      <c r="F77" s="184"/>
      <c r="G77" s="184"/>
      <c r="H77" s="184"/>
      <c r="I77" s="184"/>
      <c r="J77" s="184"/>
      <c r="K77" s="184"/>
      <c r="L77" s="184"/>
      <c r="M77" s="184"/>
      <c r="N77" s="184"/>
      <c r="O77" s="184"/>
      <c r="P77" s="184"/>
      <c r="Q77" s="184"/>
      <c r="R77" s="184"/>
      <c r="S77" s="184"/>
      <c r="T77" s="184"/>
      <c r="U77" s="184"/>
      <c r="V77" s="184"/>
      <c r="W77" s="184"/>
      <c r="X77" s="184"/>
      <c r="Y77" s="184"/>
      <c r="Z77" s="184"/>
      <c r="AA77" s="184"/>
      <c r="AB77" s="185"/>
      <c r="AC77" s="4">
        <f t="shared" si="2"/>
        <v>0</v>
      </c>
    </row>
    <row r="78" spans="1:29" ht="77.25" customHeight="1">
      <c r="A78" s="57">
        <f t="shared" si="1"/>
        <v>0</v>
      </c>
      <c r="B78" s="183"/>
      <c r="C78" s="184"/>
      <c r="D78" s="184"/>
      <c r="E78" s="184"/>
      <c r="F78" s="184"/>
      <c r="G78" s="184"/>
      <c r="H78" s="184"/>
      <c r="I78" s="184"/>
      <c r="J78" s="184"/>
      <c r="K78" s="184"/>
      <c r="L78" s="184"/>
      <c r="M78" s="184"/>
      <c r="N78" s="184"/>
      <c r="O78" s="184"/>
      <c r="P78" s="184"/>
      <c r="Q78" s="184"/>
      <c r="R78" s="184"/>
      <c r="S78" s="184"/>
      <c r="T78" s="184"/>
      <c r="U78" s="184"/>
      <c r="V78" s="184"/>
      <c r="W78" s="184"/>
      <c r="X78" s="184"/>
      <c r="Y78" s="184"/>
      <c r="Z78" s="184"/>
      <c r="AA78" s="184"/>
      <c r="AB78" s="185"/>
      <c r="AC78" s="4">
        <f t="shared" si="2"/>
        <v>0</v>
      </c>
    </row>
    <row r="79" spans="1:29" ht="77.25" customHeight="1">
      <c r="A79" s="57">
        <f t="shared" si="1"/>
        <v>0</v>
      </c>
      <c r="B79" s="183"/>
      <c r="C79" s="184"/>
      <c r="D79" s="184"/>
      <c r="E79" s="184"/>
      <c r="F79" s="184"/>
      <c r="G79" s="184"/>
      <c r="H79" s="184"/>
      <c r="I79" s="184"/>
      <c r="J79" s="184"/>
      <c r="K79" s="184"/>
      <c r="L79" s="184"/>
      <c r="M79" s="184"/>
      <c r="N79" s="184"/>
      <c r="O79" s="184"/>
      <c r="P79" s="184"/>
      <c r="Q79" s="184"/>
      <c r="R79" s="184"/>
      <c r="S79" s="184"/>
      <c r="T79" s="184"/>
      <c r="U79" s="184"/>
      <c r="V79" s="184"/>
      <c r="W79" s="184"/>
      <c r="X79" s="184"/>
      <c r="Y79" s="184"/>
      <c r="Z79" s="184"/>
      <c r="AA79" s="184"/>
      <c r="AB79" s="185"/>
      <c r="AC79" s="4">
        <f t="shared" si="2"/>
        <v>0</v>
      </c>
    </row>
    <row r="80" spans="1:29" ht="77.25" customHeight="1">
      <c r="A80" s="57">
        <f t="shared" si="1"/>
        <v>0</v>
      </c>
      <c r="B80" s="183"/>
      <c r="C80" s="184"/>
      <c r="D80" s="184"/>
      <c r="E80" s="184"/>
      <c r="F80" s="184"/>
      <c r="G80" s="184"/>
      <c r="H80" s="184"/>
      <c r="I80" s="184"/>
      <c r="J80" s="184"/>
      <c r="K80" s="184"/>
      <c r="L80" s="184"/>
      <c r="M80" s="184"/>
      <c r="N80" s="184"/>
      <c r="O80" s="184"/>
      <c r="P80" s="184"/>
      <c r="Q80" s="184"/>
      <c r="R80" s="184"/>
      <c r="S80" s="184"/>
      <c r="T80" s="184"/>
      <c r="U80" s="184"/>
      <c r="V80" s="184"/>
      <c r="W80" s="184"/>
      <c r="X80" s="184"/>
      <c r="Y80" s="184"/>
      <c r="Z80" s="184"/>
      <c r="AA80" s="184"/>
      <c r="AB80" s="185"/>
      <c r="AC80" s="4">
        <f t="shared" si="2"/>
        <v>0</v>
      </c>
    </row>
    <row r="81" spans="1:29" ht="77.25" customHeight="1">
      <c r="A81" s="57">
        <f t="shared" si="1"/>
        <v>0</v>
      </c>
      <c r="B81" s="183"/>
      <c r="C81" s="184"/>
      <c r="D81" s="184"/>
      <c r="E81" s="184"/>
      <c r="F81" s="184"/>
      <c r="G81" s="184"/>
      <c r="H81" s="184"/>
      <c r="I81" s="184"/>
      <c r="J81" s="184"/>
      <c r="K81" s="184"/>
      <c r="L81" s="184"/>
      <c r="M81" s="184"/>
      <c r="N81" s="184"/>
      <c r="O81" s="184"/>
      <c r="P81" s="184"/>
      <c r="Q81" s="184"/>
      <c r="R81" s="184"/>
      <c r="S81" s="184"/>
      <c r="T81" s="184"/>
      <c r="U81" s="184"/>
      <c r="V81" s="184"/>
      <c r="W81" s="184"/>
      <c r="X81" s="184"/>
      <c r="Y81" s="184"/>
      <c r="Z81" s="184"/>
      <c r="AA81" s="184"/>
      <c r="AB81" s="185"/>
      <c r="AC81" s="4">
        <f t="shared" si="2"/>
        <v>0</v>
      </c>
    </row>
    <row r="82" spans="1:29" ht="77.25" customHeight="1">
      <c r="A82" s="57">
        <f t="shared" si="1"/>
        <v>0</v>
      </c>
      <c r="B82" s="183"/>
      <c r="C82" s="184"/>
      <c r="D82" s="184"/>
      <c r="E82" s="184"/>
      <c r="F82" s="184"/>
      <c r="G82" s="184"/>
      <c r="H82" s="184"/>
      <c r="I82" s="184"/>
      <c r="J82" s="184"/>
      <c r="K82" s="184"/>
      <c r="L82" s="184"/>
      <c r="M82" s="184"/>
      <c r="N82" s="184"/>
      <c r="O82" s="184"/>
      <c r="P82" s="184"/>
      <c r="Q82" s="184"/>
      <c r="R82" s="184"/>
      <c r="S82" s="184"/>
      <c r="T82" s="184"/>
      <c r="U82" s="184"/>
      <c r="V82" s="184"/>
      <c r="W82" s="184"/>
      <c r="X82" s="184"/>
      <c r="Y82" s="184"/>
      <c r="Z82" s="184"/>
      <c r="AA82" s="184"/>
      <c r="AB82" s="185"/>
      <c r="AC82" s="4">
        <f t="shared" si="2"/>
        <v>0</v>
      </c>
    </row>
    <row r="83" spans="1:29" ht="77.25" customHeight="1">
      <c r="A83" s="57">
        <f t="shared" si="1"/>
        <v>0</v>
      </c>
      <c r="B83" s="183"/>
      <c r="C83" s="184"/>
      <c r="D83" s="184"/>
      <c r="E83" s="184"/>
      <c r="F83" s="184"/>
      <c r="G83" s="184"/>
      <c r="H83" s="184"/>
      <c r="I83" s="184"/>
      <c r="J83" s="184"/>
      <c r="K83" s="184"/>
      <c r="L83" s="184"/>
      <c r="M83" s="184"/>
      <c r="N83" s="184"/>
      <c r="O83" s="184"/>
      <c r="P83" s="184"/>
      <c r="Q83" s="184"/>
      <c r="R83" s="184"/>
      <c r="S83" s="184"/>
      <c r="T83" s="184"/>
      <c r="U83" s="184"/>
      <c r="V83" s="184"/>
      <c r="W83" s="184"/>
      <c r="X83" s="184"/>
      <c r="Y83" s="184"/>
      <c r="Z83" s="184"/>
      <c r="AA83" s="184"/>
      <c r="AB83" s="185"/>
      <c r="AC83" s="4">
        <f t="shared" si="2"/>
        <v>0</v>
      </c>
    </row>
    <row r="84" spans="1:29" ht="77.25" customHeight="1">
      <c r="A84" s="57">
        <f t="shared" si="1"/>
        <v>0</v>
      </c>
      <c r="B84" s="183"/>
      <c r="C84" s="184"/>
      <c r="D84" s="184"/>
      <c r="E84" s="184"/>
      <c r="F84" s="184"/>
      <c r="G84" s="184"/>
      <c r="H84" s="184"/>
      <c r="I84" s="184"/>
      <c r="J84" s="184"/>
      <c r="K84" s="184"/>
      <c r="L84" s="184"/>
      <c r="M84" s="184"/>
      <c r="N84" s="184"/>
      <c r="O84" s="184"/>
      <c r="P84" s="184"/>
      <c r="Q84" s="184"/>
      <c r="R84" s="184"/>
      <c r="S84" s="184"/>
      <c r="T84" s="184"/>
      <c r="U84" s="184"/>
      <c r="V84" s="184"/>
      <c r="W84" s="184"/>
      <c r="X84" s="184"/>
      <c r="Y84" s="184"/>
      <c r="Z84" s="184"/>
      <c r="AA84" s="184"/>
      <c r="AB84" s="185"/>
      <c r="AC84" s="4">
        <f t="shared" si="2"/>
        <v>0</v>
      </c>
    </row>
    <row r="85" spans="1:29" ht="77.25" customHeight="1">
      <c r="A85" s="57">
        <f t="shared" si="1"/>
        <v>0</v>
      </c>
      <c r="B85" s="183"/>
      <c r="C85" s="184"/>
      <c r="D85" s="184"/>
      <c r="E85" s="184"/>
      <c r="F85" s="184"/>
      <c r="G85" s="184"/>
      <c r="H85" s="184"/>
      <c r="I85" s="184"/>
      <c r="J85" s="184"/>
      <c r="K85" s="184"/>
      <c r="L85" s="184"/>
      <c r="M85" s="184"/>
      <c r="N85" s="184"/>
      <c r="O85" s="184"/>
      <c r="P85" s="184"/>
      <c r="Q85" s="184"/>
      <c r="R85" s="184"/>
      <c r="S85" s="184"/>
      <c r="T85" s="184"/>
      <c r="U85" s="184"/>
      <c r="V85" s="184"/>
      <c r="W85" s="184"/>
      <c r="X85" s="184"/>
      <c r="Y85" s="184"/>
      <c r="Z85" s="184"/>
      <c r="AA85" s="184"/>
      <c r="AB85" s="185"/>
      <c r="AC85" s="4">
        <f t="shared" si="2"/>
        <v>0</v>
      </c>
    </row>
    <row r="86" spans="1:29" ht="17.25" customHeight="1"/>
    <row r="87" spans="1:29" ht="17.25" customHeight="1"/>
    <row r="88" spans="1:29" ht="17.25" customHeight="1"/>
    <row r="89" spans="1:29" ht="17.25" customHeight="1"/>
    <row r="90" spans="1:29" ht="17.25" customHeight="1"/>
    <row r="91" spans="1:29" ht="17.25" customHeight="1"/>
  </sheetData>
  <mergeCells count="79">
    <mergeCell ref="B47:AB47"/>
    <mergeCell ref="B42:AB42"/>
    <mergeCell ref="B43:AB43"/>
    <mergeCell ref="B44:AB44"/>
    <mergeCell ref="B45:AB45"/>
    <mergeCell ref="B46:AB46"/>
    <mergeCell ref="B37:AB37"/>
    <mergeCell ref="B38:AB38"/>
    <mergeCell ref="B39:AB39"/>
    <mergeCell ref="B40:AB40"/>
    <mergeCell ref="B41:AB41"/>
    <mergeCell ref="B56:AB56"/>
    <mergeCell ref="B57:AB57"/>
    <mergeCell ref="B58:AB58"/>
    <mergeCell ref="B59:AB59"/>
    <mergeCell ref="B48:AB48"/>
    <mergeCell ref="B49:AB49"/>
    <mergeCell ref="B50:AB50"/>
    <mergeCell ref="B51:AB51"/>
    <mergeCell ref="B52:AB52"/>
    <mergeCell ref="B53:AB53"/>
    <mergeCell ref="B54:AB54"/>
    <mergeCell ref="B55:AB55"/>
    <mergeCell ref="A2:A7"/>
    <mergeCell ref="A8:AB8"/>
    <mergeCell ref="B9:AB9"/>
    <mergeCell ref="B10:AB10"/>
    <mergeCell ref="B11:AB11"/>
    <mergeCell ref="B12:AB12"/>
    <mergeCell ref="B13:AB13"/>
    <mergeCell ref="B14:AB14"/>
    <mergeCell ref="B15:AB15"/>
    <mergeCell ref="B16:AB16"/>
    <mergeCell ref="B17:AB17"/>
    <mergeCell ref="B18:AB18"/>
    <mergeCell ref="B19:AB19"/>
    <mergeCell ref="B20:AB20"/>
    <mergeCell ref="B21:AB21"/>
    <mergeCell ref="B22:AB22"/>
    <mergeCell ref="B23:AB23"/>
    <mergeCell ref="B24:AB24"/>
    <mergeCell ref="B25:AB25"/>
    <mergeCell ref="B26:AB26"/>
    <mergeCell ref="B27:AB27"/>
    <mergeCell ref="B28:AB28"/>
    <mergeCell ref="B29:AB29"/>
    <mergeCell ref="B30:AB30"/>
    <mergeCell ref="B31:AB31"/>
    <mergeCell ref="B32:AB32"/>
    <mergeCell ref="B33:AB33"/>
    <mergeCell ref="A34:AB34"/>
    <mergeCell ref="B35:AB35"/>
    <mergeCell ref="B36:AB36"/>
    <mergeCell ref="A60:AB60"/>
    <mergeCell ref="B61:AB61"/>
    <mergeCell ref="B62:AB62"/>
    <mergeCell ref="B63:AB63"/>
    <mergeCell ref="B64:AB64"/>
    <mergeCell ref="B65:AB65"/>
    <mergeCell ref="B66:AB66"/>
    <mergeCell ref="B67:AB67"/>
    <mergeCell ref="B68:AB68"/>
    <mergeCell ref="B69:AB69"/>
    <mergeCell ref="B70:AB70"/>
    <mergeCell ref="B71:AB71"/>
    <mergeCell ref="B72:AB72"/>
    <mergeCell ref="B73:AB73"/>
    <mergeCell ref="B74:AB74"/>
    <mergeCell ref="B75:AB75"/>
    <mergeCell ref="B76:AB76"/>
    <mergeCell ref="B77:AB77"/>
    <mergeCell ref="B78:AB78"/>
    <mergeCell ref="B79:AB79"/>
    <mergeCell ref="B85:AB85"/>
    <mergeCell ref="B80:AB80"/>
    <mergeCell ref="B81:AB81"/>
    <mergeCell ref="B82:AB82"/>
    <mergeCell ref="B83:AB83"/>
    <mergeCell ref="B84:AB84"/>
  </mergeCells>
  <phoneticPr fontId="1"/>
  <conditionalFormatting sqref="AC61:AC85">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off" allowBlank="1" showDropDown="1" showInputMessage="1" showErrorMessage="1" errorTitle="全角文字エラー" error="半角ABCを入れて下さい" sqref="D2:AB7">
      <formula1>$AC$2:$AC$5</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AC159"/>
  <sheetViews>
    <sheetView workbookViewId="0">
      <selection sqref="A1:XFD1048576"/>
    </sheetView>
  </sheetViews>
  <sheetFormatPr defaultRowHeight="13.5"/>
  <cols>
    <col min="1" max="1" width="13.5" style="4" customWidth="1"/>
    <col min="2" max="2" width="7.5" style="4" customWidth="1"/>
    <col min="3" max="3" width="9.375" style="4" customWidth="1"/>
    <col min="4" max="28" width="6.875" style="4" customWidth="1"/>
    <col min="29" max="16384" width="9" style="4"/>
  </cols>
  <sheetData>
    <row r="1" spans="1:29" ht="85.5" customHeight="1">
      <c r="A1" s="204" t="str">
        <f ca="1">MID(CELL("filename",A1),FIND("[",CELL("filename",A1))+1,3)</f>
        <v>８－１</v>
      </c>
      <c r="B1" s="205"/>
      <c r="C1" s="206"/>
      <c r="D1" s="88" t="str">
        <f>A10</f>
        <v>伊東 資竜</v>
      </c>
      <c r="E1" s="88" t="str">
        <f>A11</f>
        <v>大堀キム 未奈</v>
      </c>
      <c r="F1" s="88" t="str">
        <f>A12</f>
        <v>門田 湧真</v>
      </c>
      <c r="G1" s="88" t="str">
        <f>A13</f>
        <v>行田 さとみ</v>
      </c>
      <c r="H1" s="88" t="str">
        <f>A14</f>
        <v>久保田 明誠</v>
      </c>
      <c r="I1" s="88" t="str">
        <f>A15</f>
        <v>小松 流翔</v>
      </c>
      <c r="J1" s="88" t="str">
        <f>A16</f>
        <v>佐藤 美月</v>
      </c>
      <c r="K1" s="88" t="str">
        <f>A17</f>
        <v>辛 祐輝</v>
      </c>
      <c r="L1" s="88" t="str">
        <f>A18</f>
        <v>新保 芙佑香</v>
      </c>
      <c r="M1" s="88" t="str">
        <f>A19</f>
        <v>宋 語唯</v>
      </c>
      <c r="N1" s="88" t="str">
        <f>A20</f>
        <v>髙山 愛永</v>
      </c>
      <c r="O1" s="88" t="str">
        <f>A21</f>
        <v>滝澤 愛佳</v>
      </c>
      <c r="P1" s="88" t="str">
        <f>A22</f>
        <v>中山 千愛</v>
      </c>
      <c r="Q1" s="88" t="str">
        <f>A23</f>
        <v>花岡 麻貴</v>
      </c>
      <c r="R1" s="88" t="str">
        <f>A24</f>
        <v>宮下 花</v>
      </c>
      <c r="S1" s="88" t="str">
        <f>A25</f>
        <v>六井 啓翔</v>
      </c>
      <c r="T1" s="88">
        <f>A26</f>
        <v>0</v>
      </c>
      <c r="U1" s="88">
        <f>A27</f>
        <v>0</v>
      </c>
      <c r="V1" s="88">
        <f>A28</f>
        <v>0</v>
      </c>
      <c r="W1" s="88">
        <f>A29</f>
        <v>0</v>
      </c>
      <c r="X1" s="88">
        <f>A30</f>
        <v>0</v>
      </c>
      <c r="Y1" s="88">
        <f>A31</f>
        <v>0</v>
      </c>
      <c r="Z1" s="88">
        <f>A32</f>
        <v>0</v>
      </c>
      <c r="AA1" s="88">
        <f>A33</f>
        <v>0</v>
      </c>
      <c r="AB1" s="88">
        <f>A34</f>
        <v>0</v>
      </c>
      <c r="AC1" s="25"/>
    </row>
    <row r="2" spans="1:29" ht="22.5" customHeight="1">
      <c r="A2" s="203" t="s">
        <v>146</v>
      </c>
      <c r="B2" s="203"/>
      <c r="C2" s="203"/>
      <c r="D2" s="89">
        <v>76</v>
      </c>
      <c r="E2" s="89">
        <v>76</v>
      </c>
      <c r="F2" s="89">
        <v>76</v>
      </c>
      <c r="G2" s="89">
        <v>76</v>
      </c>
      <c r="H2" s="89">
        <v>76</v>
      </c>
      <c r="I2" s="89">
        <v>76</v>
      </c>
      <c r="J2" s="89">
        <v>76</v>
      </c>
      <c r="K2" s="89">
        <v>76</v>
      </c>
      <c r="L2" s="89">
        <v>76</v>
      </c>
      <c r="M2" s="89">
        <v>76</v>
      </c>
      <c r="N2" s="89">
        <v>76</v>
      </c>
      <c r="O2" s="89">
        <v>76</v>
      </c>
      <c r="P2" s="89">
        <v>76</v>
      </c>
      <c r="Q2" s="89">
        <v>76</v>
      </c>
      <c r="R2" s="89">
        <v>76</v>
      </c>
      <c r="S2" s="89">
        <v>76</v>
      </c>
      <c r="T2" s="90"/>
      <c r="U2" s="90"/>
      <c r="V2" s="90"/>
      <c r="W2" s="90"/>
      <c r="X2" s="90"/>
      <c r="Y2" s="90"/>
      <c r="Z2" s="90"/>
      <c r="AA2" s="90"/>
      <c r="AB2" s="90"/>
    </row>
    <row r="3" spans="1:29" ht="22.5" customHeight="1">
      <c r="A3" s="203" t="s">
        <v>147</v>
      </c>
      <c r="B3" s="203"/>
      <c r="C3" s="203"/>
      <c r="D3" s="89">
        <v>0</v>
      </c>
      <c r="E3" s="89">
        <v>0</v>
      </c>
      <c r="F3" s="89">
        <v>0</v>
      </c>
      <c r="G3" s="89">
        <v>0</v>
      </c>
      <c r="H3" s="89">
        <v>0</v>
      </c>
      <c r="I3" s="89">
        <v>0</v>
      </c>
      <c r="J3" s="89">
        <v>3</v>
      </c>
      <c r="K3" s="89">
        <v>0</v>
      </c>
      <c r="L3" s="89">
        <v>0</v>
      </c>
      <c r="M3" s="89">
        <v>0</v>
      </c>
      <c r="N3" s="89">
        <v>0</v>
      </c>
      <c r="O3" s="89">
        <v>0</v>
      </c>
      <c r="P3" s="89">
        <v>0</v>
      </c>
      <c r="Q3" s="89">
        <v>0</v>
      </c>
      <c r="R3" s="89">
        <v>5</v>
      </c>
      <c r="S3" s="89">
        <v>0</v>
      </c>
      <c r="T3" s="90"/>
      <c r="U3" s="90"/>
      <c r="V3" s="90"/>
      <c r="W3" s="90"/>
      <c r="X3" s="90"/>
      <c r="Y3" s="90"/>
      <c r="Z3" s="90"/>
      <c r="AA3" s="90"/>
      <c r="AB3" s="90"/>
    </row>
    <row r="4" spans="1:29" ht="22.5" customHeight="1">
      <c r="A4" s="203" t="s">
        <v>148</v>
      </c>
      <c r="B4" s="203"/>
      <c r="C4" s="203"/>
      <c r="D4" s="91">
        <f t="shared" ref="D4:AB4" si="0">D2-D3</f>
        <v>76</v>
      </c>
      <c r="E4" s="91">
        <f t="shared" si="0"/>
        <v>76</v>
      </c>
      <c r="F4" s="91">
        <f t="shared" si="0"/>
        <v>76</v>
      </c>
      <c r="G4" s="91">
        <f t="shared" si="0"/>
        <v>76</v>
      </c>
      <c r="H4" s="91">
        <f t="shared" si="0"/>
        <v>76</v>
      </c>
      <c r="I4" s="91">
        <f t="shared" si="0"/>
        <v>76</v>
      </c>
      <c r="J4" s="91">
        <f t="shared" si="0"/>
        <v>73</v>
      </c>
      <c r="K4" s="91">
        <f t="shared" si="0"/>
        <v>76</v>
      </c>
      <c r="L4" s="91">
        <f t="shared" si="0"/>
        <v>76</v>
      </c>
      <c r="M4" s="91">
        <f t="shared" si="0"/>
        <v>76</v>
      </c>
      <c r="N4" s="91">
        <f t="shared" si="0"/>
        <v>76</v>
      </c>
      <c r="O4" s="91">
        <f t="shared" si="0"/>
        <v>76</v>
      </c>
      <c r="P4" s="91">
        <f t="shared" si="0"/>
        <v>76</v>
      </c>
      <c r="Q4" s="91">
        <f t="shared" si="0"/>
        <v>76</v>
      </c>
      <c r="R4" s="91">
        <f t="shared" si="0"/>
        <v>71</v>
      </c>
      <c r="S4" s="91">
        <f t="shared" si="0"/>
        <v>76</v>
      </c>
      <c r="T4" s="91">
        <f t="shared" si="0"/>
        <v>0</v>
      </c>
      <c r="U4" s="91">
        <f t="shared" si="0"/>
        <v>0</v>
      </c>
      <c r="V4" s="91">
        <f t="shared" si="0"/>
        <v>0</v>
      </c>
      <c r="W4" s="91">
        <f t="shared" si="0"/>
        <v>0</v>
      </c>
      <c r="X4" s="91">
        <f t="shared" si="0"/>
        <v>0</v>
      </c>
      <c r="Y4" s="91">
        <f t="shared" si="0"/>
        <v>0</v>
      </c>
      <c r="Z4" s="91">
        <f t="shared" si="0"/>
        <v>0</v>
      </c>
      <c r="AA4" s="91">
        <f t="shared" si="0"/>
        <v>0</v>
      </c>
      <c r="AB4" s="91">
        <f t="shared" si="0"/>
        <v>0</v>
      </c>
    </row>
    <row r="5" spans="1:29" ht="22.5" customHeight="1">
      <c r="A5" s="207" t="s">
        <v>256</v>
      </c>
      <c r="B5" s="208"/>
      <c r="C5" s="209"/>
      <c r="D5" s="91">
        <f t="shared" ref="D5:AB5" si="1">D4-D6</f>
        <v>71</v>
      </c>
      <c r="E5" s="91">
        <f t="shared" si="1"/>
        <v>76</v>
      </c>
      <c r="F5" s="91">
        <f t="shared" si="1"/>
        <v>76</v>
      </c>
      <c r="G5" s="91">
        <f t="shared" si="1"/>
        <v>75</v>
      </c>
      <c r="H5" s="91">
        <f t="shared" si="1"/>
        <v>74</v>
      </c>
      <c r="I5" s="91">
        <f t="shared" si="1"/>
        <v>75</v>
      </c>
      <c r="J5" s="91">
        <f t="shared" si="1"/>
        <v>72</v>
      </c>
      <c r="K5" s="91">
        <f t="shared" si="1"/>
        <v>74</v>
      </c>
      <c r="L5" s="91">
        <f t="shared" si="1"/>
        <v>76</v>
      </c>
      <c r="M5" s="91">
        <f t="shared" si="1"/>
        <v>76</v>
      </c>
      <c r="N5" s="91">
        <f t="shared" si="1"/>
        <v>75</v>
      </c>
      <c r="O5" s="91">
        <f t="shared" si="1"/>
        <v>76</v>
      </c>
      <c r="P5" s="91">
        <f t="shared" si="1"/>
        <v>76</v>
      </c>
      <c r="Q5" s="91">
        <f t="shared" si="1"/>
        <v>75</v>
      </c>
      <c r="R5" s="91">
        <f t="shared" si="1"/>
        <v>69</v>
      </c>
      <c r="S5" s="91">
        <f t="shared" si="1"/>
        <v>76</v>
      </c>
      <c r="T5" s="91">
        <f t="shared" si="1"/>
        <v>0</v>
      </c>
      <c r="U5" s="91">
        <f t="shared" si="1"/>
        <v>0</v>
      </c>
      <c r="V5" s="91">
        <f t="shared" si="1"/>
        <v>0</v>
      </c>
      <c r="W5" s="91">
        <f t="shared" si="1"/>
        <v>0</v>
      </c>
      <c r="X5" s="91">
        <f t="shared" si="1"/>
        <v>0</v>
      </c>
      <c r="Y5" s="91">
        <f t="shared" si="1"/>
        <v>0</v>
      </c>
      <c r="Z5" s="91">
        <f t="shared" si="1"/>
        <v>0</v>
      </c>
      <c r="AA5" s="91">
        <f t="shared" si="1"/>
        <v>0</v>
      </c>
      <c r="AB5" s="91">
        <f t="shared" si="1"/>
        <v>0</v>
      </c>
    </row>
    <row r="6" spans="1:29" ht="22.5" customHeight="1">
      <c r="A6" s="200" t="s">
        <v>257</v>
      </c>
      <c r="B6" s="201"/>
      <c r="C6" s="202"/>
      <c r="D6" s="89">
        <v>5</v>
      </c>
      <c r="E6" s="89">
        <v>0</v>
      </c>
      <c r="F6" s="89">
        <v>0</v>
      </c>
      <c r="G6" s="89">
        <v>1</v>
      </c>
      <c r="H6" s="89">
        <v>2</v>
      </c>
      <c r="I6" s="89">
        <v>1</v>
      </c>
      <c r="J6" s="89">
        <v>1</v>
      </c>
      <c r="K6" s="89">
        <v>2</v>
      </c>
      <c r="L6" s="89">
        <v>0</v>
      </c>
      <c r="M6" s="89">
        <v>0</v>
      </c>
      <c r="N6" s="89">
        <v>1</v>
      </c>
      <c r="O6" s="89">
        <v>0</v>
      </c>
      <c r="P6" s="89">
        <v>0</v>
      </c>
      <c r="Q6" s="89">
        <v>1</v>
      </c>
      <c r="R6" s="89">
        <v>2</v>
      </c>
      <c r="S6" s="89">
        <v>0</v>
      </c>
      <c r="T6" s="90"/>
      <c r="U6" s="90"/>
      <c r="V6" s="90"/>
      <c r="W6" s="90"/>
      <c r="X6" s="90"/>
      <c r="Y6" s="90"/>
      <c r="Z6" s="90"/>
      <c r="AA6" s="90"/>
      <c r="AB6" s="90"/>
    </row>
    <row r="7" spans="1:29" ht="22.5" customHeight="1">
      <c r="A7" s="203" t="s">
        <v>149</v>
      </c>
      <c r="B7" s="203"/>
      <c r="C7" s="203"/>
      <c r="D7" s="89">
        <v>4</v>
      </c>
      <c r="E7" s="89">
        <v>0</v>
      </c>
      <c r="F7" s="89">
        <v>0</v>
      </c>
      <c r="G7" s="89">
        <v>3</v>
      </c>
      <c r="H7" s="89">
        <v>1</v>
      </c>
      <c r="I7" s="89">
        <v>0</v>
      </c>
      <c r="J7" s="89">
        <v>0</v>
      </c>
      <c r="K7" s="89">
        <v>2</v>
      </c>
      <c r="L7" s="89">
        <v>0</v>
      </c>
      <c r="M7" s="89">
        <v>0</v>
      </c>
      <c r="N7" s="89">
        <v>0</v>
      </c>
      <c r="O7" s="89">
        <v>1</v>
      </c>
      <c r="P7" s="89">
        <v>0</v>
      </c>
      <c r="Q7" s="89">
        <v>1</v>
      </c>
      <c r="R7" s="89">
        <v>0</v>
      </c>
      <c r="S7" s="89">
        <v>0</v>
      </c>
      <c r="T7" s="90"/>
      <c r="U7" s="90"/>
      <c r="V7" s="90"/>
      <c r="W7" s="90"/>
      <c r="X7" s="90"/>
      <c r="Y7" s="90"/>
      <c r="Z7" s="90"/>
      <c r="AA7" s="90"/>
      <c r="AB7" s="90"/>
    </row>
    <row r="8" spans="1:29" ht="22.5" customHeight="1">
      <c r="A8" s="203" t="s">
        <v>150</v>
      </c>
      <c r="B8" s="203"/>
      <c r="C8" s="203"/>
      <c r="D8" s="89">
        <v>0</v>
      </c>
      <c r="E8" s="89">
        <v>0</v>
      </c>
      <c r="F8" s="89">
        <v>0</v>
      </c>
      <c r="G8" s="89">
        <v>1</v>
      </c>
      <c r="H8" s="89">
        <v>1</v>
      </c>
      <c r="I8" s="89">
        <v>0</v>
      </c>
      <c r="J8" s="89">
        <v>0</v>
      </c>
      <c r="K8" s="89">
        <v>1</v>
      </c>
      <c r="L8" s="89">
        <v>0</v>
      </c>
      <c r="M8" s="89">
        <v>0</v>
      </c>
      <c r="N8" s="89">
        <v>1</v>
      </c>
      <c r="O8" s="89">
        <v>0</v>
      </c>
      <c r="P8" s="89">
        <v>0</v>
      </c>
      <c r="Q8" s="89">
        <v>0</v>
      </c>
      <c r="R8" s="89">
        <v>0</v>
      </c>
      <c r="S8" s="89">
        <v>0</v>
      </c>
      <c r="T8" s="90"/>
      <c r="U8" s="90"/>
      <c r="V8" s="90"/>
      <c r="W8" s="90"/>
      <c r="X8" s="90"/>
      <c r="Y8" s="90"/>
      <c r="Z8" s="90"/>
      <c r="AA8" s="90"/>
      <c r="AB8" s="90"/>
    </row>
    <row r="9" spans="1:29" ht="22.5" customHeight="1">
      <c r="A9" s="197" t="s">
        <v>151</v>
      </c>
      <c r="B9" s="198"/>
      <c r="C9" s="198"/>
      <c r="D9" s="198"/>
      <c r="E9" s="198"/>
      <c r="F9" s="198"/>
      <c r="G9" s="198"/>
      <c r="H9" s="198"/>
      <c r="I9" s="198"/>
      <c r="J9" s="198"/>
      <c r="K9" s="198"/>
      <c r="L9" s="198"/>
      <c r="M9" s="198"/>
      <c r="N9" s="198"/>
      <c r="O9" s="198"/>
      <c r="P9" s="198"/>
      <c r="Q9" s="198"/>
      <c r="R9" s="198"/>
      <c r="S9" s="198"/>
      <c r="T9" s="198"/>
      <c r="U9" s="198"/>
      <c r="V9" s="198"/>
      <c r="W9" s="198"/>
      <c r="X9" s="198"/>
      <c r="Y9" s="198"/>
      <c r="Z9" s="198"/>
      <c r="AA9" s="198"/>
      <c r="AB9" s="199"/>
    </row>
    <row r="10" spans="1:29" ht="22.5" customHeight="1">
      <c r="A10" s="39" t="s">
        <v>66</v>
      </c>
      <c r="B10" s="177" t="s">
        <v>165</v>
      </c>
      <c r="C10" s="178"/>
      <c r="D10" s="178"/>
      <c r="E10" s="178"/>
      <c r="F10" s="178"/>
      <c r="G10" s="178"/>
      <c r="H10" s="178"/>
      <c r="I10" s="178"/>
      <c r="J10" s="178"/>
      <c r="K10" s="178"/>
      <c r="L10" s="178"/>
      <c r="M10" s="178"/>
      <c r="N10" s="178"/>
      <c r="O10" s="178"/>
      <c r="P10" s="178"/>
      <c r="Q10" s="178"/>
      <c r="R10" s="178"/>
      <c r="S10" s="178"/>
      <c r="T10" s="178"/>
      <c r="U10" s="178"/>
      <c r="V10" s="178"/>
      <c r="W10" s="178"/>
      <c r="X10" s="178"/>
      <c r="Y10" s="178"/>
      <c r="Z10" s="178"/>
      <c r="AA10" s="178"/>
      <c r="AB10" s="179"/>
    </row>
    <row r="11" spans="1:29" ht="22.5" customHeight="1">
      <c r="A11" s="39" t="s">
        <v>67</v>
      </c>
      <c r="B11" s="177"/>
      <c r="C11" s="178"/>
      <c r="D11" s="178"/>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9"/>
    </row>
    <row r="12" spans="1:29" ht="22.5" customHeight="1">
      <c r="A12" s="39" t="s">
        <v>68</v>
      </c>
      <c r="B12" s="177"/>
      <c r="C12" s="178"/>
      <c r="D12" s="178"/>
      <c r="E12" s="178"/>
      <c r="F12" s="178"/>
      <c r="G12" s="178"/>
      <c r="H12" s="178"/>
      <c r="I12" s="178"/>
      <c r="J12" s="178"/>
      <c r="K12" s="178"/>
      <c r="L12" s="178"/>
      <c r="M12" s="178"/>
      <c r="N12" s="178"/>
      <c r="O12" s="178"/>
      <c r="P12" s="178"/>
      <c r="Q12" s="178"/>
      <c r="R12" s="178"/>
      <c r="S12" s="178"/>
      <c r="T12" s="178"/>
      <c r="U12" s="178"/>
      <c r="V12" s="178"/>
      <c r="W12" s="178"/>
      <c r="X12" s="178"/>
      <c r="Y12" s="178"/>
      <c r="Z12" s="178"/>
      <c r="AA12" s="178"/>
      <c r="AB12" s="179"/>
    </row>
    <row r="13" spans="1:29" ht="22.5" customHeight="1">
      <c r="A13" s="39" t="s">
        <v>69</v>
      </c>
      <c r="B13" s="177" t="s">
        <v>152</v>
      </c>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9"/>
    </row>
    <row r="14" spans="1:29" ht="22.5" customHeight="1">
      <c r="A14" s="39" t="s">
        <v>70</v>
      </c>
      <c r="B14" s="177" t="s">
        <v>153</v>
      </c>
      <c r="C14" s="178"/>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78"/>
      <c r="AB14" s="179"/>
    </row>
    <row r="15" spans="1:29" ht="22.5" customHeight="1">
      <c r="A15" s="39" t="s">
        <v>71</v>
      </c>
      <c r="B15" s="177" t="s">
        <v>154</v>
      </c>
      <c r="C15" s="178"/>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78"/>
      <c r="AB15" s="179"/>
    </row>
    <row r="16" spans="1:29" ht="22.5" customHeight="1">
      <c r="A16" s="39" t="s">
        <v>72</v>
      </c>
      <c r="B16" s="177" t="s">
        <v>258</v>
      </c>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78"/>
      <c r="AB16" s="179"/>
    </row>
    <row r="17" spans="1:28" ht="22.5" customHeight="1">
      <c r="A17" s="39" t="s">
        <v>73</v>
      </c>
      <c r="B17" s="177" t="s">
        <v>166</v>
      </c>
      <c r="C17" s="178"/>
      <c r="D17" s="178"/>
      <c r="E17" s="178"/>
      <c r="F17" s="178"/>
      <c r="G17" s="178"/>
      <c r="H17" s="178"/>
      <c r="I17" s="178"/>
      <c r="J17" s="178"/>
      <c r="K17" s="178"/>
      <c r="L17" s="178"/>
      <c r="M17" s="178"/>
      <c r="N17" s="178"/>
      <c r="O17" s="178"/>
      <c r="P17" s="178"/>
      <c r="Q17" s="178"/>
      <c r="R17" s="178"/>
      <c r="S17" s="178"/>
      <c r="T17" s="178"/>
      <c r="U17" s="178"/>
      <c r="V17" s="178"/>
      <c r="W17" s="178"/>
      <c r="X17" s="178"/>
      <c r="Y17" s="178"/>
      <c r="Z17" s="178"/>
      <c r="AA17" s="178"/>
      <c r="AB17" s="179"/>
    </row>
    <row r="18" spans="1:28" ht="22.5" customHeight="1">
      <c r="A18" s="39" t="s">
        <v>74</v>
      </c>
      <c r="B18" s="177"/>
      <c r="C18" s="178"/>
      <c r="D18" s="178"/>
      <c r="E18" s="178"/>
      <c r="F18" s="178"/>
      <c r="G18" s="178"/>
      <c r="H18" s="178"/>
      <c r="I18" s="178"/>
      <c r="J18" s="178"/>
      <c r="K18" s="178"/>
      <c r="L18" s="178"/>
      <c r="M18" s="178"/>
      <c r="N18" s="178"/>
      <c r="O18" s="178"/>
      <c r="P18" s="178"/>
      <c r="Q18" s="178"/>
      <c r="R18" s="178"/>
      <c r="S18" s="178"/>
      <c r="T18" s="178"/>
      <c r="U18" s="178"/>
      <c r="V18" s="178"/>
      <c r="W18" s="178"/>
      <c r="X18" s="178"/>
      <c r="Y18" s="178"/>
      <c r="Z18" s="178"/>
      <c r="AA18" s="178"/>
      <c r="AB18" s="179"/>
    </row>
    <row r="19" spans="1:28" ht="22.5" customHeight="1">
      <c r="A19" s="39" t="s">
        <v>75</v>
      </c>
      <c r="B19" s="177"/>
      <c r="C19" s="178"/>
      <c r="D19" s="178"/>
      <c r="E19" s="178"/>
      <c r="F19" s="178"/>
      <c r="G19" s="178"/>
      <c r="H19" s="178"/>
      <c r="I19" s="178"/>
      <c r="J19" s="178"/>
      <c r="K19" s="178"/>
      <c r="L19" s="178"/>
      <c r="M19" s="178"/>
      <c r="N19" s="178"/>
      <c r="O19" s="178"/>
      <c r="P19" s="178"/>
      <c r="Q19" s="178"/>
      <c r="R19" s="178"/>
      <c r="S19" s="178"/>
      <c r="T19" s="178"/>
      <c r="U19" s="178"/>
      <c r="V19" s="178"/>
      <c r="W19" s="178"/>
      <c r="X19" s="178"/>
      <c r="Y19" s="178"/>
      <c r="Z19" s="178"/>
      <c r="AA19" s="178"/>
      <c r="AB19" s="179"/>
    </row>
    <row r="20" spans="1:28" ht="22.5" customHeight="1">
      <c r="A20" s="39" t="s">
        <v>76</v>
      </c>
      <c r="B20" s="177" t="s">
        <v>155</v>
      </c>
      <c r="C20" s="178"/>
      <c r="D20" s="178"/>
      <c r="E20" s="178"/>
      <c r="F20" s="178"/>
      <c r="G20" s="178"/>
      <c r="H20" s="178"/>
      <c r="I20" s="178"/>
      <c r="J20" s="178"/>
      <c r="K20" s="178"/>
      <c r="L20" s="178"/>
      <c r="M20" s="178"/>
      <c r="N20" s="178"/>
      <c r="O20" s="178"/>
      <c r="P20" s="178"/>
      <c r="Q20" s="178"/>
      <c r="R20" s="178"/>
      <c r="S20" s="178"/>
      <c r="T20" s="178"/>
      <c r="U20" s="178"/>
      <c r="V20" s="178"/>
      <c r="W20" s="178"/>
      <c r="X20" s="178"/>
      <c r="Y20" s="178"/>
      <c r="Z20" s="178"/>
      <c r="AA20" s="178"/>
      <c r="AB20" s="179"/>
    </row>
    <row r="21" spans="1:28" ht="22.5" customHeight="1">
      <c r="A21" s="39" t="s">
        <v>77</v>
      </c>
      <c r="B21" s="177" t="s">
        <v>156</v>
      </c>
      <c r="C21" s="178"/>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178"/>
      <c r="AB21" s="179"/>
    </row>
    <row r="22" spans="1:28" ht="22.5" customHeight="1">
      <c r="A22" s="39" t="s">
        <v>78</v>
      </c>
      <c r="B22" s="177"/>
      <c r="C22" s="178"/>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78"/>
      <c r="AB22" s="179"/>
    </row>
    <row r="23" spans="1:28" ht="22.5" customHeight="1">
      <c r="A23" s="39" t="s">
        <v>79</v>
      </c>
      <c r="B23" s="177" t="s">
        <v>157</v>
      </c>
      <c r="C23" s="178"/>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78"/>
      <c r="AB23" s="179"/>
    </row>
    <row r="24" spans="1:28" ht="22.5" customHeight="1">
      <c r="A24" s="39" t="s">
        <v>80</v>
      </c>
      <c r="B24" s="177" t="s">
        <v>159</v>
      </c>
      <c r="C24" s="178"/>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78"/>
      <c r="AB24" s="179"/>
    </row>
    <row r="25" spans="1:28" ht="22.5" customHeight="1">
      <c r="A25" s="39" t="s">
        <v>81</v>
      </c>
      <c r="B25" s="177"/>
      <c r="C25" s="178"/>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78"/>
      <c r="AB25" s="179"/>
    </row>
    <row r="26" spans="1:28" ht="22.5" customHeight="1">
      <c r="A26" s="39"/>
      <c r="B26" s="168"/>
      <c r="C26" s="169"/>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69"/>
      <c r="AB26" s="170"/>
    </row>
    <row r="27" spans="1:28" ht="22.5" customHeight="1">
      <c r="A27" s="39"/>
      <c r="B27" s="168"/>
      <c r="C27" s="169"/>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69"/>
      <c r="AB27" s="170"/>
    </row>
    <row r="28" spans="1:28" ht="22.5" customHeight="1">
      <c r="A28" s="39"/>
      <c r="B28" s="168"/>
      <c r="C28" s="169"/>
      <c r="D28" s="169"/>
      <c r="E28" s="169"/>
      <c r="F28" s="169"/>
      <c r="G28" s="169"/>
      <c r="H28" s="169"/>
      <c r="I28" s="169"/>
      <c r="J28" s="169"/>
      <c r="K28" s="169"/>
      <c r="L28" s="169"/>
      <c r="M28" s="169"/>
      <c r="N28" s="169"/>
      <c r="O28" s="169"/>
      <c r="P28" s="169"/>
      <c r="Q28" s="169"/>
      <c r="R28" s="169"/>
      <c r="S28" s="169"/>
      <c r="T28" s="169"/>
      <c r="U28" s="169"/>
      <c r="V28" s="169"/>
      <c r="W28" s="169"/>
      <c r="X28" s="169"/>
      <c r="Y28" s="169"/>
      <c r="Z28" s="169"/>
      <c r="AA28" s="169"/>
      <c r="AB28" s="170"/>
    </row>
    <row r="29" spans="1:28" ht="22.5" customHeight="1">
      <c r="A29" s="39"/>
      <c r="B29" s="168"/>
      <c r="C29" s="169"/>
      <c r="D29" s="169"/>
      <c r="E29" s="169"/>
      <c r="F29" s="169"/>
      <c r="G29" s="169"/>
      <c r="H29" s="169"/>
      <c r="I29" s="169"/>
      <c r="J29" s="169"/>
      <c r="K29" s="169"/>
      <c r="L29" s="169"/>
      <c r="M29" s="169"/>
      <c r="N29" s="169"/>
      <c r="O29" s="169"/>
      <c r="P29" s="169"/>
      <c r="Q29" s="169"/>
      <c r="R29" s="169"/>
      <c r="S29" s="169"/>
      <c r="T29" s="169"/>
      <c r="U29" s="169"/>
      <c r="V29" s="169"/>
      <c r="W29" s="169"/>
      <c r="X29" s="169"/>
      <c r="Y29" s="169"/>
      <c r="Z29" s="169"/>
      <c r="AA29" s="169"/>
      <c r="AB29" s="170"/>
    </row>
    <row r="30" spans="1:28" ht="22.5" customHeight="1">
      <c r="A30" s="39"/>
      <c r="B30" s="168"/>
      <c r="C30" s="169"/>
      <c r="D30" s="169"/>
      <c r="E30" s="169"/>
      <c r="F30" s="169"/>
      <c r="G30" s="169"/>
      <c r="H30" s="169"/>
      <c r="I30" s="169"/>
      <c r="J30" s="169"/>
      <c r="K30" s="169"/>
      <c r="L30" s="169"/>
      <c r="M30" s="169"/>
      <c r="N30" s="169"/>
      <c r="O30" s="169"/>
      <c r="P30" s="169"/>
      <c r="Q30" s="169"/>
      <c r="R30" s="169"/>
      <c r="S30" s="169"/>
      <c r="T30" s="169"/>
      <c r="U30" s="169"/>
      <c r="V30" s="169"/>
      <c r="W30" s="169"/>
      <c r="X30" s="169"/>
      <c r="Y30" s="169"/>
      <c r="Z30" s="169"/>
      <c r="AA30" s="169"/>
      <c r="AB30" s="170"/>
    </row>
    <row r="31" spans="1:28" ht="22.5" customHeight="1">
      <c r="A31" s="39"/>
      <c r="B31" s="168"/>
      <c r="C31" s="169"/>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69"/>
      <c r="AB31" s="170"/>
    </row>
    <row r="32" spans="1:28" ht="22.5" customHeight="1">
      <c r="A32" s="39"/>
      <c r="B32" s="168"/>
      <c r="C32" s="169"/>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70"/>
    </row>
    <row r="33" spans="1:28" ht="22.5" customHeight="1">
      <c r="A33" s="39"/>
      <c r="B33" s="168"/>
      <c r="C33" s="169"/>
      <c r="D33" s="169"/>
      <c r="E33" s="169"/>
      <c r="F33" s="169"/>
      <c r="G33" s="169"/>
      <c r="H33" s="169"/>
      <c r="I33" s="169"/>
      <c r="J33" s="169"/>
      <c r="K33" s="169"/>
      <c r="L33" s="169"/>
      <c r="M33" s="169"/>
      <c r="N33" s="169"/>
      <c r="O33" s="169"/>
      <c r="P33" s="169"/>
      <c r="Q33" s="169"/>
      <c r="R33" s="169"/>
      <c r="S33" s="169"/>
      <c r="T33" s="169"/>
      <c r="U33" s="169"/>
      <c r="V33" s="169"/>
      <c r="W33" s="169"/>
      <c r="X33" s="169"/>
      <c r="Y33" s="169"/>
      <c r="Z33" s="169"/>
      <c r="AA33" s="169"/>
      <c r="AB33" s="170"/>
    </row>
    <row r="34" spans="1:28" ht="22.5" customHeight="1">
      <c r="A34" s="39"/>
      <c r="B34" s="168"/>
      <c r="C34" s="169"/>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70"/>
    </row>
    <row r="35" spans="1:28" ht="17.25" customHeight="1"/>
    <row r="36" spans="1:28" ht="17.25" customHeight="1"/>
    <row r="37" spans="1:28" ht="17.25" customHeight="1"/>
    <row r="38" spans="1:28" ht="17.25" customHeight="1"/>
    <row r="39" spans="1:28" ht="17.25" customHeight="1"/>
    <row r="40" spans="1:28" ht="17.25" customHeight="1"/>
    <row r="41" spans="1:28" ht="17.25" customHeight="1"/>
    <row r="42" spans="1:28" ht="17.25" customHeight="1"/>
    <row r="43" spans="1:28" ht="17.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sheetData>
  <mergeCells count="34">
    <mergeCell ref="A6:C6"/>
    <mergeCell ref="A7:C7"/>
    <mergeCell ref="A8:C8"/>
    <mergeCell ref="A1:C1"/>
    <mergeCell ref="A2:C2"/>
    <mergeCell ref="A3:C3"/>
    <mergeCell ref="A4:C4"/>
    <mergeCell ref="A5:C5"/>
    <mergeCell ref="A9:AB9"/>
    <mergeCell ref="B10:AB10"/>
    <mergeCell ref="B11:AB11"/>
    <mergeCell ref="B12:AB12"/>
    <mergeCell ref="B13:AB13"/>
    <mergeCell ref="B14:AB14"/>
    <mergeCell ref="B15:AB15"/>
    <mergeCell ref="B16:AB16"/>
    <mergeCell ref="B17:AB17"/>
    <mergeCell ref="B18:AB18"/>
    <mergeCell ref="B19:AB19"/>
    <mergeCell ref="B20:AB20"/>
    <mergeCell ref="B21:AB21"/>
    <mergeCell ref="B22:AB22"/>
    <mergeCell ref="B23:AB23"/>
    <mergeCell ref="B33:AB33"/>
    <mergeCell ref="B34:AB34"/>
    <mergeCell ref="B24:AB24"/>
    <mergeCell ref="B25:AB25"/>
    <mergeCell ref="B26:AB26"/>
    <mergeCell ref="B27:AB27"/>
    <mergeCell ref="B28:AB28"/>
    <mergeCell ref="B29:AB29"/>
    <mergeCell ref="B30:AB30"/>
    <mergeCell ref="B31:AB31"/>
    <mergeCell ref="B32:AB32"/>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vt:i4>
      </vt:variant>
    </vt:vector>
  </HeadingPairs>
  <TitlesOfParts>
    <vt:vector size="20" baseType="lpstr">
      <vt:lpstr>通知票</vt:lpstr>
      <vt:lpstr>所見集</vt:lpstr>
      <vt:lpstr>国語</vt:lpstr>
      <vt:lpstr>数学</vt:lpstr>
      <vt:lpstr>理科</vt:lpstr>
      <vt:lpstr>社会</vt:lpstr>
      <vt:lpstr>英語</vt:lpstr>
      <vt:lpstr>音楽</vt:lpstr>
      <vt:lpstr>美術</vt:lpstr>
      <vt:lpstr>保体</vt:lpstr>
      <vt:lpstr>技家</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2024-07-19T03:13:55Z</cp:lastPrinted>
  <dcterms:created xsi:type="dcterms:W3CDTF">2005-07-21T09:07:06Z</dcterms:created>
  <dcterms:modified xsi:type="dcterms:W3CDTF">2024-07-19T07:46:53Z</dcterms:modified>
</cp:coreProperties>
</file>