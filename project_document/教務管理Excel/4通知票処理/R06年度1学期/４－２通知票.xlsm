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T:\通知票（保管場所）【禁入力】\R06年度\R06年度1学期\"/>
    </mc:Choice>
  </mc:AlternateContent>
  <bookViews>
    <workbookView xWindow="30" yWindow="-45" windowWidth="14175" windowHeight="12630" tabRatio="783"/>
  </bookViews>
  <sheets>
    <sheet name="通知票" sheetId="1" r:id="rId1"/>
    <sheet name="所見集" sheetId="46" r:id="rId2"/>
    <sheet name="国語" sheetId="36" r:id="rId3"/>
    <sheet name="算数" sheetId="37" r:id="rId4"/>
    <sheet name="理科" sheetId="38" r:id="rId5"/>
    <sheet name="社会" sheetId="47" r:id="rId6"/>
    <sheet name="英語" sheetId="39" r:id="rId7"/>
    <sheet name="音楽" sheetId="40" r:id="rId8"/>
    <sheet name="図工" sheetId="41" r:id="rId9"/>
    <sheet name="体育" sheetId="42" r:id="rId10"/>
    <sheet name="道徳" sheetId="43" r:id="rId11"/>
    <sheet name="所見" sheetId="44" r:id="rId12"/>
    <sheet name="出欠" sheetId="45" r:id="rId13"/>
  </sheets>
  <definedNames>
    <definedName name="_xlnm.Print_Area" localSheetId="1">所見集!$A$1:$C$15</definedName>
    <definedName name="_xlnm.Print_Area" localSheetId="0">通知票!$A$1:$I$94</definedName>
    <definedName name="至">通知票!$L$9</definedName>
    <definedName name="自">通知票!$K$9</definedName>
    <definedName name="番号">通知票!$B$2</definedName>
    <definedName name="番号2">所見集!$B$2</definedName>
  </definedNames>
  <calcPr calcId="152511"/>
</workbook>
</file>

<file path=xl/calcChain.xml><?xml version="1.0" encoding="utf-8"?>
<calcChain xmlns="http://schemas.openxmlformats.org/spreadsheetml/2006/main">
  <c r="S5" i="45" l="1"/>
  <c r="R5" i="45"/>
  <c r="K5" i="45"/>
  <c r="J5" i="45"/>
  <c r="Y4" i="45"/>
  <c r="Y5" i="45" s="1"/>
  <c r="X4" i="45"/>
  <c r="X5" i="45" s="1"/>
  <c r="W4" i="45"/>
  <c r="W5" i="45" s="1"/>
  <c r="V4" i="45"/>
  <c r="V5" i="45" s="1"/>
  <c r="U4" i="45"/>
  <c r="U5" i="45" s="1"/>
  <c r="T4" i="45"/>
  <c r="T5" i="45" s="1"/>
  <c r="S4" i="45"/>
  <c r="R4" i="45"/>
  <c r="Q4" i="45"/>
  <c r="Q5" i="45" s="1"/>
  <c r="P4" i="45"/>
  <c r="P5" i="45" s="1"/>
  <c r="O4" i="45"/>
  <c r="O5" i="45" s="1"/>
  <c r="N4" i="45"/>
  <c r="N5" i="45" s="1"/>
  <c r="M4" i="45"/>
  <c r="M5" i="45" s="1"/>
  <c r="L4" i="45"/>
  <c r="L5" i="45" s="1"/>
  <c r="K4" i="45"/>
  <c r="J4" i="45"/>
  <c r="I4" i="45"/>
  <c r="I5" i="45" s="1"/>
  <c r="H4" i="45"/>
  <c r="H5" i="45" s="1"/>
  <c r="G4" i="45"/>
  <c r="G5" i="45" s="1"/>
  <c r="F4" i="45"/>
  <c r="F5" i="45" s="1"/>
  <c r="E4" i="45"/>
  <c r="E5" i="45" s="1"/>
  <c r="D4" i="45"/>
  <c r="D5" i="45" s="1"/>
  <c r="Y1" i="45"/>
  <c r="X1" i="45"/>
  <c r="W1" i="45"/>
  <c r="V1" i="45"/>
  <c r="U1" i="45"/>
  <c r="T1" i="45"/>
  <c r="S1" i="45"/>
  <c r="R1" i="45"/>
  <c r="Q1" i="45"/>
  <c r="P1" i="45"/>
  <c r="O1" i="45"/>
  <c r="N1" i="45"/>
  <c r="M1" i="45"/>
  <c r="L1" i="45"/>
  <c r="K1" i="45"/>
  <c r="J1" i="45"/>
  <c r="I1" i="45"/>
  <c r="H1" i="45"/>
  <c r="G1" i="45"/>
  <c r="F1" i="45"/>
  <c r="E1" i="45"/>
  <c r="D1" i="45"/>
  <c r="A1" i="45"/>
  <c r="Z57" i="44" l="1"/>
  <c r="A57" i="44"/>
  <c r="Z56" i="44"/>
  <c r="A56" i="44"/>
  <c r="Z55" i="44"/>
  <c r="A55" i="44"/>
  <c r="Z54" i="44"/>
  <c r="A54" i="44"/>
  <c r="Z53" i="44"/>
  <c r="A53" i="44"/>
  <c r="Z52" i="44"/>
  <c r="A52" i="44"/>
  <c r="Z51" i="44"/>
  <c r="A51" i="44"/>
  <c r="Z50" i="44"/>
  <c r="A50" i="44"/>
  <c r="Z49" i="44"/>
  <c r="A49" i="44"/>
  <c r="Z48" i="44"/>
  <c r="A48" i="44"/>
  <c r="Z47" i="44"/>
  <c r="A47" i="44"/>
  <c r="Z46" i="44"/>
  <c r="A46" i="44"/>
  <c r="Z45" i="44"/>
  <c r="A45" i="44"/>
  <c r="Z44" i="44"/>
  <c r="A44" i="44"/>
  <c r="Z43" i="44"/>
  <c r="A43" i="44"/>
  <c r="Z42" i="44"/>
  <c r="A42" i="44"/>
  <c r="Z41" i="44"/>
  <c r="A41" i="44"/>
  <c r="Z40" i="44"/>
  <c r="A40" i="44"/>
  <c r="Z39" i="44"/>
  <c r="A39" i="44"/>
  <c r="Z38" i="44"/>
  <c r="A38" i="44"/>
  <c r="Z37" i="44"/>
  <c r="A37" i="44"/>
  <c r="Z36" i="44"/>
  <c r="A36" i="44"/>
  <c r="Y1" i="44"/>
  <c r="X1" i="44"/>
  <c r="W1" i="44"/>
  <c r="V1" i="44"/>
  <c r="U1" i="44"/>
  <c r="T1" i="44"/>
  <c r="S1" i="44"/>
  <c r="R1" i="44"/>
  <c r="Q1" i="44"/>
  <c r="P1" i="44"/>
  <c r="O1" i="44"/>
  <c r="N1" i="44"/>
  <c r="M1" i="44"/>
  <c r="L1" i="44"/>
  <c r="K1" i="44"/>
  <c r="J1" i="44"/>
  <c r="I1" i="44"/>
  <c r="H1" i="44"/>
  <c r="G1" i="44"/>
  <c r="F1" i="44"/>
  <c r="E1" i="44"/>
  <c r="D1" i="44"/>
  <c r="A1" i="44"/>
  <c r="C24" i="43" l="1"/>
  <c r="C23" i="43"/>
  <c r="C22" i="43"/>
  <c r="C21" i="43"/>
  <c r="C20" i="43"/>
  <c r="C19" i="43"/>
  <c r="C18" i="43"/>
  <c r="C17" i="43"/>
  <c r="C16" i="43"/>
  <c r="C15" i="43"/>
  <c r="C14" i="43"/>
  <c r="C13" i="43"/>
  <c r="C12" i="43"/>
  <c r="C11" i="43"/>
  <c r="C10" i="43"/>
  <c r="C9" i="43"/>
  <c r="C8" i="43"/>
  <c r="C7" i="43"/>
  <c r="C6" i="43"/>
  <c r="C5" i="43"/>
  <c r="C4" i="43"/>
  <c r="C3" i="43"/>
  <c r="B1" i="43"/>
  <c r="A1" i="43"/>
  <c r="Y1" i="42" l="1"/>
  <c r="X1" i="42"/>
  <c r="W1" i="42"/>
  <c r="V1" i="42"/>
  <c r="U1" i="42"/>
  <c r="T1" i="42"/>
  <c r="S1" i="42"/>
  <c r="R1" i="42"/>
  <c r="Q1" i="42"/>
  <c r="P1" i="42"/>
  <c r="O1" i="42"/>
  <c r="N1" i="42"/>
  <c r="M1" i="42"/>
  <c r="L1" i="42"/>
  <c r="K1" i="42"/>
  <c r="J1" i="42"/>
  <c r="I1" i="42"/>
  <c r="H1" i="42"/>
  <c r="G1" i="42"/>
  <c r="F1" i="42"/>
  <c r="E1" i="42"/>
  <c r="D1" i="42"/>
  <c r="B1" i="42"/>
  <c r="A1" i="42"/>
  <c r="Y1" i="41" l="1"/>
  <c r="X1" i="41"/>
  <c r="W1" i="41"/>
  <c r="V1" i="41"/>
  <c r="U1" i="41"/>
  <c r="T1" i="41"/>
  <c r="S1" i="41"/>
  <c r="R1" i="41"/>
  <c r="Q1" i="41"/>
  <c r="P1" i="41"/>
  <c r="O1" i="41"/>
  <c r="N1" i="41"/>
  <c r="M1" i="41"/>
  <c r="L1" i="41"/>
  <c r="K1" i="41"/>
  <c r="J1" i="41"/>
  <c r="I1" i="41"/>
  <c r="H1" i="41"/>
  <c r="G1" i="41"/>
  <c r="F1" i="41"/>
  <c r="E1" i="41"/>
  <c r="D1" i="41"/>
  <c r="B1" i="41"/>
  <c r="A1" i="41"/>
  <c r="Y1" i="40" l="1"/>
  <c r="X1" i="40"/>
  <c r="W1" i="40"/>
  <c r="V1" i="40"/>
  <c r="U1" i="40"/>
  <c r="T1" i="40"/>
  <c r="S1" i="40"/>
  <c r="R1" i="40"/>
  <c r="Q1" i="40"/>
  <c r="P1" i="40"/>
  <c r="O1" i="40"/>
  <c r="N1" i="40"/>
  <c r="M1" i="40"/>
  <c r="L1" i="40"/>
  <c r="K1" i="40"/>
  <c r="J1" i="40"/>
  <c r="I1" i="40"/>
  <c r="H1" i="40"/>
  <c r="G1" i="40"/>
  <c r="F1" i="40"/>
  <c r="E1" i="40"/>
  <c r="D1" i="40"/>
  <c r="B1" i="40"/>
  <c r="A1" i="40"/>
  <c r="Y1" i="39" l="1"/>
  <c r="X1" i="39"/>
  <c r="W1" i="39"/>
  <c r="V1" i="39"/>
  <c r="U1" i="39"/>
  <c r="T1" i="39"/>
  <c r="S1" i="39"/>
  <c r="R1" i="39"/>
  <c r="Q1" i="39"/>
  <c r="P1" i="39"/>
  <c r="O1" i="39"/>
  <c r="N1" i="39"/>
  <c r="M1" i="39"/>
  <c r="L1" i="39"/>
  <c r="K1" i="39"/>
  <c r="J1" i="39"/>
  <c r="I1" i="39"/>
  <c r="H1" i="39"/>
  <c r="G1" i="39"/>
  <c r="F1" i="39"/>
  <c r="E1" i="39"/>
  <c r="D1" i="39"/>
  <c r="B1" i="39"/>
  <c r="A1" i="39"/>
  <c r="Y1" i="47" l="1"/>
  <c r="X1" i="47"/>
  <c r="W1" i="47"/>
  <c r="V1" i="47"/>
  <c r="U1" i="47"/>
  <c r="T1" i="47"/>
  <c r="S1" i="47"/>
  <c r="R1" i="47"/>
  <c r="Q1" i="47"/>
  <c r="P1" i="47"/>
  <c r="O1" i="47"/>
  <c r="N1" i="47"/>
  <c r="M1" i="47"/>
  <c r="L1" i="47"/>
  <c r="K1" i="47"/>
  <c r="J1" i="47"/>
  <c r="I1" i="47"/>
  <c r="H1" i="47"/>
  <c r="G1" i="47"/>
  <c r="F1" i="47"/>
  <c r="E1" i="47"/>
  <c r="D1" i="47"/>
  <c r="B1" i="47"/>
  <c r="A1" i="47"/>
  <c r="Y1" i="38" l="1"/>
  <c r="X1" i="38"/>
  <c r="W1" i="38"/>
  <c r="V1" i="38"/>
  <c r="U1" i="38"/>
  <c r="T1" i="38"/>
  <c r="S1" i="38"/>
  <c r="R1" i="38"/>
  <c r="Q1" i="38"/>
  <c r="P1" i="38"/>
  <c r="O1" i="38"/>
  <c r="N1" i="38"/>
  <c r="M1" i="38"/>
  <c r="L1" i="38"/>
  <c r="K1" i="38"/>
  <c r="J1" i="38"/>
  <c r="I1" i="38"/>
  <c r="H1" i="38"/>
  <c r="G1" i="38"/>
  <c r="F1" i="38"/>
  <c r="E1" i="38"/>
  <c r="D1" i="38"/>
  <c r="B1" i="38"/>
  <c r="A1" i="38"/>
  <c r="Y1" i="37" l="1"/>
  <c r="X1" i="37"/>
  <c r="W1" i="37"/>
  <c r="V1" i="37"/>
  <c r="U1" i="37"/>
  <c r="T1" i="37"/>
  <c r="S1" i="37"/>
  <c r="R1" i="37"/>
  <c r="Q1" i="37"/>
  <c r="P1" i="37"/>
  <c r="O1" i="37"/>
  <c r="N1" i="37"/>
  <c r="M1" i="37"/>
  <c r="L1" i="37"/>
  <c r="K1" i="37"/>
  <c r="J1" i="37"/>
  <c r="I1" i="37"/>
  <c r="H1" i="37"/>
  <c r="G1" i="37"/>
  <c r="F1" i="37"/>
  <c r="E1" i="37"/>
  <c r="D1" i="37"/>
  <c r="B1" i="37"/>
  <c r="A1" i="37"/>
  <c r="Y1" i="36" l="1"/>
  <c r="X1" i="36"/>
  <c r="W1" i="36"/>
  <c r="V1" i="36"/>
  <c r="U1" i="36"/>
  <c r="T1" i="36"/>
  <c r="S1" i="36"/>
  <c r="R1" i="36"/>
  <c r="Q1" i="36"/>
  <c r="P1" i="36"/>
  <c r="O1" i="36"/>
  <c r="N1" i="36"/>
  <c r="M1" i="36"/>
  <c r="L1" i="36"/>
  <c r="K1" i="36"/>
  <c r="J1" i="36"/>
  <c r="I1" i="36"/>
  <c r="H1" i="36"/>
  <c r="G1" i="36"/>
  <c r="F1" i="36"/>
  <c r="E1" i="36"/>
  <c r="D1" i="36"/>
  <c r="B1" i="36"/>
  <c r="A1" i="36"/>
  <c r="L85" i="1" l="1"/>
  <c r="L19" i="1"/>
  <c r="A1" i="1" l="1"/>
  <c r="C15" i="46"/>
  <c r="B94" i="1"/>
  <c r="G2" i="1"/>
  <c r="B6" i="46" l="1"/>
  <c r="C6" i="46"/>
  <c r="G64" i="1" l="1"/>
  <c r="B64" i="1"/>
  <c r="G63" i="1"/>
  <c r="B63" i="1"/>
  <c r="G62" i="1"/>
  <c r="B62" i="1"/>
  <c r="G61" i="1"/>
  <c r="B61" i="1"/>
  <c r="G60" i="1"/>
  <c r="B60" i="1"/>
  <c r="G59" i="1"/>
  <c r="B59" i="1"/>
  <c r="G58" i="1"/>
  <c r="B58" i="1"/>
  <c r="G57" i="1"/>
  <c r="B57" i="1"/>
  <c r="G56" i="1"/>
  <c r="B56" i="1"/>
  <c r="G34" i="1"/>
  <c r="B34" i="1"/>
  <c r="B8" i="46" l="1"/>
  <c r="C7" i="46"/>
  <c r="C8" i="46"/>
  <c r="G77" i="1" l="1"/>
  <c r="B77" i="1"/>
  <c r="G76" i="1"/>
  <c r="B76" i="1"/>
  <c r="G75" i="1"/>
  <c r="B75" i="1"/>
  <c r="G74" i="1"/>
  <c r="B74" i="1"/>
  <c r="G73" i="1"/>
  <c r="B73" i="1"/>
  <c r="G72" i="1"/>
  <c r="B72" i="1"/>
  <c r="G70" i="1"/>
  <c r="B70" i="1"/>
  <c r="G69" i="1"/>
  <c r="B69" i="1"/>
  <c r="G68" i="1"/>
  <c r="B68" i="1"/>
  <c r="G67" i="1"/>
  <c r="B67" i="1"/>
  <c r="G66" i="1"/>
  <c r="B66" i="1"/>
  <c r="H35" i="1"/>
  <c r="G43" i="1"/>
  <c r="B43" i="1"/>
  <c r="G42" i="1"/>
  <c r="B42" i="1"/>
  <c r="G41" i="1"/>
  <c r="B41" i="1"/>
  <c r="G40" i="1"/>
  <c r="B40" i="1"/>
  <c r="G39" i="1"/>
  <c r="B39" i="1"/>
  <c r="G38" i="1"/>
  <c r="B38" i="1"/>
  <c r="G37" i="1"/>
  <c r="B37" i="1"/>
  <c r="G36" i="1"/>
  <c r="B36" i="1"/>
  <c r="G35" i="1"/>
  <c r="B35" i="1"/>
  <c r="B26" i="1"/>
  <c r="G33" i="1"/>
  <c r="B33" i="1"/>
  <c r="G32" i="1"/>
  <c r="B32" i="1"/>
  <c r="G31" i="1"/>
  <c r="B31" i="1"/>
  <c r="G30" i="1"/>
  <c r="B30" i="1"/>
  <c r="G29" i="1"/>
  <c r="B29" i="1"/>
  <c r="G28" i="1"/>
  <c r="B28" i="1"/>
  <c r="G27" i="1"/>
  <c r="B27" i="1"/>
  <c r="C1" i="1" l="1"/>
  <c r="B12" i="46" l="1"/>
  <c r="B11" i="46"/>
  <c r="B10" i="46"/>
  <c r="B9" i="46"/>
  <c r="B7" i="46"/>
  <c r="B5" i="46"/>
  <c r="A1" i="46"/>
  <c r="C5" i="46"/>
  <c r="C12" i="46"/>
  <c r="C11" i="46"/>
  <c r="C9" i="46"/>
  <c r="C2" i="46"/>
  <c r="B13" i="46"/>
  <c r="C10" i="46"/>
  <c r="C1" i="46" l="1"/>
  <c r="P28" i="1"/>
  <c r="P18" i="1"/>
  <c r="P7" i="1"/>
  <c r="P14" i="1"/>
  <c r="P25" i="1"/>
  <c r="P16" i="1"/>
  <c r="P9" i="1"/>
  <c r="P27" i="1"/>
  <c r="P26" i="1"/>
  <c r="P30" i="1"/>
  <c r="P13" i="1"/>
  <c r="P29" i="1"/>
  <c r="P10" i="1"/>
  <c r="P20" i="1"/>
  <c r="P12" i="1"/>
  <c r="P6" i="1"/>
  <c r="P22" i="1"/>
  <c r="P15" i="1"/>
  <c r="P24" i="1"/>
  <c r="P17" i="1"/>
  <c r="P19" i="1"/>
  <c r="P8" i="1"/>
  <c r="P23" i="1"/>
  <c r="P11" i="1"/>
  <c r="P21" i="1"/>
  <c r="H71" i="1" l="1"/>
  <c r="G71" i="1"/>
  <c r="H65" i="1"/>
  <c r="G65" i="1"/>
  <c r="H55" i="1"/>
  <c r="G55" i="1"/>
  <c r="G52" i="1"/>
  <c r="G51" i="1"/>
  <c r="G50" i="1"/>
  <c r="G49" i="1"/>
  <c r="G48" i="1"/>
  <c r="G47" i="1"/>
  <c r="G46" i="1"/>
  <c r="G45" i="1"/>
  <c r="H44" i="1"/>
  <c r="G44" i="1"/>
  <c r="H26" i="1"/>
  <c r="G26" i="1"/>
  <c r="G25" i="1"/>
  <c r="G24" i="1"/>
  <c r="G23" i="1"/>
  <c r="G22" i="1"/>
  <c r="G21" i="1"/>
  <c r="G20" i="1"/>
  <c r="G19" i="1"/>
  <c r="G18" i="1"/>
  <c r="G17" i="1"/>
  <c r="H16" i="1"/>
  <c r="G16" i="1"/>
  <c r="I87" i="1"/>
  <c r="I86" i="1"/>
  <c r="I85" i="1"/>
  <c r="I84" i="1"/>
  <c r="I83" i="1"/>
  <c r="I82" i="1"/>
  <c r="I81" i="1"/>
  <c r="D90" i="1"/>
  <c r="D89" i="1"/>
  <c r="D88" i="1"/>
  <c r="D87" i="1"/>
  <c r="D86" i="1"/>
  <c r="D85" i="1"/>
  <c r="D84" i="1"/>
  <c r="D83" i="1"/>
  <c r="D82" i="1"/>
  <c r="D81" i="1"/>
  <c r="H6" i="1"/>
  <c r="G15" i="1"/>
  <c r="G14" i="1"/>
  <c r="G13" i="1"/>
  <c r="G12" i="1"/>
  <c r="G11" i="1"/>
  <c r="G10" i="1"/>
  <c r="G9" i="1"/>
  <c r="G8" i="1"/>
  <c r="G7" i="1"/>
  <c r="G6" i="1"/>
  <c r="B78" i="1"/>
  <c r="C92" i="1"/>
  <c r="F88" i="1"/>
  <c r="A90" i="1" l="1"/>
  <c r="A89" i="1"/>
  <c r="A88" i="1"/>
  <c r="A87" i="1"/>
  <c r="A86" i="1"/>
  <c r="A85" i="1"/>
  <c r="A84" i="1"/>
  <c r="A83" i="1"/>
  <c r="A82" i="1"/>
  <c r="A81" i="1"/>
  <c r="B71" i="1"/>
  <c r="B65" i="1"/>
  <c r="B55" i="1"/>
  <c r="B52" i="1"/>
  <c r="B51" i="1"/>
  <c r="B50" i="1"/>
  <c r="B49" i="1"/>
  <c r="B48" i="1"/>
  <c r="B47" i="1"/>
  <c r="B46" i="1"/>
  <c r="B45" i="1"/>
  <c r="B44" i="1"/>
  <c r="B25" i="1"/>
  <c r="B24" i="1"/>
  <c r="B23" i="1"/>
  <c r="B22" i="1"/>
  <c r="B21" i="1"/>
  <c r="B20" i="1"/>
  <c r="B19" i="1"/>
  <c r="B18" i="1"/>
  <c r="B17" i="1"/>
  <c r="B16" i="1"/>
  <c r="B15" i="1"/>
  <c r="B14" i="1"/>
  <c r="B13" i="1"/>
  <c r="B12" i="1"/>
  <c r="B11" i="1"/>
  <c r="B10" i="1"/>
  <c r="B9" i="1"/>
  <c r="B8" i="1"/>
  <c r="B7" i="1"/>
  <c r="B6" i="1"/>
</calcChain>
</file>

<file path=xl/sharedStrings.xml><?xml version="1.0" encoding="utf-8"?>
<sst xmlns="http://schemas.openxmlformats.org/spreadsheetml/2006/main" count="1701" uniqueCount="299">
  <si>
    <t>算数</t>
    <rPh sb="0" eb="2">
      <t>サンスウ</t>
    </rPh>
    <phoneticPr fontId="1"/>
  </si>
  <si>
    <t>図工</t>
    <rPh sb="0" eb="2">
      <t>ズコウ</t>
    </rPh>
    <phoneticPr fontId="1"/>
  </si>
  <si>
    <t>体育</t>
    <rPh sb="0" eb="2">
      <t>タイイク</t>
    </rPh>
    <phoneticPr fontId="1"/>
  </si>
  <si>
    <t>音楽</t>
    <rPh sb="0" eb="2">
      <t>オンガク</t>
    </rPh>
    <phoneticPr fontId="1"/>
  </si>
  <si>
    <t>教科</t>
    <rPh sb="0" eb="2">
      <t>キョウカ</t>
    </rPh>
    <phoneticPr fontId="1"/>
  </si>
  <si>
    <t>学習目標</t>
    <rPh sb="0" eb="2">
      <t>ガクシュウ</t>
    </rPh>
    <rPh sb="2" eb="4">
      <t>モクヒョウ</t>
    </rPh>
    <phoneticPr fontId="1"/>
  </si>
  <si>
    <t>評価</t>
    <rPh sb="0" eb="2">
      <t>ヒョウカ</t>
    </rPh>
    <phoneticPr fontId="1"/>
  </si>
  <si>
    <t>評定</t>
    <rPh sb="0" eb="2">
      <t>ヒョウテイ</t>
    </rPh>
    <phoneticPr fontId="1"/>
  </si>
  <si>
    <t>国語</t>
    <rPh sb="0" eb="2">
      <t>コクゴ</t>
    </rPh>
    <phoneticPr fontId="1"/>
  </si>
  <si>
    <t>英語</t>
    <rPh sb="0" eb="2">
      <t>エイゴ</t>
    </rPh>
    <phoneticPr fontId="1"/>
  </si>
  <si>
    <t>出欠の状況</t>
    <rPh sb="0" eb="2">
      <t>シュッケツ</t>
    </rPh>
    <rPh sb="3" eb="5">
      <t>ジョウキョウ</t>
    </rPh>
    <phoneticPr fontId="1"/>
  </si>
  <si>
    <t>総合所見</t>
    <rPh sb="0" eb="2">
      <t>ソウゴウ</t>
    </rPh>
    <rPh sb="2" eb="4">
      <t>ショケン</t>
    </rPh>
    <phoneticPr fontId="1"/>
  </si>
  <si>
    <t xml:space="preserve"> 授業日数</t>
    <rPh sb="1" eb="3">
      <t>ジュギョウ</t>
    </rPh>
    <rPh sb="3" eb="5">
      <t>ニッスウ</t>
    </rPh>
    <phoneticPr fontId="1"/>
  </si>
  <si>
    <t xml:space="preserve"> 忌引・停止</t>
    <rPh sb="1" eb="3">
      <t>キビ</t>
    </rPh>
    <rPh sb="4" eb="6">
      <t>テイシ</t>
    </rPh>
    <phoneticPr fontId="1"/>
  </si>
  <si>
    <t xml:space="preserve"> 出席日数</t>
    <rPh sb="1" eb="3">
      <t>シュッセキ</t>
    </rPh>
    <rPh sb="3" eb="5">
      <t>ニッスウ</t>
    </rPh>
    <phoneticPr fontId="1"/>
  </si>
  <si>
    <t xml:space="preserve"> 遅刻</t>
    <rPh sb="1" eb="3">
      <t>チコク</t>
    </rPh>
    <phoneticPr fontId="1"/>
  </si>
  <si>
    <t xml:space="preserve"> 早退</t>
    <rPh sb="1" eb="3">
      <t>ソウタイ</t>
    </rPh>
    <phoneticPr fontId="1"/>
  </si>
  <si>
    <t>氏名</t>
    <rPh sb="0" eb="1">
      <t>シ</t>
    </rPh>
    <rPh sb="1" eb="2">
      <t>メイ</t>
    </rPh>
    <phoneticPr fontId="1"/>
  </si>
  <si>
    <t>No.</t>
    <phoneticPr fontId="1"/>
  </si>
  <si>
    <t>学習の様子　　　A:目標に到達できた　B:おおよそ目標に到達できた　C:目標に達するよう努力しよう</t>
    <rPh sb="0" eb="2">
      <t>ガクシュウ</t>
    </rPh>
    <rPh sb="3" eb="5">
      <t>ヨウス</t>
    </rPh>
    <rPh sb="10" eb="12">
      <t>モクヒョウ</t>
    </rPh>
    <rPh sb="13" eb="15">
      <t>トウタツ</t>
    </rPh>
    <rPh sb="25" eb="27">
      <t>モクヒョウ</t>
    </rPh>
    <rPh sb="28" eb="30">
      <t>トウタツ</t>
    </rPh>
    <rPh sb="36" eb="38">
      <t>モクヒョウ</t>
    </rPh>
    <rPh sb="39" eb="40">
      <t>タッ</t>
    </rPh>
    <phoneticPr fontId="1"/>
  </si>
  <si>
    <t xml:space="preserve"> 出席しなければならない日数</t>
    <rPh sb="1" eb="3">
      <t>シュッセキ</t>
    </rPh>
    <rPh sb="12" eb="14">
      <t>ニッスウ</t>
    </rPh>
    <phoneticPr fontId="1"/>
  </si>
  <si>
    <t xml:space="preserve"> 欠席日数</t>
    <rPh sb="1" eb="3">
      <t>ケッセキ</t>
    </rPh>
    <rPh sb="3" eb="5">
      <t>ニッスウ</t>
    </rPh>
    <phoneticPr fontId="1"/>
  </si>
  <si>
    <r>
      <t>行動のようす</t>
    </r>
    <r>
      <rPr>
        <sz val="9"/>
        <rFont val="ＭＳ Ｐ明朝"/>
        <family val="1"/>
        <charset val="128"/>
      </rPr>
      <t>　A:十分　B:普通　C:不足</t>
    </r>
    <phoneticPr fontId="1"/>
  </si>
  <si>
    <t>特別活動</t>
    <phoneticPr fontId="1"/>
  </si>
  <si>
    <t>道徳</t>
    <rPh sb="0" eb="2">
      <t>ドウトク</t>
    </rPh>
    <phoneticPr fontId="1"/>
  </si>
  <si>
    <t>※注意※
この欄の名前は変更不可</t>
  </si>
  <si>
    <t>A～C</t>
  </si>
  <si>
    <t>１～５</t>
  </si>
  <si>
    <t>氏名</t>
  </si>
  <si>
    <t>今学期の様子（教科担任から学級担任へ）</t>
  </si>
  <si>
    <t>文字数</t>
    <rPh sb="0" eb="3">
      <t>もじすう</t>
    </rPh>
    <phoneticPr fontId="10" type="Hiragana" alignment="distributed"/>
  </si>
  <si>
    <t>行動の様子</t>
  </si>
  <si>
    <t>この項目は適宜変更して下さい。
※注意※
ただし、項目は１０個まで、少ない場合も行削除厳禁。</t>
  </si>
  <si>
    <t>特別活動 ※注意※改行せず、続けて文章を書いて下さい。</t>
  </si>
  <si>
    <t xml:space="preserve"> 授業日数</t>
  </si>
  <si>
    <t xml:space="preserve"> 忌引・停止</t>
  </si>
  <si>
    <t xml:space="preserve"> 出席しなければならない日数（自動計算）</t>
  </si>
  <si>
    <t xml:space="preserve"> 遅刻</t>
  </si>
  <si>
    <t xml:space="preserve"> 早退</t>
  </si>
  <si>
    <t>備考　欠席・遅刻・早退の理由。「日」はつけない。　　　　　　※注意※改行せず、続けて文章を書いて下さい。</t>
  </si>
  <si>
    <t>印刷範囲</t>
    <rPh sb="0" eb="2">
      <t>インサツ</t>
    </rPh>
    <rPh sb="2" eb="4">
      <t>ハンイ</t>
    </rPh>
    <phoneticPr fontId="1"/>
  </si>
  <si>
    <t>自</t>
    <rPh sb="0" eb="1">
      <t>ジ</t>
    </rPh>
    <phoneticPr fontId="1"/>
  </si>
  <si>
    <t>至</t>
    <rPh sb="0" eb="1">
      <t>イタ</t>
    </rPh>
    <phoneticPr fontId="1"/>
  </si>
  <si>
    <t>No.</t>
    <phoneticPr fontId="1"/>
  </si>
  <si>
    <t>所見</t>
    <rPh sb="0" eb="2">
      <t>ショケン</t>
    </rPh>
    <phoneticPr fontId="1"/>
  </si>
  <si>
    <t>英語学習に楽しみを感じ、意欲的に学習に励むことができる</t>
  </si>
  <si>
    <t>単語の発音を予想して読むことができる</t>
  </si>
  <si>
    <t>単語の音を聞いて、つづりを予想して書くことができる</t>
  </si>
  <si>
    <t>B</t>
  </si>
  <si>
    <t>A</t>
  </si>
  <si>
    <t>理科</t>
    <rPh sb="0" eb="2">
      <t>リカ</t>
    </rPh>
    <phoneticPr fontId="1"/>
  </si>
  <si>
    <t>社会</t>
    <rPh sb="0" eb="2">
      <t>シャカイ</t>
    </rPh>
    <phoneticPr fontId="1"/>
  </si>
  <si>
    <t>身の回りにあるもの（名詞）、日常生活の動作（動詞）、人や物を説明する言葉（形容詞）を習得することができる</t>
  </si>
  <si>
    <t>自然に親しみ、興味・関心を持って、観察や実験などを行うことができる</t>
  </si>
  <si>
    <t>実験の予想や結果、観察での気づきを、きちんと記録しまとめることができる</t>
  </si>
  <si>
    <r>
      <t xml:space="preserve">学年
</t>
    </r>
    <r>
      <rPr>
        <sz val="9"/>
        <rFont val="ＭＳ Ｐ明朝"/>
        <family val="1"/>
        <charset val="128"/>
      </rPr>
      <t>(3学期)</t>
    </r>
    <rPh sb="5" eb="7">
      <t>ガッキ</t>
    </rPh>
    <phoneticPr fontId="1"/>
  </si>
  <si>
    <t>算数に関心を持ち、進んで新しい単元の習得をしたり問題を解いたりしている</t>
  </si>
  <si>
    <t>億や兆を使い、大きな数を表したり、大きな桁のかけ算を正しく計算したりすることができる</t>
  </si>
  <si>
    <t>春の身近な動物や植物の様子に気づき、理解することができる</t>
  </si>
  <si>
    <t>折れ線グラフと２つの事柄についてまとめられた表を読み取り、書くことができる</t>
  </si>
  <si>
    <t>2けた・3けた÷1けたの筆算の意味を理解し、正しく計算することができる</t>
  </si>
  <si>
    <t>分度器を正しく使い、計算を用いて角度を求めることができる</t>
  </si>
  <si>
    <t>人や他の動物の骨や筋肉の動きについて、自らの体に触れた経験に基づき、理解することができる</t>
  </si>
  <si>
    <t>１日の天気の様子や気温の変化を理解することができる</t>
  </si>
  <si>
    <t>乾電池の数やつなぎ方を変えた時の、豆電球の明るさやモーターの動きの仕組みや変化を理解することができる</t>
  </si>
  <si>
    <t>社会科への関心をもち、意欲的に学習に取り組んでいる</t>
  </si>
  <si>
    <t>ノートやワークシートなどに自分の考えをまとめている</t>
  </si>
  <si>
    <t>既習した表現を元に、自分のことについてスピーチすることができる</t>
  </si>
  <si>
    <t>算数Ａ係</t>
    <rPh sb="0" eb="2">
      <t>サンスウ</t>
    </rPh>
    <rPh sb="3" eb="4">
      <t>カカリ</t>
    </rPh>
    <phoneticPr fontId="1"/>
  </si>
  <si>
    <t>音読・ＥＥ係</t>
    <rPh sb="0" eb="2">
      <t>オンドク</t>
    </rPh>
    <rPh sb="5" eb="6">
      <t>カカリ</t>
    </rPh>
    <phoneticPr fontId="1"/>
  </si>
  <si>
    <t>電気・窓係</t>
    <rPh sb="0" eb="2">
      <t>デンキ</t>
    </rPh>
    <rPh sb="3" eb="4">
      <t>マド</t>
    </rPh>
    <rPh sb="4" eb="5">
      <t>カカリ</t>
    </rPh>
    <phoneticPr fontId="1"/>
  </si>
  <si>
    <t>国語に関心を持ち、進んで読んだり、書いたり、理解したりすることができる</t>
    <rPh sb="12" eb="13">
      <t>ヨ</t>
    </rPh>
    <rPh sb="17" eb="18">
      <t>カ</t>
    </rPh>
    <phoneticPr fontId="1"/>
  </si>
  <si>
    <t>友だちの意見をよく聞き、自分の考えをまとめて、話すことができる</t>
    <rPh sb="0" eb="1">
      <t>トモ</t>
    </rPh>
    <rPh sb="4" eb="6">
      <t>イケン</t>
    </rPh>
    <rPh sb="9" eb="10">
      <t>キ</t>
    </rPh>
    <rPh sb="12" eb="14">
      <t>ジブン</t>
    </rPh>
    <rPh sb="15" eb="16">
      <t>カンガ</t>
    </rPh>
    <rPh sb="23" eb="24">
      <t>ハナ</t>
    </rPh>
    <phoneticPr fontId="1"/>
  </si>
  <si>
    <t>工夫してメモを取りながら、必要なことを聞き取ることができる</t>
    <rPh sb="0" eb="2">
      <t>クフウ</t>
    </rPh>
    <rPh sb="7" eb="8">
      <t>ト</t>
    </rPh>
    <rPh sb="13" eb="15">
      <t>ヒツヨウ</t>
    </rPh>
    <rPh sb="19" eb="20">
      <t>キ</t>
    </rPh>
    <rPh sb="21" eb="22">
      <t>ト</t>
    </rPh>
    <phoneticPr fontId="1"/>
  </si>
  <si>
    <t>場面の移り変わり、登場人物の性格や気持ちの変化、情景について叙述を基に読むことができる</t>
    <rPh sb="0" eb="2">
      <t>バメン</t>
    </rPh>
    <rPh sb="3" eb="4">
      <t>ウツ</t>
    </rPh>
    <rPh sb="5" eb="6">
      <t>カ</t>
    </rPh>
    <rPh sb="9" eb="11">
      <t>トウジョウ</t>
    </rPh>
    <rPh sb="11" eb="13">
      <t>ジンブツ</t>
    </rPh>
    <rPh sb="14" eb="16">
      <t>セイカク</t>
    </rPh>
    <rPh sb="17" eb="19">
      <t>キモ</t>
    </rPh>
    <rPh sb="21" eb="23">
      <t>ヘンカ</t>
    </rPh>
    <rPh sb="24" eb="25">
      <t>ジョウ</t>
    </rPh>
    <rPh sb="25" eb="26">
      <t>ケイ</t>
    </rPh>
    <rPh sb="30" eb="32">
      <t>ジョジュツ</t>
    </rPh>
    <rPh sb="33" eb="34">
      <t>モト</t>
    </rPh>
    <rPh sb="35" eb="36">
      <t>ヨ</t>
    </rPh>
    <phoneticPr fontId="1"/>
  </si>
  <si>
    <t>段落相互の関係に着目し、考えと理由や事例との関係について読むことができる</t>
    <rPh sb="0" eb="2">
      <t>ダンラク</t>
    </rPh>
    <rPh sb="2" eb="4">
      <t>ソウゴ</t>
    </rPh>
    <rPh sb="5" eb="7">
      <t>カンケイ</t>
    </rPh>
    <rPh sb="8" eb="10">
      <t>チャクモク</t>
    </rPh>
    <rPh sb="12" eb="13">
      <t>カンガ</t>
    </rPh>
    <rPh sb="15" eb="17">
      <t>リユウ</t>
    </rPh>
    <rPh sb="18" eb="20">
      <t>ジレイ</t>
    </rPh>
    <rPh sb="22" eb="24">
      <t>カンケイ</t>
    </rPh>
    <rPh sb="28" eb="29">
      <t>ヨ</t>
    </rPh>
    <phoneticPr fontId="1"/>
  </si>
  <si>
    <t>漢字の部首や画数、音読み訓読みなどを基に、漢字辞典の使い方を理解することができる</t>
    <rPh sb="0" eb="2">
      <t>カンジ</t>
    </rPh>
    <rPh sb="3" eb="5">
      <t>ブシュ</t>
    </rPh>
    <rPh sb="6" eb="8">
      <t>カクスウ</t>
    </rPh>
    <rPh sb="9" eb="11">
      <t>オンヨ</t>
    </rPh>
    <rPh sb="12" eb="14">
      <t>クンヨ</t>
    </rPh>
    <rPh sb="18" eb="19">
      <t>モト</t>
    </rPh>
    <rPh sb="21" eb="25">
      <t>カンジジテン</t>
    </rPh>
    <rPh sb="26" eb="27">
      <t>ツカ</t>
    </rPh>
    <rPh sb="28" eb="29">
      <t>カタ</t>
    </rPh>
    <rPh sb="30" eb="32">
      <t>リカイ</t>
    </rPh>
    <phoneticPr fontId="1"/>
  </si>
  <si>
    <t>学習した漢字を読み書きし、文章の中で使うことができる</t>
  </si>
  <si>
    <t>正しい姿勢と鉛筆や筆の持ち方で、丁寧な字を書くことができる</t>
    <rPh sb="0" eb="1">
      <t>タダ</t>
    </rPh>
    <rPh sb="3" eb="5">
      <t>シセイ</t>
    </rPh>
    <rPh sb="6" eb="8">
      <t>エンピツ</t>
    </rPh>
    <rPh sb="9" eb="10">
      <t>フデ</t>
    </rPh>
    <rPh sb="11" eb="12">
      <t>モ</t>
    </rPh>
    <rPh sb="13" eb="14">
      <t>カタ</t>
    </rPh>
    <rPh sb="16" eb="18">
      <t>テイネイ</t>
    </rPh>
    <rPh sb="19" eb="20">
      <t>ジ</t>
    </rPh>
    <rPh sb="21" eb="22">
      <t>カ</t>
    </rPh>
    <phoneticPr fontId="1"/>
  </si>
  <si>
    <t>相澤 諒典</t>
  </si>
  <si>
    <t>赤木 咲哉</t>
  </si>
  <si>
    <t>加藤 綾</t>
  </si>
  <si>
    <t>加藤 照乃</t>
  </si>
  <si>
    <t>門田 藍里</t>
  </si>
  <si>
    <t>金井 傑</t>
  </si>
  <si>
    <t>上條 優那</t>
  </si>
  <si>
    <t>川村 唯栖</t>
  </si>
  <si>
    <t>小松 宗祐</t>
  </si>
  <si>
    <t>五味 愛陽</t>
  </si>
  <si>
    <t>武田 理暉</t>
  </si>
  <si>
    <t>竹渕 成悟</t>
  </si>
  <si>
    <t>立石 明寛</t>
  </si>
  <si>
    <t>新村 悠妃</t>
  </si>
  <si>
    <t>平岡 恭佑</t>
  </si>
  <si>
    <t>福沢 瑛心</t>
  </si>
  <si>
    <t>松井 大和</t>
  </si>
  <si>
    <t>丸山 紗那</t>
  </si>
  <si>
    <t>百瀬 杏</t>
  </si>
  <si>
    <t>百瀬 颯紀</t>
  </si>
  <si>
    <t>折れ線グラフの単元ではテストでミスがありましたが、授業では常に意欲的な取り組みができています。</t>
    <rPh sb="7" eb="9">
      <t>タンゲン</t>
    </rPh>
    <rPh sb="25" eb="27">
      <t>ジュギョウ</t>
    </rPh>
    <rPh sb="29" eb="30">
      <t>ツネ</t>
    </rPh>
    <rPh sb="31" eb="34">
      <t>イヨクテキ</t>
    </rPh>
    <rPh sb="35" eb="36">
      <t>ト</t>
    </rPh>
    <rPh sb="37" eb="38">
      <t>ク</t>
    </rPh>
    <phoneticPr fontId="1"/>
  </si>
  <si>
    <t>算数の学習に関心が高く、意欲的に授業に取り組む姿がすばらしい。</t>
    <rPh sb="0" eb="2">
      <t>サンスウ</t>
    </rPh>
    <rPh sb="3" eb="5">
      <t>ガクシュウ</t>
    </rPh>
    <rPh sb="6" eb="8">
      <t>カンシン</t>
    </rPh>
    <rPh sb="9" eb="10">
      <t>タカ</t>
    </rPh>
    <rPh sb="12" eb="15">
      <t>イヨクテキ</t>
    </rPh>
    <rPh sb="16" eb="18">
      <t>ジュギョウ</t>
    </rPh>
    <rPh sb="19" eb="20">
      <t>ト</t>
    </rPh>
    <rPh sb="21" eb="22">
      <t>ク</t>
    </rPh>
    <rPh sb="23" eb="24">
      <t>スガタ</t>
    </rPh>
    <phoneticPr fontId="1"/>
  </si>
  <si>
    <t>宿題をきちんと提出することができ、感心しました。しかし計算力がまだ十分身についていないため、「掛け算」「割り算」のテストではあまり点数を取ることができませんでした。特に「角の大きさ」の学習が不十分です。(授業中、集中して学習に取り組み、ノートをきちんと取り、問題にしっかり取り組むということがあまりできませんでした。集中して取り組めば理解力はあるだけに、もったいないです。もう少し自分のために頑張る気持ちを持てるといいと思います。</t>
    <rPh sb="27" eb="29">
      <t>ケイサン</t>
    </rPh>
    <rPh sb="35" eb="36">
      <t>ミ</t>
    </rPh>
    <rPh sb="82" eb="83">
      <t>トク</t>
    </rPh>
    <rPh sb="92" eb="94">
      <t>ガクシュウ</t>
    </rPh>
    <rPh sb="95" eb="98">
      <t>フジュウブン</t>
    </rPh>
    <rPh sb="106" eb="108">
      <t>シュウチュウ</t>
    </rPh>
    <rPh sb="110" eb="112">
      <t>ガクシュウ</t>
    </rPh>
    <rPh sb="113" eb="114">
      <t>ト</t>
    </rPh>
    <rPh sb="115" eb="116">
      <t>ク</t>
    </rPh>
    <rPh sb="126" eb="127">
      <t>ト</t>
    </rPh>
    <rPh sb="129" eb="131">
      <t>モンダイ</t>
    </rPh>
    <rPh sb="138" eb="139">
      <t>ク</t>
    </rPh>
    <rPh sb="188" eb="189">
      <t>スコ</t>
    </rPh>
    <rPh sb="210" eb="211">
      <t>オモ</t>
    </rPh>
    <phoneticPr fontId="1"/>
  </si>
  <si>
    <t>落ち着いてじっくり考え、課題を解決しようとしています。テストでも、ほとんどミスがありません。</t>
    <rPh sb="0" eb="1">
      <t>オ</t>
    </rPh>
    <rPh sb="2" eb="3">
      <t>ツ</t>
    </rPh>
    <rPh sb="9" eb="10">
      <t>カンガ</t>
    </rPh>
    <rPh sb="12" eb="14">
      <t>カダイ</t>
    </rPh>
    <rPh sb="15" eb="17">
      <t>カイケツ</t>
    </rPh>
    <phoneticPr fontId="1"/>
  </si>
  <si>
    <t>テストでは惜しい間違いがよくありますが、授業には意欲的に取り組んでいます。</t>
    <rPh sb="5" eb="6">
      <t>オ</t>
    </rPh>
    <rPh sb="8" eb="10">
      <t>マチガ</t>
    </rPh>
    <rPh sb="20" eb="22">
      <t>ジュギョウ</t>
    </rPh>
    <rPh sb="24" eb="27">
      <t>イヨクテキ</t>
    </rPh>
    <rPh sb="28" eb="29">
      <t>ト</t>
    </rPh>
    <rPh sb="30" eb="31">
      <t>ク</t>
    </rPh>
    <phoneticPr fontId="1"/>
  </si>
  <si>
    <t>しっかりと自分で考え、良い気づきもできます。もう少しノートや観察カードをきちんと書けるようになるとさらに良いです。理科係として、がんばってくれました。</t>
    <rPh sb="5" eb="7">
      <t>ジブン</t>
    </rPh>
    <rPh sb="8" eb="9">
      <t>カンガ</t>
    </rPh>
    <rPh sb="11" eb="12">
      <t>ヨ</t>
    </rPh>
    <rPh sb="13" eb="14">
      <t>キ</t>
    </rPh>
    <rPh sb="24" eb="25">
      <t>スコ</t>
    </rPh>
    <rPh sb="30" eb="32">
      <t>カンサツ</t>
    </rPh>
    <rPh sb="40" eb="41">
      <t>カ</t>
    </rPh>
    <rPh sb="52" eb="53">
      <t>ヨ</t>
    </rPh>
    <rPh sb="57" eb="59">
      <t>リカ</t>
    </rPh>
    <rPh sb="59" eb="60">
      <t>ガカリ</t>
    </rPh>
    <phoneticPr fontId="1"/>
  </si>
  <si>
    <t>植物の観察カードのスケッチがすばらしく、よく観察していることがうかがえます。</t>
    <rPh sb="0" eb="2">
      <t>ショクブツ</t>
    </rPh>
    <rPh sb="3" eb="5">
      <t>カンサツ</t>
    </rPh>
    <rPh sb="22" eb="24">
      <t>カンサツ</t>
    </rPh>
    <phoneticPr fontId="1"/>
  </si>
  <si>
    <t>真面目に授業に取り組んでいますが、テストの点数が最高で７０点台（１枚）、あとは６０点台と低めだったため、成績が３に下がってしまいました。補習も行うつもりですが、夏休みにはしっかり復習しておく必要があります。</t>
    <rPh sb="0" eb="3">
      <t>マジメ</t>
    </rPh>
    <rPh sb="4" eb="6">
      <t>ジュギョウ</t>
    </rPh>
    <rPh sb="7" eb="8">
      <t>ト</t>
    </rPh>
    <rPh sb="9" eb="10">
      <t>ク</t>
    </rPh>
    <rPh sb="21" eb="23">
      <t>テンスウ</t>
    </rPh>
    <rPh sb="24" eb="26">
      <t>サイコウ</t>
    </rPh>
    <rPh sb="33" eb="34">
      <t>マイ</t>
    </rPh>
    <rPh sb="41" eb="42">
      <t>テン</t>
    </rPh>
    <rPh sb="42" eb="43">
      <t>ダイ</t>
    </rPh>
    <rPh sb="44" eb="45">
      <t>ヒク</t>
    </rPh>
    <rPh sb="52" eb="54">
      <t>セイセキ</t>
    </rPh>
    <rPh sb="57" eb="58">
      <t>サ</t>
    </rPh>
    <rPh sb="68" eb="70">
      <t>ホシュウ</t>
    </rPh>
    <rPh sb="71" eb="72">
      <t>オコナ</t>
    </rPh>
    <rPh sb="80" eb="82">
      <t>ナツヤス</t>
    </rPh>
    <rPh sb="89" eb="91">
      <t>フクシュウ</t>
    </rPh>
    <rPh sb="95" eb="97">
      <t>ヒツヨウ</t>
    </rPh>
    <phoneticPr fontId="1"/>
  </si>
  <si>
    <t>いつも意欲的に学習に取り組み、ノートも自分で工夫して取ることができていました。「電流のはたらき」の単元テストの２枚のうち１枚だけ、点数が極端に低く、評価がBになりました。（並列つなぎと直列つなぎを勘違いしてしまったようです。）</t>
    <rPh sb="3" eb="6">
      <t>イヨクテキ</t>
    </rPh>
    <rPh sb="7" eb="9">
      <t>ガクシュウ</t>
    </rPh>
    <rPh sb="10" eb="11">
      <t>ト</t>
    </rPh>
    <rPh sb="12" eb="13">
      <t>ク</t>
    </rPh>
    <rPh sb="19" eb="21">
      <t>ジブン</t>
    </rPh>
    <rPh sb="22" eb="24">
      <t>クフウ</t>
    </rPh>
    <rPh sb="26" eb="27">
      <t>ト</t>
    </rPh>
    <rPh sb="40" eb="42">
      <t>デンリュウ</t>
    </rPh>
    <rPh sb="49" eb="51">
      <t>タンゲン</t>
    </rPh>
    <rPh sb="56" eb="57">
      <t>マイ</t>
    </rPh>
    <rPh sb="61" eb="62">
      <t>マイ</t>
    </rPh>
    <rPh sb="65" eb="67">
      <t>テンスウ</t>
    </rPh>
    <rPh sb="68" eb="70">
      <t>キョクタン</t>
    </rPh>
    <rPh sb="71" eb="72">
      <t>ヒク</t>
    </rPh>
    <rPh sb="74" eb="76">
      <t>ヒョウカ</t>
    </rPh>
    <rPh sb="86" eb="88">
      <t>ヘイレツ</t>
    </rPh>
    <rPh sb="92" eb="94">
      <t>チョクレツ</t>
    </rPh>
    <rPh sb="98" eb="100">
      <t>カンチガ</t>
    </rPh>
    <phoneticPr fontId="1"/>
  </si>
  <si>
    <t>全体的にテストの点数が低めで、授業中も一生懸命取り組んでいるとは言えず、評価が３になりました。「電流のはたらき」のテストの２枚のうち１枚は、８０点を取ることができました。よくがんばりました。観察カードやワークなど、書くことが苦手なようですが、これから学習が少しずつ難しくなっていきますので、書くことを嫌がらず、真面目に一生懸命取り組んでほしいです。</t>
    <rPh sb="0" eb="3">
      <t>ゼンタイテキ</t>
    </rPh>
    <rPh sb="8" eb="10">
      <t>テンスウ</t>
    </rPh>
    <rPh sb="11" eb="12">
      <t>ヒク</t>
    </rPh>
    <rPh sb="15" eb="18">
      <t>ジュギョウチュウ</t>
    </rPh>
    <rPh sb="19" eb="23">
      <t>イッショウケンメイ</t>
    </rPh>
    <rPh sb="23" eb="24">
      <t>ト</t>
    </rPh>
    <rPh sb="25" eb="26">
      <t>ク</t>
    </rPh>
    <rPh sb="32" eb="33">
      <t>イ</t>
    </rPh>
    <rPh sb="36" eb="38">
      <t>ヒョウカ</t>
    </rPh>
    <rPh sb="48" eb="50">
      <t>デンリュウ</t>
    </rPh>
    <rPh sb="62" eb="63">
      <t>マイ</t>
    </rPh>
    <rPh sb="67" eb="68">
      <t>マイ</t>
    </rPh>
    <rPh sb="72" eb="73">
      <t>テン</t>
    </rPh>
    <rPh sb="74" eb="75">
      <t>ト</t>
    </rPh>
    <rPh sb="95" eb="97">
      <t>カンサツ</t>
    </rPh>
    <rPh sb="107" eb="108">
      <t>カ</t>
    </rPh>
    <rPh sb="112" eb="114">
      <t>ニガテ</t>
    </rPh>
    <rPh sb="125" eb="127">
      <t>ガクシュウ</t>
    </rPh>
    <rPh sb="128" eb="129">
      <t>スコ</t>
    </rPh>
    <rPh sb="132" eb="133">
      <t>ムズカ</t>
    </rPh>
    <rPh sb="145" eb="146">
      <t>カ</t>
    </rPh>
    <rPh sb="150" eb="151">
      <t>イヤ</t>
    </rPh>
    <rPh sb="155" eb="158">
      <t>マジメ</t>
    </rPh>
    <rPh sb="159" eb="163">
      <t>イッショウケンメイ</t>
    </rPh>
    <rPh sb="163" eb="164">
      <t>ト</t>
    </rPh>
    <rPh sb="165" eb="166">
      <t>ク</t>
    </rPh>
    <phoneticPr fontId="1"/>
  </si>
  <si>
    <t>社会科の資料・グラフに興味を持ち、読み取ることができる</t>
  </si>
  <si>
    <t>都道府県に興味をもち、理解している</t>
  </si>
  <si>
    <t>長野県の自然・地形・産業に興味を持ち、理解している</t>
  </si>
  <si>
    <t>音や音楽に関心をもち、進んで音楽表現や鑑賞の活動に取り組むことができる</t>
  </si>
  <si>
    <t>曲の特徴を生かし、お互いの声を聴き合いながら歌うことができる</t>
  </si>
  <si>
    <t>旋律の重なりを感じながら、様々な楽器用いて合奏することができる</t>
  </si>
  <si>
    <t>様子を思い浮かべたり、楽器の特徴を感じ取りながら楽曲を聴くことができる</t>
  </si>
  <si>
    <t>運動の行い方を工夫するとともに、考えたことを他者に伝えることができる</t>
  </si>
  <si>
    <t>決まりを守り、誰とでも仲よく意欲的に運動ができる</t>
  </si>
  <si>
    <t>全身を使って、力強く走ることができる（短距離走）</t>
    <rPh sb="19" eb="23">
      <t>タンキョリソウ</t>
    </rPh>
    <phoneticPr fontId="1"/>
  </si>
  <si>
    <t>バトンの受け渡しがスムーズにできる（リレー）</t>
  </si>
  <si>
    <t>基本的なボール操作ができ、ルールを理解してゲームをすることができる（ベースボール型ゲーム）</t>
  </si>
  <si>
    <t>自分のやりたいことを主張して周りに合わせてもらったり、、自分のマイナスな気持ちを態度に出してしまうことがありました。少しずつ自分をコントロールすること、周りの仲間の気持ちにも気付けるようになると、更に咲哉君の良さが光ります。２学期も一緒に頑張りましょう。</t>
    <rPh sb="0" eb="2">
      <t>ジブン</t>
    </rPh>
    <rPh sb="10" eb="12">
      <t>シュチョウ</t>
    </rPh>
    <rPh sb="14" eb="15">
      <t>マワ</t>
    </rPh>
    <rPh sb="17" eb="18">
      <t>ア</t>
    </rPh>
    <rPh sb="28" eb="30">
      <t>ジブン</t>
    </rPh>
    <rPh sb="36" eb="38">
      <t>キモ</t>
    </rPh>
    <rPh sb="40" eb="42">
      <t>タイド</t>
    </rPh>
    <rPh sb="43" eb="44">
      <t>ダ</t>
    </rPh>
    <rPh sb="58" eb="59">
      <t>スコ</t>
    </rPh>
    <rPh sb="62" eb="64">
      <t>ジブン</t>
    </rPh>
    <rPh sb="76" eb="77">
      <t>マワ</t>
    </rPh>
    <rPh sb="79" eb="81">
      <t>ナカマ</t>
    </rPh>
    <rPh sb="82" eb="84">
      <t>キモ</t>
    </rPh>
    <rPh sb="87" eb="89">
      <t>キヅ</t>
    </rPh>
    <rPh sb="98" eb="99">
      <t>サラ</t>
    </rPh>
    <rPh sb="100" eb="101">
      <t>サキ</t>
    </rPh>
    <rPh sb="101" eb="102">
      <t>カナ</t>
    </rPh>
    <rPh sb="102" eb="103">
      <t>クン</t>
    </rPh>
    <rPh sb="104" eb="105">
      <t>ヨ</t>
    </rPh>
    <rPh sb="107" eb="108">
      <t>ヒカ</t>
    </rPh>
    <rPh sb="113" eb="115">
      <t>ガッキ</t>
    </rPh>
    <rPh sb="116" eb="118">
      <t>イッショ</t>
    </rPh>
    <rPh sb="119" eb="121">
      <t>ガンバ</t>
    </rPh>
    <phoneticPr fontId="1"/>
  </si>
  <si>
    <t>その日の気持ちや、その時の出来事に左右され、安定した活動ができないことがありました。新しい種目に取り掛かるのに、少し時間はかかりますが、着実に力を付けることができるのが、綾さんのよい所です。運動能力も高いので、安定して生かしていきましょう。２学期も一緒に頑張りましょう。</t>
    <rPh sb="2" eb="3">
      <t>ヒ</t>
    </rPh>
    <rPh sb="4" eb="6">
      <t>キモ</t>
    </rPh>
    <rPh sb="11" eb="12">
      <t>トキ</t>
    </rPh>
    <rPh sb="13" eb="16">
      <t>デキゴト</t>
    </rPh>
    <rPh sb="17" eb="19">
      <t>サユウ</t>
    </rPh>
    <rPh sb="22" eb="24">
      <t>アンテイ</t>
    </rPh>
    <rPh sb="26" eb="28">
      <t>カツドウ</t>
    </rPh>
    <rPh sb="42" eb="43">
      <t>アタラ</t>
    </rPh>
    <rPh sb="45" eb="47">
      <t>シュモク</t>
    </rPh>
    <rPh sb="48" eb="49">
      <t>ト</t>
    </rPh>
    <rPh sb="50" eb="51">
      <t>カ</t>
    </rPh>
    <rPh sb="56" eb="57">
      <t>スコ</t>
    </rPh>
    <rPh sb="58" eb="60">
      <t>ジカン</t>
    </rPh>
    <rPh sb="68" eb="70">
      <t>チャクジツ</t>
    </rPh>
    <rPh sb="71" eb="72">
      <t>チカラ</t>
    </rPh>
    <rPh sb="73" eb="74">
      <t>ツ</t>
    </rPh>
    <rPh sb="85" eb="86">
      <t>アヤ</t>
    </rPh>
    <rPh sb="91" eb="92">
      <t>トコロ</t>
    </rPh>
    <rPh sb="95" eb="97">
      <t>ウンドウ</t>
    </rPh>
    <rPh sb="97" eb="99">
      <t>ノウリョク</t>
    </rPh>
    <rPh sb="100" eb="101">
      <t>タカ</t>
    </rPh>
    <rPh sb="105" eb="107">
      <t>アンテイ</t>
    </rPh>
    <rPh sb="109" eb="110">
      <t>イ</t>
    </rPh>
    <rPh sb="121" eb="123">
      <t>ガッキ</t>
    </rPh>
    <rPh sb="124" eb="126">
      <t>イッショ</t>
    </rPh>
    <rPh sb="127" eb="129">
      <t>ガンバ</t>
    </rPh>
    <phoneticPr fontId="1"/>
  </si>
  <si>
    <t>高い運動能力と高いコミュニケーション能力でどんな活動も楽しく行うことができました。身だしなみを整えたり、規律ある行動をすることに、若干の苦手さがあるようです。２学期も理暉君らしく、いい所を伸ばしていきましょう。一緒に頑張りましょう。</t>
    <rPh sb="0" eb="1">
      <t>タカ</t>
    </rPh>
    <rPh sb="2" eb="6">
      <t>ウンドウノウリョク</t>
    </rPh>
    <rPh sb="7" eb="8">
      <t>タカ</t>
    </rPh>
    <rPh sb="18" eb="20">
      <t>ノウリョク</t>
    </rPh>
    <rPh sb="24" eb="26">
      <t>カツドウ</t>
    </rPh>
    <rPh sb="27" eb="28">
      <t>タノ</t>
    </rPh>
    <rPh sb="30" eb="31">
      <t>オコナ</t>
    </rPh>
    <rPh sb="41" eb="42">
      <t>ミ</t>
    </rPh>
    <rPh sb="47" eb="48">
      <t>トトノ</t>
    </rPh>
    <rPh sb="52" eb="54">
      <t>キリツ</t>
    </rPh>
    <rPh sb="56" eb="58">
      <t>コウドウ</t>
    </rPh>
    <rPh sb="65" eb="67">
      <t>ジャッカン</t>
    </rPh>
    <rPh sb="68" eb="70">
      <t>ニガテ</t>
    </rPh>
    <rPh sb="80" eb="82">
      <t>ガッキ</t>
    </rPh>
    <rPh sb="83" eb="84">
      <t>リ</t>
    </rPh>
    <phoneticPr fontId="1"/>
  </si>
  <si>
    <t>どの活動も意欲的によく考えて、取り組むことができました。短距離の実技では、記録的に今回の評価となりますが、頑張っているその姿勢こそ大切なことです。評価のみに左右されず、これからも一緒に頑張りましょう。</t>
    <rPh sb="2" eb="4">
      <t>カツドウ</t>
    </rPh>
    <rPh sb="5" eb="8">
      <t>イヨクテキ</t>
    </rPh>
    <rPh sb="11" eb="12">
      <t>カンガ</t>
    </rPh>
    <rPh sb="15" eb="16">
      <t>ト</t>
    </rPh>
    <rPh sb="17" eb="18">
      <t>ク</t>
    </rPh>
    <rPh sb="28" eb="31">
      <t>タンキョリ</t>
    </rPh>
    <rPh sb="32" eb="34">
      <t>ジツギ</t>
    </rPh>
    <rPh sb="37" eb="39">
      <t>キロク</t>
    </rPh>
    <rPh sb="39" eb="40">
      <t>テキ</t>
    </rPh>
    <rPh sb="41" eb="43">
      <t>コンカイ</t>
    </rPh>
    <rPh sb="44" eb="46">
      <t>ヒョウカ</t>
    </rPh>
    <rPh sb="53" eb="55">
      <t>ガンバ</t>
    </rPh>
    <rPh sb="61" eb="63">
      <t>シセイ</t>
    </rPh>
    <rPh sb="65" eb="67">
      <t>タイセツ</t>
    </rPh>
    <rPh sb="73" eb="75">
      <t>ヒョウカ</t>
    </rPh>
    <rPh sb="78" eb="80">
      <t>サユウ</t>
    </rPh>
    <rPh sb="89" eb="91">
      <t>イッショ</t>
    </rPh>
    <rPh sb="92" eb="94">
      <t>ガンバ</t>
    </rPh>
    <phoneticPr fontId="1"/>
  </si>
  <si>
    <t>教科書の内容を自分のこととして捉え、自己を振り返ることができました。「思いやりって」という単元では、「相手がどうしたいかを考えることが思いやりだと思います。」という感想を持ち、これからの生活で「状況を考えて行動すること。」を意識していこうと考えました。今後は、学んだことを普段の生活の中で活かしていけることを願っています。</t>
    <rPh sb="35" eb="36">
      <t>オモ</t>
    </rPh>
    <rPh sb="51" eb="53">
      <t>アイテ</t>
    </rPh>
    <rPh sb="61" eb="62">
      <t>カンガ</t>
    </rPh>
    <rPh sb="67" eb="68">
      <t>オモ</t>
    </rPh>
    <rPh sb="73" eb="74">
      <t>オモ</t>
    </rPh>
    <rPh sb="93" eb="95">
      <t>セイカツ</t>
    </rPh>
    <rPh sb="97" eb="99">
      <t>ジョウキョウ</t>
    </rPh>
    <rPh sb="100" eb="101">
      <t>カンガ</t>
    </rPh>
    <rPh sb="103" eb="105">
      <t>コウドウ</t>
    </rPh>
    <rPh sb="112" eb="114">
      <t>イシキ</t>
    </rPh>
    <rPh sb="120" eb="121">
      <t>カンガ</t>
    </rPh>
    <rPh sb="126" eb="128">
      <t>コンゴ</t>
    </rPh>
    <rPh sb="130" eb="131">
      <t>マナ</t>
    </rPh>
    <phoneticPr fontId="1"/>
  </si>
  <si>
    <t>教科書の内容を自分のこととして捉え、自己を振り返ることができました。「目覚まし時計」という単元では、「決めたことを守らないとあとの自分が困る。」という感想を持ち、これからの学校生活において「時間を守る。」ことを自分のきまりと定めました。今後は、学んだことを普段の生活の中で活かしていけることを願っています。</t>
    <rPh sb="35" eb="37">
      <t>メザ</t>
    </rPh>
    <rPh sb="39" eb="41">
      <t>ドケイ</t>
    </rPh>
    <rPh sb="51" eb="52">
      <t>キ</t>
    </rPh>
    <rPh sb="57" eb="58">
      <t>マモ</t>
    </rPh>
    <rPh sb="65" eb="67">
      <t>ジブン</t>
    </rPh>
    <rPh sb="68" eb="69">
      <t>コマ</t>
    </rPh>
    <rPh sb="86" eb="88">
      <t>ガッコウ</t>
    </rPh>
    <rPh sb="88" eb="90">
      <t>セイカツ</t>
    </rPh>
    <rPh sb="95" eb="97">
      <t>ジカン</t>
    </rPh>
    <rPh sb="98" eb="99">
      <t>マモ</t>
    </rPh>
    <rPh sb="105" eb="107">
      <t>ジブン</t>
    </rPh>
    <rPh sb="112" eb="113">
      <t>サダ</t>
    </rPh>
    <phoneticPr fontId="1"/>
  </si>
  <si>
    <t>教科書の内容を自分のこととして捉え、自己を振り返ることができました。「間覚まし時計」という単元では、「決めたことを守るには、準備をしっかりすることが大切です。」という感想を持ち、これからの学校生活において「しゃべってはいけないときはしゃべりらない。」ことを自分のきまりと定めました。今後は、学んだことを普段の生活の中で活かしていけることを願っています。</t>
    <rPh sb="35" eb="36">
      <t>マ</t>
    </rPh>
    <rPh sb="36" eb="37">
      <t>ザ</t>
    </rPh>
    <rPh sb="39" eb="41">
      <t>トケイ</t>
    </rPh>
    <rPh sb="51" eb="52">
      <t>キ</t>
    </rPh>
    <rPh sb="57" eb="58">
      <t>マモ</t>
    </rPh>
    <rPh sb="62" eb="64">
      <t>ジュンビ</t>
    </rPh>
    <rPh sb="74" eb="76">
      <t>タイセツ</t>
    </rPh>
    <rPh sb="94" eb="96">
      <t>ガッコウ</t>
    </rPh>
    <rPh sb="96" eb="98">
      <t>セイカツ</t>
    </rPh>
    <rPh sb="128" eb="130">
      <t>ジブン</t>
    </rPh>
    <rPh sb="135" eb="136">
      <t>サダ</t>
    </rPh>
    <phoneticPr fontId="1"/>
  </si>
  <si>
    <t>教科書の内容を自分のこととして捉え、自己を振り返ることができました。「思いやりって」という単元では、「相手のことを考えて発言したり、行動したりすることが思いやりだと思います。」という感想を持ち、これからの生活で「相手の気持ちをしっかりと聞いてあげること。」を意識していこうと考えました。今後は、学んだことを普段の生活の中で活かしていけることを願っています。</t>
    <rPh sb="57" eb="58">
      <t>カンガ</t>
    </rPh>
    <rPh sb="60" eb="62">
      <t>ハツゲン</t>
    </rPh>
    <rPh sb="66" eb="68">
      <t>コウドウ</t>
    </rPh>
    <rPh sb="106" eb="108">
      <t>アイテ</t>
    </rPh>
    <rPh sb="109" eb="111">
      <t>キモ</t>
    </rPh>
    <rPh sb="118" eb="119">
      <t>キ</t>
    </rPh>
    <phoneticPr fontId="1"/>
  </si>
  <si>
    <t>教科書の内容を自分のこととして捉え、自己を振り返ることができました。「思いやりって」という単元では、「相手の気持ちに気づき、親切に接することが思いやりだと思います。」という感想を持ち、これからの生活で「相手のことを気づかえるようにすること。」を意識していこうと考えました。今後は、学んだことを普段の生活の中で活かしていけることを願っています。</t>
    <rPh sb="51" eb="53">
      <t>アイテ</t>
    </rPh>
    <rPh sb="54" eb="56">
      <t>キモ</t>
    </rPh>
    <rPh sb="58" eb="59">
      <t>キ</t>
    </rPh>
    <rPh sb="62" eb="64">
      <t>シンセツ</t>
    </rPh>
    <rPh sb="65" eb="66">
      <t>セッ</t>
    </rPh>
    <rPh sb="101" eb="103">
      <t>アイテ</t>
    </rPh>
    <rPh sb="107" eb="108">
      <t>キ</t>
    </rPh>
    <phoneticPr fontId="1"/>
  </si>
  <si>
    <t>教科書の内容を自分のこととして捉え、自己を振り返ることができました。「思いやりって」という単元では、「人の気持ちを考えて、その人に寄り添った言葉をかけられることが思いやりだと思います。」という感想を持ち、これからの生活で「困っている人がいたら、その人の立場になって言葉をかけること。」を意識していこうと考えました。今後は、学んだことを普段の生活の中で活かしていけることを願っています。</t>
    <rPh sb="51" eb="52">
      <t>ヒト</t>
    </rPh>
    <rPh sb="53" eb="55">
      <t>キモ</t>
    </rPh>
    <rPh sb="57" eb="58">
      <t>カンガ</t>
    </rPh>
    <rPh sb="63" eb="64">
      <t>ヒト</t>
    </rPh>
    <rPh sb="65" eb="66">
      <t>ヨ</t>
    </rPh>
    <rPh sb="67" eb="68">
      <t>ソ</t>
    </rPh>
    <rPh sb="70" eb="72">
      <t>コトバ</t>
    </rPh>
    <rPh sb="111" eb="112">
      <t>コマ</t>
    </rPh>
    <rPh sb="116" eb="117">
      <t>ヒト</t>
    </rPh>
    <rPh sb="124" eb="125">
      <t>ヒト</t>
    </rPh>
    <rPh sb="126" eb="128">
      <t>タチバ</t>
    </rPh>
    <rPh sb="132" eb="134">
      <t>コトバ</t>
    </rPh>
    <phoneticPr fontId="1"/>
  </si>
  <si>
    <t>教科書の内容を自分のこととして捉え、自己を振り返ることができました。「思いやりって」という単元では、「相手のことを考えて行動することが思いやりだと思います。」という感想を持ち、これからの生活で「話している人をしっかりと見て話を聞くこと。」を意識していこうと考えました。今後は、学んだことを普段の生活の中で活かしていけることを願っています。</t>
    <rPh sb="57" eb="58">
      <t>カンガ</t>
    </rPh>
    <rPh sb="60" eb="62">
      <t>コウドウ</t>
    </rPh>
    <rPh sb="97" eb="98">
      <t>ハナ</t>
    </rPh>
    <rPh sb="102" eb="103">
      <t>ヒト</t>
    </rPh>
    <rPh sb="109" eb="110">
      <t>ミ</t>
    </rPh>
    <rPh sb="111" eb="112">
      <t>ハナシ</t>
    </rPh>
    <rPh sb="113" eb="114">
      <t>キ</t>
    </rPh>
    <phoneticPr fontId="1"/>
  </si>
  <si>
    <t>教科書の内容を自分のこととして捉え、自己を振り返ることができました。「思いやりって」という単元では、「相手のことを考えて、発言したり、行動したりすることが思いやりだと思います。」という感想を持ち、これからの生活で「友だちに自分から声をかけていくこと。」を意識していこうと考えました。今後は、学んだことを普段の生活の中で活かしていけることを願っています。</t>
    <rPh sb="57" eb="58">
      <t>カンガ</t>
    </rPh>
    <rPh sb="61" eb="63">
      <t>ハツゲン</t>
    </rPh>
    <rPh sb="67" eb="69">
      <t>コウドウ</t>
    </rPh>
    <rPh sb="107" eb="108">
      <t>トモ</t>
    </rPh>
    <rPh sb="111" eb="113">
      <t>ジブン</t>
    </rPh>
    <rPh sb="115" eb="116">
      <t>コエ</t>
    </rPh>
    <phoneticPr fontId="1"/>
  </si>
  <si>
    <t>教科書の内容を自分のこととして捉え、自己を振り返ることができました。「思いやりって」という単元では、「相手がどうしてほしいかを考えることが思いやりだと思います。」という感想を持ち、これからの生活で「相手の気持ちを考えて行動すること。」を意識していこうと考えました。今後は、学んだことを普段の生活の中で活かしていけることを願っています。</t>
    <rPh sb="99" eb="101">
      <t>アイテ</t>
    </rPh>
    <rPh sb="102" eb="104">
      <t>キモ</t>
    </rPh>
    <phoneticPr fontId="1"/>
  </si>
  <si>
    <t>教科書の内容を自分のこととして捉え、自己を振り返ることができました。「思いやりって」という単元では、「相手の気持ちを考えて、話をしたり、行動したりすることが思いやりだと思います。」という感想を持ち、これからの生活で「相手の気持ちをよく考えること。」を意識していこうと考えました。今後は、学んだことを普段の生活の中で活かしていけることを願っています。</t>
    <rPh sb="54" eb="56">
      <t>キモ</t>
    </rPh>
    <rPh sb="58" eb="59">
      <t>カンガ</t>
    </rPh>
    <rPh sb="62" eb="63">
      <t>ハナシ</t>
    </rPh>
    <rPh sb="68" eb="70">
      <t>コウドウ</t>
    </rPh>
    <rPh sb="108" eb="110">
      <t>アイテ</t>
    </rPh>
    <rPh sb="111" eb="113">
      <t>キモ</t>
    </rPh>
    <rPh sb="117" eb="118">
      <t>カンガ</t>
    </rPh>
    <phoneticPr fontId="1"/>
  </si>
  <si>
    <t>教科書の内容を自分のこととして捉え、自己を振り返ることができました。「思いやりって」という単元では、「相手がどうしたいかを考えることが思いやりだと思います。」という感想を持ち、これからの生活で「友だちの話をよく聞くこと。」を意識していこうと考えました。今後は、学んだことを普段の生活の中で活かしていけることを願っています。</t>
    <rPh sb="97" eb="98">
      <t>トモ</t>
    </rPh>
    <rPh sb="101" eb="102">
      <t>ハナシ</t>
    </rPh>
    <rPh sb="105" eb="106">
      <t>キ</t>
    </rPh>
    <phoneticPr fontId="1"/>
  </si>
  <si>
    <t>教科書の内容を自分のこととして捉え、自己を振り返ることができました。「思いやりって」という単元では、「相手がどうしたいかを考えて、優しく接するることが思いやりだと思います。」という感想を持ち、これからの生活で「相手に共感すること。」を意識していこうと考えました。今後は、学んだことを普段の生活の中で活かしていけることを願っています。</t>
    <rPh sb="65" eb="66">
      <t>ヤサ</t>
    </rPh>
    <rPh sb="68" eb="69">
      <t>セッ</t>
    </rPh>
    <rPh sb="105" eb="107">
      <t>アイテ</t>
    </rPh>
    <rPh sb="108" eb="110">
      <t>キョウカン</t>
    </rPh>
    <phoneticPr fontId="1"/>
  </si>
  <si>
    <t>教科書の内容を自分のこととして捉え、自己を振り返ることができました。「思いやりって」という単元では、「相手のことを考えて、発言したり、行動したりすることが思いやりだと思います。」という感想を持ち、これからの生活で「周りをよく見て考えて行動すること。」を意識していこうと考えました。今後は、学んだことを普段の生活の中で活かしていけることを願っています。</t>
    <rPh sb="57" eb="58">
      <t>カンガ</t>
    </rPh>
    <rPh sb="61" eb="63">
      <t>ハツゲン</t>
    </rPh>
    <rPh sb="67" eb="69">
      <t>コウドウ</t>
    </rPh>
    <rPh sb="107" eb="108">
      <t>マワ</t>
    </rPh>
    <rPh sb="112" eb="113">
      <t>ミ</t>
    </rPh>
    <phoneticPr fontId="1"/>
  </si>
  <si>
    <t>教科書の内容を自分のこととして捉え、自己を振り返ることができました。「思いやりって」という単元では、「相手のことを考えて行動することが思いやりだと思います。」という感想を持ち、これからの生活で「相手の立場になって考えて行動すること。」を意識していこうと考えました。今後は、学んだことを普段の生活の中で活かしていけることを願っています。</t>
    <rPh sb="57" eb="58">
      <t>カンガ</t>
    </rPh>
    <rPh sb="60" eb="62">
      <t>コウドウ</t>
    </rPh>
    <rPh sb="97" eb="99">
      <t>アイテ</t>
    </rPh>
    <rPh sb="100" eb="102">
      <t>タチバ</t>
    </rPh>
    <phoneticPr fontId="1"/>
  </si>
  <si>
    <t>教科書の内容を自分のこととして捉え、自己を振り返ることができました。「思いやりって」という単元では、「相手がどうしたいかを考えることが思いやりだと思います。」という感想を持ち、これからの生活で「相手のことを考えて、自分から行動すること。」を意識していこうと考えました。今後は、学んだことを普段の生活の中で活かしていけることを願っています。</t>
    <rPh sb="97" eb="99">
      <t>アイテ</t>
    </rPh>
    <rPh sb="107" eb="109">
      <t>ジブン</t>
    </rPh>
    <phoneticPr fontId="1"/>
  </si>
  <si>
    <t>教科書の内容を自分のこととして捉え、自己を振り返ることができました。「学級会での出来事」という単元では、「話し合う時には、相手の意見を大切にすること。」という感想を持ちました。これからの話し合いでは「反対されることも覚悟して、自分の意見をしっかり言うこと。」を意識していこうと考えました。今後は、学んだことを普段の生活の中で活かしていけることを願っています。</t>
    <rPh sb="35" eb="37">
      <t>ガッキュウ</t>
    </rPh>
    <rPh sb="37" eb="38">
      <t>カイ</t>
    </rPh>
    <rPh sb="40" eb="43">
      <t>デキゴト</t>
    </rPh>
    <rPh sb="53" eb="54">
      <t>ハナ</t>
    </rPh>
    <rPh sb="55" eb="56">
      <t>ア</t>
    </rPh>
    <rPh sb="57" eb="58">
      <t>トキ</t>
    </rPh>
    <rPh sb="61" eb="63">
      <t>アイテ</t>
    </rPh>
    <rPh sb="64" eb="66">
      <t>イケン</t>
    </rPh>
    <rPh sb="67" eb="69">
      <t>タイセツ</t>
    </rPh>
    <rPh sb="93" eb="94">
      <t>ハナ</t>
    </rPh>
    <rPh sb="95" eb="96">
      <t>ア</t>
    </rPh>
    <rPh sb="100" eb="102">
      <t>ハンタイ</t>
    </rPh>
    <rPh sb="108" eb="110">
      <t>カクゴ</t>
    </rPh>
    <rPh sb="113" eb="115">
      <t>ジブン</t>
    </rPh>
    <rPh sb="116" eb="118">
      <t>イケン</t>
    </rPh>
    <rPh sb="123" eb="124">
      <t>イ</t>
    </rPh>
    <phoneticPr fontId="1"/>
  </si>
  <si>
    <t>教科書の内容を自分のこととして捉え、自己を振り返ることができました。「学級会での出来事」という単元では、「話し合う時には、相手の意見をしっかりと聞くこと。」という感想を持ちました。これからの話し合いでは「相手のことを考え、不平を言わないこと。」を意識していこうと考えました。今後は、学んだことを普段の生活の中で活かしていけることを願っています。</t>
    <rPh sb="72" eb="73">
      <t>キ</t>
    </rPh>
    <rPh sb="102" eb="104">
      <t>アイテ</t>
    </rPh>
    <rPh sb="108" eb="109">
      <t>カンガ</t>
    </rPh>
    <rPh sb="111" eb="113">
      <t>フヘイ</t>
    </rPh>
    <rPh sb="114" eb="115">
      <t>イ</t>
    </rPh>
    <phoneticPr fontId="1"/>
  </si>
  <si>
    <t>教科書の内容を自分のこととして捉え、自己を振り返ることができました。「学級会での出来事」という単元では、「話し合う時には、譲り合う気持ちをもって、自分の意見を言うこと。」という感想を持ちました。これからの話し合いでは「他人の意見を受け入れること。」を意識していこうと考えました。今後は、学んだことを普段の生活の中で活かしていけることを願っています。</t>
    <rPh sb="61" eb="62">
      <t>ユズ</t>
    </rPh>
    <rPh sb="63" eb="64">
      <t>ア</t>
    </rPh>
    <rPh sb="65" eb="67">
      <t>キモ</t>
    </rPh>
    <rPh sb="73" eb="75">
      <t>ジブン</t>
    </rPh>
    <rPh sb="76" eb="78">
      <t>イケン</t>
    </rPh>
    <rPh sb="79" eb="80">
      <t>イ</t>
    </rPh>
    <rPh sb="109" eb="111">
      <t>タニン</t>
    </rPh>
    <rPh sb="112" eb="114">
      <t>イケン</t>
    </rPh>
    <rPh sb="115" eb="116">
      <t>ウ</t>
    </rPh>
    <rPh sb="117" eb="118">
      <t>イ</t>
    </rPh>
    <phoneticPr fontId="1"/>
  </si>
  <si>
    <t>教科書の内容を自分のこととして捉え、自己を振り返ることができました。「学級会での出来事」という単元では、「話し合う時には、譲り合う気持ちをもって、人の意見を受け入れること。」という感想を持ちました。これからの話し合いでは「決まったことに不平や不満を言わないこと。」を意識していこうと考えました。今後は、学んだことを普段の生活の中で活かしていけることを願っています。</t>
    <rPh sb="73" eb="74">
      <t>ヒト</t>
    </rPh>
    <rPh sb="75" eb="77">
      <t>イケン</t>
    </rPh>
    <rPh sb="78" eb="79">
      <t>ウ</t>
    </rPh>
    <rPh sb="80" eb="81">
      <t>イ</t>
    </rPh>
    <rPh sb="111" eb="112">
      <t>キ</t>
    </rPh>
    <rPh sb="118" eb="120">
      <t>フヘイ</t>
    </rPh>
    <rPh sb="121" eb="123">
      <t>フマン</t>
    </rPh>
    <rPh sb="124" eb="125">
      <t>イ</t>
    </rPh>
    <phoneticPr fontId="1"/>
  </si>
  <si>
    <t>教科書の内容を自分のこととして捉え、自己を振り返ることができました。「思いやりって」という単元では、「相手がどうしたいかを考えて行動することが思いやりだと思います。」という感想を持ち、これからの生活で「困っている人がいたら支えてあげること。」を意識していこうと考えました。今後は、学んだことを普段の生活の中で活かしていけることを願っています。</t>
    <rPh sb="64" eb="66">
      <t>コウドウ</t>
    </rPh>
    <rPh sb="101" eb="102">
      <t>コマ</t>
    </rPh>
    <rPh sb="106" eb="107">
      <t>ヒト</t>
    </rPh>
    <rPh sb="111" eb="112">
      <t>ササ</t>
    </rPh>
    <phoneticPr fontId="1"/>
  </si>
  <si>
    <t>自分も相手も気持ちの良いあいさつをや返事を、自分から積極的にすることができる</t>
    <rPh sb="0" eb="2">
      <t>ジブン</t>
    </rPh>
    <rPh sb="3" eb="5">
      <t>アイテ</t>
    </rPh>
    <rPh sb="6" eb="8">
      <t>キモ</t>
    </rPh>
    <rPh sb="10" eb="11">
      <t>ヨ</t>
    </rPh>
    <rPh sb="18" eb="20">
      <t>ヘンジ</t>
    </rPh>
    <rPh sb="22" eb="24">
      <t>ジブン</t>
    </rPh>
    <rPh sb="26" eb="29">
      <t>セッキョクテキ</t>
    </rPh>
    <phoneticPr fontId="1"/>
  </si>
  <si>
    <t>自ら時間や決まりを意識し、忘れ物をせず、けじめのある規則正しい生活をすることができる</t>
    <rPh sb="0" eb="1">
      <t>ミズカ</t>
    </rPh>
    <rPh sb="2" eb="4">
      <t>ジカン</t>
    </rPh>
    <rPh sb="5" eb="6">
      <t>キ</t>
    </rPh>
    <rPh sb="9" eb="11">
      <t>イシキ</t>
    </rPh>
    <rPh sb="13" eb="14">
      <t>ワス</t>
    </rPh>
    <rPh sb="15" eb="16">
      <t>モノ</t>
    </rPh>
    <rPh sb="26" eb="28">
      <t>キソク</t>
    </rPh>
    <rPh sb="28" eb="29">
      <t>タダ</t>
    </rPh>
    <rPh sb="31" eb="33">
      <t>セイカツ</t>
    </rPh>
    <phoneticPr fontId="1"/>
  </si>
  <si>
    <t>身の回りの環境に気を配り、進んで整理整頓をすることができる</t>
    <rPh sb="0" eb="1">
      <t>ミ</t>
    </rPh>
    <rPh sb="2" eb="3">
      <t>マワ</t>
    </rPh>
    <rPh sb="5" eb="7">
      <t>カンキョウ</t>
    </rPh>
    <rPh sb="8" eb="9">
      <t>キ</t>
    </rPh>
    <rPh sb="10" eb="11">
      <t>クバ</t>
    </rPh>
    <rPh sb="13" eb="14">
      <t>スス</t>
    </rPh>
    <rPh sb="16" eb="18">
      <t>セイリ</t>
    </rPh>
    <rPh sb="18" eb="20">
      <t>セイトン</t>
    </rPh>
    <phoneticPr fontId="1"/>
  </si>
  <si>
    <t>心身の健康に気をつけ、運動する習慣や良い姿勢を身につけ、元気に生活することができる</t>
    <rPh sb="0" eb="2">
      <t>シンシン</t>
    </rPh>
    <rPh sb="3" eb="5">
      <t>ケンコウ</t>
    </rPh>
    <rPh sb="6" eb="7">
      <t>キ</t>
    </rPh>
    <rPh sb="11" eb="13">
      <t>ウンドウ</t>
    </rPh>
    <rPh sb="15" eb="17">
      <t>シュウカン</t>
    </rPh>
    <rPh sb="18" eb="19">
      <t>ヨ</t>
    </rPh>
    <rPh sb="20" eb="22">
      <t>シセイ</t>
    </rPh>
    <rPh sb="23" eb="24">
      <t>ミ</t>
    </rPh>
    <rPh sb="28" eb="30">
      <t>ゲンキ</t>
    </rPh>
    <rPh sb="31" eb="33">
      <t>セイカツ</t>
    </rPh>
    <phoneticPr fontId="1"/>
  </si>
  <si>
    <t>自らの目標を持って進んで行い、最後までねばり強くやり通すことができる</t>
    <rPh sb="0" eb="1">
      <t>ミズカ</t>
    </rPh>
    <rPh sb="3" eb="5">
      <t>モクヒョウ</t>
    </rPh>
    <rPh sb="6" eb="7">
      <t>モ</t>
    </rPh>
    <rPh sb="9" eb="10">
      <t>スス</t>
    </rPh>
    <rPh sb="12" eb="13">
      <t>オコナ</t>
    </rPh>
    <rPh sb="15" eb="17">
      <t>サイゴ</t>
    </rPh>
    <rPh sb="22" eb="23">
      <t>ヅヨ</t>
    </rPh>
    <rPh sb="26" eb="27">
      <t>トオ</t>
    </rPh>
    <phoneticPr fontId="1"/>
  </si>
  <si>
    <t>自分の言動に責任を持ち、課せられた役割を責任を持って行うことができる</t>
    <rPh sb="0" eb="2">
      <t>ジブン</t>
    </rPh>
    <rPh sb="3" eb="5">
      <t>ゲンドウ</t>
    </rPh>
    <rPh sb="6" eb="8">
      <t>セキニン</t>
    </rPh>
    <rPh sb="9" eb="10">
      <t>モ</t>
    </rPh>
    <rPh sb="12" eb="13">
      <t>カ</t>
    </rPh>
    <rPh sb="17" eb="19">
      <t>ヤクワリ</t>
    </rPh>
    <rPh sb="20" eb="22">
      <t>セキニン</t>
    </rPh>
    <rPh sb="23" eb="24">
      <t>モ</t>
    </rPh>
    <rPh sb="26" eb="27">
      <t>オコナ</t>
    </rPh>
    <phoneticPr fontId="1"/>
  </si>
  <si>
    <t>自分でよく考え、課題意識を持って工夫して取り組むことができる</t>
    <rPh sb="0" eb="2">
      <t>ジブン</t>
    </rPh>
    <rPh sb="5" eb="6">
      <t>カンガ</t>
    </rPh>
    <rPh sb="8" eb="10">
      <t>カダイ</t>
    </rPh>
    <rPh sb="10" eb="12">
      <t>イシキ</t>
    </rPh>
    <rPh sb="13" eb="14">
      <t>モ</t>
    </rPh>
    <rPh sb="16" eb="18">
      <t>クフウ</t>
    </rPh>
    <rPh sb="20" eb="21">
      <t>ト</t>
    </rPh>
    <rPh sb="22" eb="23">
      <t>ク</t>
    </rPh>
    <phoneticPr fontId="1"/>
  </si>
  <si>
    <t>相手の気持ちや立場を理解して、誰に対しても公平に仲良く支え合うことができる</t>
    <rPh sb="0" eb="2">
      <t>アイテ</t>
    </rPh>
    <rPh sb="3" eb="5">
      <t>キモ</t>
    </rPh>
    <rPh sb="7" eb="9">
      <t>タチバ</t>
    </rPh>
    <rPh sb="10" eb="12">
      <t>リカイ</t>
    </rPh>
    <rPh sb="15" eb="16">
      <t>ダレ</t>
    </rPh>
    <rPh sb="17" eb="18">
      <t>タイ</t>
    </rPh>
    <rPh sb="21" eb="23">
      <t>コウヘイ</t>
    </rPh>
    <rPh sb="24" eb="26">
      <t>ナカヨ</t>
    </rPh>
    <rPh sb="27" eb="28">
      <t>ササ</t>
    </rPh>
    <rPh sb="29" eb="30">
      <t>ア</t>
    </rPh>
    <phoneticPr fontId="1"/>
  </si>
  <si>
    <t>生命や自然の素晴らしさに感動し、自他の生命を大切にすることができる</t>
    <rPh sb="0" eb="2">
      <t>セイメイ</t>
    </rPh>
    <rPh sb="3" eb="5">
      <t>シゼン</t>
    </rPh>
    <rPh sb="6" eb="8">
      <t>スバ</t>
    </rPh>
    <rPh sb="12" eb="14">
      <t>カンドウ</t>
    </rPh>
    <rPh sb="16" eb="18">
      <t>ジタ</t>
    </rPh>
    <rPh sb="19" eb="21">
      <t>セイメイ</t>
    </rPh>
    <rPh sb="22" eb="24">
      <t>タイセツ</t>
    </rPh>
    <phoneticPr fontId="1"/>
  </si>
  <si>
    <t>働くことの大切さを知り、進んで最後まで一生懸命に働くことができる</t>
    <rPh sb="0" eb="1">
      <t>ハタラ</t>
    </rPh>
    <rPh sb="5" eb="7">
      <t>タイセツ</t>
    </rPh>
    <rPh sb="9" eb="10">
      <t>シ</t>
    </rPh>
    <rPh sb="12" eb="13">
      <t>スス</t>
    </rPh>
    <rPh sb="15" eb="17">
      <t>サイゴ</t>
    </rPh>
    <rPh sb="19" eb="23">
      <t>イッショウケンメイ</t>
    </rPh>
    <rPh sb="24" eb="25">
      <t>ハタラ</t>
    </rPh>
    <phoneticPr fontId="1"/>
  </si>
  <si>
    <t>道徳・速読係</t>
    <rPh sb="0" eb="2">
      <t>ドウトク</t>
    </rPh>
    <rPh sb="3" eb="5">
      <t>ソクドク</t>
    </rPh>
    <rPh sb="5" eb="6">
      <t>ガカリ</t>
    </rPh>
    <phoneticPr fontId="1"/>
  </si>
  <si>
    <t>黒板係</t>
    <rPh sb="0" eb="2">
      <t>コクバン</t>
    </rPh>
    <rPh sb="2" eb="3">
      <t>ガカリ</t>
    </rPh>
    <phoneticPr fontId="1"/>
  </si>
  <si>
    <t>算数Ｓ係</t>
    <rPh sb="0" eb="2">
      <t>サンスウ</t>
    </rPh>
    <rPh sb="3" eb="4">
      <t>カカリ</t>
    </rPh>
    <phoneticPr fontId="1"/>
  </si>
  <si>
    <t>学級長</t>
    <rPh sb="0" eb="2">
      <t>ガッキュウ</t>
    </rPh>
    <rPh sb="2" eb="3">
      <t>チョウ</t>
    </rPh>
    <phoneticPr fontId="1"/>
  </si>
  <si>
    <t>国語（ワーク類）係</t>
    <rPh sb="0" eb="2">
      <t>コクゴ</t>
    </rPh>
    <rPh sb="6" eb="7">
      <t>ルイ</t>
    </rPh>
    <rPh sb="8" eb="9">
      <t>カカリ</t>
    </rPh>
    <phoneticPr fontId="1"/>
  </si>
  <si>
    <t>体育係</t>
    <rPh sb="0" eb="2">
      <t>タイイク</t>
    </rPh>
    <rPh sb="2" eb="3">
      <t>カカリ</t>
    </rPh>
    <phoneticPr fontId="1"/>
  </si>
  <si>
    <t>図工係</t>
    <rPh sb="0" eb="2">
      <t>ズコウ</t>
    </rPh>
    <rPh sb="2" eb="3">
      <t>ガカリ</t>
    </rPh>
    <phoneticPr fontId="1"/>
  </si>
  <si>
    <t>書記　黒板係</t>
    <rPh sb="0" eb="2">
      <t>ショキ</t>
    </rPh>
    <rPh sb="3" eb="5">
      <t>コクバン</t>
    </rPh>
    <rPh sb="5" eb="6">
      <t>カカリ</t>
    </rPh>
    <phoneticPr fontId="1"/>
  </si>
  <si>
    <t>副学級長</t>
    <rPh sb="0" eb="1">
      <t>フク</t>
    </rPh>
    <rPh sb="1" eb="3">
      <t>ガッキュウ</t>
    </rPh>
    <rPh sb="3" eb="4">
      <t>チョウ</t>
    </rPh>
    <phoneticPr fontId="1"/>
  </si>
  <si>
    <t>国語（漢字類）係</t>
    <rPh sb="0" eb="2">
      <t>コクゴ</t>
    </rPh>
    <rPh sb="3" eb="5">
      <t>カンジ</t>
    </rPh>
    <rPh sb="5" eb="6">
      <t>ルイ</t>
    </rPh>
    <rPh sb="7" eb="8">
      <t>カカリ</t>
    </rPh>
    <phoneticPr fontId="1"/>
  </si>
  <si>
    <t>書記　掲示係</t>
    <rPh sb="0" eb="2">
      <t>ショキ</t>
    </rPh>
    <rPh sb="3" eb="5">
      <t>ケイジ</t>
    </rPh>
    <rPh sb="5" eb="6">
      <t>カカリ</t>
    </rPh>
    <phoneticPr fontId="1"/>
  </si>
  <si>
    <t>環境（整理整頓）係　体育祭白組リーダー</t>
    <rPh sb="0" eb="2">
      <t>カンキョウ</t>
    </rPh>
    <rPh sb="3" eb="5">
      <t>セイリ</t>
    </rPh>
    <rPh sb="5" eb="7">
      <t>セイトン</t>
    </rPh>
    <rPh sb="8" eb="9">
      <t>カカリ</t>
    </rPh>
    <phoneticPr fontId="1"/>
  </si>
  <si>
    <t>環境（名札）係</t>
    <rPh sb="0" eb="2">
      <t>カンキョウ</t>
    </rPh>
    <rPh sb="3" eb="5">
      <t>ナフダ</t>
    </rPh>
    <rPh sb="6" eb="7">
      <t>カカリ</t>
    </rPh>
    <phoneticPr fontId="1"/>
  </si>
  <si>
    <t>書記　音楽係　体育祭赤組リーダー</t>
    <rPh sb="0" eb="2">
      <t>ショキ</t>
    </rPh>
    <rPh sb="3" eb="5">
      <t>オンガク</t>
    </rPh>
    <rPh sb="5" eb="6">
      <t>カカリ</t>
    </rPh>
    <phoneticPr fontId="1"/>
  </si>
  <si>
    <t>社会係　体育祭白組リーダー</t>
    <rPh sb="0" eb="2">
      <t>シャカイ</t>
    </rPh>
    <rPh sb="2" eb="3">
      <t>カカリ</t>
    </rPh>
    <rPh sb="4" eb="7">
      <t>タイイクサイ</t>
    </rPh>
    <rPh sb="7" eb="9">
      <t>シログミ</t>
    </rPh>
    <phoneticPr fontId="1"/>
  </si>
  <si>
    <t>お便り物係</t>
    <rPh sb="1" eb="2">
      <t>タヨ</t>
    </rPh>
    <rPh sb="3" eb="4">
      <t>モノ</t>
    </rPh>
    <rPh sb="4" eb="5">
      <t>カカリ</t>
    </rPh>
    <phoneticPr fontId="1"/>
  </si>
  <si>
    <t>学習面では、いつも真面目に授業に取り組み、基本的な学力を身につけました。国語では、毎日の漢字練習に丁寧に取り組み、新出漢字を定着させることができました。自分の意見や考えをしっかりと持っているのですが、その意見や考えを、文章や言葉で表現することに少し苦手意識が感じられます。自主勉強で、読解問題に毎日取り組んでいるので、これからは日記など、書くことも取り入れてみましょう。算数では、授業態度や宿題への取り組み方がとても良く、発言も以前より増えてきました。「大きい数の計算」が少し苦手なようですので、しっかり復習しておきましょう。体育祭の棒引きでは、グループ決めの際、大和君と組みたいという声がとても多く、みんなからの信頼の厚さを感じました。生活面では、クラスの係活動や、給食当番、掃除を堅実に行い、友人との関わりでも、誰とでも誠実に接する姿が見らました。時間を守り、けじめを持って行動することができており、素晴らしかったです。２学期の更なる成長と活躍を期待しています。</t>
    <rPh sb="0" eb="2">
      <t>ガクシュウ</t>
    </rPh>
    <rPh sb="2" eb="3">
      <t>メン</t>
    </rPh>
    <rPh sb="9" eb="12">
      <t>マジメ</t>
    </rPh>
    <rPh sb="13" eb="15">
      <t>ジュギョウ</t>
    </rPh>
    <rPh sb="16" eb="17">
      <t>ト</t>
    </rPh>
    <rPh sb="18" eb="19">
      <t>ク</t>
    </rPh>
    <rPh sb="21" eb="24">
      <t>キホンテキ</t>
    </rPh>
    <rPh sb="25" eb="27">
      <t>ガクリョク</t>
    </rPh>
    <rPh sb="28" eb="29">
      <t>ミ</t>
    </rPh>
    <rPh sb="36" eb="38">
      <t>コクゴ</t>
    </rPh>
    <rPh sb="41" eb="43">
      <t>マイニチ</t>
    </rPh>
    <rPh sb="44" eb="46">
      <t>カンジ</t>
    </rPh>
    <rPh sb="46" eb="48">
      <t>レンシュウ</t>
    </rPh>
    <rPh sb="49" eb="51">
      <t>テイネイ</t>
    </rPh>
    <rPh sb="52" eb="53">
      <t>ト</t>
    </rPh>
    <rPh sb="54" eb="55">
      <t>ク</t>
    </rPh>
    <rPh sb="57" eb="59">
      <t>シンシュツ</t>
    </rPh>
    <rPh sb="59" eb="61">
      <t>カンジ</t>
    </rPh>
    <rPh sb="62" eb="64">
      <t>テイチャク</t>
    </rPh>
    <rPh sb="76" eb="78">
      <t>ジブン</t>
    </rPh>
    <rPh sb="79" eb="81">
      <t>イケン</t>
    </rPh>
    <rPh sb="82" eb="83">
      <t>カンガ</t>
    </rPh>
    <rPh sb="90" eb="91">
      <t>モ</t>
    </rPh>
    <rPh sb="102" eb="104">
      <t>イケン</t>
    </rPh>
    <rPh sb="105" eb="106">
      <t>カンガ</t>
    </rPh>
    <rPh sb="109" eb="111">
      <t>ブンショウ</t>
    </rPh>
    <rPh sb="112" eb="114">
      <t>コトバ</t>
    </rPh>
    <rPh sb="115" eb="117">
      <t>ヒョウゲン</t>
    </rPh>
    <rPh sb="122" eb="123">
      <t>スコ</t>
    </rPh>
    <rPh sb="124" eb="126">
      <t>ニガテ</t>
    </rPh>
    <rPh sb="126" eb="128">
      <t>イシキ</t>
    </rPh>
    <rPh sb="129" eb="130">
      <t>カン</t>
    </rPh>
    <rPh sb="136" eb="138">
      <t>ジシュ</t>
    </rPh>
    <rPh sb="138" eb="140">
      <t>ベンキョウ</t>
    </rPh>
    <rPh sb="142" eb="144">
      <t>ドッカイ</t>
    </rPh>
    <rPh sb="144" eb="146">
      <t>モンダイ</t>
    </rPh>
    <rPh sb="147" eb="149">
      <t>マイニチ</t>
    </rPh>
    <rPh sb="149" eb="150">
      <t>ト</t>
    </rPh>
    <rPh sb="151" eb="152">
      <t>ク</t>
    </rPh>
    <rPh sb="164" eb="166">
      <t>ニッキ</t>
    </rPh>
    <rPh sb="169" eb="170">
      <t>カ</t>
    </rPh>
    <rPh sb="174" eb="175">
      <t>ト</t>
    </rPh>
    <rPh sb="176" eb="177">
      <t>イ</t>
    </rPh>
    <rPh sb="185" eb="187">
      <t>サンスウ</t>
    </rPh>
    <rPh sb="190" eb="192">
      <t>ジュギョウ</t>
    </rPh>
    <rPh sb="263" eb="266">
      <t>タイイクサイ</t>
    </rPh>
    <rPh sb="267" eb="268">
      <t>ボウ</t>
    </rPh>
    <rPh sb="268" eb="269">
      <t>ヒ</t>
    </rPh>
    <rPh sb="277" eb="278">
      <t>キ</t>
    </rPh>
    <rPh sb="280" eb="281">
      <t>サイ</t>
    </rPh>
    <rPh sb="282" eb="285">
      <t>ヤマトクン</t>
    </rPh>
    <rPh sb="286" eb="287">
      <t>ク</t>
    </rPh>
    <rPh sb="293" eb="294">
      <t>コエ</t>
    </rPh>
    <rPh sb="298" eb="299">
      <t>オオ</t>
    </rPh>
    <rPh sb="307" eb="309">
      <t>シンライ</t>
    </rPh>
    <rPh sb="310" eb="311">
      <t>アツ</t>
    </rPh>
    <rPh sb="313" eb="314">
      <t>カン</t>
    </rPh>
    <rPh sb="319" eb="321">
      <t>セイカツ</t>
    </rPh>
    <rPh sb="321" eb="322">
      <t>メン</t>
    </rPh>
    <rPh sb="329" eb="330">
      <t>カカリ</t>
    </rPh>
    <rPh sb="330" eb="332">
      <t>カツドウ</t>
    </rPh>
    <rPh sb="334" eb="336">
      <t>キュウショク</t>
    </rPh>
    <rPh sb="336" eb="338">
      <t>トウバン</t>
    </rPh>
    <rPh sb="339" eb="341">
      <t>ソウジ</t>
    </rPh>
    <rPh sb="342" eb="344">
      <t>ケンジツ</t>
    </rPh>
    <rPh sb="345" eb="346">
      <t>オコナ</t>
    </rPh>
    <rPh sb="348" eb="350">
      <t>ユウジン</t>
    </rPh>
    <rPh sb="352" eb="353">
      <t>カカ</t>
    </rPh>
    <rPh sb="358" eb="359">
      <t>ダレ</t>
    </rPh>
    <rPh sb="362" eb="364">
      <t>セイジツ</t>
    </rPh>
    <rPh sb="365" eb="366">
      <t>セッ</t>
    </rPh>
    <rPh sb="368" eb="369">
      <t>スガタ</t>
    </rPh>
    <rPh sb="370" eb="371">
      <t>ミ</t>
    </rPh>
    <rPh sb="376" eb="378">
      <t>ジカン</t>
    </rPh>
    <rPh sb="379" eb="380">
      <t>マモ</t>
    </rPh>
    <rPh sb="386" eb="387">
      <t>モ</t>
    </rPh>
    <rPh sb="389" eb="391">
      <t>コウドウ</t>
    </rPh>
    <rPh sb="402" eb="404">
      <t>スバ</t>
    </rPh>
    <rPh sb="413" eb="415">
      <t>ガッキ</t>
    </rPh>
    <rPh sb="416" eb="417">
      <t>サラ</t>
    </rPh>
    <rPh sb="419" eb="421">
      <t>セイチョウ</t>
    </rPh>
    <rPh sb="422" eb="424">
      <t>カツヤク</t>
    </rPh>
    <rPh sb="425" eb="427">
      <t>キタイ</t>
    </rPh>
    <phoneticPr fontId="1"/>
  </si>
  <si>
    <t>学習面では、授業に真面目に取り組み、基本的な学力を身につけました。国語では、毎日の漢字練習を丁寧に行い、新出漢字を定着させることができました。更に自信を持って自分の考えや意見を発言できるようになることを願っています。算数では、授業に意欲的に取り組むことができました。算数に興味を持ち、算数オリンピックにもチャレンジしたことは素晴らしいです。今後も、その取り組みを継続することで、算数の力は更に伸びると思います。体育祭では、赤組リーダーに立候補し選出されました。棒引きでは、初めは大きな声が出せていませんでしたが、リーダーとして練習を繰り返し、大きな声が出せるようになり、大きく成長することができました。生活面では、クラスの音楽係として、整列、移動を先導したり、音楽バッグの整理整頓をしたりと責任を持って活動しました。また、学級書記として、主に学級会での記録を担い、学級長、副学級長を支えました。友人関係でも、良い関係を築き、笑顔で楽しく過ごすことができました。２学期の更なる成長と活躍を期待しています。</t>
    <rPh sb="0" eb="2">
      <t>ガクシュウ</t>
    </rPh>
    <rPh sb="2" eb="3">
      <t>メン</t>
    </rPh>
    <rPh sb="6" eb="8">
      <t>ジュギョウ</t>
    </rPh>
    <rPh sb="9" eb="12">
      <t>マジメ</t>
    </rPh>
    <rPh sb="13" eb="14">
      <t>ト</t>
    </rPh>
    <rPh sb="15" eb="16">
      <t>ク</t>
    </rPh>
    <rPh sb="18" eb="21">
      <t>キホンテキ</t>
    </rPh>
    <rPh sb="22" eb="24">
      <t>ガクリョク</t>
    </rPh>
    <rPh sb="25" eb="26">
      <t>ミ</t>
    </rPh>
    <rPh sb="33" eb="35">
      <t>コクゴ</t>
    </rPh>
    <rPh sb="38" eb="40">
      <t>マイニチ</t>
    </rPh>
    <rPh sb="41" eb="43">
      <t>カンジ</t>
    </rPh>
    <rPh sb="43" eb="45">
      <t>レンシュウ</t>
    </rPh>
    <rPh sb="46" eb="48">
      <t>テイネイ</t>
    </rPh>
    <rPh sb="49" eb="50">
      <t>オコナ</t>
    </rPh>
    <rPh sb="52" eb="54">
      <t>シンシュツ</t>
    </rPh>
    <rPh sb="54" eb="56">
      <t>カンジ</t>
    </rPh>
    <rPh sb="57" eb="59">
      <t>テイチャク</t>
    </rPh>
    <rPh sb="71" eb="72">
      <t>サラ</t>
    </rPh>
    <rPh sb="73" eb="75">
      <t>ジシン</t>
    </rPh>
    <rPh sb="76" eb="77">
      <t>モ</t>
    </rPh>
    <rPh sb="79" eb="81">
      <t>ジブン</t>
    </rPh>
    <rPh sb="82" eb="83">
      <t>カンガ</t>
    </rPh>
    <rPh sb="85" eb="87">
      <t>イケン</t>
    </rPh>
    <rPh sb="88" eb="90">
      <t>ハツゲン</t>
    </rPh>
    <rPh sb="101" eb="102">
      <t>ネガ</t>
    </rPh>
    <rPh sb="108" eb="110">
      <t>サンスウ</t>
    </rPh>
    <rPh sb="133" eb="135">
      <t>サンスウ</t>
    </rPh>
    <rPh sb="136" eb="138">
      <t>キョウミ</t>
    </rPh>
    <rPh sb="139" eb="140">
      <t>モ</t>
    </rPh>
    <rPh sb="142" eb="144">
      <t>サンスウ</t>
    </rPh>
    <rPh sb="162" eb="164">
      <t>スバ</t>
    </rPh>
    <rPh sb="170" eb="172">
      <t>コンゴ</t>
    </rPh>
    <rPh sb="176" eb="177">
      <t>ト</t>
    </rPh>
    <rPh sb="178" eb="179">
      <t>ク</t>
    </rPh>
    <rPh sb="181" eb="183">
      <t>ケイゾク</t>
    </rPh>
    <rPh sb="189" eb="191">
      <t>サンスウ</t>
    </rPh>
    <rPh sb="192" eb="193">
      <t>チカラ</t>
    </rPh>
    <rPh sb="194" eb="195">
      <t>サラ</t>
    </rPh>
    <rPh sb="196" eb="197">
      <t>ノ</t>
    </rPh>
    <rPh sb="200" eb="201">
      <t>オモ</t>
    </rPh>
    <rPh sb="205" eb="208">
      <t>タイイクサイ</t>
    </rPh>
    <rPh sb="211" eb="213">
      <t>アカグミ</t>
    </rPh>
    <rPh sb="218" eb="221">
      <t>リッコウホ</t>
    </rPh>
    <rPh sb="222" eb="224">
      <t>センシュツ</t>
    </rPh>
    <rPh sb="230" eb="231">
      <t>ボウ</t>
    </rPh>
    <rPh sb="231" eb="232">
      <t>ヒ</t>
    </rPh>
    <rPh sb="236" eb="237">
      <t>ハジ</t>
    </rPh>
    <rPh sb="239" eb="240">
      <t>オオ</t>
    </rPh>
    <rPh sb="242" eb="243">
      <t>コエ</t>
    </rPh>
    <rPh sb="244" eb="245">
      <t>ダ</t>
    </rPh>
    <rPh sb="263" eb="265">
      <t>レンシュウ</t>
    </rPh>
    <rPh sb="266" eb="267">
      <t>ク</t>
    </rPh>
    <rPh sb="268" eb="269">
      <t>カエ</t>
    </rPh>
    <rPh sb="271" eb="272">
      <t>オオ</t>
    </rPh>
    <rPh sb="274" eb="275">
      <t>コエ</t>
    </rPh>
    <rPh sb="276" eb="277">
      <t>ダ</t>
    </rPh>
    <rPh sb="285" eb="286">
      <t>オオ</t>
    </rPh>
    <rPh sb="288" eb="290">
      <t>セイチョウ</t>
    </rPh>
    <rPh sb="301" eb="303">
      <t>セイカツ</t>
    </rPh>
    <rPh sb="303" eb="304">
      <t>メン</t>
    </rPh>
    <rPh sb="311" eb="313">
      <t>オンガク</t>
    </rPh>
    <rPh sb="313" eb="314">
      <t>ガカリ</t>
    </rPh>
    <rPh sb="318" eb="320">
      <t>セイレツ</t>
    </rPh>
    <rPh sb="321" eb="323">
      <t>イドウ</t>
    </rPh>
    <rPh sb="324" eb="326">
      <t>センドウ</t>
    </rPh>
    <rPh sb="330" eb="332">
      <t>オンガク</t>
    </rPh>
    <rPh sb="336" eb="338">
      <t>セイリ</t>
    </rPh>
    <rPh sb="338" eb="340">
      <t>セイトン</t>
    </rPh>
    <rPh sb="345" eb="347">
      <t>セキニン</t>
    </rPh>
    <rPh sb="348" eb="349">
      <t>モ</t>
    </rPh>
    <rPh sb="351" eb="353">
      <t>カツドウ</t>
    </rPh>
    <rPh sb="376" eb="378">
      <t>キロク</t>
    </rPh>
    <rPh sb="397" eb="399">
      <t>ユウジン</t>
    </rPh>
    <rPh sb="399" eb="401">
      <t>カンケイ</t>
    </rPh>
    <rPh sb="404" eb="405">
      <t>ヨ</t>
    </rPh>
    <rPh sb="406" eb="408">
      <t>カンケイ</t>
    </rPh>
    <rPh sb="409" eb="410">
      <t>キズ</t>
    </rPh>
    <rPh sb="412" eb="414">
      <t>エガオ</t>
    </rPh>
    <rPh sb="415" eb="416">
      <t>タノ</t>
    </rPh>
    <rPh sb="418" eb="419">
      <t>ス</t>
    </rPh>
    <rPh sb="431" eb="433">
      <t>ガッキ</t>
    </rPh>
    <rPh sb="434" eb="435">
      <t>サラ</t>
    </rPh>
    <rPh sb="437" eb="439">
      <t>セイチョウ</t>
    </rPh>
    <rPh sb="440" eb="442">
      <t>カツヤク</t>
    </rPh>
    <rPh sb="443" eb="445">
      <t>キタイ</t>
    </rPh>
    <phoneticPr fontId="1"/>
  </si>
  <si>
    <t>欠席１（頭痛１）遅刻１（通院１）</t>
    <rPh sb="0" eb="2">
      <t>ケッセキ</t>
    </rPh>
    <rPh sb="4" eb="6">
      <t>ズツウ</t>
    </rPh>
    <rPh sb="8" eb="10">
      <t>チコク</t>
    </rPh>
    <rPh sb="12" eb="14">
      <t>ツウイン</t>
    </rPh>
    <phoneticPr fontId="1"/>
  </si>
  <si>
    <t>欠席４（風邪４）早退２（体調不良２）</t>
    <rPh sb="0" eb="2">
      <t>ケッセキ</t>
    </rPh>
    <rPh sb="4" eb="6">
      <t>カゼ</t>
    </rPh>
    <rPh sb="8" eb="10">
      <t>ソウタイ</t>
    </rPh>
    <rPh sb="12" eb="14">
      <t>タイチョウ</t>
    </rPh>
    <rPh sb="14" eb="16">
      <t>フリョウ</t>
    </rPh>
    <phoneticPr fontId="1"/>
  </si>
  <si>
    <t>欠席２（体調不良１ 心身不調１）遅刻２（家事都合２）</t>
    <rPh sb="0" eb="2">
      <t>ケッセキ</t>
    </rPh>
    <rPh sb="4" eb="6">
      <t>タイチョウ</t>
    </rPh>
    <rPh sb="6" eb="8">
      <t>フリョウ</t>
    </rPh>
    <rPh sb="10" eb="12">
      <t>シンシン</t>
    </rPh>
    <rPh sb="12" eb="14">
      <t>フチョウ</t>
    </rPh>
    <rPh sb="16" eb="18">
      <t>チコク</t>
    </rPh>
    <rPh sb="20" eb="22">
      <t>カジ</t>
    </rPh>
    <rPh sb="22" eb="24">
      <t>ツゴウ</t>
    </rPh>
    <phoneticPr fontId="1"/>
  </si>
  <si>
    <t>欠席５（風邪３ 疲労２）</t>
    <rPh sb="0" eb="2">
      <t>ケッセキ</t>
    </rPh>
    <rPh sb="4" eb="6">
      <t>カゼ</t>
    </rPh>
    <rPh sb="8" eb="10">
      <t>ヒロウ</t>
    </rPh>
    <phoneticPr fontId="1"/>
  </si>
  <si>
    <t>遅刻２（腹痛２）</t>
    <rPh sb="0" eb="2">
      <t>チコク</t>
    </rPh>
    <rPh sb="4" eb="6">
      <t>フクツウ</t>
    </rPh>
    <phoneticPr fontId="1"/>
  </si>
  <si>
    <t>欠席２（家事都合２）</t>
    <rPh sb="0" eb="2">
      <t>ケッセキ</t>
    </rPh>
    <rPh sb="4" eb="6">
      <t>カジ</t>
    </rPh>
    <rPh sb="6" eb="8">
      <t>ツゴウ</t>
    </rPh>
    <phoneticPr fontId="1"/>
  </si>
  <si>
    <t>欠席４（家事都合４）遅刻３（体調不良２ 家事都合１）早退２（家事都合２）</t>
    <rPh sb="0" eb="2">
      <t>ケッセキ</t>
    </rPh>
    <rPh sb="4" eb="6">
      <t>カジ</t>
    </rPh>
    <rPh sb="6" eb="8">
      <t>ツゴウ</t>
    </rPh>
    <rPh sb="10" eb="12">
      <t>チコク</t>
    </rPh>
    <rPh sb="14" eb="16">
      <t>タイチョウ</t>
    </rPh>
    <rPh sb="16" eb="18">
      <t>フリョウ</t>
    </rPh>
    <rPh sb="20" eb="22">
      <t>カジ</t>
    </rPh>
    <rPh sb="22" eb="24">
      <t>ツゴウ</t>
    </rPh>
    <rPh sb="26" eb="28">
      <t>ソウタイ</t>
    </rPh>
    <rPh sb="30" eb="32">
      <t>カジ</t>
    </rPh>
    <rPh sb="32" eb="34">
      <t>ツゴウ</t>
    </rPh>
    <phoneticPr fontId="1"/>
  </si>
  <si>
    <t>欠席１（家事都合１）</t>
    <rPh sb="0" eb="2">
      <t>ケッセキ</t>
    </rPh>
    <rPh sb="4" eb="6">
      <t>カジ</t>
    </rPh>
    <rPh sb="6" eb="8">
      <t>ツゴウ</t>
    </rPh>
    <phoneticPr fontId="1"/>
  </si>
  <si>
    <t>欠席１（頭痛１）</t>
    <rPh sb="0" eb="2">
      <t>ケッセキ</t>
    </rPh>
    <rPh sb="4" eb="6">
      <t>ズツウ</t>
    </rPh>
    <phoneticPr fontId="1"/>
  </si>
  <si>
    <t>A</t>
    <phoneticPr fontId="1"/>
  </si>
  <si>
    <t>B</t>
    <phoneticPr fontId="1"/>
  </si>
  <si>
    <t>C</t>
    <phoneticPr fontId="1"/>
  </si>
  <si>
    <t>目的に応じて文章などを要約して、文章や新聞にまとめて書くことができる</t>
    <rPh sb="0" eb="2">
      <t>モクテキ</t>
    </rPh>
    <rPh sb="3" eb="4">
      <t>オウ</t>
    </rPh>
    <rPh sb="6" eb="8">
      <t>ブンショウ</t>
    </rPh>
    <rPh sb="11" eb="13">
      <t>ヨウヤク</t>
    </rPh>
    <rPh sb="16" eb="18">
      <t>ブンショウ</t>
    </rPh>
    <rPh sb="19" eb="21">
      <t>シンブン</t>
    </rPh>
    <rPh sb="26" eb="27">
      <t>カ</t>
    </rPh>
    <phoneticPr fontId="1"/>
  </si>
  <si>
    <t>理科係　体育祭赤組リーダー</t>
    <rPh sb="0" eb="2">
      <t>リカ</t>
    </rPh>
    <rPh sb="2" eb="3">
      <t>ガカリ</t>
    </rPh>
    <rPh sb="4" eb="7">
      <t>タイイクサイ</t>
    </rPh>
    <rPh sb="7" eb="8">
      <t>アカ</t>
    </rPh>
    <phoneticPr fontId="1"/>
  </si>
  <si>
    <t>学習面では、意欲的に授業に取り組み、基本的な学力を身につけました。国語では、漢字テスト、単元テストも良くできています。問題をよく読んでケアレスミスをなくすようにしていきましょう。算数では、学習した内容を良く理解しています。テストの際、式を書くこと、数字を丁寧に書くことなどがきちんとできるようになれば、さらに成績が上がると思います。また、国語、算数ともに記名を忘れることが目につきます。基本的なことなのでしっかりと改善していきましょう。生活面では、体育祭において、赤組リーダーとなり、集合や整列の際に積極的に声をかけることができ、大きく成長しました。また、入場行進では、みんなの模範になる行進をすることができ、本当に素晴らしかったです。理科係として、宿題や授業の連絡を責任を持って行いました。クラスのみんなに声をかけて、頑張っていました。ただ、話を聞くことができていないことが、時々見受けられました。聞くことは、全てにおいて大切なことです。２学期は、そのことを意識して改善していきましょう。更なる活躍を期待しています。</t>
    <rPh sb="0" eb="2">
      <t>ガクシュウ</t>
    </rPh>
    <rPh sb="2" eb="3">
      <t>メン</t>
    </rPh>
    <rPh sb="6" eb="9">
      <t>イヨクテキ</t>
    </rPh>
    <rPh sb="10" eb="12">
      <t>ジュギョウ</t>
    </rPh>
    <rPh sb="13" eb="14">
      <t>ト</t>
    </rPh>
    <rPh sb="15" eb="16">
      <t>ク</t>
    </rPh>
    <rPh sb="18" eb="21">
      <t>キホンテキ</t>
    </rPh>
    <rPh sb="22" eb="24">
      <t>ガクリョク</t>
    </rPh>
    <rPh sb="25" eb="26">
      <t>ミ</t>
    </rPh>
    <rPh sb="33" eb="35">
      <t>コクゴ</t>
    </rPh>
    <rPh sb="38" eb="40">
      <t>カンジ</t>
    </rPh>
    <rPh sb="44" eb="46">
      <t>タンゲン</t>
    </rPh>
    <rPh sb="50" eb="51">
      <t>ヨ</t>
    </rPh>
    <rPh sb="59" eb="61">
      <t>モンダイ</t>
    </rPh>
    <rPh sb="64" eb="65">
      <t>ヨ</t>
    </rPh>
    <rPh sb="89" eb="91">
      <t>サンスウ</t>
    </rPh>
    <rPh sb="101" eb="102">
      <t>ヨ</t>
    </rPh>
    <rPh sb="169" eb="171">
      <t>コクゴ</t>
    </rPh>
    <rPh sb="172" eb="174">
      <t>サンスウ</t>
    </rPh>
    <rPh sb="177" eb="179">
      <t>キメイ</t>
    </rPh>
    <rPh sb="180" eb="181">
      <t>ワス</t>
    </rPh>
    <rPh sb="186" eb="187">
      <t>メ</t>
    </rPh>
    <rPh sb="193" eb="196">
      <t>キホンテキ</t>
    </rPh>
    <rPh sb="207" eb="209">
      <t>カイゼン</t>
    </rPh>
    <rPh sb="218" eb="221">
      <t>セイカツメン</t>
    </rPh>
    <rPh sb="224" eb="227">
      <t>タイイクサイ</t>
    </rPh>
    <rPh sb="232" eb="233">
      <t>アカ</t>
    </rPh>
    <rPh sb="242" eb="244">
      <t>シュウゴウ</t>
    </rPh>
    <rPh sb="245" eb="247">
      <t>セイレツ</t>
    </rPh>
    <rPh sb="248" eb="249">
      <t>サイ</t>
    </rPh>
    <rPh sb="250" eb="253">
      <t>セッキョクテキ</t>
    </rPh>
    <rPh sb="254" eb="255">
      <t>コエ</t>
    </rPh>
    <rPh sb="265" eb="266">
      <t>オオ</t>
    </rPh>
    <rPh sb="268" eb="270">
      <t>セイチョウ</t>
    </rPh>
    <rPh sb="278" eb="280">
      <t>ニュウジョウ</t>
    </rPh>
    <rPh sb="280" eb="282">
      <t>コウシン</t>
    </rPh>
    <rPh sb="289" eb="291">
      <t>モハン</t>
    </rPh>
    <rPh sb="294" eb="296">
      <t>コウシン</t>
    </rPh>
    <rPh sb="305" eb="307">
      <t>ホントウ</t>
    </rPh>
    <rPh sb="308" eb="310">
      <t>スバ</t>
    </rPh>
    <rPh sb="318" eb="320">
      <t>リカ</t>
    </rPh>
    <rPh sb="320" eb="321">
      <t>ガカリ</t>
    </rPh>
    <rPh sb="325" eb="327">
      <t>シュクダイ</t>
    </rPh>
    <rPh sb="328" eb="330">
      <t>ジュギョウ</t>
    </rPh>
    <rPh sb="331" eb="333">
      <t>レンラク</t>
    </rPh>
    <rPh sb="334" eb="336">
      <t>セキニン</t>
    </rPh>
    <rPh sb="337" eb="338">
      <t>モ</t>
    </rPh>
    <rPh sb="340" eb="341">
      <t>オコナ</t>
    </rPh>
    <rPh sb="354" eb="355">
      <t>コエ</t>
    </rPh>
    <rPh sb="360" eb="362">
      <t>ガンバ</t>
    </rPh>
    <rPh sb="372" eb="373">
      <t>ハナシ</t>
    </rPh>
    <rPh sb="374" eb="375">
      <t>キ</t>
    </rPh>
    <rPh sb="389" eb="391">
      <t>トキドキ</t>
    </rPh>
    <rPh sb="391" eb="393">
      <t>ミウ</t>
    </rPh>
    <rPh sb="400" eb="401">
      <t>キ</t>
    </rPh>
    <rPh sb="406" eb="407">
      <t>スベ</t>
    </rPh>
    <rPh sb="412" eb="414">
      <t>タイセツ</t>
    </rPh>
    <rPh sb="421" eb="423">
      <t>ガッキ</t>
    </rPh>
    <rPh sb="430" eb="432">
      <t>イシキ</t>
    </rPh>
    <rPh sb="434" eb="436">
      <t>カイゼン</t>
    </rPh>
    <rPh sb="445" eb="446">
      <t>サラ</t>
    </rPh>
    <rPh sb="448" eb="450">
      <t>カツヤク</t>
    </rPh>
    <rPh sb="451" eb="453">
      <t>キタイ</t>
    </rPh>
    <phoneticPr fontId="1"/>
  </si>
  <si>
    <t>学習面では、授業に真面目に取り組み、基本的な学力を身につけました。国語の漢字練習では、大きく読みやすい字で書くことができ素晴らしいです。漢字テスト、単元テストも良くできています。模試ではケアレスミスが見られるので、問題をよく読むことを心がけるとさらに得点が伸びます。また、自分の考えを文章や言葉で表現することに少し苦手意識が感じられます。自主勉強で日記など、書くことを取り入れてみましょう。算数では、ノートをきちんと取り、宿題を忘れずに提出することができました。授業中の発言は多くはないのですが、間違いを恐れず、積極的に発言できるようになるといいです。時折、授業中の集中力が欠け、姿勢が崩れることがありますので、２学期は意識していきましょう。生活面では、体育祭を通して、大きな声で返事が出来るようになり、大きく成長しました。登山遠足では、途中体調を崩し辛い思いをしましたが、最後まで頑張りました。休み時間はクラスの友だちと楽しく過ごすことができました。２学期の更なる成長を期待しています。</t>
    <rPh sb="0" eb="2">
      <t>ガクシュウ</t>
    </rPh>
    <rPh sb="2" eb="3">
      <t>メン</t>
    </rPh>
    <rPh sb="6" eb="8">
      <t>ジュギョウ</t>
    </rPh>
    <rPh sb="9" eb="12">
      <t>マジメ</t>
    </rPh>
    <rPh sb="13" eb="14">
      <t>ト</t>
    </rPh>
    <rPh sb="15" eb="16">
      <t>ク</t>
    </rPh>
    <rPh sb="18" eb="21">
      <t>キホンテキ</t>
    </rPh>
    <rPh sb="22" eb="24">
      <t>ガクリョク</t>
    </rPh>
    <rPh sb="25" eb="26">
      <t>ミ</t>
    </rPh>
    <rPh sb="33" eb="35">
      <t>コクゴ</t>
    </rPh>
    <rPh sb="36" eb="38">
      <t>カンジ</t>
    </rPh>
    <rPh sb="38" eb="40">
      <t>レンシュウ</t>
    </rPh>
    <rPh sb="43" eb="44">
      <t>オオ</t>
    </rPh>
    <rPh sb="46" eb="47">
      <t>ヨ</t>
    </rPh>
    <rPh sb="51" eb="52">
      <t>ジ</t>
    </rPh>
    <rPh sb="53" eb="54">
      <t>カ</t>
    </rPh>
    <rPh sb="60" eb="62">
      <t>スバ</t>
    </rPh>
    <rPh sb="68" eb="70">
      <t>カンジ</t>
    </rPh>
    <rPh sb="74" eb="76">
      <t>タンゲン</t>
    </rPh>
    <rPh sb="80" eb="81">
      <t>ヨ</t>
    </rPh>
    <rPh sb="89" eb="91">
      <t>モシ</t>
    </rPh>
    <rPh sb="100" eb="101">
      <t>ミ</t>
    </rPh>
    <rPh sb="107" eb="109">
      <t>モンダイ</t>
    </rPh>
    <rPh sb="112" eb="113">
      <t>ヨ</t>
    </rPh>
    <rPh sb="117" eb="118">
      <t>ココロ</t>
    </rPh>
    <rPh sb="125" eb="127">
      <t>トクテン</t>
    </rPh>
    <rPh sb="128" eb="129">
      <t>ノ</t>
    </rPh>
    <rPh sb="136" eb="138">
      <t>ジブン</t>
    </rPh>
    <rPh sb="139" eb="140">
      <t>カンガ</t>
    </rPh>
    <rPh sb="142" eb="144">
      <t>ブンショウ</t>
    </rPh>
    <rPh sb="145" eb="147">
      <t>コトバ</t>
    </rPh>
    <rPh sb="148" eb="150">
      <t>ヒョウゲン</t>
    </rPh>
    <rPh sb="155" eb="156">
      <t>スコ</t>
    </rPh>
    <rPh sb="157" eb="159">
      <t>ニガテ</t>
    </rPh>
    <rPh sb="159" eb="161">
      <t>イシキ</t>
    </rPh>
    <rPh sb="162" eb="163">
      <t>カン</t>
    </rPh>
    <rPh sb="169" eb="171">
      <t>ジシュ</t>
    </rPh>
    <rPh sb="171" eb="173">
      <t>ベンキョウ</t>
    </rPh>
    <rPh sb="174" eb="176">
      <t>ニッキ</t>
    </rPh>
    <rPh sb="179" eb="180">
      <t>カ</t>
    </rPh>
    <rPh sb="184" eb="185">
      <t>ト</t>
    </rPh>
    <rPh sb="186" eb="187">
      <t>イ</t>
    </rPh>
    <rPh sb="195" eb="197">
      <t>サンスウ</t>
    </rPh>
    <rPh sb="235" eb="237">
      <t>ハツゲン</t>
    </rPh>
    <rPh sb="238" eb="239">
      <t>オオ</t>
    </rPh>
    <rPh sb="276" eb="278">
      <t>トキオリ</t>
    </rPh>
    <rPh sb="279" eb="282">
      <t>ジュギョウチュウ</t>
    </rPh>
    <rPh sb="283" eb="286">
      <t>シュウチュウリョク</t>
    </rPh>
    <rPh sb="287" eb="288">
      <t>カ</t>
    </rPh>
    <rPh sb="290" eb="292">
      <t>シセイ</t>
    </rPh>
    <rPh sb="293" eb="294">
      <t>クズ</t>
    </rPh>
    <rPh sb="307" eb="309">
      <t>ガッキ</t>
    </rPh>
    <rPh sb="310" eb="312">
      <t>イシキ</t>
    </rPh>
    <rPh sb="321" eb="324">
      <t>セイカツメン</t>
    </rPh>
    <rPh sb="327" eb="330">
      <t>タイイクサイ</t>
    </rPh>
    <rPh sb="331" eb="332">
      <t>トオ</t>
    </rPh>
    <rPh sb="352" eb="353">
      <t>オオ</t>
    </rPh>
    <rPh sb="398" eb="399">
      <t>ヤス</t>
    </rPh>
    <rPh sb="400" eb="402">
      <t>ジカン</t>
    </rPh>
    <rPh sb="407" eb="408">
      <t>トモ</t>
    </rPh>
    <rPh sb="411" eb="412">
      <t>タノ</t>
    </rPh>
    <rPh sb="414" eb="415">
      <t>ス</t>
    </rPh>
    <rPh sb="427" eb="429">
      <t>ガッキ</t>
    </rPh>
    <rPh sb="430" eb="431">
      <t>サラ</t>
    </rPh>
    <rPh sb="433" eb="435">
      <t>セイチョウ</t>
    </rPh>
    <rPh sb="436" eb="438">
      <t>キタイ</t>
    </rPh>
    <phoneticPr fontId="1"/>
  </si>
  <si>
    <t>学習面では、４月当初、授業中に集中力が欠けるところが見られましたが、最近はとても良くなりました。国語では、自主勉強で積極的に漢字練習に取り組み、力をつけました。単元テストや模試でも良い結果が出るようになりました。一方、自分の考えを文章や言葉で表現することに、少し苦手意識が感じられます。自主勉強で日記など、書くことを取り入れてみましょう。算数では、初めのころは、宿題を提出できないことがあったのですが、途中から改善されてきました。初めてのことを理解するのには時間がかかりますが、一旦理解してしまえば、確実に解くことができました。自主勉強で計算問題に取り組んでいます。計算力をつけるために、これからも継続していきましょう。学校行事では、体育祭に全力で取り組み、短距離走では２位になることができました。生活面では、クラスの仲間と落ち着いて過ごすことができました。黒板係や掃除、給食などの仕事を責任を持って行いました。綾さんの個性を生かして、２学期の更なる活躍を期待しています。</t>
    <rPh sb="0" eb="2">
      <t>ガクシュウ</t>
    </rPh>
    <rPh sb="2" eb="3">
      <t>メン</t>
    </rPh>
    <rPh sb="7" eb="8">
      <t>ガツ</t>
    </rPh>
    <rPh sb="8" eb="10">
      <t>トウショ</t>
    </rPh>
    <rPh sb="11" eb="13">
      <t>ジュギョウ</t>
    </rPh>
    <rPh sb="13" eb="14">
      <t>チュウ</t>
    </rPh>
    <rPh sb="15" eb="18">
      <t>シュウチュウリョク</t>
    </rPh>
    <rPh sb="19" eb="20">
      <t>カ</t>
    </rPh>
    <rPh sb="26" eb="27">
      <t>ミ</t>
    </rPh>
    <rPh sb="40" eb="41">
      <t>ヨ</t>
    </rPh>
    <rPh sb="48" eb="50">
      <t>コクゴ</t>
    </rPh>
    <rPh sb="53" eb="55">
      <t>ジシュ</t>
    </rPh>
    <rPh sb="55" eb="57">
      <t>ベンキョウ</t>
    </rPh>
    <rPh sb="58" eb="61">
      <t>セッキョクテキ</t>
    </rPh>
    <rPh sb="62" eb="64">
      <t>カンジ</t>
    </rPh>
    <rPh sb="64" eb="66">
      <t>レンシュウ</t>
    </rPh>
    <rPh sb="67" eb="68">
      <t>ト</t>
    </rPh>
    <rPh sb="69" eb="70">
      <t>ク</t>
    </rPh>
    <rPh sb="72" eb="73">
      <t>チカラ</t>
    </rPh>
    <rPh sb="80" eb="82">
      <t>タンゲン</t>
    </rPh>
    <rPh sb="86" eb="88">
      <t>モシ</t>
    </rPh>
    <rPh sb="90" eb="91">
      <t>ヨ</t>
    </rPh>
    <rPh sb="95" eb="96">
      <t>デ</t>
    </rPh>
    <rPh sb="106" eb="108">
      <t>イッポウ</t>
    </rPh>
    <rPh sb="109" eb="111">
      <t>ジブン</t>
    </rPh>
    <rPh sb="112" eb="113">
      <t>カンガ</t>
    </rPh>
    <rPh sb="115" eb="117">
      <t>ブンショウ</t>
    </rPh>
    <rPh sb="118" eb="120">
      <t>コトバ</t>
    </rPh>
    <rPh sb="121" eb="123">
      <t>ヒョウゲン</t>
    </rPh>
    <rPh sb="129" eb="130">
      <t>スコ</t>
    </rPh>
    <rPh sb="131" eb="133">
      <t>ニガテ</t>
    </rPh>
    <rPh sb="133" eb="135">
      <t>イシキ</t>
    </rPh>
    <rPh sb="136" eb="137">
      <t>カン</t>
    </rPh>
    <rPh sb="143" eb="145">
      <t>ジシュ</t>
    </rPh>
    <rPh sb="145" eb="147">
      <t>ベンキョウ</t>
    </rPh>
    <rPh sb="148" eb="150">
      <t>ニッキ</t>
    </rPh>
    <rPh sb="153" eb="154">
      <t>カ</t>
    </rPh>
    <rPh sb="158" eb="159">
      <t>ト</t>
    </rPh>
    <rPh sb="160" eb="161">
      <t>イ</t>
    </rPh>
    <rPh sb="169" eb="171">
      <t>サンスウ</t>
    </rPh>
    <rPh sb="264" eb="266">
      <t>ジシュ</t>
    </rPh>
    <rPh sb="266" eb="268">
      <t>ベンキョウ</t>
    </rPh>
    <rPh sb="269" eb="271">
      <t>ケイサン</t>
    </rPh>
    <rPh sb="271" eb="273">
      <t>モンダイ</t>
    </rPh>
    <rPh sb="274" eb="275">
      <t>ト</t>
    </rPh>
    <rPh sb="276" eb="277">
      <t>ク</t>
    </rPh>
    <rPh sb="299" eb="301">
      <t>ケイゾク</t>
    </rPh>
    <rPh sb="310" eb="312">
      <t>ガッコウ</t>
    </rPh>
    <rPh sb="312" eb="314">
      <t>ギョウジ</t>
    </rPh>
    <rPh sb="317" eb="320">
      <t>タイイクサイ</t>
    </rPh>
    <rPh sb="321" eb="323">
      <t>ゼンリョク</t>
    </rPh>
    <rPh sb="324" eb="325">
      <t>ト</t>
    </rPh>
    <rPh sb="326" eb="327">
      <t>ク</t>
    </rPh>
    <rPh sb="329" eb="332">
      <t>タンキョリ</t>
    </rPh>
    <rPh sb="332" eb="333">
      <t>ソウ</t>
    </rPh>
    <rPh sb="336" eb="337">
      <t>イ</t>
    </rPh>
    <rPh sb="349" eb="351">
      <t>セイカツ</t>
    </rPh>
    <rPh sb="351" eb="352">
      <t>メン</t>
    </rPh>
    <rPh sb="359" eb="361">
      <t>ナカマ</t>
    </rPh>
    <rPh sb="362" eb="363">
      <t>オ</t>
    </rPh>
    <rPh sb="364" eb="365">
      <t>ツ</t>
    </rPh>
    <rPh sb="367" eb="368">
      <t>ス</t>
    </rPh>
    <rPh sb="379" eb="381">
      <t>コクバン</t>
    </rPh>
    <rPh sb="381" eb="382">
      <t>ガカリ</t>
    </rPh>
    <rPh sb="383" eb="385">
      <t>ソウジ</t>
    </rPh>
    <rPh sb="386" eb="388">
      <t>キュウショク</t>
    </rPh>
    <rPh sb="391" eb="393">
      <t>シゴト</t>
    </rPh>
    <rPh sb="394" eb="396">
      <t>セキニン</t>
    </rPh>
    <rPh sb="397" eb="398">
      <t>モ</t>
    </rPh>
    <rPh sb="400" eb="401">
      <t>オコナ</t>
    </rPh>
    <rPh sb="406" eb="407">
      <t>アヤ</t>
    </rPh>
    <rPh sb="410" eb="412">
      <t>コセイ</t>
    </rPh>
    <rPh sb="413" eb="414">
      <t>イ</t>
    </rPh>
    <rPh sb="419" eb="421">
      <t>ガッキ</t>
    </rPh>
    <rPh sb="422" eb="423">
      <t>サラ</t>
    </rPh>
    <rPh sb="425" eb="427">
      <t>カツヤク</t>
    </rPh>
    <rPh sb="428" eb="430">
      <t>キタイ</t>
    </rPh>
    <phoneticPr fontId="1"/>
  </si>
  <si>
    <t>学習面では、授業に真面目に取り組み、基本的な学力を身につけました。国語では、毎日の漢字練習に工夫して取り組み、着実に力をつけました。単元テスト、模試でも安定した結果を出していますが、さらに成績を伸ばすために、文章読解で問題に沿った答え方ができるように、しっかりと復習をしておきましょう。算数では、初めて学習することを理解するのに、少し時間がかかりますが、一旦理解できると、確実に解けるようになります。分からないときは、分かるまでやったり、質問したりするなどして解決していきましょう。特に、「折れ線グラフと表」や「角の大きさ」では苦労していたようです。もう一度確認しておきましょう。体育祭では、全てに全力で取り組み、整列、返事などの行動で大きく成長することができました。特に短距離走では最後まで走り切り、力を出し切ることができました。生活面では、算数係としての仕事をきちんと行い、休み時間や放課後は、元気いっぱい体を動かして楽しく過ごすことができました。２学期の更なる活躍を期待しています。</t>
    <rPh sb="0" eb="2">
      <t>ガクシュウ</t>
    </rPh>
    <rPh sb="2" eb="3">
      <t>メン</t>
    </rPh>
    <rPh sb="6" eb="8">
      <t>ジュギョウ</t>
    </rPh>
    <rPh sb="9" eb="12">
      <t>マジメ</t>
    </rPh>
    <rPh sb="13" eb="14">
      <t>ト</t>
    </rPh>
    <rPh sb="15" eb="16">
      <t>ク</t>
    </rPh>
    <rPh sb="18" eb="21">
      <t>キホンテキ</t>
    </rPh>
    <rPh sb="22" eb="24">
      <t>ガクリョク</t>
    </rPh>
    <rPh sb="25" eb="26">
      <t>ミ</t>
    </rPh>
    <rPh sb="33" eb="35">
      <t>コクゴ</t>
    </rPh>
    <rPh sb="38" eb="40">
      <t>マイニチ</t>
    </rPh>
    <rPh sb="41" eb="43">
      <t>カンジ</t>
    </rPh>
    <rPh sb="43" eb="45">
      <t>レンシュウ</t>
    </rPh>
    <rPh sb="46" eb="48">
      <t>クフウ</t>
    </rPh>
    <rPh sb="50" eb="51">
      <t>ト</t>
    </rPh>
    <rPh sb="52" eb="53">
      <t>ク</t>
    </rPh>
    <rPh sb="55" eb="57">
      <t>チャクジツ</t>
    </rPh>
    <rPh sb="58" eb="59">
      <t>チカラ</t>
    </rPh>
    <rPh sb="66" eb="68">
      <t>タンゲン</t>
    </rPh>
    <rPh sb="72" eb="74">
      <t>モシ</t>
    </rPh>
    <rPh sb="76" eb="78">
      <t>アンテイ</t>
    </rPh>
    <rPh sb="80" eb="82">
      <t>ケッカ</t>
    </rPh>
    <rPh sb="83" eb="84">
      <t>ダ</t>
    </rPh>
    <rPh sb="94" eb="96">
      <t>セイセキ</t>
    </rPh>
    <rPh sb="97" eb="98">
      <t>ノ</t>
    </rPh>
    <rPh sb="104" eb="106">
      <t>ブンショウ</t>
    </rPh>
    <rPh sb="106" eb="108">
      <t>ドッカイ</t>
    </rPh>
    <rPh sb="109" eb="111">
      <t>モンダイ</t>
    </rPh>
    <rPh sb="112" eb="113">
      <t>ソ</t>
    </rPh>
    <rPh sb="115" eb="116">
      <t>コタ</t>
    </rPh>
    <rPh sb="117" eb="118">
      <t>カタ</t>
    </rPh>
    <rPh sb="131" eb="133">
      <t>フクシュウ</t>
    </rPh>
    <rPh sb="143" eb="145">
      <t>サンスウ</t>
    </rPh>
    <rPh sb="200" eb="201">
      <t>ワ</t>
    </rPh>
    <rPh sb="209" eb="210">
      <t>ワ</t>
    </rPh>
    <rPh sb="230" eb="232">
      <t>カイケツ</t>
    </rPh>
    <rPh sb="241" eb="242">
      <t>トク</t>
    </rPh>
    <rPh sb="264" eb="266">
      <t>クロウ</t>
    </rPh>
    <rPh sb="277" eb="279">
      <t>イチド</t>
    </rPh>
    <rPh sb="279" eb="281">
      <t>カクニン</t>
    </rPh>
    <rPh sb="290" eb="293">
      <t>タイイクサイ</t>
    </rPh>
    <rPh sb="296" eb="297">
      <t>スベ</t>
    </rPh>
    <rPh sb="299" eb="301">
      <t>ゼンリョク</t>
    </rPh>
    <rPh sb="302" eb="303">
      <t>ト</t>
    </rPh>
    <rPh sb="304" eb="305">
      <t>ク</t>
    </rPh>
    <rPh sb="307" eb="309">
      <t>セイレツ</t>
    </rPh>
    <rPh sb="310" eb="312">
      <t>ヘンジ</t>
    </rPh>
    <rPh sb="315" eb="317">
      <t>コウドウ</t>
    </rPh>
    <rPh sb="318" eb="319">
      <t>オオ</t>
    </rPh>
    <rPh sb="321" eb="323">
      <t>セイチョウ</t>
    </rPh>
    <rPh sb="334" eb="335">
      <t>トク</t>
    </rPh>
    <rPh sb="336" eb="340">
      <t>タンキョリソウ</t>
    </rPh>
    <rPh sb="342" eb="344">
      <t>サイゴ</t>
    </rPh>
    <rPh sb="346" eb="347">
      <t>ハシ</t>
    </rPh>
    <rPh sb="348" eb="349">
      <t>キ</t>
    </rPh>
    <rPh sb="351" eb="352">
      <t>チカラ</t>
    </rPh>
    <rPh sb="353" eb="354">
      <t>ダ</t>
    </rPh>
    <rPh sb="355" eb="356">
      <t>キ</t>
    </rPh>
    <rPh sb="366" eb="368">
      <t>セイカツ</t>
    </rPh>
    <rPh sb="368" eb="369">
      <t>メン</t>
    </rPh>
    <rPh sb="372" eb="374">
      <t>サンスウ</t>
    </rPh>
    <rPh sb="374" eb="375">
      <t>ガカリ</t>
    </rPh>
    <rPh sb="379" eb="381">
      <t>シゴト</t>
    </rPh>
    <rPh sb="386" eb="387">
      <t>オコナ</t>
    </rPh>
    <rPh sb="389" eb="390">
      <t>ヤス</t>
    </rPh>
    <rPh sb="391" eb="393">
      <t>ジカン</t>
    </rPh>
    <rPh sb="394" eb="397">
      <t>ホウカゴ</t>
    </rPh>
    <rPh sb="399" eb="401">
      <t>ゲンキ</t>
    </rPh>
    <rPh sb="405" eb="406">
      <t>カラダ</t>
    </rPh>
    <rPh sb="407" eb="408">
      <t>ウゴ</t>
    </rPh>
    <rPh sb="411" eb="412">
      <t>タノ</t>
    </rPh>
    <rPh sb="414" eb="415">
      <t>ス</t>
    </rPh>
    <rPh sb="427" eb="429">
      <t>ガッキ</t>
    </rPh>
    <rPh sb="430" eb="431">
      <t>サラ</t>
    </rPh>
    <rPh sb="433" eb="435">
      <t>カツヤク</t>
    </rPh>
    <rPh sb="436" eb="438">
      <t>キタイ</t>
    </rPh>
    <phoneticPr fontId="1"/>
  </si>
  <si>
    <t>学習面では、意欲的に授業に取り組み、既習範囲の学力を着実に身につけました。国語では、毎日の漢字練習に丁寧に取り組み、新出漢字を確実に覚えました。模試でもしっかりと実力を発揮して１００点をとることができました。算数では、「折れ線グラフ」の単元テストではミスがありましたが、授業では常に意欲的な取り組みができています。自主勉強は、英語の学習に重点を置き、毎日確実に取り組む習慣がつきました。何事もしっかりとできている藍里さんです。これからは更に高い目標を掲げ、発展的な学習にも積極的に取り組んでいきましょう。学校行事の登山遠足では、班長としてのリーダーシップを発揮し、みんなと楽しく過ごしました。生活面では、いつも本を欠かさず持ち、休み時間は読書をして過ごしていました。時折、授業の開始時間を忘れてしまうほど、没頭しています。その集中力は素晴らしいです。クラスでは、算数係や掃除、給食などの仕事を責任を持って行いました。２学期には、さいきょう祭もあります。藍里さんの更なる活躍を期待しています。</t>
    <rPh sb="0" eb="2">
      <t>ガクシュウ</t>
    </rPh>
    <rPh sb="2" eb="3">
      <t>メン</t>
    </rPh>
    <rPh sb="6" eb="9">
      <t>イヨクテキ</t>
    </rPh>
    <rPh sb="10" eb="12">
      <t>ジュギョウ</t>
    </rPh>
    <rPh sb="13" eb="14">
      <t>ト</t>
    </rPh>
    <rPh sb="15" eb="16">
      <t>ク</t>
    </rPh>
    <rPh sb="18" eb="20">
      <t>キシュウ</t>
    </rPh>
    <rPh sb="20" eb="22">
      <t>ハンイ</t>
    </rPh>
    <rPh sb="23" eb="25">
      <t>ガクリョク</t>
    </rPh>
    <rPh sb="26" eb="28">
      <t>チャクジツ</t>
    </rPh>
    <rPh sb="29" eb="30">
      <t>ミ</t>
    </rPh>
    <rPh sb="37" eb="39">
      <t>コクゴ</t>
    </rPh>
    <rPh sb="42" eb="44">
      <t>マイニチ</t>
    </rPh>
    <rPh sb="45" eb="47">
      <t>カンジ</t>
    </rPh>
    <rPh sb="47" eb="49">
      <t>レンシュウ</t>
    </rPh>
    <rPh sb="50" eb="52">
      <t>テイネイ</t>
    </rPh>
    <rPh sb="53" eb="54">
      <t>ト</t>
    </rPh>
    <rPh sb="55" eb="56">
      <t>ク</t>
    </rPh>
    <rPh sb="58" eb="60">
      <t>シンシュツ</t>
    </rPh>
    <rPh sb="60" eb="62">
      <t>カンジ</t>
    </rPh>
    <rPh sb="63" eb="65">
      <t>カクジツ</t>
    </rPh>
    <rPh sb="66" eb="67">
      <t>オボ</t>
    </rPh>
    <rPh sb="72" eb="74">
      <t>モシ</t>
    </rPh>
    <rPh sb="81" eb="83">
      <t>ジツリョク</t>
    </rPh>
    <rPh sb="84" eb="86">
      <t>ハッキ</t>
    </rPh>
    <rPh sb="91" eb="92">
      <t>テン</t>
    </rPh>
    <rPh sb="104" eb="106">
      <t>サンスウ</t>
    </rPh>
    <rPh sb="157" eb="159">
      <t>ジシュ</t>
    </rPh>
    <rPh sb="159" eb="161">
      <t>ベンキョウ</t>
    </rPh>
    <rPh sb="163" eb="165">
      <t>エイゴ</t>
    </rPh>
    <rPh sb="166" eb="168">
      <t>ガクシュウ</t>
    </rPh>
    <rPh sb="169" eb="171">
      <t>ジュウテン</t>
    </rPh>
    <rPh sb="172" eb="173">
      <t>オ</t>
    </rPh>
    <rPh sb="175" eb="177">
      <t>マイニチ</t>
    </rPh>
    <rPh sb="177" eb="179">
      <t>カクジツ</t>
    </rPh>
    <rPh sb="180" eb="181">
      <t>ト</t>
    </rPh>
    <rPh sb="182" eb="183">
      <t>ク</t>
    </rPh>
    <rPh sb="184" eb="186">
      <t>シュウカン</t>
    </rPh>
    <rPh sb="193" eb="195">
      <t>ナニゴト</t>
    </rPh>
    <rPh sb="206" eb="208">
      <t>アイリ</t>
    </rPh>
    <rPh sb="218" eb="219">
      <t>サラ</t>
    </rPh>
    <rPh sb="220" eb="221">
      <t>タカ</t>
    </rPh>
    <rPh sb="222" eb="224">
      <t>モクヒョウ</t>
    </rPh>
    <rPh sb="225" eb="226">
      <t>カカ</t>
    </rPh>
    <rPh sb="228" eb="230">
      <t>ハッテン</t>
    </rPh>
    <rPh sb="230" eb="231">
      <t>テキ</t>
    </rPh>
    <rPh sb="232" eb="234">
      <t>ガクシュウ</t>
    </rPh>
    <rPh sb="236" eb="238">
      <t>セッキョク</t>
    </rPh>
    <rPh sb="238" eb="239">
      <t>テキ</t>
    </rPh>
    <rPh sb="240" eb="241">
      <t>ト</t>
    </rPh>
    <rPh sb="242" eb="243">
      <t>ク</t>
    </rPh>
    <rPh sb="252" eb="254">
      <t>ガッコウ</t>
    </rPh>
    <rPh sb="254" eb="256">
      <t>ギョウジ</t>
    </rPh>
    <rPh sb="257" eb="259">
      <t>トザン</t>
    </rPh>
    <rPh sb="259" eb="261">
      <t>エンソク</t>
    </rPh>
    <rPh sb="264" eb="266">
      <t>ハンチョウ</t>
    </rPh>
    <rPh sb="278" eb="280">
      <t>ハッキ</t>
    </rPh>
    <rPh sb="286" eb="287">
      <t>タノ</t>
    </rPh>
    <rPh sb="289" eb="290">
      <t>ス</t>
    </rPh>
    <rPh sb="296" eb="298">
      <t>セイカツ</t>
    </rPh>
    <rPh sb="298" eb="299">
      <t>メン</t>
    </rPh>
    <rPh sb="305" eb="306">
      <t>ホン</t>
    </rPh>
    <rPh sb="307" eb="308">
      <t>カ</t>
    </rPh>
    <rPh sb="311" eb="312">
      <t>モ</t>
    </rPh>
    <rPh sb="314" eb="315">
      <t>ヤス</t>
    </rPh>
    <rPh sb="316" eb="318">
      <t>ジカン</t>
    </rPh>
    <rPh sb="319" eb="321">
      <t>ドクショ</t>
    </rPh>
    <rPh sb="324" eb="325">
      <t>ス</t>
    </rPh>
    <rPh sb="333" eb="335">
      <t>トキオリ</t>
    </rPh>
    <rPh sb="336" eb="338">
      <t>ジュギョウ</t>
    </rPh>
    <rPh sb="339" eb="341">
      <t>カイシ</t>
    </rPh>
    <rPh sb="341" eb="343">
      <t>ジカン</t>
    </rPh>
    <rPh sb="344" eb="345">
      <t>ワス</t>
    </rPh>
    <rPh sb="353" eb="355">
      <t>ボットウ</t>
    </rPh>
    <rPh sb="363" eb="366">
      <t>シュウチュウリョク</t>
    </rPh>
    <rPh sb="367" eb="369">
      <t>スバ</t>
    </rPh>
    <rPh sb="381" eb="383">
      <t>サンスウ</t>
    </rPh>
    <rPh sb="383" eb="384">
      <t>ガカリ</t>
    </rPh>
    <rPh sb="385" eb="387">
      <t>ソウジ</t>
    </rPh>
    <rPh sb="388" eb="390">
      <t>キュウショク</t>
    </rPh>
    <rPh sb="393" eb="395">
      <t>シゴト</t>
    </rPh>
    <rPh sb="396" eb="398">
      <t>セキニン</t>
    </rPh>
    <rPh sb="399" eb="400">
      <t>モ</t>
    </rPh>
    <rPh sb="402" eb="403">
      <t>オコナ</t>
    </rPh>
    <rPh sb="409" eb="411">
      <t>ガッキ</t>
    </rPh>
    <rPh sb="419" eb="420">
      <t>サイ</t>
    </rPh>
    <rPh sb="426" eb="428">
      <t>アイリ</t>
    </rPh>
    <rPh sb="431" eb="432">
      <t>サラ</t>
    </rPh>
    <rPh sb="434" eb="436">
      <t>カツヤク</t>
    </rPh>
    <rPh sb="437" eb="439">
      <t>キタイ</t>
    </rPh>
    <phoneticPr fontId="1"/>
  </si>
  <si>
    <t>学習面では、意欲的に授業に取り組み、既習範囲の学力を着実に身につけました。国語では、毎日の漢字練習、宿題にしっかりと取り組み力をつけ、漢字テスト、単元テストと行った全てのテストで１００点をとりました。算数では、教科に対する関心が高く、意欲的に授業に取り組みました。自主勉強でも、算数の発展的な問題に取り組み、応用力を磨きました。２回行った模試では、国語・算数ともすべて９６点以上と実力を発揮しました。どの授業でも、傑君の聞く姿勢が素晴らしいです。話し手をしっかりと見て聞き、うなずくなどの反応ができています。このようなことが、学力にも結びついているのだと思います。これからも更に高い目標を掲げ、発展的な学習にも積極的に取り組んでいきましょう。生活面では、学級長として、学級会でリーダーシップを発揮し、みんなの意見をまとめたり、連絡帳、自主勉強の提出の声かけをしたりして、クラスのみんなを引っ張りました。２学期はさいきょう祭もあります。この学級長の経験を生かし、活躍の場を学年に広げていきましょう。更なる成長を期待しています。</t>
    <rPh sb="0" eb="2">
      <t>ガクシュウ</t>
    </rPh>
    <rPh sb="2" eb="3">
      <t>メン</t>
    </rPh>
    <rPh sb="6" eb="9">
      <t>イヨクテキ</t>
    </rPh>
    <rPh sb="10" eb="12">
      <t>ジュギョウ</t>
    </rPh>
    <rPh sb="13" eb="14">
      <t>ト</t>
    </rPh>
    <rPh sb="15" eb="16">
      <t>ク</t>
    </rPh>
    <rPh sb="18" eb="20">
      <t>キシュウ</t>
    </rPh>
    <rPh sb="20" eb="22">
      <t>ハンイ</t>
    </rPh>
    <rPh sb="23" eb="25">
      <t>ガクリョク</t>
    </rPh>
    <rPh sb="26" eb="28">
      <t>チャクジツ</t>
    </rPh>
    <rPh sb="29" eb="30">
      <t>ミ</t>
    </rPh>
    <rPh sb="37" eb="39">
      <t>コクゴ</t>
    </rPh>
    <rPh sb="42" eb="44">
      <t>マイニチ</t>
    </rPh>
    <rPh sb="45" eb="47">
      <t>カンジ</t>
    </rPh>
    <rPh sb="47" eb="49">
      <t>レンシュウ</t>
    </rPh>
    <rPh sb="50" eb="52">
      <t>シュクダイ</t>
    </rPh>
    <rPh sb="58" eb="59">
      <t>ト</t>
    </rPh>
    <rPh sb="60" eb="61">
      <t>ク</t>
    </rPh>
    <rPh sb="62" eb="63">
      <t>チカラ</t>
    </rPh>
    <rPh sb="67" eb="69">
      <t>カンジ</t>
    </rPh>
    <rPh sb="73" eb="75">
      <t>タンゲン</t>
    </rPh>
    <rPh sb="79" eb="80">
      <t>オコナ</t>
    </rPh>
    <rPh sb="82" eb="83">
      <t>スベ</t>
    </rPh>
    <rPh sb="92" eb="93">
      <t>テン</t>
    </rPh>
    <rPh sb="100" eb="102">
      <t>サンスウ</t>
    </rPh>
    <rPh sb="105" eb="107">
      <t>キョウカ</t>
    </rPh>
    <rPh sb="108" eb="109">
      <t>タイ</t>
    </rPh>
    <rPh sb="132" eb="134">
      <t>ジシュ</t>
    </rPh>
    <rPh sb="134" eb="136">
      <t>ベンキョウ</t>
    </rPh>
    <rPh sb="139" eb="141">
      <t>サンスウ</t>
    </rPh>
    <rPh sb="142" eb="145">
      <t>ハッテンテキ</t>
    </rPh>
    <rPh sb="146" eb="148">
      <t>モンダイ</t>
    </rPh>
    <rPh sb="149" eb="150">
      <t>ト</t>
    </rPh>
    <rPh sb="151" eb="152">
      <t>ク</t>
    </rPh>
    <rPh sb="154" eb="157">
      <t>オウヨウリョク</t>
    </rPh>
    <rPh sb="158" eb="159">
      <t>ミガ</t>
    </rPh>
    <rPh sb="165" eb="166">
      <t>カイ</t>
    </rPh>
    <rPh sb="166" eb="167">
      <t>オコナ</t>
    </rPh>
    <rPh sb="169" eb="171">
      <t>モシ</t>
    </rPh>
    <rPh sb="174" eb="176">
      <t>コクゴ</t>
    </rPh>
    <rPh sb="177" eb="179">
      <t>サンスウ</t>
    </rPh>
    <rPh sb="186" eb="187">
      <t>テン</t>
    </rPh>
    <rPh sb="187" eb="189">
      <t>イジョウ</t>
    </rPh>
    <rPh sb="190" eb="192">
      <t>ジツリョク</t>
    </rPh>
    <rPh sb="193" eb="195">
      <t>ハッキ</t>
    </rPh>
    <rPh sb="202" eb="204">
      <t>ジュギョウ</t>
    </rPh>
    <rPh sb="207" eb="209">
      <t>スグルクン</t>
    </rPh>
    <rPh sb="210" eb="211">
      <t>キ</t>
    </rPh>
    <rPh sb="212" eb="214">
      <t>シセイ</t>
    </rPh>
    <rPh sb="215" eb="217">
      <t>スバ</t>
    </rPh>
    <rPh sb="223" eb="224">
      <t>ハナ</t>
    </rPh>
    <rPh sb="225" eb="226">
      <t>テ</t>
    </rPh>
    <rPh sb="232" eb="233">
      <t>ミ</t>
    </rPh>
    <rPh sb="234" eb="235">
      <t>キ</t>
    </rPh>
    <rPh sb="244" eb="246">
      <t>ハンノウ</t>
    </rPh>
    <rPh sb="263" eb="265">
      <t>ガクリョク</t>
    </rPh>
    <rPh sb="267" eb="268">
      <t>ムス</t>
    </rPh>
    <rPh sb="277" eb="278">
      <t>オモ</t>
    </rPh>
    <rPh sb="287" eb="288">
      <t>サラ</t>
    </rPh>
    <rPh sb="289" eb="290">
      <t>タカ</t>
    </rPh>
    <rPh sb="291" eb="293">
      <t>モクヒョウ</t>
    </rPh>
    <rPh sb="294" eb="295">
      <t>カカ</t>
    </rPh>
    <rPh sb="297" eb="299">
      <t>ハッテン</t>
    </rPh>
    <rPh sb="299" eb="300">
      <t>テキ</t>
    </rPh>
    <rPh sb="301" eb="303">
      <t>ガクシュウ</t>
    </rPh>
    <rPh sb="305" eb="308">
      <t>セッキョクテキ</t>
    </rPh>
    <rPh sb="309" eb="310">
      <t>ト</t>
    </rPh>
    <rPh sb="311" eb="312">
      <t>ク</t>
    </rPh>
    <rPh sb="321" eb="323">
      <t>セイカツ</t>
    </rPh>
    <rPh sb="323" eb="324">
      <t>メン</t>
    </rPh>
    <rPh sb="327" eb="329">
      <t>ガッキュウ</t>
    </rPh>
    <rPh sb="329" eb="330">
      <t>チョウ</t>
    </rPh>
    <rPh sb="334" eb="336">
      <t>ガッキュウ</t>
    </rPh>
    <rPh sb="336" eb="337">
      <t>カイ</t>
    </rPh>
    <rPh sb="346" eb="348">
      <t>ハッキ</t>
    </rPh>
    <rPh sb="354" eb="356">
      <t>イケン</t>
    </rPh>
    <rPh sb="363" eb="366">
      <t>レンラクチョウ</t>
    </rPh>
    <rPh sb="367" eb="369">
      <t>ジシュ</t>
    </rPh>
    <rPh sb="369" eb="371">
      <t>ベンキョウ</t>
    </rPh>
    <rPh sb="372" eb="374">
      <t>テイシュツ</t>
    </rPh>
    <rPh sb="375" eb="376">
      <t>コエ</t>
    </rPh>
    <rPh sb="393" eb="394">
      <t>ヒ</t>
    </rPh>
    <rPh sb="395" eb="396">
      <t>パ</t>
    </rPh>
    <rPh sb="402" eb="404">
      <t>ガッキ</t>
    </rPh>
    <rPh sb="410" eb="411">
      <t>サイ</t>
    </rPh>
    <rPh sb="419" eb="421">
      <t>ガッキュウ</t>
    </rPh>
    <rPh sb="421" eb="422">
      <t>チョウ</t>
    </rPh>
    <rPh sb="423" eb="425">
      <t>ケイケン</t>
    </rPh>
    <rPh sb="426" eb="427">
      <t>イ</t>
    </rPh>
    <rPh sb="430" eb="432">
      <t>カツヤク</t>
    </rPh>
    <rPh sb="433" eb="434">
      <t>バ</t>
    </rPh>
    <rPh sb="435" eb="437">
      <t>ガクネン</t>
    </rPh>
    <rPh sb="438" eb="439">
      <t>ヒロ</t>
    </rPh>
    <rPh sb="448" eb="449">
      <t>サラ</t>
    </rPh>
    <rPh sb="451" eb="453">
      <t>セイチョウ</t>
    </rPh>
    <rPh sb="454" eb="456">
      <t>キタイエンソクハンチョウハッキタノスセイカツメンホンカモアジカンドクショストキオリジカンワスボットウシュウチュウリョクスバサンスウガカリソウジキュウショクシゴトセキニンモオコナガッキサイアイリサラカツヤクキタイ</t>
    </rPh>
    <phoneticPr fontId="1"/>
  </si>
  <si>
    <t>学習面では、いつも真面目に授業に取り組み、基本的な学力を身につけました。国語では、毎日の漢字練習や宿題に丁寧に取り組み、漢字テスト、単元テストでも高得点をとることができました。積極的に発言することはあまり多くはありませんでしたが、自信を持って自分の意見や考えを言えるようになることを願っています。算数では、学習への意欲が高く、分からないことは分かるまで質問し、積極的な姿勢がとても良く、宿題への取り組みや授業態度、ノートの取り方も素晴らしいです。「折れ線グラフと表」のグラフの読み取り方を、もう一度復習しておきましょう。自主勉強も欠かさず取り組んでおり、優那さんの頑張りなら、もっと成績は伸びると思います。これからも貪欲に学んでいきましょう。生活面では、返事や姿勢がとても良く、人の話を素直に聞き、行動に移せることも素晴らしいです。クラスの国語係として、宿題の連絡、返却などを責任を持って行いました。休み時間も節度を持って過ごすことができました。２学期の更なる成長と活躍を期待しています。</t>
    <rPh sb="0" eb="2">
      <t>ガクシュウ</t>
    </rPh>
    <rPh sb="2" eb="3">
      <t>メン</t>
    </rPh>
    <rPh sb="9" eb="12">
      <t>マジメ</t>
    </rPh>
    <rPh sb="13" eb="15">
      <t>ジュギョウ</t>
    </rPh>
    <rPh sb="16" eb="17">
      <t>ト</t>
    </rPh>
    <rPh sb="18" eb="19">
      <t>ク</t>
    </rPh>
    <rPh sb="21" eb="24">
      <t>キホンテキ</t>
    </rPh>
    <rPh sb="25" eb="27">
      <t>ガクリョク</t>
    </rPh>
    <rPh sb="28" eb="29">
      <t>ミ</t>
    </rPh>
    <rPh sb="36" eb="38">
      <t>コクゴ</t>
    </rPh>
    <rPh sb="41" eb="43">
      <t>マイニチ</t>
    </rPh>
    <rPh sb="44" eb="46">
      <t>カンジ</t>
    </rPh>
    <rPh sb="46" eb="48">
      <t>レンシュウ</t>
    </rPh>
    <rPh sb="49" eb="51">
      <t>シュクダイ</t>
    </rPh>
    <rPh sb="52" eb="54">
      <t>テイネイ</t>
    </rPh>
    <rPh sb="55" eb="56">
      <t>ト</t>
    </rPh>
    <rPh sb="57" eb="58">
      <t>ク</t>
    </rPh>
    <rPh sb="60" eb="62">
      <t>カンジ</t>
    </rPh>
    <rPh sb="66" eb="68">
      <t>タンゲン</t>
    </rPh>
    <rPh sb="73" eb="76">
      <t>コウトクテン</t>
    </rPh>
    <rPh sb="88" eb="91">
      <t>セッキョクテキ</t>
    </rPh>
    <rPh sb="92" eb="94">
      <t>ハツゲン</t>
    </rPh>
    <rPh sb="102" eb="103">
      <t>オオ</t>
    </rPh>
    <rPh sb="115" eb="117">
      <t>ジシン</t>
    </rPh>
    <rPh sb="118" eb="119">
      <t>モ</t>
    </rPh>
    <rPh sb="121" eb="123">
      <t>ジブン</t>
    </rPh>
    <rPh sb="124" eb="126">
      <t>イケン</t>
    </rPh>
    <rPh sb="127" eb="128">
      <t>カンガ</t>
    </rPh>
    <rPh sb="130" eb="131">
      <t>イ</t>
    </rPh>
    <rPh sb="141" eb="142">
      <t>ネガ</t>
    </rPh>
    <rPh sb="148" eb="150">
      <t>サンスウ</t>
    </rPh>
    <rPh sb="163" eb="164">
      <t>ワ</t>
    </rPh>
    <rPh sb="171" eb="172">
      <t>ワ</t>
    </rPh>
    <rPh sb="298" eb="299">
      <t>オモ</t>
    </rPh>
    <rPh sb="321" eb="323">
      <t>セイカツ</t>
    </rPh>
    <rPh sb="323" eb="324">
      <t>メン</t>
    </rPh>
    <rPh sb="327" eb="329">
      <t>ヘンジ</t>
    </rPh>
    <rPh sb="330" eb="332">
      <t>シセイ</t>
    </rPh>
    <rPh sb="336" eb="337">
      <t>ヨ</t>
    </rPh>
    <rPh sb="339" eb="340">
      <t>ヒト</t>
    </rPh>
    <rPh sb="341" eb="342">
      <t>ハナシ</t>
    </rPh>
    <rPh sb="343" eb="345">
      <t>スナオ</t>
    </rPh>
    <rPh sb="346" eb="347">
      <t>キ</t>
    </rPh>
    <rPh sb="349" eb="351">
      <t>コウドウ</t>
    </rPh>
    <rPh sb="352" eb="353">
      <t>ウツ</t>
    </rPh>
    <rPh sb="358" eb="360">
      <t>スバ</t>
    </rPh>
    <rPh sb="370" eb="372">
      <t>コクゴ</t>
    </rPh>
    <rPh sb="372" eb="373">
      <t>カカリ</t>
    </rPh>
    <rPh sb="377" eb="379">
      <t>シュクダイ</t>
    </rPh>
    <rPh sb="380" eb="382">
      <t>レンラク</t>
    </rPh>
    <rPh sb="383" eb="385">
      <t>ヘンキャク</t>
    </rPh>
    <rPh sb="388" eb="390">
      <t>セキニン</t>
    </rPh>
    <rPh sb="391" eb="392">
      <t>モ</t>
    </rPh>
    <rPh sb="394" eb="395">
      <t>オコナ</t>
    </rPh>
    <rPh sb="400" eb="401">
      <t>ヤス</t>
    </rPh>
    <rPh sb="402" eb="404">
      <t>ジカン</t>
    </rPh>
    <rPh sb="405" eb="407">
      <t>セツド</t>
    </rPh>
    <rPh sb="408" eb="409">
      <t>モ</t>
    </rPh>
    <rPh sb="411" eb="412">
      <t>ス</t>
    </rPh>
    <rPh sb="424" eb="426">
      <t>ガッキ</t>
    </rPh>
    <rPh sb="427" eb="428">
      <t>サラ</t>
    </rPh>
    <rPh sb="430" eb="432">
      <t>セイチョウ</t>
    </rPh>
    <rPh sb="433" eb="435">
      <t>カツヤク</t>
    </rPh>
    <rPh sb="436" eb="438">
      <t>キタイ</t>
    </rPh>
    <phoneticPr fontId="1"/>
  </si>
  <si>
    <t>学習面では、理解力があり、既習範囲の学力を着実に身につけました。国語では、聞きとる力があり、模試や単元テストでも高得点をとることができました。発言する機会も多いです。ただ、考えを文章にまとめることに少し苦手意識が感じられます。自主勉強で日記など、書くことを取り入れてみましょう。算数では、理解力と計算力があり、テストの成績も優秀です。一方、授業中に集中力が欠けることが度々ありました。しっかりとした学力があるのですから、高い意識を持って臨んで欲しいです。学校行事の、登山遠足では、班長としての自覚を持って、積極的にみんなに励ましの声をかけることができました。体育祭の棒引きでは、誰よりも声を出して頑張りました。生活面では、友だちと楽しく過ごす姿が見られました。その楽しさに夢中になりすぎて、時折、時間に遅れるなど周りが見えなくなってしまうことがありました。能力が高く、いろいろなことを考えることのできる唯栖君です。２学期は、自分の良い力を伸ばしていき、クラスのリーダーとして活躍する姿を期待しています。</t>
    <rPh sb="0" eb="2">
      <t>ガクシュウ</t>
    </rPh>
    <rPh sb="2" eb="3">
      <t>メン</t>
    </rPh>
    <rPh sb="6" eb="9">
      <t>リカイリョク</t>
    </rPh>
    <rPh sb="13" eb="15">
      <t>キシュウ</t>
    </rPh>
    <rPh sb="15" eb="17">
      <t>ハンイ</t>
    </rPh>
    <rPh sb="18" eb="20">
      <t>ガクリョク</t>
    </rPh>
    <rPh sb="21" eb="23">
      <t>チャクジツ</t>
    </rPh>
    <rPh sb="24" eb="25">
      <t>ミ</t>
    </rPh>
    <rPh sb="32" eb="34">
      <t>コクゴ</t>
    </rPh>
    <rPh sb="37" eb="38">
      <t>キ</t>
    </rPh>
    <rPh sb="41" eb="42">
      <t>チカラ</t>
    </rPh>
    <rPh sb="46" eb="48">
      <t>モシ</t>
    </rPh>
    <rPh sb="49" eb="51">
      <t>タンゲン</t>
    </rPh>
    <rPh sb="56" eb="59">
      <t>コウトクテン</t>
    </rPh>
    <rPh sb="71" eb="73">
      <t>ハツゲン</t>
    </rPh>
    <rPh sb="75" eb="77">
      <t>キカイ</t>
    </rPh>
    <rPh sb="78" eb="79">
      <t>オオ</t>
    </rPh>
    <rPh sb="86" eb="87">
      <t>カンガ</t>
    </rPh>
    <rPh sb="89" eb="91">
      <t>ブンショウ</t>
    </rPh>
    <rPh sb="99" eb="100">
      <t>スコ</t>
    </rPh>
    <rPh sb="101" eb="103">
      <t>ニガテ</t>
    </rPh>
    <rPh sb="103" eb="105">
      <t>イシキ</t>
    </rPh>
    <rPh sb="106" eb="107">
      <t>カン</t>
    </rPh>
    <rPh sb="113" eb="115">
      <t>ジシュ</t>
    </rPh>
    <rPh sb="115" eb="117">
      <t>ベンキョウ</t>
    </rPh>
    <rPh sb="118" eb="120">
      <t>ニッキ</t>
    </rPh>
    <rPh sb="123" eb="124">
      <t>カ</t>
    </rPh>
    <rPh sb="128" eb="129">
      <t>ト</t>
    </rPh>
    <rPh sb="130" eb="131">
      <t>イ</t>
    </rPh>
    <rPh sb="139" eb="141">
      <t>サンスウ</t>
    </rPh>
    <rPh sb="167" eb="169">
      <t>イッポウ</t>
    </rPh>
    <rPh sb="174" eb="177">
      <t>シュウチュウリョク</t>
    </rPh>
    <rPh sb="178" eb="179">
      <t>カ</t>
    </rPh>
    <rPh sb="184" eb="186">
      <t>タビタビ</t>
    </rPh>
    <rPh sb="199" eb="201">
      <t>ガクリョク</t>
    </rPh>
    <rPh sb="210" eb="211">
      <t>タカ</t>
    </rPh>
    <rPh sb="212" eb="214">
      <t>イシキ</t>
    </rPh>
    <rPh sb="215" eb="216">
      <t>モ</t>
    </rPh>
    <rPh sb="218" eb="219">
      <t>ノゾ</t>
    </rPh>
    <rPh sb="221" eb="222">
      <t>ホ</t>
    </rPh>
    <rPh sb="227" eb="229">
      <t>ガッコウ</t>
    </rPh>
    <rPh sb="229" eb="231">
      <t>ギョウジ</t>
    </rPh>
    <rPh sb="233" eb="235">
      <t>トザン</t>
    </rPh>
    <rPh sb="235" eb="237">
      <t>エンソク</t>
    </rPh>
    <rPh sb="240" eb="242">
      <t>ハンチョウ</t>
    </rPh>
    <rPh sb="246" eb="248">
      <t>ジカク</t>
    </rPh>
    <rPh sb="249" eb="250">
      <t>モ</t>
    </rPh>
    <rPh sb="253" eb="256">
      <t>セッキョクテキ</t>
    </rPh>
    <rPh sb="261" eb="262">
      <t>ハゲ</t>
    </rPh>
    <rPh sb="265" eb="266">
      <t>コエ</t>
    </rPh>
    <rPh sb="279" eb="282">
      <t>タイイクサイ</t>
    </rPh>
    <rPh sb="283" eb="284">
      <t>ボウ</t>
    </rPh>
    <rPh sb="284" eb="285">
      <t>ヒ</t>
    </rPh>
    <rPh sb="289" eb="290">
      <t>ダレ</t>
    </rPh>
    <rPh sb="293" eb="294">
      <t>コエ</t>
    </rPh>
    <rPh sb="295" eb="296">
      <t>ダ</t>
    </rPh>
    <rPh sb="298" eb="300">
      <t>ガンバ</t>
    </rPh>
    <rPh sb="305" eb="307">
      <t>セイカツ</t>
    </rPh>
    <rPh sb="307" eb="308">
      <t>メン</t>
    </rPh>
    <rPh sb="311" eb="312">
      <t>トモ</t>
    </rPh>
    <rPh sb="315" eb="316">
      <t>タノ</t>
    </rPh>
    <rPh sb="318" eb="319">
      <t>ス</t>
    </rPh>
    <rPh sb="321" eb="322">
      <t>スガタ</t>
    </rPh>
    <rPh sb="323" eb="324">
      <t>ミ</t>
    </rPh>
    <rPh sb="332" eb="333">
      <t>タノ</t>
    </rPh>
    <rPh sb="336" eb="338">
      <t>ムチュウ</t>
    </rPh>
    <rPh sb="345" eb="347">
      <t>トキオリ</t>
    </rPh>
    <rPh sb="348" eb="350">
      <t>ジカン</t>
    </rPh>
    <rPh sb="351" eb="352">
      <t>オク</t>
    </rPh>
    <rPh sb="356" eb="357">
      <t>マワ</t>
    </rPh>
    <rPh sb="359" eb="360">
      <t>ミ</t>
    </rPh>
    <rPh sb="378" eb="380">
      <t>ノウリョク</t>
    </rPh>
    <rPh sb="381" eb="382">
      <t>タカ</t>
    </rPh>
    <rPh sb="392" eb="393">
      <t>カンガ</t>
    </rPh>
    <rPh sb="408" eb="410">
      <t>ガッキ</t>
    </rPh>
    <rPh sb="412" eb="414">
      <t>ジブン</t>
    </rPh>
    <rPh sb="415" eb="416">
      <t>ヨ</t>
    </rPh>
    <rPh sb="417" eb="418">
      <t>チカラ</t>
    </rPh>
    <rPh sb="419" eb="420">
      <t>ノ</t>
    </rPh>
    <rPh sb="437" eb="439">
      <t>カツヤク</t>
    </rPh>
    <rPh sb="441" eb="442">
      <t>スガタ</t>
    </rPh>
    <rPh sb="443" eb="445">
      <t>キタイ</t>
    </rPh>
    <phoneticPr fontId="1"/>
  </si>
  <si>
    <t>学習面では、真面目に授業に取り組み、基本的な学力を身につけました。国語では、毎日の漢字練習を丁寧に行い、漢字テストでは高得点をとり、模試では１００点をとりました。一方で、英語の聞き書き取りテストでは苦戦していたようです。英単語の覚え方を工夫していきましょう。算数では、授業にも宿題にも一生懸命取り組む姿勢がとても良いです。理解するのに少し時間がかかりますが、一度理解すれば確実に力をつけることができています。問題を解く時に時間がかかりますが、計算に時間を取られることが要因のようです。速く正確な計算力を身につけていきましょう。学校行事の登山遠足では、健脚ぶりを発揮し、副班長として、班長やみんなを支え、楽しく登山することができました。生活面では、授業時間と休み時間のけじめを持って生活し、みんなに積極的に時間を知らせる声かけ、図工係として、用意する物の連絡を確実に行いました。友だちと楽しく遊ぶ姿が見られ、良好な友人関係を築きました。２学期の更なる成長を期待しています。</t>
    <rPh sb="0" eb="2">
      <t>ガクシュウ</t>
    </rPh>
    <rPh sb="2" eb="3">
      <t>メン</t>
    </rPh>
    <rPh sb="6" eb="9">
      <t>マジメ</t>
    </rPh>
    <rPh sb="10" eb="12">
      <t>ジュギョウ</t>
    </rPh>
    <rPh sb="13" eb="14">
      <t>ト</t>
    </rPh>
    <rPh sb="15" eb="16">
      <t>ク</t>
    </rPh>
    <rPh sb="18" eb="21">
      <t>キホンテキ</t>
    </rPh>
    <rPh sb="22" eb="24">
      <t>ガクリョク</t>
    </rPh>
    <rPh sb="25" eb="26">
      <t>ミ</t>
    </rPh>
    <rPh sb="33" eb="35">
      <t>コクゴ</t>
    </rPh>
    <rPh sb="38" eb="40">
      <t>マイニチ</t>
    </rPh>
    <rPh sb="41" eb="43">
      <t>カンジ</t>
    </rPh>
    <rPh sb="43" eb="45">
      <t>レンシュウ</t>
    </rPh>
    <rPh sb="46" eb="48">
      <t>テイネイ</t>
    </rPh>
    <rPh sb="49" eb="50">
      <t>オコナ</t>
    </rPh>
    <rPh sb="52" eb="54">
      <t>カンジ</t>
    </rPh>
    <rPh sb="59" eb="62">
      <t>コウトクテン</t>
    </rPh>
    <rPh sb="66" eb="68">
      <t>モシ</t>
    </rPh>
    <rPh sb="73" eb="74">
      <t>テン</t>
    </rPh>
    <rPh sb="81" eb="83">
      <t>イッポウ</t>
    </rPh>
    <rPh sb="85" eb="87">
      <t>エイゴ</t>
    </rPh>
    <rPh sb="88" eb="89">
      <t>キ</t>
    </rPh>
    <rPh sb="90" eb="91">
      <t>カ</t>
    </rPh>
    <rPh sb="92" eb="93">
      <t>ト</t>
    </rPh>
    <rPh sb="99" eb="101">
      <t>クセン</t>
    </rPh>
    <rPh sb="114" eb="115">
      <t>オボ</t>
    </rPh>
    <rPh sb="116" eb="117">
      <t>カタ</t>
    </rPh>
    <rPh sb="118" eb="120">
      <t>クフウ</t>
    </rPh>
    <rPh sb="129" eb="131">
      <t>サンスウ</t>
    </rPh>
    <rPh sb="167" eb="168">
      <t>スコ</t>
    </rPh>
    <rPh sb="204" eb="206">
      <t>モンダイ</t>
    </rPh>
    <rPh sb="207" eb="208">
      <t>ト</t>
    </rPh>
    <rPh sb="209" eb="210">
      <t>トキ</t>
    </rPh>
    <rPh sb="211" eb="213">
      <t>ジカン</t>
    </rPh>
    <rPh sb="221" eb="223">
      <t>ケイサン</t>
    </rPh>
    <rPh sb="224" eb="226">
      <t>ジカン</t>
    </rPh>
    <rPh sb="227" eb="228">
      <t>ト</t>
    </rPh>
    <rPh sb="234" eb="236">
      <t>ヨウイン</t>
    </rPh>
    <rPh sb="242" eb="243">
      <t>ハヤ</t>
    </rPh>
    <rPh sb="244" eb="246">
      <t>セイカク</t>
    </rPh>
    <rPh sb="263" eb="265">
      <t>ガッコウ</t>
    </rPh>
    <rPh sb="265" eb="267">
      <t>ギョウジ</t>
    </rPh>
    <rPh sb="268" eb="270">
      <t>トザン</t>
    </rPh>
    <rPh sb="270" eb="272">
      <t>エンソク</t>
    </rPh>
    <rPh sb="275" eb="277">
      <t>ケンキャク</t>
    </rPh>
    <rPh sb="280" eb="282">
      <t>ハッキ</t>
    </rPh>
    <rPh sb="284" eb="287">
      <t>フクハンチョウ</t>
    </rPh>
    <rPh sb="291" eb="293">
      <t>ハンチョウ</t>
    </rPh>
    <rPh sb="298" eb="299">
      <t>ササ</t>
    </rPh>
    <rPh sb="301" eb="302">
      <t>タノ</t>
    </rPh>
    <rPh sb="304" eb="306">
      <t>トザン</t>
    </rPh>
    <rPh sb="317" eb="319">
      <t>セイカツ</t>
    </rPh>
    <rPh sb="319" eb="320">
      <t>メン</t>
    </rPh>
    <rPh sb="323" eb="325">
      <t>ジュギョウ</t>
    </rPh>
    <rPh sb="325" eb="327">
      <t>ジカン</t>
    </rPh>
    <rPh sb="328" eb="329">
      <t>ヤス</t>
    </rPh>
    <rPh sb="330" eb="332">
      <t>ジカン</t>
    </rPh>
    <rPh sb="337" eb="338">
      <t>モ</t>
    </rPh>
    <rPh sb="340" eb="342">
      <t>セイカツ</t>
    </rPh>
    <rPh sb="348" eb="351">
      <t>セッキョクテキ</t>
    </rPh>
    <rPh sb="352" eb="354">
      <t>ジカン</t>
    </rPh>
    <rPh sb="355" eb="356">
      <t>シ</t>
    </rPh>
    <rPh sb="359" eb="360">
      <t>コエ</t>
    </rPh>
    <rPh sb="363" eb="365">
      <t>ズコウ</t>
    </rPh>
    <rPh sb="365" eb="366">
      <t>ガカリ</t>
    </rPh>
    <rPh sb="370" eb="372">
      <t>ヨウイ</t>
    </rPh>
    <rPh sb="374" eb="375">
      <t>モノ</t>
    </rPh>
    <rPh sb="376" eb="378">
      <t>レンラク</t>
    </rPh>
    <rPh sb="379" eb="381">
      <t>カクジツ</t>
    </rPh>
    <rPh sb="382" eb="383">
      <t>オコナ</t>
    </rPh>
    <rPh sb="388" eb="389">
      <t>トモ</t>
    </rPh>
    <rPh sb="392" eb="393">
      <t>タノ</t>
    </rPh>
    <rPh sb="395" eb="396">
      <t>アソ</t>
    </rPh>
    <rPh sb="397" eb="398">
      <t>スガタ</t>
    </rPh>
    <rPh sb="399" eb="400">
      <t>ミ</t>
    </rPh>
    <rPh sb="403" eb="405">
      <t>リョウコウ</t>
    </rPh>
    <rPh sb="406" eb="408">
      <t>ユウジン</t>
    </rPh>
    <rPh sb="408" eb="410">
      <t>カンケイ</t>
    </rPh>
    <rPh sb="411" eb="412">
      <t>キズ</t>
    </rPh>
    <rPh sb="418" eb="420">
      <t>ガッキ</t>
    </rPh>
    <rPh sb="421" eb="422">
      <t>サラ</t>
    </rPh>
    <rPh sb="424" eb="426">
      <t>セイチョウ</t>
    </rPh>
    <rPh sb="427" eb="429">
      <t>キタイ</t>
    </rPh>
    <phoneticPr fontId="1"/>
  </si>
  <si>
    <t>学習面では、いつも真面目に努力し、基本的な学力を身につけました。国語では、授業に集中して取り組み、ノートもきちんと整理することができました。漢字テスト、単元テストで高得点をとり、模試では１００点をとりました。発言は少しずつ増えてきています。自信を持って自分の意見や考えを言えるようになることを願っています。算数では、いつも一生懸命学習に取り組み、分からないことがあると、分かるまでじっくり考えることができました。大きい数の計算（3桁×３桁）に繰り上がりなどのミスが時々見られるので、正確性と速さを意識していきましょう。自主勉強も、国語、算数、英語などを状況に応じて取り組むことができました。学校行事の体育祭では、足の怪我のあとにも関わらず、学年１位をとりました。すごい頑張りだったと思います。２学期は、怪我なく過ごせることを願っています。生活面では、学級書記として、主に学級会での黒板書記を担い、学級長、副学級長を支えました。２学期はさいきょう祭もあり、愛陽さんの活躍を期待しています。</t>
    <rPh sb="0" eb="2">
      <t>ガクシュウ</t>
    </rPh>
    <rPh sb="2" eb="3">
      <t>メン</t>
    </rPh>
    <rPh sb="9" eb="12">
      <t>マジメ</t>
    </rPh>
    <rPh sb="13" eb="15">
      <t>ドリョク</t>
    </rPh>
    <rPh sb="17" eb="20">
      <t>キホンテキ</t>
    </rPh>
    <rPh sb="21" eb="23">
      <t>ガクリョク</t>
    </rPh>
    <rPh sb="24" eb="25">
      <t>ミ</t>
    </rPh>
    <rPh sb="32" eb="34">
      <t>コクゴ</t>
    </rPh>
    <rPh sb="37" eb="39">
      <t>ジュギョウ</t>
    </rPh>
    <rPh sb="40" eb="42">
      <t>シュウチュウ</t>
    </rPh>
    <rPh sb="44" eb="45">
      <t>ト</t>
    </rPh>
    <rPh sb="46" eb="47">
      <t>ク</t>
    </rPh>
    <rPh sb="57" eb="59">
      <t>セイリ</t>
    </rPh>
    <rPh sb="70" eb="72">
      <t>カンジ</t>
    </rPh>
    <rPh sb="76" eb="78">
      <t>タンゲン</t>
    </rPh>
    <rPh sb="82" eb="85">
      <t>コウトクテン</t>
    </rPh>
    <rPh sb="89" eb="91">
      <t>モシ</t>
    </rPh>
    <rPh sb="96" eb="97">
      <t>テン</t>
    </rPh>
    <rPh sb="104" eb="106">
      <t>ハツゲン</t>
    </rPh>
    <rPh sb="107" eb="108">
      <t>スコ</t>
    </rPh>
    <rPh sb="111" eb="112">
      <t>フ</t>
    </rPh>
    <rPh sb="120" eb="122">
      <t>ジシン</t>
    </rPh>
    <rPh sb="123" eb="124">
      <t>モ</t>
    </rPh>
    <rPh sb="126" eb="128">
      <t>ジブン</t>
    </rPh>
    <rPh sb="129" eb="131">
      <t>イケン</t>
    </rPh>
    <rPh sb="132" eb="133">
      <t>カンガ</t>
    </rPh>
    <rPh sb="135" eb="136">
      <t>イ</t>
    </rPh>
    <rPh sb="146" eb="147">
      <t>ネガ</t>
    </rPh>
    <rPh sb="153" eb="155">
      <t>サンスウ</t>
    </rPh>
    <rPh sb="173" eb="174">
      <t>ワ</t>
    </rPh>
    <rPh sb="185" eb="186">
      <t>ワ</t>
    </rPh>
    <rPh sb="221" eb="222">
      <t>ク</t>
    </rPh>
    <rPh sb="223" eb="224">
      <t>ア</t>
    </rPh>
    <rPh sb="241" eb="244">
      <t>セイカクセイ</t>
    </rPh>
    <rPh sb="245" eb="246">
      <t>ハヤ</t>
    </rPh>
    <rPh sb="248" eb="250">
      <t>イシキ</t>
    </rPh>
    <rPh sb="259" eb="261">
      <t>ジシュ</t>
    </rPh>
    <rPh sb="261" eb="263">
      <t>ベンキョウ</t>
    </rPh>
    <rPh sb="265" eb="267">
      <t>コクゴ</t>
    </rPh>
    <rPh sb="268" eb="270">
      <t>サンスウ</t>
    </rPh>
    <rPh sb="271" eb="273">
      <t>エイゴ</t>
    </rPh>
    <rPh sb="276" eb="278">
      <t>ジョウキョウ</t>
    </rPh>
    <rPh sb="279" eb="280">
      <t>オウ</t>
    </rPh>
    <rPh sb="282" eb="283">
      <t>ト</t>
    </rPh>
    <rPh sb="284" eb="285">
      <t>ク</t>
    </rPh>
    <rPh sb="295" eb="297">
      <t>ガッコウ</t>
    </rPh>
    <rPh sb="297" eb="299">
      <t>ギョウジ</t>
    </rPh>
    <rPh sb="300" eb="303">
      <t>タイイクサイ</t>
    </rPh>
    <rPh sb="306" eb="307">
      <t>アシ</t>
    </rPh>
    <rPh sb="308" eb="310">
      <t>ケガ</t>
    </rPh>
    <rPh sb="315" eb="316">
      <t>カカ</t>
    </rPh>
    <rPh sb="320" eb="322">
      <t>ガクネン</t>
    </rPh>
    <rPh sb="323" eb="324">
      <t>イ</t>
    </rPh>
    <rPh sb="334" eb="336">
      <t>ガンバ</t>
    </rPh>
    <rPh sb="341" eb="342">
      <t>オモ</t>
    </rPh>
    <rPh sb="347" eb="349">
      <t>ガッキ</t>
    </rPh>
    <rPh sb="351" eb="353">
      <t>ケガ</t>
    </rPh>
    <rPh sb="355" eb="356">
      <t>ス</t>
    </rPh>
    <rPh sb="362" eb="363">
      <t>ネガ</t>
    </rPh>
    <rPh sb="369" eb="371">
      <t>セイカツ</t>
    </rPh>
    <rPh sb="371" eb="372">
      <t>メン</t>
    </rPh>
    <rPh sb="375" eb="377">
      <t>ガッキュウ</t>
    </rPh>
    <rPh sb="377" eb="379">
      <t>ショキ</t>
    </rPh>
    <rPh sb="383" eb="384">
      <t>オモ</t>
    </rPh>
    <rPh sb="385" eb="387">
      <t>ガッキュウ</t>
    </rPh>
    <rPh sb="387" eb="388">
      <t>カイ</t>
    </rPh>
    <rPh sb="390" eb="392">
      <t>コクバン</t>
    </rPh>
    <rPh sb="392" eb="394">
      <t>ショキ</t>
    </rPh>
    <rPh sb="395" eb="396">
      <t>ニナ</t>
    </rPh>
    <rPh sb="398" eb="400">
      <t>ガッキュウ</t>
    </rPh>
    <rPh sb="400" eb="401">
      <t>チョウ</t>
    </rPh>
    <rPh sb="402" eb="403">
      <t>フク</t>
    </rPh>
    <rPh sb="403" eb="405">
      <t>ガッキュウ</t>
    </rPh>
    <rPh sb="405" eb="406">
      <t>チョウ</t>
    </rPh>
    <rPh sb="407" eb="408">
      <t>ササ</t>
    </rPh>
    <rPh sb="414" eb="416">
      <t>ガッキ</t>
    </rPh>
    <rPh sb="422" eb="423">
      <t>サイ</t>
    </rPh>
    <rPh sb="427" eb="428">
      <t>アイ</t>
    </rPh>
    <rPh sb="428" eb="429">
      <t>ヨウ</t>
    </rPh>
    <rPh sb="432" eb="434">
      <t>カツヤク</t>
    </rPh>
    <rPh sb="435" eb="437">
      <t>キタイ</t>
    </rPh>
    <phoneticPr fontId="1"/>
  </si>
  <si>
    <t>学習面においては、スノーボードと学業の両立が大変な中、毎日の宿題をよく頑張りました。素晴らしかったです。国語での課題は、やはり漢字の習得です。時間がないからこそ、一つひとつを丁寧にしっかりと覚えていき、身につけることを目的にしましょう。理暉君ならできるはずです。算数では、宿題をいつもきちんと提出することができ、感心しました。まずは計算力を身につけましょう。その他の単元でも、落ち着いて問題に取り組むことができれば、理解力はあるので必ず力がつきます。自分のために、頑張る気持ちを持てるといいです。体育祭の棒引きでは、持ち前の運動神経の良さを発揮して、白組の勝利に貢献しました。生活面では、クラスの電気・窓係として、いつも最後に教室を出て、責任を持って消灯を行いました。友人関係では、いつも明るく笑顔で楽しく過ごしていました。ただ時折、強い言葉を発してしまうことがありました。より相手の気持ちを考えられるといいです。２学期の成長を期待しています。</t>
    <rPh sb="0" eb="3">
      <t>ガクシュウメン</t>
    </rPh>
    <rPh sb="16" eb="18">
      <t>ガクギョウ</t>
    </rPh>
    <rPh sb="19" eb="21">
      <t>リョウリツ</t>
    </rPh>
    <rPh sb="22" eb="24">
      <t>タイヘン</t>
    </rPh>
    <rPh sb="25" eb="26">
      <t>ナカ</t>
    </rPh>
    <rPh sb="27" eb="29">
      <t>マイニチ</t>
    </rPh>
    <rPh sb="30" eb="32">
      <t>シュクダイ</t>
    </rPh>
    <rPh sb="35" eb="37">
      <t>ガンバ</t>
    </rPh>
    <rPh sb="42" eb="44">
      <t>スバ</t>
    </rPh>
    <rPh sb="52" eb="54">
      <t>コクゴ</t>
    </rPh>
    <rPh sb="56" eb="58">
      <t>カダイ</t>
    </rPh>
    <rPh sb="63" eb="65">
      <t>カンジ</t>
    </rPh>
    <rPh sb="66" eb="68">
      <t>シュウトク</t>
    </rPh>
    <rPh sb="71" eb="73">
      <t>ジカン</t>
    </rPh>
    <rPh sb="81" eb="82">
      <t>ヒト</t>
    </rPh>
    <rPh sb="87" eb="89">
      <t>テイネイ</t>
    </rPh>
    <rPh sb="95" eb="96">
      <t>オボ</t>
    </rPh>
    <rPh sb="101" eb="102">
      <t>ミ</t>
    </rPh>
    <rPh sb="109" eb="111">
      <t>モクテキ</t>
    </rPh>
    <rPh sb="118" eb="119">
      <t>リ</t>
    </rPh>
    <rPh sb="119" eb="120">
      <t>キ</t>
    </rPh>
    <rPh sb="120" eb="121">
      <t>クン</t>
    </rPh>
    <rPh sb="131" eb="133">
      <t>サンスウ</t>
    </rPh>
    <rPh sb="166" eb="169">
      <t>ケイサンリョク</t>
    </rPh>
    <rPh sb="170" eb="171">
      <t>ミ</t>
    </rPh>
    <rPh sb="181" eb="182">
      <t>タ</t>
    </rPh>
    <rPh sb="183" eb="185">
      <t>タンゲン</t>
    </rPh>
    <rPh sb="216" eb="217">
      <t>カナラ</t>
    </rPh>
    <rPh sb="218" eb="219">
      <t>チカラ</t>
    </rPh>
    <rPh sb="248" eb="251">
      <t>タイイクサイ</t>
    </rPh>
    <rPh sb="252" eb="253">
      <t>ボウ</t>
    </rPh>
    <rPh sb="253" eb="254">
      <t>ヒ</t>
    </rPh>
    <rPh sb="258" eb="259">
      <t>モ</t>
    </rPh>
    <rPh sb="260" eb="261">
      <t>マエ</t>
    </rPh>
    <rPh sb="262" eb="264">
      <t>ウンドウ</t>
    </rPh>
    <rPh sb="264" eb="266">
      <t>シンケイ</t>
    </rPh>
    <rPh sb="267" eb="268">
      <t>ヨ</t>
    </rPh>
    <rPh sb="270" eb="272">
      <t>ハッキ</t>
    </rPh>
    <rPh sb="275" eb="277">
      <t>シログミ</t>
    </rPh>
    <rPh sb="278" eb="280">
      <t>ショウリ</t>
    </rPh>
    <rPh sb="281" eb="283">
      <t>コウケン</t>
    </rPh>
    <rPh sb="288" eb="290">
      <t>セイカツ</t>
    </rPh>
    <rPh sb="290" eb="291">
      <t>メン</t>
    </rPh>
    <rPh sb="298" eb="300">
      <t>デンキ</t>
    </rPh>
    <rPh sb="301" eb="302">
      <t>マド</t>
    </rPh>
    <rPh sb="302" eb="303">
      <t>ガカリ</t>
    </rPh>
    <rPh sb="310" eb="312">
      <t>サイゴ</t>
    </rPh>
    <rPh sb="313" eb="315">
      <t>キョウシツ</t>
    </rPh>
    <rPh sb="316" eb="317">
      <t>デ</t>
    </rPh>
    <rPh sb="319" eb="321">
      <t>セキニン</t>
    </rPh>
    <rPh sb="322" eb="323">
      <t>モ</t>
    </rPh>
    <rPh sb="325" eb="327">
      <t>ショウトウ</t>
    </rPh>
    <rPh sb="328" eb="329">
      <t>オコナ</t>
    </rPh>
    <rPh sb="334" eb="336">
      <t>ユウジン</t>
    </rPh>
    <rPh sb="336" eb="338">
      <t>カンケイ</t>
    </rPh>
    <rPh sb="344" eb="345">
      <t>アカ</t>
    </rPh>
    <rPh sb="347" eb="349">
      <t>エガオ</t>
    </rPh>
    <rPh sb="350" eb="351">
      <t>タノ</t>
    </rPh>
    <rPh sb="353" eb="354">
      <t>ス</t>
    </rPh>
    <rPh sb="364" eb="366">
      <t>トキオリ</t>
    </rPh>
    <rPh sb="367" eb="368">
      <t>ツヨ</t>
    </rPh>
    <rPh sb="369" eb="371">
      <t>コトバ</t>
    </rPh>
    <rPh sb="372" eb="373">
      <t>ハッ</t>
    </rPh>
    <rPh sb="389" eb="391">
      <t>アイテ</t>
    </rPh>
    <rPh sb="392" eb="394">
      <t>キモ</t>
    </rPh>
    <rPh sb="396" eb="397">
      <t>カンガ</t>
    </rPh>
    <rPh sb="408" eb="410">
      <t>ガッキ</t>
    </rPh>
    <rPh sb="411" eb="413">
      <t>セイチョウ</t>
    </rPh>
    <rPh sb="414" eb="416">
      <t>キタイ</t>
    </rPh>
    <phoneticPr fontId="1"/>
  </si>
  <si>
    <t>学習面では、理解力があり、基本的な学力を着実に身につけました。国語では、漢字テストや単元テスト、模試でも高得点をとることができました。発言する機会も多いです。一方、漢字を丁寧に書くことを心がけてほしいと思います。算数では、興味関心が高く、上の学年の内容もよく知っています。更に文字をきちんと書く、見直しをするなど、丁寧な取り組み方ができるようになると、ケアレスミスを減らすことができ、成績も伸びるはずです。時折、授業に集中力が欠けることが見られるました。でも、指摘されるときちんと分かる成悟君です。２学期は改善していきましょう。生活面では、副学級長として、学級会でリーダーシップを発揮し、みんなの意見をまとめたり、連絡帳、自主勉強の提出の声かけをしたりして、クラスのみんなを引っ張りました。ファーストステップ会などでの挨拶も、堂々と行うことができ素晴らしかったです。とても素直で、みんなの信頼も厚いので、引き続き誠実な行動を期待しています。２学期の更なる成長を楽しみにしています。</t>
    <rPh sb="0" eb="2">
      <t>ガクシュウ</t>
    </rPh>
    <rPh sb="2" eb="3">
      <t>メン</t>
    </rPh>
    <rPh sb="6" eb="9">
      <t>リカイリョク</t>
    </rPh>
    <rPh sb="13" eb="16">
      <t>キホンテキ</t>
    </rPh>
    <rPh sb="17" eb="19">
      <t>ガクリョク</t>
    </rPh>
    <rPh sb="20" eb="22">
      <t>チャクジツ</t>
    </rPh>
    <rPh sb="23" eb="24">
      <t>ミ</t>
    </rPh>
    <rPh sb="31" eb="33">
      <t>コクゴ</t>
    </rPh>
    <rPh sb="36" eb="38">
      <t>カンジ</t>
    </rPh>
    <rPh sb="42" eb="44">
      <t>タンゲン</t>
    </rPh>
    <rPh sb="48" eb="50">
      <t>モシ</t>
    </rPh>
    <rPh sb="52" eb="55">
      <t>コウトクテン</t>
    </rPh>
    <rPh sb="67" eb="69">
      <t>ハツゲン</t>
    </rPh>
    <rPh sb="71" eb="73">
      <t>キカイ</t>
    </rPh>
    <rPh sb="74" eb="75">
      <t>オオ</t>
    </rPh>
    <rPh sb="79" eb="81">
      <t>イッポウ</t>
    </rPh>
    <rPh sb="82" eb="84">
      <t>カンジ</t>
    </rPh>
    <rPh sb="85" eb="87">
      <t>テイネイ</t>
    </rPh>
    <rPh sb="88" eb="89">
      <t>カ</t>
    </rPh>
    <rPh sb="93" eb="94">
      <t>ココロ</t>
    </rPh>
    <rPh sb="101" eb="102">
      <t>オモ</t>
    </rPh>
    <rPh sb="106" eb="108">
      <t>サンスウ</t>
    </rPh>
    <rPh sb="136" eb="137">
      <t>サラ</t>
    </rPh>
    <rPh sb="192" eb="194">
      <t>セイセキ</t>
    </rPh>
    <rPh sb="195" eb="196">
      <t>ノ</t>
    </rPh>
    <rPh sb="203" eb="205">
      <t>トキオリ</t>
    </rPh>
    <rPh sb="211" eb="212">
      <t>チカラ</t>
    </rPh>
    <rPh sb="213" eb="214">
      <t>カ</t>
    </rPh>
    <rPh sb="219" eb="220">
      <t>ミ</t>
    </rPh>
    <rPh sb="230" eb="232">
      <t>シテキ</t>
    </rPh>
    <rPh sb="240" eb="241">
      <t>ワ</t>
    </rPh>
    <rPh sb="253" eb="255">
      <t>カイゼン</t>
    </rPh>
    <rPh sb="264" eb="266">
      <t>セイカツ</t>
    </rPh>
    <rPh sb="266" eb="267">
      <t>メン</t>
    </rPh>
    <rPh sb="270" eb="271">
      <t>フク</t>
    </rPh>
    <rPh sb="271" eb="273">
      <t>ガッキュウ</t>
    </rPh>
    <rPh sb="273" eb="274">
      <t>チョウ</t>
    </rPh>
    <rPh sb="354" eb="355">
      <t>カイ</t>
    </rPh>
    <rPh sb="359" eb="361">
      <t>アイサツ</t>
    </rPh>
    <rPh sb="363" eb="365">
      <t>ドウドウ</t>
    </rPh>
    <rPh sb="366" eb="367">
      <t>オコナ</t>
    </rPh>
    <rPh sb="373" eb="375">
      <t>スバ</t>
    </rPh>
    <rPh sb="386" eb="388">
      <t>スナオ</t>
    </rPh>
    <rPh sb="394" eb="396">
      <t>シンライ</t>
    </rPh>
    <rPh sb="397" eb="398">
      <t>アツ</t>
    </rPh>
    <rPh sb="402" eb="403">
      <t>ヒ</t>
    </rPh>
    <rPh sb="404" eb="405">
      <t>ツヅ</t>
    </rPh>
    <rPh sb="406" eb="408">
      <t>セイジツ</t>
    </rPh>
    <rPh sb="409" eb="411">
      <t>コウドウ</t>
    </rPh>
    <rPh sb="412" eb="414">
      <t>キタイ</t>
    </rPh>
    <rPh sb="421" eb="423">
      <t>ガッキ</t>
    </rPh>
    <rPh sb="424" eb="425">
      <t>サラ</t>
    </rPh>
    <rPh sb="427" eb="429">
      <t>セイチョウ</t>
    </rPh>
    <rPh sb="430" eb="431">
      <t>タノハゲコエタイイクサイボウヒダレコエダガンバセイカツメントモタノススガタミタノカンシンカタムトキオリマワミノウリョクタカサッガッキヨホウチカラノカツヤクスガタキタイ</t>
    </rPh>
    <phoneticPr fontId="1"/>
  </si>
  <si>
    <t>学習面では、真面目に授業に取り組むことができました。国語では、新出漢字、単元テストともに、できるところとできないところの差が少し大きかったようです。また、やる前から自分自身でできないと決めてしまうことがありました。漢字を覚えたり、内容を理解したりする力は、十分にあるので自信を持って取り組んでいきましょう。自主勉強では、テスト対策を計画的に取り組むことができていました。これからは、日記など、書くことを取り入れて、文章の表現力を身につけていきましょう。算数では、取り組み方はとても丁寧です。一方、解くのに少し時間がかかってしまい、テストでは時間切れになってしまうことがありました。正確な計算力を身につけることと、授業中、早く取り掛かることを心掛けることで、学力は必ず伸びていきます。生活面では、周りのことや友人のことが気にかかり、自分のことがどうしても後回しになってしまうことがありました。自分のことに集中することを意識しましょう。クラスでは、国語係として、宿題の連絡や返却を責任を持って行いました。２学期の成長を期待しています。</t>
    <rPh sb="0" eb="2">
      <t>ガクシュウ</t>
    </rPh>
    <rPh sb="2" eb="3">
      <t>メン</t>
    </rPh>
    <rPh sb="6" eb="9">
      <t>マジメ</t>
    </rPh>
    <rPh sb="10" eb="12">
      <t>ジュギョウ</t>
    </rPh>
    <rPh sb="13" eb="14">
      <t>ト</t>
    </rPh>
    <rPh sb="15" eb="16">
      <t>ク</t>
    </rPh>
    <rPh sb="26" eb="28">
      <t>コクゴ</t>
    </rPh>
    <rPh sb="31" eb="33">
      <t>シンシュツ</t>
    </rPh>
    <rPh sb="33" eb="35">
      <t>カンジ</t>
    </rPh>
    <rPh sb="36" eb="38">
      <t>タンゲン</t>
    </rPh>
    <rPh sb="60" eb="61">
      <t>サ</t>
    </rPh>
    <rPh sb="62" eb="63">
      <t>スコ</t>
    </rPh>
    <rPh sb="64" eb="65">
      <t>オオ</t>
    </rPh>
    <rPh sb="79" eb="80">
      <t>マエ</t>
    </rPh>
    <rPh sb="82" eb="84">
      <t>ジブン</t>
    </rPh>
    <rPh sb="84" eb="86">
      <t>ジシン</t>
    </rPh>
    <rPh sb="92" eb="93">
      <t>キ</t>
    </rPh>
    <rPh sb="107" eb="109">
      <t>カンジ</t>
    </rPh>
    <rPh sb="110" eb="111">
      <t>オボ</t>
    </rPh>
    <rPh sb="115" eb="117">
      <t>ナイヨウ</t>
    </rPh>
    <rPh sb="128" eb="130">
      <t>ジュウブン</t>
    </rPh>
    <rPh sb="135" eb="137">
      <t>ジシン</t>
    </rPh>
    <rPh sb="138" eb="139">
      <t>モ</t>
    </rPh>
    <rPh sb="141" eb="142">
      <t>ト</t>
    </rPh>
    <rPh sb="143" eb="144">
      <t>ク</t>
    </rPh>
    <rPh sb="153" eb="155">
      <t>ジシュ</t>
    </rPh>
    <rPh sb="155" eb="157">
      <t>ベンキョウ</t>
    </rPh>
    <rPh sb="163" eb="165">
      <t>タイサク</t>
    </rPh>
    <rPh sb="207" eb="209">
      <t>ブンショウ</t>
    </rPh>
    <rPh sb="210" eb="213">
      <t>ヒョウゲンリョク</t>
    </rPh>
    <rPh sb="214" eb="215">
      <t>ミ</t>
    </rPh>
    <rPh sb="226" eb="228">
      <t>サンスウ</t>
    </rPh>
    <rPh sb="245" eb="247">
      <t>イッポウ</t>
    </rPh>
    <rPh sb="248" eb="249">
      <t>ト</t>
    </rPh>
    <rPh sb="252" eb="253">
      <t>スコ</t>
    </rPh>
    <rPh sb="290" eb="292">
      <t>セイカク</t>
    </rPh>
    <rPh sb="328" eb="330">
      <t>ガクリョク</t>
    </rPh>
    <rPh sb="331" eb="332">
      <t>カナラ</t>
    </rPh>
    <rPh sb="333" eb="334">
      <t>ノ</t>
    </rPh>
    <rPh sb="341" eb="343">
      <t>セイカツ</t>
    </rPh>
    <rPh sb="343" eb="344">
      <t>メン</t>
    </rPh>
    <rPh sb="347" eb="348">
      <t>マワ</t>
    </rPh>
    <rPh sb="353" eb="355">
      <t>ユウジン</t>
    </rPh>
    <rPh sb="359" eb="360">
      <t>キ</t>
    </rPh>
    <rPh sb="365" eb="367">
      <t>ジブン</t>
    </rPh>
    <rPh sb="376" eb="378">
      <t>アトマワ</t>
    </rPh>
    <rPh sb="395" eb="397">
      <t>ジブン</t>
    </rPh>
    <rPh sb="401" eb="403">
      <t>シュウチュウ</t>
    </rPh>
    <rPh sb="408" eb="410">
      <t>イシキ</t>
    </rPh>
    <rPh sb="422" eb="424">
      <t>コクゴ</t>
    </rPh>
    <rPh sb="424" eb="425">
      <t>カカリ</t>
    </rPh>
    <rPh sb="429" eb="431">
      <t>シュクダイ</t>
    </rPh>
    <rPh sb="432" eb="434">
      <t>レンラク</t>
    </rPh>
    <rPh sb="435" eb="437">
      <t>ヘンキャク</t>
    </rPh>
    <rPh sb="438" eb="440">
      <t>セキニン</t>
    </rPh>
    <rPh sb="441" eb="442">
      <t>モ</t>
    </rPh>
    <rPh sb="444" eb="445">
      <t>オコナ</t>
    </rPh>
    <rPh sb="451" eb="453">
      <t>ガッキ</t>
    </rPh>
    <rPh sb="454" eb="456">
      <t>セイチョウ</t>
    </rPh>
    <rPh sb="457" eb="459">
      <t>キタイ</t>
    </rPh>
    <phoneticPr fontId="1"/>
  </si>
  <si>
    <t>学習面では、いつも一生懸命に取り組み、基本的な学力を身につけました。国語では、新出漢字の練習を毎日丁寧に行い、確実に覚え、単元テストや模試でも高得点をとることができました。算数では、新しい単元を理解するのに時間がかかりますが、一度理解してしまえば、確実に問題を解くことができます。分からないときは「分かりません。」とはっきり言えることもとても良いことです。自主勉強では、毎日英語の学習を重点に勉強を進め、理解を深めました。生活面では、友人と笑顔で楽しく過ごす姿が見られました。一方、帰りの仕度や、授業の準備、片付け、着替えに時間がかかり、時間におくれてしまうことも見られました。自分自身でも自覚をして、早めに行動することを心がけましょう。生活面、学習面において、一つひとつ質問をして確かめることが多くあります。間違えてもいいので、自分で判断して行動することも大切です。そのためには、しっかりと聞くことが重要です。成功が自信につながります。少しずつチャレンジしていきましょう。２学期の成長を期待しています。</t>
    <rPh sb="0" eb="2">
      <t>ガクシュウ</t>
    </rPh>
    <rPh sb="2" eb="3">
      <t>メン</t>
    </rPh>
    <rPh sb="9" eb="13">
      <t>イッショウケンメイ</t>
    </rPh>
    <rPh sb="14" eb="15">
      <t>ト</t>
    </rPh>
    <rPh sb="16" eb="17">
      <t>ク</t>
    </rPh>
    <rPh sb="19" eb="22">
      <t>キホンテキ</t>
    </rPh>
    <rPh sb="23" eb="25">
      <t>ガクリョク</t>
    </rPh>
    <rPh sb="26" eb="27">
      <t>ミ</t>
    </rPh>
    <rPh sb="34" eb="36">
      <t>コクゴ</t>
    </rPh>
    <rPh sb="39" eb="41">
      <t>シンシュツ</t>
    </rPh>
    <rPh sb="41" eb="43">
      <t>カンジ</t>
    </rPh>
    <rPh sb="44" eb="46">
      <t>レンシュウ</t>
    </rPh>
    <rPh sb="47" eb="49">
      <t>マイニチ</t>
    </rPh>
    <rPh sb="49" eb="51">
      <t>テイネイ</t>
    </rPh>
    <rPh sb="52" eb="53">
      <t>オコナ</t>
    </rPh>
    <rPh sb="55" eb="57">
      <t>カクジツ</t>
    </rPh>
    <rPh sb="58" eb="59">
      <t>オボ</t>
    </rPh>
    <rPh sb="61" eb="63">
      <t>タンゲン</t>
    </rPh>
    <rPh sb="67" eb="69">
      <t>モシ</t>
    </rPh>
    <rPh sb="71" eb="74">
      <t>コウトクテン</t>
    </rPh>
    <rPh sb="86" eb="88">
      <t>サンスウ</t>
    </rPh>
    <rPh sb="94" eb="96">
      <t>タンゲン</t>
    </rPh>
    <rPh sb="140" eb="141">
      <t>ワ</t>
    </rPh>
    <rPh sb="149" eb="150">
      <t>ワ</t>
    </rPh>
    <rPh sb="171" eb="172">
      <t>ヨ</t>
    </rPh>
    <rPh sb="178" eb="180">
      <t>ジシュ</t>
    </rPh>
    <rPh sb="180" eb="182">
      <t>ベンキョウ</t>
    </rPh>
    <rPh sb="185" eb="187">
      <t>マイニチ</t>
    </rPh>
    <rPh sb="187" eb="189">
      <t>エイゴ</t>
    </rPh>
    <rPh sb="190" eb="192">
      <t>ガクシュウ</t>
    </rPh>
    <rPh sb="193" eb="195">
      <t>ジュウテン</t>
    </rPh>
    <rPh sb="196" eb="198">
      <t>ベンキョウ</t>
    </rPh>
    <rPh sb="199" eb="200">
      <t>スス</t>
    </rPh>
    <rPh sb="202" eb="204">
      <t>リカイ</t>
    </rPh>
    <rPh sb="205" eb="206">
      <t>フカ</t>
    </rPh>
    <rPh sb="211" eb="213">
      <t>セイカツ</t>
    </rPh>
    <rPh sb="213" eb="214">
      <t>メン</t>
    </rPh>
    <rPh sb="217" eb="219">
      <t>ユウジン</t>
    </rPh>
    <rPh sb="220" eb="222">
      <t>エガオ</t>
    </rPh>
    <rPh sb="223" eb="224">
      <t>タノ</t>
    </rPh>
    <rPh sb="226" eb="227">
      <t>ス</t>
    </rPh>
    <rPh sb="229" eb="230">
      <t>スガタ</t>
    </rPh>
    <rPh sb="231" eb="232">
      <t>ミ</t>
    </rPh>
    <rPh sb="238" eb="240">
      <t>イッポウ</t>
    </rPh>
    <rPh sb="241" eb="242">
      <t>カエ</t>
    </rPh>
    <rPh sb="244" eb="246">
      <t>シタク</t>
    </rPh>
    <rPh sb="248" eb="250">
      <t>ジュギョウ</t>
    </rPh>
    <rPh sb="251" eb="253">
      <t>ジュンビ</t>
    </rPh>
    <rPh sb="254" eb="256">
      <t>カタヅ</t>
    </rPh>
    <rPh sb="258" eb="260">
      <t>キガ</t>
    </rPh>
    <rPh sb="262" eb="264">
      <t>ジカン</t>
    </rPh>
    <rPh sb="269" eb="271">
      <t>ジカン</t>
    </rPh>
    <rPh sb="282" eb="283">
      <t>ミ</t>
    </rPh>
    <rPh sb="289" eb="291">
      <t>ジブン</t>
    </rPh>
    <rPh sb="291" eb="293">
      <t>ジシン</t>
    </rPh>
    <rPh sb="295" eb="297">
      <t>ジカク</t>
    </rPh>
    <rPh sb="301" eb="302">
      <t>ハヤ</t>
    </rPh>
    <rPh sb="304" eb="306">
      <t>コウドウ</t>
    </rPh>
    <rPh sb="311" eb="312">
      <t>ココロ</t>
    </rPh>
    <rPh sb="319" eb="321">
      <t>セイカツ</t>
    </rPh>
    <rPh sb="321" eb="322">
      <t>メン</t>
    </rPh>
    <rPh sb="323" eb="325">
      <t>ガクシュウ</t>
    </rPh>
    <rPh sb="325" eb="326">
      <t>メン</t>
    </rPh>
    <rPh sb="331" eb="332">
      <t>ヒト</t>
    </rPh>
    <rPh sb="336" eb="338">
      <t>シツモン</t>
    </rPh>
    <rPh sb="341" eb="342">
      <t>タシ</t>
    </rPh>
    <rPh sb="348" eb="349">
      <t>オオ</t>
    </rPh>
    <rPh sb="355" eb="357">
      <t>マチガ</t>
    </rPh>
    <rPh sb="365" eb="367">
      <t>ジブン</t>
    </rPh>
    <rPh sb="368" eb="370">
      <t>ハンダン</t>
    </rPh>
    <rPh sb="372" eb="374">
      <t>コウドウ</t>
    </rPh>
    <rPh sb="379" eb="381">
      <t>タイセツ</t>
    </rPh>
    <rPh sb="396" eb="397">
      <t>キ</t>
    </rPh>
    <rPh sb="401" eb="403">
      <t>ジュウヨウ</t>
    </rPh>
    <rPh sb="406" eb="408">
      <t>セイコウ</t>
    </rPh>
    <rPh sb="409" eb="411">
      <t>ジシン</t>
    </rPh>
    <rPh sb="419" eb="420">
      <t>スコ</t>
    </rPh>
    <rPh sb="438" eb="440">
      <t>ガッキ</t>
    </rPh>
    <rPh sb="441" eb="443">
      <t>セイチョウ</t>
    </rPh>
    <rPh sb="444" eb="446">
      <t>キタイハゲコエタイイクサイボウヒダレコエダガンバセイカツメントモタノススガタミタノカンシンカタムトキオリマワミノウリョクタカサッガッキヨホウチカラノカツヤクスガタキタイ</t>
    </rPh>
    <phoneticPr fontId="1"/>
  </si>
  <si>
    <t>学習面では、いつも一生懸命に授業に取り組み、既習範囲の学力を着実に身につけました。国語では、毎日の漢字練習や宿題にしっかりと取り組み、力をつけ、漢字テスト、単元テストと全てのテストで１００点をとりました。算数では、落ち着いてじっくり考えることができるので、ミスもほとんどありません。模試でも、算数は２回とも１００点でした。自主勉強では、社会と英語を重点的に、授業で行った内容をしっかりと復習しました。どの授業でも、恭佑君の取り組む姿勢は素晴らしいです。話をしっかりと聞いて、理解して行動しています。これからも更に高い目標を掲げ、発展的な学習にも積極的に取り組んでいきましょう。生活面では、音読・ＥＥ係として、毎日の宿題の連絡、返却を責任を持って行いました。給食の際には、毎日、流し場の床を拭いたり、給食かごの片づけを手伝ったりして本当に感心しています。全てにおいて、毎日全力で取り組むことができました。恭佑君自身が、「やりたい。楽しい。」と思えていることが素晴らしいです。いつも応援しています。２学期も頑張りましょう。</t>
    <rPh sb="9" eb="13">
      <t>イッショウケンメイ</t>
    </rPh>
    <rPh sb="107" eb="108">
      <t>オ</t>
    </rPh>
    <rPh sb="109" eb="110">
      <t>ツ</t>
    </rPh>
    <rPh sb="116" eb="117">
      <t>カンガ</t>
    </rPh>
    <rPh sb="141" eb="143">
      <t>モシ</t>
    </rPh>
    <rPh sb="146" eb="148">
      <t>サンスウ</t>
    </rPh>
    <rPh sb="150" eb="151">
      <t>カイ</t>
    </rPh>
    <rPh sb="156" eb="157">
      <t>テン</t>
    </rPh>
    <rPh sb="168" eb="170">
      <t>シャカイ</t>
    </rPh>
    <rPh sb="171" eb="173">
      <t>エイゴ</t>
    </rPh>
    <rPh sb="174" eb="177">
      <t>ジュウテンテキ</t>
    </rPh>
    <rPh sb="179" eb="181">
      <t>ジュギョウ</t>
    </rPh>
    <rPh sb="182" eb="183">
      <t>オコナ</t>
    </rPh>
    <rPh sb="185" eb="187">
      <t>ナイヨウ</t>
    </rPh>
    <rPh sb="193" eb="195">
      <t>フクシュウ</t>
    </rPh>
    <rPh sb="211" eb="212">
      <t>ト</t>
    </rPh>
    <rPh sb="213" eb="214">
      <t>ク</t>
    </rPh>
    <rPh sb="215" eb="217">
      <t>シセイ</t>
    </rPh>
    <rPh sb="226" eb="227">
      <t>ハナシ</t>
    </rPh>
    <rPh sb="233" eb="234">
      <t>キ</t>
    </rPh>
    <rPh sb="241" eb="243">
      <t>コウドウ</t>
    </rPh>
    <rPh sb="294" eb="296">
      <t>オンドク</t>
    </rPh>
    <rPh sb="299" eb="300">
      <t>カカリ</t>
    </rPh>
    <rPh sb="304" eb="306">
      <t>マイニチ</t>
    </rPh>
    <rPh sb="307" eb="309">
      <t>シュクダイ</t>
    </rPh>
    <rPh sb="310" eb="312">
      <t>レンラク</t>
    </rPh>
    <rPh sb="313" eb="315">
      <t>ヘンキャク</t>
    </rPh>
    <rPh sb="316" eb="318">
      <t>セキニン</t>
    </rPh>
    <rPh sb="319" eb="320">
      <t>モ</t>
    </rPh>
    <rPh sb="322" eb="323">
      <t>オコナ</t>
    </rPh>
    <rPh sb="328" eb="330">
      <t>キュウショク</t>
    </rPh>
    <rPh sb="331" eb="332">
      <t>サイ</t>
    </rPh>
    <rPh sb="335" eb="337">
      <t>マイニチ</t>
    </rPh>
    <rPh sb="338" eb="339">
      <t>ナガ</t>
    </rPh>
    <rPh sb="340" eb="341">
      <t>バ</t>
    </rPh>
    <rPh sb="342" eb="343">
      <t>ユカ</t>
    </rPh>
    <rPh sb="344" eb="345">
      <t>フ</t>
    </rPh>
    <rPh sb="349" eb="351">
      <t>キュウショク</t>
    </rPh>
    <rPh sb="354" eb="355">
      <t>カタ</t>
    </rPh>
    <rPh sb="358" eb="360">
      <t>テツダ</t>
    </rPh>
    <rPh sb="365" eb="367">
      <t>ホントウ</t>
    </rPh>
    <rPh sb="368" eb="370">
      <t>カンシン</t>
    </rPh>
    <rPh sb="376" eb="377">
      <t>スベ</t>
    </rPh>
    <rPh sb="383" eb="385">
      <t>マイニチ</t>
    </rPh>
    <rPh sb="385" eb="387">
      <t>ゼンリョク</t>
    </rPh>
    <rPh sb="388" eb="389">
      <t>ト</t>
    </rPh>
    <rPh sb="390" eb="391">
      <t>ク</t>
    </rPh>
    <rPh sb="439" eb="441">
      <t>オウエン</t>
    </rPh>
    <rPh sb="448" eb="450">
      <t>ガッキ</t>
    </rPh>
    <rPh sb="451" eb="453">
      <t>ガンバタイイクサイボウヒモマエウンドウシンケイヨハッキシログミショウリコウケンセイカツメンデンキマドガカリサイゴキョウシツデセキニンモショウトウオコナユウジンカンケイアカエガオタノストキオリツヨコトバハッアイテキモカンガガッキセイチョウキタイ</t>
    </rPh>
    <phoneticPr fontId="1"/>
  </si>
  <si>
    <t>学習面においては、１学期前半に、少し集中力の欠けることが度々見られましたが、最近は改善されてきました。国語では、漢字は丁寧に書き、しっかりと練習して身についています。２学期も続けていきましょう。算数も、しっかり取り組めた時は確実に問題を解くことができます。国語と同様に、集中して丁寧に学習に取り組んでいきましょう。ＥＥの聞き書き取りテストもしっかりと学習してのぞみ、見事に満点をとることができました。体育祭では、白組リーダーに立候補し、みんなの支持を得て選出されました。周りの状況に左右されず、冷静に判断し、発言できることは素晴らしいことです。そこがクラスメートから信頼される理由だと思います。これからも継続していきましょう。一方、連絡帳や宿題などの提出物が滞ることがあるのが気になります。もう一度、生活を見直して、すべきことをきちんとするというリズムを整えていきましょう。明るく素直な瑛心君は、クラスのムードメーカーです。２学期の成長と活躍を期待しています。</t>
    <rPh sb="0" eb="2">
      <t>ガクシュウ</t>
    </rPh>
    <rPh sb="2" eb="3">
      <t>メン</t>
    </rPh>
    <rPh sb="10" eb="12">
      <t>ガッキ</t>
    </rPh>
    <rPh sb="12" eb="14">
      <t>ゼンハン</t>
    </rPh>
    <rPh sb="16" eb="17">
      <t>スコ</t>
    </rPh>
    <rPh sb="18" eb="21">
      <t>シュウチュウリョク</t>
    </rPh>
    <rPh sb="22" eb="23">
      <t>カ</t>
    </rPh>
    <rPh sb="28" eb="30">
      <t>タビタビ</t>
    </rPh>
    <rPh sb="30" eb="31">
      <t>ミ</t>
    </rPh>
    <rPh sb="38" eb="40">
      <t>サイキン</t>
    </rPh>
    <rPh sb="41" eb="43">
      <t>カイゼン</t>
    </rPh>
    <rPh sb="51" eb="53">
      <t>コクゴ</t>
    </rPh>
    <rPh sb="56" eb="58">
      <t>カンジ</t>
    </rPh>
    <rPh sb="59" eb="61">
      <t>テイネイ</t>
    </rPh>
    <rPh sb="62" eb="63">
      <t>カ</t>
    </rPh>
    <rPh sb="70" eb="72">
      <t>レンシュウ</t>
    </rPh>
    <rPh sb="74" eb="75">
      <t>ミ</t>
    </rPh>
    <rPh sb="84" eb="86">
      <t>ガッキ</t>
    </rPh>
    <rPh sb="87" eb="88">
      <t>ツヅ</t>
    </rPh>
    <rPh sb="97" eb="99">
      <t>サンスウ</t>
    </rPh>
    <rPh sb="110" eb="111">
      <t>トキ</t>
    </rPh>
    <rPh sb="128" eb="130">
      <t>コクゴ</t>
    </rPh>
    <rPh sb="131" eb="133">
      <t>ドウヨウ</t>
    </rPh>
    <rPh sb="160" eb="161">
      <t>キ</t>
    </rPh>
    <rPh sb="162" eb="163">
      <t>カ</t>
    </rPh>
    <rPh sb="164" eb="165">
      <t>ト</t>
    </rPh>
    <rPh sb="175" eb="177">
      <t>ガクシュウ</t>
    </rPh>
    <rPh sb="183" eb="185">
      <t>ミゴト</t>
    </rPh>
    <rPh sb="186" eb="188">
      <t>マンテン</t>
    </rPh>
    <rPh sb="200" eb="203">
      <t>タイイクサイ</t>
    </rPh>
    <rPh sb="206" eb="208">
      <t>シログミ</t>
    </rPh>
    <rPh sb="213" eb="216">
      <t>リッコウホ</t>
    </rPh>
    <rPh sb="222" eb="224">
      <t>シジ</t>
    </rPh>
    <rPh sb="225" eb="226">
      <t>エ</t>
    </rPh>
    <rPh sb="227" eb="229">
      <t>センシュツ</t>
    </rPh>
    <rPh sb="235" eb="236">
      <t>マワ</t>
    </rPh>
    <rPh sb="238" eb="240">
      <t>ジョウキョウ</t>
    </rPh>
    <rPh sb="241" eb="243">
      <t>サユウ</t>
    </rPh>
    <rPh sb="247" eb="249">
      <t>レイセイ</t>
    </rPh>
    <rPh sb="250" eb="252">
      <t>ハンダン</t>
    </rPh>
    <rPh sb="254" eb="256">
      <t>ハツゲン</t>
    </rPh>
    <rPh sb="262" eb="264">
      <t>スバ</t>
    </rPh>
    <rPh sb="283" eb="285">
      <t>シンライ</t>
    </rPh>
    <rPh sb="288" eb="290">
      <t>リユウ</t>
    </rPh>
    <rPh sb="292" eb="293">
      <t>オモ</t>
    </rPh>
    <rPh sb="302" eb="304">
      <t>ケイゾク</t>
    </rPh>
    <rPh sb="313" eb="315">
      <t>イッポウ</t>
    </rPh>
    <rPh sb="316" eb="319">
      <t>レンラクチョウ</t>
    </rPh>
    <rPh sb="320" eb="322">
      <t>シュクダイ</t>
    </rPh>
    <rPh sb="325" eb="327">
      <t>テイシュツ</t>
    </rPh>
    <rPh sb="327" eb="328">
      <t>ブツ</t>
    </rPh>
    <rPh sb="329" eb="330">
      <t>トドコオ</t>
    </rPh>
    <rPh sb="338" eb="339">
      <t>キ</t>
    </rPh>
    <rPh sb="347" eb="349">
      <t>イチド</t>
    </rPh>
    <rPh sb="350" eb="352">
      <t>セイカツ</t>
    </rPh>
    <rPh sb="353" eb="355">
      <t>ミナオ</t>
    </rPh>
    <rPh sb="377" eb="378">
      <t>トトノ</t>
    </rPh>
    <rPh sb="387" eb="388">
      <t>アカ</t>
    </rPh>
    <rPh sb="390" eb="392">
      <t>スナオ</t>
    </rPh>
    <rPh sb="393" eb="394">
      <t>エイ</t>
    </rPh>
    <rPh sb="394" eb="395">
      <t>ココロ</t>
    </rPh>
    <rPh sb="395" eb="396">
      <t>クン</t>
    </rPh>
    <rPh sb="413" eb="415">
      <t>ガッキ</t>
    </rPh>
    <rPh sb="416" eb="418">
      <t>セイチョウ</t>
    </rPh>
    <rPh sb="419" eb="421">
      <t>カツヤク</t>
    </rPh>
    <rPh sb="422" eb="424">
      <t>キタイ</t>
    </rPh>
    <phoneticPr fontId="1"/>
  </si>
  <si>
    <t>学習面では、いつも真面目に取り組むことができました。国語では、宿題や漢字練習を丁寧に行い、毎回の５問テストではよくできています。しっかりと定着できるように、何度も繰り返していきましょう。算数では、授業態度や宿題への取り組み方も、一生懸命なところが素晴らしいです。一方、新しい学習内容を理解するのに時間がかかり、一度学習して分かった内容でも、少し時間が経つと忘れてしまうことがあるようです。根気よく、繰り返し復習し、練習問題を解いて定着させていきましょう。体育祭では、白組リーダーに選出され、他のリーダーと協力して、作戦会議でみんなの意見をまとめたり、集合、整列では積極的に声をかけたりと、自分の役割をしっかりと果たしました。生活面では、給食当番や掃除を責任を持って行いました。友人関係では、誰とでも公平に接することができ、その誠実な態度にみんなからの信頼も厚かったようです。周りに左右されずに、物事を冷静に判断すことができました。これからも継続していきましょう。２学期の更なる成長を期待しています。</t>
    <rPh sb="0" eb="2">
      <t>ガクシュウ</t>
    </rPh>
    <rPh sb="2" eb="3">
      <t>メン</t>
    </rPh>
    <rPh sb="9" eb="12">
      <t>マジメ</t>
    </rPh>
    <rPh sb="13" eb="14">
      <t>ト</t>
    </rPh>
    <rPh sb="15" eb="16">
      <t>ク</t>
    </rPh>
    <rPh sb="26" eb="28">
      <t>コクゴ</t>
    </rPh>
    <rPh sb="31" eb="33">
      <t>シュクダイ</t>
    </rPh>
    <rPh sb="34" eb="36">
      <t>カンジ</t>
    </rPh>
    <rPh sb="36" eb="38">
      <t>レンシュウ</t>
    </rPh>
    <rPh sb="39" eb="41">
      <t>テイネイ</t>
    </rPh>
    <rPh sb="42" eb="43">
      <t>オコナ</t>
    </rPh>
    <rPh sb="45" eb="47">
      <t>マイカイ</t>
    </rPh>
    <rPh sb="49" eb="50">
      <t>モン</t>
    </rPh>
    <rPh sb="69" eb="71">
      <t>テイチャク</t>
    </rPh>
    <rPh sb="78" eb="80">
      <t>ナンド</t>
    </rPh>
    <rPh sb="81" eb="82">
      <t>ク</t>
    </rPh>
    <rPh sb="83" eb="84">
      <t>カエ</t>
    </rPh>
    <rPh sb="93" eb="95">
      <t>サンスウ</t>
    </rPh>
    <rPh sb="131" eb="133">
      <t>イッポウ</t>
    </rPh>
    <rPh sb="137" eb="139">
      <t>ガクシュウ</t>
    </rPh>
    <rPh sb="161" eb="162">
      <t>ワ</t>
    </rPh>
    <rPh sb="165" eb="167">
      <t>ナイヨウ</t>
    </rPh>
    <rPh sb="215" eb="217">
      <t>テイチャク</t>
    </rPh>
    <rPh sb="227" eb="230">
      <t>タイイクサイ</t>
    </rPh>
    <rPh sb="233" eb="235">
      <t>シログミ</t>
    </rPh>
    <rPh sb="240" eb="242">
      <t>センシュツ</t>
    </rPh>
    <rPh sb="245" eb="246">
      <t>タ</t>
    </rPh>
    <rPh sb="252" eb="254">
      <t>キョウリョク</t>
    </rPh>
    <rPh sb="257" eb="259">
      <t>サクセン</t>
    </rPh>
    <rPh sb="259" eb="261">
      <t>カイギ</t>
    </rPh>
    <rPh sb="266" eb="268">
      <t>イケン</t>
    </rPh>
    <rPh sb="275" eb="277">
      <t>シュウゴウ</t>
    </rPh>
    <rPh sb="278" eb="280">
      <t>セイレツ</t>
    </rPh>
    <rPh sb="282" eb="285">
      <t>セッキョクテキ</t>
    </rPh>
    <rPh sb="286" eb="287">
      <t>コエ</t>
    </rPh>
    <rPh sb="294" eb="296">
      <t>ジブン</t>
    </rPh>
    <rPh sb="297" eb="299">
      <t>ヤクワリ</t>
    </rPh>
    <rPh sb="305" eb="306">
      <t>ハ</t>
    </rPh>
    <rPh sb="312" eb="314">
      <t>セイカツ</t>
    </rPh>
    <rPh sb="314" eb="315">
      <t>メン</t>
    </rPh>
    <rPh sb="318" eb="320">
      <t>キュウショク</t>
    </rPh>
    <rPh sb="320" eb="322">
      <t>トウバン</t>
    </rPh>
    <rPh sb="323" eb="325">
      <t>ソウジ</t>
    </rPh>
    <rPh sb="326" eb="328">
      <t>セキニン</t>
    </rPh>
    <rPh sb="329" eb="330">
      <t>モ</t>
    </rPh>
    <rPh sb="332" eb="333">
      <t>オコナ</t>
    </rPh>
    <rPh sb="338" eb="340">
      <t>ユウジン</t>
    </rPh>
    <rPh sb="340" eb="342">
      <t>カンケイ</t>
    </rPh>
    <rPh sb="345" eb="346">
      <t>ダレ</t>
    </rPh>
    <rPh sb="349" eb="351">
      <t>コウヘイ</t>
    </rPh>
    <rPh sb="352" eb="353">
      <t>セッ</t>
    </rPh>
    <rPh sb="363" eb="365">
      <t>セイジツ</t>
    </rPh>
    <rPh sb="366" eb="368">
      <t>タイド</t>
    </rPh>
    <rPh sb="375" eb="377">
      <t>シンライ</t>
    </rPh>
    <rPh sb="378" eb="379">
      <t>アツ</t>
    </rPh>
    <rPh sb="387" eb="388">
      <t>マワ</t>
    </rPh>
    <rPh sb="390" eb="392">
      <t>サユウ</t>
    </rPh>
    <rPh sb="397" eb="399">
      <t>モノゴト</t>
    </rPh>
    <rPh sb="400" eb="402">
      <t>レイセイ</t>
    </rPh>
    <rPh sb="403" eb="405">
      <t>ハンダン</t>
    </rPh>
    <rPh sb="420" eb="422">
      <t>ケイゾク</t>
    </rPh>
    <rPh sb="432" eb="434">
      <t>ガッキ</t>
    </rPh>
    <rPh sb="435" eb="436">
      <t>サラ</t>
    </rPh>
    <rPh sb="438" eb="440">
      <t>セイチョウ</t>
    </rPh>
    <rPh sb="441" eb="443">
      <t>キタイ</t>
    </rPh>
    <phoneticPr fontId="1"/>
  </si>
  <si>
    <t>学習面では、意欲的に学習に取り組み既習範囲の学力を着実に身につけました。国語では、毎日の漢字練習を自分なりに工夫して定着させることができました。課題に黙々と取り組み、力をつけ、単元テストや模試でも実力を発揮しました。算数では、理解力と計算力があり、テストでの成績も優秀でした。模試でも、１００点を取ることができました。ただ、丁寧に式を書いたり検算をしたり、見直しをしたりすることに苦手意識があるようでした。自主勉強でも、問題への取り組み方に丁寧さが加わればさらに成績が伸びると思います。登山遠足では、副班長として、班長を支え、みんなで協力して楽しく登山をすることができました。生活面では、クラスの配達物係として、毎日昼休みに、必ず職員室へ確認に行きました。給食当番、掃除も責任を持って、その役割を果たし、友人関係でも、誰とでも公平に接することができました。何事もきちんと取り組む高い能力を持っています。２学期の更なる成長と飛躍を期待しています。</t>
    <rPh sb="0" eb="2">
      <t>ガクシュウ</t>
    </rPh>
    <rPh sb="2" eb="3">
      <t>メン</t>
    </rPh>
    <rPh sb="6" eb="9">
      <t>イヨクテキ</t>
    </rPh>
    <rPh sb="10" eb="12">
      <t>ガクシュウ</t>
    </rPh>
    <rPh sb="13" eb="14">
      <t>ト</t>
    </rPh>
    <rPh sb="15" eb="16">
      <t>ク</t>
    </rPh>
    <rPh sb="17" eb="19">
      <t>キシュウ</t>
    </rPh>
    <rPh sb="19" eb="21">
      <t>ハンイ</t>
    </rPh>
    <rPh sb="22" eb="24">
      <t>ガクリョク</t>
    </rPh>
    <rPh sb="25" eb="27">
      <t>チャクジツ</t>
    </rPh>
    <rPh sb="28" eb="29">
      <t>ミ</t>
    </rPh>
    <rPh sb="36" eb="38">
      <t>コクゴ</t>
    </rPh>
    <rPh sb="41" eb="43">
      <t>マイニチ</t>
    </rPh>
    <rPh sb="44" eb="46">
      <t>カンジ</t>
    </rPh>
    <rPh sb="46" eb="48">
      <t>レンシュウ</t>
    </rPh>
    <rPh sb="49" eb="51">
      <t>ジブン</t>
    </rPh>
    <rPh sb="54" eb="56">
      <t>クフウ</t>
    </rPh>
    <rPh sb="58" eb="60">
      <t>テイチャク</t>
    </rPh>
    <rPh sb="72" eb="74">
      <t>カダイ</t>
    </rPh>
    <rPh sb="75" eb="77">
      <t>モクモク</t>
    </rPh>
    <rPh sb="78" eb="79">
      <t>ト</t>
    </rPh>
    <rPh sb="80" eb="81">
      <t>ク</t>
    </rPh>
    <rPh sb="83" eb="84">
      <t>チカラ</t>
    </rPh>
    <rPh sb="88" eb="90">
      <t>タンゲン</t>
    </rPh>
    <rPh sb="94" eb="96">
      <t>モシ</t>
    </rPh>
    <rPh sb="98" eb="100">
      <t>ジツリョク</t>
    </rPh>
    <rPh sb="101" eb="103">
      <t>ハッキ</t>
    </rPh>
    <rPh sb="108" eb="110">
      <t>サンスウ</t>
    </rPh>
    <rPh sb="190" eb="194">
      <t>ニガテイシキ</t>
    </rPh>
    <rPh sb="203" eb="205">
      <t>ジシュ</t>
    </rPh>
    <rPh sb="205" eb="207">
      <t>ベンキョウ</t>
    </rPh>
    <rPh sb="238" eb="239">
      <t>オモ</t>
    </rPh>
    <rPh sb="243" eb="245">
      <t>トザン</t>
    </rPh>
    <rPh sb="245" eb="247">
      <t>エンソク</t>
    </rPh>
    <rPh sb="250" eb="253">
      <t>フクハンチョウ</t>
    </rPh>
    <rPh sb="257" eb="259">
      <t>ハンチョウ</t>
    </rPh>
    <rPh sb="260" eb="261">
      <t>ササ</t>
    </rPh>
    <rPh sb="267" eb="269">
      <t>キョウリョク</t>
    </rPh>
    <rPh sb="271" eb="272">
      <t>タノ</t>
    </rPh>
    <rPh sb="274" eb="276">
      <t>トザン</t>
    </rPh>
    <rPh sb="288" eb="290">
      <t>セイカツ</t>
    </rPh>
    <rPh sb="290" eb="291">
      <t>メン</t>
    </rPh>
    <rPh sb="298" eb="300">
      <t>ハイタツ</t>
    </rPh>
    <rPh sb="300" eb="301">
      <t>ブツ</t>
    </rPh>
    <rPh sb="301" eb="302">
      <t>カカリ</t>
    </rPh>
    <rPh sb="306" eb="307">
      <t>マイ</t>
    </rPh>
    <rPh sb="307" eb="308">
      <t>ニチ</t>
    </rPh>
    <rPh sb="308" eb="310">
      <t>ヒルヤス</t>
    </rPh>
    <rPh sb="313" eb="314">
      <t>カナラ</t>
    </rPh>
    <rPh sb="315" eb="318">
      <t>ショクインシツ</t>
    </rPh>
    <rPh sb="319" eb="321">
      <t>カクニン</t>
    </rPh>
    <rPh sb="322" eb="323">
      <t>イ</t>
    </rPh>
    <rPh sb="328" eb="330">
      <t>キュウショク</t>
    </rPh>
    <rPh sb="330" eb="332">
      <t>トウバン</t>
    </rPh>
    <rPh sb="333" eb="335">
      <t>ソウジ</t>
    </rPh>
    <rPh sb="336" eb="338">
      <t>セキニン</t>
    </rPh>
    <rPh sb="339" eb="340">
      <t>モ</t>
    </rPh>
    <rPh sb="345" eb="347">
      <t>ヤクワリ</t>
    </rPh>
    <rPh sb="348" eb="349">
      <t>ハ</t>
    </rPh>
    <rPh sb="352" eb="354">
      <t>ユウジン</t>
    </rPh>
    <rPh sb="354" eb="356">
      <t>カンケイ</t>
    </rPh>
    <rPh sb="359" eb="360">
      <t>ダレ</t>
    </rPh>
    <rPh sb="363" eb="365">
      <t>コウヘイ</t>
    </rPh>
    <rPh sb="366" eb="367">
      <t>セッ</t>
    </rPh>
    <rPh sb="378" eb="380">
      <t>ナニゴト</t>
    </rPh>
    <rPh sb="385" eb="386">
      <t>ト</t>
    </rPh>
    <rPh sb="387" eb="388">
      <t>ク</t>
    </rPh>
    <rPh sb="389" eb="390">
      <t>タカ</t>
    </rPh>
    <rPh sb="391" eb="393">
      <t>ノウリョク</t>
    </rPh>
    <rPh sb="394" eb="395">
      <t>モ</t>
    </rPh>
    <rPh sb="402" eb="404">
      <t>ガッキ</t>
    </rPh>
    <rPh sb="405" eb="406">
      <t>サラ</t>
    </rPh>
    <rPh sb="408" eb="410">
      <t>セイチョウ</t>
    </rPh>
    <rPh sb="411" eb="413">
      <t>ヒヤク</t>
    </rPh>
    <rPh sb="414" eb="416">
      <t>キタイ</t>
    </rPh>
    <phoneticPr fontId="1"/>
  </si>
  <si>
    <t>早退２（通院２）</t>
    <rPh sb="0" eb="2">
      <t>ソウタイ</t>
    </rPh>
    <rPh sb="4" eb="6">
      <t>ツウイン</t>
    </rPh>
    <phoneticPr fontId="1"/>
  </si>
  <si>
    <t>遅刻３（家事都合３）</t>
    <rPh sb="0" eb="2">
      <t>チコク</t>
    </rPh>
    <rPh sb="4" eb="6">
      <t>カジ</t>
    </rPh>
    <rPh sb="6" eb="8">
      <t>ツゴウ</t>
    </rPh>
    <phoneticPr fontId="1"/>
  </si>
  <si>
    <t>-</t>
    <phoneticPr fontId="1"/>
  </si>
  <si>
    <t>この項目は適宜変更して下さい。
※注意※
ただし、項目数は１０個まで。仮に少ない場合も行の削除は絶対に行わないで下さい。</t>
    <phoneticPr fontId="1"/>
  </si>
  <si>
    <t>A</t>
    <phoneticPr fontId="1"/>
  </si>
  <si>
    <t>B</t>
    <phoneticPr fontId="1"/>
  </si>
  <si>
    <t>A</t>
    <phoneticPr fontId="1"/>
  </si>
  <si>
    <t>B</t>
    <phoneticPr fontId="1"/>
  </si>
  <si>
    <t>C</t>
    <phoneticPr fontId="1"/>
  </si>
  <si>
    <t>-</t>
    <phoneticPr fontId="1"/>
  </si>
  <si>
    <t>この項目は適宜変更して下さい。
※注意※
ただし、項目数は１０個まで。仮に少ない場合も行の削除は絶対に行わないで下さい。</t>
    <phoneticPr fontId="1"/>
  </si>
  <si>
    <t>A</t>
    <phoneticPr fontId="1"/>
  </si>
  <si>
    <t>学習した内容をよく理解しています。テストの際、式を書くこと、数字を丁寧に書くこと、記名を忘れないことなどがきちんとできるようになれば、もっと成績が上がると思います。（繰り返し伝えたのですが、なかなか改善されませんでした。）</t>
    <phoneticPr fontId="1"/>
  </si>
  <si>
    <t>式を書くことを「面倒くさい」と言っていたのが少々気になりますが、基本的にはきちんとノートを取ったり、宿題を忘れずに提出したりすることができました。授業中はあまり発言をしませんが、間違いを恐れず、積極的に発言できるようになるといいと思います。</t>
    <phoneticPr fontId="1"/>
  </si>
  <si>
    <t>初めのころは、宿題を提出できないことが多かったのですが、途中から改善されてきました。初めてのことを理解するのには時間がかかりますが、一旦理解してしまえば、確実に解くことができました。掛け算九九や暗算でできるような足算、引算などの計算力は、是非身につけてほしいです。</t>
    <phoneticPr fontId="1"/>
  </si>
  <si>
    <t>初めて学習することを理解するのには少し時間がかかりますが、一旦理解できると、確実に解けるようになります。わからないときは、わかるまでやったり、質問したりしてほしいです。また、問題自体の意味を理解するまでに時間がかかることが多く、「折れ線グラフと表」や「角の大きさ」のテストでは苦戦したようです。（辺の長さが3ｃｍと4ｃｍで、その間の角が40度の三角形を描きなさい、など）算数係として、毎日一生懸命仕事をしてくれました。</t>
    <phoneticPr fontId="1"/>
  </si>
  <si>
    <t>学習への意欲が高く、わからないことはわかるまで質問するなど、積極的な姿勢がとても良いです。宿題への取り組みや授業態度、ノートの取り方も素晴らしいです。「折れ線グラフと表」のグラフの読み取り方を、もう一度復習しておきましょう。</t>
    <phoneticPr fontId="1"/>
  </si>
  <si>
    <t>理解力と計算力がありテストの成績も優秀です。ただ、授業中に友達とふざけたり、授業に関係ないもの（自分で作ったおもちゃ、水風船など）をいじったりするなど、他のことに関心が向いてしまい、集中できないことが度々ありました。せっかく力があるのですから、唯栖くんには、よきリーダーとしてがんばっていってほしいです。宿題を忘れたり、違うページをやったり、答えやテストなどをなくしてしまったりすることが多いので気をつけてほしいです。</t>
    <phoneticPr fontId="1"/>
  </si>
  <si>
    <t>授業にも宿題にも一生懸命取り組む姿勢が大変良いです。授業内容を理解するのに初めは時間がかかりますが、一度理解できれば確実に力をつけることができています。問題を解くのにとても時間がかかりますが、取り掛かりがゆっくりなことと、計算に時間がかかることが要因のようです。基本的な計算力はぜひ身につけてほしいです。最後の「角の大きさ」のテストでも、考え方は合っているのに簡単な計算ミスをしていてもったいなかったです。</t>
    <phoneticPr fontId="1"/>
  </si>
  <si>
    <t>いつも一生懸命学習に取り組んでいます。わからないことがあると、わかるまでじっくり考えることができました。大きい数の計算（3桁×３桁）の間違いが時々見られるので、確実に計算できるようにし、見直しもしましょう。</t>
    <phoneticPr fontId="1"/>
  </si>
  <si>
    <t>算数への興味関心が高く、上の学年の内容も知っていて、よく話をしてくれます。ただ、時々授業に集中できず、ふざけてしまうことがありました。文字をきちんと書く、見直しをする等丁寧な取り組み方ができるともっとケアレスミスを減らすことができると思います。</t>
    <phoneticPr fontId="1"/>
  </si>
  <si>
    <t>学習への取り組み方がとても丁寧です。ただ、時間がかかってしまい、テストでは時間切れになってしまうこともありました。ノートを取るのにも時間がかかります。基本的な計算力を身につけることと、授業中、他のことに気を取られずに集中して早く取り掛かることを心掛けていきましょう。</t>
    <phoneticPr fontId="1"/>
  </si>
  <si>
    <t>新しい学習内容を理解するのに時間がかかりますが、一度理解してしまえば、確実に問題を解くことができます。わからないときは「わかりません」とはっきり言えることはとてもよいことです。学習の準備や片付け、三角形を描く等の作業に時間がかかります。いろいろなことが、もう少し素早くできるようになるとよいです。</t>
    <phoneticPr fontId="1"/>
  </si>
  <si>
    <t>1学期前半は、授業中の態度（姿勢の悪さ、おしゃべり、集中力に欠ける様子）や宿題への取り組み方が気になりましたが、途中から改善されてきました。今でも時々姿勢の悪さ（机に顔をつけて寝そべる）が気になります。しっかり取り組めたときは確実に問題を解くことができます。これからも集中して丁寧に学習に取り組んでほしいです。</t>
    <phoneticPr fontId="1"/>
  </si>
  <si>
    <t>授業態度も宿題への取り組み方もとても良いです。授業中の発言も以前より増えてきました。「大きい数の計算」が少し苦手なので、しっかり復習しておきましょう。</t>
    <phoneticPr fontId="1"/>
  </si>
  <si>
    <t>授業態度も宿題への取り組み方も、一生懸命なところが素晴らしいです。新しい学習内容を理解するのに時間がかかり、一度学習してわかった様子でも、少し時間が経つと忘れてしまうことがあるようです。根気よく、繰り返し復習し、練習問題を解いて力をつけていきましょう。</t>
    <phoneticPr fontId="1"/>
  </si>
  <si>
    <t>理解力と計算力があり、テストの成績も優秀です。模試では、満点を取ることができ、素晴らしいです。ただ、素早く問題が解けるだけに、丁寧に式を書いたり検算をしたり、見直しをしたりすることはやや苦手なようで、時々颯紀くんらしからぬミスをしてしまうことがありました。数字をきちんと書くことを含め、問題への取り組み方に丁寧さが加わればさらに成績が伸びると期待しています。</t>
    <phoneticPr fontId="1"/>
  </si>
  <si>
    <t>この項目は適宜変更して下さい。
※注意※
ただし、項目数は１０個まで。仮に少ない場合も行の削除は絶対に行わないで下さい。</t>
    <phoneticPr fontId="1"/>
  </si>
  <si>
    <t>A</t>
    <phoneticPr fontId="1"/>
  </si>
  <si>
    <t>A</t>
    <phoneticPr fontId="1"/>
  </si>
  <si>
    <t>B</t>
    <phoneticPr fontId="1"/>
  </si>
  <si>
    <t>C</t>
    <phoneticPr fontId="1"/>
  </si>
  <si>
    <t>この項目は適宜変更して下さい。
※注意※
ただし、項目数は１０個まで。仮に少ない場合も行の削除は絶対に行わないで下さい。</t>
    <phoneticPr fontId="1"/>
  </si>
  <si>
    <t>A</t>
    <phoneticPr fontId="1"/>
  </si>
  <si>
    <t>この項目は適宜変更して下さい。
※注意※
ただし、項目数は１０個まで。仮に少ない場合も行の削除は絶対に行わないで下さい。</t>
    <phoneticPr fontId="1"/>
  </si>
  <si>
    <t>A</t>
    <phoneticPr fontId="1"/>
  </si>
  <si>
    <t>A</t>
    <phoneticPr fontId="1"/>
  </si>
  <si>
    <t>この項目は適宜変更して下さい。
※注意※
ただし、項目数は１０個まで。仮に少ない場合も行の削除は絶対に行わないで下さい。</t>
    <phoneticPr fontId="1"/>
  </si>
  <si>
    <t>図工への関心を持ち、楽しく制作に取り組んでいる</t>
    <phoneticPr fontId="1"/>
  </si>
  <si>
    <t>A</t>
    <phoneticPr fontId="1"/>
  </si>
  <si>
    <t>A</t>
    <phoneticPr fontId="1"/>
  </si>
  <si>
    <t>B</t>
    <phoneticPr fontId="1"/>
  </si>
  <si>
    <t>豊かな発想を持ち自由に表現することができる</t>
    <phoneticPr fontId="1"/>
  </si>
  <si>
    <t>A</t>
    <phoneticPr fontId="1"/>
  </si>
  <si>
    <t>つくりたいもののイメージを持ち、それに向かって制作することができる</t>
    <phoneticPr fontId="1"/>
  </si>
  <si>
    <t>B</t>
    <phoneticPr fontId="1"/>
  </si>
  <si>
    <t>自分や友達の作品から良さや面白さ、美しさを感じとることができる</t>
    <phoneticPr fontId="1"/>
  </si>
  <si>
    <t>-</t>
    <phoneticPr fontId="1"/>
  </si>
  <si>
    <t>【クルクルモビール】は、宇宙をテーマにして製作していました。小さな星を散らしたり、ロケットを飛ばしたりして、素敵な小宇宙を完成させていました。発想がとても豊かです。</t>
    <phoneticPr fontId="1"/>
  </si>
  <si>
    <t>手先を使った細かい作品を頑張ってつくり上げることができました。【クルクルモビール】では、小さく開けた穴に細い糸を通す作業がたくさんあり、とても大変そうでしたが、最後までしっかりと取り組むことができました。</t>
    <phoneticPr fontId="1"/>
  </si>
  <si>
    <t>自分がつくりたい作品のイメージがしっかりとあります。同じ材料でも、まったく他の子が思いつかない使い方を思いつくことができます。丁寧に作品をつくり上げることができます。</t>
    <phoneticPr fontId="1"/>
  </si>
  <si>
    <t>友達と意見交換しながら、楽しく活動しています。発想が良いので、最後の一工夫まで頑張れると完成度が上がるのではないかと感じています。</t>
    <phoneticPr fontId="1"/>
  </si>
  <si>
    <t>たくさん試行するため、途中で閃いたり、気付いたりしたことが楽しかったようです。完成度の高い作品をつくり上げることができます。【まぼろしの花】は、つくりたい作品が絞れず、2作品つくっていました。</t>
    <phoneticPr fontId="1"/>
  </si>
  <si>
    <t>非常にレベルの高い作品をつくり上げることができます。道具をしっかりと使いこなすことができ、技能面では申し分ありません。モビールづくりでは、お菓子をテーマに、キャンディのプレートや三色団子の飾りをつくっていました。</t>
    <phoneticPr fontId="1"/>
  </si>
  <si>
    <t>発想が豊かです。【クルクル・モビール】では、プレート部分や飾りをネコの手にし、可愛らしく仕上げていました。環と環を紐で繋ぐ活動がとても難しかったようで、珍しく根をあげ、教員と一緒に取り組みました。</t>
    <phoneticPr fontId="1"/>
  </si>
  <si>
    <t>自分の取り組む課題にしっかりと向き合う姿勢が必要に感じます。集中力が切れやすく、関係ないことで時間を使ってしまっているのが、残念です。ユニークな発想をするので、ぜひ2学期は形にしてほしいと思います。</t>
    <phoneticPr fontId="1"/>
  </si>
  <si>
    <t>つくりたいものが多く、なかなか決定できずにいます。発想力、技能力はあるので、これからは迷う時間を減らし、製作に時間をかけられるよう、こちらも指導を行っていきます。</t>
    <phoneticPr fontId="1"/>
  </si>
  <si>
    <t>かなりレベルの高い作品をつくることができます。【クルクル・モビール】では、夏をイメージし、金魚やかき氷などをモチーフに作品をつくっていました。特に、プレートの色の塗り方には拘りをもって仕上げていました。</t>
    <phoneticPr fontId="1"/>
  </si>
  <si>
    <t>楽しく活動する様子が見られました。陶芸の【オリジナル・プレート】では、いくつも作品をつくっていました。中でも、メインの大きな皿には、小さく丸めた粘土をいくつも付け、石垣のように仕上げていました。</t>
    <phoneticPr fontId="1"/>
  </si>
  <si>
    <t>思い付いたことをダイナミックに表現していました。つまずいてしまったときに、パッと方法を変えてしまう傾向があります。それによって、違う良さを見付けることも多いのですが、もう少しじっくり取り組めるようになると、作品のレベルが上がるように感じます。</t>
    <phoneticPr fontId="1"/>
  </si>
  <si>
    <t>【クルクル・モビール】では、電車をテーマに作品をつくっていました。飾りは、JRのマークだけだと寂しいため、車両もつくっていました。プレート同士を紐で繋ぐ活動が難しかったようです。</t>
    <phoneticPr fontId="1"/>
  </si>
  <si>
    <t>微笑ましくなる優しい発想ができます。製作にとのくらいの時間が必要なのか、見通しをもつことが得意ではありません。そのため、時間内に仕上げることができません。２学期からは、こちらもスモールステップで声掛けしていきたいと思います。</t>
    <phoneticPr fontId="1"/>
  </si>
  <si>
    <t>授業を受ける態度がとても素晴らしいです。製作の手順や方法を良く聞いていて、スムーズに活動することができます。活動と片付けの切り替えも早く、めりはりのある行動を心がけているようです。</t>
    <phoneticPr fontId="1"/>
  </si>
  <si>
    <t>発想が豊かで、技能力もとても高いです。ですが、割とスムーズにできてしまう課題を自分に課しているため、時間を持て余してしまう傾向にあります。２学期はもう少しチャレンジし、いろいろな発見ができればいいな、と思っています。</t>
    <phoneticPr fontId="1"/>
  </si>
  <si>
    <t>真面目に授業を受けています。技能面で少し自信がないのか、無難に仕上がる作品を製作する傾向があります。モビールづくりでは、紐を付けたり、結んだりする活動が大変そうでした。</t>
    <phoneticPr fontId="1"/>
  </si>
  <si>
    <t>ユニークな発想をしています。面白い思い付きをするのですが、それを技能面で表現することが難しく、途中で飽きてしまう面が見られます。もう少し一緒に取り組める声掛けをしていきたいと思います。</t>
    <phoneticPr fontId="1"/>
  </si>
  <si>
    <t>【クルクル・モビール】では、とても頑張って取り組む姿が見られました。プレートの色の塗り方や飾りの吊るし方にも注意を払い、素敵な作品をつくり上げることができました。</t>
    <phoneticPr fontId="1"/>
  </si>
  <si>
    <t>大胆に製作しています。失敗を恐れずどんどん挑戦しています。その半面、細やかな活動があまり得意ではないため、モビールづくりの紐通しでは、とても苦労していました。</t>
    <phoneticPr fontId="1"/>
  </si>
  <si>
    <t>この項目は適宜変更して下さい。
※注意※
ただし、項目数は１０個まで。仮に少ない場合も行の削除は絶対に行わないで下さい。</t>
    <phoneticPr fontId="1"/>
  </si>
  <si>
    <t>A</t>
    <phoneticPr fontId="1"/>
  </si>
  <si>
    <t>B</t>
    <phoneticPr fontId="1"/>
  </si>
  <si>
    <t>A</t>
    <phoneticPr fontId="1"/>
  </si>
  <si>
    <t>A</t>
    <phoneticPr fontId="1"/>
  </si>
  <si>
    <t>A</t>
    <phoneticPr fontId="1"/>
  </si>
  <si>
    <t>A</t>
    <phoneticPr fontId="1"/>
  </si>
  <si>
    <t>B</t>
    <phoneticPr fontId="1"/>
  </si>
  <si>
    <t>B</t>
    <phoneticPr fontId="1"/>
  </si>
  <si>
    <t>B</t>
    <phoneticPr fontId="1"/>
  </si>
  <si>
    <t>B</t>
    <phoneticPr fontId="1"/>
  </si>
  <si>
    <t>B</t>
    <phoneticPr fontId="1"/>
  </si>
  <si>
    <t>A</t>
    <phoneticPr fontId="1"/>
  </si>
  <si>
    <t>B</t>
    <phoneticPr fontId="1"/>
  </si>
  <si>
    <t>A</t>
    <phoneticPr fontId="1"/>
  </si>
  <si>
    <t>150～200</t>
    <phoneticPr fontId="10" type="Hiragana" alignment="distributed"/>
  </si>
  <si>
    <t>A</t>
    <phoneticPr fontId="1"/>
  </si>
  <si>
    <t>B</t>
    <phoneticPr fontId="1"/>
  </si>
  <si>
    <t>-</t>
    <phoneticPr fontId="1"/>
  </si>
  <si>
    <t>総合所見</t>
    <phoneticPr fontId="1"/>
  </si>
  <si>
    <t>400～450</t>
    <phoneticPr fontId="10" type="Hiragana" alignment="distributed"/>
  </si>
  <si>
    <t xml:space="preserve"> 出席日数（自動計算）</t>
    <phoneticPr fontId="1"/>
  </si>
  <si>
    <t xml:space="preserve"> 欠席日数</t>
    <phoneticPr fontId="1"/>
  </si>
  <si>
    <t>出席停止１（コロナ対策のため１）欠席３（通院２ 肉離れ１）遅刻１（腹痛１）早退２（通院２）</t>
    <rPh sb="0" eb="4">
      <t>シュッセキテイシ</t>
    </rPh>
    <rPh sb="9" eb="11">
      <t>タイサク</t>
    </rPh>
    <rPh sb="16" eb="18">
      <t>ケッセキ</t>
    </rPh>
    <rPh sb="20" eb="22">
      <t>ツウイン</t>
    </rPh>
    <rPh sb="24" eb="25">
      <t>ニク</t>
    </rPh>
    <rPh sb="25" eb="26">
      <t>バナ</t>
    </rPh>
    <rPh sb="29" eb="31">
      <t>チコク</t>
    </rPh>
    <rPh sb="33" eb="35">
      <t>フクツウ</t>
    </rPh>
    <rPh sb="37" eb="39">
      <t>ソウタイ</t>
    </rPh>
    <rPh sb="41" eb="43">
      <t>ツウイン</t>
    </rPh>
    <phoneticPr fontId="1"/>
  </si>
  <si>
    <t>欠席１５（体調不良１ スノーボード１４）早退４（喘息１ 通院１ スノーボード２）</t>
    <rPh sb="0" eb="2">
      <t>ケッセキ</t>
    </rPh>
    <rPh sb="5" eb="7">
      <t>タイチョウ</t>
    </rPh>
    <rPh sb="7" eb="9">
      <t>フリョウ</t>
    </rPh>
    <rPh sb="20" eb="22">
      <t>ソウタイ</t>
    </rPh>
    <rPh sb="24" eb="26">
      <t>ゼンソク</t>
    </rPh>
    <rPh sb="28" eb="30">
      <t>ツウイン</t>
    </rPh>
    <phoneticPr fontId="1"/>
  </si>
  <si>
    <t>欠席１（発熱１）</t>
    <rPh sb="0" eb="2">
      <t>ケッセキ</t>
    </rPh>
    <rPh sb="4" eb="6">
      <t>ハツネツ</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</si>
</sst>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name val="ＭＳ Ｐゴシック"/>
      <family val="3"/>
      <charset val="128"/>
    </font>
    <font>
      <sz val="6"/>
      <name val="ＭＳ Ｐゴシック"/>
      <family val="3"/>
      <charset val="128"/>
    </font>
    <font>
      <sz val="12"/>
      <name val="ＭＳ Ｐ明朝"/>
      <family val="1"/>
      <charset val="128"/>
    </font>
    <font>
      <sz val="11"/>
      <name val="ＭＳ Ｐ明朝"/>
      <family val="1"/>
      <charset val="128"/>
    </font>
    <font>
      <sz val="9"/>
      <name val="ＭＳ Ｐ明朝"/>
      <family val="1"/>
      <charset val="128"/>
    </font>
    <font>
      <sz val="14"/>
      <name val="ＭＳ Ｐ明朝"/>
      <family val="1"/>
      <charset val="128"/>
    </font>
    <font>
      <sz val="13"/>
      <name val="ＭＳ Ｐ明朝"/>
      <family val="1"/>
      <charset val="128"/>
    </font>
    <font>
      <sz val="11"/>
      <color indexed="9"/>
      <name val="ＭＳ Ｐ明朝"/>
      <family val="1"/>
      <charset val="128"/>
    </font>
    <font>
      <sz val="16"/>
      <color indexed="9"/>
      <name val="ＭＳ Ｐ明朝"/>
      <family val="1"/>
      <charset val="128"/>
    </font>
    <font>
      <sz val="11"/>
      <color theme="0"/>
      <name val="ＭＳ Ｐ明朝"/>
      <family val="1"/>
      <charset val="128"/>
    </font>
    <font>
      <b/>
      <sz val="11"/>
      <color indexed="56"/>
      <name val="ＭＳ Ｐゴシック"/>
      <family val="3"/>
      <charset val="128"/>
    </font>
    <font>
      <sz val="16"/>
      <name val="ＭＳ Ｐ明朝"/>
      <family val="1"/>
      <charset val="128"/>
    </font>
    <font>
      <b/>
      <sz val="12"/>
      <name val="ＭＳ Ｐゴシック"/>
      <family val="3"/>
      <charset val="128"/>
    </font>
    <font>
      <sz val="11"/>
      <color theme="0"/>
      <name val="ＭＳ Ｐゴシック"/>
      <family val="3"/>
      <charset val="128"/>
    </font>
    <font>
      <sz val="11"/>
      <color rgb="FF000000"/>
      <name val="ＭＳ Ｐゴシック"/>
      <family val="3"/>
      <charset val="128"/>
    </font>
    <font>
      <sz val="11"/>
      <name val="ＭＳ Ｐゴシック"/>
      <family val="3"/>
      <charset val="128"/>
      <scheme val="minor"/>
    </font>
    <font>
      <b/>
      <sz val="12"/>
      <color theme="0"/>
      <name val="ＭＳ Ｐ明朝"/>
      <family val="1"/>
      <charset val="128"/>
    </font>
    <font>
      <sz val="11"/>
      <color theme="1"/>
      <name val="ＭＳ Ｐ明朝"/>
      <family val="1"/>
      <charset val="128"/>
    </font>
  </fonts>
  <fills count="14">
    <fill>
      <patternFill patternType="none"/>
    </fill>
    <fill>
      <patternFill patternType="gray125"/>
    </fill>
    <fill>
      <patternFill patternType="solid">
        <fgColor indexed="61"/>
        <bgColor indexed="64"/>
      </patternFill>
    </fill>
    <fill>
      <patternFill patternType="solid">
        <fgColor indexed="43"/>
        <bgColor indexed="64"/>
      </patternFill>
    </fill>
    <fill>
      <patternFill patternType="solid">
        <fgColor indexed="54"/>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indexed="50"/>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theme="1"/>
        <bgColor indexed="64"/>
      </patternFill>
    </fill>
    <fill>
      <patternFill patternType="solid">
        <fgColor theme="0"/>
        <bgColor indexed="64"/>
      </patternFill>
    </fill>
    <fill>
      <patternFill patternType="solid">
        <fgColor theme="6" tint="0.59999389629810485"/>
        <bgColor indexed="64"/>
      </patternFill>
    </fill>
  </fills>
  <borders count="52">
    <border>
      <left/>
      <right/>
      <top/>
      <bottom/>
      <diagonal/>
    </border>
    <border>
      <left/>
      <right/>
      <top/>
      <bottom style="thin">
        <color indexed="64"/>
      </bottom>
      <diagonal/>
    </border>
    <border>
      <left/>
      <right/>
      <top style="thin">
        <color indexed="64"/>
      </top>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right style="thin">
        <color indexed="64"/>
      </right>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hair">
        <color indexed="64"/>
      </left>
      <right/>
      <top style="thin">
        <color indexed="64"/>
      </top>
      <bottom style="thin">
        <color indexed="64"/>
      </bottom>
      <diagonal/>
    </border>
    <border>
      <left style="hair">
        <color indexed="64"/>
      </left>
      <right style="thin">
        <color indexed="64"/>
      </right>
      <top/>
      <bottom/>
      <diagonal/>
    </border>
    <border>
      <left/>
      <right style="hair">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hair">
        <color indexed="64"/>
      </left>
      <right style="hair">
        <color indexed="64"/>
      </right>
      <top/>
      <bottom/>
      <diagonal/>
    </border>
  </borders>
  <cellStyleXfs count="1">
    <xf numFmtId="0" fontId="0" fillId="0" borderId="0">
      <alignment vertical="center"/>
    </xf>
  </cellStyleXfs>
  <cellXfs count="191">
    <xf numFmtId="0" fontId="0" fillId="0" borderId="0" xfId="0">
      <alignment vertical="center"/>
    </xf>
    <xf numFmtId="0" fontId="3" fillId="0" borderId="1" xfId="0" applyFont="1" applyFill="1" applyBorder="1" applyAlignment="1">
      <alignment horizontal="center" vertical="center"/>
    </xf>
    <xf numFmtId="0" fontId="3" fillId="0" borderId="1" xfId="0" applyFont="1" applyFill="1" applyBorder="1" applyAlignment="1">
      <alignment horizontal="right" vertical="center"/>
    </xf>
    <xf numFmtId="0" fontId="5" fillId="0" borderId="1" xfId="0" applyFont="1" applyFill="1" applyBorder="1" applyAlignment="1">
      <alignment horizontal="center" vertical="center"/>
    </xf>
    <xf numFmtId="0" fontId="3" fillId="0" borderId="1" xfId="0" applyFont="1" applyFill="1" applyBorder="1" applyAlignment="1">
      <alignment vertical="center"/>
    </xf>
    <xf numFmtId="0" fontId="3" fillId="0" borderId="0" xfId="0" applyFont="1" applyFill="1" applyBorder="1" applyAlignment="1">
      <alignment vertical="center"/>
    </xf>
    <xf numFmtId="0" fontId="3" fillId="0" borderId="2" xfId="0" applyFont="1" applyFill="1" applyBorder="1" applyAlignment="1">
      <alignment horizontal="center" vertical="center"/>
    </xf>
    <xf numFmtId="0" fontId="5" fillId="0" borderId="2" xfId="0" applyFont="1" applyFill="1" applyBorder="1" applyAlignment="1">
      <alignment horizontal="center" vertical="center"/>
    </xf>
    <xf numFmtId="0" fontId="3" fillId="0" borderId="0" xfId="0" applyFont="1" applyFill="1">
      <alignment vertical="center"/>
    </xf>
    <xf numFmtId="0" fontId="3" fillId="0" borderId="0" xfId="0" applyFont="1" applyFill="1" applyBorder="1" applyAlignment="1"/>
    <xf numFmtId="0" fontId="3" fillId="0" borderId="2" xfId="0" applyFont="1" applyBorder="1" applyAlignment="1">
      <alignment horizontal="left" vertical="center" shrinkToFit="1"/>
    </xf>
    <xf numFmtId="0" fontId="3" fillId="0" borderId="1" xfId="0" applyFont="1" applyBorder="1" applyAlignment="1">
      <alignment horizontal="left" vertical="center" shrinkToFit="1"/>
    </xf>
    <xf numFmtId="0" fontId="3" fillId="0" borderId="0" xfId="0" applyFont="1" applyFill="1" applyBorder="1" applyAlignment="1">
      <alignment vertical="center" wrapText="1" shrinkToFit="1"/>
    </xf>
    <xf numFmtId="0" fontId="3" fillId="0" borderId="3" xfId="0" applyFont="1" applyFill="1" applyBorder="1" applyAlignment="1">
      <alignment horizontal="center" vertical="center"/>
    </xf>
    <xf numFmtId="0" fontId="3" fillId="0" borderId="0" xfId="0" applyFont="1" applyFill="1" applyBorder="1">
      <alignment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0" borderId="5" xfId="0" applyFont="1" applyFill="1" applyBorder="1" applyAlignment="1">
      <alignment horizontal="center" vertical="center"/>
    </xf>
    <xf numFmtId="0" fontId="3" fillId="0" borderId="6" xfId="0" applyFont="1" applyFill="1" applyBorder="1" applyAlignment="1">
      <alignment horizontal="center" vertical="center"/>
    </xf>
    <xf numFmtId="0" fontId="3" fillId="0" borderId="7" xfId="0" applyFont="1" applyFill="1" applyBorder="1" applyAlignment="1">
      <alignment vertical="center"/>
    </xf>
    <xf numFmtId="0" fontId="3" fillId="0" borderId="8"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13" xfId="0" applyFont="1" applyFill="1" applyBorder="1" applyAlignment="1">
      <alignment horizontal="center" vertical="center"/>
    </xf>
    <xf numFmtId="0" fontId="3" fillId="0" borderId="7" xfId="0" applyFont="1" applyFill="1" applyBorder="1" applyAlignment="1">
      <alignment horizontal="center" vertical="center" textRotation="255"/>
    </xf>
    <xf numFmtId="0" fontId="3" fillId="0" borderId="0" xfId="0" applyFont="1" applyFill="1" applyBorder="1" applyAlignment="1">
      <alignment horizontal="left" vertical="top" wrapText="1"/>
    </xf>
    <xf numFmtId="0" fontId="3" fillId="0" borderId="0" xfId="0" applyFont="1" applyFill="1" applyBorder="1" applyAlignment="1">
      <alignment horizontal="left" vertical="top" wrapText="1" shrinkToFit="1"/>
    </xf>
    <xf numFmtId="0" fontId="3" fillId="0" borderId="0" xfId="0" applyFont="1" applyBorder="1" applyAlignment="1">
      <alignment horizontal="left" vertical="center" shrinkToFit="1"/>
    </xf>
    <xf numFmtId="0" fontId="3" fillId="0" borderId="43" xfId="0" applyFont="1" applyFill="1" applyBorder="1" applyAlignment="1">
      <alignment horizontal="center" vertical="center"/>
    </xf>
    <xf numFmtId="0" fontId="0" fillId="0" borderId="0" xfId="0" applyBorder="1" applyAlignment="1">
      <alignment horizontal="left" vertical="center" shrinkToFit="1"/>
    </xf>
    <xf numFmtId="0" fontId="3" fillId="0" borderId="0" xfId="0" applyFont="1" applyBorder="1" applyAlignment="1">
      <alignment horizontal="center" vertical="center"/>
    </xf>
    <xf numFmtId="0" fontId="3" fillId="0" borderId="0" xfId="0" applyFont="1" applyFill="1" applyBorder="1" applyAlignment="1">
      <alignment vertical="top" wrapText="1" shrinkToFit="1"/>
    </xf>
    <xf numFmtId="0" fontId="3" fillId="0" borderId="2" xfId="0" applyFont="1" applyFill="1" applyBorder="1" applyAlignment="1">
      <alignment horizontal="center" vertical="center" shrinkToFit="1"/>
    </xf>
    <xf numFmtId="0" fontId="3" fillId="0" borderId="1" xfId="0" applyFont="1" applyFill="1" applyBorder="1" applyAlignment="1">
      <alignment horizontal="center" vertical="center" shrinkToFit="1"/>
    </xf>
    <xf numFmtId="0" fontId="8" fillId="2" borderId="14" xfId="0" applyNumberFormat="1" applyFont="1" applyFill="1" applyBorder="1" applyAlignment="1">
      <alignment horizontal="center" vertical="center" wrapText="1"/>
    </xf>
    <xf numFmtId="0" fontId="8" fillId="2" borderId="14" xfId="0" applyFont="1" applyFill="1" applyBorder="1" applyAlignment="1">
      <alignment horizontal="center" vertical="center"/>
    </xf>
    <xf numFmtId="0" fontId="7" fillId="2" borderId="14" xfId="0" applyFont="1" applyFill="1" applyBorder="1" applyAlignment="1">
      <alignment horizontal="center" vertical="center" wrapText="1"/>
    </xf>
    <xf numFmtId="0" fontId="3" fillId="3" borderId="14" xfId="0" applyFont="1" applyFill="1" applyBorder="1" applyAlignment="1">
      <alignment vertical="top" textRotation="255"/>
    </xf>
    <xf numFmtId="0" fontId="3" fillId="0" borderId="0" xfId="0" applyFont="1" applyFill="1" applyAlignment="1">
      <alignment vertical="center" textRotation="255"/>
    </xf>
    <xf numFmtId="0" fontId="3" fillId="3" borderId="14" xfId="0" applyFont="1" applyFill="1" applyBorder="1" applyAlignment="1">
      <alignment horizontal="center" vertical="center"/>
    </xf>
    <xf numFmtId="0" fontId="2" fillId="0" borderId="14" xfId="0" applyFont="1" applyFill="1" applyBorder="1" applyAlignment="1" applyProtection="1">
      <alignment horizontal="center" vertical="center"/>
      <protection locked="0"/>
    </xf>
    <xf numFmtId="0" fontId="9" fillId="0" borderId="0" xfId="0" applyFont="1" applyFill="1">
      <alignment vertical="center"/>
    </xf>
    <xf numFmtId="0" fontId="3" fillId="0" borderId="30" xfId="0" applyFont="1" applyBorder="1" applyAlignment="1" applyProtection="1">
      <alignment vertical="center" shrinkToFit="1"/>
      <protection locked="0"/>
    </xf>
    <xf numFmtId="0" fontId="3" fillId="3" borderId="14" xfId="0" applyFont="1" applyFill="1" applyBorder="1" applyAlignment="1">
      <alignment horizontal="left" vertical="center" wrapText="1"/>
    </xf>
    <xf numFmtId="0" fontId="3" fillId="5" borderId="14" xfId="0" applyFont="1" applyFill="1" applyBorder="1" applyAlignment="1">
      <alignment horizontal="center" vertical="center"/>
    </xf>
    <xf numFmtId="0" fontId="3" fillId="0" borderId="31" xfId="0" applyFont="1" applyFill="1" applyBorder="1" applyAlignment="1">
      <alignment horizontal="left" vertical="center" wrapText="1"/>
    </xf>
    <xf numFmtId="0" fontId="3" fillId="6" borderId="14" xfId="0" applyFont="1" applyFill="1" applyBorder="1" applyAlignment="1">
      <alignment horizontal="center" vertical="center" wrapText="1"/>
    </xf>
    <xf numFmtId="0" fontId="2" fillId="3" borderId="14" xfId="0" applyFont="1" applyFill="1" applyBorder="1" applyAlignment="1" applyProtection="1">
      <alignment vertical="center"/>
      <protection locked="0"/>
    </xf>
    <xf numFmtId="0" fontId="11" fillId="7" borderId="14" xfId="0" applyFont="1" applyFill="1" applyBorder="1" applyAlignment="1">
      <alignment horizontal="center" vertical="center"/>
    </xf>
    <xf numFmtId="0" fontId="3" fillId="7" borderId="14" xfId="0" applyFont="1" applyFill="1" applyBorder="1" applyAlignment="1">
      <alignment horizontal="center" vertical="center" wrapText="1"/>
    </xf>
    <xf numFmtId="0" fontId="2" fillId="8" borderId="14" xfId="0" applyFont="1" applyFill="1" applyBorder="1">
      <alignment vertical="center"/>
    </xf>
    <xf numFmtId="0" fontId="12" fillId="12" borderId="48" xfId="0" applyFont="1" applyFill="1" applyBorder="1" applyAlignment="1">
      <alignment horizontal="center" vertical="center"/>
    </xf>
    <xf numFmtId="0" fontId="13" fillId="11" borderId="48" xfId="0" applyFont="1" applyFill="1" applyBorder="1" applyAlignment="1">
      <alignment horizontal="center" vertical="center"/>
    </xf>
    <xf numFmtId="0" fontId="3" fillId="0" borderId="0" xfId="0" applyFont="1" applyFill="1" applyAlignment="1">
      <alignment horizontal="left" vertical="center" indent="1"/>
    </xf>
    <xf numFmtId="0" fontId="2" fillId="0" borderId="0" xfId="0" applyFont="1" applyFill="1" applyBorder="1" applyAlignment="1">
      <alignment horizontal="center" vertical="center"/>
    </xf>
    <xf numFmtId="0" fontId="2" fillId="0" borderId="0" xfId="0" applyFont="1" applyFill="1" applyBorder="1" applyAlignment="1">
      <alignment horizontal="right" vertical="center"/>
    </xf>
    <xf numFmtId="0" fontId="3" fillId="0" borderId="18" xfId="0" applyFont="1" applyFill="1" applyBorder="1" applyAlignment="1">
      <alignment vertical="center"/>
    </xf>
    <xf numFmtId="0" fontId="3" fillId="0" borderId="12" xfId="0" applyFont="1" applyFill="1" applyBorder="1" applyAlignment="1">
      <alignment vertical="center"/>
    </xf>
    <xf numFmtId="0" fontId="3" fillId="0" borderId="7" xfId="0" applyFont="1" applyFill="1" applyBorder="1" applyAlignment="1">
      <alignment vertical="center" textRotation="255"/>
    </xf>
    <xf numFmtId="0" fontId="5" fillId="0" borderId="8" xfId="0" applyFont="1" applyFill="1" applyBorder="1" applyAlignment="1">
      <alignment horizontal="center" vertical="center"/>
    </xf>
    <xf numFmtId="0" fontId="3" fillId="0" borderId="39" xfId="0" applyFont="1" applyFill="1" applyBorder="1" applyAlignment="1">
      <alignment horizontal="left" vertical="top" wrapText="1"/>
    </xf>
    <xf numFmtId="0" fontId="3" fillId="0" borderId="19" xfId="0" applyFont="1" applyFill="1" applyBorder="1" applyAlignment="1">
      <alignment vertical="center" textRotation="255"/>
    </xf>
    <xf numFmtId="0" fontId="5" fillId="0" borderId="51" xfId="0" applyFont="1" applyFill="1" applyBorder="1" applyAlignment="1">
      <alignment horizontal="center" vertical="center"/>
    </xf>
    <xf numFmtId="0" fontId="3" fillId="0" borderId="43" xfId="0" applyFont="1" applyFill="1" applyBorder="1" applyAlignment="1">
      <alignment horizontal="left" vertical="top" wrapText="1"/>
    </xf>
    <xf numFmtId="0" fontId="3" fillId="0" borderId="0" xfId="0" applyFont="1" applyFill="1" applyAlignment="1">
      <alignment horizontal="left" vertical="top" wrapText="1"/>
    </xf>
    <xf numFmtId="0" fontId="3" fillId="0" borderId="31" xfId="0" applyFont="1" applyFill="1" applyBorder="1">
      <alignment vertical="center"/>
    </xf>
    <xf numFmtId="0" fontId="2" fillId="0" borderId="0" xfId="0" applyFont="1" applyFill="1" applyBorder="1" applyAlignment="1">
      <alignment horizontal="left" vertical="center" indent="1"/>
    </xf>
    <xf numFmtId="0" fontId="15" fillId="0" borderId="14" xfId="0" applyFont="1" applyBorder="1" applyProtection="1">
      <alignment vertical="center"/>
      <protection locked="0"/>
    </xf>
    <xf numFmtId="0" fontId="15" fillId="0" borderId="30" xfId="0" applyFont="1" applyBorder="1" applyProtection="1">
      <alignment vertical="center"/>
      <protection locked="0"/>
    </xf>
    <xf numFmtId="0" fontId="3" fillId="3" borderId="14" xfId="0" applyFont="1" applyFill="1" applyBorder="1" applyAlignment="1">
      <alignment vertical="top" textRotation="255" shrinkToFit="1"/>
    </xf>
    <xf numFmtId="0" fontId="3" fillId="0" borderId="14" xfId="0" applyFont="1" applyFill="1" applyBorder="1" applyAlignment="1">
      <alignment horizontal="right" vertical="center"/>
    </xf>
    <xf numFmtId="0" fontId="16" fillId="0" borderId="0" xfId="0" applyFont="1" applyFill="1" applyBorder="1" applyAlignment="1">
      <alignment vertical="top" wrapText="1" shrinkToFit="1"/>
    </xf>
    <xf numFmtId="0" fontId="3" fillId="13" borderId="14" xfId="0" applyFont="1" applyFill="1" applyBorder="1" applyAlignment="1">
      <alignment horizontal="center" vertical="center" wrapText="1"/>
    </xf>
    <xf numFmtId="0" fontId="17" fillId="0" borderId="30" xfId="0" applyFont="1" applyBorder="1" applyAlignment="1" applyProtection="1">
      <alignment vertical="center" shrinkToFit="1"/>
      <protection locked="0"/>
    </xf>
    <xf numFmtId="0" fontId="2" fillId="0" borderId="14" xfId="0" applyFont="1" applyBorder="1" applyAlignment="1" applyProtection="1">
      <alignment horizontal="center" vertical="center"/>
      <protection locked="0"/>
    </xf>
    <xf numFmtId="0" fontId="8" fillId="2" borderId="14" xfId="0" applyFont="1" applyFill="1" applyBorder="1" applyAlignment="1">
      <alignment horizontal="center" vertical="center" wrapText="1"/>
    </xf>
    <xf numFmtId="0" fontId="3" fillId="0" borderId="0" xfId="0" applyFont="1" applyAlignment="1">
      <alignment vertical="center" textRotation="255"/>
    </xf>
    <xf numFmtId="0" fontId="3" fillId="0" borderId="0" xfId="0" applyFont="1">
      <alignment vertical="center"/>
    </xf>
    <xf numFmtId="0" fontId="9" fillId="0" borderId="0" xfId="0" applyFont="1">
      <alignment vertical="center"/>
    </xf>
    <xf numFmtId="0" fontId="3" fillId="0" borderId="31" xfId="0" applyFont="1" applyBorder="1" applyAlignment="1">
      <alignment horizontal="left" vertical="center" wrapText="1"/>
    </xf>
    <xf numFmtId="0" fontId="2" fillId="3" borderId="14" xfId="0" applyFont="1" applyFill="1" applyBorder="1" applyProtection="1">
      <alignment vertical="center"/>
      <protection locked="0"/>
    </xf>
    <xf numFmtId="0" fontId="9" fillId="0" borderId="0" xfId="0" applyFont="1" applyProtection="1">
      <alignment vertical="center"/>
      <protection locked="0"/>
    </xf>
    <xf numFmtId="0" fontId="3" fillId="8" borderId="0" xfId="0" applyFont="1" applyFill="1" applyAlignment="1">
      <alignment horizontal="left" vertical="center" wrapText="1"/>
    </xf>
    <xf numFmtId="0" fontId="3" fillId="3" borderId="14" xfId="0" applyFont="1" applyFill="1" applyBorder="1" applyProtection="1">
      <alignment vertical="center"/>
      <protection locked="0"/>
    </xf>
    <xf numFmtId="0" fontId="3" fillId="0" borderId="0" xfId="0" applyFont="1" applyAlignment="1">
      <alignment horizontal="center" vertical="center"/>
    </xf>
    <xf numFmtId="0" fontId="3" fillId="3" borderId="14" xfId="0" applyFont="1" applyFill="1" applyBorder="1">
      <alignment vertical="center"/>
    </xf>
    <xf numFmtId="0" fontId="2" fillId="0" borderId="14" xfId="0" applyFont="1" applyBorder="1" applyProtection="1">
      <alignment vertical="center"/>
      <protection locked="0"/>
    </xf>
    <xf numFmtId="0" fontId="3" fillId="0" borderId="14" xfId="0" applyFont="1" applyBorder="1" applyAlignment="1" applyProtection="1">
      <alignment horizontal="center" vertical="center"/>
      <protection locked="0"/>
    </xf>
    <xf numFmtId="0" fontId="0" fillId="0" borderId="14" xfId="0" applyBorder="1" applyProtection="1">
      <alignment vertical="center"/>
      <protection locked="0"/>
    </xf>
    <xf numFmtId="0" fontId="3" fillId="0" borderId="30" xfId="0" applyFont="1" applyBorder="1" applyAlignment="1" applyProtection="1">
      <alignment vertical="center" wrapText="1" shrinkToFit="1"/>
      <protection locked="0"/>
    </xf>
    <xf numFmtId="0" fontId="3" fillId="0" borderId="0" xfId="0" applyFont="1" applyFill="1" applyProtection="1">
      <alignment vertical="center"/>
      <protection locked="0"/>
    </xf>
    <xf numFmtId="0" fontId="15" fillId="0" borderId="14" xfId="0" applyFont="1" applyBorder="1" applyAlignment="1" applyProtection="1">
      <alignment vertical="center" shrinkToFit="1"/>
      <protection locked="0"/>
    </xf>
    <xf numFmtId="0" fontId="3" fillId="0" borderId="14" xfId="0" applyFont="1" applyBorder="1" applyAlignment="1" applyProtection="1">
      <alignment horizontal="left" vertical="center" wrapText="1"/>
      <protection locked="0"/>
    </xf>
    <xf numFmtId="0" fontId="13" fillId="11" borderId="49" xfId="0" applyFont="1" applyFill="1" applyBorder="1" applyAlignment="1">
      <alignment horizontal="center" vertical="center"/>
    </xf>
    <xf numFmtId="0" fontId="13" fillId="11" borderId="50" xfId="0" applyFont="1" applyFill="1" applyBorder="1" applyAlignment="1">
      <alignment horizontal="center" vertical="center"/>
    </xf>
    <xf numFmtId="0" fontId="6" fillId="0" borderId="42" xfId="0" applyFont="1" applyFill="1" applyBorder="1" applyAlignment="1">
      <alignment horizontal="left" vertical="top" wrapText="1"/>
    </xf>
    <xf numFmtId="0" fontId="6" fillId="0" borderId="31" xfId="0" applyFont="1" applyFill="1" applyBorder="1" applyAlignment="1">
      <alignment horizontal="left" vertical="top" wrapText="1"/>
    </xf>
    <xf numFmtId="0" fontId="6" fillId="0" borderId="32" xfId="0" applyFont="1" applyFill="1" applyBorder="1" applyAlignment="1">
      <alignment horizontal="left" vertical="top" wrapText="1"/>
    </xf>
    <xf numFmtId="0" fontId="3" fillId="0" borderId="30" xfId="0" applyFont="1" applyFill="1" applyBorder="1" applyAlignment="1">
      <alignment horizontal="center" vertical="center"/>
    </xf>
    <xf numFmtId="0" fontId="3" fillId="0" borderId="31" xfId="0" applyFont="1" applyFill="1" applyBorder="1" applyAlignment="1">
      <alignment horizontal="center" vertical="center"/>
    </xf>
    <xf numFmtId="0" fontId="3" fillId="0" borderId="32" xfId="0" applyFont="1" applyFill="1" applyBorder="1" applyAlignment="1">
      <alignment horizontal="center" vertical="center"/>
    </xf>
    <xf numFmtId="0" fontId="3" fillId="0" borderId="21" xfId="0" applyFont="1" applyFill="1" applyBorder="1" applyAlignment="1">
      <alignment horizontal="left" vertical="center" shrinkToFit="1"/>
    </xf>
    <xf numFmtId="0" fontId="3" fillId="0" borderId="22" xfId="0" applyFont="1" applyFill="1" applyBorder="1" applyAlignment="1">
      <alignment horizontal="left" vertical="center" shrinkToFit="1"/>
    </xf>
    <xf numFmtId="0" fontId="3" fillId="0" borderId="23" xfId="0" applyFont="1" applyFill="1" applyBorder="1" applyAlignment="1">
      <alignment horizontal="left" vertical="center" shrinkToFit="1"/>
    </xf>
    <xf numFmtId="0" fontId="3" fillId="0" borderId="24" xfId="0" applyFont="1" applyFill="1" applyBorder="1" applyAlignment="1">
      <alignment horizontal="left" vertical="center" shrinkToFit="1"/>
    </xf>
    <xf numFmtId="0" fontId="3" fillId="0" borderId="25" xfId="0" applyFont="1" applyFill="1" applyBorder="1" applyAlignment="1">
      <alignment horizontal="left" vertical="center" shrinkToFit="1"/>
    </xf>
    <xf numFmtId="0" fontId="3" fillId="0" borderId="26" xfId="0" applyFont="1" applyFill="1" applyBorder="1" applyAlignment="1">
      <alignment horizontal="left" vertical="center" shrinkToFit="1"/>
    </xf>
    <xf numFmtId="0" fontId="3" fillId="0" borderId="8" xfId="0" applyFont="1" applyFill="1" applyBorder="1" applyAlignment="1">
      <alignment horizontal="center" vertical="center"/>
    </xf>
    <xf numFmtId="0" fontId="3" fillId="0" borderId="39" xfId="0" applyFont="1" applyFill="1" applyBorder="1" applyAlignment="1">
      <alignment horizontal="center" vertical="center"/>
    </xf>
    <xf numFmtId="0" fontId="3" fillId="0" borderId="29" xfId="0" applyFont="1" applyFill="1" applyBorder="1" applyAlignment="1">
      <alignment horizontal="left" vertical="center"/>
    </xf>
    <xf numFmtId="0" fontId="3" fillId="0" borderId="5" xfId="0" applyFont="1" applyFill="1" applyBorder="1" applyAlignment="1">
      <alignment horizontal="left" vertical="center"/>
    </xf>
    <xf numFmtId="0" fontId="5" fillId="0" borderId="2" xfId="0" applyFont="1" applyFill="1" applyBorder="1" applyAlignment="1">
      <alignment horizontal="center" vertical="center"/>
    </xf>
    <xf numFmtId="0" fontId="5" fillId="0" borderId="33"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34" xfId="0" applyFont="1" applyFill="1" applyBorder="1" applyAlignment="1">
      <alignment horizontal="center" vertical="center"/>
    </xf>
    <xf numFmtId="0" fontId="6" fillId="0" borderId="8" xfId="0" applyFont="1" applyFill="1" applyBorder="1" applyAlignment="1">
      <alignment horizontal="left" vertical="top" wrapText="1" shrinkToFit="1"/>
    </xf>
    <xf numFmtId="0" fontId="6" fillId="0" borderId="39" xfId="0" applyFont="1" applyFill="1" applyBorder="1" applyAlignment="1">
      <alignment horizontal="left" vertical="top" wrapText="1" shrinkToFit="1"/>
    </xf>
    <xf numFmtId="0" fontId="3" fillId="0" borderId="18" xfId="0" applyFont="1" applyFill="1" applyBorder="1" applyAlignment="1">
      <alignment horizontal="center" vertical="center" textRotation="255"/>
    </xf>
    <xf numFmtId="0" fontId="3" fillId="0" borderId="19" xfId="0" applyFont="1" applyFill="1" applyBorder="1" applyAlignment="1">
      <alignment horizontal="center" vertical="center" textRotation="255"/>
    </xf>
    <xf numFmtId="0" fontId="3" fillId="0" borderId="20" xfId="0" applyFont="1" applyFill="1" applyBorder="1" applyAlignment="1">
      <alignment horizontal="center" vertical="center" textRotation="255"/>
    </xf>
    <xf numFmtId="0" fontId="5" fillId="0" borderId="1" xfId="0" applyFont="1" applyFill="1" applyBorder="1" applyAlignment="1">
      <alignment horizontal="center" vertical="center"/>
    </xf>
    <xf numFmtId="0" fontId="5" fillId="0" borderId="38"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35" xfId="0" applyFont="1" applyFill="1" applyBorder="1" applyAlignment="1">
      <alignment horizontal="left" vertical="center" shrinkToFit="1"/>
    </xf>
    <xf numFmtId="0" fontId="3" fillId="0" borderId="36" xfId="0" applyFont="1" applyFill="1" applyBorder="1" applyAlignment="1">
      <alignment horizontal="left" vertical="center" shrinkToFit="1"/>
    </xf>
    <xf numFmtId="0" fontId="3" fillId="0" borderId="37" xfId="0" applyFont="1" applyFill="1" applyBorder="1" applyAlignment="1">
      <alignment horizontal="left" vertical="center" shrinkToFit="1"/>
    </xf>
    <xf numFmtId="0" fontId="3" fillId="0" borderId="27" xfId="0" applyFont="1" applyFill="1" applyBorder="1" applyAlignment="1">
      <alignment horizontal="left" vertical="center"/>
    </xf>
    <xf numFmtId="0" fontId="3" fillId="0" borderId="28" xfId="0" applyFont="1" applyFill="1" applyBorder="1" applyAlignment="1">
      <alignment horizontal="left" vertical="center"/>
    </xf>
    <xf numFmtId="0" fontId="3" fillId="0" borderId="30" xfId="0" applyFont="1" applyFill="1" applyBorder="1" applyAlignment="1">
      <alignment horizontal="center" vertical="center" shrinkToFit="1"/>
    </xf>
    <xf numFmtId="0" fontId="3" fillId="0" borderId="44" xfId="0" applyFont="1" applyFill="1" applyBorder="1" applyAlignment="1">
      <alignment horizontal="center" vertical="center" shrinkToFit="1"/>
    </xf>
    <xf numFmtId="0" fontId="3" fillId="0" borderId="8" xfId="0" applyFont="1" applyFill="1" applyBorder="1" applyAlignment="1">
      <alignment horizontal="left" vertical="center" wrapText="1" shrinkToFit="1"/>
    </xf>
    <xf numFmtId="0" fontId="3" fillId="0" borderId="39" xfId="0" applyFont="1" applyFill="1" applyBorder="1" applyAlignment="1">
      <alignment horizontal="left" vertical="center" wrapText="1" shrinkToFit="1"/>
    </xf>
    <xf numFmtId="0" fontId="3" fillId="0" borderId="11" xfId="0" applyNumberFormat="1" applyFont="1" applyFill="1" applyBorder="1" applyAlignment="1">
      <alignment horizontal="left" vertical="top" wrapText="1"/>
    </xf>
    <xf numFmtId="0" fontId="3" fillId="0" borderId="9" xfId="0" applyNumberFormat="1" applyFont="1" applyFill="1" applyBorder="1" applyAlignment="1">
      <alignment horizontal="left" vertical="top" wrapText="1"/>
    </xf>
    <xf numFmtId="0" fontId="3" fillId="0" borderId="10" xfId="0" applyNumberFormat="1" applyFont="1" applyFill="1" applyBorder="1" applyAlignment="1">
      <alignment horizontal="left" vertical="top" wrapText="1"/>
    </xf>
    <xf numFmtId="0" fontId="3" fillId="0" borderId="40" xfId="0" applyNumberFormat="1" applyFont="1" applyFill="1" applyBorder="1" applyAlignment="1">
      <alignment horizontal="left" vertical="top" wrapText="1"/>
    </xf>
    <xf numFmtId="0" fontId="3" fillId="0" borderId="0" xfId="0" applyNumberFormat="1" applyFont="1" applyFill="1" applyBorder="1" applyAlignment="1">
      <alignment horizontal="left" vertical="top" wrapText="1"/>
    </xf>
    <xf numFmtId="0" fontId="3" fillId="0" borderId="34" xfId="0" applyNumberFormat="1" applyFont="1" applyFill="1" applyBorder="1" applyAlignment="1">
      <alignment horizontal="left" vertical="top" wrapText="1"/>
    </xf>
    <xf numFmtId="0" fontId="3" fillId="0" borderId="41" xfId="0" applyNumberFormat="1" applyFont="1" applyFill="1" applyBorder="1" applyAlignment="1">
      <alignment horizontal="left" vertical="top" wrapText="1"/>
    </xf>
    <xf numFmtId="0" fontId="3" fillId="0" borderId="1" xfId="0" applyNumberFormat="1" applyFont="1" applyFill="1" applyBorder="1" applyAlignment="1">
      <alignment horizontal="left" vertical="top" wrapText="1"/>
    </xf>
    <xf numFmtId="0" fontId="3" fillId="0" borderId="38" xfId="0" applyNumberFormat="1" applyFont="1" applyFill="1" applyBorder="1" applyAlignment="1">
      <alignment horizontal="left" vertical="top" wrapText="1"/>
    </xf>
    <xf numFmtId="0" fontId="3" fillId="0" borderId="16" xfId="0" applyFont="1" applyBorder="1" applyAlignment="1">
      <alignment horizontal="left" vertical="center" shrinkToFit="1"/>
    </xf>
    <xf numFmtId="0" fontId="0" fillId="0" borderId="25" xfId="0" applyBorder="1" applyAlignment="1">
      <alignment horizontal="left" vertical="center" shrinkToFit="1"/>
    </xf>
    <xf numFmtId="0" fontId="0" fillId="0" borderId="26" xfId="0" applyBorder="1" applyAlignment="1">
      <alignment horizontal="left" vertical="center" shrinkToFit="1"/>
    </xf>
    <xf numFmtId="0" fontId="3" fillId="0" borderId="17" xfId="0" applyFont="1" applyBorder="1" applyAlignment="1">
      <alignment horizontal="left" vertical="center" shrinkToFit="1"/>
    </xf>
    <xf numFmtId="0" fontId="0" fillId="0" borderId="36" xfId="0" applyBorder="1" applyAlignment="1">
      <alignment horizontal="left" vertical="center" shrinkToFit="1"/>
    </xf>
    <xf numFmtId="0" fontId="0" fillId="0" borderId="37" xfId="0" applyBorder="1" applyAlignment="1">
      <alignment horizontal="left" vertical="center" shrinkToFit="1"/>
    </xf>
    <xf numFmtId="0" fontId="3" fillId="0" borderId="16" xfId="0" applyFont="1" applyFill="1" applyBorder="1" applyAlignment="1">
      <alignment horizontal="left" vertical="center" shrinkToFit="1"/>
    </xf>
    <xf numFmtId="0" fontId="3" fillId="0" borderId="15" xfId="0" applyFont="1" applyBorder="1" applyAlignment="1">
      <alignment horizontal="left" vertical="center" shrinkToFit="1"/>
    </xf>
    <xf numFmtId="0" fontId="3" fillId="0" borderId="22" xfId="0" applyFont="1" applyBorder="1" applyAlignment="1">
      <alignment horizontal="left" vertical="center" shrinkToFit="1"/>
    </xf>
    <xf numFmtId="0" fontId="3" fillId="0" borderId="23" xfId="0" applyFont="1" applyBorder="1" applyAlignment="1">
      <alignment horizontal="left" vertical="center" shrinkToFit="1"/>
    </xf>
    <xf numFmtId="49" fontId="3" fillId="0" borderId="0" xfId="0" applyNumberFormat="1" applyFont="1" applyFill="1" applyBorder="1" applyAlignment="1">
      <alignment horizontal="center" vertical="center"/>
    </xf>
    <xf numFmtId="0" fontId="2" fillId="0" borderId="8" xfId="0" applyFont="1" applyFill="1" applyBorder="1" applyAlignment="1">
      <alignment horizontal="left" vertical="top" wrapText="1"/>
    </xf>
    <xf numFmtId="0" fontId="2" fillId="0" borderId="39" xfId="0" applyFont="1" applyFill="1" applyBorder="1" applyAlignment="1">
      <alignment horizontal="left" vertical="top" wrapText="1"/>
    </xf>
    <xf numFmtId="0" fontId="7" fillId="4" borderId="45" xfId="0" applyFont="1" applyFill="1" applyBorder="1" applyAlignment="1">
      <alignment horizontal="left" vertical="center" wrapText="1"/>
    </xf>
    <xf numFmtId="0" fontId="7" fillId="4" borderId="46" xfId="0" applyFont="1" applyFill="1" applyBorder="1" applyAlignment="1">
      <alignment horizontal="left" vertical="center" wrapText="1"/>
    </xf>
    <xf numFmtId="0" fontId="7" fillId="4" borderId="41" xfId="0" applyFont="1" applyFill="1" applyBorder="1" applyAlignment="1">
      <alignment horizontal="left" vertical="center" wrapText="1"/>
    </xf>
    <xf numFmtId="0" fontId="3" fillId="6" borderId="30" xfId="0" applyFont="1" applyFill="1" applyBorder="1" applyAlignment="1">
      <alignment horizontal="center" vertical="center" wrapText="1"/>
    </xf>
    <xf numFmtId="0" fontId="3" fillId="6" borderId="31" xfId="0" applyFont="1" applyFill="1" applyBorder="1" applyAlignment="1">
      <alignment horizontal="center" vertical="center" wrapText="1"/>
    </xf>
    <xf numFmtId="0" fontId="3" fillId="6" borderId="32" xfId="0" applyFont="1" applyFill="1" applyBorder="1" applyAlignment="1">
      <alignment horizontal="center" vertical="center" wrapText="1"/>
    </xf>
    <xf numFmtId="0" fontId="3" fillId="0" borderId="30" xfId="0" applyFont="1" applyBorder="1" applyAlignment="1" applyProtection="1">
      <alignment horizontal="left" vertical="center" wrapText="1"/>
      <protection locked="0"/>
    </xf>
    <xf numFmtId="0" fontId="3" fillId="0" borderId="31" xfId="0" applyFont="1" applyBorder="1" applyAlignment="1" applyProtection="1">
      <alignment horizontal="left" vertical="center" wrapText="1"/>
      <protection locked="0"/>
    </xf>
    <xf numFmtId="0" fontId="3" fillId="0" borderId="32" xfId="0" applyFont="1" applyBorder="1" applyAlignment="1" applyProtection="1">
      <alignment horizontal="left" vertical="center" wrapText="1"/>
      <protection locked="0"/>
    </xf>
    <xf numFmtId="0" fontId="3" fillId="6" borderId="30" xfId="0" applyNumberFormat="1" applyFont="1" applyFill="1" applyBorder="1" applyAlignment="1">
      <alignment horizontal="center" vertical="center" wrapText="1"/>
    </xf>
    <xf numFmtId="0" fontId="3" fillId="6" borderId="31" xfId="0" applyNumberFormat="1" applyFont="1" applyFill="1" applyBorder="1" applyAlignment="1">
      <alignment horizontal="center" vertical="center" wrapText="1"/>
    </xf>
    <xf numFmtId="0" fontId="3" fillId="6" borderId="32" xfId="0" applyNumberFormat="1" applyFont="1" applyFill="1" applyBorder="1" applyAlignment="1">
      <alignment horizontal="center" vertical="center" wrapText="1"/>
    </xf>
    <xf numFmtId="0" fontId="3" fillId="0" borderId="30" xfId="0" applyNumberFormat="1" applyFont="1" applyFill="1" applyBorder="1" applyAlignment="1" applyProtection="1">
      <alignment horizontal="left" vertical="center" wrapText="1"/>
      <protection locked="0"/>
    </xf>
    <xf numFmtId="0" fontId="3" fillId="0" borderId="31" xfId="0" applyNumberFormat="1" applyFont="1" applyFill="1" applyBorder="1" applyAlignment="1" applyProtection="1">
      <alignment horizontal="left" vertical="center" wrapText="1"/>
      <protection locked="0"/>
    </xf>
    <xf numFmtId="0" fontId="3" fillId="0" borderId="32" xfId="0" applyNumberFormat="1" applyFont="1" applyFill="1" applyBorder="1" applyAlignment="1" applyProtection="1">
      <alignment horizontal="left" vertical="center" wrapText="1"/>
      <protection locked="0"/>
    </xf>
    <xf numFmtId="0" fontId="3" fillId="8" borderId="33" xfId="0" applyFont="1" applyFill="1" applyBorder="1" applyAlignment="1">
      <alignment horizontal="left" vertical="center" wrapText="1"/>
    </xf>
    <xf numFmtId="0" fontId="3" fillId="8" borderId="34" xfId="0" applyFont="1" applyFill="1" applyBorder="1" applyAlignment="1">
      <alignment horizontal="left" vertical="center" wrapText="1"/>
    </xf>
    <xf numFmtId="0" fontId="3" fillId="9" borderId="30" xfId="0" applyFont="1" applyFill="1" applyBorder="1" applyAlignment="1">
      <alignment horizontal="left" vertical="center" wrapText="1"/>
    </xf>
    <xf numFmtId="0" fontId="3" fillId="9" borderId="31" xfId="0" applyFont="1" applyFill="1" applyBorder="1" applyAlignment="1">
      <alignment horizontal="left" vertical="center" wrapText="1"/>
    </xf>
    <xf numFmtId="0" fontId="3" fillId="9" borderId="32" xfId="0" applyFont="1" applyFill="1" applyBorder="1" applyAlignment="1">
      <alignment horizontal="left" vertical="center" wrapText="1"/>
    </xf>
    <xf numFmtId="0" fontId="3" fillId="10" borderId="30" xfId="0" applyFont="1" applyFill="1" applyBorder="1" applyAlignment="1">
      <alignment horizontal="left" vertical="center"/>
    </xf>
    <xf numFmtId="0" fontId="3" fillId="10" borderId="31" xfId="0" applyFont="1" applyFill="1" applyBorder="1" applyAlignment="1">
      <alignment horizontal="left" vertical="center"/>
    </xf>
    <xf numFmtId="0" fontId="3" fillId="10" borderId="32" xfId="0" applyFont="1" applyFill="1" applyBorder="1" applyAlignment="1">
      <alignment horizontal="left" vertical="center"/>
    </xf>
    <xf numFmtId="0" fontId="3" fillId="0" borderId="30" xfId="0" applyFont="1" applyBorder="1" applyAlignment="1" applyProtection="1">
      <alignment horizontal="left" vertical="top" wrapText="1"/>
      <protection locked="0"/>
    </xf>
    <xf numFmtId="0" fontId="3" fillId="0" borderId="31"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11" fillId="7" borderId="30" xfId="0" applyFont="1" applyFill="1" applyBorder="1" applyAlignment="1">
      <alignment horizontal="center" vertical="center"/>
    </xf>
    <xf numFmtId="0" fontId="11" fillId="7" borderId="31" xfId="0" applyFont="1" applyFill="1" applyBorder="1" applyAlignment="1">
      <alignment horizontal="center" vertical="center"/>
    </xf>
    <xf numFmtId="0" fontId="11" fillId="7" borderId="32" xfId="0" applyFont="1" applyFill="1" applyBorder="1" applyAlignment="1">
      <alignment horizontal="center" vertical="center"/>
    </xf>
    <xf numFmtId="0" fontId="3" fillId="8" borderId="14" xfId="0" applyFont="1" applyFill="1" applyBorder="1" applyAlignment="1">
      <alignment horizontal="left" vertical="center"/>
    </xf>
    <xf numFmtId="0" fontId="3" fillId="8" borderId="47" xfId="0" applyFont="1" applyFill="1" applyBorder="1" applyAlignment="1">
      <alignment horizontal="left" vertical="center"/>
    </xf>
    <xf numFmtId="0" fontId="3" fillId="8" borderId="2" xfId="0" applyFont="1" applyFill="1" applyBorder="1" applyAlignment="1">
      <alignment horizontal="left" vertical="center"/>
    </xf>
    <xf numFmtId="0" fontId="3" fillId="8" borderId="33" xfId="0" applyFont="1" applyFill="1" applyBorder="1" applyAlignment="1">
      <alignment horizontal="left" vertical="center"/>
    </xf>
    <xf numFmtId="0" fontId="3" fillId="8" borderId="30" xfId="0" applyFont="1" applyFill="1" applyBorder="1" applyAlignment="1">
      <alignment horizontal="left" vertical="center"/>
    </xf>
    <xf numFmtId="0" fontId="3" fillId="8" borderId="31" xfId="0" applyFont="1" applyFill="1" applyBorder="1" applyAlignment="1">
      <alignment horizontal="left" vertical="center"/>
    </xf>
    <xf numFmtId="0" fontId="3" fillId="8" borderId="32" xfId="0" applyFont="1" applyFill="1" applyBorder="1" applyAlignment="1">
      <alignment horizontal="left" vertical="center"/>
    </xf>
  </cellXfs>
  <cellStyles count="1">
    <cellStyle name="標準" xfId="0" builtinId="0"/>
  </cellStyles>
  <dxfs count="20">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b/>
        <i val="0"/>
        <color rgb="FF00B050"/>
      </font>
    </dxf>
    <dxf>
      <font>
        <b/>
        <i val="0"/>
        <color rgb="FFFF0000"/>
      </font>
    </dxf>
    <dxf>
      <font>
        <b/>
        <i val="0"/>
        <color rgb="FFFF0000"/>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571500</xdr:colOff>
          <xdr:row>4</xdr:row>
          <xdr:rowOff>28575</xdr:rowOff>
        </xdr:from>
        <xdr:to>
          <xdr:col>12</xdr:col>
          <xdr:colOff>123825</xdr:colOff>
          <xdr:row>5</xdr:row>
          <xdr:rowOff>95250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データ取込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571500</xdr:colOff>
          <xdr:row>10</xdr:row>
          <xdr:rowOff>76200</xdr:rowOff>
        </xdr:from>
        <xdr:to>
          <xdr:col>12</xdr:col>
          <xdr:colOff>161925</xdr:colOff>
          <xdr:row>11</xdr:row>
          <xdr:rowOff>152400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通知票 印刷</a:t>
              </a:r>
            </a:p>
          </xdr:txBody>
        </xdr:sp>
        <xdr:clientData fPrintsWithSheet="0"/>
      </xdr:twoCellAnchor>
    </mc:Choice>
    <mc:Fallback/>
  </mc:AlternateContent>
  <xdr:twoCellAnchor>
    <xdr:from>
      <xdr:col>9</xdr:col>
      <xdr:colOff>581023</xdr:colOff>
      <xdr:row>0</xdr:row>
      <xdr:rowOff>114300</xdr:rowOff>
    </xdr:from>
    <xdr:to>
      <xdr:col>17</xdr:col>
      <xdr:colOff>619125</xdr:colOff>
      <xdr:row>3</xdr:row>
      <xdr:rowOff>95250</xdr:rowOff>
    </xdr:to>
    <xdr:sp macro="" textlink="">
      <xdr:nvSpPr>
        <xdr:cNvPr id="5" name="テキスト ボックス 4"/>
        <xdr:cNvSpPr txBox="1"/>
      </xdr:nvSpPr>
      <xdr:spPr>
        <a:xfrm>
          <a:off x="8543923" y="114300"/>
          <a:ext cx="4495802"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000"/>
            <a:t>【</a:t>
          </a:r>
          <a:r>
            <a:rPr kumimoji="1" lang="ja-JP" altLang="en-US" sz="1000"/>
            <a:t>手順</a:t>
          </a:r>
          <a:r>
            <a:rPr kumimoji="1" lang="en-US" altLang="ja-JP" sz="1000"/>
            <a:t>】</a:t>
          </a:r>
          <a:r>
            <a:rPr kumimoji="1" lang="ja-JP" altLang="en-US" sz="1000"/>
            <a:t>　　① データ取込ボタン押下　② </a:t>
          </a:r>
          <a:r>
            <a:rPr kumimoji="1" lang="ja-JP" altLang="ja-JP" sz="1000">
              <a:solidFill>
                <a:schemeClr val="dk1"/>
              </a:solidFill>
              <a:effectLst/>
              <a:latin typeface="+mn-lt"/>
              <a:ea typeface="+mn-ea"/>
              <a:cs typeface="+mn-cs"/>
            </a:rPr>
            <a:t>印刷したい生徒の番号の範囲を入力</a:t>
          </a:r>
          <a:endParaRPr kumimoji="1" lang="en-US" altLang="ja-JP" sz="1000">
            <a:solidFill>
              <a:schemeClr val="dk1"/>
            </a:solidFill>
            <a:effectLst/>
            <a:latin typeface="+mn-lt"/>
            <a:ea typeface="+mn-ea"/>
            <a:cs typeface="+mn-cs"/>
          </a:endParaRPr>
        </a:p>
        <a:p>
          <a:r>
            <a:rPr kumimoji="1" lang="ja-JP" altLang="en-US" sz="1000">
              <a:solidFill>
                <a:schemeClr val="dk1"/>
              </a:solidFill>
              <a:effectLst/>
              <a:latin typeface="+mn-lt"/>
              <a:ea typeface="+mn-ea"/>
              <a:cs typeface="+mn-cs"/>
            </a:rPr>
            <a:t>　</a:t>
          </a:r>
          <a:r>
            <a:rPr kumimoji="1" lang="ja-JP" altLang="en-US" sz="1000"/>
            <a:t>③ 通常の印刷画面でプリンタを選び、必要に応じてプロパティを変更（選ぶだけ　</a:t>
          </a:r>
          <a:endParaRPr kumimoji="1" lang="en-US" altLang="ja-JP" sz="1000"/>
        </a:p>
        <a:p>
          <a:r>
            <a:rPr kumimoji="1" lang="ja-JP" altLang="en-US" sz="1000"/>
            <a:t>　で印刷はしない）　　④ 通知票印刷 </a:t>
          </a:r>
          <a:r>
            <a:rPr kumimoji="1" lang="en-US" altLang="ja-JP" sz="1000"/>
            <a:t>or </a:t>
          </a:r>
          <a:r>
            <a:rPr kumimoji="1" lang="ja-JP" altLang="en-US" sz="1000"/>
            <a:t>所見集印刷ボタンを押下</a:t>
          </a:r>
        </a:p>
      </xdr:txBody>
    </xdr:sp>
    <xdr:clientData/>
  </xdr:twoCellAnchor>
  <xdr:twoCellAnchor>
    <xdr:from>
      <xdr:col>15</xdr:col>
      <xdr:colOff>1247776</xdr:colOff>
      <xdr:row>5</xdr:row>
      <xdr:rowOff>76200</xdr:rowOff>
    </xdr:from>
    <xdr:to>
      <xdr:col>17</xdr:col>
      <xdr:colOff>666750</xdr:colOff>
      <xdr:row>10</xdr:row>
      <xdr:rowOff>171451</xdr:rowOff>
    </xdr:to>
    <xdr:sp macro="" textlink="">
      <xdr:nvSpPr>
        <xdr:cNvPr id="6" name="テキスト ボックス 5"/>
        <xdr:cNvSpPr txBox="1"/>
      </xdr:nvSpPr>
      <xdr:spPr>
        <a:xfrm>
          <a:off x="12001501" y="1181100"/>
          <a:ext cx="1085849" cy="12858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800"/>
            <a:t>「所見」シートの</a:t>
          </a:r>
          <a:endParaRPr kumimoji="1" lang="en-US" altLang="ja-JP" sz="800"/>
        </a:p>
        <a:p>
          <a:r>
            <a:rPr kumimoji="1" lang="ja-JP" altLang="en-US" sz="800"/>
            <a:t>「総合所見」の見出し行（紫色の行）の行番号を入れる。</a:t>
          </a:r>
          <a:endParaRPr kumimoji="1" lang="en-US" altLang="ja-JP" sz="800"/>
        </a:p>
        <a:p>
          <a:endParaRPr kumimoji="1" lang="en-US" altLang="ja-JP" sz="800"/>
        </a:p>
        <a:p>
          <a:r>
            <a:rPr kumimoji="1" lang="ja-JP" altLang="en-US" sz="800"/>
            <a:t>（生徒増により所見シートの行数が増えた場合に対応するため）</a:t>
          </a:r>
        </a:p>
      </xdr:txBody>
    </xdr:sp>
    <xdr:clientData/>
  </xdr:twoCellAnchor>
  <mc:AlternateContent xmlns:mc="http://schemas.openxmlformats.org/markup-compatibility/2006">
    <mc:Choice xmlns:a14="http://schemas.microsoft.com/office/drawing/2010/main" Requires="a14">
      <xdr:twoCellAnchor>
        <xdr:from>
          <xdr:col>9</xdr:col>
          <xdr:colOff>571500</xdr:colOff>
          <xdr:row>12</xdr:row>
          <xdr:rowOff>47625</xdr:rowOff>
        </xdr:from>
        <xdr:to>
          <xdr:col>12</xdr:col>
          <xdr:colOff>161925</xdr:colOff>
          <xdr:row>13</xdr:row>
          <xdr:rowOff>123825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所見集 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83</xdr:row>
          <xdr:rowOff>200025</xdr:rowOff>
        </xdr:from>
        <xdr:to>
          <xdr:col>11</xdr:col>
          <xdr:colOff>9525</xdr:colOff>
          <xdr:row>85</xdr:row>
          <xdr:rowOff>19050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83</xdr:row>
          <xdr:rowOff>200025</xdr:rowOff>
        </xdr:from>
        <xdr:to>
          <xdr:col>12</xdr:col>
          <xdr:colOff>438150</xdr:colOff>
          <xdr:row>85</xdr:row>
          <xdr:rowOff>19050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17</xdr:row>
          <xdr:rowOff>200025</xdr:rowOff>
        </xdr:from>
        <xdr:to>
          <xdr:col>11</xdr:col>
          <xdr:colOff>9525</xdr:colOff>
          <xdr:row>19</xdr:row>
          <xdr:rowOff>19050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17</xdr:row>
          <xdr:rowOff>200025</xdr:rowOff>
        </xdr:from>
        <xdr:to>
          <xdr:col>12</xdr:col>
          <xdr:colOff>438150</xdr:colOff>
          <xdr:row>19</xdr:row>
          <xdr:rowOff>19050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Q94"/>
  <sheetViews>
    <sheetView tabSelected="1" view="pageBreakPreview" zoomScaleNormal="85" zoomScaleSheetLayoutView="100" workbookViewId="0">
      <selection activeCell="L9" sqref="L9"/>
    </sheetView>
  </sheetViews>
  <sheetFormatPr defaultRowHeight="13.5"/>
  <cols>
    <col min="1" max="2" width="4.25" style="8" customWidth="1"/>
    <col min="3" max="3" width="58.75" style="8" customWidth="1"/>
    <col min="4" max="4" width="4.625" style="8" customWidth="1"/>
    <col min="5" max="5" width="1.25" style="8" customWidth="1"/>
    <col min="6" max="6" width="16.25" style="8" customWidth="1"/>
    <col min="7" max="7" width="6.5" style="8" bestFit="1" customWidth="1"/>
    <col min="8" max="8" width="3.75" style="8" customWidth="1"/>
    <col min="9" max="9" width="4.875" style="8" customWidth="1"/>
    <col min="10" max="10" width="9" style="8"/>
    <col min="11" max="12" width="4.75" style="8" customWidth="1"/>
    <col min="13" max="13" width="9" style="8"/>
    <col min="14" max="14" width="4.75" style="8" customWidth="1"/>
    <col min="15" max="15" width="4.375" style="8" customWidth="1"/>
    <col min="16" max="16" width="17.25" style="8" customWidth="1"/>
    <col min="17" max="17" width="4.625" style="8" customWidth="1"/>
    <col min="18" max="18" width="13.25" style="8" customWidth="1"/>
    <col min="19" max="16384" width="9" style="8"/>
  </cols>
  <sheetData>
    <row r="1" spans="1:17" ht="18.75" customHeight="1">
      <c r="A1" s="121" t="str">
        <f ca="1">MID(CELL("filename",A1),FIND("[",CELL("filename",A1))+1,3)</f>
        <v>４－２</v>
      </c>
      <c r="B1" s="121"/>
      <c r="C1" s="122" t="str">
        <f ca="1">RIGHT(LEFT(CELL("filename",A1),FIND("[",CELL("filename",A1))-2),3)</f>
        <v>1学期</v>
      </c>
      <c r="D1" s="122"/>
      <c r="E1" s="122"/>
      <c r="F1" s="122"/>
      <c r="G1" s="122"/>
      <c r="H1" s="5"/>
      <c r="I1" s="5"/>
    </row>
    <row r="2" spans="1:17" ht="18.75" customHeight="1">
      <c r="A2" s="2" t="s">
        <v>18</v>
      </c>
      <c r="B2" s="1">
        <v>12</v>
      </c>
      <c r="F2" s="4" t="s">
        <v>17</v>
      </c>
      <c r="G2" s="123" t="str">
        <f ca="1">INDIRECT("'所見'!A"&amp;12+$B$2)</f>
        <v>竹渕 成悟</v>
      </c>
      <c r="H2" s="123"/>
      <c r="I2" s="123"/>
    </row>
    <row r="3" spans="1:17" ht="12" customHeight="1">
      <c r="C3" s="9"/>
      <c r="D3" s="9"/>
      <c r="E3" s="9"/>
      <c r="F3" s="9"/>
      <c r="G3" s="9"/>
      <c r="H3" s="9"/>
      <c r="I3" s="9"/>
    </row>
    <row r="4" spans="1:17" ht="18.75" customHeight="1">
      <c r="A4" s="97" t="s">
        <v>19</v>
      </c>
      <c r="B4" s="98"/>
      <c r="C4" s="98"/>
      <c r="D4" s="98"/>
      <c r="E4" s="98"/>
      <c r="F4" s="98"/>
      <c r="G4" s="98"/>
      <c r="H4" s="98"/>
      <c r="I4" s="99"/>
    </row>
    <row r="5" spans="1:17" ht="18.75" customHeight="1">
      <c r="A5" s="19" t="s">
        <v>4</v>
      </c>
      <c r="B5" s="106" t="s">
        <v>5</v>
      </c>
      <c r="C5" s="106"/>
      <c r="D5" s="106"/>
      <c r="E5" s="106"/>
      <c r="F5" s="106"/>
      <c r="G5" s="20" t="s">
        <v>6</v>
      </c>
      <c r="H5" s="106" t="s">
        <v>7</v>
      </c>
      <c r="I5" s="107"/>
      <c r="Q5" s="69">
        <v>35</v>
      </c>
    </row>
    <row r="6" spans="1:17" ht="18.75" customHeight="1" thickBot="1">
      <c r="A6" s="116" t="s">
        <v>8</v>
      </c>
      <c r="B6" s="100" t="str">
        <f>国語!B2</f>
        <v>国語に関心を持ち、進んで読んだり、書いたり、理解したりすることができる</v>
      </c>
      <c r="C6" s="101"/>
      <c r="D6" s="101"/>
      <c r="E6" s="101"/>
      <c r="F6" s="102"/>
      <c r="G6" s="21" t="str">
        <f ca="1">OFFSET(国語!C2,0,$B$2)</f>
        <v>B</v>
      </c>
      <c r="H6" s="110">
        <f ca="1">OFFSET(国語!C12,0,$B$2)</f>
        <v>5</v>
      </c>
      <c r="I6" s="111"/>
      <c r="O6" s="8">
        <v>1</v>
      </c>
      <c r="P6" s="52" t="str">
        <f ca="1">INDIRECT("'出欠'!A"&amp;9+O6)</f>
        <v>相澤 諒典</v>
      </c>
    </row>
    <row r="7" spans="1:17" ht="18.75" customHeight="1" thickBot="1">
      <c r="A7" s="117"/>
      <c r="B7" s="103" t="str">
        <f>国語!B3</f>
        <v>友だちの意見をよく聞き、自分の考えをまとめて、話すことができる</v>
      </c>
      <c r="C7" s="104"/>
      <c r="D7" s="104"/>
      <c r="E7" s="104"/>
      <c r="F7" s="105"/>
      <c r="G7" s="17" t="str">
        <f ca="1">OFFSET(国語!C3,0,$B$2)</f>
        <v>A</v>
      </c>
      <c r="H7" s="112"/>
      <c r="I7" s="113"/>
      <c r="K7" s="92" t="s">
        <v>40</v>
      </c>
      <c r="L7" s="93"/>
      <c r="O7" s="8">
        <v>2</v>
      </c>
      <c r="P7" s="52" t="str">
        <f t="shared" ref="P7:P30" ca="1" si="0">INDIRECT("'出欠'!A"&amp;9+O7)</f>
        <v>赤木 咲哉</v>
      </c>
    </row>
    <row r="8" spans="1:17" ht="18.75" customHeight="1" thickBot="1">
      <c r="A8" s="117"/>
      <c r="B8" s="103" t="str">
        <f>国語!B4</f>
        <v>工夫してメモを取りながら、必要なことを聞き取ることができる</v>
      </c>
      <c r="C8" s="104"/>
      <c r="D8" s="104"/>
      <c r="E8" s="104"/>
      <c r="F8" s="105"/>
      <c r="G8" s="17" t="str">
        <f ca="1">OFFSET(国語!C4,0,$B$2)</f>
        <v>A</v>
      </c>
      <c r="H8" s="112"/>
      <c r="I8" s="113"/>
      <c r="K8" s="51" t="s">
        <v>41</v>
      </c>
      <c r="L8" s="51" t="s">
        <v>42</v>
      </c>
      <c r="O8" s="8">
        <v>3</v>
      </c>
      <c r="P8" s="52" t="str">
        <f t="shared" ca="1" si="0"/>
        <v>加藤 綾</v>
      </c>
    </row>
    <row r="9" spans="1:17" ht="18.75" customHeight="1" thickBot="1">
      <c r="A9" s="117"/>
      <c r="B9" s="103" t="str">
        <f>国語!B5</f>
        <v>目的に応じて文章などを要約して、文章や新聞にまとめて書くことができる</v>
      </c>
      <c r="C9" s="104"/>
      <c r="D9" s="104"/>
      <c r="E9" s="104"/>
      <c r="F9" s="105"/>
      <c r="G9" s="17" t="str">
        <f ca="1">OFFSET(国語!C5,0,$B$2)</f>
        <v>A</v>
      </c>
      <c r="H9" s="112"/>
      <c r="I9" s="113"/>
      <c r="K9" s="50">
        <v>10</v>
      </c>
      <c r="L9" s="50">
        <v>11</v>
      </c>
      <c r="O9" s="8">
        <v>4</v>
      </c>
      <c r="P9" s="52" t="str">
        <f t="shared" ca="1" si="0"/>
        <v>加藤 照乃</v>
      </c>
    </row>
    <row r="10" spans="1:17" ht="18.75" customHeight="1">
      <c r="A10" s="117"/>
      <c r="B10" s="103" t="str">
        <f>国語!B6</f>
        <v>場面の移り変わり、登場人物の性格や気持ちの変化、情景について叙述を基に読むことができる</v>
      </c>
      <c r="C10" s="104"/>
      <c r="D10" s="104"/>
      <c r="E10" s="104"/>
      <c r="F10" s="105"/>
      <c r="G10" s="17" t="str">
        <f ca="1">OFFSET(国語!C6,0,$B$2)</f>
        <v>A</v>
      </c>
      <c r="H10" s="112"/>
      <c r="I10" s="113"/>
      <c r="O10" s="8">
        <v>5</v>
      </c>
      <c r="P10" s="52" t="str">
        <f t="shared" ca="1" si="0"/>
        <v>門田 藍里</v>
      </c>
    </row>
    <row r="11" spans="1:17" ht="18.75" customHeight="1">
      <c r="A11" s="117"/>
      <c r="B11" s="103" t="str">
        <f>国語!B7</f>
        <v>段落相互の関係に着目し、考えと理由や事例との関係について読むことができる</v>
      </c>
      <c r="C11" s="104"/>
      <c r="D11" s="104"/>
      <c r="E11" s="104"/>
      <c r="F11" s="105"/>
      <c r="G11" s="17" t="str">
        <f ca="1">OFFSET(国語!C7,0,$B$2)</f>
        <v>B</v>
      </c>
      <c r="H11" s="112"/>
      <c r="I11" s="113"/>
      <c r="O11" s="8">
        <v>6</v>
      </c>
      <c r="P11" s="52" t="str">
        <f t="shared" ca="1" si="0"/>
        <v>金井 傑</v>
      </c>
    </row>
    <row r="12" spans="1:17" ht="18.75" customHeight="1">
      <c r="A12" s="117"/>
      <c r="B12" s="103" t="str">
        <f>国語!B8</f>
        <v>漢字の部首や画数、音読み訓読みなどを基に、漢字辞典の使い方を理解することができる</v>
      </c>
      <c r="C12" s="104"/>
      <c r="D12" s="104"/>
      <c r="E12" s="104"/>
      <c r="F12" s="105"/>
      <c r="G12" s="17" t="str">
        <f ca="1">OFFSET(国語!C8,0,$B$2)</f>
        <v>A</v>
      </c>
      <c r="H12" s="112"/>
      <c r="I12" s="113"/>
      <c r="O12" s="8">
        <v>7</v>
      </c>
      <c r="P12" s="52" t="str">
        <f t="shared" ca="1" si="0"/>
        <v>上條 優那</v>
      </c>
    </row>
    <row r="13" spans="1:17" ht="18.75" customHeight="1">
      <c r="A13" s="117"/>
      <c r="B13" s="103" t="str">
        <f>国語!B9</f>
        <v>学習した漢字を読み書きし、文章の中で使うことができる</v>
      </c>
      <c r="C13" s="104"/>
      <c r="D13" s="104"/>
      <c r="E13" s="104"/>
      <c r="F13" s="105"/>
      <c r="G13" s="17" t="str">
        <f ca="1">OFFSET(国語!C9,0,$B$2)</f>
        <v>A</v>
      </c>
      <c r="H13" s="112"/>
      <c r="I13" s="113"/>
      <c r="O13" s="8">
        <v>8</v>
      </c>
      <c r="P13" s="52" t="str">
        <f t="shared" ca="1" si="0"/>
        <v>川村 唯栖</v>
      </c>
    </row>
    <row r="14" spans="1:17" ht="18.75" customHeight="1">
      <c r="A14" s="117"/>
      <c r="B14" s="103" t="str">
        <f>国語!B10</f>
        <v>正しい姿勢と鉛筆や筆の持ち方で、丁寧な字を書くことができる</v>
      </c>
      <c r="C14" s="104"/>
      <c r="D14" s="104"/>
      <c r="E14" s="104"/>
      <c r="F14" s="105"/>
      <c r="G14" s="17" t="str">
        <f ca="1">OFFSET(国語!C10,0,$B$2)</f>
        <v>A</v>
      </c>
      <c r="H14" s="112"/>
      <c r="I14" s="113"/>
      <c r="O14" s="8">
        <v>9</v>
      </c>
      <c r="P14" s="52" t="str">
        <f t="shared" ca="1" si="0"/>
        <v>小松 宗祐</v>
      </c>
    </row>
    <row r="15" spans="1:17" ht="18.75" customHeight="1">
      <c r="A15" s="118"/>
      <c r="B15" s="103">
        <f>国語!B11</f>
        <v>0</v>
      </c>
      <c r="C15" s="104"/>
      <c r="D15" s="104"/>
      <c r="E15" s="104"/>
      <c r="F15" s="105"/>
      <c r="G15" s="18">
        <f ca="1">OFFSET(国語!C11,0,$B$2)</f>
        <v>0</v>
      </c>
      <c r="H15" s="112"/>
      <c r="I15" s="113"/>
      <c r="O15" s="8">
        <v>10</v>
      </c>
      <c r="P15" s="52" t="str">
        <f t="shared" ca="1" si="0"/>
        <v>五味 愛陽</v>
      </c>
    </row>
    <row r="16" spans="1:17" ht="18.75" customHeight="1">
      <c r="A16" s="116" t="s">
        <v>0</v>
      </c>
      <c r="B16" s="100" t="str">
        <f>算数!B2</f>
        <v>算数に関心を持ち、進んで新しい単元の習得をしたり問題を解いたりしている</v>
      </c>
      <c r="C16" s="101"/>
      <c r="D16" s="101"/>
      <c r="E16" s="101"/>
      <c r="F16" s="102"/>
      <c r="G16" s="21" t="str">
        <f ca="1">OFFSET(算数!C2,0,$B$2)</f>
        <v>A</v>
      </c>
      <c r="H16" s="110">
        <f ca="1">OFFSET(算数!C12,0,$B$2)</f>
        <v>5</v>
      </c>
      <c r="I16" s="111"/>
      <c r="O16" s="8">
        <v>11</v>
      </c>
      <c r="P16" s="52" t="str">
        <f t="shared" ca="1" si="0"/>
        <v>武田 理暉</v>
      </c>
    </row>
    <row r="17" spans="1:16" ht="18.75" customHeight="1">
      <c r="A17" s="117"/>
      <c r="B17" s="103" t="str">
        <f>算数!B3</f>
        <v>億や兆を使い、大きな数を表したり、大きな桁のかけ算を正しく計算したりすることができる</v>
      </c>
      <c r="C17" s="104"/>
      <c r="D17" s="104"/>
      <c r="E17" s="104"/>
      <c r="F17" s="105"/>
      <c r="G17" s="17" t="str">
        <f ca="1">OFFSET(算数!C3,0,$B$2)</f>
        <v>A</v>
      </c>
      <c r="H17" s="112"/>
      <c r="I17" s="113"/>
      <c r="L17" s="30"/>
      <c r="M17" s="30"/>
      <c r="O17" s="8">
        <v>12</v>
      </c>
      <c r="P17" s="52" t="str">
        <f t="shared" ca="1" si="0"/>
        <v>竹渕 成悟</v>
      </c>
    </row>
    <row r="18" spans="1:16" ht="18.75" customHeight="1">
      <c r="A18" s="117"/>
      <c r="B18" s="103" t="str">
        <f>算数!B4</f>
        <v>折れ線グラフと２つの事柄についてまとめられた表を読み取り、書くことができる</v>
      </c>
      <c r="C18" s="104"/>
      <c r="D18" s="104"/>
      <c r="E18" s="104"/>
      <c r="F18" s="105"/>
      <c r="G18" s="17" t="str">
        <f ca="1">OFFSET(算数!C4,0,$B$2)</f>
        <v>A</v>
      </c>
      <c r="H18" s="112"/>
      <c r="I18" s="113"/>
      <c r="L18" s="30"/>
      <c r="M18" s="30"/>
      <c r="O18" s="8">
        <v>13</v>
      </c>
      <c r="P18" s="52" t="str">
        <f t="shared" ca="1" si="0"/>
        <v>立石 明寛</v>
      </c>
    </row>
    <row r="19" spans="1:16" ht="18.75" customHeight="1">
      <c r="A19" s="117"/>
      <c r="B19" s="103" t="str">
        <f>算数!B5</f>
        <v>2けた・3けた÷1けたの筆算の意味を理解し、正しく計算することができる</v>
      </c>
      <c r="C19" s="104"/>
      <c r="D19" s="104"/>
      <c r="E19" s="104"/>
      <c r="F19" s="105"/>
      <c r="G19" s="17" t="str">
        <f ca="1">OFFSET(算数!C5,0,$B$2)</f>
        <v>A</v>
      </c>
      <c r="H19" s="112"/>
      <c r="I19" s="113"/>
      <c r="L19" s="70">
        <f>番号</f>
        <v>12</v>
      </c>
      <c r="M19" s="30"/>
      <c r="O19" s="8">
        <v>14</v>
      </c>
      <c r="P19" s="52" t="str">
        <f t="shared" ca="1" si="0"/>
        <v>新村 悠妃</v>
      </c>
    </row>
    <row r="20" spans="1:16" ht="18.75" customHeight="1">
      <c r="A20" s="117"/>
      <c r="B20" s="103" t="str">
        <f>算数!B6</f>
        <v>分度器を正しく使い、計算を用いて角度を求めることができる</v>
      </c>
      <c r="C20" s="104"/>
      <c r="D20" s="104"/>
      <c r="E20" s="104"/>
      <c r="F20" s="105"/>
      <c r="G20" s="17" t="str">
        <f ca="1">OFFSET(算数!C6,0,$B$2)</f>
        <v>A</v>
      </c>
      <c r="H20" s="112"/>
      <c r="I20" s="113"/>
      <c r="L20" s="30"/>
      <c r="M20" s="30"/>
      <c r="O20" s="8">
        <v>15</v>
      </c>
      <c r="P20" s="52" t="str">
        <f t="shared" ca="1" si="0"/>
        <v>平岡 恭佑</v>
      </c>
    </row>
    <row r="21" spans="1:16" ht="18.75" customHeight="1">
      <c r="A21" s="117"/>
      <c r="B21" s="103">
        <f>算数!B7</f>
        <v>0</v>
      </c>
      <c r="C21" s="104"/>
      <c r="D21" s="104"/>
      <c r="E21" s="104"/>
      <c r="F21" s="105"/>
      <c r="G21" s="17">
        <f ca="1">OFFSET(算数!C7,0,$B$2)</f>
        <v>0</v>
      </c>
      <c r="H21" s="112"/>
      <c r="I21" s="113"/>
      <c r="O21" s="8">
        <v>16</v>
      </c>
      <c r="P21" s="52" t="str">
        <f t="shared" ca="1" si="0"/>
        <v>福沢 瑛心</v>
      </c>
    </row>
    <row r="22" spans="1:16" ht="18.75" customHeight="1">
      <c r="A22" s="117"/>
      <c r="B22" s="103">
        <f>算数!B8</f>
        <v>0</v>
      </c>
      <c r="C22" s="104"/>
      <c r="D22" s="104"/>
      <c r="E22" s="104"/>
      <c r="F22" s="105"/>
      <c r="G22" s="17">
        <f ca="1">OFFSET(算数!C8,0,$B$2)</f>
        <v>0</v>
      </c>
      <c r="H22" s="112"/>
      <c r="I22" s="113"/>
      <c r="O22" s="8">
        <v>17</v>
      </c>
      <c r="P22" s="52" t="str">
        <f t="shared" ca="1" si="0"/>
        <v>松井 大和</v>
      </c>
    </row>
    <row r="23" spans="1:16" ht="18.75" customHeight="1">
      <c r="A23" s="117"/>
      <c r="B23" s="103">
        <f>算数!B9</f>
        <v>0</v>
      </c>
      <c r="C23" s="104"/>
      <c r="D23" s="104"/>
      <c r="E23" s="104"/>
      <c r="F23" s="105"/>
      <c r="G23" s="17">
        <f ca="1">OFFSET(算数!C9,0,$B$2)</f>
        <v>0</v>
      </c>
      <c r="H23" s="112"/>
      <c r="I23" s="113"/>
      <c r="O23" s="8">
        <v>18</v>
      </c>
      <c r="P23" s="52" t="str">
        <f t="shared" ca="1" si="0"/>
        <v>丸山 紗那</v>
      </c>
    </row>
    <row r="24" spans="1:16" ht="18.75" customHeight="1">
      <c r="A24" s="117"/>
      <c r="B24" s="103">
        <f>算数!B10</f>
        <v>0</v>
      </c>
      <c r="C24" s="104"/>
      <c r="D24" s="104"/>
      <c r="E24" s="104"/>
      <c r="F24" s="105"/>
      <c r="G24" s="17">
        <f ca="1">OFFSET(算数!C10,0,$B$2)</f>
        <v>0</v>
      </c>
      <c r="H24" s="112"/>
      <c r="I24" s="113"/>
      <c r="O24" s="8">
        <v>19</v>
      </c>
      <c r="P24" s="52" t="str">
        <f t="shared" ca="1" si="0"/>
        <v>百瀬 杏</v>
      </c>
    </row>
    <row r="25" spans="1:16" ht="18.75" customHeight="1">
      <c r="A25" s="118"/>
      <c r="B25" s="103">
        <f>算数!B11</f>
        <v>0</v>
      </c>
      <c r="C25" s="104"/>
      <c r="D25" s="104"/>
      <c r="E25" s="104"/>
      <c r="F25" s="105"/>
      <c r="G25" s="18">
        <f ca="1">OFFSET(算数!C11,0,$B$2)</f>
        <v>0</v>
      </c>
      <c r="H25" s="112"/>
      <c r="I25" s="113"/>
      <c r="O25" s="8">
        <v>20</v>
      </c>
      <c r="P25" s="52" t="str">
        <f t="shared" ca="1" si="0"/>
        <v>百瀬 颯紀</v>
      </c>
    </row>
    <row r="26" spans="1:16" ht="18.75" customHeight="1">
      <c r="A26" s="116" t="s">
        <v>50</v>
      </c>
      <c r="B26" s="100" t="str">
        <f>理科!B2</f>
        <v>自然に親しみ、興味・関心を持って、観察や実験などを行うことができる</v>
      </c>
      <c r="C26" s="101"/>
      <c r="D26" s="101"/>
      <c r="E26" s="101"/>
      <c r="F26" s="102"/>
      <c r="G26" s="21" t="str">
        <f ca="1">OFFSET(理科!C2,0,$B$2)</f>
        <v>A</v>
      </c>
      <c r="H26" s="110">
        <f ca="1">OFFSET(理科!C12,0,$B$2)</f>
        <v>5</v>
      </c>
      <c r="I26" s="111"/>
      <c r="O26" s="8">
        <v>21</v>
      </c>
      <c r="P26" s="52">
        <f t="shared" ca="1" si="0"/>
        <v>0</v>
      </c>
    </row>
    <row r="27" spans="1:16" ht="18.75" customHeight="1">
      <c r="A27" s="117"/>
      <c r="B27" s="103" t="str">
        <f>理科!B3</f>
        <v>実験の予想や結果、観察での気づきを、きちんと記録しまとめることができる</v>
      </c>
      <c r="C27" s="104"/>
      <c r="D27" s="104"/>
      <c r="E27" s="104"/>
      <c r="F27" s="105"/>
      <c r="G27" s="17" t="str">
        <f ca="1">OFFSET(理科!C3,0,$B$2)</f>
        <v>A</v>
      </c>
      <c r="H27" s="112"/>
      <c r="I27" s="113"/>
      <c r="O27" s="8">
        <v>22</v>
      </c>
      <c r="P27" s="52">
        <f t="shared" ca="1" si="0"/>
        <v>0</v>
      </c>
    </row>
    <row r="28" spans="1:16" ht="18.75" customHeight="1">
      <c r="A28" s="117"/>
      <c r="B28" s="103" t="str">
        <f>理科!B4</f>
        <v>春の身近な動物や植物の様子に気づき、理解することができる</v>
      </c>
      <c r="C28" s="104"/>
      <c r="D28" s="104"/>
      <c r="E28" s="104"/>
      <c r="F28" s="105"/>
      <c r="G28" s="17" t="str">
        <f ca="1">OFFSET(理科!C4,0,$B$2)</f>
        <v>A</v>
      </c>
      <c r="H28" s="112"/>
      <c r="I28" s="113"/>
      <c r="O28" s="8">
        <v>23</v>
      </c>
      <c r="P28" s="52">
        <f t="shared" ca="1" si="0"/>
        <v>0</v>
      </c>
    </row>
    <row r="29" spans="1:16" ht="18.75" customHeight="1">
      <c r="A29" s="117"/>
      <c r="B29" s="103" t="str">
        <f>理科!B5</f>
        <v>人や他の動物の骨や筋肉の動きについて、自らの体に触れた経験に基づき、理解することができる</v>
      </c>
      <c r="C29" s="104"/>
      <c r="D29" s="104"/>
      <c r="E29" s="104"/>
      <c r="F29" s="105"/>
      <c r="G29" s="17" t="str">
        <f ca="1">OFFSET(理科!C5,0,$B$2)</f>
        <v>A</v>
      </c>
      <c r="H29" s="112"/>
      <c r="I29" s="113"/>
      <c r="O29" s="8">
        <v>24</v>
      </c>
      <c r="P29" s="52">
        <f t="shared" ca="1" si="0"/>
        <v>0</v>
      </c>
    </row>
    <row r="30" spans="1:16" ht="18.75" customHeight="1">
      <c r="A30" s="117"/>
      <c r="B30" s="103" t="str">
        <f>理科!B6</f>
        <v>１日の天気の様子や気温の変化を理解することができる</v>
      </c>
      <c r="C30" s="104"/>
      <c r="D30" s="104"/>
      <c r="E30" s="104"/>
      <c r="F30" s="105"/>
      <c r="G30" s="17" t="str">
        <f ca="1">OFFSET(理科!C6,0,$B$2)</f>
        <v>A</v>
      </c>
      <c r="H30" s="112"/>
      <c r="I30" s="113"/>
      <c r="O30" s="8">
        <v>25</v>
      </c>
      <c r="P30" s="52">
        <f t="shared" ca="1" si="0"/>
        <v>0</v>
      </c>
    </row>
    <row r="31" spans="1:16" ht="18.75" customHeight="1">
      <c r="A31" s="117"/>
      <c r="B31" s="103" t="str">
        <f>理科!B7</f>
        <v>乾電池の数やつなぎ方を変えた時の、豆電球の明るさやモーターの動きの仕組みや変化を理解することができる</v>
      </c>
      <c r="C31" s="104"/>
      <c r="D31" s="104"/>
      <c r="E31" s="104"/>
      <c r="F31" s="105"/>
      <c r="G31" s="17" t="str">
        <f ca="1">OFFSET(理科!C7,0,$B$2)</f>
        <v>B</v>
      </c>
      <c r="H31" s="112"/>
      <c r="I31" s="113"/>
    </row>
    <row r="32" spans="1:16" ht="18.75" customHeight="1">
      <c r="A32" s="117"/>
      <c r="B32" s="103">
        <f>理科!B8</f>
        <v>0</v>
      </c>
      <c r="C32" s="104"/>
      <c r="D32" s="104"/>
      <c r="E32" s="104"/>
      <c r="F32" s="105"/>
      <c r="G32" s="17">
        <f ca="1">OFFSET(理科!C8,0,$B$2)</f>
        <v>0</v>
      </c>
      <c r="H32" s="112"/>
      <c r="I32" s="113"/>
    </row>
    <row r="33" spans="1:9" ht="18.75" customHeight="1">
      <c r="A33" s="117"/>
      <c r="B33" s="103">
        <f>理科!B9</f>
        <v>0</v>
      </c>
      <c r="C33" s="104"/>
      <c r="D33" s="104"/>
      <c r="E33" s="104"/>
      <c r="F33" s="105"/>
      <c r="G33" s="17">
        <f ca="1">OFFSET(理科!C9,0,$B$2)</f>
        <v>0</v>
      </c>
      <c r="H33" s="112"/>
      <c r="I33" s="113"/>
    </row>
    <row r="34" spans="1:9" ht="18.75" customHeight="1">
      <c r="A34" s="118"/>
      <c r="B34" s="103">
        <f>理科!B10</f>
        <v>0</v>
      </c>
      <c r="C34" s="104"/>
      <c r="D34" s="104"/>
      <c r="E34" s="104"/>
      <c r="F34" s="105"/>
      <c r="G34" s="18">
        <f ca="1">OFFSET(理科!C10,0,$B$2)</f>
        <v>0</v>
      </c>
      <c r="H34" s="112"/>
      <c r="I34" s="113"/>
    </row>
    <row r="35" spans="1:9" ht="18.75" customHeight="1">
      <c r="A35" s="116" t="s">
        <v>51</v>
      </c>
      <c r="B35" s="100" t="str">
        <f>社会!B2</f>
        <v>社会科への関心をもち、意欲的に学習に取り組んでいる</v>
      </c>
      <c r="C35" s="101"/>
      <c r="D35" s="101"/>
      <c r="E35" s="101"/>
      <c r="F35" s="102"/>
      <c r="G35" s="21" t="str">
        <f ca="1">OFFSET(社会!C2,0,$B$2)</f>
        <v>A</v>
      </c>
      <c r="H35" s="110">
        <f ca="1">OFFSET(社会!C12,0,$B$2)</f>
        <v>5</v>
      </c>
      <c r="I35" s="111"/>
    </row>
    <row r="36" spans="1:9" ht="18.75" customHeight="1">
      <c r="A36" s="117"/>
      <c r="B36" s="103" t="str">
        <f>社会!B3</f>
        <v>ノートやワークシートなどに自分の考えをまとめている</v>
      </c>
      <c r="C36" s="104"/>
      <c r="D36" s="104"/>
      <c r="E36" s="104"/>
      <c r="F36" s="105"/>
      <c r="G36" s="17" t="str">
        <f ca="1">OFFSET(社会!C3,0,$B$2)</f>
        <v>B</v>
      </c>
      <c r="H36" s="112"/>
      <c r="I36" s="113"/>
    </row>
    <row r="37" spans="1:9" ht="18.75" customHeight="1">
      <c r="A37" s="117"/>
      <c r="B37" s="103" t="str">
        <f>社会!B4</f>
        <v>社会科の資料・グラフに興味を持ち、読み取ることができる</v>
      </c>
      <c r="C37" s="104"/>
      <c r="D37" s="104"/>
      <c r="E37" s="104"/>
      <c r="F37" s="105"/>
      <c r="G37" s="17" t="str">
        <f ca="1">OFFSET(社会!C4,0,$B$2)</f>
        <v>A</v>
      </c>
      <c r="H37" s="112"/>
      <c r="I37" s="113"/>
    </row>
    <row r="38" spans="1:9" ht="18.75" customHeight="1">
      <c r="A38" s="117"/>
      <c r="B38" s="103" t="str">
        <f>社会!B5</f>
        <v>都道府県に興味をもち、理解している</v>
      </c>
      <c r="C38" s="104"/>
      <c r="D38" s="104"/>
      <c r="E38" s="104"/>
      <c r="F38" s="105"/>
      <c r="G38" s="17" t="str">
        <f ca="1">OFFSET(社会!C5,0,$B$2)</f>
        <v>A</v>
      </c>
      <c r="H38" s="112"/>
      <c r="I38" s="113"/>
    </row>
    <row r="39" spans="1:9" ht="18.75" customHeight="1">
      <c r="A39" s="117"/>
      <c r="B39" s="103" t="str">
        <f>社会!B6</f>
        <v>長野県の自然・地形・産業に興味を持ち、理解している</v>
      </c>
      <c r="C39" s="104"/>
      <c r="D39" s="104"/>
      <c r="E39" s="104"/>
      <c r="F39" s="105"/>
      <c r="G39" s="17" t="str">
        <f ca="1">OFFSET(社会!C6,0,$B$2)</f>
        <v>A</v>
      </c>
      <c r="H39" s="112"/>
      <c r="I39" s="113"/>
    </row>
    <row r="40" spans="1:9" ht="18.75" customHeight="1">
      <c r="A40" s="117"/>
      <c r="B40" s="103">
        <f>社会!B7</f>
        <v>0</v>
      </c>
      <c r="C40" s="104"/>
      <c r="D40" s="104"/>
      <c r="E40" s="104"/>
      <c r="F40" s="105"/>
      <c r="G40" s="17">
        <f ca="1">OFFSET(社会!C7,0,$B$2)</f>
        <v>0</v>
      </c>
      <c r="H40" s="112"/>
      <c r="I40" s="113"/>
    </row>
    <row r="41" spans="1:9" ht="18.75" customHeight="1">
      <c r="A41" s="117"/>
      <c r="B41" s="103">
        <f>社会!B8</f>
        <v>0</v>
      </c>
      <c r="C41" s="104"/>
      <c r="D41" s="104"/>
      <c r="E41" s="104"/>
      <c r="F41" s="105"/>
      <c r="G41" s="17">
        <f ca="1">OFFSET(社会!C8,0,$B$2)</f>
        <v>0</v>
      </c>
      <c r="H41" s="112"/>
      <c r="I41" s="113"/>
    </row>
    <row r="42" spans="1:9" ht="18.75" customHeight="1">
      <c r="A42" s="117"/>
      <c r="B42" s="103">
        <f>社会!B9</f>
        <v>0</v>
      </c>
      <c r="C42" s="104"/>
      <c r="D42" s="104"/>
      <c r="E42" s="104"/>
      <c r="F42" s="105"/>
      <c r="G42" s="17">
        <f ca="1">OFFSET(社会!C9,0,$B$2)</f>
        <v>0</v>
      </c>
      <c r="H42" s="112"/>
      <c r="I42" s="113"/>
    </row>
    <row r="43" spans="1:9" ht="18.75" customHeight="1">
      <c r="A43" s="118"/>
      <c r="B43" s="103">
        <f>社会!B10</f>
        <v>0</v>
      </c>
      <c r="C43" s="104"/>
      <c r="D43" s="104"/>
      <c r="E43" s="104"/>
      <c r="F43" s="105"/>
      <c r="G43" s="18">
        <f ca="1">OFFSET(社会!C10,0,$B$2)</f>
        <v>0</v>
      </c>
      <c r="H43" s="112"/>
      <c r="I43" s="113"/>
    </row>
    <row r="44" spans="1:9" ht="18.75" customHeight="1">
      <c r="A44" s="116" t="s">
        <v>9</v>
      </c>
      <c r="B44" s="100" t="str">
        <f>英語!B2</f>
        <v>英語学習に楽しみを感じ、意欲的に学習に励むことができる</v>
      </c>
      <c r="C44" s="101"/>
      <c r="D44" s="101"/>
      <c r="E44" s="101"/>
      <c r="F44" s="102"/>
      <c r="G44" s="21" t="str">
        <f ca="1">OFFSET(英語!C2,0,$B$2)</f>
        <v>A</v>
      </c>
      <c r="H44" s="110">
        <f ca="1">OFFSET(英語!C12,0,$B$2)</f>
        <v>5</v>
      </c>
      <c r="I44" s="111"/>
    </row>
    <row r="45" spans="1:9" ht="18.75" customHeight="1">
      <c r="A45" s="117"/>
      <c r="B45" s="103" t="str">
        <f>英語!B3</f>
        <v>既習した表現を元に、自分のことについてスピーチすることができる</v>
      </c>
      <c r="C45" s="104"/>
      <c r="D45" s="104"/>
      <c r="E45" s="104"/>
      <c r="F45" s="105"/>
      <c r="G45" s="17" t="str">
        <f ca="1">OFFSET(英語!C3,0,$B$2)</f>
        <v>A</v>
      </c>
      <c r="H45" s="112"/>
      <c r="I45" s="113"/>
    </row>
    <row r="46" spans="1:9" ht="18.75" customHeight="1">
      <c r="A46" s="117"/>
      <c r="B46" s="103" t="str">
        <f>英語!B4</f>
        <v>身の回りにあるもの（名詞）、日常生活の動作（動詞）、人や物を説明する言葉（形容詞）を習得することができる</v>
      </c>
      <c r="C46" s="104"/>
      <c r="D46" s="104"/>
      <c r="E46" s="104"/>
      <c r="F46" s="105"/>
      <c r="G46" s="17" t="str">
        <f ca="1">OFFSET(英語!C4,0,$B$2)</f>
        <v>A</v>
      </c>
      <c r="H46" s="112"/>
      <c r="I46" s="113"/>
    </row>
    <row r="47" spans="1:9" ht="18.75" customHeight="1">
      <c r="A47" s="117"/>
      <c r="B47" s="103" t="str">
        <f>英語!B5</f>
        <v>単語の発音を予想して読むことができる</v>
      </c>
      <c r="C47" s="104"/>
      <c r="D47" s="104"/>
      <c r="E47" s="104"/>
      <c r="F47" s="105"/>
      <c r="G47" s="17" t="str">
        <f ca="1">OFFSET(英語!C5,0,$B$2)</f>
        <v>A</v>
      </c>
      <c r="H47" s="112"/>
      <c r="I47" s="113"/>
    </row>
    <row r="48" spans="1:9" ht="18.75" customHeight="1">
      <c r="A48" s="117"/>
      <c r="B48" s="103" t="str">
        <f>英語!B6</f>
        <v>単語の音を聞いて、つづりを予想して書くことができる</v>
      </c>
      <c r="C48" s="104"/>
      <c r="D48" s="104"/>
      <c r="E48" s="104"/>
      <c r="F48" s="105"/>
      <c r="G48" s="17" t="str">
        <f ca="1">OFFSET(英語!C6,0,$B$2)</f>
        <v>A</v>
      </c>
      <c r="H48" s="112"/>
      <c r="I48" s="113"/>
    </row>
    <row r="49" spans="1:9" ht="18.75" customHeight="1">
      <c r="A49" s="117"/>
      <c r="B49" s="103">
        <f>英語!B7</f>
        <v>0</v>
      </c>
      <c r="C49" s="104"/>
      <c r="D49" s="104"/>
      <c r="E49" s="104"/>
      <c r="F49" s="105"/>
      <c r="G49" s="17">
        <f ca="1">OFFSET(英語!C7,0,$B$2)</f>
        <v>0</v>
      </c>
      <c r="H49" s="112"/>
      <c r="I49" s="113"/>
    </row>
    <row r="50" spans="1:9" ht="18.75" customHeight="1">
      <c r="A50" s="117"/>
      <c r="B50" s="103">
        <f>英語!B8</f>
        <v>0</v>
      </c>
      <c r="C50" s="104"/>
      <c r="D50" s="104"/>
      <c r="E50" s="104"/>
      <c r="F50" s="105"/>
      <c r="G50" s="17">
        <f ca="1">OFFSET(英語!C8,0,$B$2)</f>
        <v>0</v>
      </c>
      <c r="H50" s="112"/>
      <c r="I50" s="113"/>
    </row>
    <row r="51" spans="1:9" ht="18.75" customHeight="1">
      <c r="A51" s="117"/>
      <c r="B51" s="103">
        <f>英語!B9</f>
        <v>0</v>
      </c>
      <c r="C51" s="104"/>
      <c r="D51" s="104"/>
      <c r="E51" s="104"/>
      <c r="F51" s="105"/>
      <c r="G51" s="17">
        <f ca="1">OFFSET(英語!C9,0,$B$2)</f>
        <v>0</v>
      </c>
      <c r="H51" s="112"/>
      <c r="I51" s="113"/>
    </row>
    <row r="52" spans="1:9" ht="18.75" customHeight="1">
      <c r="A52" s="118"/>
      <c r="B52" s="103">
        <f>英語!B10</f>
        <v>0</v>
      </c>
      <c r="C52" s="104"/>
      <c r="D52" s="104"/>
      <c r="E52" s="104"/>
      <c r="F52" s="105"/>
      <c r="G52" s="18">
        <f ca="1">OFFSET(英語!C10,0,$B$2)</f>
        <v>0</v>
      </c>
      <c r="H52" s="112"/>
      <c r="I52" s="113"/>
    </row>
    <row r="53" spans="1:9" ht="30" customHeight="1">
      <c r="A53" s="6"/>
      <c r="B53" s="31"/>
      <c r="C53" s="10"/>
      <c r="D53" s="10"/>
      <c r="E53" s="10"/>
      <c r="F53" s="10"/>
      <c r="G53" s="6"/>
      <c r="H53" s="7"/>
      <c r="I53" s="7"/>
    </row>
    <row r="54" spans="1:9" ht="7.5" customHeight="1">
      <c r="A54" s="1"/>
      <c r="B54" s="32"/>
      <c r="C54" s="11"/>
      <c r="D54" s="11"/>
      <c r="E54" s="11"/>
      <c r="F54" s="11"/>
      <c r="G54" s="1"/>
      <c r="H54" s="3"/>
      <c r="I54" s="3"/>
    </row>
    <row r="55" spans="1:9" ht="18.75" customHeight="1">
      <c r="A55" s="116" t="s">
        <v>3</v>
      </c>
      <c r="B55" s="100" t="str">
        <f>音楽!B2</f>
        <v>音や音楽に関心をもち、進んで音楽表現や鑑賞の活動に取り組むことができる</v>
      </c>
      <c r="C55" s="101"/>
      <c r="D55" s="101"/>
      <c r="E55" s="101"/>
      <c r="F55" s="102"/>
      <c r="G55" s="21" t="str">
        <f ca="1">OFFSET(音楽!C2,0,$B$2)</f>
        <v>A</v>
      </c>
      <c r="H55" s="110">
        <f ca="1">OFFSET(音楽!C12,0,$B$2)</f>
        <v>4</v>
      </c>
      <c r="I55" s="111"/>
    </row>
    <row r="56" spans="1:9" ht="18.75" customHeight="1">
      <c r="A56" s="117"/>
      <c r="B56" s="103" t="str">
        <f>音楽!B3</f>
        <v>曲の特徴を生かし、お互いの声を聴き合いながら歌うことができる</v>
      </c>
      <c r="C56" s="104"/>
      <c r="D56" s="104"/>
      <c r="E56" s="104"/>
      <c r="F56" s="105"/>
      <c r="G56" s="17" t="str">
        <f ca="1">OFFSET(音楽!C3,0,$B$2)</f>
        <v>B</v>
      </c>
      <c r="H56" s="112"/>
      <c r="I56" s="113"/>
    </row>
    <row r="57" spans="1:9" ht="18.75" customHeight="1">
      <c r="A57" s="117"/>
      <c r="B57" s="103" t="str">
        <f>音楽!B4</f>
        <v>旋律の重なりを感じながら、様々な楽器用いて合奏することができる</v>
      </c>
      <c r="C57" s="104"/>
      <c r="D57" s="104"/>
      <c r="E57" s="104"/>
      <c r="F57" s="105"/>
      <c r="G57" s="17" t="str">
        <f ca="1">OFFSET(音楽!C4,0,$B$2)</f>
        <v>B</v>
      </c>
      <c r="H57" s="112"/>
      <c r="I57" s="113"/>
    </row>
    <row r="58" spans="1:9" ht="18.75" customHeight="1">
      <c r="A58" s="117"/>
      <c r="B58" s="103" t="str">
        <f>音楽!B5</f>
        <v>様子を思い浮かべたり、楽器の特徴を感じ取りながら楽曲を聴くことができる</v>
      </c>
      <c r="C58" s="104"/>
      <c r="D58" s="104"/>
      <c r="E58" s="104"/>
      <c r="F58" s="105"/>
      <c r="G58" s="17" t="str">
        <f ca="1">OFFSET(音楽!C5,0,$B$2)</f>
        <v>A</v>
      </c>
      <c r="H58" s="112"/>
      <c r="I58" s="113"/>
    </row>
    <row r="59" spans="1:9" ht="18.75" customHeight="1">
      <c r="A59" s="117"/>
      <c r="B59" s="103">
        <f>音楽!B6</f>
        <v>0</v>
      </c>
      <c r="C59" s="104"/>
      <c r="D59" s="104"/>
      <c r="E59" s="104"/>
      <c r="F59" s="105"/>
      <c r="G59" s="17">
        <f ca="1">OFFSET(音楽!C6,0,$B$2)</f>
        <v>0</v>
      </c>
      <c r="H59" s="112"/>
      <c r="I59" s="113"/>
    </row>
    <row r="60" spans="1:9" ht="18.75" customHeight="1">
      <c r="A60" s="117"/>
      <c r="B60" s="103">
        <f>音楽!B7</f>
        <v>0</v>
      </c>
      <c r="C60" s="104"/>
      <c r="D60" s="104"/>
      <c r="E60" s="104"/>
      <c r="F60" s="105"/>
      <c r="G60" s="17">
        <f ca="1">OFFSET(音楽!C7,0,$B$2)</f>
        <v>0</v>
      </c>
      <c r="H60" s="112"/>
      <c r="I60" s="113"/>
    </row>
    <row r="61" spans="1:9" ht="18.75" customHeight="1">
      <c r="A61" s="117"/>
      <c r="B61" s="103">
        <f>音楽!B8</f>
        <v>0</v>
      </c>
      <c r="C61" s="104"/>
      <c r="D61" s="104"/>
      <c r="E61" s="104"/>
      <c r="F61" s="105"/>
      <c r="G61" s="17">
        <f ca="1">OFFSET(音楽!C8,0,$B$2)</f>
        <v>0</v>
      </c>
      <c r="H61" s="112"/>
      <c r="I61" s="113"/>
    </row>
    <row r="62" spans="1:9" ht="18.75" customHeight="1">
      <c r="A62" s="117"/>
      <c r="B62" s="103">
        <f>音楽!B9</f>
        <v>0</v>
      </c>
      <c r="C62" s="104"/>
      <c r="D62" s="104"/>
      <c r="E62" s="104"/>
      <c r="F62" s="105"/>
      <c r="G62" s="17">
        <f ca="1">OFFSET(音楽!C9,0,$B$2)</f>
        <v>0</v>
      </c>
      <c r="H62" s="112"/>
      <c r="I62" s="113"/>
    </row>
    <row r="63" spans="1:9" ht="18.75" customHeight="1">
      <c r="A63" s="117"/>
      <c r="B63" s="103">
        <f>音楽!B10</f>
        <v>0</v>
      </c>
      <c r="C63" s="104"/>
      <c r="D63" s="104"/>
      <c r="E63" s="104"/>
      <c r="F63" s="105"/>
      <c r="G63" s="17">
        <f ca="1">OFFSET(音楽!C10,0,$B$2)</f>
        <v>0</v>
      </c>
      <c r="H63" s="112"/>
      <c r="I63" s="113"/>
    </row>
    <row r="64" spans="1:9" ht="18.75" customHeight="1">
      <c r="A64" s="118"/>
      <c r="B64" s="103">
        <f>音楽!B11</f>
        <v>0</v>
      </c>
      <c r="C64" s="104"/>
      <c r="D64" s="104"/>
      <c r="E64" s="104"/>
      <c r="F64" s="105"/>
      <c r="G64" s="18">
        <f ca="1">OFFSET(音楽!C11,0,$B$2)</f>
        <v>0</v>
      </c>
      <c r="H64" s="112"/>
      <c r="I64" s="113"/>
    </row>
    <row r="65" spans="1:14" ht="18.75" customHeight="1">
      <c r="A65" s="116" t="s">
        <v>1</v>
      </c>
      <c r="B65" s="100" t="str">
        <f>図工!B2</f>
        <v>図工への関心を持ち、楽しく制作に取り組んでいる</v>
      </c>
      <c r="C65" s="101"/>
      <c r="D65" s="101"/>
      <c r="E65" s="101"/>
      <c r="F65" s="102"/>
      <c r="G65" s="21" t="str">
        <f ca="1">OFFSET(図工!C2,0,$B$2)</f>
        <v>A</v>
      </c>
      <c r="H65" s="110">
        <f ca="1">OFFSET(図工!C12,0,$B$2)</f>
        <v>4</v>
      </c>
      <c r="I65" s="111"/>
    </row>
    <row r="66" spans="1:14" ht="18.75" customHeight="1">
      <c r="A66" s="117"/>
      <c r="B66" s="103" t="str">
        <f>図工!B3</f>
        <v>豊かな発想を持ち自由に表現することができる</v>
      </c>
      <c r="C66" s="104"/>
      <c r="D66" s="104"/>
      <c r="E66" s="104"/>
      <c r="F66" s="105"/>
      <c r="G66" s="17" t="str">
        <f ca="1">OFFSET(図工!C3,0,$B$2)</f>
        <v>A</v>
      </c>
      <c r="H66" s="112"/>
      <c r="I66" s="113"/>
    </row>
    <row r="67" spans="1:14" ht="18.75" customHeight="1">
      <c r="A67" s="117"/>
      <c r="B67" s="103" t="str">
        <f>図工!B4</f>
        <v>つくりたいもののイメージを持ち、それに向かって制作することができる</v>
      </c>
      <c r="C67" s="104"/>
      <c r="D67" s="104"/>
      <c r="E67" s="104"/>
      <c r="F67" s="105"/>
      <c r="G67" s="17" t="str">
        <f ca="1">OFFSET(図工!C4,0,$B$2)</f>
        <v>B</v>
      </c>
      <c r="H67" s="112"/>
      <c r="I67" s="113"/>
    </row>
    <row r="68" spans="1:14" ht="18.75" customHeight="1">
      <c r="A68" s="117"/>
      <c r="B68" s="103" t="str">
        <f>図工!B5</f>
        <v>自分や友達の作品から良さや面白さ、美しさを感じとることができる</v>
      </c>
      <c r="C68" s="104"/>
      <c r="D68" s="104"/>
      <c r="E68" s="104"/>
      <c r="F68" s="105"/>
      <c r="G68" s="17" t="str">
        <f ca="1">OFFSET(図工!C5,0,$B$2)</f>
        <v>A</v>
      </c>
      <c r="H68" s="112"/>
      <c r="I68" s="113"/>
    </row>
    <row r="69" spans="1:14" ht="18.75" customHeight="1">
      <c r="A69" s="117"/>
      <c r="B69" s="103">
        <f>図工!B6</f>
        <v>0</v>
      </c>
      <c r="C69" s="104"/>
      <c r="D69" s="104"/>
      <c r="E69" s="104"/>
      <c r="F69" s="105"/>
      <c r="G69" s="17">
        <f ca="1">OFFSET(図工!C6,0,$B$2)</f>
        <v>0</v>
      </c>
      <c r="H69" s="112"/>
      <c r="I69" s="113"/>
    </row>
    <row r="70" spans="1:14" ht="18.75" customHeight="1">
      <c r="A70" s="118"/>
      <c r="B70" s="103">
        <f>図工!B7</f>
        <v>0</v>
      </c>
      <c r="C70" s="104"/>
      <c r="D70" s="104"/>
      <c r="E70" s="104"/>
      <c r="F70" s="105"/>
      <c r="G70" s="18">
        <f ca="1">OFFSET(図工!C7,0,$B$2)</f>
        <v>0</v>
      </c>
      <c r="H70" s="112"/>
      <c r="I70" s="113"/>
    </row>
    <row r="71" spans="1:14" ht="18.75" customHeight="1">
      <c r="A71" s="116" t="s">
        <v>2</v>
      </c>
      <c r="B71" s="100" t="str">
        <f>体育!B2</f>
        <v>運動の行い方を工夫するとともに、考えたことを他者に伝えることができる</v>
      </c>
      <c r="C71" s="101"/>
      <c r="D71" s="101"/>
      <c r="E71" s="101"/>
      <c r="F71" s="102"/>
      <c r="G71" s="21" t="str">
        <f ca="1">OFFSET(体育!C2,0,$B$2)</f>
        <v>A</v>
      </c>
      <c r="H71" s="110">
        <f ca="1">OFFSET(体育!C12,0,$B$2)</f>
        <v>5</v>
      </c>
      <c r="I71" s="111"/>
    </row>
    <row r="72" spans="1:14" ht="18.75" customHeight="1">
      <c r="A72" s="117"/>
      <c r="B72" s="103" t="str">
        <f>体育!B3</f>
        <v>決まりを守り、誰とでも仲よく意欲的に運動ができる</v>
      </c>
      <c r="C72" s="104"/>
      <c r="D72" s="104"/>
      <c r="E72" s="104"/>
      <c r="F72" s="105"/>
      <c r="G72" s="17" t="str">
        <f ca="1">OFFSET(体育!C3,0,$B$2)</f>
        <v>A</v>
      </c>
      <c r="H72" s="112"/>
      <c r="I72" s="113"/>
    </row>
    <row r="73" spans="1:14" ht="18.75" customHeight="1">
      <c r="A73" s="117"/>
      <c r="B73" s="103" t="str">
        <f>体育!B4</f>
        <v>全身を使って、力強く走ることができる（短距離走）</v>
      </c>
      <c r="C73" s="104"/>
      <c r="D73" s="104"/>
      <c r="E73" s="104"/>
      <c r="F73" s="105"/>
      <c r="G73" s="17" t="str">
        <f ca="1">OFFSET(体育!C4,0,$B$2)</f>
        <v>A</v>
      </c>
      <c r="H73" s="112"/>
      <c r="I73" s="113"/>
    </row>
    <row r="74" spans="1:14" ht="18.75" customHeight="1">
      <c r="A74" s="117"/>
      <c r="B74" s="103" t="str">
        <f>体育!B5</f>
        <v>バトンの受け渡しがスムーズにできる（リレー）</v>
      </c>
      <c r="C74" s="104"/>
      <c r="D74" s="104"/>
      <c r="E74" s="104"/>
      <c r="F74" s="105"/>
      <c r="G74" s="17" t="str">
        <f ca="1">OFFSET(体育!C5,0,$B$2)</f>
        <v>A</v>
      </c>
      <c r="H74" s="112"/>
      <c r="I74" s="113"/>
    </row>
    <row r="75" spans="1:14" ht="18.75" customHeight="1">
      <c r="A75" s="117"/>
      <c r="B75" s="103" t="str">
        <f>体育!B6</f>
        <v>基本的なボール操作ができ、ルールを理解してゲームをすることができる（ベースボール型ゲーム）</v>
      </c>
      <c r="C75" s="104"/>
      <c r="D75" s="104"/>
      <c r="E75" s="104"/>
      <c r="F75" s="105"/>
      <c r="G75" s="17" t="str">
        <f ca="1">OFFSET(体育!C6,0,$B$2)</f>
        <v>A</v>
      </c>
      <c r="H75" s="112"/>
      <c r="I75" s="113"/>
    </row>
    <row r="76" spans="1:14" ht="18.75" customHeight="1">
      <c r="A76" s="117"/>
      <c r="B76" s="103">
        <f>体育!B7</f>
        <v>0</v>
      </c>
      <c r="C76" s="104"/>
      <c r="D76" s="104"/>
      <c r="E76" s="104"/>
      <c r="F76" s="105"/>
      <c r="G76" s="17">
        <f ca="1">OFFSET(体育!C7,0,$B$2)</f>
        <v>0</v>
      </c>
      <c r="H76" s="112"/>
      <c r="I76" s="113"/>
    </row>
    <row r="77" spans="1:14" ht="18.75" customHeight="1">
      <c r="A77" s="118"/>
      <c r="B77" s="124">
        <f>体育!B8</f>
        <v>0</v>
      </c>
      <c r="C77" s="125"/>
      <c r="D77" s="125"/>
      <c r="E77" s="125"/>
      <c r="F77" s="126"/>
      <c r="G77" s="18">
        <f ca="1">OFFSET(体育!C8,0,$B$2)</f>
        <v>0</v>
      </c>
      <c r="H77" s="119"/>
      <c r="I77" s="120"/>
      <c r="L77" s="14"/>
      <c r="M77" s="12"/>
    </row>
    <row r="78" spans="1:14" ht="95.25" customHeight="1">
      <c r="A78" s="23" t="s">
        <v>24</v>
      </c>
      <c r="B78" s="114" t="str">
        <f ca="1">INDIRECT("'道徳'!B"&amp;2+$B$2)</f>
        <v>教科書の内容を自分のこととして捉え、自己を振り返ることができました。「思いやりって」という単元では、「相手がどうしたいかを考えて、優しく接するることが思いやりだと思います。」という感想を持ち、これからの生活で「相手に共感すること。」を意識していこうと考えました。今後は、学んだことを普段の生活の中で活かしていけることを願っています。</v>
      </c>
      <c r="C78" s="114"/>
      <c r="D78" s="114"/>
      <c r="E78" s="114"/>
      <c r="F78" s="114"/>
      <c r="G78" s="114"/>
      <c r="H78" s="114"/>
      <c r="I78" s="115"/>
      <c r="L78" s="14"/>
      <c r="M78" s="30"/>
    </row>
    <row r="79" spans="1:14" ht="18.75" customHeight="1">
      <c r="D79" s="14"/>
      <c r="E79" s="12"/>
      <c r="L79" s="30"/>
      <c r="M79" s="30"/>
      <c r="N79" s="12"/>
    </row>
    <row r="80" spans="1:14" ht="18.75" customHeight="1">
      <c r="A80" s="97" t="s">
        <v>22</v>
      </c>
      <c r="B80" s="98"/>
      <c r="C80" s="98"/>
      <c r="D80" s="99"/>
      <c r="F80" s="97" t="s">
        <v>10</v>
      </c>
      <c r="G80" s="98"/>
      <c r="H80" s="98"/>
      <c r="I80" s="99"/>
      <c r="L80" s="30"/>
      <c r="M80" s="30"/>
      <c r="N80" s="30"/>
    </row>
    <row r="81" spans="1:14" ht="19.5" customHeight="1">
      <c r="A81" s="149" t="str">
        <f>所見!B2</f>
        <v>自分も相手も気持ちの良いあいさつをや返事を、自分から積極的にすることができる</v>
      </c>
      <c r="B81" s="150"/>
      <c r="C81" s="151"/>
      <c r="D81" s="27" t="str">
        <f ca="1">OFFSET(所見!C2,0,$B$2)</f>
        <v>A</v>
      </c>
      <c r="F81" s="127" t="s">
        <v>12</v>
      </c>
      <c r="G81" s="128"/>
      <c r="H81" s="128"/>
      <c r="I81" s="22">
        <f ca="1">OFFSET(出欠!C2,0,$B$2)</f>
        <v>76</v>
      </c>
      <c r="L81" s="30"/>
      <c r="M81" s="30"/>
      <c r="N81" s="30"/>
    </row>
    <row r="82" spans="1:14" ht="19.5" customHeight="1">
      <c r="A82" s="142" t="str">
        <f>所見!B3</f>
        <v>自ら時間や決まりを意識し、忘れ物をせず、けじめのある規則正しい生活をすることができる</v>
      </c>
      <c r="B82" s="143"/>
      <c r="C82" s="144"/>
      <c r="D82" s="13" t="str">
        <f ca="1">OFFSET(所見!C3,0,$B$2)</f>
        <v>A</v>
      </c>
      <c r="F82" s="108" t="s">
        <v>13</v>
      </c>
      <c r="G82" s="109"/>
      <c r="H82" s="109"/>
      <c r="I82" s="13">
        <f ca="1">OFFSET(出欠!C3,0,$B$2)</f>
        <v>0</v>
      </c>
      <c r="L82" s="30"/>
      <c r="M82" s="30"/>
      <c r="N82" s="30"/>
    </row>
    <row r="83" spans="1:14" ht="19.5" customHeight="1">
      <c r="A83" s="142" t="str">
        <f>所見!B4</f>
        <v>身の回りの環境に気を配り、進んで整理整頓をすることができる</v>
      </c>
      <c r="B83" s="143"/>
      <c r="C83" s="144"/>
      <c r="D83" s="13" t="str">
        <f ca="1">OFFSET(所見!C4,0,$B$2)</f>
        <v>B</v>
      </c>
      <c r="F83" s="148" t="s">
        <v>20</v>
      </c>
      <c r="G83" s="104"/>
      <c r="H83" s="105"/>
      <c r="I83" s="13">
        <f ca="1">OFFSET(出欠!C4,0,$B$2)</f>
        <v>76</v>
      </c>
      <c r="L83" s="30"/>
      <c r="M83" s="30"/>
      <c r="N83" s="30"/>
    </row>
    <row r="84" spans="1:14" ht="19.5" customHeight="1">
      <c r="A84" s="142" t="str">
        <f>所見!B5</f>
        <v>心身の健康に気をつけ、運動する習慣や良い姿勢を身につけ、元気に生活することができる</v>
      </c>
      <c r="B84" s="143"/>
      <c r="C84" s="144"/>
      <c r="D84" s="13" t="str">
        <f ca="1">OFFSET(所見!C5,0,$B$2)</f>
        <v>A</v>
      </c>
      <c r="F84" s="108" t="s">
        <v>14</v>
      </c>
      <c r="G84" s="109"/>
      <c r="H84" s="109"/>
      <c r="I84" s="13">
        <f ca="1">OFFSET(出欠!C5,0,$B$2)</f>
        <v>72</v>
      </c>
      <c r="L84" s="30"/>
      <c r="M84" s="30"/>
      <c r="N84" s="30"/>
    </row>
    <row r="85" spans="1:14" ht="19.5" customHeight="1">
      <c r="A85" s="142" t="str">
        <f>所見!B6</f>
        <v>自らの目標を持って進んで行い、最後までねばり強くやり通すことができる</v>
      </c>
      <c r="B85" s="143"/>
      <c r="C85" s="144"/>
      <c r="D85" s="13" t="str">
        <f ca="1">OFFSET(所見!C6,0,$B$2)</f>
        <v>B</v>
      </c>
      <c r="F85" s="108" t="s">
        <v>21</v>
      </c>
      <c r="G85" s="109"/>
      <c r="H85" s="109"/>
      <c r="I85" s="13">
        <f ca="1">OFFSET(出欠!C6,0,$B$2)</f>
        <v>4</v>
      </c>
      <c r="L85" s="70">
        <f>番号</f>
        <v>12</v>
      </c>
      <c r="M85" s="30"/>
      <c r="N85" s="30"/>
    </row>
    <row r="86" spans="1:14" ht="19.5" customHeight="1">
      <c r="A86" s="142" t="str">
        <f>所見!B7</f>
        <v>自分の言動に責任を持ち、課せられた役割を責任を持って行うことができる</v>
      </c>
      <c r="B86" s="143"/>
      <c r="C86" s="144"/>
      <c r="D86" s="13" t="str">
        <f ca="1">OFFSET(所見!C7,0,$B$2)</f>
        <v>A</v>
      </c>
      <c r="F86" s="108" t="s">
        <v>15</v>
      </c>
      <c r="G86" s="109"/>
      <c r="H86" s="109"/>
      <c r="I86" s="13">
        <f ca="1">OFFSET(出欠!C7,0,$B$2)</f>
        <v>3</v>
      </c>
      <c r="L86" s="30"/>
      <c r="M86" s="30"/>
      <c r="N86" s="30"/>
    </row>
    <row r="87" spans="1:14" ht="19.5" customHeight="1">
      <c r="A87" s="142" t="str">
        <f>所見!B8</f>
        <v>自分でよく考え、課題意識を持って工夫して取り組むことができる</v>
      </c>
      <c r="B87" s="143"/>
      <c r="C87" s="144"/>
      <c r="D87" s="13" t="str">
        <f ca="1">OFFSET(所見!C8,0,$B$2)</f>
        <v>B</v>
      </c>
      <c r="F87" s="108" t="s">
        <v>16</v>
      </c>
      <c r="G87" s="109"/>
      <c r="H87" s="109"/>
      <c r="I87" s="13">
        <f ca="1">OFFSET(出欠!C8,0,$B$2)</f>
        <v>2</v>
      </c>
      <c r="L87" s="30"/>
      <c r="M87" s="30"/>
      <c r="N87" s="30"/>
    </row>
    <row r="88" spans="1:14" ht="19.5" customHeight="1">
      <c r="A88" s="142" t="str">
        <f>所見!B9</f>
        <v>相手の気持ちや立場を理解して、誰に対しても公平に仲良く支え合うことができる</v>
      </c>
      <c r="B88" s="143"/>
      <c r="C88" s="144"/>
      <c r="D88" s="15" t="str">
        <f ca="1">OFFSET(所見!C9,0,$B$2)</f>
        <v>A</v>
      </c>
      <c r="F88" s="133" t="str">
        <f ca="1">"備考： "&amp;INDIRECT("'出欠'!B"&amp;9+$B$2)</f>
        <v>備考： 欠席４（家事都合４）遅刻３（体調不良２ 家事都合１）早退２（家事都合２）</v>
      </c>
      <c r="G88" s="134"/>
      <c r="H88" s="134"/>
      <c r="I88" s="135"/>
      <c r="L88" s="30"/>
      <c r="M88" s="30"/>
      <c r="N88" s="30"/>
    </row>
    <row r="89" spans="1:14" ht="19.5" customHeight="1">
      <c r="A89" s="142" t="str">
        <f>所見!B10</f>
        <v>生命や自然の素晴らしさに感動し、自他の生命を大切にすることができる</v>
      </c>
      <c r="B89" s="143"/>
      <c r="C89" s="144"/>
      <c r="D89" s="15" t="str">
        <f ca="1">OFFSET(所見!C10,0,$B$2)</f>
        <v>A</v>
      </c>
      <c r="F89" s="136"/>
      <c r="G89" s="137"/>
      <c r="H89" s="137"/>
      <c r="I89" s="138"/>
      <c r="L89" s="30"/>
      <c r="M89" s="30"/>
      <c r="N89" s="30"/>
    </row>
    <row r="90" spans="1:14" ht="19.5" customHeight="1">
      <c r="A90" s="145" t="str">
        <f>所見!B11</f>
        <v>働くことの大切さを知り、進んで最後まで一生懸命に働くことができる</v>
      </c>
      <c r="B90" s="146"/>
      <c r="C90" s="147"/>
      <c r="D90" s="16" t="str">
        <f ca="1">OFFSET(所見!C11,0,$B$2)</f>
        <v>A</v>
      </c>
      <c r="F90" s="139"/>
      <c r="G90" s="140"/>
      <c r="H90" s="140"/>
      <c r="I90" s="141"/>
      <c r="L90" s="30"/>
      <c r="M90" s="30"/>
      <c r="N90" s="25"/>
    </row>
    <row r="91" spans="1:14" ht="18.75" customHeight="1">
      <c r="A91" s="26"/>
      <c r="B91" s="28"/>
      <c r="C91" s="28"/>
      <c r="D91" s="29"/>
      <c r="F91" s="24"/>
      <c r="G91" s="24"/>
      <c r="H91" s="24"/>
      <c r="I91" s="24"/>
      <c r="L91" s="25"/>
      <c r="M91" s="25"/>
      <c r="N91" s="25"/>
    </row>
    <row r="92" spans="1:14" ht="39" customHeight="1">
      <c r="A92" s="129" t="s">
        <v>23</v>
      </c>
      <c r="B92" s="130"/>
      <c r="C92" s="131" t="str">
        <f ca="1">INDIRECT("'所見'!B"&amp;12+$B$2)</f>
        <v>副学級長</v>
      </c>
      <c r="D92" s="131"/>
      <c r="E92" s="131"/>
      <c r="F92" s="131"/>
      <c r="G92" s="131"/>
      <c r="H92" s="131"/>
      <c r="I92" s="132"/>
      <c r="L92" s="25"/>
      <c r="M92" s="25"/>
    </row>
    <row r="93" spans="1:14" ht="18.75" customHeight="1">
      <c r="C93" s="14"/>
    </row>
    <row r="94" spans="1:14" ht="177" customHeight="1">
      <c r="A94" s="23" t="s">
        <v>11</v>
      </c>
      <c r="B94" s="94" t="str">
        <f ca="1">INDIRECT("'所見'!B"&amp;$Q$5+$B$2)</f>
        <v>学習面では、理解力があり、基本的な学力を着実に身につけました。国語では、漢字テストや単元テスト、模試でも高得点をとることができました。発言する機会も多いです。一方、漢字を丁寧に書くことを心がけてほしいと思います。算数では、興味関心が高く、上の学年の内容もよく知っています。更に文字をきちんと書く、見直しをするなど、丁寧な取り組み方ができるようになると、ケアレスミスを減らすことができ、成績も伸びるはずです。時折、授業に集中力が欠けることが見られるました。でも、指摘されるときちんと分かる成悟君です。２学期は改善していきましょう。生活面では、副学級長として、学級会でリーダーシップを発揮し、みんなの意見をまとめたり、連絡帳、自主勉強の提出の声かけをしたりして、クラスのみんなを引っ張りました。ファーストステップ会などでの挨拶も、堂々と行うことができ素晴らしかったです。とても素直で、みんなの信頼も厚いので、引き続き誠実な行動を期待しています。２学期の更なる成長を楽しみにしています。</v>
      </c>
      <c r="C94" s="95"/>
      <c r="D94" s="95"/>
      <c r="E94" s="95"/>
      <c r="F94" s="95"/>
      <c r="G94" s="95"/>
      <c r="H94" s="95"/>
      <c r="I94" s="96"/>
    </row>
  </sheetData>
  <mergeCells count="117">
    <mergeCell ref="H35:I43"/>
    <mergeCell ref="B36:F36"/>
    <mergeCell ref="B37:F37"/>
    <mergeCell ref="B38:F38"/>
    <mergeCell ref="B39:F39"/>
    <mergeCell ref="B40:F40"/>
    <mergeCell ref="B41:F41"/>
    <mergeCell ref="B42:F42"/>
    <mergeCell ref="B43:F43"/>
    <mergeCell ref="A92:B92"/>
    <mergeCell ref="C92:I92"/>
    <mergeCell ref="F88:I90"/>
    <mergeCell ref="A88:C88"/>
    <mergeCell ref="A89:C89"/>
    <mergeCell ref="A90:C90"/>
    <mergeCell ref="A80:D80"/>
    <mergeCell ref="F83:H83"/>
    <mergeCell ref="F82:H82"/>
    <mergeCell ref="F86:H86"/>
    <mergeCell ref="F87:H87"/>
    <mergeCell ref="F80:I80"/>
    <mergeCell ref="F84:H84"/>
    <mergeCell ref="A81:C81"/>
    <mergeCell ref="A82:C82"/>
    <mergeCell ref="A83:C83"/>
    <mergeCell ref="A84:C84"/>
    <mergeCell ref="A85:C85"/>
    <mergeCell ref="A86:C86"/>
    <mergeCell ref="A87:C87"/>
    <mergeCell ref="A55:A64"/>
    <mergeCell ref="B55:F55"/>
    <mergeCell ref="B56:F56"/>
    <mergeCell ref="B57:F57"/>
    <mergeCell ref="B58:F58"/>
    <mergeCell ref="B70:F70"/>
    <mergeCell ref="A65:A70"/>
    <mergeCell ref="B65:F65"/>
    <mergeCell ref="B66:F66"/>
    <mergeCell ref="B67:F67"/>
    <mergeCell ref="B69:F69"/>
    <mergeCell ref="B62:F62"/>
    <mergeCell ref="B9:F9"/>
    <mergeCell ref="B10:F10"/>
    <mergeCell ref="B11:F11"/>
    <mergeCell ref="B12:F12"/>
    <mergeCell ref="B13:F13"/>
    <mergeCell ref="B68:F68"/>
    <mergeCell ref="B23:F23"/>
    <mergeCell ref="B16:F16"/>
    <mergeCell ref="B17:F17"/>
    <mergeCell ref="B18:F18"/>
    <mergeCell ref="B19:F19"/>
    <mergeCell ref="B20:F20"/>
    <mergeCell ref="B21:F21"/>
    <mergeCell ref="B22:F22"/>
    <mergeCell ref="B51:F51"/>
    <mergeCell ref="B24:F24"/>
    <mergeCell ref="B31:F31"/>
    <mergeCell ref="B32:F32"/>
    <mergeCell ref="B35:F35"/>
    <mergeCell ref="B77:F77"/>
    <mergeCell ref="B71:F71"/>
    <mergeCell ref="B72:F72"/>
    <mergeCell ref="B73:F73"/>
    <mergeCell ref="F81:H81"/>
    <mergeCell ref="A71:A77"/>
    <mergeCell ref="B74:F74"/>
    <mergeCell ref="B75:F75"/>
    <mergeCell ref="B76:F76"/>
    <mergeCell ref="A1:B1"/>
    <mergeCell ref="C1:G1"/>
    <mergeCell ref="G2:I2"/>
    <mergeCell ref="H6:I15"/>
    <mergeCell ref="A6:A15"/>
    <mergeCell ref="B48:F48"/>
    <mergeCell ref="B49:F49"/>
    <mergeCell ref="H44:I52"/>
    <mergeCell ref="H16:I25"/>
    <mergeCell ref="H26:I34"/>
    <mergeCell ref="B14:F14"/>
    <mergeCell ref="B15:F15"/>
    <mergeCell ref="B25:F25"/>
    <mergeCell ref="A26:A34"/>
    <mergeCell ref="B26:F26"/>
    <mergeCell ref="B27:F27"/>
    <mergeCell ref="B28:F28"/>
    <mergeCell ref="B29:F29"/>
    <mergeCell ref="A44:A52"/>
    <mergeCell ref="B44:F44"/>
    <mergeCell ref="B45:F45"/>
    <mergeCell ref="B46:F46"/>
    <mergeCell ref="B47:F47"/>
    <mergeCell ref="A35:A43"/>
    <mergeCell ref="K7:L7"/>
    <mergeCell ref="B94:I94"/>
    <mergeCell ref="A4:I4"/>
    <mergeCell ref="B6:F6"/>
    <mergeCell ref="B7:F7"/>
    <mergeCell ref="B8:F8"/>
    <mergeCell ref="H5:I5"/>
    <mergeCell ref="F85:H85"/>
    <mergeCell ref="H65:I70"/>
    <mergeCell ref="H55:I64"/>
    <mergeCell ref="B50:F50"/>
    <mergeCell ref="B61:F61"/>
    <mergeCell ref="B30:F30"/>
    <mergeCell ref="B33:F33"/>
    <mergeCell ref="B34:F34"/>
    <mergeCell ref="B52:F52"/>
    <mergeCell ref="B59:F59"/>
    <mergeCell ref="B60:F60"/>
    <mergeCell ref="B63:F63"/>
    <mergeCell ref="B64:F64"/>
    <mergeCell ref="B5:F5"/>
    <mergeCell ref="B78:I78"/>
    <mergeCell ref="A16:A25"/>
    <mergeCell ref="H71:I77"/>
  </mergeCells>
  <phoneticPr fontId="1"/>
  <conditionalFormatting sqref="F88 B94 D81:D91 A81:A91 C92 B6:B30 C53:F54 G6:G30 L87:M92 N80:N91 B44:B52 B55:B61 G44:G61 G33:G34 B33:B34 G64:G77 B64:B78">
    <cfRule type="cellIs" dxfId="19" priority="6" stopIfTrue="1" operator="equal">
      <formula>0</formula>
    </cfRule>
  </conditionalFormatting>
  <conditionalFormatting sqref="G31:G32 B31:B32">
    <cfRule type="cellIs" dxfId="18" priority="5" stopIfTrue="1" operator="equal">
      <formula>0</formula>
    </cfRule>
  </conditionalFormatting>
  <conditionalFormatting sqref="B35:B43 G35:G43">
    <cfRule type="cellIs" dxfId="17" priority="4" stopIfTrue="1" operator="equal">
      <formula>0</formula>
    </cfRule>
  </conditionalFormatting>
  <conditionalFormatting sqref="B62:B63 G62:G63">
    <cfRule type="cellIs" dxfId="16" priority="3" stopIfTrue="1" operator="equal">
      <formula>0</formula>
    </cfRule>
  </conditionalFormatting>
  <conditionalFormatting sqref="L79:M86 M78">
    <cfRule type="cellIs" dxfId="15" priority="2" stopIfTrue="1" operator="equal">
      <formula>0</formula>
    </cfRule>
  </conditionalFormatting>
  <conditionalFormatting sqref="L17:M20">
    <cfRule type="cellIs" dxfId="14" priority="1" stopIfTrue="1" operator="equal">
      <formula>0</formula>
    </cfRule>
  </conditionalFormatting>
  <printOptions horizontalCentered="1"/>
  <pageMargins left="0.59055118110236227" right="0.19685039370078741" top="0.39370078740157483" bottom="0.39370078740157483" header="0.35433070866141736" footer="0.19685039370078741"/>
  <pageSetup paperSize="13" scale="70" fitToHeight="2" orientation="portrait" horizontalDpi="300" verticalDpi="300" r:id="rId1"/>
  <headerFooter alignWithMargins="0"/>
  <rowBreaks count="1" manualBreakCount="1">
    <brk id="53"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元データ取込">
                <anchor moveWithCells="1" sizeWithCells="1">
                  <from>
                    <xdr:col>9</xdr:col>
                    <xdr:colOff>571500</xdr:colOff>
                    <xdr:row>4</xdr:row>
                    <xdr:rowOff>28575</xdr:rowOff>
                  </from>
                  <to>
                    <xdr:col>12</xdr:col>
                    <xdr:colOff>123825</xdr:colOff>
                    <xdr:row>5</xdr:row>
                    <xdr:rowOff>95250</xdr:rowOff>
                  </to>
                </anchor>
              </controlPr>
            </control>
          </mc:Choice>
        </mc:AlternateContent>
        <mc:AlternateContent xmlns:mc="http://schemas.openxmlformats.org/markup-compatibility/2006">
          <mc:Choice Requires="x14">
            <control shapeId="1026" r:id="rId5" name="Button 2">
              <controlPr defaultSize="0" print="0" autoFill="0" autoPict="0" macro="[0]!通知票印刷">
                <anchor moveWithCells="1" sizeWithCells="1">
                  <from>
                    <xdr:col>9</xdr:col>
                    <xdr:colOff>571500</xdr:colOff>
                    <xdr:row>10</xdr:row>
                    <xdr:rowOff>76200</xdr:rowOff>
                  </from>
                  <to>
                    <xdr:col>12</xdr:col>
                    <xdr:colOff>161925</xdr:colOff>
                    <xdr:row>11</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所見集印刷">
                <anchor moveWithCells="1" sizeWithCells="1">
                  <from>
                    <xdr:col>9</xdr:col>
                    <xdr:colOff>571500</xdr:colOff>
                    <xdr:row>12</xdr:row>
                    <xdr:rowOff>47625</xdr:rowOff>
                  </from>
                  <to>
                    <xdr:col>12</xdr:col>
                    <xdr:colOff>161925</xdr:colOff>
                    <xdr:row>13</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前">
                <anchor moveWithCells="1" sizeWithCells="1">
                  <from>
                    <xdr:col>10</xdr:col>
                    <xdr:colOff>66675</xdr:colOff>
                    <xdr:row>83</xdr:row>
                    <xdr:rowOff>200025</xdr:rowOff>
                  </from>
                  <to>
                    <xdr:col>11</xdr:col>
                    <xdr:colOff>9525</xdr:colOff>
                    <xdr:row>85</xdr:row>
                    <xdr:rowOff>19050</xdr:rowOff>
                  </to>
                </anchor>
              </controlPr>
            </control>
          </mc:Choice>
        </mc:AlternateContent>
        <mc:AlternateContent xmlns:mc="http://schemas.openxmlformats.org/markup-compatibility/2006">
          <mc:Choice Requires="x14">
            <control shapeId="1029" r:id="rId8" name="Button 5">
              <controlPr defaultSize="0" print="0" autoFill="0" autoPict="0" macro="[0]!先">
                <anchor moveWithCells="1" sizeWithCells="1">
                  <from>
                    <xdr:col>12</xdr:col>
                    <xdr:colOff>133350</xdr:colOff>
                    <xdr:row>83</xdr:row>
                    <xdr:rowOff>200025</xdr:rowOff>
                  </from>
                  <to>
                    <xdr:col>12</xdr:col>
                    <xdr:colOff>438150</xdr:colOff>
                    <xdr:row>85</xdr:row>
                    <xdr:rowOff>19050</xdr:rowOff>
                  </to>
                </anchor>
              </controlPr>
            </control>
          </mc:Choice>
        </mc:AlternateContent>
        <mc:AlternateContent xmlns:mc="http://schemas.openxmlformats.org/markup-compatibility/2006">
          <mc:Choice Requires="x14">
            <control shapeId="1030" r:id="rId9" name="Button 6">
              <controlPr defaultSize="0" print="0" autoFill="0" autoPict="0" macro="[0]!前">
                <anchor moveWithCells="1" sizeWithCells="1">
                  <from>
                    <xdr:col>10</xdr:col>
                    <xdr:colOff>66675</xdr:colOff>
                    <xdr:row>17</xdr:row>
                    <xdr:rowOff>200025</xdr:rowOff>
                  </from>
                  <to>
                    <xdr:col>11</xdr:col>
                    <xdr:colOff>9525</xdr:colOff>
                    <xdr:row>19</xdr:row>
                    <xdr:rowOff>19050</xdr:rowOff>
                  </to>
                </anchor>
              </controlPr>
            </control>
          </mc:Choice>
        </mc:AlternateContent>
        <mc:AlternateContent xmlns:mc="http://schemas.openxmlformats.org/markup-compatibility/2006">
          <mc:Choice Requires="x14">
            <control shapeId="1031" r:id="rId10" name="Button 7">
              <controlPr defaultSize="0" print="0" autoFill="0" autoPict="0" macro="[0]!先">
                <anchor moveWithCells="1" sizeWithCells="1">
                  <from>
                    <xdr:col>12</xdr:col>
                    <xdr:colOff>133350</xdr:colOff>
                    <xdr:row>17</xdr:row>
                    <xdr:rowOff>200025</xdr:rowOff>
                  </from>
                  <to>
                    <xdr:col>12</xdr:col>
                    <xdr:colOff>438150</xdr:colOff>
                    <xdr:row>19</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pageSetUpPr fitToPage="1"/>
  </sheetPr>
  <dimension ref="A1:C15"/>
  <sheetViews>
    <sheetView view="pageBreakPreview" zoomScaleNormal="70" zoomScaleSheetLayoutView="100" workbookViewId="0">
      <selection activeCell="C16" sqref="C16"/>
    </sheetView>
  </sheetViews>
  <sheetFormatPr defaultRowHeight="13.5"/>
  <cols>
    <col min="1" max="2" width="4.25" style="8" customWidth="1"/>
    <col min="3" max="3" width="95" style="8" customWidth="1"/>
    <col min="4" max="16384" width="9" style="8"/>
  </cols>
  <sheetData>
    <row r="1" spans="1:3" ht="18.75" customHeight="1">
      <c r="A1" s="152" t="str">
        <f ca="1">通知票!A1</f>
        <v>４－２</v>
      </c>
      <c r="B1" s="121"/>
      <c r="C1" s="53" t="str">
        <f ca="1">通知票!C1</f>
        <v>1学期</v>
      </c>
    </row>
    <row r="2" spans="1:3" ht="18.75" customHeight="1">
      <c r="A2" s="54" t="s">
        <v>43</v>
      </c>
      <c r="B2" s="53">
        <v>21</v>
      </c>
      <c r="C2" s="65">
        <f ca="1">INDIRECT("'所見'!A"&amp;12+$B$2)</f>
        <v>0</v>
      </c>
    </row>
    <row r="3" spans="1:3" ht="12" customHeight="1">
      <c r="C3" s="9"/>
    </row>
    <row r="4" spans="1:3" ht="18.75" customHeight="1">
      <c r="A4" s="55" t="s">
        <v>4</v>
      </c>
      <c r="B4" s="56" t="s">
        <v>6</v>
      </c>
      <c r="C4" s="22" t="s">
        <v>44</v>
      </c>
    </row>
    <row r="5" spans="1:3" ht="67.5" customHeight="1">
      <c r="A5" s="57" t="s">
        <v>8</v>
      </c>
      <c r="B5" s="58">
        <f ca="1">OFFSET(国語!C12,0,$B$2)</f>
        <v>0</v>
      </c>
      <c r="C5" s="59">
        <f ca="1">INDIRECT("'国語'!B"&amp;14+$B$2)</f>
        <v>0</v>
      </c>
    </row>
    <row r="6" spans="1:3" ht="67.5" customHeight="1">
      <c r="A6" s="60" t="s">
        <v>0</v>
      </c>
      <c r="B6" s="61">
        <f ca="1">OFFSET(算数!C12,0,$B$2)</f>
        <v>0</v>
      </c>
      <c r="C6" s="62">
        <f ca="1">INDIRECT("'算数'!B"&amp;14+$B$2)</f>
        <v>0</v>
      </c>
    </row>
    <row r="7" spans="1:3" ht="67.5" customHeight="1">
      <c r="A7" s="57" t="s">
        <v>50</v>
      </c>
      <c r="B7" s="58">
        <f ca="1">OFFSET(理科!C12,0,$B$2)</f>
        <v>0</v>
      </c>
      <c r="C7" s="59">
        <f ca="1">INDIRECT("'理科'!B"&amp;14+$B$2)</f>
        <v>0</v>
      </c>
    </row>
    <row r="8" spans="1:3" ht="67.5" customHeight="1">
      <c r="A8" s="57" t="s">
        <v>51</v>
      </c>
      <c r="B8" s="58">
        <f ca="1">OFFSET(社会!C12,0,$B$2)</f>
        <v>0</v>
      </c>
      <c r="C8" s="59">
        <f ca="1">INDIRECT("'社会'!B"&amp;14+$B$2)</f>
        <v>0</v>
      </c>
    </row>
    <row r="9" spans="1:3" ht="67.5" customHeight="1">
      <c r="A9" s="60" t="s">
        <v>9</v>
      </c>
      <c r="B9" s="61">
        <f ca="1">OFFSET(英語!C12,0,$B$2)</f>
        <v>0</v>
      </c>
      <c r="C9" s="62">
        <f ca="1">INDIRECT("'英語'!B"&amp;14+$B$2)</f>
        <v>0</v>
      </c>
    </row>
    <row r="10" spans="1:3" ht="67.5" customHeight="1">
      <c r="A10" s="57" t="s">
        <v>3</v>
      </c>
      <c r="B10" s="58">
        <f ca="1">OFFSET(音楽!C12,0,$B$2)</f>
        <v>0</v>
      </c>
      <c r="C10" s="59">
        <f ca="1">INDIRECT("'音楽'!B"&amp;14+$B$2)</f>
        <v>0</v>
      </c>
    </row>
    <row r="11" spans="1:3" ht="67.5" customHeight="1">
      <c r="A11" s="60" t="s">
        <v>1</v>
      </c>
      <c r="B11" s="61">
        <f ca="1">OFFSET(図工!C12,0,$B$2)</f>
        <v>0</v>
      </c>
      <c r="C11" s="62">
        <f ca="1">INDIRECT("'図工'!B"&amp;14+$B$2)</f>
        <v>0</v>
      </c>
    </row>
    <row r="12" spans="1:3" ht="67.5" customHeight="1">
      <c r="A12" s="57" t="s">
        <v>2</v>
      </c>
      <c r="B12" s="58">
        <f ca="1">OFFSET(体育!C12,0,$B$2)</f>
        <v>0</v>
      </c>
      <c r="C12" s="59">
        <f ca="1">INDIRECT("'体育'!B"&amp;14+$B$2)</f>
        <v>0</v>
      </c>
    </row>
    <row r="13" spans="1:3" ht="67.5" customHeight="1">
      <c r="A13" s="57" t="s">
        <v>24</v>
      </c>
      <c r="B13" s="153">
        <f ca="1">INDIRECT("'道徳'!B"&amp;2+$B$2)</f>
        <v>0</v>
      </c>
      <c r="C13" s="154"/>
    </row>
    <row r="14" spans="1:3" ht="18.75" customHeight="1">
      <c r="C14" s="63"/>
    </row>
    <row r="15" spans="1:3" ht="210" customHeight="1">
      <c r="A15" s="23" t="s">
        <v>11</v>
      </c>
      <c r="B15" s="64"/>
      <c r="C15" s="59">
        <f ca="1">INDIRECT("'所見'!B"&amp;通知票!$Q$5+B2)</f>
        <v>0</v>
      </c>
    </row>
  </sheetData>
  <mergeCells count="2">
    <mergeCell ref="A1:B1"/>
    <mergeCell ref="B13:C13"/>
  </mergeCells>
  <phoneticPr fontId="1"/>
  <conditionalFormatting sqref="C15 C5:C7 C9:C12">
    <cfRule type="cellIs" dxfId="13" priority="2" stopIfTrue="1" operator="equal">
      <formula>0</formula>
    </cfRule>
  </conditionalFormatting>
  <conditionalFormatting sqref="C8">
    <cfRule type="cellIs" dxfId="12" priority="1" stopIfTrue="1" operator="equal">
      <formula>0</formula>
    </cfRule>
  </conditionalFormatting>
  <printOptions horizontalCentered="1"/>
  <pageMargins left="0.59055118110236227" right="0.39370078740157483" top="0.39370078740157483" bottom="0.39370078740157483" header="0.35433070866141736" footer="0.19685039370078741"/>
  <pageSetup paperSize="9" scale="92" orientation="portrait" horizontalDpi="4294967293"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AA190"/>
  <sheetViews>
    <sheetView workbookViewId="0">
      <selection sqref="A1:XFD1048576"/>
    </sheetView>
  </sheetViews>
  <sheetFormatPr defaultColWidth="9" defaultRowHeight="13.5"/>
  <cols>
    <col min="1" max="1" width="13.5" style="76" customWidth="1"/>
    <col min="2" max="2" width="79.125" style="76" customWidth="1"/>
    <col min="3" max="3" width="9.375" style="76" customWidth="1"/>
    <col min="4" max="25" width="4.125" style="76" customWidth="1"/>
    <col min="26" max="16384" width="9" style="76"/>
  </cols>
  <sheetData>
    <row r="1" spans="1:27" ht="85.5" customHeight="1">
      <c r="A1" s="74" t="str">
        <f ca="1">MID(CELL("filename",A1),FIND("[",CELL("filename",A1))+1,3)</f>
        <v>４－２</v>
      </c>
      <c r="B1" s="34" t="str">
        <f ca="1">RIGHT(CELL("filename",B1),LEN(CELL("filename",B1))-FIND("]",CELL("filename",B1)))</f>
        <v>国語</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75"/>
    </row>
    <row r="2" spans="1:27" ht="22.5" customHeight="1">
      <c r="A2" s="155" t="s">
        <v>208</v>
      </c>
      <c r="B2" s="41" t="s">
        <v>71</v>
      </c>
      <c r="C2" s="38" t="s">
        <v>26</v>
      </c>
      <c r="D2" s="73" t="s">
        <v>209</v>
      </c>
      <c r="E2" s="73" t="s">
        <v>210</v>
      </c>
      <c r="F2" s="73" t="s">
        <v>210</v>
      </c>
      <c r="G2" s="73" t="s">
        <v>209</v>
      </c>
      <c r="H2" s="73" t="s">
        <v>209</v>
      </c>
      <c r="I2" s="73" t="s">
        <v>211</v>
      </c>
      <c r="J2" s="73" t="s">
        <v>211</v>
      </c>
      <c r="K2" s="73" t="s">
        <v>183</v>
      </c>
      <c r="L2" s="73" t="s">
        <v>209</v>
      </c>
      <c r="M2" s="73" t="s">
        <v>211</v>
      </c>
      <c r="N2" s="73" t="s">
        <v>210</v>
      </c>
      <c r="O2" s="73" t="s">
        <v>212</v>
      </c>
      <c r="P2" s="73" t="s">
        <v>209</v>
      </c>
      <c r="Q2" s="73" t="s">
        <v>212</v>
      </c>
      <c r="R2" s="73" t="s">
        <v>211</v>
      </c>
      <c r="S2" s="73" t="s">
        <v>212</v>
      </c>
      <c r="T2" s="73" t="s">
        <v>211</v>
      </c>
      <c r="U2" s="73" t="s">
        <v>211</v>
      </c>
      <c r="V2" s="73" t="s">
        <v>211</v>
      </c>
      <c r="W2" s="73" t="s">
        <v>211</v>
      </c>
      <c r="X2" s="73"/>
      <c r="Y2" s="73"/>
      <c r="Z2" s="77" t="s">
        <v>211</v>
      </c>
      <c r="AA2" s="77">
        <v>1</v>
      </c>
    </row>
    <row r="3" spans="1:27" ht="22.5" customHeight="1">
      <c r="A3" s="156"/>
      <c r="B3" s="41" t="s">
        <v>72</v>
      </c>
      <c r="C3" s="38" t="s">
        <v>26</v>
      </c>
      <c r="D3" s="73" t="s">
        <v>212</v>
      </c>
      <c r="E3" s="73" t="s">
        <v>212</v>
      </c>
      <c r="F3" s="73" t="s">
        <v>212</v>
      </c>
      <c r="G3" s="73" t="s">
        <v>212</v>
      </c>
      <c r="H3" s="73" t="s">
        <v>212</v>
      </c>
      <c r="I3" s="73" t="s">
        <v>211</v>
      </c>
      <c r="J3" s="73" t="s">
        <v>212</v>
      </c>
      <c r="K3" s="73" t="s">
        <v>211</v>
      </c>
      <c r="L3" s="73" t="s">
        <v>212</v>
      </c>
      <c r="M3" s="73" t="s">
        <v>212</v>
      </c>
      <c r="N3" s="73" t="s">
        <v>211</v>
      </c>
      <c r="O3" s="73" t="s">
        <v>211</v>
      </c>
      <c r="P3" s="73" t="s">
        <v>212</v>
      </c>
      <c r="Q3" s="73" t="s">
        <v>212</v>
      </c>
      <c r="R3" s="73" t="s">
        <v>211</v>
      </c>
      <c r="S3" s="73" t="s">
        <v>211</v>
      </c>
      <c r="T3" s="73" t="s">
        <v>212</v>
      </c>
      <c r="U3" s="73" t="s">
        <v>212</v>
      </c>
      <c r="V3" s="73" t="s">
        <v>212</v>
      </c>
      <c r="W3" s="73" t="s">
        <v>212</v>
      </c>
      <c r="X3" s="73"/>
      <c r="Y3" s="73"/>
      <c r="Z3" s="77" t="s">
        <v>212</v>
      </c>
      <c r="AA3" s="77">
        <v>2</v>
      </c>
    </row>
    <row r="4" spans="1:27" ht="22.5" customHeight="1">
      <c r="A4" s="156"/>
      <c r="B4" s="41" t="s">
        <v>73</v>
      </c>
      <c r="C4" s="38" t="s">
        <v>26</v>
      </c>
      <c r="D4" s="73" t="s">
        <v>211</v>
      </c>
      <c r="E4" s="73" t="s">
        <v>211</v>
      </c>
      <c r="F4" s="73" t="s">
        <v>212</v>
      </c>
      <c r="G4" s="73" t="s">
        <v>211</v>
      </c>
      <c r="H4" s="73" t="s">
        <v>211</v>
      </c>
      <c r="I4" s="73" t="s">
        <v>211</v>
      </c>
      <c r="J4" s="73" t="s">
        <v>211</v>
      </c>
      <c r="K4" s="73" t="s">
        <v>211</v>
      </c>
      <c r="L4" s="73" t="s">
        <v>211</v>
      </c>
      <c r="M4" s="73" t="s">
        <v>211</v>
      </c>
      <c r="N4" s="73" t="s">
        <v>212</v>
      </c>
      <c r="O4" s="73" t="s">
        <v>211</v>
      </c>
      <c r="P4" s="73" t="s">
        <v>212</v>
      </c>
      <c r="Q4" s="73" t="s">
        <v>211</v>
      </c>
      <c r="R4" s="73" t="s">
        <v>211</v>
      </c>
      <c r="S4" s="73" t="s">
        <v>211</v>
      </c>
      <c r="T4" s="73" t="s">
        <v>211</v>
      </c>
      <c r="U4" s="73" t="s">
        <v>211</v>
      </c>
      <c r="V4" s="73" t="s">
        <v>211</v>
      </c>
      <c r="W4" s="73" t="s">
        <v>211</v>
      </c>
      <c r="X4" s="73"/>
      <c r="Y4" s="73"/>
      <c r="Z4" s="77" t="s">
        <v>213</v>
      </c>
      <c r="AA4" s="77">
        <v>3</v>
      </c>
    </row>
    <row r="5" spans="1:27" ht="22.5" customHeight="1">
      <c r="A5" s="156"/>
      <c r="B5" s="41" t="s">
        <v>185</v>
      </c>
      <c r="C5" s="38" t="s">
        <v>26</v>
      </c>
      <c r="D5" s="73" t="s">
        <v>212</v>
      </c>
      <c r="E5" s="73" t="s">
        <v>212</v>
      </c>
      <c r="F5" s="73" t="s">
        <v>212</v>
      </c>
      <c r="G5" s="73" t="s">
        <v>212</v>
      </c>
      <c r="H5" s="73" t="s">
        <v>211</v>
      </c>
      <c r="I5" s="73" t="s">
        <v>211</v>
      </c>
      <c r="J5" s="73" t="s">
        <v>211</v>
      </c>
      <c r="K5" s="73" t="s">
        <v>212</v>
      </c>
      <c r="L5" s="73" t="s">
        <v>212</v>
      </c>
      <c r="M5" s="73" t="s">
        <v>211</v>
      </c>
      <c r="N5" s="73" t="s">
        <v>212</v>
      </c>
      <c r="O5" s="73" t="s">
        <v>211</v>
      </c>
      <c r="P5" s="73" t="s">
        <v>212</v>
      </c>
      <c r="Q5" s="73" t="s">
        <v>212</v>
      </c>
      <c r="R5" s="73" t="s">
        <v>211</v>
      </c>
      <c r="S5" s="73" t="s">
        <v>211</v>
      </c>
      <c r="T5" s="73" t="s">
        <v>212</v>
      </c>
      <c r="U5" s="73" t="s">
        <v>212</v>
      </c>
      <c r="V5" s="73" t="s">
        <v>212</v>
      </c>
      <c r="W5" s="73" t="s">
        <v>212</v>
      </c>
      <c r="X5" s="73"/>
      <c r="Y5" s="73"/>
      <c r="Z5" s="77" t="s">
        <v>214</v>
      </c>
      <c r="AA5" s="77">
        <v>4</v>
      </c>
    </row>
    <row r="6" spans="1:27" ht="22.5" customHeight="1">
      <c r="A6" s="156"/>
      <c r="B6" s="41" t="s">
        <v>74</v>
      </c>
      <c r="C6" s="38" t="s">
        <v>26</v>
      </c>
      <c r="D6" s="73" t="s">
        <v>211</v>
      </c>
      <c r="E6" s="73" t="s">
        <v>211</v>
      </c>
      <c r="F6" s="73" t="s">
        <v>211</v>
      </c>
      <c r="G6" s="73" t="s">
        <v>211</v>
      </c>
      <c r="H6" s="73" t="s">
        <v>211</v>
      </c>
      <c r="I6" s="73" t="s">
        <v>211</v>
      </c>
      <c r="J6" s="73" t="s">
        <v>211</v>
      </c>
      <c r="K6" s="73" t="s">
        <v>211</v>
      </c>
      <c r="L6" s="73" t="s">
        <v>211</v>
      </c>
      <c r="M6" s="73" t="s">
        <v>211</v>
      </c>
      <c r="N6" s="73" t="s">
        <v>212</v>
      </c>
      <c r="O6" s="73" t="s">
        <v>211</v>
      </c>
      <c r="P6" s="73" t="s">
        <v>211</v>
      </c>
      <c r="Q6" s="73" t="s">
        <v>211</v>
      </c>
      <c r="R6" s="73" t="s">
        <v>211</v>
      </c>
      <c r="S6" s="73" t="s">
        <v>211</v>
      </c>
      <c r="T6" s="73" t="s">
        <v>211</v>
      </c>
      <c r="U6" s="73" t="s">
        <v>211</v>
      </c>
      <c r="V6" s="73" t="s">
        <v>212</v>
      </c>
      <c r="W6" s="73" t="s">
        <v>211</v>
      </c>
      <c r="X6" s="73"/>
      <c r="Y6" s="73"/>
      <c r="Z6" s="77"/>
      <c r="AA6" s="77">
        <v>5</v>
      </c>
    </row>
    <row r="7" spans="1:27" ht="22.5" customHeight="1">
      <c r="A7" s="156"/>
      <c r="B7" s="41" t="s">
        <v>75</v>
      </c>
      <c r="C7" s="38" t="s">
        <v>26</v>
      </c>
      <c r="D7" s="73" t="s">
        <v>212</v>
      </c>
      <c r="E7" s="73" t="s">
        <v>211</v>
      </c>
      <c r="F7" s="73" t="s">
        <v>211</v>
      </c>
      <c r="G7" s="73" t="s">
        <v>211</v>
      </c>
      <c r="H7" s="73" t="s">
        <v>211</v>
      </c>
      <c r="I7" s="73" t="s">
        <v>211</v>
      </c>
      <c r="J7" s="73" t="s">
        <v>211</v>
      </c>
      <c r="K7" s="73" t="s">
        <v>211</v>
      </c>
      <c r="L7" s="73" t="s">
        <v>211</v>
      </c>
      <c r="M7" s="73" t="s">
        <v>211</v>
      </c>
      <c r="N7" s="73" t="s">
        <v>212</v>
      </c>
      <c r="O7" s="73" t="s">
        <v>212</v>
      </c>
      <c r="P7" s="73" t="s">
        <v>211</v>
      </c>
      <c r="Q7" s="73" t="s">
        <v>211</v>
      </c>
      <c r="R7" s="73" t="s">
        <v>211</v>
      </c>
      <c r="S7" s="73" t="s">
        <v>211</v>
      </c>
      <c r="T7" s="73" t="s">
        <v>212</v>
      </c>
      <c r="U7" s="73" t="s">
        <v>212</v>
      </c>
      <c r="V7" s="73" t="s">
        <v>211</v>
      </c>
      <c r="W7" s="73" t="s">
        <v>211</v>
      </c>
      <c r="X7" s="73"/>
      <c r="Y7" s="73"/>
      <c r="Z7" s="77"/>
      <c r="AA7" s="77" t="s">
        <v>214</v>
      </c>
    </row>
    <row r="8" spans="1:27" ht="22.5" customHeight="1">
      <c r="A8" s="156"/>
      <c r="B8" s="41" t="s">
        <v>76</v>
      </c>
      <c r="C8" s="38" t="s">
        <v>26</v>
      </c>
      <c r="D8" s="73" t="s">
        <v>212</v>
      </c>
      <c r="E8" s="73" t="s">
        <v>212</v>
      </c>
      <c r="F8" s="73" t="s">
        <v>211</v>
      </c>
      <c r="G8" s="73" t="s">
        <v>211</v>
      </c>
      <c r="H8" s="73" t="s">
        <v>211</v>
      </c>
      <c r="I8" s="73" t="s">
        <v>211</v>
      </c>
      <c r="J8" s="73" t="s">
        <v>211</v>
      </c>
      <c r="K8" s="73" t="s">
        <v>212</v>
      </c>
      <c r="L8" s="73" t="s">
        <v>211</v>
      </c>
      <c r="M8" s="73" t="s">
        <v>211</v>
      </c>
      <c r="N8" s="73" t="s">
        <v>213</v>
      </c>
      <c r="O8" s="73" t="s">
        <v>211</v>
      </c>
      <c r="P8" s="73" t="s">
        <v>212</v>
      </c>
      <c r="Q8" s="73" t="s">
        <v>211</v>
      </c>
      <c r="R8" s="73" t="s">
        <v>211</v>
      </c>
      <c r="S8" s="73" t="s">
        <v>211</v>
      </c>
      <c r="T8" s="73" t="s">
        <v>212</v>
      </c>
      <c r="U8" s="73" t="s">
        <v>211</v>
      </c>
      <c r="V8" s="73" t="s">
        <v>212</v>
      </c>
      <c r="W8" s="73" t="s">
        <v>211</v>
      </c>
      <c r="X8" s="73"/>
      <c r="Y8" s="73"/>
    </row>
    <row r="9" spans="1:27" ht="22.5" customHeight="1">
      <c r="A9" s="156"/>
      <c r="B9" s="41" t="s">
        <v>77</v>
      </c>
      <c r="C9" s="38" t="s">
        <v>26</v>
      </c>
      <c r="D9" s="73" t="s">
        <v>211</v>
      </c>
      <c r="E9" s="73" t="s">
        <v>211</v>
      </c>
      <c r="F9" s="73" t="s">
        <v>212</v>
      </c>
      <c r="G9" s="73" t="s">
        <v>211</v>
      </c>
      <c r="H9" s="73" t="s">
        <v>211</v>
      </c>
      <c r="I9" s="73" t="s">
        <v>211</v>
      </c>
      <c r="J9" s="73" t="s">
        <v>212</v>
      </c>
      <c r="K9" s="73" t="s">
        <v>211</v>
      </c>
      <c r="L9" s="73" t="s">
        <v>211</v>
      </c>
      <c r="M9" s="73" t="s">
        <v>211</v>
      </c>
      <c r="N9" s="73" t="s">
        <v>212</v>
      </c>
      <c r="O9" s="73" t="s">
        <v>211</v>
      </c>
      <c r="P9" s="73" t="s">
        <v>212</v>
      </c>
      <c r="Q9" s="73" t="s">
        <v>211</v>
      </c>
      <c r="R9" s="73" t="s">
        <v>211</v>
      </c>
      <c r="S9" s="73" t="s">
        <v>211</v>
      </c>
      <c r="T9" s="73" t="s">
        <v>211</v>
      </c>
      <c r="U9" s="73" t="s">
        <v>211</v>
      </c>
      <c r="V9" s="73" t="s">
        <v>212</v>
      </c>
      <c r="W9" s="73" t="s">
        <v>211</v>
      </c>
      <c r="X9" s="73"/>
      <c r="Y9" s="73"/>
    </row>
    <row r="10" spans="1:27" ht="22.5" customHeight="1">
      <c r="A10" s="156"/>
      <c r="B10" s="41" t="s">
        <v>78</v>
      </c>
      <c r="C10" s="38" t="s">
        <v>26</v>
      </c>
      <c r="D10" s="73" t="s">
        <v>211</v>
      </c>
      <c r="E10" s="73" t="s">
        <v>212</v>
      </c>
      <c r="F10" s="73" t="s">
        <v>212</v>
      </c>
      <c r="G10" s="73" t="s">
        <v>211</v>
      </c>
      <c r="H10" s="73" t="s">
        <v>211</v>
      </c>
      <c r="I10" s="73" t="s">
        <v>211</v>
      </c>
      <c r="J10" s="73" t="s">
        <v>211</v>
      </c>
      <c r="K10" s="73" t="s">
        <v>212</v>
      </c>
      <c r="L10" s="73" t="s">
        <v>212</v>
      </c>
      <c r="M10" s="73" t="s">
        <v>211</v>
      </c>
      <c r="N10" s="73" t="s">
        <v>212</v>
      </c>
      <c r="O10" s="73" t="s">
        <v>211</v>
      </c>
      <c r="P10" s="73" t="s">
        <v>212</v>
      </c>
      <c r="Q10" s="73" t="s">
        <v>211</v>
      </c>
      <c r="R10" s="73" t="s">
        <v>211</v>
      </c>
      <c r="S10" s="73" t="s">
        <v>212</v>
      </c>
      <c r="T10" s="73" t="s">
        <v>211</v>
      </c>
      <c r="U10" s="73" t="s">
        <v>211</v>
      </c>
      <c r="V10" s="73" t="s">
        <v>211</v>
      </c>
      <c r="W10" s="73" t="s">
        <v>211</v>
      </c>
      <c r="X10" s="73"/>
      <c r="Y10" s="73"/>
    </row>
    <row r="11" spans="1:27" ht="22.5" customHeight="1">
      <c r="A11" s="156"/>
      <c r="B11" s="41"/>
      <c r="C11" s="38" t="s">
        <v>26</v>
      </c>
      <c r="D11" s="73"/>
      <c r="E11" s="73"/>
      <c r="F11" s="73"/>
      <c r="G11" s="73"/>
      <c r="H11" s="73"/>
      <c r="I11" s="73"/>
      <c r="J11" s="73"/>
      <c r="K11" s="73"/>
      <c r="L11" s="73"/>
      <c r="M11" s="73"/>
      <c r="N11" s="73"/>
      <c r="O11" s="73"/>
      <c r="P11" s="73"/>
      <c r="Q11" s="73"/>
      <c r="R11" s="73"/>
      <c r="S11" s="73"/>
      <c r="T11" s="73"/>
      <c r="U11" s="73"/>
      <c r="V11" s="73"/>
      <c r="W11" s="73"/>
      <c r="X11" s="73"/>
      <c r="Y11" s="73"/>
    </row>
    <row r="12" spans="1:27" ht="30" customHeight="1">
      <c r="A12" s="157"/>
      <c r="B12" s="42"/>
      <c r="C12" s="43" t="s">
        <v>27</v>
      </c>
      <c r="D12" s="73">
        <v>4</v>
      </c>
      <c r="E12" s="73">
        <v>4</v>
      </c>
      <c r="F12" s="73">
        <v>3</v>
      </c>
      <c r="G12" s="73">
        <v>5</v>
      </c>
      <c r="H12" s="73">
        <v>5</v>
      </c>
      <c r="I12" s="73">
        <v>5</v>
      </c>
      <c r="J12" s="73">
        <v>5</v>
      </c>
      <c r="K12" s="73">
        <v>4</v>
      </c>
      <c r="L12" s="73">
        <v>4</v>
      </c>
      <c r="M12" s="73">
        <v>5</v>
      </c>
      <c r="N12" s="73">
        <v>3</v>
      </c>
      <c r="O12" s="73">
        <v>5</v>
      </c>
      <c r="P12" s="73">
        <v>3</v>
      </c>
      <c r="Q12" s="73">
        <v>4</v>
      </c>
      <c r="R12" s="73">
        <v>5</v>
      </c>
      <c r="S12" s="73">
        <v>5</v>
      </c>
      <c r="T12" s="73">
        <v>4</v>
      </c>
      <c r="U12" s="73">
        <v>4</v>
      </c>
      <c r="V12" s="73">
        <v>4</v>
      </c>
      <c r="W12" s="73">
        <v>5</v>
      </c>
      <c r="X12" s="73"/>
      <c r="Y12" s="73"/>
    </row>
    <row r="13" spans="1:27" ht="26.25" customHeight="1">
      <c r="A13" s="78"/>
      <c r="B13" s="78"/>
      <c r="C13" s="71" t="s">
        <v>55</v>
      </c>
      <c r="D13" s="73"/>
      <c r="E13" s="73"/>
      <c r="F13" s="73"/>
      <c r="G13" s="73"/>
      <c r="H13" s="73"/>
      <c r="I13" s="73"/>
      <c r="J13" s="73"/>
      <c r="K13" s="73"/>
      <c r="L13" s="73"/>
      <c r="M13" s="73"/>
      <c r="N13" s="73"/>
      <c r="O13" s="73"/>
      <c r="P13" s="73"/>
      <c r="Q13" s="73"/>
      <c r="R13" s="73"/>
      <c r="S13" s="73"/>
      <c r="T13" s="73"/>
      <c r="U13" s="73"/>
      <c r="V13" s="73"/>
      <c r="W13" s="73"/>
      <c r="X13" s="73"/>
      <c r="Y13" s="73"/>
    </row>
    <row r="14" spans="1:27" ht="22.5" customHeight="1">
      <c r="A14" s="45" t="s">
        <v>28</v>
      </c>
      <c r="B14" s="158" t="s">
        <v>29</v>
      </c>
      <c r="C14" s="159"/>
      <c r="D14" s="159"/>
      <c r="E14" s="159"/>
      <c r="F14" s="159"/>
      <c r="G14" s="159"/>
      <c r="H14" s="159"/>
      <c r="I14" s="159"/>
      <c r="J14" s="159"/>
      <c r="K14" s="159"/>
      <c r="L14" s="159"/>
      <c r="M14" s="159"/>
      <c r="N14" s="159"/>
      <c r="O14" s="159"/>
      <c r="P14" s="159"/>
      <c r="Q14" s="159"/>
      <c r="R14" s="159"/>
      <c r="S14" s="159"/>
      <c r="T14" s="159"/>
      <c r="U14" s="159"/>
      <c r="V14" s="159"/>
      <c r="W14" s="159"/>
      <c r="X14" s="159"/>
      <c r="Y14" s="160"/>
    </row>
    <row r="15" spans="1:27" ht="59.25" customHeight="1">
      <c r="A15" s="79" t="s">
        <v>79</v>
      </c>
      <c r="B15" s="161"/>
      <c r="C15" s="162"/>
      <c r="D15" s="162"/>
      <c r="E15" s="162"/>
      <c r="F15" s="162"/>
      <c r="G15" s="162"/>
      <c r="H15" s="162"/>
      <c r="I15" s="162"/>
      <c r="J15" s="162"/>
      <c r="K15" s="162"/>
      <c r="L15" s="162"/>
      <c r="M15" s="162"/>
      <c r="N15" s="162"/>
      <c r="O15" s="162"/>
      <c r="P15" s="162"/>
      <c r="Q15" s="162"/>
      <c r="R15" s="162"/>
      <c r="S15" s="162"/>
      <c r="T15" s="162"/>
      <c r="U15" s="162"/>
      <c r="V15" s="162"/>
      <c r="W15" s="162"/>
      <c r="X15" s="162"/>
      <c r="Y15" s="163"/>
    </row>
    <row r="16" spans="1:27" ht="59.25" customHeight="1">
      <c r="A16" s="79" t="s">
        <v>80</v>
      </c>
      <c r="B16" s="161"/>
      <c r="C16" s="162"/>
      <c r="D16" s="162"/>
      <c r="E16" s="162"/>
      <c r="F16" s="162"/>
      <c r="G16" s="162"/>
      <c r="H16" s="162"/>
      <c r="I16" s="162"/>
      <c r="J16" s="162"/>
      <c r="K16" s="162"/>
      <c r="L16" s="162"/>
      <c r="M16" s="162"/>
      <c r="N16" s="162"/>
      <c r="O16" s="162"/>
      <c r="P16" s="162"/>
      <c r="Q16" s="162"/>
      <c r="R16" s="162"/>
      <c r="S16" s="162"/>
      <c r="T16" s="162"/>
      <c r="U16" s="162"/>
      <c r="V16" s="162"/>
      <c r="W16" s="162"/>
      <c r="X16" s="162"/>
      <c r="Y16" s="163"/>
    </row>
    <row r="17" spans="1:25" ht="59.25" customHeight="1">
      <c r="A17" s="79" t="s">
        <v>81</v>
      </c>
      <c r="B17" s="161"/>
      <c r="C17" s="162"/>
      <c r="D17" s="162"/>
      <c r="E17" s="162"/>
      <c r="F17" s="162"/>
      <c r="G17" s="162"/>
      <c r="H17" s="162"/>
      <c r="I17" s="162"/>
      <c r="J17" s="162"/>
      <c r="K17" s="162"/>
      <c r="L17" s="162"/>
      <c r="M17" s="162"/>
      <c r="N17" s="162"/>
      <c r="O17" s="162"/>
      <c r="P17" s="162"/>
      <c r="Q17" s="162"/>
      <c r="R17" s="162"/>
      <c r="S17" s="162"/>
      <c r="T17" s="162"/>
      <c r="U17" s="162"/>
      <c r="V17" s="162"/>
      <c r="W17" s="162"/>
      <c r="X17" s="162"/>
      <c r="Y17" s="163"/>
    </row>
    <row r="18" spans="1:25" ht="59.25" customHeight="1">
      <c r="A18" s="79" t="s">
        <v>82</v>
      </c>
      <c r="B18" s="161"/>
      <c r="C18" s="162"/>
      <c r="D18" s="162"/>
      <c r="E18" s="162"/>
      <c r="F18" s="162"/>
      <c r="G18" s="162"/>
      <c r="H18" s="162"/>
      <c r="I18" s="162"/>
      <c r="J18" s="162"/>
      <c r="K18" s="162"/>
      <c r="L18" s="162"/>
      <c r="M18" s="162"/>
      <c r="N18" s="162"/>
      <c r="O18" s="162"/>
      <c r="P18" s="162"/>
      <c r="Q18" s="162"/>
      <c r="R18" s="162"/>
      <c r="S18" s="162"/>
      <c r="T18" s="162"/>
      <c r="U18" s="162"/>
      <c r="V18" s="162"/>
      <c r="W18" s="162"/>
      <c r="X18" s="162"/>
      <c r="Y18" s="163"/>
    </row>
    <row r="19" spans="1:25" ht="59.25" customHeight="1">
      <c r="A19" s="79" t="s">
        <v>83</v>
      </c>
      <c r="B19" s="161"/>
      <c r="C19" s="162"/>
      <c r="D19" s="162"/>
      <c r="E19" s="162"/>
      <c r="F19" s="162"/>
      <c r="G19" s="162"/>
      <c r="H19" s="162"/>
      <c r="I19" s="162"/>
      <c r="J19" s="162"/>
      <c r="K19" s="162"/>
      <c r="L19" s="162"/>
      <c r="M19" s="162"/>
      <c r="N19" s="162"/>
      <c r="O19" s="162"/>
      <c r="P19" s="162"/>
      <c r="Q19" s="162"/>
      <c r="R19" s="162"/>
      <c r="S19" s="162"/>
      <c r="T19" s="162"/>
      <c r="U19" s="162"/>
      <c r="V19" s="162"/>
      <c r="W19" s="162"/>
      <c r="X19" s="162"/>
      <c r="Y19" s="163"/>
    </row>
    <row r="20" spans="1:25" ht="59.25" customHeight="1">
      <c r="A20" s="79" t="s">
        <v>84</v>
      </c>
      <c r="B20" s="161"/>
      <c r="C20" s="162"/>
      <c r="D20" s="162"/>
      <c r="E20" s="162"/>
      <c r="F20" s="162"/>
      <c r="G20" s="162"/>
      <c r="H20" s="162"/>
      <c r="I20" s="162"/>
      <c r="J20" s="162"/>
      <c r="K20" s="162"/>
      <c r="L20" s="162"/>
      <c r="M20" s="162"/>
      <c r="N20" s="162"/>
      <c r="O20" s="162"/>
      <c r="P20" s="162"/>
      <c r="Q20" s="162"/>
      <c r="R20" s="162"/>
      <c r="S20" s="162"/>
      <c r="T20" s="162"/>
      <c r="U20" s="162"/>
      <c r="V20" s="162"/>
      <c r="W20" s="162"/>
      <c r="X20" s="162"/>
      <c r="Y20" s="163"/>
    </row>
    <row r="21" spans="1:25" ht="59.25" customHeight="1">
      <c r="A21" s="79" t="s">
        <v>85</v>
      </c>
      <c r="B21" s="161"/>
      <c r="C21" s="162"/>
      <c r="D21" s="162"/>
      <c r="E21" s="162"/>
      <c r="F21" s="162"/>
      <c r="G21" s="162"/>
      <c r="H21" s="162"/>
      <c r="I21" s="162"/>
      <c r="J21" s="162"/>
      <c r="K21" s="162"/>
      <c r="L21" s="162"/>
      <c r="M21" s="162"/>
      <c r="N21" s="162"/>
      <c r="O21" s="162"/>
      <c r="P21" s="162"/>
      <c r="Q21" s="162"/>
      <c r="R21" s="162"/>
      <c r="S21" s="162"/>
      <c r="T21" s="162"/>
      <c r="U21" s="162"/>
      <c r="V21" s="162"/>
      <c r="W21" s="162"/>
      <c r="X21" s="162"/>
      <c r="Y21" s="163"/>
    </row>
    <row r="22" spans="1:25" ht="59.25" customHeight="1">
      <c r="A22" s="79" t="s">
        <v>86</v>
      </c>
      <c r="B22" s="161"/>
      <c r="C22" s="162"/>
      <c r="D22" s="162"/>
      <c r="E22" s="162"/>
      <c r="F22" s="162"/>
      <c r="G22" s="162"/>
      <c r="H22" s="162"/>
      <c r="I22" s="162"/>
      <c r="J22" s="162"/>
      <c r="K22" s="162"/>
      <c r="L22" s="162"/>
      <c r="M22" s="162"/>
      <c r="N22" s="162"/>
      <c r="O22" s="162"/>
      <c r="P22" s="162"/>
      <c r="Q22" s="162"/>
      <c r="R22" s="162"/>
      <c r="S22" s="162"/>
      <c r="T22" s="162"/>
      <c r="U22" s="162"/>
      <c r="V22" s="162"/>
      <c r="W22" s="162"/>
      <c r="X22" s="162"/>
      <c r="Y22" s="163"/>
    </row>
    <row r="23" spans="1:25" ht="59.25" customHeight="1">
      <c r="A23" s="79" t="s">
        <v>87</v>
      </c>
      <c r="B23" s="161"/>
      <c r="C23" s="162"/>
      <c r="D23" s="162"/>
      <c r="E23" s="162"/>
      <c r="F23" s="162"/>
      <c r="G23" s="162"/>
      <c r="H23" s="162"/>
      <c r="I23" s="162"/>
      <c r="J23" s="162"/>
      <c r="K23" s="162"/>
      <c r="L23" s="162"/>
      <c r="M23" s="162"/>
      <c r="N23" s="162"/>
      <c r="O23" s="162"/>
      <c r="P23" s="162"/>
      <c r="Q23" s="162"/>
      <c r="R23" s="162"/>
      <c r="S23" s="162"/>
      <c r="T23" s="162"/>
      <c r="U23" s="162"/>
      <c r="V23" s="162"/>
      <c r="W23" s="162"/>
      <c r="X23" s="162"/>
      <c r="Y23" s="163"/>
    </row>
    <row r="24" spans="1:25" ht="59.25" customHeight="1">
      <c r="A24" s="79" t="s">
        <v>88</v>
      </c>
      <c r="B24" s="161"/>
      <c r="C24" s="162"/>
      <c r="D24" s="162"/>
      <c r="E24" s="162"/>
      <c r="F24" s="162"/>
      <c r="G24" s="162"/>
      <c r="H24" s="162"/>
      <c r="I24" s="162"/>
      <c r="J24" s="162"/>
      <c r="K24" s="162"/>
      <c r="L24" s="162"/>
      <c r="M24" s="162"/>
      <c r="N24" s="162"/>
      <c r="O24" s="162"/>
      <c r="P24" s="162"/>
      <c r="Q24" s="162"/>
      <c r="R24" s="162"/>
      <c r="S24" s="162"/>
      <c r="T24" s="162"/>
      <c r="U24" s="162"/>
      <c r="V24" s="162"/>
      <c r="W24" s="162"/>
      <c r="X24" s="162"/>
      <c r="Y24" s="163"/>
    </row>
    <row r="25" spans="1:25" ht="59.25" customHeight="1">
      <c r="A25" s="79" t="s">
        <v>89</v>
      </c>
      <c r="B25" s="161"/>
      <c r="C25" s="162"/>
      <c r="D25" s="162"/>
      <c r="E25" s="162"/>
      <c r="F25" s="162"/>
      <c r="G25" s="162"/>
      <c r="H25" s="162"/>
      <c r="I25" s="162"/>
      <c r="J25" s="162"/>
      <c r="K25" s="162"/>
      <c r="L25" s="162"/>
      <c r="M25" s="162"/>
      <c r="N25" s="162"/>
      <c r="O25" s="162"/>
      <c r="P25" s="162"/>
      <c r="Q25" s="162"/>
      <c r="R25" s="162"/>
      <c r="S25" s="162"/>
      <c r="T25" s="162"/>
      <c r="U25" s="162"/>
      <c r="V25" s="162"/>
      <c r="W25" s="162"/>
      <c r="X25" s="162"/>
      <c r="Y25" s="163"/>
    </row>
    <row r="26" spans="1:25" ht="59.25" customHeight="1">
      <c r="A26" s="79" t="s">
        <v>90</v>
      </c>
      <c r="B26" s="161"/>
      <c r="C26" s="162"/>
      <c r="D26" s="162"/>
      <c r="E26" s="162"/>
      <c r="F26" s="162"/>
      <c r="G26" s="162"/>
      <c r="H26" s="162"/>
      <c r="I26" s="162"/>
      <c r="J26" s="162"/>
      <c r="K26" s="162"/>
      <c r="L26" s="162"/>
      <c r="M26" s="162"/>
      <c r="N26" s="162"/>
      <c r="O26" s="162"/>
      <c r="P26" s="162"/>
      <c r="Q26" s="162"/>
      <c r="R26" s="162"/>
      <c r="S26" s="162"/>
      <c r="T26" s="162"/>
      <c r="U26" s="162"/>
      <c r="V26" s="162"/>
      <c r="W26" s="162"/>
      <c r="X26" s="162"/>
      <c r="Y26" s="163"/>
    </row>
    <row r="27" spans="1:25" ht="59.25" customHeight="1">
      <c r="A27" s="79" t="s">
        <v>91</v>
      </c>
      <c r="B27" s="161"/>
      <c r="C27" s="162"/>
      <c r="D27" s="162"/>
      <c r="E27" s="162"/>
      <c r="F27" s="162"/>
      <c r="G27" s="162"/>
      <c r="H27" s="162"/>
      <c r="I27" s="162"/>
      <c r="J27" s="162"/>
      <c r="K27" s="162"/>
      <c r="L27" s="162"/>
      <c r="M27" s="162"/>
      <c r="N27" s="162"/>
      <c r="O27" s="162"/>
      <c r="P27" s="162"/>
      <c r="Q27" s="162"/>
      <c r="R27" s="162"/>
      <c r="S27" s="162"/>
      <c r="T27" s="162"/>
      <c r="U27" s="162"/>
      <c r="V27" s="162"/>
      <c r="W27" s="162"/>
      <c r="X27" s="162"/>
      <c r="Y27" s="163"/>
    </row>
    <row r="28" spans="1:25" ht="59.25" customHeight="1">
      <c r="A28" s="79" t="s">
        <v>92</v>
      </c>
      <c r="B28" s="161"/>
      <c r="C28" s="162"/>
      <c r="D28" s="162"/>
      <c r="E28" s="162"/>
      <c r="F28" s="162"/>
      <c r="G28" s="162"/>
      <c r="H28" s="162"/>
      <c r="I28" s="162"/>
      <c r="J28" s="162"/>
      <c r="K28" s="162"/>
      <c r="L28" s="162"/>
      <c r="M28" s="162"/>
      <c r="N28" s="162"/>
      <c r="O28" s="162"/>
      <c r="P28" s="162"/>
      <c r="Q28" s="162"/>
      <c r="R28" s="162"/>
      <c r="S28" s="162"/>
      <c r="T28" s="162"/>
      <c r="U28" s="162"/>
      <c r="V28" s="162"/>
      <c r="W28" s="162"/>
      <c r="X28" s="162"/>
      <c r="Y28" s="163"/>
    </row>
    <row r="29" spans="1:25" ht="59.25" customHeight="1">
      <c r="A29" s="79" t="s">
        <v>93</v>
      </c>
      <c r="B29" s="161"/>
      <c r="C29" s="162"/>
      <c r="D29" s="162"/>
      <c r="E29" s="162"/>
      <c r="F29" s="162"/>
      <c r="G29" s="162"/>
      <c r="H29" s="162"/>
      <c r="I29" s="162"/>
      <c r="J29" s="162"/>
      <c r="K29" s="162"/>
      <c r="L29" s="162"/>
      <c r="M29" s="162"/>
      <c r="N29" s="162"/>
      <c r="O29" s="162"/>
      <c r="P29" s="162"/>
      <c r="Q29" s="162"/>
      <c r="R29" s="162"/>
      <c r="S29" s="162"/>
      <c r="T29" s="162"/>
      <c r="U29" s="162"/>
      <c r="V29" s="162"/>
      <c r="W29" s="162"/>
      <c r="X29" s="162"/>
      <c r="Y29" s="163"/>
    </row>
    <row r="30" spans="1:25" ht="59.25" customHeight="1">
      <c r="A30" s="79" t="s">
        <v>94</v>
      </c>
      <c r="B30" s="161"/>
      <c r="C30" s="162"/>
      <c r="D30" s="162"/>
      <c r="E30" s="162"/>
      <c r="F30" s="162"/>
      <c r="G30" s="162"/>
      <c r="H30" s="162"/>
      <c r="I30" s="162"/>
      <c r="J30" s="162"/>
      <c r="K30" s="162"/>
      <c r="L30" s="162"/>
      <c r="M30" s="162"/>
      <c r="N30" s="162"/>
      <c r="O30" s="162"/>
      <c r="P30" s="162"/>
      <c r="Q30" s="162"/>
      <c r="R30" s="162"/>
      <c r="S30" s="162"/>
      <c r="T30" s="162"/>
      <c r="U30" s="162"/>
      <c r="V30" s="162"/>
      <c r="W30" s="162"/>
      <c r="X30" s="162"/>
      <c r="Y30" s="163"/>
    </row>
    <row r="31" spans="1:25" ht="59.25" customHeight="1">
      <c r="A31" s="79" t="s">
        <v>95</v>
      </c>
      <c r="B31" s="161"/>
      <c r="C31" s="162"/>
      <c r="D31" s="162"/>
      <c r="E31" s="162"/>
      <c r="F31" s="162"/>
      <c r="G31" s="162"/>
      <c r="H31" s="162"/>
      <c r="I31" s="162"/>
      <c r="J31" s="162"/>
      <c r="K31" s="162"/>
      <c r="L31" s="162"/>
      <c r="M31" s="162"/>
      <c r="N31" s="162"/>
      <c r="O31" s="162"/>
      <c r="P31" s="162"/>
      <c r="Q31" s="162"/>
      <c r="R31" s="162"/>
      <c r="S31" s="162"/>
      <c r="T31" s="162"/>
      <c r="U31" s="162"/>
      <c r="V31" s="162"/>
      <c r="W31" s="162"/>
      <c r="X31" s="162"/>
      <c r="Y31" s="163"/>
    </row>
    <row r="32" spans="1:25" ht="59.25" customHeight="1">
      <c r="A32" s="79" t="s">
        <v>96</v>
      </c>
      <c r="B32" s="161"/>
      <c r="C32" s="162"/>
      <c r="D32" s="162"/>
      <c r="E32" s="162"/>
      <c r="F32" s="162"/>
      <c r="G32" s="162"/>
      <c r="H32" s="162"/>
      <c r="I32" s="162"/>
      <c r="J32" s="162"/>
      <c r="K32" s="162"/>
      <c r="L32" s="162"/>
      <c r="M32" s="162"/>
      <c r="N32" s="162"/>
      <c r="O32" s="162"/>
      <c r="P32" s="162"/>
      <c r="Q32" s="162"/>
      <c r="R32" s="162"/>
      <c r="S32" s="162"/>
      <c r="T32" s="162"/>
      <c r="U32" s="162"/>
      <c r="V32" s="162"/>
      <c r="W32" s="162"/>
      <c r="X32" s="162"/>
      <c r="Y32" s="163"/>
    </row>
    <row r="33" spans="1:25" ht="59.25" customHeight="1">
      <c r="A33" s="79" t="s">
        <v>97</v>
      </c>
      <c r="B33" s="161"/>
      <c r="C33" s="162"/>
      <c r="D33" s="162"/>
      <c r="E33" s="162"/>
      <c r="F33" s="162"/>
      <c r="G33" s="162"/>
      <c r="H33" s="162"/>
      <c r="I33" s="162"/>
      <c r="J33" s="162"/>
      <c r="K33" s="162"/>
      <c r="L33" s="162"/>
      <c r="M33" s="162"/>
      <c r="N33" s="162"/>
      <c r="O33" s="162"/>
      <c r="P33" s="162"/>
      <c r="Q33" s="162"/>
      <c r="R33" s="162"/>
      <c r="S33" s="162"/>
      <c r="T33" s="162"/>
      <c r="U33" s="162"/>
      <c r="V33" s="162"/>
      <c r="W33" s="162"/>
      <c r="X33" s="162"/>
      <c r="Y33" s="163"/>
    </row>
    <row r="34" spans="1:25" ht="59.25" customHeight="1">
      <c r="A34" s="79" t="s">
        <v>98</v>
      </c>
      <c r="B34" s="161"/>
      <c r="C34" s="162"/>
      <c r="D34" s="162"/>
      <c r="E34" s="162"/>
      <c r="F34" s="162"/>
      <c r="G34" s="162"/>
      <c r="H34" s="162"/>
      <c r="I34" s="162"/>
      <c r="J34" s="162"/>
      <c r="K34" s="162"/>
      <c r="L34" s="162"/>
      <c r="M34" s="162"/>
      <c r="N34" s="162"/>
      <c r="O34" s="162"/>
      <c r="P34" s="162"/>
      <c r="Q34" s="162"/>
      <c r="R34" s="162"/>
      <c r="S34" s="162"/>
      <c r="T34" s="162"/>
      <c r="U34" s="162"/>
      <c r="V34" s="162"/>
      <c r="W34" s="162"/>
      <c r="X34" s="162"/>
      <c r="Y34" s="163"/>
    </row>
    <row r="35" spans="1:25" ht="59.25" customHeight="1">
      <c r="A35" s="79"/>
      <c r="B35" s="161"/>
      <c r="C35" s="162"/>
      <c r="D35" s="162"/>
      <c r="E35" s="162"/>
      <c r="F35" s="162"/>
      <c r="G35" s="162"/>
      <c r="H35" s="162"/>
      <c r="I35" s="162"/>
      <c r="J35" s="162"/>
      <c r="K35" s="162"/>
      <c r="L35" s="162"/>
      <c r="M35" s="162"/>
      <c r="N35" s="162"/>
      <c r="O35" s="162"/>
      <c r="P35" s="162"/>
      <c r="Q35" s="162"/>
      <c r="R35" s="162"/>
      <c r="S35" s="162"/>
      <c r="T35" s="162"/>
      <c r="U35" s="162"/>
      <c r="V35" s="162"/>
      <c r="W35" s="162"/>
      <c r="X35" s="162"/>
      <c r="Y35" s="163"/>
    </row>
    <row r="36" spans="1:25" ht="59.25" customHeight="1">
      <c r="A36" s="79"/>
      <c r="B36" s="161"/>
      <c r="C36" s="162"/>
      <c r="D36" s="162"/>
      <c r="E36" s="162"/>
      <c r="F36" s="162"/>
      <c r="G36" s="162"/>
      <c r="H36" s="162"/>
      <c r="I36" s="162"/>
      <c r="J36" s="162"/>
      <c r="K36" s="162"/>
      <c r="L36" s="162"/>
      <c r="M36" s="162"/>
      <c r="N36" s="162"/>
      <c r="O36" s="162"/>
      <c r="P36" s="162"/>
      <c r="Q36" s="162"/>
      <c r="R36" s="162"/>
      <c r="S36" s="162"/>
      <c r="T36" s="162"/>
      <c r="U36" s="162"/>
      <c r="V36" s="162"/>
      <c r="W36" s="162"/>
      <c r="X36" s="162"/>
      <c r="Y36" s="163"/>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４－２</v>
      </c>
      <c r="B1" s="34" t="str">
        <f ca="1">RIGHT(CELL("filename",B1),LEN(CELL("filename",B1))-FIND("]",CELL("filename",B1)))</f>
        <v>算数</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37"/>
    </row>
    <row r="2" spans="1:27" ht="22.5" customHeight="1">
      <c r="A2" s="155" t="s">
        <v>215</v>
      </c>
      <c r="B2" s="41" t="s">
        <v>56</v>
      </c>
      <c r="C2" s="38" t="s">
        <v>26</v>
      </c>
      <c r="D2" s="39" t="s">
        <v>49</v>
      </c>
      <c r="E2" s="39" t="s">
        <v>49</v>
      </c>
      <c r="F2" s="39" t="s">
        <v>48</v>
      </c>
      <c r="G2" s="39" t="s">
        <v>49</v>
      </c>
      <c r="H2" s="39" t="s">
        <v>216</v>
      </c>
      <c r="I2" s="39" t="s">
        <v>211</v>
      </c>
      <c r="J2" s="39" t="s">
        <v>49</v>
      </c>
      <c r="K2" s="39" t="s">
        <v>49</v>
      </c>
      <c r="L2" s="39" t="s">
        <v>49</v>
      </c>
      <c r="M2" s="39" t="s">
        <v>49</v>
      </c>
      <c r="N2" s="39" t="s">
        <v>48</v>
      </c>
      <c r="O2" s="39" t="s">
        <v>49</v>
      </c>
      <c r="P2" s="39" t="s">
        <v>49</v>
      </c>
      <c r="Q2" s="39" t="s">
        <v>49</v>
      </c>
      <c r="R2" s="39" t="s">
        <v>216</v>
      </c>
      <c r="S2" s="39" t="s">
        <v>49</v>
      </c>
      <c r="T2" s="39" t="s">
        <v>49</v>
      </c>
      <c r="U2" s="39" t="s">
        <v>211</v>
      </c>
      <c r="V2" s="39" t="s">
        <v>48</v>
      </c>
      <c r="W2" s="39" t="s">
        <v>49</v>
      </c>
      <c r="X2" s="39"/>
      <c r="Y2" s="39"/>
      <c r="Z2" s="40" t="s">
        <v>211</v>
      </c>
      <c r="AA2" s="40">
        <v>1</v>
      </c>
    </row>
    <row r="3" spans="1:27" ht="22.5" customHeight="1">
      <c r="A3" s="156"/>
      <c r="B3" s="41" t="s">
        <v>57</v>
      </c>
      <c r="C3" s="38" t="s">
        <v>26</v>
      </c>
      <c r="D3" s="39" t="s">
        <v>49</v>
      </c>
      <c r="E3" s="39" t="s">
        <v>49</v>
      </c>
      <c r="F3" s="39" t="s">
        <v>48</v>
      </c>
      <c r="G3" s="39" t="s">
        <v>49</v>
      </c>
      <c r="H3" s="39" t="s">
        <v>211</v>
      </c>
      <c r="I3" s="39" t="s">
        <v>211</v>
      </c>
      <c r="J3" s="39" t="s">
        <v>49</v>
      </c>
      <c r="K3" s="39" t="s">
        <v>49</v>
      </c>
      <c r="L3" s="39" t="s">
        <v>48</v>
      </c>
      <c r="M3" s="39" t="s">
        <v>48</v>
      </c>
      <c r="N3" s="39" t="s">
        <v>48</v>
      </c>
      <c r="O3" s="39" t="s">
        <v>49</v>
      </c>
      <c r="P3" s="39" t="s">
        <v>48</v>
      </c>
      <c r="Q3" s="39" t="s">
        <v>48</v>
      </c>
      <c r="R3" s="39" t="s">
        <v>211</v>
      </c>
      <c r="S3" s="39" t="s">
        <v>49</v>
      </c>
      <c r="T3" s="39" t="s">
        <v>48</v>
      </c>
      <c r="U3" s="39" t="s">
        <v>212</v>
      </c>
      <c r="V3" s="39" t="s">
        <v>48</v>
      </c>
      <c r="W3" s="39" t="s">
        <v>49</v>
      </c>
      <c r="X3" s="39"/>
      <c r="Y3" s="39"/>
      <c r="Z3" s="40" t="s">
        <v>212</v>
      </c>
      <c r="AA3" s="40">
        <v>2</v>
      </c>
    </row>
    <row r="4" spans="1:27" ht="22.5" customHeight="1">
      <c r="A4" s="156"/>
      <c r="B4" s="41" t="s">
        <v>59</v>
      </c>
      <c r="C4" s="38" t="s">
        <v>26</v>
      </c>
      <c r="D4" s="39" t="s">
        <v>49</v>
      </c>
      <c r="E4" s="39" t="s">
        <v>49</v>
      </c>
      <c r="F4" s="39" t="s">
        <v>49</v>
      </c>
      <c r="G4" s="39" t="s">
        <v>48</v>
      </c>
      <c r="H4" s="39" t="s">
        <v>212</v>
      </c>
      <c r="I4" s="39" t="s">
        <v>211</v>
      </c>
      <c r="J4" s="39" t="s">
        <v>48</v>
      </c>
      <c r="K4" s="39" t="s">
        <v>49</v>
      </c>
      <c r="L4" s="39" t="s">
        <v>49</v>
      </c>
      <c r="M4" s="39" t="s">
        <v>49</v>
      </c>
      <c r="N4" s="39" t="s">
        <v>49</v>
      </c>
      <c r="O4" s="39" t="s">
        <v>49</v>
      </c>
      <c r="P4" s="39" t="s">
        <v>49</v>
      </c>
      <c r="Q4" s="39" t="s">
        <v>49</v>
      </c>
      <c r="R4" s="39" t="s">
        <v>211</v>
      </c>
      <c r="S4" s="39" t="s">
        <v>49</v>
      </c>
      <c r="T4" s="39" t="s">
        <v>49</v>
      </c>
      <c r="U4" s="39" t="s">
        <v>211</v>
      </c>
      <c r="V4" s="39" t="s">
        <v>48</v>
      </c>
      <c r="W4" s="39" t="s">
        <v>49</v>
      </c>
      <c r="X4" s="39"/>
      <c r="Y4" s="39"/>
      <c r="Z4" s="40" t="s">
        <v>213</v>
      </c>
      <c r="AA4" s="40">
        <v>3</v>
      </c>
    </row>
    <row r="5" spans="1:27" ht="22.5" customHeight="1">
      <c r="A5" s="156"/>
      <c r="B5" s="41" t="s">
        <v>60</v>
      </c>
      <c r="C5" s="38" t="s">
        <v>26</v>
      </c>
      <c r="D5" s="39" t="s">
        <v>49</v>
      </c>
      <c r="E5" s="39" t="s">
        <v>49</v>
      </c>
      <c r="F5" s="39" t="s">
        <v>49</v>
      </c>
      <c r="G5" s="39" t="s">
        <v>49</v>
      </c>
      <c r="H5" s="39" t="s">
        <v>211</v>
      </c>
      <c r="I5" s="39" t="s">
        <v>211</v>
      </c>
      <c r="J5" s="39" t="s">
        <v>49</v>
      </c>
      <c r="K5" s="39" t="s">
        <v>49</v>
      </c>
      <c r="L5" s="39" t="s">
        <v>49</v>
      </c>
      <c r="M5" s="39" t="s">
        <v>49</v>
      </c>
      <c r="N5" s="39" t="s">
        <v>48</v>
      </c>
      <c r="O5" s="39" t="s">
        <v>49</v>
      </c>
      <c r="P5" s="39" t="s">
        <v>48</v>
      </c>
      <c r="Q5" s="39" t="s">
        <v>49</v>
      </c>
      <c r="R5" s="39" t="s">
        <v>211</v>
      </c>
      <c r="S5" s="39" t="s">
        <v>49</v>
      </c>
      <c r="T5" s="39" t="s">
        <v>49</v>
      </c>
      <c r="U5" s="39" t="s">
        <v>211</v>
      </c>
      <c r="V5" s="39" t="s">
        <v>48</v>
      </c>
      <c r="W5" s="39" t="s">
        <v>49</v>
      </c>
      <c r="X5" s="39"/>
      <c r="Y5" s="39"/>
      <c r="Z5" s="40" t="s">
        <v>214</v>
      </c>
      <c r="AA5" s="40">
        <v>4</v>
      </c>
    </row>
    <row r="6" spans="1:27" ht="22.5" customHeight="1">
      <c r="A6" s="156"/>
      <c r="B6" s="72" t="s">
        <v>61</v>
      </c>
      <c r="C6" s="38" t="s">
        <v>26</v>
      </c>
      <c r="D6" s="39" t="s">
        <v>49</v>
      </c>
      <c r="E6" s="39" t="s">
        <v>49</v>
      </c>
      <c r="F6" s="39" t="s">
        <v>49</v>
      </c>
      <c r="G6" s="39" t="s">
        <v>48</v>
      </c>
      <c r="H6" s="39" t="s">
        <v>211</v>
      </c>
      <c r="I6" s="39" t="s">
        <v>211</v>
      </c>
      <c r="J6" s="39" t="s">
        <v>49</v>
      </c>
      <c r="K6" s="39" t="s">
        <v>49</v>
      </c>
      <c r="L6" s="39" t="s">
        <v>48</v>
      </c>
      <c r="M6" s="39" t="s">
        <v>49</v>
      </c>
      <c r="N6" s="39" t="s">
        <v>213</v>
      </c>
      <c r="O6" s="39" t="s">
        <v>49</v>
      </c>
      <c r="P6" s="39" t="s">
        <v>49</v>
      </c>
      <c r="Q6" s="39" t="s">
        <v>49</v>
      </c>
      <c r="R6" s="39" t="s">
        <v>211</v>
      </c>
      <c r="S6" s="39" t="s">
        <v>49</v>
      </c>
      <c r="T6" s="39" t="s">
        <v>49</v>
      </c>
      <c r="U6" s="39" t="s">
        <v>211</v>
      </c>
      <c r="V6" s="39" t="s">
        <v>48</v>
      </c>
      <c r="W6" s="39" t="s">
        <v>211</v>
      </c>
      <c r="X6" s="39"/>
      <c r="Y6" s="39"/>
      <c r="Z6" s="40"/>
      <c r="AA6" s="40">
        <v>5</v>
      </c>
    </row>
    <row r="7" spans="1:27" ht="22.5" customHeight="1">
      <c r="A7" s="156"/>
      <c r="B7" s="41"/>
      <c r="C7" s="38" t="s">
        <v>26</v>
      </c>
      <c r="D7" s="39"/>
      <c r="E7" s="39"/>
      <c r="F7" s="39"/>
      <c r="G7" s="39"/>
      <c r="H7" s="39"/>
      <c r="I7" s="39"/>
      <c r="J7" s="39"/>
      <c r="K7" s="39"/>
      <c r="L7" s="39"/>
      <c r="M7" s="39"/>
      <c r="N7" s="39"/>
      <c r="O7" s="39"/>
      <c r="P7" s="39"/>
      <c r="Q7" s="39"/>
      <c r="R7" s="39"/>
      <c r="S7" s="39"/>
      <c r="T7" s="39"/>
      <c r="U7" s="39"/>
      <c r="V7" s="39"/>
      <c r="W7" s="39"/>
      <c r="X7" s="39"/>
      <c r="Y7" s="39"/>
      <c r="Z7" s="40"/>
      <c r="AA7" s="40" t="s">
        <v>214</v>
      </c>
    </row>
    <row r="8" spans="1:27" ht="22.5" customHeight="1">
      <c r="A8" s="156"/>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56"/>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56"/>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56"/>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57"/>
      <c r="B12" s="42"/>
      <c r="C12" s="43" t="s">
        <v>27</v>
      </c>
      <c r="D12" s="39">
        <v>5</v>
      </c>
      <c r="E12" s="39">
        <v>5</v>
      </c>
      <c r="F12" s="39">
        <v>4</v>
      </c>
      <c r="G12" s="39">
        <v>4</v>
      </c>
      <c r="H12" s="39">
        <v>5</v>
      </c>
      <c r="I12" s="39">
        <v>5</v>
      </c>
      <c r="J12" s="39">
        <v>5</v>
      </c>
      <c r="K12" s="39">
        <v>5</v>
      </c>
      <c r="L12" s="39">
        <v>4</v>
      </c>
      <c r="M12" s="39">
        <v>5</v>
      </c>
      <c r="N12" s="39">
        <v>3</v>
      </c>
      <c r="O12" s="39">
        <v>5</v>
      </c>
      <c r="P12" s="39">
        <v>4</v>
      </c>
      <c r="Q12" s="39">
        <v>5</v>
      </c>
      <c r="R12" s="39">
        <v>5</v>
      </c>
      <c r="S12" s="39">
        <v>5</v>
      </c>
      <c r="T12" s="39">
        <v>5</v>
      </c>
      <c r="U12" s="39">
        <v>5</v>
      </c>
      <c r="V12" s="39">
        <v>3</v>
      </c>
      <c r="W12" s="39">
        <v>5</v>
      </c>
      <c r="X12" s="39"/>
      <c r="Y12" s="39"/>
    </row>
    <row r="13" spans="1:27" ht="26.25" customHeight="1">
      <c r="A13" s="44"/>
      <c r="B13" s="44"/>
      <c r="C13" s="71" t="s">
        <v>55</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4" t="s">
        <v>29</v>
      </c>
      <c r="C14" s="165"/>
      <c r="D14" s="165"/>
      <c r="E14" s="165"/>
      <c r="F14" s="165"/>
      <c r="G14" s="165"/>
      <c r="H14" s="165"/>
      <c r="I14" s="165"/>
      <c r="J14" s="165"/>
      <c r="K14" s="165"/>
      <c r="L14" s="165"/>
      <c r="M14" s="165"/>
      <c r="N14" s="165"/>
      <c r="O14" s="165"/>
      <c r="P14" s="165"/>
      <c r="Q14" s="165"/>
      <c r="R14" s="165"/>
      <c r="S14" s="165"/>
      <c r="T14" s="165"/>
      <c r="U14" s="165"/>
      <c r="V14" s="165"/>
      <c r="W14" s="165"/>
      <c r="X14" s="165"/>
      <c r="Y14" s="166"/>
    </row>
    <row r="15" spans="1:27" ht="59.25" customHeight="1">
      <c r="A15" s="46" t="s">
        <v>79</v>
      </c>
      <c r="B15" s="167" t="s">
        <v>217</v>
      </c>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46" t="s">
        <v>80</v>
      </c>
      <c r="B16" s="167" t="s">
        <v>218</v>
      </c>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46" t="s">
        <v>81</v>
      </c>
      <c r="B17" s="167" t="s">
        <v>219</v>
      </c>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46" t="s">
        <v>82</v>
      </c>
      <c r="B18" s="167" t="s">
        <v>220</v>
      </c>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46" t="s">
        <v>83</v>
      </c>
      <c r="B19" s="167" t="s">
        <v>99</v>
      </c>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46" t="s">
        <v>84</v>
      </c>
      <c r="B20" s="167" t="s">
        <v>100</v>
      </c>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46" t="s">
        <v>85</v>
      </c>
      <c r="B21" s="167" t="s">
        <v>221</v>
      </c>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46" t="s">
        <v>86</v>
      </c>
      <c r="B22" s="167" t="s">
        <v>222</v>
      </c>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46" t="s">
        <v>87</v>
      </c>
      <c r="B23" s="167" t="s">
        <v>223</v>
      </c>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46" t="s">
        <v>88</v>
      </c>
      <c r="B24" s="167" t="s">
        <v>224</v>
      </c>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46" t="s">
        <v>89</v>
      </c>
      <c r="B25" s="167" t="s">
        <v>101</v>
      </c>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46" t="s">
        <v>90</v>
      </c>
      <c r="B26" s="167" t="s">
        <v>225</v>
      </c>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46" t="s">
        <v>91</v>
      </c>
      <c r="B27" s="167" t="s">
        <v>226</v>
      </c>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46" t="s">
        <v>92</v>
      </c>
      <c r="B28" s="167" t="s">
        <v>227</v>
      </c>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46" t="s">
        <v>93</v>
      </c>
      <c r="B29" s="167" t="s">
        <v>102</v>
      </c>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46" t="s">
        <v>94</v>
      </c>
      <c r="B30" s="167" t="s">
        <v>228</v>
      </c>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46" t="s">
        <v>95</v>
      </c>
      <c r="B31" s="167" t="s">
        <v>229</v>
      </c>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46" t="s">
        <v>96</v>
      </c>
      <c r="B32" s="167" t="s">
        <v>103</v>
      </c>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46" t="s">
        <v>97</v>
      </c>
      <c r="B33" s="167" t="s">
        <v>230</v>
      </c>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46" t="s">
        <v>98</v>
      </c>
      <c r="B34" s="167" t="s">
        <v>231</v>
      </c>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46"/>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46"/>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9"/>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AA190"/>
  <sheetViews>
    <sheetView workbookViewId="0">
      <selection sqref="A1:XFD1048576"/>
    </sheetView>
  </sheetViews>
  <sheetFormatPr defaultColWidth="8.875" defaultRowHeight="13.5"/>
  <cols>
    <col min="1" max="1" width="13.5" style="76" customWidth="1"/>
    <col min="2" max="2" width="79.125" style="76" customWidth="1"/>
    <col min="3" max="3" width="9.375" style="76" customWidth="1"/>
    <col min="4" max="25" width="4.125" style="76" customWidth="1"/>
    <col min="26" max="16384" width="8.875" style="76"/>
  </cols>
  <sheetData>
    <row r="1" spans="1:27" ht="85.5" customHeight="1">
      <c r="A1" s="74" t="str">
        <f ca="1">MID(CELL("filename",A1),FIND("[",CELL("filename",A1))+1,3)</f>
        <v>４－２</v>
      </c>
      <c r="B1" s="34" t="str">
        <f ca="1">RIGHT(CELL("filename",B1),LEN(CELL("filename",B1))-FIND("]",CELL("filename",B1)))</f>
        <v>理科</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75"/>
    </row>
    <row r="2" spans="1:27" ht="22.5" customHeight="1">
      <c r="A2" s="155" t="s">
        <v>232</v>
      </c>
      <c r="B2" s="41" t="s">
        <v>53</v>
      </c>
      <c r="C2" s="38" t="s">
        <v>26</v>
      </c>
      <c r="D2" s="73" t="s">
        <v>233</v>
      </c>
      <c r="E2" s="73" t="s">
        <v>233</v>
      </c>
      <c r="F2" s="73" t="s">
        <v>233</v>
      </c>
      <c r="G2" s="73" t="s">
        <v>233</v>
      </c>
      <c r="H2" s="73" t="s">
        <v>234</v>
      </c>
      <c r="I2" s="73" t="s">
        <v>233</v>
      </c>
      <c r="J2" s="73" t="s">
        <v>211</v>
      </c>
      <c r="K2" s="73" t="s">
        <v>211</v>
      </c>
      <c r="L2" s="73" t="s">
        <v>211</v>
      </c>
      <c r="M2" s="73" t="s">
        <v>234</v>
      </c>
      <c r="N2" s="73" t="s">
        <v>211</v>
      </c>
      <c r="O2" s="73" t="s">
        <v>233</v>
      </c>
      <c r="P2" s="73" t="s">
        <v>211</v>
      </c>
      <c r="Q2" s="73" t="s">
        <v>211</v>
      </c>
      <c r="R2" s="73" t="s">
        <v>182</v>
      </c>
      <c r="S2" s="73" t="s">
        <v>211</v>
      </c>
      <c r="T2" s="73" t="s">
        <v>234</v>
      </c>
      <c r="U2" s="73" t="s">
        <v>211</v>
      </c>
      <c r="V2" s="73" t="s">
        <v>234</v>
      </c>
      <c r="W2" s="73" t="s">
        <v>211</v>
      </c>
      <c r="X2" s="73"/>
      <c r="Y2" s="73"/>
      <c r="Z2" s="77" t="s">
        <v>211</v>
      </c>
      <c r="AA2" s="77">
        <v>1</v>
      </c>
    </row>
    <row r="3" spans="1:27" ht="22.5" customHeight="1">
      <c r="A3" s="156"/>
      <c r="B3" s="41" t="s">
        <v>54</v>
      </c>
      <c r="C3" s="38" t="s">
        <v>26</v>
      </c>
      <c r="D3" s="73" t="s">
        <v>212</v>
      </c>
      <c r="E3" s="73" t="s">
        <v>233</v>
      </c>
      <c r="F3" s="73" t="s">
        <v>233</v>
      </c>
      <c r="G3" s="73" t="s">
        <v>211</v>
      </c>
      <c r="H3" s="73" t="s">
        <v>233</v>
      </c>
      <c r="I3" s="73" t="s">
        <v>211</v>
      </c>
      <c r="J3" s="73" t="s">
        <v>211</v>
      </c>
      <c r="K3" s="73" t="s">
        <v>212</v>
      </c>
      <c r="L3" s="73" t="s">
        <v>233</v>
      </c>
      <c r="M3" s="73" t="s">
        <v>211</v>
      </c>
      <c r="N3" s="73" t="s">
        <v>212</v>
      </c>
      <c r="O3" s="73" t="s">
        <v>211</v>
      </c>
      <c r="P3" s="73" t="s">
        <v>212</v>
      </c>
      <c r="Q3" s="73" t="s">
        <v>211</v>
      </c>
      <c r="R3" s="73" t="s">
        <v>233</v>
      </c>
      <c r="S3" s="73" t="s">
        <v>211</v>
      </c>
      <c r="T3" s="73" t="s">
        <v>211</v>
      </c>
      <c r="U3" s="73" t="s">
        <v>211</v>
      </c>
      <c r="V3" s="73" t="s">
        <v>211</v>
      </c>
      <c r="W3" s="73" t="s">
        <v>211</v>
      </c>
      <c r="X3" s="73"/>
      <c r="Y3" s="73"/>
      <c r="Z3" s="77" t="s">
        <v>212</v>
      </c>
      <c r="AA3" s="77">
        <v>2</v>
      </c>
    </row>
    <row r="4" spans="1:27" ht="22.5" customHeight="1">
      <c r="A4" s="156"/>
      <c r="B4" s="41" t="s">
        <v>58</v>
      </c>
      <c r="C4" s="38" t="s">
        <v>26</v>
      </c>
      <c r="D4" s="73" t="s">
        <v>211</v>
      </c>
      <c r="E4" s="73" t="s">
        <v>212</v>
      </c>
      <c r="F4" s="73" t="s">
        <v>212</v>
      </c>
      <c r="G4" s="73" t="s">
        <v>235</v>
      </c>
      <c r="H4" s="73" t="s">
        <v>211</v>
      </c>
      <c r="I4" s="73" t="s">
        <v>211</v>
      </c>
      <c r="J4" s="73" t="s">
        <v>211</v>
      </c>
      <c r="K4" s="73" t="s">
        <v>211</v>
      </c>
      <c r="L4" s="73" t="s">
        <v>211</v>
      </c>
      <c r="M4" s="73" t="s">
        <v>211</v>
      </c>
      <c r="N4" s="73" t="s">
        <v>212</v>
      </c>
      <c r="O4" s="73" t="s">
        <v>211</v>
      </c>
      <c r="P4" s="73" t="s">
        <v>211</v>
      </c>
      <c r="Q4" s="73" t="s">
        <v>211</v>
      </c>
      <c r="R4" s="73" t="s">
        <v>212</v>
      </c>
      <c r="S4" s="73" t="s">
        <v>233</v>
      </c>
      <c r="T4" s="73" t="s">
        <v>211</v>
      </c>
      <c r="U4" s="73" t="s">
        <v>211</v>
      </c>
      <c r="V4" s="73" t="s">
        <v>212</v>
      </c>
      <c r="W4" s="73" t="s">
        <v>211</v>
      </c>
      <c r="X4" s="73"/>
      <c r="Y4" s="73"/>
      <c r="Z4" s="77" t="s">
        <v>236</v>
      </c>
      <c r="AA4" s="77">
        <v>3</v>
      </c>
    </row>
    <row r="5" spans="1:27" ht="22.5" customHeight="1">
      <c r="A5" s="156"/>
      <c r="B5" s="41" t="s">
        <v>62</v>
      </c>
      <c r="C5" s="38" t="s">
        <v>26</v>
      </c>
      <c r="D5" s="73" t="s">
        <v>211</v>
      </c>
      <c r="E5" s="73" t="s">
        <v>211</v>
      </c>
      <c r="F5" s="73" t="s">
        <v>211</v>
      </c>
      <c r="G5" s="73" t="s">
        <v>212</v>
      </c>
      <c r="H5" s="73" t="s">
        <v>211</v>
      </c>
      <c r="I5" s="73" t="s">
        <v>211</v>
      </c>
      <c r="J5" s="73" t="s">
        <v>211</v>
      </c>
      <c r="K5" s="73" t="s">
        <v>182</v>
      </c>
      <c r="L5" s="73" t="s">
        <v>211</v>
      </c>
      <c r="M5" s="73" t="s">
        <v>234</v>
      </c>
      <c r="N5" s="73" t="s">
        <v>212</v>
      </c>
      <c r="O5" s="73" t="s">
        <v>234</v>
      </c>
      <c r="P5" s="73" t="s">
        <v>211</v>
      </c>
      <c r="Q5" s="73" t="s">
        <v>211</v>
      </c>
      <c r="R5" s="73" t="s">
        <v>211</v>
      </c>
      <c r="S5" s="73" t="s">
        <v>211</v>
      </c>
      <c r="T5" s="73" t="s">
        <v>233</v>
      </c>
      <c r="U5" s="73" t="s">
        <v>211</v>
      </c>
      <c r="V5" s="73" t="s">
        <v>211</v>
      </c>
      <c r="W5" s="73" t="s">
        <v>211</v>
      </c>
      <c r="X5" s="73"/>
      <c r="Y5" s="73"/>
      <c r="Z5" s="77" t="s">
        <v>214</v>
      </c>
      <c r="AA5" s="77">
        <v>4</v>
      </c>
    </row>
    <row r="6" spans="1:27" ht="22.5" customHeight="1">
      <c r="A6" s="156"/>
      <c r="B6" s="41" t="s">
        <v>63</v>
      </c>
      <c r="C6" s="38" t="s">
        <v>26</v>
      </c>
      <c r="D6" s="73" t="s">
        <v>211</v>
      </c>
      <c r="E6" s="73" t="s">
        <v>212</v>
      </c>
      <c r="F6" s="73" t="s">
        <v>211</v>
      </c>
      <c r="G6" s="73" t="s">
        <v>212</v>
      </c>
      <c r="H6" s="73" t="s">
        <v>211</v>
      </c>
      <c r="I6" s="73" t="s">
        <v>211</v>
      </c>
      <c r="J6" s="73" t="s">
        <v>211</v>
      </c>
      <c r="K6" s="73" t="s">
        <v>233</v>
      </c>
      <c r="L6" s="73" t="s">
        <v>211</v>
      </c>
      <c r="M6" s="73" t="s">
        <v>211</v>
      </c>
      <c r="N6" s="73" t="s">
        <v>212</v>
      </c>
      <c r="O6" s="73" t="s">
        <v>211</v>
      </c>
      <c r="P6" s="73" t="s">
        <v>212</v>
      </c>
      <c r="Q6" s="73" t="s">
        <v>211</v>
      </c>
      <c r="R6" s="73" t="s">
        <v>211</v>
      </c>
      <c r="S6" s="73" t="s">
        <v>211</v>
      </c>
      <c r="T6" s="73" t="s">
        <v>211</v>
      </c>
      <c r="U6" s="73" t="s">
        <v>211</v>
      </c>
      <c r="V6" s="73" t="s">
        <v>211</v>
      </c>
      <c r="W6" s="73" t="s">
        <v>211</v>
      </c>
      <c r="X6" s="73"/>
      <c r="Y6" s="73"/>
      <c r="Z6" s="77"/>
      <c r="AA6" s="77">
        <v>5</v>
      </c>
    </row>
    <row r="7" spans="1:27" ht="22.5" customHeight="1">
      <c r="A7" s="156"/>
      <c r="B7" s="41" t="s">
        <v>64</v>
      </c>
      <c r="C7" s="38" t="s">
        <v>26</v>
      </c>
      <c r="D7" s="73" t="s">
        <v>211</v>
      </c>
      <c r="E7" s="73" t="s">
        <v>211</v>
      </c>
      <c r="F7" s="73" t="s">
        <v>211</v>
      </c>
      <c r="G7" s="73" t="s">
        <v>212</v>
      </c>
      <c r="H7" s="73" t="s">
        <v>212</v>
      </c>
      <c r="I7" s="73" t="s">
        <v>211</v>
      </c>
      <c r="J7" s="73" t="s">
        <v>211</v>
      </c>
      <c r="K7" s="73" t="s">
        <v>211</v>
      </c>
      <c r="L7" s="73" t="s">
        <v>211</v>
      </c>
      <c r="M7" s="73" t="s">
        <v>212</v>
      </c>
      <c r="N7" s="73" t="s">
        <v>212</v>
      </c>
      <c r="O7" s="73" t="s">
        <v>212</v>
      </c>
      <c r="P7" s="73" t="s">
        <v>211</v>
      </c>
      <c r="Q7" s="73" t="s">
        <v>211</v>
      </c>
      <c r="R7" s="73" t="s">
        <v>211</v>
      </c>
      <c r="S7" s="73" t="s">
        <v>211</v>
      </c>
      <c r="T7" s="73" t="s">
        <v>212</v>
      </c>
      <c r="U7" s="73" t="s">
        <v>211</v>
      </c>
      <c r="V7" s="73" t="s">
        <v>212</v>
      </c>
      <c r="W7" s="73" t="s">
        <v>211</v>
      </c>
      <c r="X7" s="73"/>
      <c r="Y7" s="73"/>
      <c r="Z7" s="77"/>
      <c r="AA7" s="77" t="s">
        <v>214</v>
      </c>
    </row>
    <row r="8" spans="1:27" ht="22.5" customHeight="1">
      <c r="A8" s="156"/>
      <c r="B8" s="41"/>
      <c r="C8" s="38" t="s">
        <v>26</v>
      </c>
      <c r="D8" s="73"/>
      <c r="E8" s="73"/>
      <c r="F8" s="73"/>
      <c r="G8" s="73"/>
      <c r="H8" s="73"/>
      <c r="I8" s="73"/>
      <c r="J8" s="73"/>
      <c r="K8" s="73"/>
      <c r="L8" s="73"/>
      <c r="M8" s="73"/>
      <c r="N8" s="73"/>
      <c r="O8" s="73"/>
      <c r="P8" s="73"/>
      <c r="Q8" s="73"/>
      <c r="R8" s="73"/>
      <c r="S8" s="73"/>
      <c r="T8" s="73"/>
      <c r="U8" s="73"/>
      <c r="V8" s="73"/>
      <c r="W8" s="73"/>
      <c r="X8" s="73"/>
      <c r="Y8" s="73"/>
    </row>
    <row r="9" spans="1:27" ht="22.5" customHeight="1">
      <c r="A9" s="156"/>
      <c r="B9" s="41"/>
      <c r="C9" s="38" t="s">
        <v>26</v>
      </c>
      <c r="D9" s="73"/>
      <c r="E9" s="73"/>
      <c r="F9" s="73"/>
      <c r="G9" s="73"/>
      <c r="H9" s="73"/>
      <c r="I9" s="73"/>
      <c r="J9" s="73"/>
      <c r="K9" s="73"/>
      <c r="L9" s="73"/>
      <c r="M9" s="73"/>
      <c r="N9" s="73"/>
      <c r="O9" s="73"/>
      <c r="P9" s="73"/>
      <c r="Q9" s="73"/>
      <c r="R9" s="73"/>
      <c r="S9" s="73"/>
      <c r="T9" s="73"/>
      <c r="U9" s="73"/>
      <c r="V9" s="73"/>
      <c r="W9" s="73"/>
      <c r="X9" s="73"/>
      <c r="Y9" s="73"/>
    </row>
    <row r="10" spans="1:27" ht="22.5" customHeight="1">
      <c r="A10" s="156"/>
      <c r="B10" s="41"/>
      <c r="C10" s="38" t="s">
        <v>26</v>
      </c>
      <c r="D10" s="73"/>
      <c r="E10" s="73"/>
      <c r="F10" s="73"/>
      <c r="G10" s="73"/>
      <c r="H10" s="73"/>
      <c r="I10" s="73"/>
      <c r="J10" s="73"/>
      <c r="K10" s="73"/>
      <c r="L10" s="73"/>
      <c r="M10" s="73"/>
      <c r="N10" s="73"/>
      <c r="O10" s="73"/>
      <c r="P10" s="73"/>
      <c r="Q10" s="73"/>
      <c r="R10" s="73"/>
      <c r="S10" s="73"/>
      <c r="T10" s="73"/>
      <c r="U10" s="73"/>
      <c r="V10" s="73"/>
      <c r="W10" s="73"/>
      <c r="X10" s="73"/>
      <c r="Y10" s="73"/>
    </row>
    <row r="11" spans="1:27" ht="22.5" customHeight="1">
      <c r="A11" s="156"/>
      <c r="B11" s="41"/>
      <c r="C11" s="38" t="s">
        <v>26</v>
      </c>
      <c r="D11" s="73"/>
      <c r="E11" s="73"/>
      <c r="F11" s="73"/>
      <c r="G11" s="73"/>
      <c r="H11" s="73"/>
      <c r="I11" s="73"/>
      <c r="J11" s="73"/>
      <c r="K11" s="73"/>
      <c r="L11" s="73"/>
      <c r="M11" s="73"/>
      <c r="N11" s="73"/>
      <c r="O11" s="73"/>
      <c r="P11" s="73"/>
      <c r="Q11" s="73"/>
      <c r="R11" s="73"/>
      <c r="S11" s="73"/>
      <c r="T11" s="73"/>
      <c r="U11" s="73"/>
      <c r="V11" s="73"/>
      <c r="W11" s="73"/>
      <c r="X11" s="73"/>
      <c r="Y11" s="73"/>
    </row>
    <row r="12" spans="1:27" ht="30" customHeight="1">
      <c r="A12" s="157"/>
      <c r="B12" s="42"/>
      <c r="C12" s="43" t="s">
        <v>27</v>
      </c>
      <c r="D12" s="73">
        <v>5</v>
      </c>
      <c r="E12" s="73">
        <v>4</v>
      </c>
      <c r="F12" s="73">
        <v>5</v>
      </c>
      <c r="G12" s="73">
        <v>3</v>
      </c>
      <c r="H12" s="73">
        <v>5</v>
      </c>
      <c r="I12" s="73">
        <v>5</v>
      </c>
      <c r="J12" s="73">
        <v>5</v>
      </c>
      <c r="K12" s="73">
        <v>5</v>
      </c>
      <c r="L12" s="73">
        <v>5</v>
      </c>
      <c r="M12" s="73">
        <v>5</v>
      </c>
      <c r="N12" s="73">
        <v>3</v>
      </c>
      <c r="O12" s="73">
        <v>5</v>
      </c>
      <c r="P12" s="73">
        <v>4</v>
      </c>
      <c r="Q12" s="73">
        <v>5</v>
      </c>
      <c r="R12" s="73">
        <v>5</v>
      </c>
      <c r="S12" s="73">
        <v>5</v>
      </c>
      <c r="T12" s="73">
        <v>5</v>
      </c>
      <c r="U12" s="73">
        <v>5</v>
      </c>
      <c r="V12" s="73">
        <v>4</v>
      </c>
      <c r="W12" s="73">
        <v>5</v>
      </c>
      <c r="X12" s="73"/>
      <c r="Y12" s="73"/>
    </row>
    <row r="13" spans="1:27" ht="26.25" customHeight="1">
      <c r="A13" s="78"/>
      <c r="B13" s="78"/>
      <c r="C13" s="71" t="s">
        <v>55</v>
      </c>
      <c r="D13" s="73"/>
      <c r="E13" s="73"/>
      <c r="F13" s="73"/>
      <c r="G13" s="73"/>
      <c r="H13" s="73"/>
      <c r="I13" s="73"/>
      <c r="J13" s="73"/>
      <c r="K13" s="73"/>
      <c r="L13" s="73"/>
      <c r="M13" s="73"/>
      <c r="N13" s="73"/>
      <c r="O13" s="73"/>
      <c r="P13" s="73"/>
      <c r="Q13" s="73"/>
      <c r="R13" s="73"/>
      <c r="S13" s="73"/>
      <c r="T13" s="73"/>
      <c r="U13" s="73"/>
      <c r="V13" s="73"/>
      <c r="W13" s="73"/>
      <c r="X13" s="86"/>
      <c r="Y13" s="86"/>
    </row>
    <row r="14" spans="1:27" ht="22.5" customHeight="1">
      <c r="A14" s="45" t="s">
        <v>28</v>
      </c>
      <c r="B14" s="158" t="s">
        <v>29</v>
      </c>
      <c r="C14" s="159"/>
      <c r="D14" s="159"/>
      <c r="E14" s="159"/>
      <c r="F14" s="159"/>
      <c r="G14" s="159"/>
      <c r="H14" s="159"/>
      <c r="I14" s="159"/>
      <c r="J14" s="159"/>
      <c r="K14" s="159"/>
      <c r="L14" s="159"/>
      <c r="M14" s="159"/>
      <c r="N14" s="159"/>
      <c r="O14" s="159"/>
      <c r="P14" s="159"/>
      <c r="Q14" s="159"/>
      <c r="R14" s="159"/>
      <c r="S14" s="159"/>
      <c r="T14" s="159"/>
      <c r="U14" s="159"/>
      <c r="V14" s="159"/>
      <c r="W14" s="159"/>
      <c r="X14" s="159"/>
      <c r="Y14" s="160"/>
    </row>
    <row r="15" spans="1:27" ht="59.25" customHeight="1">
      <c r="A15" s="79" t="s">
        <v>79</v>
      </c>
      <c r="B15" s="161" t="s">
        <v>104</v>
      </c>
      <c r="C15" s="162"/>
      <c r="D15" s="162"/>
      <c r="E15" s="162"/>
      <c r="F15" s="162"/>
      <c r="G15" s="162"/>
      <c r="H15" s="162"/>
      <c r="I15" s="162"/>
      <c r="J15" s="162"/>
      <c r="K15" s="162"/>
      <c r="L15" s="162"/>
      <c r="M15" s="162"/>
      <c r="N15" s="162"/>
      <c r="O15" s="162"/>
      <c r="P15" s="162"/>
      <c r="Q15" s="162"/>
      <c r="R15" s="162"/>
      <c r="S15" s="162"/>
      <c r="T15" s="162"/>
      <c r="U15" s="162"/>
      <c r="V15" s="162"/>
      <c r="W15" s="162"/>
      <c r="X15" s="162"/>
      <c r="Y15" s="163"/>
    </row>
    <row r="16" spans="1:27" ht="59.25" customHeight="1">
      <c r="A16" s="79" t="s">
        <v>80</v>
      </c>
      <c r="B16" s="161"/>
      <c r="C16" s="162"/>
      <c r="D16" s="162"/>
      <c r="E16" s="162"/>
      <c r="F16" s="162"/>
      <c r="G16" s="162"/>
      <c r="H16" s="162"/>
      <c r="I16" s="162"/>
      <c r="J16" s="162"/>
      <c r="K16" s="162"/>
      <c r="L16" s="162"/>
      <c r="M16" s="162"/>
      <c r="N16" s="162"/>
      <c r="O16" s="162"/>
      <c r="P16" s="162"/>
      <c r="Q16" s="162"/>
      <c r="R16" s="162"/>
      <c r="S16" s="162"/>
      <c r="T16" s="162"/>
      <c r="U16" s="162"/>
      <c r="V16" s="162"/>
      <c r="W16" s="162"/>
      <c r="X16" s="162"/>
      <c r="Y16" s="163"/>
    </row>
    <row r="17" spans="1:25" ht="59.25" customHeight="1">
      <c r="A17" s="79" t="s">
        <v>81</v>
      </c>
      <c r="B17" s="161" t="s">
        <v>105</v>
      </c>
      <c r="C17" s="162"/>
      <c r="D17" s="162"/>
      <c r="E17" s="162"/>
      <c r="F17" s="162"/>
      <c r="G17" s="162"/>
      <c r="H17" s="162"/>
      <c r="I17" s="162"/>
      <c r="J17" s="162"/>
      <c r="K17" s="162"/>
      <c r="L17" s="162"/>
      <c r="M17" s="162"/>
      <c r="N17" s="162"/>
      <c r="O17" s="162"/>
      <c r="P17" s="162"/>
      <c r="Q17" s="162"/>
      <c r="R17" s="162"/>
      <c r="S17" s="162"/>
      <c r="T17" s="162"/>
      <c r="U17" s="162"/>
      <c r="V17" s="162"/>
      <c r="W17" s="162"/>
      <c r="X17" s="162"/>
      <c r="Y17" s="163"/>
    </row>
    <row r="18" spans="1:25" ht="59.25" customHeight="1">
      <c r="A18" s="79" t="s">
        <v>82</v>
      </c>
      <c r="B18" s="161" t="s">
        <v>106</v>
      </c>
      <c r="C18" s="162"/>
      <c r="D18" s="162"/>
      <c r="E18" s="162"/>
      <c r="F18" s="162"/>
      <c r="G18" s="162"/>
      <c r="H18" s="162"/>
      <c r="I18" s="162"/>
      <c r="J18" s="162"/>
      <c r="K18" s="162"/>
      <c r="L18" s="162"/>
      <c r="M18" s="162"/>
      <c r="N18" s="162"/>
      <c r="O18" s="162"/>
      <c r="P18" s="162"/>
      <c r="Q18" s="162"/>
      <c r="R18" s="162"/>
      <c r="S18" s="162"/>
      <c r="T18" s="162"/>
      <c r="U18" s="162"/>
      <c r="V18" s="162"/>
      <c r="W18" s="162"/>
      <c r="X18" s="162"/>
      <c r="Y18" s="163"/>
    </row>
    <row r="19" spans="1:25" ht="59.25" customHeight="1">
      <c r="A19" s="79" t="s">
        <v>83</v>
      </c>
      <c r="B19" s="161" t="s">
        <v>107</v>
      </c>
      <c r="C19" s="162"/>
      <c r="D19" s="162"/>
      <c r="E19" s="162"/>
      <c r="F19" s="162"/>
      <c r="G19" s="162"/>
      <c r="H19" s="162"/>
      <c r="I19" s="162"/>
      <c r="J19" s="162"/>
      <c r="K19" s="162"/>
      <c r="L19" s="162"/>
      <c r="M19" s="162"/>
      <c r="N19" s="162"/>
      <c r="O19" s="162"/>
      <c r="P19" s="162"/>
      <c r="Q19" s="162"/>
      <c r="R19" s="162"/>
      <c r="S19" s="162"/>
      <c r="T19" s="162"/>
      <c r="U19" s="162"/>
      <c r="V19" s="162"/>
      <c r="W19" s="162"/>
      <c r="X19" s="162"/>
      <c r="Y19" s="163"/>
    </row>
    <row r="20" spans="1:25" ht="59.25" customHeight="1">
      <c r="A20" s="79" t="s">
        <v>84</v>
      </c>
      <c r="B20" s="161"/>
      <c r="C20" s="162"/>
      <c r="D20" s="162"/>
      <c r="E20" s="162"/>
      <c r="F20" s="162"/>
      <c r="G20" s="162"/>
      <c r="H20" s="162"/>
      <c r="I20" s="162"/>
      <c r="J20" s="162"/>
      <c r="K20" s="162"/>
      <c r="L20" s="162"/>
      <c r="M20" s="162"/>
      <c r="N20" s="162"/>
      <c r="O20" s="162"/>
      <c r="P20" s="162"/>
      <c r="Q20" s="162"/>
      <c r="R20" s="162"/>
      <c r="S20" s="162"/>
      <c r="T20" s="162"/>
      <c r="U20" s="162"/>
      <c r="V20" s="162"/>
      <c r="W20" s="162"/>
      <c r="X20" s="162"/>
      <c r="Y20" s="163"/>
    </row>
    <row r="21" spans="1:25" ht="59.25" customHeight="1">
      <c r="A21" s="79" t="s">
        <v>85</v>
      </c>
      <c r="B21" s="161"/>
      <c r="C21" s="162"/>
      <c r="D21" s="162"/>
      <c r="E21" s="162"/>
      <c r="F21" s="162"/>
      <c r="G21" s="162"/>
      <c r="H21" s="162"/>
      <c r="I21" s="162"/>
      <c r="J21" s="162"/>
      <c r="K21" s="162"/>
      <c r="L21" s="162"/>
      <c r="M21" s="162"/>
      <c r="N21" s="162"/>
      <c r="O21" s="162"/>
      <c r="P21" s="162"/>
      <c r="Q21" s="162"/>
      <c r="R21" s="162"/>
      <c r="S21" s="162"/>
      <c r="T21" s="162"/>
      <c r="U21" s="162"/>
      <c r="V21" s="162"/>
      <c r="W21" s="162"/>
      <c r="X21" s="162"/>
      <c r="Y21" s="163"/>
    </row>
    <row r="22" spans="1:25" ht="59.25" customHeight="1">
      <c r="A22" s="79" t="s">
        <v>86</v>
      </c>
      <c r="B22" s="161"/>
      <c r="C22" s="162"/>
      <c r="D22" s="162"/>
      <c r="E22" s="162"/>
      <c r="F22" s="162"/>
      <c r="G22" s="162"/>
      <c r="H22" s="162"/>
      <c r="I22" s="162"/>
      <c r="J22" s="162"/>
      <c r="K22" s="162"/>
      <c r="L22" s="162"/>
      <c r="M22" s="162"/>
      <c r="N22" s="162"/>
      <c r="O22" s="162"/>
      <c r="P22" s="162"/>
      <c r="Q22" s="162"/>
      <c r="R22" s="162"/>
      <c r="S22" s="162"/>
      <c r="T22" s="162"/>
      <c r="U22" s="162"/>
      <c r="V22" s="162"/>
      <c r="W22" s="162"/>
      <c r="X22" s="162"/>
      <c r="Y22" s="163"/>
    </row>
    <row r="23" spans="1:25" ht="59.25" customHeight="1">
      <c r="A23" s="79" t="s">
        <v>87</v>
      </c>
      <c r="B23" s="161"/>
      <c r="C23" s="162"/>
      <c r="D23" s="162"/>
      <c r="E23" s="162"/>
      <c r="F23" s="162"/>
      <c r="G23" s="162"/>
      <c r="H23" s="162"/>
      <c r="I23" s="162"/>
      <c r="J23" s="162"/>
      <c r="K23" s="162"/>
      <c r="L23" s="162"/>
      <c r="M23" s="162"/>
      <c r="N23" s="162"/>
      <c r="O23" s="162"/>
      <c r="P23" s="162"/>
      <c r="Q23" s="162"/>
      <c r="R23" s="162"/>
      <c r="S23" s="162"/>
      <c r="T23" s="162"/>
      <c r="U23" s="162"/>
      <c r="V23" s="162"/>
      <c r="W23" s="162"/>
      <c r="X23" s="162"/>
      <c r="Y23" s="163"/>
    </row>
    <row r="24" spans="1:25" ht="59.25" customHeight="1">
      <c r="A24" s="79" t="s">
        <v>88</v>
      </c>
      <c r="B24" s="161"/>
      <c r="C24" s="162"/>
      <c r="D24" s="162"/>
      <c r="E24" s="162"/>
      <c r="F24" s="162"/>
      <c r="G24" s="162"/>
      <c r="H24" s="162"/>
      <c r="I24" s="162"/>
      <c r="J24" s="162"/>
      <c r="K24" s="162"/>
      <c r="L24" s="162"/>
      <c r="M24" s="162"/>
      <c r="N24" s="162"/>
      <c r="O24" s="162"/>
      <c r="P24" s="162"/>
      <c r="Q24" s="162"/>
      <c r="R24" s="162"/>
      <c r="S24" s="162"/>
      <c r="T24" s="162"/>
      <c r="U24" s="162"/>
      <c r="V24" s="162"/>
      <c r="W24" s="162"/>
      <c r="X24" s="162"/>
      <c r="Y24" s="163"/>
    </row>
    <row r="25" spans="1:25" ht="59.25" customHeight="1">
      <c r="A25" s="79" t="s">
        <v>89</v>
      </c>
      <c r="B25" s="161" t="s">
        <v>108</v>
      </c>
      <c r="C25" s="162"/>
      <c r="D25" s="162"/>
      <c r="E25" s="162"/>
      <c r="F25" s="162"/>
      <c r="G25" s="162"/>
      <c r="H25" s="162"/>
      <c r="I25" s="162"/>
      <c r="J25" s="162"/>
      <c r="K25" s="162"/>
      <c r="L25" s="162"/>
      <c r="M25" s="162"/>
      <c r="N25" s="162"/>
      <c r="O25" s="162"/>
      <c r="P25" s="162"/>
      <c r="Q25" s="162"/>
      <c r="R25" s="162"/>
      <c r="S25" s="162"/>
      <c r="T25" s="162"/>
      <c r="U25" s="162"/>
      <c r="V25" s="162"/>
      <c r="W25" s="162"/>
      <c r="X25" s="162"/>
      <c r="Y25" s="163"/>
    </row>
    <row r="26" spans="1:25" ht="59.25" customHeight="1">
      <c r="A26" s="79" t="s">
        <v>90</v>
      </c>
      <c r="B26" s="161"/>
      <c r="C26" s="162"/>
      <c r="D26" s="162"/>
      <c r="E26" s="162"/>
      <c r="F26" s="162"/>
      <c r="G26" s="162"/>
      <c r="H26" s="162"/>
      <c r="I26" s="162"/>
      <c r="J26" s="162"/>
      <c r="K26" s="162"/>
      <c r="L26" s="162"/>
      <c r="M26" s="162"/>
      <c r="N26" s="162"/>
      <c r="O26" s="162"/>
      <c r="P26" s="162"/>
      <c r="Q26" s="162"/>
      <c r="R26" s="162"/>
      <c r="S26" s="162"/>
      <c r="T26" s="162"/>
      <c r="U26" s="162"/>
      <c r="V26" s="162"/>
      <c r="W26" s="162"/>
      <c r="X26" s="162"/>
      <c r="Y26" s="163"/>
    </row>
    <row r="27" spans="1:25" ht="59.25" customHeight="1">
      <c r="A27" s="79" t="s">
        <v>91</v>
      </c>
      <c r="B27" s="161"/>
      <c r="C27" s="162"/>
      <c r="D27" s="162"/>
      <c r="E27" s="162"/>
      <c r="F27" s="162"/>
      <c r="G27" s="162"/>
      <c r="H27" s="162"/>
      <c r="I27" s="162"/>
      <c r="J27" s="162"/>
      <c r="K27" s="162"/>
      <c r="L27" s="162"/>
      <c r="M27" s="162"/>
      <c r="N27" s="162"/>
      <c r="O27" s="162"/>
      <c r="P27" s="162"/>
      <c r="Q27" s="162"/>
      <c r="R27" s="162"/>
      <c r="S27" s="162"/>
      <c r="T27" s="162"/>
      <c r="U27" s="162"/>
      <c r="V27" s="162"/>
      <c r="W27" s="162"/>
      <c r="X27" s="162"/>
      <c r="Y27" s="163"/>
    </row>
    <row r="28" spans="1:25" ht="59.25" customHeight="1">
      <c r="A28" s="79" t="s">
        <v>92</v>
      </c>
      <c r="B28" s="161"/>
      <c r="C28" s="162"/>
      <c r="D28" s="162"/>
      <c r="E28" s="162"/>
      <c r="F28" s="162"/>
      <c r="G28" s="162"/>
      <c r="H28" s="162"/>
      <c r="I28" s="162"/>
      <c r="J28" s="162"/>
      <c r="K28" s="162"/>
      <c r="L28" s="162"/>
      <c r="M28" s="162"/>
      <c r="N28" s="162"/>
      <c r="O28" s="162"/>
      <c r="P28" s="162"/>
      <c r="Q28" s="162"/>
      <c r="R28" s="162"/>
      <c r="S28" s="162"/>
      <c r="T28" s="162"/>
      <c r="U28" s="162"/>
      <c r="V28" s="162"/>
      <c r="W28" s="162"/>
      <c r="X28" s="162"/>
      <c r="Y28" s="163"/>
    </row>
    <row r="29" spans="1:25" ht="59.25" customHeight="1">
      <c r="A29" s="79" t="s">
        <v>93</v>
      </c>
      <c r="B29" s="161"/>
      <c r="C29" s="162"/>
      <c r="D29" s="162"/>
      <c r="E29" s="162"/>
      <c r="F29" s="162"/>
      <c r="G29" s="162"/>
      <c r="H29" s="162"/>
      <c r="I29" s="162"/>
      <c r="J29" s="162"/>
      <c r="K29" s="162"/>
      <c r="L29" s="162"/>
      <c r="M29" s="162"/>
      <c r="N29" s="162"/>
      <c r="O29" s="162"/>
      <c r="P29" s="162"/>
      <c r="Q29" s="162"/>
      <c r="R29" s="162"/>
      <c r="S29" s="162"/>
      <c r="T29" s="162"/>
      <c r="U29" s="162"/>
      <c r="V29" s="162"/>
      <c r="W29" s="162"/>
      <c r="X29" s="162"/>
      <c r="Y29" s="163"/>
    </row>
    <row r="30" spans="1:25" ht="59.25" customHeight="1">
      <c r="A30" s="79" t="s">
        <v>94</v>
      </c>
      <c r="B30" s="161"/>
      <c r="C30" s="162"/>
      <c r="D30" s="162"/>
      <c r="E30" s="162"/>
      <c r="F30" s="162"/>
      <c r="G30" s="162"/>
      <c r="H30" s="162"/>
      <c r="I30" s="162"/>
      <c r="J30" s="162"/>
      <c r="K30" s="162"/>
      <c r="L30" s="162"/>
      <c r="M30" s="162"/>
      <c r="N30" s="162"/>
      <c r="O30" s="162"/>
      <c r="P30" s="162"/>
      <c r="Q30" s="162"/>
      <c r="R30" s="162"/>
      <c r="S30" s="162"/>
      <c r="T30" s="162"/>
      <c r="U30" s="162"/>
      <c r="V30" s="162"/>
      <c r="W30" s="162"/>
      <c r="X30" s="162"/>
      <c r="Y30" s="163"/>
    </row>
    <row r="31" spans="1:25" ht="59.25" customHeight="1">
      <c r="A31" s="79" t="s">
        <v>95</v>
      </c>
      <c r="B31" s="161"/>
      <c r="C31" s="162"/>
      <c r="D31" s="162"/>
      <c r="E31" s="162"/>
      <c r="F31" s="162"/>
      <c r="G31" s="162"/>
      <c r="H31" s="162"/>
      <c r="I31" s="162"/>
      <c r="J31" s="162"/>
      <c r="K31" s="162"/>
      <c r="L31" s="162"/>
      <c r="M31" s="162"/>
      <c r="N31" s="162"/>
      <c r="O31" s="162"/>
      <c r="P31" s="162"/>
      <c r="Q31" s="162"/>
      <c r="R31" s="162"/>
      <c r="S31" s="162"/>
      <c r="T31" s="162"/>
      <c r="U31" s="162"/>
      <c r="V31" s="162"/>
      <c r="W31" s="162"/>
      <c r="X31" s="162"/>
      <c r="Y31" s="163"/>
    </row>
    <row r="32" spans="1:25" ht="59.25" customHeight="1">
      <c r="A32" s="79" t="s">
        <v>96</v>
      </c>
      <c r="B32" s="161"/>
      <c r="C32" s="162"/>
      <c r="D32" s="162"/>
      <c r="E32" s="162"/>
      <c r="F32" s="162"/>
      <c r="G32" s="162"/>
      <c r="H32" s="162"/>
      <c r="I32" s="162"/>
      <c r="J32" s="162"/>
      <c r="K32" s="162"/>
      <c r="L32" s="162"/>
      <c r="M32" s="162"/>
      <c r="N32" s="162"/>
      <c r="O32" s="162"/>
      <c r="P32" s="162"/>
      <c r="Q32" s="162"/>
      <c r="R32" s="162"/>
      <c r="S32" s="162"/>
      <c r="T32" s="162"/>
      <c r="U32" s="162"/>
      <c r="V32" s="162"/>
      <c r="W32" s="162"/>
      <c r="X32" s="162"/>
      <c r="Y32" s="163"/>
    </row>
    <row r="33" spans="1:25" ht="59.25" customHeight="1">
      <c r="A33" s="79" t="s">
        <v>97</v>
      </c>
      <c r="B33" s="161"/>
      <c r="C33" s="162"/>
      <c r="D33" s="162"/>
      <c r="E33" s="162"/>
      <c r="F33" s="162"/>
      <c r="G33" s="162"/>
      <c r="H33" s="162"/>
      <c r="I33" s="162"/>
      <c r="J33" s="162"/>
      <c r="K33" s="162"/>
      <c r="L33" s="162"/>
      <c r="M33" s="162"/>
      <c r="N33" s="162"/>
      <c r="O33" s="162"/>
      <c r="P33" s="162"/>
      <c r="Q33" s="162"/>
      <c r="R33" s="162"/>
      <c r="S33" s="162"/>
      <c r="T33" s="162"/>
      <c r="U33" s="162"/>
      <c r="V33" s="162"/>
      <c r="W33" s="162"/>
      <c r="X33" s="162"/>
      <c r="Y33" s="163"/>
    </row>
    <row r="34" spans="1:25" ht="59.25" customHeight="1">
      <c r="A34" s="79" t="s">
        <v>98</v>
      </c>
      <c r="B34" s="161"/>
      <c r="C34" s="162"/>
      <c r="D34" s="162"/>
      <c r="E34" s="162"/>
      <c r="F34" s="162"/>
      <c r="G34" s="162"/>
      <c r="H34" s="162"/>
      <c r="I34" s="162"/>
      <c r="J34" s="162"/>
      <c r="K34" s="162"/>
      <c r="L34" s="162"/>
      <c r="M34" s="162"/>
      <c r="N34" s="162"/>
      <c r="O34" s="162"/>
      <c r="P34" s="162"/>
      <c r="Q34" s="162"/>
      <c r="R34" s="162"/>
      <c r="S34" s="162"/>
      <c r="T34" s="162"/>
      <c r="U34" s="162"/>
      <c r="V34" s="162"/>
      <c r="W34" s="162"/>
      <c r="X34" s="162"/>
      <c r="Y34" s="163"/>
    </row>
    <row r="35" spans="1:25" ht="59.25" customHeight="1">
      <c r="A35" s="79"/>
      <c r="B35" s="161"/>
      <c r="C35" s="162"/>
      <c r="D35" s="162"/>
      <c r="E35" s="162"/>
      <c r="F35" s="162"/>
      <c r="G35" s="162"/>
      <c r="H35" s="162"/>
      <c r="I35" s="162"/>
      <c r="J35" s="162"/>
      <c r="K35" s="162"/>
      <c r="L35" s="162"/>
      <c r="M35" s="162"/>
      <c r="N35" s="162"/>
      <c r="O35" s="162"/>
      <c r="P35" s="162"/>
      <c r="Q35" s="162"/>
      <c r="R35" s="162"/>
      <c r="S35" s="162"/>
      <c r="T35" s="162"/>
      <c r="U35" s="162"/>
      <c r="V35" s="162"/>
      <c r="W35" s="162"/>
      <c r="X35" s="162"/>
      <c r="Y35" s="163"/>
    </row>
    <row r="36" spans="1:25" ht="59.25" customHeight="1">
      <c r="A36" s="79"/>
      <c r="B36" s="161"/>
      <c r="C36" s="162"/>
      <c r="D36" s="162"/>
      <c r="E36" s="162"/>
      <c r="F36" s="162"/>
      <c r="G36" s="162"/>
      <c r="H36" s="162"/>
      <c r="I36" s="162"/>
      <c r="J36" s="162"/>
      <c r="K36" s="162"/>
      <c r="L36" s="162"/>
      <c r="M36" s="162"/>
      <c r="N36" s="162"/>
      <c r="O36" s="162"/>
      <c r="P36" s="162"/>
      <c r="Q36" s="162"/>
      <c r="R36" s="162"/>
      <c r="S36" s="162"/>
      <c r="T36" s="162"/>
      <c r="U36" s="162"/>
      <c r="V36" s="162"/>
      <c r="W36" s="162"/>
      <c r="X36" s="162"/>
      <c r="Y36" s="163"/>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3:Y33"/>
    <mergeCell ref="B32:Y32"/>
    <mergeCell ref="B18:Y18"/>
    <mergeCell ref="B19:Y19"/>
    <mergeCell ref="B20:Y20"/>
    <mergeCell ref="B21:Y21"/>
    <mergeCell ref="B22:Y22"/>
    <mergeCell ref="A2:A12"/>
    <mergeCell ref="B14:Y14"/>
    <mergeCell ref="B15:Y15"/>
    <mergeCell ref="B16:Y16"/>
    <mergeCell ref="B17:Y17"/>
  </mergeCells>
  <phoneticPr fontId="1"/>
  <dataValidations count="3">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2">
      <formula1>$AA$2:$AA$7</formula1>
    </dataValidation>
    <dataValidation type="list" allowBlank="1" showDropDown="1" showInputMessage="1" showErrorMessage="1" errorTitle="文字エラー" error="半角数字1～5を入れて下さい。_x000a_文字列ではなく数値で入力して下さい。" sqref="D13:Y13">
      <formula1>$AA$2:$AA$7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AA190"/>
  <sheetViews>
    <sheetView workbookViewId="0">
      <selection sqref="A1:XFD1048576"/>
    </sheetView>
  </sheetViews>
  <sheetFormatPr defaultColWidth="9" defaultRowHeight="13.5"/>
  <cols>
    <col min="1" max="1" width="13.5" style="76" customWidth="1"/>
    <col min="2" max="2" width="79.125" style="76" customWidth="1"/>
    <col min="3" max="3" width="9.375" style="76" customWidth="1"/>
    <col min="4" max="25" width="4.125" style="76" customWidth="1"/>
    <col min="26" max="16384" width="9" style="76"/>
  </cols>
  <sheetData>
    <row r="1" spans="1:27" ht="85.5" customHeight="1">
      <c r="A1" s="74" t="str">
        <f ca="1">MID(CELL("filename",A1),FIND("[",CELL("filename",A1))+1,3)</f>
        <v>４－２</v>
      </c>
      <c r="B1" s="34" t="str">
        <f ca="1">RIGHT(CELL("filename",B1),LEN(CELL("filename",B1))-FIND("]",CELL("filename",B1)))</f>
        <v>社会</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75"/>
    </row>
    <row r="2" spans="1:27" ht="22.5" customHeight="1">
      <c r="A2" s="155" t="s">
        <v>237</v>
      </c>
      <c r="B2" s="41" t="s">
        <v>65</v>
      </c>
      <c r="C2" s="38" t="s">
        <v>26</v>
      </c>
      <c r="D2" s="73" t="s">
        <v>238</v>
      </c>
      <c r="E2" s="73" t="s">
        <v>238</v>
      </c>
      <c r="F2" s="73" t="s">
        <v>238</v>
      </c>
      <c r="G2" s="73" t="s">
        <v>238</v>
      </c>
      <c r="H2" s="73" t="s">
        <v>211</v>
      </c>
      <c r="I2" s="73" t="s">
        <v>238</v>
      </c>
      <c r="J2" s="73" t="s">
        <v>238</v>
      </c>
      <c r="K2" s="73" t="s">
        <v>211</v>
      </c>
      <c r="L2" s="73" t="s">
        <v>238</v>
      </c>
      <c r="M2" s="73" t="s">
        <v>238</v>
      </c>
      <c r="N2" s="73" t="s">
        <v>238</v>
      </c>
      <c r="O2" s="73" t="s">
        <v>211</v>
      </c>
      <c r="P2" s="73" t="s">
        <v>238</v>
      </c>
      <c r="Q2" s="73" t="s">
        <v>238</v>
      </c>
      <c r="R2" s="73" t="s">
        <v>211</v>
      </c>
      <c r="S2" s="73" t="s">
        <v>211</v>
      </c>
      <c r="T2" s="73" t="s">
        <v>211</v>
      </c>
      <c r="U2" s="73" t="s">
        <v>238</v>
      </c>
      <c r="V2" s="73" t="s">
        <v>211</v>
      </c>
      <c r="W2" s="73" t="s">
        <v>211</v>
      </c>
      <c r="X2" s="73"/>
      <c r="Y2" s="73"/>
      <c r="Z2" s="77" t="s">
        <v>211</v>
      </c>
      <c r="AA2" s="77">
        <v>1</v>
      </c>
    </row>
    <row r="3" spans="1:27" ht="22.5" customHeight="1">
      <c r="A3" s="156"/>
      <c r="B3" s="41" t="s">
        <v>66</v>
      </c>
      <c r="C3" s="38" t="s">
        <v>26</v>
      </c>
      <c r="D3" s="73" t="s">
        <v>238</v>
      </c>
      <c r="E3" s="73" t="s">
        <v>212</v>
      </c>
      <c r="F3" s="73" t="s">
        <v>212</v>
      </c>
      <c r="G3" s="73" t="s">
        <v>211</v>
      </c>
      <c r="H3" s="73" t="s">
        <v>211</v>
      </c>
      <c r="I3" s="73" t="s">
        <v>211</v>
      </c>
      <c r="J3" s="73" t="s">
        <v>211</v>
      </c>
      <c r="K3" s="73" t="s">
        <v>212</v>
      </c>
      <c r="L3" s="73" t="s">
        <v>211</v>
      </c>
      <c r="M3" s="73" t="s">
        <v>211</v>
      </c>
      <c r="N3" s="73" t="s">
        <v>212</v>
      </c>
      <c r="O3" s="73" t="s">
        <v>212</v>
      </c>
      <c r="P3" s="73" t="s">
        <v>211</v>
      </c>
      <c r="Q3" s="73" t="s">
        <v>211</v>
      </c>
      <c r="R3" s="73" t="s">
        <v>211</v>
      </c>
      <c r="S3" s="73" t="s">
        <v>212</v>
      </c>
      <c r="T3" s="73" t="s">
        <v>211</v>
      </c>
      <c r="U3" s="73" t="s">
        <v>211</v>
      </c>
      <c r="V3" s="73" t="s">
        <v>211</v>
      </c>
      <c r="W3" s="73" t="s">
        <v>211</v>
      </c>
      <c r="X3" s="73"/>
      <c r="Y3" s="73"/>
      <c r="Z3" s="77" t="s">
        <v>212</v>
      </c>
      <c r="AA3" s="77">
        <v>2</v>
      </c>
    </row>
    <row r="4" spans="1:27" ht="22.5" customHeight="1">
      <c r="A4" s="156"/>
      <c r="B4" s="41" t="s">
        <v>109</v>
      </c>
      <c r="C4" s="38" t="s">
        <v>26</v>
      </c>
      <c r="D4" s="73" t="s">
        <v>212</v>
      </c>
      <c r="E4" s="73" t="s">
        <v>213</v>
      </c>
      <c r="F4" s="73" t="s">
        <v>213</v>
      </c>
      <c r="G4" s="73" t="s">
        <v>212</v>
      </c>
      <c r="H4" s="73" t="s">
        <v>211</v>
      </c>
      <c r="I4" s="73" t="s">
        <v>211</v>
      </c>
      <c r="J4" s="73" t="s">
        <v>211</v>
      </c>
      <c r="K4" s="73" t="s">
        <v>211</v>
      </c>
      <c r="L4" s="73" t="s">
        <v>211</v>
      </c>
      <c r="M4" s="73" t="s">
        <v>213</v>
      </c>
      <c r="N4" s="73" t="s">
        <v>213</v>
      </c>
      <c r="O4" s="73" t="s">
        <v>211</v>
      </c>
      <c r="P4" s="73" t="s">
        <v>211</v>
      </c>
      <c r="Q4" s="73" t="s">
        <v>213</v>
      </c>
      <c r="R4" s="73" t="s">
        <v>211</v>
      </c>
      <c r="S4" s="73" t="s">
        <v>212</v>
      </c>
      <c r="T4" s="73" t="s">
        <v>212</v>
      </c>
      <c r="U4" s="73" t="s">
        <v>211</v>
      </c>
      <c r="V4" s="73" t="s">
        <v>213</v>
      </c>
      <c r="W4" s="73" t="s">
        <v>211</v>
      </c>
      <c r="X4" s="73"/>
      <c r="Y4" s="73"/>
      <c r="Z4" s="77" t="s">
        <v>213</v>
      </c>
      <c r="AA4" s="77">
        <v>3</v>
      </c>
    </row>
    <row r="5" spans="1:27" ht="22.5" customHeight="1">
      <c r="A5" s="156"/>
      <c r="B5" s="41" t="s">
        <v>110</v>
      </c>
      <c r="C5" s="38" t="s">
        <v>26</v>
      </c>
      <c r="D5" s="73" t="s">
        <v>211</v>
      </c>
      <c r="E5" s="73" t="s">
        <v>211</v>
      </c>
      <c r="F5" s="73" t="s">
        <v>211</v>
      </c>
      <c r="G5" s="73" t="s">
        <v>211</v>
      </c>
      <c r="H5" s="73" t="s">
        <v>211</v>
      </c>
      <c r="I5" s="73" t="s">
        <v>211</v>
      </c>
      <c r="J5" s="73" t="s">
        <v>211</v>
      </c>
      <c r="K5" s="73" t="s">
        <v>211</v>
      </c>
      <c r="L5" s="73" t="s">
        <v>211</v>
      </c>
      <c r="M5" s="73" t="s">
        <v>211</v>
      </c>
      <c r="N5" s="73" t="s">
        <v>213</v>
      </c>
      <c r="O5" s="73" t="s">
        <v>211</v>
      </c>
      <c r="P5" s="73" t="s">
        <v>211</v>
      </c>
      <c r="Q5" s="73" t="s">
        <v>211</v>
      </c>
      <c r="R5" s="73" t="s">
        <v>211</v>
      </c>
      <c r="S5" s="73" t="s">
        <v>211</v>
      </c>
      <c r="T5" s="73" t="s">
        <v>211</v>
      </c>
      <c r="U5" s="73" t="s">
        <v>211</v>
      </c>
      <c r="V5" s="73" t="s">
        <v>211</v>
      </c>
      <c r="W5" s="73" t="s">
        <v>211</v>
      </c>
      <c r="X5" s="73"/>
      <c r="Y5" s="73"/>
      <c r="Z5" s="77" t="s">
        <v>214</v>
      </c>
      <c r="AA5" s="77">
        <v>4</v>
      </c>
    </row>
    <row r="6" spans="1:27" ht="22.5" customHeight="1">
      <c r="A6" s="156"/>
      <c r="B6" s="41" t="s">
        <v>111</v>
      </c>
      <c r="C6" s="38" t="s">
        <v>26</v>
      </c>
      <c r="D6" s="73" t="s">
        <v>211</v>
      </c>
      <c r="E6" s="73" t="s">
        <v>212</v>
      </c>
      <c r="F6" s="73" t="s">
        <v>211</v>
      </c>
      <c r="G6" s="73" t="s">
        <v>211</v>
      </c>
      <c r="H6" s="73" t="s">
        <v>211</v>
      </c>
      <c r="I6" s="73" t="s">
        <v>211</v>
      </c>
      <c r="J6" s="73" t="s">
        <v>211</v>
      </c>
      <c r="K6" s="73" t="s">
        <v>212</v>
      </c>
      <c r="L6" s="73" t="s">
        <v>211</v>
      </c>
      <c r="M6" s="73" t="s">
        <v>211</v>
      </c>
      <c r="N6" s="73" t="s">
        <v>213</v>
      </c>
      <c r="O6" s="73" t="s">
        <v>211</v>
      </c>
      <c r="P6" s="73" t="s">
        <v>211</v>
      </c>
      <c r="Q6" s="73" t="s">
        <v>211</v>
      </c>
      <c r="R6" s="73" t="s">
        <v>211</v>
      </c>
      <c r="S6" s="73" t="s">
        <v>211</v>
      </c>
      <c r="T6" s="73" t="s">
        <v>211</v>
      </c>
      <c r="U6" s="73" t="s">
        <v>212</v>
      </c>
      <c r="V6" s="73" t="s">
        <v>211</v>
      </c>
      <c r="W6" s="73" t="s">
        <v>211</v>
      </c>
      <c r="X6" s="73"/>
      <c r="Y6" s="73"/>
      <c r="Z6" s="77"/>
      <c r="AA6" s="77">
        <v>5</v>
      </c>
    </row>
    <row r="7" spans="1:27" ht="22.5" customHeight="1">
      <c r="A7" s="156"/>
      <c r="B7" s="41"/>
      <c r="C7" s="38" t="s">
        <v>26</v>
      </c>
      <c r="D7" s="73"/>
      <c r="E7" s="73"/>
      <c r="F7" s="73"/>
      <c r="G7" s="73"/>
      <c r="H7" s="73"/>
      <c r="I7" s="73"/>
      <c r="J7" s="73"/>
      <c r="K7" s="73"/>
      <c r="L7" s="73"/>
      <c r="M7" s="73"/>
      <c r="N7" s="73"/>
      <c r="O7" s="73"/>
      <c r="P7" s="73"/>
      <c r="Q7" s="73"/>
      <c r="R7" s="73"/>
      <c r="S7" s="73"/>
      <c r="T7" s="73"/>
      <c r="U7" s="73"/>
      <c r="V7" s="73"/>
      <c r="W7" s="73"/>
      <c r="X7" s="73"/>
      <c r="Y7" s="73"/>
      <c r="Z7" s="77"/>
      <c r="AA7" s="77" t="s">
        <v>214</v>
      </c>
    </row>
    <row r="8" spans="1:27" ht="22.5" customHeight="1">
      <c r="A8" s="156"/>
      <c r="B8" s="41"/>
      <c r="C8" s="38" t="s">
        <v>26</v>
      </c>
      <c r="D8" s="73"/>
      <c r="E8" s="73"/>
      <c r="F8" s="73"/>
      <c r="G8" s="73"/>
      <c r="H8" s="73"/>
      <c r="I8" s="73"/>
      <c r="J8" s="73"/>
      <c r="K8" s="73"/>
      <c r="L8" s="73"/>
      <c r="M8" s="73"/>
      <c r="N8" s="73"/>
      <c r="O8" s="73"/>
      <c r="P8" s="73"/>
      <c r="Q8" s="73"/>
      <c r="R8" s="73"/>
      <c r="S8" s="73"/>
      <c r="T8" s="73"/>
      <c r="U8" s="73"/>
      <c r="V8" s="73"/>
      <c r="W8" s="73"/>
      <c r="X8" s="73"/>
      <c r="Y8" s="73"/>
    </row>
    <row r="9" spans="1:27" ht="22.5" customHeight="1">
      <c r="A9" s="156"/>
      <c r="B9" s="41"/>
      <c r="C9" s="38" t="s">
        <v>26</v>
      </c>
      <c r="D9" s="73"/>
      <c r="E9" s="73"/>
      <c r="F9" s="73"/>
      <c r="G9" s="73"/>
      <c r="H9" s="73"/>
      <c r="I9" s="73"/>
      <c r="J9" s="73"/>
      <c r="K9" s="73"/>
      <c r="L9" s="73"/>
      <c r="M9" s="73"/>
      <c r="N9" s="73"/>
      <c r="O9" s="73"/>
      <c r="P9" s="73"/>
      <c r="Q9" s="73"/>
      <c r="R9" s="73"/>
      <c r="S9" s="73"/>
      <c r="T9" s="73"/>
      <c r="U9" s="73"/>
      <c r="V9" s="73"/>
      <c r="W9" s="73"/>
      <c r="X9" s="73"/>
      <c r="Y9" s="73"/>
    </row>
    <row r="10" spans="1:27" ht="22.5" customHeight="1">
      <c r="A10" s="156"/>
      <c r="B10" s="41"/>
      <c r="C10" s="38" t="s">
        <v>26</v>
      </c>
      <c r="D10" s="73"/>
      <c r="E10" s="73"/>
      <c r="F10" s="73"/>
      <c r="G10" s="73"/>
      <c r="H10" s="73"/>
      <c r="I10" s="73"/>
      <c r="J10" s="73"/>
      <c r="K10" s="73"/>
      <c r="L10" s="73"/>
      <c r="M10" s="73"/>
      <c r="N10" s="73"/>
      <c r="O10" s="73"/>
      <c r="P10" s="73"/>
      <c r="Q10" s="73"/>
      <c r="R10" s="73"/>
      <c r="S10" s="73"/>
      <c r="T10" s="73"/>
      <c r="U10" s="73"/>
      <c r="V10" s="73"/>
      <c r="W10" s="73"/>
      <c r="X10" s="73"/>
      <c r="Y10" s="73"/>
    </row>
    <row r="11" spans="1:27" ht="22.5" customHeight="1">
      <c r="A11" s="156"/>
      <c r="B11" s="41"/>
      <c r="C11" s="38" t="s">
        <v>26</v>
      </c>
      <c r="D11" s="73"/>
      <c r="E11" s="73"/>
      <c r="F11" s="73"/>
      <c r="G11" s="73"/>
      <c r="H11" s="73"/>
      <c r="I11" s="73"/>
      <c r="J11" s="73"/>
      <c r="K11" s="73"/>
      <c r="L11" s="73"/>
      <c r="M11" s="73"/>
      <c r="N11" s="73"/>
      <c r="O11" s="73"/>
      <c r="P11" s="73"/>
      <c r="Q11" s="73"/>
      <c r="R11" s="73"/>
      <c r="S11" s="73"/>
      <c r="T11" s="73"/>
      <c r="U11" s="73"/>
      <c r="V11" s="73"/>
      <c r="W11" s="73"/>
      <c r="X11" s="73"/>
      <c r="Y11" s="73"/>
    </row>
    <row r="12" spans="1:27" ht="30" customHeight="1">
      <c r="A12" s="157"/>
      <c r="B12" s="42"/>
      <c r="C12" s="43" t="s">
        <v>27</v>
      </c>
      <c r="D12" s="73">
        <v>5</v>
      </c>
      <c r="E12" s="73">
        <v>3</v>
      </c>
      <c r="F12" s="73">
        <v>4</v>
      </c>
      <c r="G12" s="73">
        <v>5</v>
      </c>
      <c r="H12" s="73">
        <v>5</v>
      </c>
      <c r="I12" s="73">
        <v>5</v>
      </c>
      <c r="J12" s="73">
        <v>5</v>
      </c>
      <c r="K12" s="73">
        <v>4</v>
      </c>
      <c r="L12" s="73">
        <v>5</v>
      </c>
      <c r="M12" s="73">
        <v>4</v>
      </c>
      <c r="N12" s="73">
        <v>2</v>
      </c>
      <c r="O12" s="73">
        <v>5</v>
      </c>
      <c r="P12" s="73">
        <v>5</v>
      </c>
      <c r="Q12" s="73">
        <v>4</v>
      </c>
      <c r="R12" s="73">
        <v>5</v>
      </c>
      <c r="S12" s="73">
        <v>4</v>
      </c>
      <c r="T12" s="73">
        <v>5</v>
      </c>
      <c r="U12" s="73">
        <v>5</v>
      </c>
      <c r="V12" s="73">
        <v>4</v>
      </c>
      <c r="W12" s="73">
        <v>5</v>
      </c>
      <c r="X12" s="73"/>
      <c r="Y12" s="73"/>
    </row>
    <row r="13" spans="1:27" ht="26.25" customHeight="1">
      <c r="A13" s="78"/>
      <c r="B13" s="78"/>
      <c r="C13" s="71" t="s">
        <v>55</v>
      </c>
      <c r="D13" s="73"/>
      <c r="E13" s="73"/>
      <c r="F13" s="73"/>
      <c r="G13" s="73"/>
      <c r="H13" s="73"/>
      <c r="I13" s="73"/>
      <c r="J13" s="73"/>
      <c r="K13" s="73"/>
      <c r="L13" s="73"/>
      <c r="M13" s="73"/>
      <c r="N13" s="73"/>
      <c r="O13" s="73"/>
      <c r="P13" s="73"/>
      <c r="Q13" s="73"/>
      <c r="R13" s="73"/>
      <c r="S13" s="73"/>
      <c r="T13" s="73"/>
      <c r="U13" s="73"/>
      <c r="V13" s="73"/>
      <c r="W13" s="73"/>
      <c r="X13" s="73"/>
      <c r="Y13" s="73"/>
    </row>
    <row r="14" spans="1:27" ht="22.5" customHeight="1">
      <c r="A14" s="45" t="s">
        <v>28</v>
      </c>
      <c r="B14" s="158" t="s">
        <v>29</v>
      </c>
      <c r="C14" s="159"/>
      <c r="D14" s="159"/>
      <c r="E14" s="159"/>
      <c r="F14" s="159"/>
      <c r="G14" s="159"/>
      <c r="H14" s="159"/>
      <c r="I14" s="159"/>
      <c r="J14" s="159"/>
      <c r="K14" s="159"/>
      <c r="L14" s="159"/>
      <c r="M14" s="159"/>
      <c r="N14" s="159"/>
      <c r="O14" s="159"/>
      <c r="P14" s="159"/>
      <c r="Q14" s="159"/>
      <c r="R14" s="159"/>
      <c r="S14" s="159"/>
      <c r="T14" s="159"/>
      <c r="U14" s="159"/>
      <c r="V14" s="159"/>
      <c r="W14" s="159"/>
      <c r="X14" s="159"/>
      <c r="Y14" s="160"/>
    </row>
    <row r="15" spans="1:27" ht="59.25" customHeight="1">
      <c r="A15" s="79" t="s">
        <v>79</v>
      </c>
      <c r="B15" s="161"/>
      <c r="C15" s="162"/>
      <c r="D15" s="162"/>
      <c r="E15" s="162"/>
      <c r="F15" s="162"/>
      <c r="G15" s="162"/>
      <c r="H15" s="162"/>
      <c r="I15" s="162"/>
      <c r="J15" s="162"/>
      <c r="K15" s="162"/>
      <c r="L15" s="162"/>
      <c r="M15" s="162"/>
      <c r="N15" s="162"/>
      <c r="O15" s="162"/>
      <c r="P15" s="162"/>
      <c r="Q15" s="162"/>
      <c r="R15" s="162"/>
      <c r="S15" s="162"/>
      <c r="T15" s="162"/>
      <c r="U15" s="162"/>
      <c r="V15" s="162"/>
      <c r="W15" s="162"/>
      <c r="X15" s="162"/>
      <c r="Y15" s="163"/>
    </row>
    <row r="16" spans="1:27" ht="59.25" customHeight="1">
      <c r="A16" s="79" t="s">
        <v>80</v>
      </c>
      <c r="B16" s="161"/>
      <c r="C16" s="162"/>
      <c r="D16" s="162"/>
      <c r="E16" s="162"/>
      <c r="F16" s="162"/>
      <c r="G16" s="162"/>
      <c r="H16" s="162"/>
      <c r="I16" s="162"/>
      <c r="J16" s="162"/>
      <c r="K16" s="162"/>
      <c r="L16" s="162"/>
      <c r="M16" s="162"/>
      <c r="N16" s="162"/>
      <c r="O16" s="162"/>
      <c r="P16" s="162"/>
      <c r="Q16" s="162"/>
      <c r="R16" s="162"/>
      <c r="S16" s="162"/>
      <c r="T16" s="162"/>
      <c r="U16" s="162"/>
      <c r="V16" s="162"/>
      <c r="W16" s="162"/>
      <c r="X16" s="162"/>
      <c r="Y16" s="163"/>
    </row>
    <row r="17" spans="1:25" ht="59.25" customHeight="1">
      <c r="A17" s="79" t="s">
        <v>81</v>
      </c>
      <c r="B17" s="161"/>
      <c r="C17" s="162"/>
      <c r="D17" s="162"/>
      <c r="E17" s="162"/>
      <c r="F17" s="162"/>
      <c r="G17" s="162"/>
      <c r="H17" s="162"/>
      <c r="I17" s="162"/>
      <c r="J17" s="162"/>
      <c r="K17" s="162"/>
      <c r="L17" s="162"/>
      <c r="M17" s="162"/>
      <c r="N17" s="162"/>
      <c r="O17" s="162"/>
      <c r="P17" s="162"/>
      <c r="Q17" s="162"/>
      <c r="R17" s="162"/>
      <c r="S17" s="162"/>
      <c r="T17" s="162"/>
      <c r="U17" s="162"/>
      <c r="V17" s="162"/>
      <c r="W17" s="162"/>
      <c r="X17" s="162"/>
      <c r="Y17" s="163"/>
    </row>
    <row r="18" spans="1:25" ht="59.25" customHeight="1">
      <c r="A18" s="79" t="s">
        <v>82</v>
      </c>
      <c r="B18" s="161"/>
      <c r="C18" s="162"/>
      <c r="D18" s="162"/>
      <c r="E18" s="162"/>
      <c r="F18" s="162"/>
      <c r="G18" s="162"/>
      <c r="H18" s="162"/>
      <c r="I18" s="162"/>
      <c r="J18" s="162"/>
      <c r="K18" s="162"/>
      <c r="L18" s="162"/>
      <c r="M18" s="162"/>
      <c r="N18" s="162"/>
      <c r="O18" s="162"/>
      <c r="P18" s="162"/>
      <c r="Q18" s="162"/>
      <c r="R18" s="162"/>
      <c r="S18" s="162"/>
      <c r="T18" s="162"/>
      <c r="U18" s="162"/>
      <c r="V18" s="162"/>
      <c r="W18" s="162"/>
      <c r="X18" s="162"/>
      <c r="Y18" s="163"/>
    </row>
    <row r="19" spans="1:25" ht="59.25" customHeight="1">
      <c r="A19" s="79" t="s">
        <v>83</v>
      </c>
      <c r="B19" s="161"/>
      <c r="C19" s="162"/>
      <c r="D19" s="162"/>
      <c r="E19" s="162"/>
      <c r="F19" s="162"/>
      <c r="G19" s="162"/>
      <c r="H19" s="162"/>
      <c r="I19" s="162"/>
      <c r="J19" s="162"/>
      <c r="K19" s="162"/>
      <c r="L19" s="162"/>
      <c r="M19" s="162"/>
      <c r="N19" s="162"/>
      <c r="O19" s="162"/>
      <c r="P19" s="162"/>
      <c r="Q19" s="162"/>
      <c r="R19" s="162"/>
      <c r="S19" s="162"/>
      <c r="T19" s="162"/>
      <c r="U19" s="162"/>
      <c r="V19" s="162"/>
      <c r="W19" s="162"/>
      <c r="X19" s="162"/>
      <c r="Y19" s="163"/>
    </row>
    <row r="20" spans="1:25" ht="59.25" customHeight="1">
      <c r="A20" s="79" t="s">
        <v>84</v>
      </c>
      <c r="B20" s="161"/>
      <c r="C20" s="162"/>
      <c r="D20" s="162"/>
      <c r="E20" s="162"/>
      <c r="F20" s="162"/>
      <c r="G20" s="162"/>
      <c r="H20" s="162"/>
      <c r="I20" s="162"/>
      <c r="J20" s="162"/>
      <c r="K20" s="162"/>
      <c r="L20" s="162"/>
      <c r="M20" s="162"/>
      <c r="N20" s="162"/>
      <c r="O20" s="162"/>
      <c r="P20" s="162"/>
      <c r="Q20" s="162"/>
      <c r="R20" s="162"/>
      <c r="S20" s="162"/>
      <c r="T20" s="162"/>
      <c r="U20" s="162"/>
      <c r="V20" s="162"/>
      <c r="W20" s="162"/>
      <c r="X20" s="162"/>
      <c r="Y20" s="163"/>
    </row>
    <row r="21" spans="1:25" ht="59.25" customHeight="1">
      <c r="A21" s="79" t="s">
        <v>85</v>
      </c>
      <c r="B21" s="161"/>
      <c r="C21" s="162"/>
      <c r="D21" s="162"/>
      <c r="E21" s="162"/>
      <c r="F21" s="162"/>
      <c r="G21" s="162"/>
      <c r="H21" s="162"/>
      <c r="I21" s="162"/>
      <c r="J21" s="162"/>
      <c r="K21" s="162"/>
      <c r="L21" s="162"/>
      <c r="M21" s="162"/>
      <c r="N21" s="162"/>
      <c r="O21" s="162"/>
      <c r="P21" s="162"/>
      <c r="Q21" s="162"/>
      <c r="R21" s="162"/>
      <c r="S21" s="162"/>
      <c r="T21" s="162"/>
      <c r="U21" s="162"/>
      <c r="V21" s="162"/>
      <c r="W21" s="162"/>
      <c r="X21" s="162"/>
      <c r="Y21" s="163"/>
    </row>
    <row r="22" spans="1:25" ht="59.25" customHeight="1">
      <c r="A22" s="79" t="s">
        <v>86</v>
      </c>
      <c r="B22" s="161"/>
      <c r="C22" s="162"/>
      <c r="D22" s="162"/>
      <c r="E22" s="162"/>
      <c r="F22" s="162"/>
      <c r="G22" s="162"/>
      <c r="H22" s="162"/>
      <c r="I22" s="162"/>
      <c r="J22" s="162"/>
      <c r="K22" s="162"/>
      <c r="L22" s="162"/>
      <c r="M22" s="162"/>
      <c r="N22" s="162"/>
      <c r="O22" s="162"/>
      <c r="P22" s="162"/>
      <c r="Q22" s="162"/>
      <c r="R22" s="162"/>
      <c r="S22" s="162"/>
      <c r="T22" s="162"/>
      <c r="U22" s="162"/>
      <c r="V22" s="162"/>
      <c r="W22" s="162"/>
      <c r="X22" s="162"/>
      <c r="Y22" s="163"/>
    </row>
    <row r="23" spans="1:25" ht="59.25" customHeight="1">
      <c r="A23" s="79" t="s">
        <v>87</v>
      </c>
      <c r="B23" s="161"/>
      <c r="C23" s="162"/>
      <c r="D23" s="162"/>
      <c r="E23" s="162"/>
      <c r="F23" s="162"/>
      <c r="G23" s="162"/>
      <c r="H23" s="162"/>
      <c r="I23" s="162"/>
      <c r="J23" s="162"/>
      <c r="K23" s="162"/>
      <c r="L23" s="162"/>
      <c r="M23" s="162"/>
      <c r="N23" s="162"/>
      <c r="O23" s="162"/>
      <c r="P23" s="162"/>
      <c r="Q23" s="162"/>
      <c r="R23" s="162"/>
      <c r="S23" s="162"/>
      <c r="T23" s="162"/>
      <c r="U23" s="162"/>
      <c r="V23" s="162"/>
      <c r="W23" s="162"/>
      <c r="X23" s="162"/>
      <c r="Y23" s="163"/>
    </row>
    <row r="24" spans="1:25" ht="59.25" customHeight="1">
      <c r="A24" s="79" t="s">
        <v>88</v>
      </c>
      <c r="B24" s="161"/>
      <c r="C24" s="162"/>
      <c r="D24" s="162"/>
      <c r="E24" s="162"/>
      <c r="F24" s="162"/>
      <c r="G24" s="162"/>
      <c r="H24" s="162"/>
      <c r="I24" s="162"/>
      <c r="J24" s="162"/>
      <c r="K24" s="162"/>
      <c r="L24" s="162"/>
      <c r="M24" s="162"/>
      <c r="N24" s="162"/>
      <c r="O24" s="162"/>
      <c r="P24" s="162"/>
      <c r="Q24" s="162"/>
      <c r="R24" s="162"/>
      <c r="S24" s="162"/>
      <c r="T24" s="162"/>
      <c r="U24" s="162"/>
      <c r="V24" s="162"/>
      <c r="W24" s="162"/>
      <c r="X24" s="162"/>
      <c r="Y24" s="163"/>
    </row>
    <row r="25" spans="1:25" ht="59.25" customHeight="1">
      <c r="A25" s="79" t="s">
        <v>89</v>
      </c>
      <c r="B25" s="161"/>
      <c r="C25" s="162"/>
      <c r="D25" s="162"/>
      <c r="E25" s="162"/>
      <c r="F25" s="162"/>
      <c r="G25" s="162"/>
      <c r="H25" s="162"/>
      <c r="I25" s="162"/>
      <c r="J25" s="162"/>
      <c r="K25" s="162"/>
      <c r="L25" s="162"/>
      <c r="M25" s="162"/>
      <c r="N25" s="162"/>
      <c r="O25" s="162"/>
      <c r="P25" s="162"/>
      <c r="Q25" s="162"/>
      <c r="R25" s="162"/>
      <c r="S25" s="162"/>
      <c r="T25" s="162"/>
      <c r="U25" s="162"/>
      <c r="V25" s="162"/>
      <c r="W25" s="162"/>
      <c r="X25" s="162"/>
      <c r="Y25" s="163"/>
    </row>
    <row r="26" spans="1:25" ht="59.25" customHeight="1">
      <c r="A26" s="79" t="s">
        <v>90</v>
      </c>
      <c r="B26" s="161"/>
      <c r="C26" s="162"/>
      <c r="D26" s="162"/>
      <c r="E26" s="162"/>
      <c r="F26" s="162"/>
      <c r="G26" s="162"/>
      <c r="H26" s="162"/>
      <c r="I26" s="162"/>
      <c r="J26" s="162"/>
      <c r="K26" s="162"/>
      <c r="L26" s="162"/>
      <c r="M26" s="162"/>
      <c r="N26" s="162"/>
      <c r="O26" s="162"/>
      <c r="P26" s="162"/>
      <c r="Q26" s="162"/>
      <c r="R26" s="162"/>
      <c r="S26" s="162"/>
      <c r="T26" s="162"/>
      <c r="U26" s="162"/>
      <c r="V26" s="162"/>
      <c r="W26" s="162"/>
      <c r="X26" s="162"/>
      <c r="Y26" s="163"/>
    </row>
    <row r="27" spans="1:25" ht="59.25" customHeight="1">
      <c r="A27" s="79" t="s">
        <v>91</v>
      </c>
      <c r="B27" s="161"/>
      <c r="C27" s="162"/>
      <c r="D27" s="162"/>
      <c r="E27" s="162"/>
      <c r="F27" s="162"/>
      <c r="G27" s="162"/>
      <c r="H27" s="162"/>
      <c r="I27" s="162"/>
      <c r="J27" s="162"/>
      <c r="K27" s="162"/>
      <c r="L27" s="162"/>
      <c r="M27" s="162"/>
      <c r="N27" s="162"/>
      <c r="O27" s="162"/>
      <c r="P27" s="162"/>
      <c r="Q27" s="162"/>
      <c r="R27" s="162"/>
      <c r="S27" s="162"/>
      <c r="T27" s="162"/>
      <c r="U27" s="162"/>
      <c r="V27" s="162"/>
      <c r="W27" s="162"/>
      <c r="X27" s="162"/>
      <c r="Y27" s="163"/>
    </row>
    <row r="28" spans="1:25" ht="59.25" customHeight="1">
      <c r="A28" s="79" t="s">
        <v>92</v>
      </c>
      <c r="B28" s="161"/>
      <c r="C28" s="162"/>
      <c r="D28" s="162"/>
      <c r="E28" s="162"/>
      <c r="F28" s="162"/>
      <c r="G28" s="162"/>
      <c r="H28" s="162"/>
      <c r="I28" s="162"/>
      <c r="J28" s="162"/>
      <c r="K28" s="162"/>
      <c r="L28" s="162"/>
      <c r="M28" s="162"/>
      <c r="N28" s="162"/>
      <c r="O28" s="162"/>
      <c r="P28" s="162"/>
      <c r="Q28" s="162"/>
      <c r="R28" s="162"/>
      <c r="S28" s="162"/>
      <c r="T28" s="162"/>
      <c r="U28" s="162"/>
      <c r="V28" s="162"/>
      <c r="W28" s="162"/>
      <c r="X28" s="162"/>
      <c r="Y28" s="163"/>
    </row>
    <row r="29" spans="1:25" ht="59.25" customHeight="1">
      <c r="A29" s="79" t="s">
        <v>93</v>
      </c>
      <c r="B29" s="161"/>
      <c r="C29" s="162"/>
      <c r="D29" s="162"/>
      <c r="E29" s="162"/>
      <c r="F29" s="162"/>
      <c r="G29" s="162"/>
      <c r="H29" s="162"/>
      <c r="I29" s="162"/>
      <c r="J29" s="162"/>
      <c r="K29" s="162"/>
      <c r="L29" s="162"/>
      <c r="M29" s="162"/>
      <c r="N29" s="162"/>
      <c r="O29" s="162"/>
      <c r="P29" s="162"/>
      <c r="Q29" s="162"/>
      <c r="R29" s="162"/>
      <c r="S29" s="162"/>
      <c r="T29" s="162"/>
      <c r="U29" s="162"/>
      <c r="V29" s="162"/>
      <c r="W29" s="162"/>
      <c r="X29" s="162"/>
      <c r="Y29" s="163"/>
    </row>
    <row r="30" spans="1:25" ht="59.25" customHeight="1">
      <c r="A30" s="79" t="s">
        <v>94</v>
      </c>
      <c r="B30" s="161"/>
      <c r="C30" s="162"/>
      <c r="D30" s="162"/>
      <c r="E30" s="162"/>
      <c r="F30" s="162"/>
      <c r="G30" s="162"/>
      <c r="H30" s="162"/>
      <c r="I30" s="162"/>
      <c r="J30" s="162"/>
      <c r="K30" s="162"/>
      <c r="L30" s="162"/>
      <c r="M30" s="162"/>
      <c r="N30" s="162"/>
      <c r="O30" s="162"/>
      <c r="P30" s="162"/>
      <c r="Q30" s="162"/>
      <c r="R30" s="162"/>
      <c r="S30" s="162"/>
      <c r="T30" s="162"/>
      <c r="U30" s="162"/>
      <c r="V30" s="162"/>
      <c r="W30" s="162"/>
      <c r="X30" s="162"/>
      <c r="Y30" s="163"/>
    </row>
    <row r="31" spans="1:25" ht="59.25" customHeight="1">
      <c r="A31" s="79" t="s">
        <v>95</v>
      </c>
      <c r="B31" s="161"/>
      <c r="C31" s="162"/>
      <c r="D31" s="162"/>
      <c r="E31" s="162"/>
      <c r="F31" s="162"/>
      <c r="G31" s="162"/>
      <c r="H31" s="162"/>
      <c r="I31" s="162"/>
      <c r="J31" s="162"/>
      <c r="K31" s="162"/>
      <c r="L31" s="162"/>
      <c r="M31" s="162"/>
      <c r="N31" s="162"/>
      <c r="O31" s="162"/>
      <c r="P31" s="162"/>
      <c r="Q31" s="162"/>
      <c r="R31" s="162"/>
      <c r="S31" s="162"/>
      <c r="T31" s="162"/>
      <c r="U31" s="162"/>
      <c r="V31" s="162"/>
      <c r="W31" s="162"/>
      <c r="X31" s="162"/>
      <c r="Y31" s="163"/>
    </row>
    <row r="32" spans="1:25" ht="59.25" customHeight="1">
      <c r="A32" s="79" t="s">
        <v>96</v>
      </c>
      <c r="B32" s="161"/>
      <c r="C32" s="162"/>
      <c r="D32" s="162"/>
      <c r="E32" s="162"/>
      <c r="F32" s="162"/>
      <c r="G32" s="162"/>
      <c r="H32" s="162"/>
      <c r="I32" s="162"/>
      <c r="J32" s="162"/>
      <c r="K32" s="162"/>
      <c r="L32" s="162"/>
      <c r="M32" s="162"/>
      <c r="N32" s="162"/>
      <c r="O32" s="162"/>
      <c r="P32" s="162"/>
      <c r="Q32" s="162"/>
      <c r="R32" s="162"/>
      <c r="S32" s="162"/>
      <c r="T32" s="162"/>
      <c r="U32" s="162"/>
      <c r="V32" s="162"/>
      <c r="W32" s="162"/>
      <c r="X32" s="162"/>
      <c r="Y32" s="163"/>
    </row>
    <row r="33" spans="1:25" ht="59.25" customHeight="1">
      <c r="A33" s="79" t="s">
        <v>97</v>
      </c>
      <c r="B33" s="161"/>
      <c r="C33" s="162"/>
      <c r="D33" s="162"/>
      <c r="E33" s="162"/>
      <c r="F33" s="162"/>
      <c r="G33" s="162"/>
      <c r="H33" s="162"/>
      <c r="I33" s="162"/>
      <c r="J33" s="162"/>
      <c r="K33" s="162"/>
      <c r="L33" s="162"/>
      <c r="M33" s="162"/>
      <c r="N33" s="162"/>
      <c r="O33" s="162"/>
      <c r="P33" s="162"/>
      <c r="Q33" s="162"/>
      <c r="R33" s="162"/>
      <c r="S33" s="162"/>
      <c r="T33" s="162"/>
      <c r="U33" s="162"/>
      <c r="V33" s="162"/>
      <c r="W33" s="162"/>
      <c r="X33" s="162"/>
      <c r="Y33" s="163"/>
    </row>
    <row r="34" spans="1:25" ht="59.25" customHeight="1">
      <c r="A34" s="79" t="s">
        <v>98</v>
      </c>
      <c r="B34" s="161"/>
      <c r="C34" s="162"/>
      <c r="D34" s="162"/>
      <c r="E34" s="162"/>
      <c r="F34" s="162"/>
      <c r="G34" s="162"/>
      <c r="H34" s="162"/>
      <c r="I34" s="162"/>
      <c r="J34" s="162"/>
      <c r="K34" s="162"/>
      <c r="L34" s="162"/>
      <c r="M34" s="162"/>
      <c r="N34" s="162"/>
      <c r="O34" s="162"/>
      <c r="P34" s="162"/>
      <c r="Q34" s="162"/>
      <c r="R34" s="162"/>
      <c r="S34" s="162"/>
      <c r="T34" s="162"/>
      <c r="U34" s="162"/>
      <c r="V34" s="162"/>
      <c r="W34" s="162"/>
      <c r="X34" s="162"/>
      <c r="Y34" s="163"/>
    </row>
    <row r="35" spans="1:25" ht="59.25" customHeight="1">
      <c r="A35" s="79"/>
      <c r="B35" s="161"/>
      <c r="C35" s="162"/>
      <c r="D35" s="162"/>
      <c r="E35" s="162"/>
      <c r="F35" s="162"/>
      <c r="G35" s="162"/>
      <c r="H35" s="162"/>
      <c r="I35" s="162"/>
      <c r="J35" s="162"/>
      <c r="K35" s="162"/>
      <c r="L35" s="162"/>
      <c r="M35" s="162"/>
      <c r="N35" s="162"/>
      <c r="O35" s="162"/>
      <c r="P35" s="162"/>
      <c r="Q35" s="162"/>
      <c r="R35" s="162"/>
      <c r="S35" s="162"/>
      <c r="T35" s="162"/>
      <c r="U35" s="162"/>
      <c r="V35" s="162"/>
      <c r="W35" s="162"/>
      <c r="X35" s="162"/>
      <c r="Y35" s="163"/>
    </row>
    <row r="36" spans="1:25" ht="59.25" customHeight="1">
      <c r="A36" s="79"/>
      <c r="B36" s="161"/>
      <c r="C36" s="162"/>
      <c r="D36" s="162"/>
      <c r="E36" s="162"/>
      <c r="F36" s="162"/>
      <c r="G36" s="162"/>
      <c r="H36" s="162"/>
      <c r="I36" s="162"/>
      <c r="J36" s="162"/>
      <c r="K36" s="162"/>
      <c r="L36" s="162"/>
      <c r="M36" s="162"/>
      <c r="N36" s="162"/>
      <c r="O36" s="162"/>
      <c r="P36" s="162"/>
      <c r="Q36" s="162"/>
      <c r="R36" s="162"/>
      <c r="S36" s="162"/>
      <c r="T36" s="162"/>
      <c r="U36" s="162"/>
      <c r="V36" s="162"/>
      <c r="W36" s="162"/>
      <c r="X36" s="162"/>
      <c r="Y36" s="163"/>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6:Y36"/>
    <mergeCell ref="B24:Y24"/>
    <mergeCell ref="B25:Y25"/>
    <mergeCell ref="B26:Y26"/>
    <mergeCell ref="B27:Y27"/>
    <mergeCell ref="B28:Y28"/>
    <mergeCell ref="B29:Y29"/>
    <mergeCell ref="B31:Y31"/>
    <mergeCell ref="B32:Y32"/>
    <mergeCell ref="B33:Y33"/>
    <mergeCell ref="B34:Y34"/>
    <mergeCell ref="B35:Y35"/>
    <mergeCell ref="A2:A12"/>
    <mergeCell ref="B19:Y19"/>
    <mergeCell ref="B30:Y30"/>
    <mergeCell ref="B20:Y20"/>
    <mergeCell ref="B21:Y21"/>
    <mergeCell ref="B22:Y22"/>
    <mergeCell ref="B23:Y23"/>
    <mergeCell ref="B14:Y14"/>
    <mergeCell ref="B15:Y15"/>
    <mergeCell ref="B16:Y16"/>
    <mergeCell ref="B17:Y17"/>
    <mergeCell ref="B18:Y18"/>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1"/>
  </sheetPr>
  <dimension ref="A1:AA190"/>
  <sheetViews>
    <sheetView workbookViewId="0">
      <selection sqref="A1:XFD1048576"/>
    </sheetView>
  </sheetViews>
  <sheetFormatPr defaultColWidth="9" defaultRowHeight="13.5"/>
  <cols>
    <col min="1" max="1" width="13.5" style="76" customWidth="1"/>
    <col min="2" max="2" width="79.125" style="76" customWidth="1"/>
    <col min="3" max="3" width="9.375" style="76" customWidth="1"/>
    <col min="4" max="25" width="4.125" style="76" customWidth="1"/>
    <col min="26" max="16384" width="9" style="76"/>
  </cols>
  <sheetData>
    <row r="1" spans="1:27" ht="85.5" customHeight="1">
      <c r="A1" s="74" t="str">
        <f ca="1">MID(CELL("filename",A1),FIND("[",CELL("filename",A1))+1,3)</f>
        <v>４－２</v>
      </c>
      <c r="B1" s="34" t="str">
        <f ca="1">RIGHT(CELL("filename",B1),LEN(CELL("filename",B1))-FIND("]",CELL("filename",B1)))</f>
        <v>英語</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75"/>
    </row>
    <row r="2" spans="1:27" ht="22.5" customHeight="1">
      <c r="A2" s="155" t="s">
        <v>239</v>
      </c>
      <c r="B2" s="41" t="s">
        <v>45</v>
      </c>
      <c r="C2" s="38" t="s">
        <v>26</v>
      </c>
      <c r="D2" s="73" t="s">
        <v>240</v>
      </c>
      <c r="E2" s="73" t="s">
        <v>211</v>
      </c>
      <c r="F2" s="73" t="s">
        <v>240</v>
      </c>
      <c r="G2" s="73" t="s">
        <v>211</v>
      </c>
      <c r="H2" s="73" t="s">
        <v>240</v>
      </c>
      <c r="I2" s="73" t="s">
        <v>240</v>
      </c>
      <c r="J2" s="73" t="s">
        <v>240</v>
      </c>
      <c r="K2" s="73" t="s">
        <v>240</v>
      </c>
      <c r="L2" s="73" t="s">
        <v>240</v>
      </c>
      <c r="M2" s="73" t="s">
        <v>240</v>
      </c>
      <c r="N2" s="73" t="s">
        <v>211</v>
      </c>
      <c r="O2" s="73" t="s">
        <v>240</v>
      </c>
      <c r="P2" s="73" t="s">
        <v>240</v>
      </c>
      <c r="Q2" s="73" t="s">
        <v>211</v>
      </c>
      <c r="R2" s="73" t="s">
        <v>211</v>
      </c>
      <c r="S2" s="73" t="s">
        <v>211</v>
      </c>
      <c r="T2" s="73" t="s">
        <v>211</v>
      </c>
      <c r="U2" s="73" t="s">
        <v>211</v>
      </c>
      <c r="V2" s="73" t="s">
        <v>211</v>
      </c>
      <c r="W2" s="73" t="s">
        <v>211</v>
      </c>
      <c r="X2" s="73"/>
      <c r="Y2" s="73"/>
      <c r="Z2" s="77" t="s">
        <v>211</v>
      </c>
      <c r="AA2" s="77">
        <v>1</v>
      </c>
    </row>
    <row r="3" spans="1:27" ht="22.5" customHeight="1">
      <c r="A3" s="156"/>
      <c r="B3" s="41" t="s">
        <v>67</v>
      </c>
      <c r="C3" s="38" t="s">
        <v>26</v>
      </c>
      <c r="D3" s="73" t="s">
        <v>182</v>
      </c>
      <c r="E3" s="73" t="s">
        <v>211</v>
      </c>
      <c r="F3" s="73" t="s">
        <v>211</v>
      </c>
      <c r="G3" s="73" t="s">
        <v>211</v>
      </c>
      <c r="H3" s="73" t="s">
        <v>211</v>
      </c>
      <c r="I3" s="73" t="s">
        <v>211</v>
      </c>
      <c r="J3" s="73" t="s">
        <v>211</v>
      </c>
      <c r="K3" s="73" t="s">
        <v>211</v>
      </c>
      <c r="L3" s="73" t="s">
        <v>211</v>
      </c>
      <c r="M3" s="73" t="s">
        <v>211</v>
      </c>
      <c r="N3" s="73" t="s">
        <v>211</v>
      </c>
      <c r="O3" s="73" t="s">
        <v>211</v>
      </c>
      <c r="P3" s="73" t="s">
        <v>211</v>
      </c>
      <c r="Q3" s="73" t="s">
        <v>211</v>
      </c>
      <c r="R3" s="73" t="s">
        <v>211</v>
      </c>
      <c r="S3" s="73" t="s">
        <v>211</v>
      </c>
      <c r="T3" s="73" t="s">
        <v>211</v>
      </c>
      <c r="U3" s="73" t="s">
        <v>211</v>
      </c>
      <c r="V3" s="73" t="s">
        <v>211</v>
      </c>
      <c r="W3" s="73" t="s">
        <v>211</v>
      </c>
      <c r="X3" s="73"/>
      <c r="Y3" s="73"/>
      <c r="Z3" s="77" t="s">
        <v>212</v>
      </c>
      <c r="AA3" s="77">
        <v>2</v>
      </c>
    </row>
    <row r="4" spans="1:27" ht="22.5" customHeight="1">
      <c r="A4" s="156"/>
      <c r="B4" s="41" t="s">
        <v>52</v>
      </c>
      <c r="C4" s="38" t="s">
        <v>26</v>
      </c>
      <c r="D4" s="73" t="s">
        <v>211</v>
      </c>
      <c r="E4" s="73" t="s">
        <v>241</v>
      </c>
      <c r="F4" s="73" t="s">
        <v>212</v>
      </c>
      <c r="G4" s="73" t="s">
        <v>212</v>
      </c>
      <c r="H4" s="73" t="s">
        <v>211</v>
      </c>
      <c r="I4" s="73" t="s">
        <v>211</v>
      </c>
      <c r="J4" s="73" t="s">
        <v>211</v>
      </c>
      <c r="K4" s="73" t="s">
        <v>211</v>
      </c>
      <c r="L4" s="73" t="s">
        <v>213</v>
      </c>
      <c r="M4" s="73" t="s">
        <v>211</v>
      </c>
      <c r="N4" s="73" t="s">
        <v>213</v>
      </c>
      <c r="O4" s="73" t="s">
        <v>211</v>
      </c>
      <c r="P4" s="73" t="s">
        <v>212</v>
      </c>
      <c r="Q4" s="73" t="s">
        <v>211</v>
      </c>
      <c r="R4" s="73" t="s">
        <v>241</v>
      </c>
      <c r="S4" s="73" t="s">
        <v>212</v>
      </c>
      <c r="T4" s="73" t="s">
        <v>211</v>
      </c>
      <c r="U4" s="73" t="s">
        <v>211</v>
      </c>
      <c r="V4" s="73" t="s">
        <v>212</v>
      </c>
      <c r="W4" s="73" t="s">
        <v>211</v>
      </c>
      <c r="X4" s="73"/>
      <c r="Y4" s="73"/>
      <c r="Z4" s="77" t="s">
        <v>213</v>
      </c>
      <c r="AA4" s="77">
        <v>3</v>
      </c>
    </row>
    <row r="5" spans="1:27" ht="22.5" customHeight="1">
      <c r="A5" s="156"/>
      <c r="B5" s="41" t="s">
        <v>46</v>
      </c>
      <c r="C5" s="38" t="s">
        <v>26</v>
      </c>
      <c r="D5" s="73" t="s">
        <v>211</v>
      </c>
      <c r="E5" s="73" t="s">
        <v>211</v>
      </c>
      <c r="F5" s="73" t="s">
        <v>211</v>
      </c>
      <c r="G5" s="73" t="s">
        <v>211</v>
      </c>
      <c r="H5" s="73" t="s">
        <v>211</v>
      </c>
      <c r="I5" s="73" t="s">
        <v>211</v>
      </c>
      <c r="J5" s="73" t="s">
        <v>211</v>
      </c>
      <c r="K5" s="73" t="s">
        <v>211</v>
      </c>
      <c r="L5" s="73" t="s">
        <v>211</v>
      </c>
      <c r="M5" s="73" t="s">
        <v>211</v>
      </c>
      <c r="N5" s="73" t="s">
        <v>211</v>
      </c>
      <c r="O5" s="73" t="s">
        <v>211</v>
      </c>
      <c r="P5" s="73" t="s">
        <v>182</v>
      </c>
      <c r="Q5" s="73" t="s">
        <v>211</v>
      </c>
      <c r="R5" s="73" t="s">
        <v>211</v>
      </c>
      <c r="S5" s="73" t="s">
        <v>211</v>
      </c>
      <c r="T5" s="73" t="s">
        <v>211</v>
      </c>
      <c r="U5" s="73" t="s">
        <v>211</v>
      </c>
      <c r="V5" s="73" t="s">
        <v>211</v>
      </c>
      <c r="W5" s="73" t="s">
        <v>211</v>
      </c>
      <c r="X5" s="73"/>
      <c r="Y5" s="73"/>
      <c r="Z5" s="77" t="s">
        <v>214</v>
      </c>
      <c r="AA5" s="77">
        <v>4</v>
      </c>
    </row>
    <row r="6" spans="1:27" ht="22.5" customHeight="1">
      <c r="A6" s="156"/>
      <c r="B6" s="41" t="s">
        <v>47</v>
      </c>
      <c r="C6" s="38" t="s">
        <v>26</v>
      </c>
      <c r="D6" s="73" t="s">
        <v>211</v>
      </c>
      <c r="E6" s="73" t="s">
        <v>211</v>
      </c>
      <c r="F6" s="73" t="s">
        <v>211</v>
      </c>
      <c r="G6" s="73" t="s">
        <v>211</v>
      </c>
      <c r="H6" s="73" t="s">
        <v>211</v>
      </c>
      <c r="I6" s="73" t="s">
        <v>211</v>
      </c>
      <c r="J6" s="73" t="s">
        <v>211</v>
      </c>
      <c r="K6" s="73" t="s">
        <v>211</v>
      </c>
      <c r="L6" s="73" t="s">
        <v>213</v>
      </c>
      <c r="M6" s="73" t="s">
        <v>211</v>
      </c>
      <c r="N6" s="73" t="s">
        <v>211</v>
      </c>
      <c r="O6" s="73" t="s">
        <v>211</v>
      </c>
      <c r="P6" s="73" t="s">
        <v>211</v>
      </c>
      <c r="Q6" s="73" t="s">
        <v>211</v>
      </c>
      <c r="R6" s="73" t="s">
        <v>211</v>
      </c>
      <c r="S6" s="73" t="s">
        <v>211</v>
      </c>
      <c r="T6" s="73" t="s">
        <v>211</v>
      </c>
      <c r="U6" s="73" t="s">
        <v>212</v>
      </c>
      <c r="V6" s="73" t="s">
        <v>212</v>
      </c>
      <c r="W6" s="73" t="s">
        <v>211</v>
      </c>
      <c r="X6" s="73"/>
      <c r="Y6" s="73"/>
      <c r="Z6" s="77"/>
      <c r="AA6" s="77">
        <v>5</v>
      </c>
    </row>
    <row r="7" spans="1:27" ht="22.5" customHeight="1">
      <c r="A7" s="156"/>
      <c r="B7" s="41"/>
      <c r="C7" s="38" t="s">
        <v>26</v>
      </c>
      <c r="D7" s="73"/>
      <c r="E7" s="73"/>
      <c r="F7" s="73"/>
      <c r="G7" s="73"/>
      <c r="H7" s="73"/>
      <c r="I7" s="73"/>
      <c r="J7" s="73"/>
      <c r="K7" s="73"/>
      <c r="L7" s="73"/>
      <c r="M7" s="73"/>
      <c r="N7" s="73"/>
      <c r="O7" s="73"/>
      <c r="P7" s="73"/>
      <c r="Q7" s="73"/>
      <c r="R7" s="73"/>
      <c r="S7" s="73"/>
      <c r="T7" s="73"/>
      <c r="U7" s="73"/>
      <c r="V7" s="73"/>
      <c r="W7" s="73"/>
      <c r="X7" s="73"/>
      <c r="Y7" s="73"/>
      <c r="Z7" s="77"/>
      <c r="AA7" s="77" t="s">
        <v>214</v>
      </c>
    </row>
    <row r="8" spans="1:27" ht="22.5" customHeight="1">
      <c r="A8" s="156"/>
      <c r="B8" s="41"/>
      <c r="C8" s="38" t="s">
        <v>26</v>
      </c>
      <c r="D8" s="73"/>
      <c r="E8" s="73"/>
      <c r="F8" s="73"/>
      <c r="G8" s="73"/>
      <c r="H8" s="73"/>
      <c r="I8" s="73"/>
      <c r="J8" s="73"/>
      <c r="K8" s="73"/>
      <c r="L8" s="73"/>
      <c r="M8" s="73"/>
      <c r="N8" s="73"/>
      <c r="O8" s="73"/>
      <c r="P8" s="73"/>
      <c r="Q8" s="73"/>
      <c r="R8" s="73"/>
      <c r="S8" s="73"/>
      <c r="T8" s="73"/>
      <c r="U8" s="73"/>
      <c r="V8" s="73"/>
      <c r="W8" s="73"/>
      <c r="X8" s="73"/>
      <c r="Y8" s="73"/>
    </row>
    <row r="9" spans="1:27" ht="22.5" customHeight="1">
      <c r="A9" s="156"/>
      <c r="B9" s="41"/>
      <c r="C9" s="38" t="s">
        <v>26</v>
      </c>
      <c r="D9" s="73"/>
      <c r="E9" s="73"/>
      <c r="F9" s="73"/>
      <c r="G9" s="73"/>
      <c r="H9" s="73"/>
      <c r="I9" s="73"/>
      <c r="J9" s="73"/>
      <c r="K9" s="73"/>
      <c r="L9" s="73"/>
      <c r="M9" s="73"/>
      <c r="N9" s="73"/>
      <c r="O9" s="73"/>
      <c r="P9" s="73"/>
      <c r="Q9" s="73"/>
      <c r="R9" s="73"/>
      <c r="S9" s="73"/>
      <c r="T9" s="73"/>
      <c r="U9" s="73"/>
      <c r="V9" s="73"/>
      <c r="W9" s="73"/>
      <c r="X9" s="73"/>
      <c r="Y9" s="73"/>
    </row>
    <row r="10" spans="1:27" ht="22.5" customHeight="1">
      <c r="A10" s="156"/>
      <c r="B10" s="41"/>
      <c r="C10" s="38" t="s">
        <v>26</v>
      </c>
      <c r="D10" s="73"/>
      <c r="E10" s="73"/>
      <c r="F10" s="73"/>
      <c r="G10" s="73"/>
      <c r="H10" s="73"/>
      <c r="I10" s="73"/>
      <c r="J10" s="73"/>
      <c r="K10" s="73"/>
      <c r="L10" s="73"/>
      <c r="M10" s="73"/>
      <c r="N10" s="73"/>
      <c r="O10" s="73"/>
      <c r="P10" s="73"/>
      <c r="Q10" s="73"/>
      <c r="R10" s="73"/>
      <c r="S10" s="73"/>
      <c r="T10" s="73"/>
      <c r="U10" s="73"/>
      <c r="V10" s="73"/>
      <c r="W10" s="73"/>
      <c r="X10" s="73"/>
      <c r="Y10" s="73"/>
    </row>
    <row r="11" spans="1:27" ht="22.5" customHeight="1">
      <c r="A11" s="156"/>
      <c r="B11" s="41"/>
      <c r="C11" s="38" t="s">
        <v>26</v>
      </c>
      <c r="D11" s="73"/>
      <c r="E11" s="73"/>
      <c r="F11" s="73"/>
      <c r="G11" s="73"/>
      <c r="H11" s="73"/>
      <c r="I11" s="73"/>
      <c r="J11" s="73"/>
      <c r="K11" s="73"/>
      <c r="L11" s="73"/>
      <c r="M11" s="73"/>
      <c r="N11" s="73"/>
      <c r="O11" s="73"/>
      <c r="P11" s="73"/>
      <c r="Q11" s="73"/>
      <c r="R11" s="73"/>
      <c r="S11" s="73"/>
      <c r="T11" s="73"/>
      <c r="U11" s="73"/>
      <c r="V11" s="73"/>
      <c r="W11" s="73"/>
      <c r="X11" s="73"/>
      <c r="Y11" s="73"/>
    </row>
    <row r="12" spans="1:27" ht="30" customHeight="1">
      <c r="A12" s="157"/>
      <c r="B12" s="42"/>
      <c r="C12" s="43" t="s">
        <v>27</v>
      </c>
      <c r="D12" s="73">
        <v>5</v>
      </c>
      <c r="E12" s="73">
        <v>5</v>
      </c>
      <c r="F12" s="73">
        <v>5</v>
      </c>
      <c r="G12" s="73">
        <v>5</v>
      </c>
      <c r="H12" s="73">
        <v>5</v>
      </c>
      <c r="I12" s="73">
        <v>5</v>
      </c>
      <c r="J12" s="73">
        <v>5</v>
      </c>
      <c r="K12" s="73">
        <v>5</v>
      </c>
      <c r="L12" s="73">
        <v>3</v>
      </c>
      <c r="M12" s="73">
        <v>5</v>
      </c>
      <c r="N12" s="73">
        <v>4</v>
      </c>
      <c r="O12" s="73">
        <v>5</v>
      </c>
      <c r="P12" s="73">
        <v>5</v>
      </c>
      <c r="Q12" s="73">
        <v>5</v>
      </c>
      <c r="R12" s="73">
        <v>5</v>
      </c>
      <c r="S12" s="73">
        <v>5</v>
      </c>
      <c r="T12" s="73">
        <v>5</v>
      </c>
      <c r="U12" s="73">
        <v>5</v>
      </c>
      <c r="V12" s="73">
        <v>4</v>
      </c>
      <c r="W12" s="73">
        <v>5</v>
      </c>
      <c r="X12" s="73"/>
      <c r="Y12" s="73"/>
    </row>
    <row r="13" spans="1:27" ht="26.25" customHeight="1">
      <c r="A13" s="78"/>
      <c r="B13" s="78"/>
      <c r="C13" s="71" t="s">
        <v>55</v>
      </c>
      <c r="D13" s="73"/>
      <c r="E13" s="73"/>
      <c r="F13" s="73"/>
      <c r="G13" s="73"/>
      <c r="H13" s="73"/>
      <c r="I13" s="73"/>
      <c r="J13" s="73"/>
      <c r="K13" s="73"/>
      <c r="L13" s="73"/>
      <c r="M13" s="73"/>
      <c r="N13" s="73"/>
      <c r="O13" s="73"/>
      <c r="P13" s="73"/>
      <c r="Q13" s="73"/>
      <c r="R13" s="73"/>
      <c r="S13" s="73"/>
      <c r="T13" s="73"/>
      <c r="U13" s="73"/>
      <c r="V13" s="73"/>
      <c r="W13" s="73"/>
      <c r="X13" s="73"/>
      <c r="Y13" s="73"/>
    </row>
    <row r="14" spans="1:27" ht="22.5" customHeight="1">
      <c r="A14" s="45" t="s">
        <v>28</v>
      </c>
      <c r="B14" s="158" t="s">
        <v>29</v>
      </c>
      <c r="C14" s="159"/>
      <c r="D14" s="159"/>
      <c r="E14" s="159"/>
      <c r="F14" s="159"/>
      <c r="G14" s="159"/>
      <c r="H14" s="159"/>
      <c r="I14" s="159"/>
      <c r="J14" s="159"/>
      <c r="K14" s="159"/>
      <c r="L14" s="159"/>
      <c r="M14" s="159"/>
      <c r="N14" s="159"/>
      <c r="O14" s="159"/>
      <c r="P14" s="159"/>
      <c r="Q14" s="159"/>
      <c r="R14" s="159"/>
      <c r="S14" s="159"/>
      <c r="T14" s="159"/>
      <c r="U14" s="159"/>
      <c r="V14" s="159"/>
      <c r="W14" s="159"/>
      <c r="X14" s="159"/>
      <c r="Y14" s="160"/>
    </row>
    <row r="15" spans="1:27" ht="59.25" customHeight="1">
      <c r="A15" s="79" t="s">
        <v>79</v>
      </c>
      <c r="B15" s="161"/>
      <c r="C15" s="162"/>
      <c r="D15" s="162"/>
      <c r="E15" s="162"/>
      <c r="F15" s="162"/>
      <c r="G15" s="162"/>
      <c r="H15" s="162"/>
      <c r="I15" s="162"/>
      <c r="J15" s="162"/>
      <c r="K15" s="162"/>
      <c r="L15" s="162"/>
      <c r="M15" s="162"/>
      <c r="N15" s="162"/>
      <c r="O15" s="162"/>
      <c r="P15" s="162"/>
      <c r="Q15" s="162"/>
      <c r="R15" s="162"/>
      <c r="S15" s="162"/>
      <c r="T15" s="162"/>
      <c r="U15" s="162"/>
      <c r="V15" s="162"/>
      <c r="W15" s="162"/>
      <c r="X15" s="162"/>
      <c r="Y15" s="163"/>
    </row>
    <row r="16" spans="1:27" ht="59.25" customHeight="1">
      <c r="A16" s="79" t="s">
        <v>80</v>
      </c>
      <c r="B16" s="161"/>
      <c r="C16" s="162"/>
      <c r="D16" s="162"/>
      <c r="E16" s="162"/>
      <c r="F16" s="162"/>
      <c r="G16" s="162"/>
      <c r="H16" s="162"/>
      <c r="I16" s="162"/>
      <c r="J16" s="162"/>
      <c r="K16" s="162"/>
      <c r="L16" s="162"/>
      <c r="M16" s="162"/>
      <c r="N16" s="162"/>
      <c r="O16" s="162"/>
      <c r="P16" s="162"/>
      <c r="Q16" s="162"/>
      <c r="R16" s="162"/>
      <c r="S16" s="162"/>
      <c r="T16" s="162"/>
      <c r="U16" s="162"/>
      <c r="V16" s="162"/>
      <c r="W16" s="162"/>
      <c r="X16" s="162"/>
      <c r="Y16" s="163"/>
    </row>
    <row r="17" spans="1:25" ht="59.25" customHeight="1">
      <c r="A17" s="79" t="s">
        <v>81</v>
      </c>
      <c r="B17" s="161"/>
      <c r="C17" s="162"/>
      <c r="D17" s="162"/>
      <c r="E17" s="162"/>
      <c r="F17" s="162"/>
      <c r="G17" s="162"/>
      <c r="H17" s="162"/>
      <c r="I17" s="162"/>
      <c r="J17" s="162"/>
      <c r="K17" s="162"/>
      <c r="L17" s="162"/>
      <c r="M17" s="162"/>
      <c r="N17" s="162"/>
      <c r="O17" s="162"/>
      <c r="P17" s="162"/>
      <c r="Q17" s="162"/>
      <c r="R17" s="162"/>
      <c r="S17" s="162"/>
      <c r="T17" s="162"/>
      <c r="U17" s="162"/>
      <c r="V17" s="162"/>
      <c r="W17" s="162"/>
      <c r="X17" s="162"/>
      <c r="Y17" s="163"/>
    </row>
    <row r="18" spans="1:25" ht="59.25" customHeight="1">
      <c r="A18" s="79" t="s">
        <v>82</v>
      </c>
      <c r="B18" s="161"/>
      <c r="C18" s="162"/>
      <c r="D18" s="162"/>
      <c r="E18" s="162"/>
      <c r="F18" s="162"/>
      <c r="G18" s="162"/>
      <c r="H18" s="162"/>
      <c r="I18" s="162"/>
      <c r="J18" s="162"/>
      <c r="K18" s="162"/>
      <c r="L18" s="162"/>
      <c r="M18" s="162"/>
      <c r="N18" s="162"/>
      <c r="O18" s="162"/>
      <c r="P18" s="162"/>
      <c r="Q18" s="162"/>
      <c r="R18" s="162"/>
      <c r="S18" s="162"/>
      <c r="T18" s="162"/>
      <c r="U18" s="162"/>
      <c r="V18" s="162"/>
      <c r="W18" s="162"/>
      <c r="X18" s="162"/>
      <c r="Y18" s="163"/>
    </row>
    <row r="19" spans="1:25" ht="59.25" customHeight="1">
      <c r="A19" s="79" t="s">
        <v>83</v>
      </c>
      <c r="B19" s="161"/>
      <c r="C19" s="162"/>
      <c r="D19" s="162"/>
      <c r="E19" s="162"/>
      <c r="F19" s="162"/>
      <c r="G19" s="162"/>
      <c r="H19" s="162"/>
      <c r="I19" s="162"/>
      <c r="J19" s="162"/>
      <c r="K19" s="162"/>
      <c r="L19" s="162"/>
      <c r="M19" s="162"/>
      <c r="N19" s="162"/>
      <c r="O19" s="162"/>
      <c r="P19" s="162"/>
      <c r="Q19" s="162"/>
      <c r="R19" s="162"/>
      <c r="S19" s="162"/>
      <c r="T19" s="162"/>
      <c r="U19" s="162"/>
      <c r="V19" s="162"/>
      <c r="W19" s="162"/>
      <c r="X19" s="162"/>
      <c r="Y19" s="163"/>
    </row>
    <row r="20" spans="1:25" ht="59.25" customHeight="1">
      <c r="A20" s="79" t="s">
        <v>84</v>
      </c>
      <c r="B20" s="161"/>
      <c r="C20" s="162"/>
      <c r="D20" s="162"/>
      <c r="E20" s="162"/>
      <c r="F20" s="162"/>
      <c r="G20" s="162"/>
      <c r="H20" s="162"/>
      <c r="I20" s="162"/>
      <c r="J20" s="162"/>
      <c r="K20" s="162"/>
      <c r="L20" s="162"/>
      <c r="M20" s="162"/>
      <c r="N20" s="162"/>
      <c r="O20" s="162"/>
      <c r="P20" s="162"/>
      <c r="Q20" s="162"/>
      <c r="R20" s="162"/>
      <c r="S20" s="162"/>
      <c r="T20" s="162"/>
      <c r="U20" s="162"/>
      <c r="V20" s="162"/>
      <c r="W20" s="162"/>
      <c r="X20" s="162"/>
      <c r="Y20" s="163"/>
    </row>
    <row r="21" spans="1:25" ht="59.25" customHeight="1">
      <c r="A21" s="79" t="s">
        <v>85</v>
      </c>
      <c r="B21" s="161"/>
      <c r="C21" s="162"/>
      <c r="D21" s="162"/>
      <c r="E21" s="162"/>
      <c r="F21" s="162"/>
      <c r="G21" s="162"/>
      <c r="H21" s="162"/>
      <c r="I21" s="162"/>
      <c r="J21" s="162"/>
      <c r="K21" s="162"/>
      <c r="L21" s="162"/>
      <c r="M21" s="162"/>
      <c r="N21" s="162"/>
      <c r="O21" s="162"/>
      <c r="P21" s="162"/>
      <c r="Q21" s="162"/>
      <c r="R21" s="162"/>
      <c r="S21" s="162"/>
      <c r="T21" s="162"/>
      <c r="U21" s="162"/>
      <c r="V21" s="162"/>
      <c r="W21" s="162"/>
      <c r="X21" s="162"/>
      <c r="Y21" s="163"/>
    </row>
    <row r="22" spans="1:25" ht="59.25" customHeight="1">
      <c r="A22" s="79" t="s">
        <v>86</v>
      </c>
      <c r="B22" s="161"/>
      <c r="C22" s="162"/>
      <c r="D22" s="162"/>
      <c r="E22" s="162"/>
      <c r="F22" s="162"/>
      <c r="G22" s="162"/>
      <c r="H22" s="162"/>
      <c r="I22" s="162"/>
      <c r="J22" s="162"/>
      <c r="K22" s="162"/>
      <c r="L22" s="162"/>
      <c r="M22" s="162"/>
      <c r="N22" s="162"/>
      <c r="O22" s="162"/>
      <c r="P22" s="162"/>
      <c r="Q22" s="162"/>
      <c r="R22" s="162"/>
      <c r="S22" s="162"/>
      <c r="T22" s="162"/>
      <c r="U22" s="162"/>
      <c r="V22" s="162"/>
      <c r="W22" s="162"/>
      <c r="X22" s="162"/>
      <c r="Y22" s="163"/>
    </row>
    <row r="23" spans="1:25" ht="59.25" customHeight="1">
      <c r="A23" s="79" t="s">
        <v>87</v>
      </c>
      <c r="B23" s="161"/>
      <c r="C23" s="162"/>
      <c r="D23" s="162"/>
      <c r="E23" s="162"/>
      <c r="F23" s="162"/>
      <c r="G23" s="162"/>
      <c r="H23" s="162"/>
      <c r="I23" s="162"/>
      <c r="J23" s="162"/>
      <c r="K23" s="162"/>
      <c r="L23" s="162"/>
      <c r="M23" s="162"/>
      <c r="N23" s="162"/>
      <c r="O23" s="162"/>
      <c r="P23" s="162"/>
      <c r="Q23" s="162"/>
      <c r="R23" s="162"/>
      <c r="S23" s="162"/>
      <c r="T23" s="162"/>
      <c r="U23" s="162"/>
      <c r="V23" s="162"/>
      <c r="W23" s="162"/>
      <c r="X23" s="162"/>
      <c r="Y23" s="163"/>
    </row>
    <row r="24" spans="1:25" ht="59.25" customHeight="1">
      <c r="A24" s="79" t="s">
        <v>88</v>
      </c>
      <c r="B24" s="161"/>
      <c r="C24" s="162"/>
      <c r="D24" s="162"/>
      <c r="E24" s="162"/>
      <c r="F24" s="162"/>
      <c r="G24" s="162"/>
      <c r="H24" s="162"/>
      <c r="I24" s="162"/>
      <c r="J24" s="162"/>
      <c r="K24" s="162"/>
      <c r="L24" s="162"/>
      <c r="M24" s="162"/>
      <c r="N24" s="162"/>
      <c r="O24" s="162"/>
      <c r="P24" s="162"/>
      <c r="Q24" s="162"/>
      <c r="R24" s="162"/>
      <c r="S24" s="162"/>
      <c r="T24" s="162"/>
      <c r="U24" s="162"/>
      <c r="V24" s="162"/>
      <c r="W24" s="162"/>
      <c r="X24" s="162"/>
      <c r="Y24" s="163"/>
    </row>
    <row r="25" spans="1:25" ht="59.25" customHeight="1">
      <c r="A25" s="79" t="s">
        <v>89</v>
      </c>
      <c r="B25" s="161"/>
      <c r="C25" s="162"/>
      <c r="D25" s="162"/>
      <c r="E25" s="162"/>
      <c r="F25" s="162"/>
      <c r="G25" s="162"/>
      <c r="H25" s="162"/>
      <c r="I25" s="162"/>
      <c r="J25" s="162"/>
      <c r="K25" s="162"/>
      <c r="L25" s="162"/>
      <c r="M25" s="162"/>
      <c r="N25" s="162"/>
      <c r="O25" s="162"/>
      <c r="P25" s="162"/>
      <c r="Q25" s="162"/>
      <c r="R25" s="162"/>
      <c r="S25" s="162"/>
      <c r="T25" s="162"/>
      <c r="U25" s="162"/>
      <c r="V25" s="162"/>
      <c r="W25" s="162"/>
      <c r="X25" s="162"/>
      <c r="Y25" s="163"/>
    </row>
    <row r="26" spans="1:25" ht="59.25" customHeight="1">
      <c r="A26" s="79" t="s">
        <v>90</v>
      </c>
      <c r="B26" s="161"/>
      <c r="C26" s="162"/>
      <c r="D26" s="162"/>
      <c r="E26" s="162"/>
      <c r="F26" s="162"/>
      <c r="G26" s="162"/>
      <c r="H26" s="162"/>
      <c r="I26" s="162"/>
      <c r="J26" s="162"/>
      <c r="K26" s="162"/>
      <c r="L26" s="162"/>
      <c r="M26" s="162"/>
      <c r="N26" s="162"/>
      <c r="O26" s="162"/>
      <c r="P26" s="162"/>
      <c r="Q26" s="162"/>
      <c r="R26" s="162"/>
      <c r="S26" s="162"/>
      <c r="T26" s="162"/>
      <c r="U26" s="162"/>
      <c r="V26" s="162"/>
      <c r="W26" s="162"/>
      <c r="X26" s="162"/>
      <c r="Y26" s="163"/>
    </row>
    <row r="27" spans="1:25" ht="59.25" customHeight="1">
      <c r="A27" s="79" t="s">
        <v>91</v>
      </c>
      <c r="B27" s="161"/>
      <c r="C27" s="162"/>
      <c r="D27" s="162"/>
      <c r="E27" s="162"/>
      <c r="F27" s="162"/>
      <c r="G27" s="162"/>
      <c r="H27" s="162"/>
      <c r="I27" s="162"/>
      <c r="J27" s="162"/>
      <c r="K27" s="162"/>
      <c r="L27" s="162"/>
      <c r="M27" s="162"/>
      <c r="N27" s="162"/>
      <c r="O27" s="162"/>
      <c r="P27" s="162"/>
      <c r="Q27" s="162"/>
      <c r="R27" s="162"/>
      <c r="S27" s="162"/>
      <c r="T27" s="162"/>
      <c r="U27" s="162"/>
      <c r="V27" s="162"/>
      <c r="W27" s="162"/>
      <c r="X27" s="162"/>
      <c r="Y27" s="163"/>
    </row>
    <row r="28" spans="1:25" ht="59.25" customHeight="1">
      <c r="A28" s="79" t="s">
        <v>92</v>
      </c>
      <c r="B28" s="161"/>
      <c r="C28" s="162"/>
      <c r="D28" s="162"/>
      <c r="E28" s="162"/>
      <c r="F28" s="162"/>
      <c r="G28" s="162"/>
      <c r="H28" s="162"/>
      <c r="I28" s="162"/>
      <c r="J28" s="162"/>
      <c r="K28" s="162"/>
      <c r="L28" s="162"/>
      <c r="M28" s="162"/>
      <c r="N28" s="162"/>
      <c r="O28" s="162"/>
      <c r="P28" s="162"/>
      <c r="Q28" s="162"/>
      <c r="R28" s="162"/>
      <c r="S28" s="162"/>
      <c r="T28" s="162"/>
      <c r="U28" s="162"/>
      <c r="V28" s="162"/>
      <c r="W28" s="162"/>
      <c r="X28" s="162"/>
      <c r="Y28" s="163"/>
    </row>
    <row r="29" spans="1:25" ht="59.25" customHeight="1">
      <c r="A29" s="79" t="s">
        <v>93</v>
      </c>
      <c r="B29" s="161"/>
      <c r="C29" s="162"/>
      <c r="D29" s="162"/>
      <c r="E29" s="162"/>
      <c r="F29" s="162"/>
      <c r="G29" s="162"/>
      <c r="H29" s="162"/>
      <c r="I29" s="162"/>
      <c r="J29" s="162"/>
      <c r="K29" s="162"/>
      <c r="L29" s="162"/>
      <c r="M29" s="162"/>
      <c r="N29" s="162"/>
      <c r="O29" s="162"/>
      <c r="P29" s="162"/>
      <c r="Q29" s="162"/>
      <c r="R29" s="162"/>
      <c r="S29" s="162"/>
      <c r="T29" s="162"/>
      <c r="U29" s="162"/>
      <c r="V29" s="162"/>
      <c r="W29" s="162"/>
      <c r="X29" s="162"/>
      <c r="Y29" s="163"/>
    </row>
    <row r="30" spans="1:25" ht="59.25" customHeight="1">
      <c r="A30" s="79" t="s">
        <v>94</v>
      </c>
      <c r="B30" s="161"/>
      <c r="C30" s="162"/>
      <c r="D30" s="162"/>
      <c r="E30" s="162"/>
      <c r="F30" s="162"/>
      <c r="G30" s="162"/>
      <c r="H30" s="162"/>
      <c r="I30" s="162"/>
      <c r="J30" s="162"/>
      <c r="K30" s="162"/>
      <c r="L30" s="162"/>
      <c r="M30" s="162"/>
      <c r="N30" s="162"/>
      <c r="O30" s="162"/>
      <c r="P30" s="162"/>
      <c r="Q30" s="162"/>
      <c r="R30" s="162"/>
      <c r="S30" s="162"/>
      <c r="T30" s="162"/>
      <c r="U30" s="162"/>
      <c r="V30" s="162"/>
      <c r="W30" s="162"/>
      <c r="X30" s="162"/>
      <c r="Y30" s="163"/>
    </row>
    <row r="31" spans="1:25" ht="59.25" customHeight="1">
      <c r="A31" s="79" t="s">
        <v>95</v>
      </c>
      <c r="B31" s="161"/>
      <c r="C31" s="162"/>
      <c r="D31" s="162"/>
      <c r="E31" s="162"/>
      <c r="F31" s="162"/>
      <c r="G31" s="162"/>
      <c r="H31" s="162"/>
      <c r="I31" s="162"/>
      <c r="J31" s="162"/>
      <c r="K31" s="162"/>
      <c r="L31" s="162"/>
      <c r="M31" s="162"/>
      <c r="N31" s="162"/>
      <c r="O31" s="162"/>
      <c r="P31" s="162"/>
      <c r="Q31" s="162"/>
      <c r="R31" s="162"/>
      <c r="S31" s="162"/>
      <c r="T31" s="162"/>
      <c r="U31" s="162"/>
      <c r="V31" s="162"/>
      <c r="W31" s="162"/>
      <c r="X31" s="162"/>
      <c r="Y31" s="163"/>
    </row>
    <row r="32" spans="1:25" ht="59.25" customHeight="1">
      <c r="A32" s="79" t="s">
        <v>96</v>
      </c>
      <c r="B32" s="161"/>
      <c r="C32" s="162"/>
      <c r="D32" s="162"/>
      <c r="E32" s="162"/>
      <c r="F32" s="162"/>
      <c r="G32" s="162"/>
      <c r="H32" s="162"/>
      <c r="I32" s="162"/>
      <c r="J32" s="162"/>
      <c r="K32" s="162"/>
      <c r="L32" s="162"/>
      <c r="M32" s="162"/>
      <c r="N32" s="162"/>
      <c r="O32" s="162"/>
      <c r="P32" s="162"/>
      <c r="Q32" s="162"/>
      <c r="R32" s="162"/>
      <c r="S32" s="162"/>
      <c r="T32" s="162"/>
      <c r="U32" s="162"/>
      <c r="V32" s="162"/>
      <c r="W32" s="162"/>
      <c r="X32" s="162"/>
      <c r="Y32" s="163"/>
    </row>
    <row r="33" spans="1:25" ht="59.25" customHeight="1">
      <c r="A33" s="79" t="s">
        <v>97</v>
      </c>
      <c r="B33" s="161"/>
      <c r="C33" s="162"/>
      <c r="D33" s="162"/>
      <c r="E33" s="162"/>
      <c r="F33" s="162"/>
      <c r="G33" s="162"/>
      <c r="H33" s="162"/>
      <c r="I33" s="162"/>
      <c r="J33" s="162"/>
      <c r="K33" s="162"/>
      <c r="L33" s="162"/>
      <c r="M33" s="162"/>
      <c r="N33" s="162"/>
      <c r="O33" s="162"/>
      <c r="P33" s="162"/>
      <c r="Q33" s="162"/>
      <c r="R33" s="162"/>
      <c r="S33" s="162"/>
      <c r="T33" s="162"/>
      <c r="U33" s="162"/>
      <c r="V33" s="162"/>
      <c r="W33" s="162"/>
      <c r="X33" s="162"/>
      <c r="Y33" s="163"/>
    </row>
    <row r="34" spans="1:25" ht="59.25" customHeight="1">
      <c r="A34" s="79" t="s">
        <v>98</v>
      </c>
      <c r="B34" s="161"/>
      <c r="C34" s="162"/>
      <c r="D34" s="162"/>
      <c r="E34" s="162"/>
      <c r="F34" s="162"/>
      <c r="G34" s="162"/>
      <c r="H34" s="162"/>
      <c r="I34" s="162"/>
      <c r="J34" s="162"/>
      <c r="K34" s="162"/>
      <c r="L34" s="162"/>
      <c r="M34" s="162"/>
      <c r="N34" s="162"/>
      <c r="O34" s="162"/>
      <c r="P34" s="162"/>
      <c r="Q34" s="162"/>
      <c r="R34" s="162"/>
      <c r="S34" s="162"/>
      <c r="T34" s="162"/>
      <c r="U34" s="162"/>
      <c r="V34" s="162"/>
      <c r="W34" s="162"/>
      <c r="X34" s="162"/>
      <c r="Y34" s="163"/>
    </row>
    <row r="35" spans="1:25" ht="59.25" customHeight="1">
      <c r="A35" s="79"/>
      <c r="B35" s="161"/>
      <c r="C35" s="162"/>
      <c r="D35" s="162"/>
      <c r="E35" s="162"/>
      <c r="F35" s="162"/>
      <c r="G35" s="162"/>
      <c r="H35" s="162"/>
      <c r="I35" s="162"/>
      <c r="J35" s="162"/>
      <c r="K35" s="162"/>
      <c r="L35" s="162"/>
      <c r="M35" s="162"/>
      <c r="N35" s="162"/>
      <c r="O35" s="162"/>
      <c r="P35" s="162"/>
      <c r="Q35" s="162"/>
      <c r="R35" s="162"/>
      <c r="S35" s="162"/>
      <c r="T35" s="162"/>
      <c r="U35" s="162"/>
      <c r="V35" s="162"/>
      <c r="W35" s="162"/>
      <c r="X35" s="162"/>
      <c r="Y35" s="163"/>
    </row>
    <row r="36" spans="1:25" ht="59.25" customHeight="1">
      <c r="A36" s="79"/>
      <c r="B36" s="161"/>
      <c r="C36" s="162"/>
      <c r="D36" s="162"/>
      <c r="E36" s="162"/>
      <c r="F36" s="162"/>
      <c r="G36" s="162"/>
      <c r="H36" s="162"/>
      <c r="I36" s="162"/>
      <c r="J36" s="162"/>
      <c r="K36" s="162"/>
      <c r="L36" s="162"/>
      <c r="M36" s="162"/>
      <c r="N36" s="162"/>
      <c r="O36" s="162"/>
      <c r="P36" s="162"/>
      <c r="Q36" s="162"/>
      <c r="R36" s="162"/>
      <c r="S36" s="162"/>
      <c r="T36" s="162"/>
      <c r="U36" s="162"/>
      <c r="V36" s="162"/>
      <c r="W36" s="162"/>
      <c r="X36" s="162"/>
      <c r="Y36" s="163"/>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４－２</v>
      </c>
      <c r="B1" s="34" t="str">
        <f ca="1">RIGHT(CELL("filename",B1),LEN(CELL("filename",B1))-FIND("]",CELL("filename",B1)))</f>
        <v>音楽</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37"/>
    </row>
    <row r="2" spans="1:27" ht="22.5" customHeight="1">
      <c r="A2" s="155" t="s">
        <v>232</v>
      </c>
      <c r="B2" s="87" t="s">
        <v>112</v>
      </c>
      <c r="C2" s="38" t="s">
        <v>26</v>
      </c>
      <c r="D2" s="39" t="s">
        <v>233</v>
      </c>
      <c r="E2" s="39" t="s">
        <v>233</v>
      </c>
      <c r="F2" s="39" t="s">
        <v>233</v>
      </c>
      <c r="G2" s="39" t="s">
        <v>211</v>
      </c>
      <c r="H2" s="39" t="s">
        <v>233</v>
      </c>
      <c r="I2" s="39" t="s">
        <v>211</v>
      </c>
      <c r="J2" s="39" t="s">
        <v>233</v>
      </c>
      <c r="K2" s="39" t="s">
        <v>212</v>
      </c>
      <c r="L2" s="39" t="s">
        <v>233</v>
      </c>
      <c r="M2" s="39" t="s">
        <v>212</v>
      </c>
      <c r="N2" s="39" t="s">
        <v>235</v>
      </c>
      <c r="O2" s="39" t="s">
        <v>211</v>
      </c>
      <c r="P2" s="39" t="s">
        <v>235</v>
      </c>
      <c r="Q2" s="39" t="s">
        <v>233</v>
      </c>
      <c r="R2" s="39" t="s">
        <v>233</v>
      </c>
      <c r="S2" s="39" t="s">
        <v>211</v>
      </c>
      <c r="T2" s="39" t="s">
        <v>235</v>
      </c>
      <c r="U2" s="39" t="s">
        <v>212</v>
      </c>
      <c r="V2" s="39" t="s">
        <v>212</v>
      </c>
      <c r="W2" s="39" t="s">
        <v>235</v>
      </c>
      <c r="X2" s="39"/>
      <c r="Y2" s="39"/>
      <c r="Z2" s="40" t="s">
        <v>233</v>
      </c>
      <c r="AA2" s="40">
        <v>1</v>
      </c>
    </row>
    <row r="3" spans="1:27" ht="22.5" customHeight="1">
      <c r="A3" s="156"/>
      <c r="B3" s="87" t="s">
        <v>113</v>
      </c>
      <c r="C3" s="38" t="s">
        <v>26</v>
      </c>
      <c r="D3" s="39" t="s">
        <v>211</v>
      </c>
      <c r="E3" s="39" t="s">
        <v>211</v>
      </c>
      <c r="F3" s="39" t="s">
        <v>211</v>
      </c>
      <c r="G3" s="39" t="s">
        <v>233</v>
      </c>
      <c r="H3" s="39" t="s">
        <v>211</v>
      </c>
      <c r="I3" s="39" t="s">
        <v>235</v>
      </c>
      <c r="J3" s="39" t="s">
        <v>211</v>
      </c>
      <c r="K3" s="39" t="s">
        <v>212</v>
      </c>
      <c r="L3" s="39" t="s">
        <v>235</v>
      </c>
      <c r="M3" s="39" t="s">
        <v>211</v>
      </c>
      <c r="N3" s="39" t="s">
        <v>212</v>
      </c>
      <c r="O3" s="39" t="s">
        <v>212</v>
      </c>
      <c r="P3" s="39" t="s">
        <v>211</v>
      </c>
      <c r="Q3" s="39" t="s">
        <v>233</v>
      </c>
      <c r="R3" s="39" t="s">
        <v>233</v>
      </c>
      <c r="S3" s="39" t="s">
        <v>211</v>
      </c>
      <c r="T3" s="39" t="s">
        <v>211</v>
      </c>
      <c r="U3" s="39" t="s">
        <v>211</v>
      </c>
      <c r="V3" s="39" t="s">
        <v>211</v>
      </c>
      <c r="W3" s="39" t="s">
        <v>211</v>
      </c>
      <c r="X3" s="39"/>
      <c r="Y3" s="39"/>
      <c r="Z3" s="40" t="s">
        <v>212</v>
      </c>
      <c r="AA3" s="40">
        <v>2</v>
      </c>
    </row>
    <row r="4" spans="1:27" ht="22.5" customHeight="1">
      <c r="A4" s="156"/>
      <c r="B4" s="87" t="s">
        <v>114</v>
      </c>
      <c r="C4" s="38" t="s">
        <v>26</v>
      </c>
      <c r="D4" s="39" t="s">
        <v>211</v>
      </c>
      <c r="E4" s="39" t="s">
        <v>211</v>
      </c>
      <c r="F4" s="39" t="s">
        <v>233</v>
      </c>
      <c r="G4" s="39" t="s">
        <v>211</v>
      </c>
      <c r="H4" s="39" t="s">
        <v>211</v>
      </c>
      <c r="I4" s="39" t="s">
        <v>233</v>
      </c>
      <c r="J4" s="39" t="s">
        <v>233</v>
      </c>
      <c r="K4" s="39" t="s">
        <v>235</v>
      </c>
      <c r="L4" s="39" t="s">
        <v>212</v>
      </c>
      <c r="M4" s="39" t="s">
        <v>211</v>
      </c>
      <c r="N4" s="39" t="s">
        <v>212</v>
      </c>
      <c r="O4" s="39" t="s">
        <v>212</v>
      </c>
      <c r="P4" s="39" t="s">
        <v>211</v>
      </c>
      <c r="Q4" s="39" t="s">
        <v>211</v>
      </c>
      <c r="R4" s="39" t="s">
        <v>211</v>
      </c>
      <c r="S4" s="39" t="s">
        <v>212</v>
      </c>
      <c r="T4" s="39" t="s">
        <v>211</v>
      </c>
      <c r="U4" s="39" t="s">
        <v>211</v>
      </c>
      <c r="V4" s="39" t="s">
        <v>211</v>
      </c>
      <c r="W4" s="39" t="s">
        <v>211</v>
      </c>
      <c r="X4" s="39"/>
      <c r="Y4" s="39"/>
      <c r="Z4" s="40" t="s">
        <v>213</v>
      </c>
      <c r="AA4" s="40">
        <v>3</v>
      </c>
    </row>
    <row r="5" spans="1:27" ht="22.5" customHeight="1">
      <c r="A5" s="156"/>
      <c r="B5" s="87" t="s">
        <v>115</v>
      </c>
      <c r="C5" s="38" t="s">
        <v>26</v>
      </c>
      <c r="D5" s="39" t="s">
        <v>211</v>
      </c>
      <c r="E5" s="39" t="s">
        <v>212</v>
      </c>
      <c r="F5" s="39" t="s">
        <v>211</v>
      </c>
      <c r="G5" s="39" t="s">
        <v>211</v>
      </c>
      <c r="H5" s="39" t="s">
        <v>211</v>
      </c>
      <c r="I5" s="39" t="s">
        <v>211</v>
      </c>
      <c r="J5" s="39" t="s">
        <v>211</v>
      </c>
      <c r="K5" s="39" t="s">
        <v>233</v>
      </c>
      <c r="L5" s="39" t="s">
        <v>211</v>
      </c>
      <c r="M5" s="39" t="s">
        <v>211</v>
      </c>
      <c r="N5" s="39" t="s">
        <v>235</v>
      </c>
      <c r="O5" s="39" t="s">
        <v>233</v>
      </c>
      <c r="P5" s="39" t="s">
        <v>212</v>
      </c>
      <c r="Q5" s="39" t="s">
        <v>211</v>
      </c>
      <c r="R5" s="39" t="s">
        <v>211</v>
      </c>
      <c r="S5" s="39" t="s">
        <v>212</v>
      </c>
      <c r="T5" s="39" t="s">
        <v>211</v>
      </c>
      <c r="U5" s="39" t="s">
        <v>211</v>
      </c>
      <c r="V5" s="39" t="s">
        <v>211</v>
      </c>
      <c r="W5" s="39" t="s">
        <v>211</v>
      </c>
      <c r="X5" s="39"/>
      <c r="Y5" s="39"/>
      <c r="Z5" s="40" t="s">
        <v>214</v>
      </c>
      <c r="AA5" s="40">
        <v>4</v>
      </c>
    </row>
    <row r="6" spans="1:27" ht="22.5" customHeight="1">
      <c r="A6" s="156"/>
      <c r="B6" s="41"/>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56"/>
      <c r="B7" s="41"/>
      <c r="C7" s="38" t="s">
        <v>26</v>
      </c>
      <c r="D7" s="39"/>
      <c r="E7" s="39"/>
      <c r="F7" s="39"/>
      <c r="G7" s="39"/>
      <c r="H7" s="39"/>
      <c r="I7" s="39"/>
      <c r="J7" s="39"/>
      <c r="K7" s="39"/>
      <c r="L7" s="39"/>
      <c r="M7" s="39"/>
      <c r="N7" s="39"/>
      <c r="O7" s="39"/>
      <c r="P7" s="39"/>
      <c r="Q7" s="39"/>
      <c r="R7" s="39"/>
      <c r="S7" s="39"/>
      <c r="T7" s="39"/>
      <c r="U7" s="39"/>
      <c r="V7" s="39"/>
      <c r="W7" s="39"/>
      <c r="X7" s="39"/>
      <c r="Y7" s="39"/>
      <c r="Z7" s="40"/>
      <c r="AA7" s="40" t="s">
        <v>214</v>
      </c>
    </row>
    <row r="8" spans="1:27" ht="22.5" customHeight="1">
      <c r="A8" s="156"/>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56"/>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56"/>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56"/>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57"/>
      <c r="B12" s="42"/>
      <c r="C12" s="43" t="s">
        <v>27</v>
      </c>
      <c r="D12" s="39">
        <v>5</v>
      </c>
      <c r="E12" s="39">
        <v>4</v>
      </c>
      <c r="F12" s="39">
        <v>5</v>
      </c>
      <c r="G12" s="39">
        <v>5</v>
      </c>
      <c r="H12" s="39">
        <v>5</v>
      </c>
      <c r="I12" s="39">
        <v>4</v>
      </c>
      <c r="J12" s="39">
        <v>5</v>
      </c>
      <c r="K12" s="39">
        <v>3</v>
      </c>
      <c r="L12" s="39">
        <v>4</v>
      </c>
      <c r="M12" s="39">
        <v>4</v>
      </c>
      <c r="N12" s="39">
        <v>3</v>
      </c>
      <c r="O12" s="39">
        <v>4</v>
      </c>
      <c r="P12" s="39">
        <v>4</v>
      </c>
      <c r="Q12" s="39">
        <v>5</v>
      </c>
      <c r="R12" s="39">
        <v>5</v>
      </c>
      <c r="S12" s="39">
        <v>4</v>
      </c>
      <c r="T12" s="39">
        <v>4</v>
      </c>
      <c r="U12" s="39">
        <v>4</v>
      </c>
      <c r="V12" s="39">
        <v>4</v>
      </c>
      <c r="W12" s="39">
        <v>4</v>
      </c>
      <c r="X12" s="39"/>
      <c r="Y12" s="39"/>
    </row>
    <row r="13" spans="1:27" ht="26.25" customHeight="1">
      <c r="A13" s="44"/>
      <c r="B13" s="44"/>
      <c r="C13" s="71" t="s">
        <v>55</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4" t="s">
        <v>29</v>
      </c>
      <c r="C14" s="165"/>
      <c r="D14" s="165"/>
      <c r="E14" s="165"/>
      <c r="F14" s="165"/>
      <c r="G14" s="165"/>
      <c r="H14" s="165"/>
      <c r="I14" s="165"/>
      <c r="J14" s="165"/>
      <c r="K14" s="165"/>
      <c r="L14" s="165"/>
      <c r="M14" s="165"/>
      <c r="N14" s="165"/>
      <c r="O14" s="165"/>
      <c r="P14" s="165"/>
      <c r="Q14" s="165"/>
      <c r="R14" s="165"/>
      <c r="S14" s="165"/>
      <c r="T14" s="165"/>
      <c r="U14" s="165"/>
      <c r="V14" s="165"/>
      <c r="W14" s="165"/>
      <c r="X14" s="165"/>
      <c r="Y14" s="166"/>
    </row>
    <row r="15" spans="1:27" ht="59.25" customHeight="1">
      <c r="A15" s="46" t="s">
        <v>79</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46" t="s">
        <v>80</v>
      </c>
      <c r="B16" s="167"/>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46" t="s">
        <v>81</v>
      </c>
      <c r="B17" s="167"/>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46" t="s">
        <v>82</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46" t="s">
        <v>83</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46" t="s">
        <v>84</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46" t="s">
        <v>85</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46" t="s">
        <v>86</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46" t="s">
        <v>87</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46" t="s">
        <v>88</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46" t="s">
        <v>89</v>
      </c>
      <c r="B25" s="167"/>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46" t="s">
        <v>90</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46" t="s">
        <v>91</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46" t="s">
        <v>92</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46" t="s">
        <v>93</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46" t="s">
        <v>94</v>
      </c>
      <c r="B30" s="167"/>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46" t="s">
        <v>95</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46" t="s">
        <v>96</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46" t="s">
        <v>97</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46" t="s">
        <v>98</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46"/>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46"/>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9"/>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４－２</v>
      </c>
      <c r="B1" s="34" t="str">
        <f ca="1">RIGHT(CELL("filename",B1),LEN(CELL("filename",B1))-FIND("]",CELL("filename",B1)))</f>
        <v>図工</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37"/>
    </row>
    <row r="2" spans="1:27" ht="22.5" customHeight="1">
      <c r="A2" s="155" t="s">
        <v>242</v>
      </c>
      <c r="B2" s="88" t="s">
        <v>243</v>
      </c>
      <c r="C2" s="38" t="s">
        <v>26</v>
      </c>
      <c r="D2" s="39" t="s">
        <v>244</v>
      </c>
      <c r="E2" s="39" t="s">
        <v>244</v>
      </c>
      <c r="F2" s="39" t="s">
        <v>182</v>
      </c>
      <c r="G2" s="39" t="s">
        <v>182</v>
      </c>
      <c r="H2" s="39" t="s">
        <v>182</v>
      </c>
      <c r="I2" s="39" t="s">
        <v>245</v>
      </c>
      <c r="J2" s="39" t="s">
        <v>244</v>
      </c>
      <c r="K2" s="39" t="s">
        <v>182</v>
      </c>
      <c r="L2" s="39" t="s">
        <v>182</v>
      </c>
      <c r="M2" s="39" t="s">
        <v>245</v>
      </c>
      <c r="N2" s="39" t="s">
        <v>246</v>
      </c>
      <c r="O2" s="39" t="s">
        <v>245</v>
      </c>
      <c r="P2" s="39" t="s">
        <v>182</v>
      </c>
      <c r="Q2" s="39" t="s">
        <v>182</v>
      </c>
      <c r="R2" s="39" t="s">
        <v>244</v>
      </c>
      <c r="S2" s="39" t="s">
        <v>245</v>
      </c>
      <c r="T2" s="39" t="s">
        <v>245</v>
      </c>
      <c r="U2" s="39" t="s">
        <v>182</v>
      </c>
      <c r="V2" s="39" t="s">
        <v>182</v>
      </c>
      <c r="W2" s="39" t="s">
        <v>245</v>
      </c>
      <c r="X2" s="39"/>
      <c r="Y2" s="39"/>
      <c r="Z2" s="40" t="s">
        <v>244</v>
      </c>
      <c r="AA2" s="40">
        <v>1</v>
      </c>
    </row>
    <row r="3" spans="1:27" ht="22.5" customHeight="1">
      <c r="A3" s="156"/>
      <c r="B3" s="88" t="s">
        <v>247</v>
      </c>
      <c r="C3" s="38" t="s">
        <v>26</v>
      </c>
      <c r="D3" s="39" t="s">
        <v>182</v>
      </c>
      <c r="E3" s="39" t="s">
        <v>246</v>
      </c>
      <c r="F3" s="39" t="s">
        <v>182</v>
      </c>
      <c r="G3" s="39" t="s">
        <v>244</v>
      </c>
      <c r="H3" s="39" t="s">
        <v>182</v>
      </c>
      <c r="I3" s="39" t="s">
        <v>244</v>
      </c>
      <c r="J3" s="39" t="s">
        <v>245</v>
      </c>
      <c r="K3" s="39" t="s">
        <v>244</v>
      </c>
      <c r="L3" s="39" t="s">
        <v>246</v>
      </c>
      <c r="M3" s="39" t="s">
        <v>182</v>
      </c>
      <c r="N3" s="39" t="s">
        <v>182</v>
      </c>
      <c r="O3" s="39" t="s">
        <v>245</v>
      </c>
      <c r="P3" s="39" t="s">
        <v>183</v>
      </c>
      <c r="Q3" s="39" t="s">
        <v>182</v>
      </c>
      <c r="R3" s="39" t="s">
        <v>248</v>
      </c>
      <c r="S3" s="39" t="s">
        <v>182</v>
      </c>
      <c r="T3" s="39" t="s">
        <v>246</v>
      </c>
      <c r="U3" s="39" t="s">
        <v>182</v>
      </c>
      <c r="V3" s="39" t="s">
        <v>245</v>
      </c>
      <c r="W3" s="39" t="s">
        <v>182</v>
      </c>
      <c r="X3" s="39"/>
      <c r="Y3" s="39"/>
      <c r="Z3" s="40" t="s">
        <v>183</v>
      </c>
      <c r="AA3" s="40">
        <v>2</v>
      </c>
    </row>
    <row r="4" spans="1:27" ht="22.5" customHeight="1">
      <c r="A4" s="156"/>
      <c r="B4" s="88" t="s">
        <v>249</v>
      </c>
      <c r="C4" s="38" t="s">
        <v>26</v>
      </c>
      <c r="D4" s="39" t="s">
        <v>245</v>
      </c>
      <c r="E4" s="39" t="s">
        <v>182</v>
      </c>
      <c r="F4" s="39" t="s">
        <v>245</v>
      </c>
      <c r="G4" s="39" t="s">
        <v>250</v>
      </c>
      <c r="H4" s="39" t="s">
        <v>244</v>
      </c>
      <c r="I4" s="39" t="s">
        <v>245</v>
      </c>
      <c r="J4" s="39" t="s">
        <v>244</v>
      </c>
      <c r="K4" s="39" t="s">
        <v>244</v>
      </c>
      <c r="L4" s="39" t="s">
        <v>182</v>
      </c>
      <c r="M4" s="39" t="s">
        <v>245</v>
      </c>
      <c r="N4" s="39" t="s">
        <v>182</v>
      </c>
      <c r="O4" s="39" t="s">
        <v>250</v>
      </c>
      <c r="P4" s="39" t="s">
        <v>182</v>
      </c>
      <c r="Q4" s="39" t="s">
        <v>250</v>
      </c>
      <c r="R4" s="39" t="s">
        <v>245</v>
      </c>
      <c r="S4" s="39" t="s">
        <v>245</v>
      </c>
      <c r="T4" s="39" t="s">
        <v>245</v>
      </c>
      <c r="U4" s="39" t="s">
        <v>246</v>
      </c>
      <c r="V4" s="39" t="s">
        <v>245</v>
      </c>
      <c r="W4" s="39" t="s">
        <v>183</v>
      </c>
      <c r="X4" s="39"/>
      <c r="Y4" s="39"/>
      <c r="Z4" s="40" t="s">
        <v>184</v>
      </c>
      <c r="AA4" s="40">
        <v>3</v>
      </c>
    </row>
    <row r="5" spans="1:27" ht="22.5" customHeight="1">
      <c r="A5" s="156"/>
      <c r="B5" s="41" t="s">
        <v>251</v>
      </c>
      <c r="C5" s="38" t="s">
        <v>26</v>
      </c>
      <c r="D5" s="39" t="s">
        <v>245</v>
      </c>
      <c r="E5" s="39" t="s">
        <v>182</v>
      </c>
      <c r="F5" s="39" t="s">
        <v>182</v>
      </c>
      <c r="G5" s="39" t="s">
        <v>245</v>
      </c>
      <c r="H5" s="39" t="s">
        <v>182</v>
      </c>
      <c r="I5" s="39" t="s">
        <v>244</v>
      </c>
      <c r="J5" s="39" t="s">
        <v>182</v>
      </c>
      <c r="K5" s="39" t="s">
        <v>183</v>
      </c>
      <c r="L5" s="39" t="s">
        <v>182</v>
      </c>
      <c r="M5" s="39" t="s">
        <v>182</v>
      </c>
      <c r="N5" s="39" t="s">
        <v>182</v>
      </c>
      <c r="O5" s="39" t="s">
        <v>182</v>
      </c>
      <c r="P5" s="39" t="s">
        <v>244</v>
      </c>
      <c r="Q5" s="39" t="s">
        <v>248</v>
      </c>
      <c r="R5" s="39" t="s">
        <v>182</v>
      </c>
      <c r="S5" s="39" t="s">
        <v>245</v>
      </c>
      <c r="T5" s="39" t="s">
        <v>245</v>
      </c>
      <c r="U5" s="39" t="s">
        <v>245</v>
      </c>
      <c r="V5" s="39" t="s">
        <v>245</v>
      </c>
      <c r="W5" s="39" t="s">
        <v>182</v>
      </c>
      <c r="X5" s="39"/>
      <c r="Y5" s="39"/>
      <c r="Z5" s="40" t="s">
        <v>252</v>
      </c>
      <c r="AA5" s="40">
        <v>4</v>
      </c>
    </row>
    <row r="6" spans="1:27" ht="22.5" customHeight="1">
      <c r="A6" s="156"/>
      <c r="B6" s="89"/>
      <c r="C6" s="38" t="s">
        <v>26</v>
      </c>
      <c r="D6" s="39"/>
      <c r="E6" s="39"/>
      <c r="F6" s="39"/>
      <c r="G6" s="39"/>
      <c r="H6" s="39"/>
      <c r="I6" s="39"/>
      <c r="J6" s="39"/>
      <c r="K6" s="39"/>
      <c r="L6" s="39"/>
      <c r="M6" s="39"/>
      <c r="N6" s="39"/>
      <c r="O6" s="39"/>
      <c r="P6" s="39"/>
      <c r="Q6" s="39"/>
      <c r="R6" s="39"/>
      <c r="S6" s="39"/>
      <c r="T6" s="39"/>
      <c r="U6" s="39"/>
      <c r="V6" s="39"/>
      <c r="W6" s="39"/>
      <c r="X6" s="39"/>
      <c r="Y6" s="39"/>
      <c r="Z6" s="40"/>
      <c r="AA6" s="40">
        <v>5</v>
      </c>
    </row>
    <row r="7" spans="1:27" ht="22.5" customHeight="1">
      <c r="A7" s="156"/>
      <c r="B7" s="41"/>
      <c r="C7" s="38" t="s">
        <v>26</v>
      </c>
      <c r="D7" s="39"/>
      <c r="E7" s="39"/>
      <c r="F7" s="39"/>
      <c r="G7" s="39"/>
      <c r="H7" s="39"/>
      <c r="I7" s="39"/>
      <c r="J7" s="39"/>
      <c r="K7" s="39"/>
      <c r="L7" s="39"/>
      <c r="M7" s="39"/>
      <c r="N7" s="39"/>
      <c r="O7" s="39"/>
      <c r="P7" s="39"/>
      <c r="Q7" s="39"/>
      <c r="R7" s="39"/>
      <c r="S7" s="39"/>
      <c r="T7" s="39"/>
      <c r="U7" s="39"/>
      <c r="V7" s="39"/>
      <c r="W7" s="39"/>
      <c r="X7" s="39"/>
      <c r="Y7" s="39"/>
      <c r="Z7" s="40"/>
      <c r="AA7" s="40" t="s">
        <v>207</v>
      </c>
    </row>
    <row r="8" spans="1:27" ht="22.5" customHeight="1">
      <c r="A8" s="156"/>
      <c r="B8" s="41"/>
      <c r="C8" s="38" t="s">
        <v>26</v>
      </c>
      <c r="D8" s="39"/>
      <c r="E8" s="39"/>
      <c r="F8" s="39"/>
      <c r="G8" s="39"/>
      <c r="H8" s="39"/>
      <c r="I8" s="39"/>
      <c r="J8" s="39"/>
      <c r="K8" s="39"/>
      <c r="L8" s="39"/>
      <c r="M8" s="39"/>
      <c r="N8" s="39"/>
      <c r="O8" s="39"/>
      <c r="P8" s="39"/>
      <c r="Q8" s="39"/>
      <c r="R8" s="39"/>
      <c r="S8" s="39"/>
      <c r="T8" s="39"/>
      <c r="U8" s="39"/>
      <c r="V8" s="39"/>
      <c r="W8" s="39"/>
      <c r="X8" s="39"/>
      <c r="Y8" s="39"/>
    </row>
    <row r="9" spans="1:27" ht="22.5" customHeight="1">
      <c r="A9" s="156"/>
      <c r="B9" s="41"/>
      <c r="C9" s="38" t="s">
        <v>26</v>
      </c>
      <c r="D9" s="39"/>
      <c r="E9" s="39"/>
      <c r="F9" s="39"/>
      <c r="G9" s="39"/>
      <c r="H9" s="39"/>
      <c r="I9" s="39"/>
      <c r="J9" s="39"/>
      <c r="K9" s="39"/>
      <c r="L9" s="39"/>
      <c r="M9" s="39"/>
      <c r="N9" s="39"/>
      <c r="O9" s="39"/>
      <c r="P9" s="39"/>
      <c r="Q9" s="39"/>
      <c r="R9" s="39"/>
      <c r="S9" s="39"/>
      <c r="T9" s="39"/>
      <c r="U9" s="39"/>
      <c r="V9" s="39"/>
      <c r="W9" s="39"/>
      <c r="X9" s="39"/>
      <c r="Y9" s="39"/>
    </row>
    <row r="10" spans="1:27" ht="22.5" customHeight="1">
      <c r="A10" s="156"/>
      <c r="B10" s="41"/>
      <c r="C10" s="38" t="s">
        <v>26</v>
      </c>
      <c r="D10" s="39"/>
      <c r="E10" s="39"/>
      <c r="F10" s="39"/>
      <c r="G10" s="39"/>
      <c r="H10" s="39"/>
      <c r="I10" s="39"/>
      <c r="J10" s="39"/>
      <c r="K10" s="39"/>
      <c r="L10" s="39"/>
      <c r="M10" s="39"/>
      <c r="N10" s="39"/>
      <c r="O10" s="39"/>
      <c r="P10" s="39"/>
      <c r="Q10" s="39"/>
      <c r="R10" s="39"/>
      <c r="S10" s="39"/>
      <c r="T10" s="39"/>
      <c r="U10" s="39"/>
      <c r="V10" s="39"/>
      <c r="W10" s="39"/>
      <c r="X10" s="39"/>
      <c r="Y10" s="39"/>
    </row>
    <row r="11" spans="1:27" ht="22.5" customHeight="1">
      <c r="A11" s="156"/>
      <c r="B11" s="41"/>
      <c r="C11" s="38" t="s">
        <v>26</v>
      </c>
      <c r="D11" s="39"/>
      <c r="E11" s="39"/>
      <c r="F11" s="39"/>
      <c r="G11" s="39"/>
      <c r="H11" s="39"/>
      <c r="I11" s="39"/>
      <c r="J11" s="39"/>
      <c r="K11" s="39"/>
      <c r="L11" s="39"/>
      <c r="M11" s="39"/>
      <c r="N11" s="39"/>
      <c r="O11" s="39"/>
      <c r="P11" s="39"/>
      <c r="Q11" s="39"/>
      <c r="R11" s="39"/>
      <c r="S11" s="39"/>
      <c r="T11" s="39"/>
      <c r="U11" s="39"/>
      <c r="V11" s="39"/>
      <c r="W11" s="39"/>
      <c r="X11" s="39"/>
      <c r="Y11" s="39"/>
    </row>
    <row r="12" spans="1:27" ht="30" customHeight="1">
      <c r="A12" s="157"/>
      <c r="B12" s="42"/>
      <c r="C12" s="43" t="s">
        <v>27</v>
      </c>
      <c r="D12" s="39">
        <v>5</v>
      </c>
      <c r="E12" s="39">
        <v>4</v>
      </c>
      <c r="F12" s="39">
        <v>5</v>
      </c>
      <c r="G12" s="39">
        <v>4</v>
      </c>
      <c r="H12" s="39">
        <v>5</v>
      </c>
      <c r="I12" s="39">
        <v>5</v>
      </c>
      <c r="J12" s="39">
        <v>5</v>
      </c>
      <c r="K12" s="39">
        <v>4</v>
      </c>
      <c r="L12" s="39">
        <v>4</v>
      </c>
      <c r="M12" s="39">
        <v>5</v>
      </c>
      <c r="N12" s="39">
        <v>4</v>
      </c>
      <c r="O12" s="39">
        <v>4</v>
      </c>
      <c r="P12" s="39">
        <v>4</v>
      </c>
      <c r="Q12" s="39">
        <v>4</v>
      </c>
      <c r="R12" s="39">
        <v>5</v>
      </c>
      <c r="S12" s="39">
        <v>5</v>
      </c>
      <c r="T12" s="39">
        <v>4</v>
      </c>
      <c r="U12" s="39">
        <v>4</v>
      </c>
      <c r="V12" s="39">
        <v>5</v>
      </c>
      <c r="W12" s="39">
        <v>4</v>
      </c>
      <c r="X12" s="39"/>
      <c r="Y12" s="39"/>
    </row>
    <row r="13" spans="1:27" ht="26.25" customHeight="1">
      <c r="A13" s="44"/>
      <c r="B13" s="44"/>
      <c r="C13" s="71" t="s">
        <v>55</v>
      </c>
      <c r="D13" s="39"/>
      <c r="E13" s="39"/>
      <c r="F13" s="39"/>
      <c r="G13" s="39"/>
      <c r="H13" s="39"/>
      <c r="I13" s="39"/>
      <c r="J13" s="39"/>
      <c r="K13" s="39"/>
      <c r="L13" s="39"/>
      <c r="M13" s="39"/>
      <c r="N13" s="39"/>
      <c r="O13" s="39"/>
      <c r="P13" s="39"/>
      <c r="Q13" s="39"/>
      <c r="R13" s="39"/>
      <c r="S13" s="39"/>
      <c r="T13" s="39"/>
      <c r="U13" s="39"/>
      <c r="V13" s="39"/>
      <c r="W13" s="39"/>
      <c r="X13" s="39"/>
      <c r="Y13" s="39"/>
    </row>
    <row r="14" spans="1:27" ht="22.5" customHeight="1">
      <c r="A14" s="45" t="s">
        <v>28</v>
      </c>
      <c r="B14" s="164" t="s">
        <v>29</v>
      </c>
      <c r="C14" s="165"/>
      <c r="D14" s="165"/>
      <c r="E14" s="165"/>
      <c r="F14" s="165"/>
      <c r="G14" s="165"/>
      <c r="H14" s="165"/>
      <c r="I14" s="165"/>
      <c r="J14" s="165"/>
      <c r="K14" s="165"/>
      <c r="L14" s="165"/>
      <c r="M14" s="165"/>
      <c r="N14" s="165"/>
      <c r="O14" s="165"/>
      <c r="P14" s="165"/>
      <c r="Q14" s="165"/>
      <c r="R14" s="165"/>
      <c r="S14" s="165"/>
      <c r="T14" s="165"/>
      <c r="U14" s="165"/>
      <c r="V14" s="165"/>
      <c r="W14" s="165"/>
      <c r="X14" s="165"/>
      <c r="Y14" s="166"/>
    </row>
    <row r="15" spans="1:27" ht="59.25" customHeight="1">
      <c r="A15" s="46" t="s">
        <v>79</v>
      </c>
      <c r="B15" s="167" t="s">
        <v>253</v>
      </c>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46" t="s">
        <v>80</v>
      </c>
      <c r="B16" s="167" t="s">
        <v>254</v>
      </c>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46" t="s">
        <v>81</v>
      </c>
      <c r="B17" s="167" t="s">
        <v>255</v>
      </c>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46" t="s">
        <v>82</v>
      </c>
      <c r="B18" s="167" t="s">
        <v>256</v>
      </c>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46" t="s">
        <v>83</v>
      </c>
      <c r="B19" s="167" t="s">
        <v>257</v>
      </c>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46" t="s">
        <v>84</v>
      </c>
      <c r="B20" s="167" t="s">
        <v>258</v>
      </c>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46" t="s">
        <v>85</v>
      </c>
      <c r="B21" s="167" t="s">
        <v>259</v>
      </c>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46" t="s">
        <v>86</v>
      </c>
      <c r="B22" s="167" t="s">
        <v>260</v>
      </c>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46" t="s">
        <v>87</v>
      </c>
      <c r="B23" s="167" t="s">
        <v>261</v>
      </c>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46" t="s">
        <v>88</v>
      </c>
      <c r="B24" s="167" t="s">
        <v>262</v>
      </c>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46" t="s">
        <v>89</v>
      </c>
      <c r="B25" s="167" t="s">
        <v>263</v>
      </c>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46" t="s">
        <v>90</v>
      </c>
      <c r="B26" s="167" t="s">
        <v>264</v>
      </c>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46" t="s">
        <v>91</v>
      </c>
      <c r="B27" s="167" t="s">
        <v>265</v>
      </c>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46" t="s">
        <v>92</v>
      </c>
      <c r="B28" s="167" t="s">
        <v>266</v>
      </c>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46" t="s">
        <v>93</v>
      </c>
      <c r="B29" s="167" t="s">
        <v>267</v>
      </c>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46" t="s">
        <v>94</v>
      </c>
      <c r="B30" s="167" t="s">
        <v>268</v>
      </c>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46" t="s">
        <v>95</v>
      </c>
      <c r="B31" s="167" t="s">
        <v>269</v>
      </c>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46" t="s">
        <v>96</v>
      </c>
      <c r="B32" s="167" t="s">
        <v>270</v>
      </c>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46" t="s">
        <v>97</v>
      </c>
      <c r="B33" s="167" t="s">
        <v>271</v>
      </c>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46" t="s">
        <v>98</v>
      </c>
      <c r="B34" s="167" t="s">
        <v>272</v>
      </c>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46"/>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46"/>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9"/>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1"/>
  </sheetPr>
  <dimension ref="A1:AA190"/>
  <sheetViews>
    <sheetView workbookViewId="0">
      <selection sqref="A1:XFD1048576"/>
    </sheetView>
  </sheetViews>
  <sheetFormatPr defaultRowHeight="13.5"/>
  <cols>
    <col min="1" max="1" width="13.5" style="8" customWidth="1"/>
    <col min="2" max="2" width="79.125" style="8" customWidth="1"/>
    <col min="3" max="3" width="9.375" style="8" customWidth="1"/>
    <col min="4" max="25" width="4.125" style="8" customWidth="1"/>
    <col min="26" max="16384" width="9" style="8"/>
  </cols>
  <sheetData>
    <row r="1" spans="1:27" ht="85.5" customHeight="1">
      <c r="A1" s="33" t="str">
        <f ca="1">MID(CELL("filename",A1),FIND("[",CELL("filename",A1))+1,3)</f>
        <v>４－２</v>
      </c>
      <c r="B1" s="34" t="str">
        <f ca="1">RIGHT(CELL("filename",B1),LEN(CELL("filename",B1))-FIND("]",CELL("filename",B1)))</f>
        <v>体育</v>
      </c>
      <c r="C1" s="35" t="s">
        <v>25</v>
      </c>
      <c r="D1" s="36" t="str">
        <f>A15</f>
        <v>相澤 諒典</v>
      </c>
      <c r="E1" s="36" t="str">
        <f>A16</f>
        <v>赤木 咲哉</v>
      </c>
      <c r="F1" s="36" t="str">
        <f>A17</f>
        <v>加藤 綾</v>
      </c>
      <c r="G1" s="36" t="str">
        <f>A18</f>
        <v>加藤 照乃</v>
      </c>
      <c r="H1" s="36" t="str">
        <f>A19</f>
        <v>門田 藍里</v>
      </c>
      <c r="I1" s="36" t="str">
        <f>A20</f>
        <v>金井 傑</v>
      </c>
      <c r="J1" s="36" t="str">
        <f>A21</f>
        <v>上條 優那</v>
      </c>
      <c r="K1" s="36" t="str">
        <f>A22</f>
        <v>川村 唯栖</v>
      </c>
      <c r="L1" s="36" t="str">
        <f>A23</f>
        <v>小松 宗祐</v>
      </c>
      <c r="M1" s="36" t="str">
        <f>A24</f>
        <v>五味 愛陽</v>
      </c>
      <c r="N1" s="36" t="str">
        <f>A25</f>
        <v>武田 理暉</v>
      </c>
      <c r="O1" s="36" t="str">
        <f>A26</f>
        <v>竹渕 成悟</v>
      </c>
      <c r="P1" s="36" t="str">
        <f>A27</f>
        <v>立石 明寛</v>
      </c>
      <c r="Q1" s="36" t="str">
        <f>A28</f>
        <v>新村 悠妃</v>
      </c>
      <c r="R1" s="36" t="str">
        <f>A29</f>
        <v>平岡 恭佑</v>
      </c>
      <c r="S1" s="36" t="str">
        <f>A30</f>
        <v>福沢 瑛心</v>
      </c>
      <c r="T1" s="36" t="str">
        <f>A31</f>
        <v>松井 大和</v>
      </c>
      <c r="U1" s="36" t="str">
        <f>A32</f>
        <v>丸山 紗那</v>
      </c>
      <c r="V1" s="36" t="str">
        <f>A33</f>
        <v>百瀬 杏</v>
      </c>
      <c r="W1" s="36" t="str">
        <f>A34</f>
        <v>百瀬 颯紀</v>
      </c>
      <c r="X1" s="36">
        <f>A35</f>
        <v>0</v>
      </c>
      <c r="Y1" s="36">
        <f>A36</f>
        <v>0</v>
      </c>
      <c r="Z1" s="37"/>
    </row>
    <row r="2" spans="1:27" ht="22.5" customHeight="1">
      <c r="A2" s="155" t="s">
        <v>273</v>
      </c>
      <c r="B2" s="41" t="s">
        <v>116</v>
      </c>
      <c r="C2" s="38" t="s">
        <v>26</v>
      </c>
      <c r="D2" s="73" t="s">
        <v>274</v>
      </c>
      <c r="E2" s="73" t="s">
        <v>275</v>
      </c>
      <c r="F2" s="73" t="s">
        <v>183</v>
      </c>
      <c r="G2" s="73" t="s">
        <v>276</v>
      </c>
      <c r="H2" s="73" t="s">
        <v>182</v>
      </c>
      <c r="I2" s="73" t="s">
        <v>182</v>
      </c>
      <c r="J2" s="73" t="s">
        <v>277</v>
      </c>
      <c r="K2" s="73" t="s">
        <v>278</v>
      </c>
      <c r="L2" s="73" t="s">
        <v>277</v>
      </c>
      <c r="M2" s="73" t="s">
        <v>276</v>
      </c>
      <c r="N2" s="73" t="s">
        <v>274</v>
      </c>
      <c r="O2" s="73" t="s">
        <v>211</v>
      </c>
      <c r="P2" s="73" t="s">
        <v>279</v>
      </c>
      <c r="Q2" s="73" t="s">
        <v>212</v>
      </c>
      <c r="R2" s="73" t="s">
        <v>274</v>
      </c>
      <c r="S2" s="73" t="s">
        <v>182</v>
      </c>
      <c r="T2" s="73" t="s">
        <v>211</v>
      </c>
      <c r="U2" s="73" t="s">
        <v>182</v>
      </c>
      <c r="V2" s="73" t="s">
        <v>280</v>
      </c>
      <c r="W2" s="73" t="s">
        <v>211</v>
      </c>
      <c r="X2" s="73"/>
      <c r="Y2" s="39"/>
      <c r="Z2" s="40" t="s">
        <v>278</v>
      </c>
      <c r="AA2" s="40">
        <v>1</v>
      </c>
    </row>
    <row r="3" spans="1:27" ht="22.5" customHeight="1">
      <c r="A3" s="156"/>
      <c r="B3" s="90" t="s">
        <v>117</v>
      </c>
      <c r="C3" s="38" t="s">
        <v>26</v>
      </c>
      <c r="D3" s="73" t="s">
        <v>211</v>
      </c>
      <c r="E3" s="73" t="s">
        <v>213</v>
      </c>
      <c r="F3" s="73" t="s">
        <v>213</v>
      </c>
      <c r="G3" s="73" t="s">
        <v>281</v>
      </c>
      <c r="H3" s="73" t="s">
        <v>282</v>
      </c>
      <c r="I3" s="73" t="s">
        <v>274</v>
      </c>
      <c r="J3" s="73" t="s">
        <v>281</v>
      </c>
      <c r="K3" s="73" t="s">
        <v>283</v>
      </c>
      <c r="L3" s="73" t="s">
        <v>211</v>
      </c>
      <c r="M3" s="73" t="s">
        <v>284</v>
      </c>
      <c r="N3" s="73" t="s">
        <v>213</v>
      </c>
      <c r="O3" s="73" t="s">
        <v>211</v>
      </c>
      <c r="P3" s="73" t="s">
        <v>211</v>
      </c>
      <c r="Q3" s="73" t="s">
        <v>183</v>
      </c>
      <c r="R3" s="73" t="s">
        <v>211</v>
      </c>
      <c r="S3" s="73" t="s">
        <v>211</v>
      </c>
      <c r="T3" s="73" t="s">
        <v>285</v>
      </c>
      <c r="U3" s="73" t="s">
        <v>274</v>
      </c>
      <c r="V3" s="73" t="s">
        <v>279</v>
      </c>
      <c r="W3" s="73" t="s">
        <v>212</v>
      </c>
      <c r="X3" s="73"/>
      <c r="Y3" s="39"/>
      <c r="Z3" s="40" t="s">
        <v>212</v>
      </c>
      <c r="AA3" s="40">
        <v>2</v>
      </c>
    </row>
    <row r="4" spans="1:27" ht="22.5" customHeight="1">
      <c r="A4" s="156"/>
      <c r="B4" s="90" t="s">
        <v>118</v>
      </c>
      <c r="C4" s="38" t="s">
        <v>26</v>
      </c>
      <c r="D4" s="73" t="s">
        <v>286</v>
      </c>
      <c r="E4" s="73" t="s">
        <v>213</v>
      </c>
      <c r="F4" s="73" t="s">
        <v>211</v>
      </c>
      <c r="G4" s="73" t="s">
        <v>211</v>
      </c>
      <c r="H4" s="73" t="s">
        <v>182</v>
      </c>
      <c r="I4" s="73" t="s">
        <v>278</v>
      </c>
      <c r="J4" s="73" t="s">
        <v>211</v>
      </c>
      <c r="K4" s="73" t="s">
        <v>211</v>
      </c>
      <c r="L4" s="73" t="s">
        <v>211</v>
      </c>
      <c r="M4" s="73" t="s">
        <v>211</v>
      </c>
      <c r="N4" s="73" t="s">
        <v>211</v>
      </c>
      <c r="O4" s="73" t="s">
        <v>211</v>
      </c>
      <c r="P4" s="73" t="s">
        <v>211</v>
      </c>
      <c r="Q4" s="73" t="s">
        <v>182</v>
      </c>
      <c r="R4" s="73" t="s">
        <v>211</v>
      </c>
      <c r="S4" s="73" t="s">
        <v>213</v>
      </c>
      <c r="T4" s="73" t="s">
        <v>278</v>
      </c>
      <c r="U4" s="73" t="s">
        <v>278</v>
      </c>
      <c r="V4" s="73" t="s">
        <v>183</v>
      </c>
      <c r="W4" s="73" t="s">
        <v>211</v>
      </c>
      <c r="X4" s="73"/>
      <c r="Y4" s="39"/>
      <c r="Z4" s="40" t="s">
        <v>213</v>
      </c>
      <c r="AA4" s="40">
        <v>3</v>
      </c>
    </row>
    <row r="5" spans="1:27" ht="22.5" customHeight="1">
      <c r="A5" s="156"/>
      <c r="B5" s="90" t="s">
        <v>119</v>
      </c>
      <c r="C5" s="38" t="s">
        <v>26</v>
      </c>
      <c r="D5" s="73" t="s">
        <v>183</v>
      </c>
      <c r="E5" s="73" t="s">
        <v>212</v>
      </c>
      <c r="F5" s="73" t="s">
        <v>212</v>
      </c>
      <c r="G5" s="73" t="s">
        <v>182</v>
      </c>
      <c r="H5" s="73" t="s">
        <v>211</v>
      </c>
      <c r="I5" s="73" t="s">
        <v>212</v>
      </c>
      <c r="J5" s="73" t="s">
        <v>211</v>
      </c>
      <c r="K5" s="73" t="s">
        <v>211</v>
      </c>
      <c r="L5" s="73" t="s">
        <v>211</v>
      </c>
      <c r="M5" s="73" t="s">
        <v>211</v>
      </c>
      <c r="N5" s="73" t="s">
        <v>211</v>
      </c>
      <c r="O5" s="73" t="s">
        <v>211</v>
      </c>
      <c r="P5" s="73" t="s">
        <v>211</v>
      </c>
      <c r="Q5" s="73" t="s">
        <v>212</v>
      </c>
      <c r="R5" s="73" t="s">
        <v>212</v>
      </c>
      <c r="S5" s="73" t="s">
        <v>211</v>
      </c>
      <c r="T5" s="73" t="s">
        <v>211</v>
      </c>
      <c r="U5" s="73" t="s">
        <v>211</v>
      </c>
      <c r="V5" s="73" t="s">
        <v>277</v>
      </c>
      <c r="W5" s="73" t="s">
        <v>212</v>
      </c>
      <c r="X5" s="73"/>
      <c r="Y5" s="39"/>
      <c r="Z5" s="40" t="s">
        <v>214</v>
      </c>
      <c r="AA5" s="40">
        <v>4</v>
      </c>
    </row>
    <row r="6" spans="1:27" ht="22.5" customHeight="1">
      <c r="A6" s="156"/>
      <c r="B6" s="90" t="s">
        <v>120</v>
      </c>
      <c r="C6" s="38" t="s">
        <v>26</v>
      </c>
      <c r="D6" s="73" t="s">
        <v>212</v>
      </c>
      <c r="E6" s="73" t="s">
        <v>212</v>
      </c>
      <c r="F6" s="73" t="s">
        <v>212</v>
      </c>
      <c r="G6" s="73" t="s">
        <v>212</v>
      </c>
      <c r="H6" s="73" t="s">
        <v>211</v>
      </c>
      <c r="I6" s="73" t="s">
        <v>211</v>
      </c>
      <c r="J6" s="73" t="s">
        <v>212</v>
      </c>
      <c r="K6" s="73" t="s">
        <v>211</v>
      </c>
      <c r="L6" s="73" t="s">
        <v>287</v>
      </c>
      <c r="M6" s="73" t="s">
        <v>212</v>
      </c>
      <c r="N6" s="73" t="s">
        <v>211</v>
      </c>
      <c r="O6" s="73" t="s">
        <v>211</v>
      </c>
      <c r="P6" s="73" t="s">
        <v>211</v>
      </c>
      <c r="Q6" s="73" t="s">
        <v>212</v>
      </c>
      <c r="R6" s="73" t="s">
        <v>212</v>
      </c>
      <c r="S6" s="73" t="s">
        <v>212</v>
      </c>
      <c r="T6" s="73" t="s">
        <v>211</v>
      </c>
      <c r="U6" s="73" t="s">
        <v>211</v>
      </c>
      <c r="V6" s="73" t="s">
        <v>212</v>
      </c>
      <c r="W6" s="73" t="s">
        <v>278</v>
      </c>
      <c r="X6" s="39"/>
      <c r="Y6" s="39"/>
      <c r="Z6" s="40"/>
      <c r="AA6" s="40">
        <v>5</v>
      </c>
    </row>
    <row r="7" spans="1:27" ht="22.5" customHeight="1">
      <c r="A7" s="156"/>
      <c r="B7" s="90"/>
      <c r="C7" s="38" t="s">
        <v>26</v>
      </c>
      <c r="D7" s="73"/>
      <c r="E7" s="73"/>
      <c r="F7" s="73"/>
      <c r="G7" s="73"/>
      <c r="H7" s="73"/>
      <c r="I7" s="73"/>
      <c r="J7" s="73"/>
      <c r="K7" s="73"/>
      <c r="L7" s="73"/>
      <c r="M7" s="73"/>
      <c r="N7" s="73"/>
      <c r="O7" s="73"/>
      <c r="P7" s="73"/>
      <c r="Q7" s="73"/>
      <c r="R7" s="73"/>
      <c r="S7" s="73"/>
      <c r="T7" s="73"/>
      <c r="U7" s="73"/>
      <c r="V7" s="73"/>
      <c r="W7" s="73"/>
      <c r="X7" s="39"/>
      <c r="Y7" s="39"/>
      <c r="Z7" s="40"/>
      <c r="AA7" s="40" t="s">
        <v>214</v>
      </c>
    </row>
    <row r="8" spans="1:27" ht="22.5" customHeight="1">
      <c r="A8" s="156"/>
      <c r="B8" s="41"/>
      <c r="C8" s="38" t="s">
        <v>26</v>
      </c>
      <c r="D8" s="73"/>
      <c r="E8" s="73"/>
      <c r="F8" s="73"/>
      <c r="G8" s="73"/>
      <c r="H8" s="73"/>
      <c r="I8" s="73"/>
      <c r="J8" s="73"/>
      <c r="K8" s="73"/>
      <c r="L8" s="73"/>
      <c r="M8" s="73"/>
      <c r="N8" s="73"/>
      <c r="O8" s="73"/>
      <c r="P8" s="73"/>
      <c r="Q8" s="73"/>
      <c r="R8" s="73"/>
      <c r="S8" s="73"/>
      <c r="T8" s="73"/>
      <c r="U8" s="73"/>
      <c r="V8" s="73"/>
      <c r="W8" s="73"/>
      <c r="X8" s="39"/>
      <c r="Y8" s="39"/>
    </row>
    <row r="9" spans="1:27" ht="22.5" customHeight="1">
      <c r="A9" s="156"/>
      <c r="B9" s="41"/>
      <c r="C9" s="38" t="s">
        <v>26</v>
      </c>
      <c r="D9" s="73"/>
      <c r="E9" s="73"/>
      <c r="F9" s="73"/>
      <c r="G9" s="73"/>
      <c r="H9" s="73"/>
      <c r="I9" s="73"/>
      <c r="J9" s="73"/>
      <c r="K9" s="73"/>
      <c r="L9" s="73"/>
      <c r="M9" s="73"/>
      <c r="N9" s="73"/>
      <c r="O9" s="73"/>
      <c r="P9" s="73"/>
      <c r="Q9" s="73"/>
      <c r="R9" s="73"/>
      <c r="S9" s="73"/>
      <c r="T9" s="73"/>
      <c r="U9" s="73"/>
      <c r="V9" s="73"/>
      <c r="W9" s="73"/>
      <c r="X9" s="39"/>
      <c r="Y9" s="39"/>
    </row>
    <row r="10" spans="1:27" ht="22.5" customHeight="1">
      <c r="A10" s="156"/>
      <c r="B10" s="41"/>
      <c r="C10" s="38" t="s">
        <v>26</v>
      </c>
      <c r="D10" s="73"/>
      <c r="E10" s="73"/>
      <c r="F10" s="73"/>
      <c r="G10" s="73"/>
      <c r="H10" s="73"/>
      <c r="I10" s="73"/>
      <c r="J10" s="73"/>
      <c r="K10" s="73"/>
      <c r="L10" s="73"/>
      <c r="M10" s="73"/>
      <c r="N10" s="73"/>
      <c r="O10" s="73"/>
      <c r="P10" s="73"/>
      <c r="Q10" s="73"/>
      <c r="R10" s="73"/>
      <c r="S10" s="73"/>
      <c r="T10" s="73"/>
      <c r="U10" s="73"/>
      <c r="V10" s="73"/>
      <c r="W10" s="73"/>
      <c r="X10" s="39"/>
      <c r="Y10" s="39"/>
    </row>
    <row r="11" spans="1:27" ht="22.5" customHeight="1">
      <c r="A11" s="156"/>
      <c r="B11" s="41"/>
      <c r="C11" s="38" t="s">
        <v>26</v>
      </c>
      <c r="D11" s="73"/>
      <c r="E11" s="73"/>
      <c r="F11" s="73"/>
      <c r="G11" s="73"/>
      <c r="H11" s="73"/>
      <c r="I11" s="73"/>
      <c r="J11" s="73"/>
      <c r="K11" s="73"/>
      <c r="L11" s="73"/>
      <c r="M11" s="73"/>
      <c r="N11" s="73"/>
      <c r="O11" s="73"/>
      <c r="P11" s="73"/>
      <c r="Q11" s="73"/>
      <c r="R11" s="73"/>
      <c r="S11" s="73"/>
      <c r="T11" s="73"/>
      <c r="U11" s="73"/>
      <c r="V11" s="73"/>
      <c r="W11" s="73"/>
      <c r="X11" s="39"/>
      <c r="Y11" s="39"/>
    </row>
    <row r="12" spans="1:27" ht="30" customHeight="1">
      <c r="A12" s="157"/>
      <c r="B12" s="42"/>
      <c r="C12" s="43" t="s">
        <v>27</v>
      </c>
      <c r="D12" s="73">
        <v>4</v>
      </c>
      <c r="E12" s="73">
        <v>2</v>
      </c>
      <c r="F12" s="73">
        <v>3</v>
      </c>
      <c r="G12" s="73">
        <v>4</v>
      </c>
      <c r="H12" s="73">
        <v>5</v>
      </c>
      <c r="I12" s="73">
        <v>5</v>
      </c>
      <c r="J12" s="73">
        <v>4</v>
      </c>
      <c r="K12" s="73">
        <v>5</v>
      </c>
      <c r="L12" s="73">
        <v>5</v>
      </c>
      <c r="M12" s="73">
        <v>4</v>
      </c>
      <c r="N12" s="73">
        <v>4</v>
      </c>
      <c r="O12" s="73">
        <v>5</v>
      </c>
      <c r="P12" s="73">
        <v>5</v>
      </c>
      <c r="Q12" s="73">
        <v>3</v>
      </c>
      <c r="R12" s="73">
        <v>4</v>
      </c>
      <c r="S12" s="73">
        <v>4</v>
      </c>
      <c r="T12" s="73">
        <v>5</v>
      </c>
      <c r="U12" s="73">
        <v>5</v>
      </c>
      <c r="V12" s="73">
        <v>4</v>
      </c>
      <c r="W12" s="73">
        <v>4</v>
      </c>
      <c r="X12" s="39"/>
      <c r="Y12" s="39"/>
    </row>
    <row r="13" spans="1:27" ht="26.25" customHeight="1">
      <c r="A13" s="44"/>
      <c r="B13" s="44"/>
      <c r="C13" s="71" t="s">
        <v>55</v>
      </c>
      <c r="D13" s="73"/>
      <c r="E13" s="73"/>
      <c r="F13" s="73"/>
      <c r="G13" s="73"/>
      <c r="H13" s="73"/>
      <c r="I13" s="73"/>
      <c r="J13" s="73"/>
      <c r="K13" s="73"/>
      <c r="L13" s="73"/>
      <c r="M13" s="73"/>
      <c r="N13" s="73"/>
      <c r="O13" s="73"/>
      <c r="P13" s="73"/>
      <c r="Q13" s="73"/>
      <c r="R13" s="73"/>
      <c r="S13" s="73"/>
      <c r="T13" s="73"/>
      <c r="U13" s="73"/>
      <c r="V13" s="73"/>
      <c r="W13" s="73"/>
      <c r="X13" s="39"/>
      <c r="Y13" s="39"/>
    </row>
    <row r="14" spans="1:27" ht="22.5" customHeight="1">
      <c r="A14" s="45" t="s">
        <v>28</v>
      </c>
      <c r="B14" s="164" t="s">
        <v>29</v>
      </c>
      <c r="C14" s="165"/>
      <c r="D14" s="165"/>
      <c r="E14" s="165"/>
      <c r="F14" s="165"/>
      <c r="G14" s="165"/>
      <c r="H14" s="165"/>
      <c r="I14" s="165"/>
      <c r="J14" s="165"/>
      <c r="K14" s="165"/>
      <c r="L14" s="165"/>
      <c r="M14" s="165"/>
      <c r="N14" s="165"/>
      <c r="O14" s="165"/>
      <c r="P14" s="165"/>
      <c r="Q14" s="165"/>
      <c r="R14" s="165"/>
      <c r="S14" s="165"/>
      <c r="T14" s="165"/>
      <c r="U14" s="165"/>
      <c r="V14" s="165"/>
      <c r="W14" s="165"/>
      <c r="X14" s="165"/>
      <c r="Y14" s="166"/>
    </row>
    <row r="15" spans="1:27" ht="59.25" customHeight="1">
      <c r="A15" s="46" t="s">
        <v>79</v>
      </c>
      <c r="B15" s="167"/>
      <c r="C15" s="168"/>
      <c r="D15" s="168"/>
      <c r="E15" s="168"/>
      <c r="F15" s="168"/>
      <c r="G15" s="168"/>
      <c r="H15" s="168"/>
      <c r="I15" s="168"/>
      <c r="J15" s="168"/>
      <c r="K15" s="168"/>
      <c r="L15" s="168"/>
      <c r="M15" s="168"/>
      <c r="N15" s="168"/>
      <c r="O15" s="168"/>
      <c r="P15" s="168"/>
      <c r="Q15" s="168"/>
      <c r="R15" s="168"/>
      <c r="S15" s="168"/>
      <c r="T15" s="168"/>
      <c r="U15" s="168"/>
      <c r="V15" s="168"/>
      <c r="W15" s="168"/>
      <c r="X15" s="168"/>
      <c r="Y15" s="169"/>
    </row>
    <row r="16" spans="1:27" ht="59.25" customHeight="1">
      <c r="A16" s="46" t="s">
        <v>80</v>
      </c>
      <c r="B16" s="167" t="s">
        <v>121</v>
      </c>
      <c r="C16" s="168"/>
      <c r="D16" s="168"/>
      <c r="E16" s="168"/>
      <c r="F16" s="168"/>
      <c r="G16" s="168"/>
      <c r="H16" s="168"/>
      <c r="I16" s="168"/>
      <c r="J16" s="168"/>
      <c r="K16" s="168"/>
      <c r="L16" s="168"/>
      <c r="M16" s="168"/>
      <c r="N16" s="168"/>
      <c r="O16" s="168"/>
      <c r="P16" s="168"/>
      <c r="Q16" s="168"/>
      <c r="R16" s="168"/>
      <c r="S16" s="168"/>
      <c r="T16" s="168"/>
      <c r="U16" s="168"/>
      <c r="V16" s="168"/>
      <c r="W16" s="168"/>
      <c r="X16" s="168"/>
      <c r="Y16" s="169"/>
    </row>
    <row r="17" spans="1:25" ht="59.25" customHeight="1">
      <c r="A17" s="46" t="s">
        <v>81</v>
      </c>
      <c r="B17" s="167" t="s">
        <v>122</v>
      </c>
      <c r="C17" s="168"/>
      <c r="D17" s="168"/>
      <c r="E17" s="168"/>
      <c r="F17" s="168"/>
      <c r="G17" s="168"/>
      <c r="H17" s="168"/>
      <c r="I17" s="168"/>
      <c r="J17" s="168"/>
      <c r="K17" s="168"/>
      <c r="L17" s="168"/>
      <c r="M17" s="168"/>
      <c r="N17" s="168"/>
      <c r="O17" s="168"/>
      <c r="P17" s="168"/>
      <c r="Q17" s="168"/>
      <c r="R17" s="168"/>
      <c r="S17" s="168"/>
      <c r="T17" s="168"/>
      <c r="U17" s="168"/>
      <c r="V17" s="168"/>
      <c r="W17" s="168"/>
      <c r="X17" s="168"/>
      <c r="Y17" s="169"/>
    </row>
    <row r="18" spans="1:25" ht="59.25" customHeight="1">
      <c r="A18" s="46" t="s">
        <v>82</v>
      </c>
      <c r="B18" s="167"/>
      <c r="C18" s="168"/>
      <c r="D18" s="168"/>
      <c r="E18" s="168"/>
      <c r="F18" s="168"/>
      <c r="G18" s="168"/>
      <c r="H18" s="168"/>
      <c r="I18" s="168"/>
      <c r="J18" s="168"/>
      <c r="K18" s="168"/>
      <c r="L18" s="168"/>
      <c r="M18" s="168"/>
      <c r="N18" s="168"/>
      <c r="O18" s="168"/>
      <c r="P18" s="168"/>
      <c r="Q18" s="168"/>
      <c r="R18" s="168"/>
      <c r="S18" s="168"/>
      <c r="T18" s="168"/>
      <c r="U18" s="168"/>
      <c r="V18" s="168"/>
      <c r="W18" s="168"/>
      <c r="X18" s="168"/>
      <c r="Y18" s="169"/>
    </row>
    <row r="19" spans="1:25" ht="59.25" customHeight="1">
      <c r="A19" s="46" t="s">
        <v>83</v>
      </c>
      <c r="B19" s="167"/>
      <c r="C19" s="168"/>
      <c r="D19" s="168"/>
      <c r="E19" s="168"/>
      <c r="F19" s="168"/>
      <c r="G19" s="168"/>
      <c r="H19" s="168"/>
      <c r="I19" s="168"/>
      <c r="J19" s="168"/>
      <c r="K19" s="168"/>
      <c r="L19" s="168"/>
      <c r="M19" s="168"/>
      <c r="N19" s="168"/>
      <c r="O19" s="168"/>
      <c r="P19" s="168"/>
      <c r="Q19" s="168"/>
      <c r="R19" s="168"/>
      <c r="S19" s="168"/>
      <c r="T19" s="168"/>
      <c r="U19" s="168"/>
      <c r="V19" s="168"/>
      <c r="W19" s="168"/>
      <c r="X19" s="168"/>
      <c r="Y19" s="169"/>
    </row>
    <row r="20" spans="1:25" ht="59.25" customHeight="1">
      <c r="A20" s="46" t="s">
        <v>84</v>
      </c>
      <c r="B20" s="167"/>
      <c r="C20" s="168"/>
      <c r="D20" s="168"/>
      <c r="E20" s="168"/>
      <c r="F20" s="168"/>
      <c r="G20" s="168"/>
      <c r="H20" s="168"/>
      <c r="I20" s="168"/>
      <c r="J20" s="168"/>
      <c r="K20" s="168"/>
      <c r="L20" s="168"/>
      <c r="M20" s="168"/>
      <c r="N20" s="168"/>
      <c r="O20" s="168"/>
      <c r="P20" s="168"/>
      <c r="Q20" s="168"/>
      <c r="R20" s="168"/>
      <c r="S20" s="168"/>
      <c r="T20" s="168"/>
      <c r="U20" s="168"/>
      <c r="V20" s="168"/>
      <c r="W20" s="168"/>
      <c r="X20" s="168"/>
      <c r="Y20" s="169"/>
    </row>
    <row r="21" spans="1:25" ht="59.25" customHeight="1">
      <c r="A21" s="46" t="s">
        <v>85</v>
      </c>
      <c r="B21" s="167"/>
      <c r="C21" s="168"/>
      <c r="D21" s="168"/>
      <c r="E21" s="168"/>
      <c r="F21" s="168"/>
      <c r="G21" s="168"/>
      <c r="H21" s="168"/>
      <c r="I21" s="168"/>
      <c r="J21" s="168"/>
      <c r="K21" s="168"/>
      <c r="L21" s="168"/>
      <c r="M21" s="168"/>
      <c r="N21" s="168"/>
      <c r="O21" s="168"/>
      <c r="P21" s="168"/>
      <c r="Q21" s="168"/>
      <c r="R21" s="168"/>
      <c r="S21" s="168"/>
      <c r="T21" s="168"/>
      <c r="U21" s="168"/>
      <c r="V21" s="168"/>
      <c r="W21" s="168"/>
      <c r="X21" s="168"/>
      <c r="Y21" s="169"/>
    </row>
    <row r="22" spans="1:25" ht="59.25" customHeight="1">
      <c r="A22" s="46" t="s">
        <v>86</v>
      </c>
      <c r="B22" s="167"/>
      <c r="C22" s="168"/>
      <c r="D22" s="168"/>
      <c r="E22" s="168"/>
      <c r="F22" s="168"/>
      <c r="G22" s="168"/>
      <c r="H22" s="168"/>
      <c r="I22" s="168"/>
      <c r="J22" s="168"/>
      <c r="K22" s="168"/>
      <c r="L22" s="168"/>
      <c r="M22" s="168"/>
      <c r="N22" s="168"/>
      <c r="O22" s="168"/>
      <c r="P22" s="168"/>
      <c r="Q22" s="168"/>
      <c r="R22" s="168"/>
      <c r="S22" s="168"/>
      <c r="T22" s="168"/>
      <c r="U22" s="168"/>
      <c r="V22" s="168"/>
      <c r="W22" s="168"/>
      <c r="X22" s="168"/>
      <c r="Y22" s="169"/>
    </row>
    <row r="23" spans="1:25" ht="59.25" customHeight="1">
      <c r="A23" s="46" t="s">
        <v>87</v>
      </c>
      <c r="B23" s="167"/>
      <c r="C23" s="168"/>
      <c r="D23" s="168"/>
      <c r="E23" s="168"/>
      <c r="F23" s="168"/>
      <c r="G23" s="168"/>
      <c r="H23" s="168"/>
      <c r="I23" s="168"/>
      <c r="J23" s="168"/>
      <c r="K23" s="168"/>
      <c r="L23" s="168"/>
      <c r="M23" s="168"/>
      <c r="N23" s="168"/>
      <c r="O23" s="168"/>
      <c r="P23" s="168"/>
      <c r="Q23" s="168"/>
      <c r="R23" s="168"/>
      <c r="S23" s="168"/>
      <c r="T23" s="168"/>
      <c r="U23" s="168"/>
      <c r="V23" s="168"/>
      <c r="W23" s="168"/>
      <c r="X23" s="168"/>
      <c r="Y23" s="169"/>
    </row>
    <row r="24" spans="1:25" ht="59.25" customHeight="1">
      <c r="A24" s="46" t="s">
        <v>88</v>
      </c>
      <c r="B24" s="167"/>
      <c r="C24" s="168"/>
      <c r="D24" s="168"/>
      <c r="E24" s="168"/>
      <c r="F24" s="168"/>
      <c r="G24" s="168"/>
      <c r="H24" s="168"/>
      <c r="I24" s="168"/>
      <c r="J24" s="168"/>
      <c r="K24" s="168"/>
      <c r="L24" s="168"/>
      <c r="M24" s="168"/>
      <c r="N24" s="168"/>
      <c r="O24" s="168"/>
      <c r="P24" s="168"/>
      <c r="Q24" s="168"/>
      <c r="R24" s="168"/>
      <c r="S24" s="168"/>
      <c r="T24" s="168"/>
      <c r="U24" s="168"/>
      <c r="V24" s="168"/>
      <c r="W24" s="168"/>
      <c r="X24" s="168"/>
      <c r="Y24" s="169"/>
    </row>
    <row r="25" spans="1:25" ht="59.25" customHeight="1">
      <c r="A25" s="46" t="s">
        <v>89</v>
      </c>
      <c r="B25" s="167" t="s">
        <v>123</v>
      </c>
      <c r="C25" s="168"/>
      <c r="D25" s="168"/>
      <c r="E25" s="168"/>
      <c r="F25" s="168"/>
      <c r="G25" s="168"/>
      <c r="H25" s="168"/>
      <c r="I25" s="168"/>
      <c r="J25" s="168"/>
      <c r="K25" s="168"/>
      <c r="L25" s="168"/>
      <c r="M25" s="168"/>
      <c r="N25" s="168"/>
      <c r="O25" s="168"/>
      <c r="P25" s="168"/>
      <c r="Q25" s="168"/>
      <c r="R25" s="168"/>
      <c r="S25" s="168"/>
      <c r="T25" s="168"/>
      <c r="U25" s="168"/>
      <c r="V25" s="168"/>
      <c r="W25" s="168"/>
      <c r="X25" s="168"/>
      <c r="Y25" s="169"/>
    </row>
    <row r="26" spans="1:25" ht="59.25" customHeight="1">
      <c r="A26" s="46" t="s">
        <v>90</v>
      </c>
      <c r="B26" s="167"/>
      <c r="C26" s="168"/>
      <c r="D26" s="168"/>
      <c r="E26" s="168"/>
      <c r="F26" s="168"/>
      <c r="G26" s="168"/>
      <c r="H26" s="168"/>
      <c r="I26" s="168"/>
      <c r="J26" s="168"/>
      <c r="K26" s="168"/>
      <c r="L26" s="168"/>
      <c r="M26" s="168"/>
      <c r="N26" s="168"/>
      <c r="O26" s="168"/>
      <c r="P26" s="168"/>
      <c r="Q26" s="168"/>
      <c r="R26" s="168"/>
      <c r="S26" s="168"/>
      <c r="T26" s="168"/>
      <c r="U26" s="168"/>
      <c r="V26" s="168"/>
      <c r="W26" s="168"/>
      <c r="X26" s="168"/>
      <c r="Y26" s="169"/>
    </row>
    <row r="27" spans="1:25" ht="59.25" customHeight="1">
      <c r="A27" s="46" t="s">
        <v>91</v>
      </c>
      <c r="B27" s="167"/>
      <c r="C27" s="168"/>
      <c r="D27" s="168"/>
      <c r="E27" s="168"/>
      <c r="F27" s="168"/>
      <c r="G27" s="168"/>
      <c r="H27" s="168"/>
      <c r="I27" s="168"/>
      <c r="J27" s="168"/>
      <c r="K27" s="168"/>
      <c r="L27" s="168"/>
      <c r="M27" s="168"/>
      <c r="N27" s="168"/>
      <c r="O27" s="168"/>
      <c r="P27" s="168"/>
      <c r="Q27" s="168"/>
      <c r="R27" s="168"/>
      <c r="S27" s="168"/>
      <c r="T27" s="168"/>
      <c r="U27" s="168"/>
      <c r="V27" s="168"/>
      <c r="W27" s="168"/>
      <c r="X27" s="168"/>
      <c r="Y27" s="169"/>
    </row>
    <row r="28" spans="1:25" ht="59.25" customHeight="1">
      <c r="A28" s="46" t="s">
        <v>92</v>
      </c>
      <c r="B28" s="167"/>
      <c r="C28" s="168"/>
      <c r="D28" s="168"/>
      <c r="E28" s="168"/>
      <c r="F28" s="168"/>
      <c r="G28" s="168"/>
      <c r="H28" s="168"/>
      <c r="I28" s="168"/>
      <c r="J28" s="168"/>
      <c r="K28" s="168"/>
      <c r="L28" s="168"/>
      <c r="M28" s="168"/>
      <c r="N28" s="168"/>
      <c r="O28" s="168"/>
      <c r="P28" s="168"/>
      <c r="Q28" s="168"/>
      <c r="R28" s="168"/>
      <c r="S28" s="168"/>
      <c r="T28" s="168"/>
      <c r="U28" s="168"/>
      <c r="V28" s="168"/>
      <c r="W28" s="168"/>
      <c r="X28" s="168"/>
      <c r="Y28" s="169"/>
    </row>
    <row r="29" spans="1:25" ht="59.25" customHeight="1">
      <c r="A29" s="46" t="s">
        <v>93</v>
      </c>
      <c r="B29" s="167"/>
      <c r="C29" s="168"/>
      <c r="D29" s="168"/>
      <c r="E29" s="168"/>
      <c r="F29" s="168"/>
      <c r="G29" s="168"/>
      <c r="H29" s="168"/>
      <c r="I29" s="168"/>
      <c r="J29" s="168"/>
      <c r="K29" s="168"/>
      <c r="L29" s="168"/>
      <c r="M29" s="168"/>
      <c r="N29" s="168"/>
      <c r="O29" s="168"/>
      <c r="P29" s="168"/>
      <c r="Q29" s="168"/>
      <c r="R29" s="168"/>
      <c r="S29" s="168"/>
      <c r="T29" s="168"/>
      <c r="U29" s="168"/>
      <c r="V29" s="168"/>
      <c r="W29" s="168"/>
      <c r="X29" s="168"/>
      <c r="Y29" s="169"/>
    </row>
    <row r="30" spans="1:25" ht="59.25" customHeight="1">
      <c r="A30" s="46" t="s">
        <v>94</v>
      </c>
      <c r="B30" s="167" t="s">
        <v>124</v>
      </c>
      <c r="C30" s="168"/>
      <c r="D30" s="168"/>
      <c r="E30" s="168"/>
      <c r="F30" s="168"/>
      <c r="G30" s="168"/>
      <c r="H30" s="168"/>
      <c r="I30" s="168"/>
      <c r="J30" s="168"/>
      <c r="K30" s="168"/>
      <c r="L30" s="168"/>
      <c r="M30" s="168"/>
      <c r="N30" s="168"/>
      <c r="O30" s="168"/>
      <c r="P30" s="168"/>
      <c r="Q30" s="168"/>
      <c r="R30" s="168"/>
      <c r="S30" s="168"/>
      <c r="T30" s="168"/>
      <c r="U30" s="168"/>
      <c r="V30" s="168"/>
      <c r="W30" s="168"/>
      <c r="X30" s="168"/>
      <c r="Y30" s="169"/>
    </row>
    <row r="31" spans="1:25" ht="59.25" customHeight="1">
      <c r="A31" s="46" t="s">
        <v>95</v>
      </c>
      <c r="B31" s="167"/>
      <c r="C31" s="168"/>
      <c r="D31" s="168"/>
      <c r="E31" s="168"/>
      <c r="F31" s="168"/>
      <c r="G31" s="168"/>
      <c r="H31" s="168"/>
      <c r="I31" s="168"/>
      <c r="J31" s="168"/>
      <c r="K31" s="168"/>
      <c r="L31" s="168"/>
      <c r="M31" s="168"/>
      <c r="N31" s="168"/>
      <c r="O31" s="168"/>
      <c r="P31" s="168"/>
      <c r="Q31" s="168"/>
      <c r="R31" s="168"/>
      <c r="S31" s="168"/>
      <c r="T31" s="168"/>
      <c r="U31" s="168"/>
      <c r="V31" s="168"/>
      <c r="W31" s="168"/>
      <c r="X31" s="168"/>
      <c r="Y31" s="169"/>
    </row>
    <row r="32" spans="1:25" ht="59.25" customHeight="1">
      <c r="A32" s="46" t="s">
        <v>96</v>
      </c>
      <c r="B32" s="167"/>
      <c r="C32" s="168"/>
      <c r="D32" s="168"/>
      <c r="E32" s="168"/>
      <c r="F32" s="168"/>
      <c r="G32" s="168"/>
      <c r="H32" s="168"/>
      <c r="I32" s="168"/>
      <c r="J32" s="168"/>
      <c r="K32" s="168"/>
      <c r="L32" s="168"/>
      <c r="M32" s="168"/>
      <c r="N32" s="168"/>
      <c r="O32" s="168"/>
      <c r="P32" s="168"/>
      <c r="Q32" s="168"/>
      <c r="R32" s="168"/>
      <c r="S32" s="168"/>
      <c r="T32" s="168"/>
      <c r="U32" s="168"/>
      <c r="V32" s="168"/>
      <c r="W32" s="168"/>
      <c r="X32" s="168"/>
      <c r="Y32" s="169"/>
    </row>
    <row r="33" spans="1:25" ht="59.25" customHeight="1">
      <c r="A33" s="46" t="s">
        <v>97</v>
      </c>
      <c r="B33" s="167"/>
      <c r="C33" s="168"/>
      <c r="D33" s="168"/>
      <c r="E33" s="168"/>
      <c r="F33" s="168"/>
      <c r="G33" s="168"/>
      <c r="H33" s="168"/>
      <c r="I33" s="168"/>
      <c r="J33" s="168"/>
      <c r="K33" s="168"/>
      <c r="L33" s="168"/>
      <c r="M33" s="168"/>
      <c r="N33" s="168"/>
      <c r="O33" s="168"/>
      <c r="P33" s="168"/>
      <c r="Q33" s="168"/>
      <c r="R33" s="168"/>
      <c r="S33" s="168"/>
      <c r="T33" s="168"/>
      <c r="U33" s="168"/>
      <c r="V33" s="168"/>
      <c r="W33" s="168"/>
      <c r="X33" s="168"/>
      <c r="Y33" s="169"/>
    </row>
    <row r="34" spans="1:25" ht="59.25" customHeight="1">
      <c r="A34" s="46" t="s">
        <v>98</v>
      </c>
      <c r="B34" s="167"/>
      <c r="C34" s="168"/>
      <c r="D34" s="168"/>
      <c r="E34" s="168"/>
      <c r="F34" s="168"/>
      <c r="G34" s="168"/>
      <c r="H34" s="168"/>
      <c r="I34" s="168"/>
      <c r="J34" s="168"/>
      <c r="K34" s="168"/>
      <c r="L34" s="168"/>
      <c r="M34" s="168"/>
      <c r="N34" s="168"/>
      <c r="O34" s="168"/>
      <c r="P34" s="168"/>
      <c r="Q34" s="168"/>
      <c r="R34" s="168"/>
      <c r="S34" s="168"/>
      <c r="T34" s="168"/>
      <c r="U34" s="168"/>
      <c r="V34" s="168"/>
      <c r="W34" s="168"/>
      <c r="X34" s="168"/>
      <c r="Y34" s="169"/>
    </row>
    <row r="35" spans="1:25" ht="59.25" customHeight="1">
      <c r="A35" s="46"/>
      <c r="B35" s="167"/>
      <c r="C35" s="168"/>
      <c r="D35" s="168"/>
      <c r="E35" s="168"/>
      <c r="F35" s="168"/>
      <c r="G35" s="168"/>
      <c r="H35" s="168"/>
      <c r="I35" s="168"/>
      <c r="J35" s="168"/>
      <c r="K35" s="168"/>
      <c r="L35" s="168"/>
      <c r="M35" s="168"/>
      <c r="N35" s="168"/>
      <c r="O35" s="168"/>
      <c r="P35" s="168"/>
      <c r="Q35" s="168"/>
      <c r="R35" s="168"/>
      <c r="S35" s="168"/>
      <c r="T35" s="168"/>
      <c r="U35" s="168"/>
      <c r="V35" s="168"/>
      <c r="W35" s="168"/>
      <c r="X35" s="168"/>
      <c r="Y35" s="169"/>
    </row>
    <row r="36" spans="1:25" ht="59.25" customHeight="1">
      <c r="A36" s="46"/>
      <c r="B36" s="167"/>
      <c r="C36" s="168"/>
      <c r="D36" s="168"/>
      <c r="E36" s="168"/>
      <c r="F36" s="168"/>
      <c r="G36" s="168"/>
      <c r="H36" s="168"/>
      <c r="I36" s="168"/>
      <c r="J36" s="168"/>
      <c r="K36" s="168"/>
      <c r="L36" s="168"/>
      <c r="M36" s="168"/>
      <c r="N36" s="168"/>
      <c r="O36" s="168"/>
      <c r="P36" s="168"/>
      <c r="Q36" s="168"/>
      <c r="R36" s="168"/>
      <c r="S36" s="168"/>
      <c r="T36" s="168"/>
      <c r="U36" s="168"/>
      <c r="V36" s="168"/>
      <c r="W36" s="168"/>
      <c r="X36" s="168"/>
      <c r="Y36" s="169"/>
    </row>
    <row r="37" spans="1:25" ht="22.5" customHeight="1"/>
    <row r="38" spans="1:25" ht="22.5" customHeight="1"/>
    <row r="39" spans="1:25" ht="22.5" customHeight="1"/>
    <row r="40" spans="1:25" ht="22.5" customHeight="1"/>
    <row r="41" spans="1:25" ht="17.25" customHeight="1"/>
    <row r="42" spans="1:25" ht="17.25" customHeight="1"/>
    <row r="43" spans="1:25" ht="17.25" customHeight="1"/>
    <row r="44" spans="1:25" ht="17.25" customHeight="1"/>
    <row r="45" spans="1:25" ht="17.25" customHeight="1"/>
    <row r="46" spans="1:25" ht="17.25" customHeight="1"/>
    <row r="47" spans="1:25" ht="17.25" customHeight="1"/>
    <row r="48" spans="1:25"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sheetData>
  <mergeCells count="24">
    <mergeCell ref="B34:Y34"/>
    <mergeCell ref="B35:Y35"/>
    <mergeCell ref="B36:Y36"/>
    <mergeCell ref="B23:Y23"/>
    <mergeCell ref="B24:Y24"/>
    <mergeCell ref="B25:Y25"/>
    <mergeCell ref="B26:Y26"/>
    <mergeCell ref="B27:Y27"/>
    <mergeCell ref="B28:Y28"/>
    <mergeCell ref="B29:Y29"/>
    <mergeCell ref="B30:Y30"/>
    <mergeCell ref="B31:Y31"/>
    <mergeCell ref="B32:Y32"/>
    <mergeCell ref="B33:Y33"/>
    <mergeCell ref="B18:Y18"/>
    <mergeCell ref="B19:Y19"/>
    <mergeCell ref="B20:Y20"/>
    <mergeCell ref="B21:Y21"/>
    <mergeCell ref="B22:Y22"/>
    <mergeCell ref="A2:A12"/>
    <mergeCell ref="B14:Y14"/>
    <mergeCell ref="B15:Y15"/>
    <mergeCell ref="B16:Y16"/>
    <mergeCell ref="B17:Y17"/>
  </mergeCells>
  <phoneticPr fontId="1"/>
  <dataValidations count="2">
    <dataValidation type="list" allowBlank="1" showDropDown="1" showInputMessage="1" showErrorMessage="1" sqref="D2:Y11">
      <formula1>$Z$2:$Z$5</formula1>
    </dataValidation>
    <dataValidation type="list" allowBlank="1" showDropDown="1" showInputMessage="1" showErrorMessage="1" errorTitle="文字エラー" error="半角数字1～5か、評価不能の場合は-（半角マイナス）を入れて下さい。" sqref="D12:Y13">
      <formula1>$AA$2:$AA$7</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C178"/>
  <sheetViews>
    <sheetView workbookViewId="0">
      <selection sqref="A1:XFD1048576"/>
    </sheetView>
  </sheetViews>
  <sheetFormatPr defaultColWidth="9" defaultRowHeight="13.5"/>
  <cols>
    <col min="1" max="1" width="13.5" style="76" customWidth="1"/>
    <col min="2" max="2" width="147.75" style="76" customWidth="1"/>
    <col min="3" max="16384" width="9" style="76"/>
  </cols>
  <sheetData>
    <row r="1" spans="1:3" ht="27.75" customHeight="1">
      <c r="A1" s="74" t="str">
        <f ca="1">MID(CELL("filename",A1),FIND("[",CELL("filename",A1))+1,3)</f>
        <v>４－２</v>
      </c>
      <c r="B1" s="34" t="str">
        <f ca="1">RIGHT(CELL("filename",B1),LEN(CELL("filename",B1))-FIND("]",CELL("filename",B1)))</f>
        <v>道徳</v>
      </c>
      <c r="C1" s="83" t="s">
        <v>30</v>
      </c>
    </row>
    <row r="2" spans="1:3" ht="22.5" customHeight="1">
      <c r="A2" s="45" t="s">
        <v>28</v>
      </c>
      <c r="B2" s="45" t="s">
        <v>6</v>
      </c>
      <c r="C2" s="76" t="s">
        <v>288</v>
      </c>
    </row>
    <row r="3" spans="1:3" ht="59.25" customHeight="1">
      <c r="A3" s="79" t="s">
        <v>79</v>
      </c>
      <c r="B3" s="91" t="s">
        <v>125</v>
      </c>
      <c r="C3" s="76">
        <f>LEN(B3)</f>
        <v>161</v>
      </c>
    </row>
    <row r="4" spans="1:3" ht="59.25" customHeight="1">
      <c r="A4" s="79" t="s">
        <v>80</v>
      </c>
      <c r="B4" s="91" t="s">
        <v>126</v>
      </c>
      <c r="C4" s="76">
        <f t="shared" ref="C4:C24" si="0">LEN(B4)</f>
        <v>153</v>
      </c>
    </row>
    <row r="5" spans="1:3" ht="59.25" customHeight="1">
      <c r="A5" s="79" t="s">
        <v>81</v>
      </c>
      <c r="B5" s="91" t="s">
        <v>127</v>
      </c>
      <c r="C5" s="76">
        <f t="shared" si="0"/>
        <v>176</v>
      </c>
    </row>
    <row r="6" spans="1:3" ht="59.25" customHeight="1">
      <c r="A6" s="79" t="s">
        <v>82</v>
      </c>
      <c r="B6" s="91" t="s">
        <v>128</v>
      </c>
      <c r="C6" s="76">
        <f t="shared" si="0"/>
        <v>178</v>
      </c>
    </row>
    <row r="7" spans="1:3" ht="59.25" customHeight="1">
      <c r="A7" s="79" t="s">
        <v>83</v>
      </c>
      <c r="B7" s="91" t="s">
        <v>129</v>
      </c>
      <c r="C7" s="76">
        <f t="shared" si="0"/>
        <v>171</v>
      </c>
    </row>
    <row r="8" spans="1:3" ht="59.25" customHeight="1">
      <c r="A8" s="79" t="s">
        <v>84</v>
      </c>
      <c r="B8" s="91" t="s">
        <v>130</v>
      </c>
      <c r="C8" s="76">
        <f t="shared" si="0"/>
        <v>192</v>
      </c>
    </row>
    <row r="9" spans="1:3" ht="59.25" customHeight="1">
      <c r="A9" s="79" t="s">
        <v>85</v>
      </c>
      <c r="B9" s="91" t="s">
        <v>131</v>
      </c>
      <c r="C9" s="76">
        <f t="shared" si="0"/>
        <v>169</v>
      </c>
    </row>
    <row r="10" spans="1:3" ht="59.25" customHeight="1">
      <c r="A10" s="79" t="s">
        <v>86</v>
      </c>
      <c r="B10" s="91" t="s">
        <v>132</v>
      </c>
      <c r="C10" s="76">
        <f t="shared" si="0"/>
        <v>176</v>
      </c>
    </row>
    <row r="11" spans="1:3" ht="59.25" customHeight="1">
      <c r="A11" s="79" t="s">
        <v>87</v>
      </c>
      <c r="B11" s="91" t="s">
        <v>133</v>
      </c>
      <c r="C11" s="76">
        <f t="shared" si="0"/>
        <v>167</v>
      </c>
    </row>
    <row r="12" spans="1:3" ht="59.25" customHeight="1">
      <c r="A12" s="79" t="s">
        <v>88</v>
      </c>
      <c r="B12" s="91" t="s">
        <v>134</v>
      </c>
      <c r="C12" s="76">
        <f t="shared" si="0"/>
        <v>174</v>
      </c>
    </row>
    <row r="13" spans="1:3" ht="59.25" customHeight="1">
      <c r="A13" s="79" t="s">
        <v>89</v>
      </c>
      <c r="B13" s="91" t="s">
        <v>135</v>
      </c>
      <c r="C13" s="76">
        <f t="shared" si="0"/>
        <v>161</v>
      </c>
    </row>
    <row r="14" spans="1:3" ht="59.25" customHeight="1">
      <c r="A14" s="79" t="s">
        <v>90</v>
      </c>
      <c r="B14" s="91" t="s">
        <v>136</v>
      </c>
      <c r="C14" s="76">
        <f t="shared" si="0"/>
        <v>166</v>
      </c>
    </row>
    <row r="15" spans="1:3" ht="59.25" customHeight="1">
      <c r="A15" s="79" t="s">
        <v>91</v>
      </c>
      <c r="B15" s="91" t="s">
        <v>137</v>
      </c>
      <c r="C15" s="76">
        <f t="shared" si="0"/>
        <v>175</v>
      </c>
    </row>
    <row r="16" spans="1:3" ht="59.25" customHeight="1">
      <c r="A16" s="79" t="s">
        <v>92</v>
      </c>
      <c r="B16" s="91" t="s">
        <v>138</v>
      </c>
      <c r="C16" s="76">
        <f t="shared" si="0"/>
        <v>167</v>
      </c>
    </row>
    <row r="17" spans="1:3" ht="59.25" customHeight="1">
      <c r="A17" s="79" t="s">
        <v>93</v>
      </c>
      <c r="B17" s="91" t="s">
        <v>139</v>
      </c>
      <c r="C17" s="76">
        <f t="shared" si="0"/>
        <v>169</v>
      </c>
    </row>
    <row r="18" spans="1:3" ht="59.25" customHeight="1">
      <c r="A18" s="79" t="s">
        <v>94</v>
      </c>
      <c r="B18" s="91" t="s">
        <v>140</v>
      </c>
      <c r="C18" s="76">
        <f t="shared" si="0"/>
        <v>179</v>
      </c>
    </row>
    <row r="19" spans="1:3" ht="59.25" customHeight="1">
      <c r="A19" s="79" t="s">
        <v>95</v>
      </c>
      <c r="B19" s="91" t="s">
        <v>141</v>
      </c>
      <c r="C19" s="76">
        <f t="shared" si="0"/>
        <v>172</v>
      </c>
    </row>
    <row r="20" spans="1:3" ht="59.25" customHeight="1">
      <c r="A20" s="79" t="s">
        <v>96</v>
      </c>
      <c r="B20" s="91" t="s">
        <v>142</v>
      </c>
      <c r="C20" s="76">
        <f t="shared" si="0"/>
        <v>174</v>
      </c>
    </row>
    <row r="21" spans="1:3" ht="59.25" customHeight="1">
      <c r="A21" s="79" t="s">
        <v>97</v>
      </c>
      <c r="B21" s="91" t="s">
        <v>143</v>
      </c>
      <c r="C21" s="76">
        <f t="shared" si="0"/>
        <v>182</v>
      </c>
    </row>
    <row r="22" spans="1:3" ht="59.25" customHeight="1">
      <c r="A22" s="79" t="s">
        <v>98</v>
      </c>
      <c r="B22" s="91" t="s">
        <v>144</v>
      </c>
      <c r="C22" s="76">
        <f t="shared" si="0"/>
        <v>171</v>
      </c>
    </row>
    <row r="23" spans="1:3" ht="59.25" customHeight="1">
      <c r="A23" s="79"/>
      <c r="B23" s="91"/>
      <c r="C23" s="76">
        <f t="shared" si="0"/>
        <v>0</v>
      </c>
    </row>
    <row r="24" spans="1:3" ht="59.25" customHeight="1">
      <c r="A24" s="79"/>
      <c r="B24" s="91"/>
      <c r="C24" s="76">
        <f t="shared" si="0"/>
        <v>0</v>
      </c>
    </row>
    <row r="25" spans="1:3" ht="22.5" customHeight="1"/>
    <row r="26" spans="1:3" ht="22.5" customHeight="1"/>
    <row r="27" spans="1:3" ht="22.5" customHeight="1"/>
    <row r="28" spans="1:3" ht="22.5" customHeight="1"/>
    <row r="29" spans="1:3" ht="17.25" customHeight="1"/>
    <row r="30" spans="1:3" ht="17.25" customHeight="1"/>
    <row r="31" spans="1:3" ht="17.25" customHeight="1"/>
    <row r="32" spans="1:3"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sheetData>
  <phoneticPr fontId="1"/>
  <conditionalFormatting sqref="C3:C24">
    <cfRule type="cellIs" dxfId="5" priority="1" operator="greaterThan">
      <formula>200</formula>
    </cfRule>
    <cfRule type="cellIs" dxfId="4" priority="2" operator="lessThan">
      <formula>150</formula>
    </cfRule>
    <cfRule type="cellIs" dxfId="3" priority="3" operator="between">
      <formula>150</formula>
      <formula>200</formula>
    </cfRule>
  </conditionalFormatting>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Z196"/>
  <sheetViews>
    <sheetView workbookViewId="0">
      <selection sqref="A1:XFD1048576"/>
    </sheetView>
  </sheetViews>
  <sheetFormatPr defaultColWidth="9" defaultRowHeight="13.5"/>
  <cols>
    <col min="1" max="1" width="13.5" style="76" customWidth="1"/>
    <col min="2" max="2" width="79.125" style="76" customWidth="1"/>
    <col min="3" max="3" width="9.375" style="76" customWidth="1"/>
    <col min="4" max="25" width="4.125" style="76" customWidth="1"/>
    <col min="26" max="26" width="6" style="76" customWidth="1"/>
    <col min="27" max="16384" width="9" style="76"/>
  </cols>
  <sheetData>
    <row r="1" spans="1:26" ht="85.5" customHeight="1">
      <c r="A1" s="47" t="str">
        <f ca="1">MID(CELL("filename",A1),FIND("[",CELL("filename",A1))+1,3)</f>
        <v>４－２</v>
      </c>
      <c r="B1" s="47" t="s">
        <v>31</v>
      </c>
      <c r="C1" s="48" t="s">
        <v>25</v>
      </c>
      <c r="D1" s="36" t="str">
        <f>A13</f>
        <v>相澤 諒典</v>
      </c>
      <c r="E1" s="36" t="str">
        <f>A14</f>
        <v>赤木 咲哉</v>
      </c>
      <c r="F1" s="36" t="str">
        <f>A15</f>
        <v>加藤 綾</v>
      </c>
      <c r="G1" s="36" t="str">
        <f>A16</f>
        <v>加藤 照乃</v>
      </c>
      <c r="H1" s="36" t="str">
        <f>A17</f>
        <v>門田 藍里</v>
      </c>
      <c r="I1" s="36" t="str">
        <f>A18</f>
        <v>金井 傑</v>
      </c>
      <c r="J1" s="36" t="str">
        <f>A19</f>
        <v>上條 優那</v>
      </c>
      <c r="K1" s="36" t="str">
        <f>A20</f>
        <v>川村 唯栖</v>
      </c>
      <c r="L1" s="36" t="str">
        <f>A21</f>
        <v>小松 宗祐</v>
      </c>
      <c r="M1" s="36" t="str">
        <f>A22</f>
        <v>五味 愛陽</v>
      </c>
      <c r="N1" s="36" t="str">
        <f>A23</f>
        <v>武田 理暉</v>
      </c>
      <c r="O1" s="36" t="str">
        <f>A24</f>
        <v>竹渕 成悟</v>
      </c>
      <c r="P1" s="36" t="str">
        <f>A25</f>
        <v>立石 明寛</v>
      </c>
      <c r="Q1" s="36" t="str">
        <f>A26</f>
        <v>新村 悠妃</v>
      </c>
      <c r="R1" s="36" t="str">
        <f>A27</f>
        <v>平岡 恭佑</v>
      </c>
      <c r="S1" s="36" t="str">
        <f>A28</f>
        <v>福沢 瑛心</v>
      </c>
      <c r="T1" s="36" t="str">
        <f>A29</f>
        <v>松井 大和</v>
      </c>
      <c r="U1" s="36" t="str">
        <f>A30</f>
        <v>丸山 紗那</v>
      </c>
      <c r="V1" s="36" t="str">
        <f>A31</f>
        <v>百瀬 杏</v>
      </c>
      <c r="W1" s="36" t="str">
        <f>A32</f>
        <v>百瀬 颯紀</v>
      </c>
      <c r="X1" s="36">
        <f>A33</f>
        <v>0</v>
      </c>
      <c r="Y1" s="36">
        <f>A34</f>
        <v>0</v>
      </c>
      <c r="Z1" s="75"/>
    </row>
    <row r="2" spans="1:26" ht="22.5" customHeight="1">
      <c r="A2" s="170" t="s">
        <v>32</v>
      </c>
      <c r="B2" s="66" t="s">
        <v>145</v>
      </c>
      <c r="C2" s="38" t="s">
        <v>26</v>
      </c>
      <c r="D2" s="73" t="s">
        <v>289</v>
      </c>
      <c r="E2" s="73" t="s">
        <v>290</v>
      </c>
      <c r="F2" s="73" t="s">
        <v>290</v>
      </c>
      <c r="G2" s="73" t="s">
        <v>290</v>
      </c>
      <c r="H2" s="73" t="s">
        <v>289</v>
      </c>
      <c r="I2" s="73" t="s">
        <v>290</v>
      </c>
      <c r="J2" s="73" t="s">
        <v>289</v>
      </c>
      <c r="K2" s="73" t="s">
        <v>289</v>
      </c>
      <c r="L2" s="73" t="s">
        <v>290</v>
      </c>
      <c r="M2" s="73" t="s">
        <v>290</v>
      </c>
      <c r="N2" s="73" t="s">
        <v>289</v>
      </c>
      <c r="O2" s="73" t="s">
        <v>289</v>
      </c>
      <c r="P2" s="73" t="s">
        <v>289</v>
      </c>
      <c r="Q2" s="73" t="s">
        <v>289</v>
      </c>
      <c r="R2" s="73" t="s">
        <v>289</v>
      </c>
      <c r="S2" s="73" t="s">
        <v>289</v>
      </c>
      <c r="T2" s="73" t="s">
        <v>290</v>
      </c>
      <c r="U2" s="73" t="s">
        <v>212</v>
      </c>
      <c r="V2" s="73" t="s">
        <v>211</v>
      </c>
      <c r="W2" s="73" t="s">
        <v>212</v>
      </c>
      <c r="X2" s="73"/>
      <c r="Y2" s="73"/>
      <c r="Z2" s="80" t="s">
        <v>289</v>
      </c>
    </row>
    <row r="3" spans="1:26" ht="22.5" customHeight="1">
      <c r="A3" s="171"/>
      <c r="B3" s="66" t="s">
        <v>146</v>
      </c>
      <c r="C3" s="38" t="s">
        <v>26</v>
      </c>
      <c r="D3" s="73" t="s">
        <v>212</v>
      </c>
      <c r="E3" s="73" t="s">
        <v>212</v>
      </c>
      <c r="F3" s="73" t="s">
        <v>212</v>
      </c>
      <c r="G3" s="73" t="s">
        <v>212</v>
      </c>
      <c r="H3" s="73" t="s">
        <v>289</v>
      </c>
      <c r="I3" s="73" t="s">
        <v>211</v>
      </c>
      <c r="J3" s="73" t="s">
        <v>289</v>
      </c>
      <c r="K3" s="73" t="s">
        <v>212</v>
      </c>
      <c r="L3" s="73" t="s">
        <v>211</v>
      </c>
      <c r="M3" s="73" t="s">
        <v>211</v>
      </c>
      <c r="N3" s="73" t="s">
        <v>290</v>
      </c>
      <c r="O3" s="73" t="s">
        <v>211</v>
      </c>
      <c r="P3" s="73" t="s">
        <v>290</v>
      </c>
      <c r="Q3" s="73" t="s">
        <v>211</v>
      </c>
      <c r="R3" s="73" t="s">
        <v>211</v>
      </c>
      <c r="S3" s="73" t="s">
        <v>212</v>
      </c>
      <c r="T3" s="73" t="s">
        <v>211</v>
      </c>
      <c r="U3" s="73" t="s">
        <v>211</v>
      </c>
      <c r="V3" s="73" t="s">
        <v>289</v>
      </c>
      <c r="W3" s="73" t="s">
        <v>211</v>
      </c>
      <c r="X3" s="73"/>
      <c r="Y3" s="73"/>
      <c r="Z3" s="80" t="s">
        <v>212</v>
      </c>
    </row>
    <row r="4" spans="1:26" ht="22.5" customHeight="1">
      <c r="A4" s="171"/>
      <c r="B4" s="66" t="s">
        <v>147</v>
      </c>
      <c r="C4" s="38" t="s">
        <v>26</v>
      </c>
      <c r="D4" s="73" t="s">
        <v>290</v>
      </c>
      <c r="E4" s="73" t="s">
        <v>290</v>
      </c>
      <c r="F4" s="73" t="s">
        <v>290</v>
      </c>
      <c r="G4" s="73" t="s">
        <v>211</v>
      </c>
      <c r="H4" s="73" t="s">
        <v>211</v>
      </c>
      <c r="I4" s="73" t="s">
        <v>289</v>
      </c>
      <c r="J4" s="73" t="s">
        <v>211</v>
      </c>
      <c r="K4" s="73" t="s">
        <v>212</v>
      </c>
      <c r="L4" s="73" t="s">
        <v>290</v>
      </c>
      <c r="M4" s="73" t="s">
        <v>211</v>
      </c>
      <c r="N4" s="73" t="s">
        <v>212</v>
      </c>
      <c r="O4" s="73" t="s">
        <v>212</v>
      </c>
      <c r="P4" s="73" t="s">
        <v>212</v>
      </c>
      <c r="Q4" s="73" t="s">
        <v>212</v>
      </c>
      <c r="R4" s="73" t="s">
        <v>211</v>
      </c>
      <c r="S4" s="73" t="s">
        <v>290</v>
      </c>
      <c r="T4" s="73" t="s">
        <v>211</v>
      </c>
      <c r="U4" s="73" t="s">
        <v>211</v>
      </c>
      <c r="V4" s="73" t="s">
        <v>211</v>
      </c>
      <c r="W4" s="73" t="s">
        <v>211</v>
      </c>
      <c r="X4" s="73"/>
      <c r="Y4" s="73"/>
      <c r="Z4" s="80" t="s">
        <v>213</v>
      </c>
    </row>
    <row r="5" spans="1:26" ht="22.5" customHeight="1">
      <c r="A5" s="171"/>
      <c r="B5" s="66" t="s">
        <v>148</v>
      </c>
      <c r="C5" s="38" t="s">
        <v>26</v>
      </c>
      <c r="D5" s="73" t="s">
        <v>290</v>
      </c>
      <c r="E5" s="73" t="s">
        <v>212</v>
      </c>
      <c r="F5" s="73" t="s">
        <v>212</v>
      </c>
      <c r="G5" s="73" t="s">
        <v>211</v>
      </c>
      <c r="H5" s="73" t="s">
        <v>211</v>
      </c>
      <c r="I5" s="73" t="s">
        <v>211</v>
      </c>
      <c r="J5" s="73" t="s">
        <v>289</v>
      </c>
      <c r="K5" s="73" t="s">
        <v>212</v>
      </c>
      <c r="L5" s="73" t="s">
        <v>289</v>
      </c>
      <c r="M5" s="73" t="s">
        <v>211</v>
      </c>
      <c r="N5" s="73" t="s">
        <v>212</v>
      </c>
      <c r="O5" s="73" t="s">
        <v>211</v>
      </c>
      <c r="P5" s="73" t="s">
        <v>212</v>
      </c>
      <c r="Q5" s="73" t="s">
        <v>211</v>
      </c>
      <c r="R5" s="73" t="s">
        <v>211</v>
      </c>
      <c r="S5" s="73" t="s">
        <v>212</v>
      </c>
      <c r="T5" s="73" t="s">
        <v>211</v>
      </c>
      <c r="U5" s="73" t="s">
        <v>211</v>
      </c>
      <c r="V5" s="73" t="s">
        <v>289</v>
      </c>
      <c r="W5" s="73" t="s">
        <v>289</v>
      </c>
      <c r="X5" s="73"/>
      <c r="Y5" s="73"/>
      <c r="Z5" s="80" t="s">
        <v>291</v>
      </c>
    </row>
    <row r="6" spans="1:26" ht="22.5" customHeight="1">
      <c r="A6" s="171"/>
      <c r="B6" s="66" t="s">
        <v>149</v>
      </c>
      <c r="C6" s="38" t="s">
        <v>26</v>
      </c>
      <c r="D6" s="73" t="s">
        <v>212</v>
      </c>
      <c r="E6" s="73" t="s">
        <v>212</v>
      </c>
      <c r="F6" s="73" t="s">
        <v>212</v>
      </c>
      <c r="G6" s="73" t="s">
        <v>212</v>
      </c>
      <c r="H6" s="73" t="s">
        <v>211</v>
      </c>
      <c r="I6" s="73" t="s">
        <v>211</v>
      </c>
      <c r="J6" s="73" t="s">
        <v>211</v>
      </c>
      <c r="K6" s="73" t="s">
        <v>212</v>
      </c>
      <c r="L6" s="73" t="s">
        <v>212</v>
      </c>
      <c r="M6" s="73" t="s">
        <v>211</v>
      </c>
      <c r="N6" s="73" t="s">
        <v>212</v>
      </c>
      <c r="O6" s="73" t="s">
        <v>212</v>
      </c>
      <c r="P6" s="73" t="s">
        <v>212</v>
      </c>
      <c r="Q6" s="73" t="s">
        <v>211</v>
      </c>
      <c r="R6" s="73" t="s">
        <v>211</v>
      </c>
      <c r="S6" s="73" t="s">
        <v>211</v>
      </c>
      <c r="T6" s="73" t="s">
        <v>211</v>
      </c>
      <c r="U6" s="73" t="s">
        <v>212</v>
      </c>
      <c r="V6" s="73" t="s">
        <v>212</v>
      </c>
      <c r="W6" s="73" t="s">
        <v>212</v>
      </c>
      <c r="X6" s="73"/>
      <c r="Y6" s="73"/>
    </row>
    <row r="7" spans="1:26" ht="22.5" customHeight="1">
      <c r="A7" s="171"/>
      <c r="B7" s="66" t="s">
        <v>150</v>
      </c>
      <c r="C7" s="38" t="s">
        <v>26</v>
      </c>
      <c r="D7" s="73" t="s">
        <v>211</v>
      </c>
      <c r="E7" s="73" t="s">
        <v>212</v>
      </c>
      <c r="F7" s="73" t="s">
        <v>212</v>
      </c>
      <c r="G7" s="73" t="s">
        <v>212</v>
      </c>
      <c r="H7" s="73" t="s">
        <v>211</v>
      </c>
      <c r="I7" s="73" t="s">
        <v>211</v>
      </c>
      <c r="J7" s="73" t="s">
        <v>211</v>
      </c>
      <c r="K7" s="73" t="s">
        <v>212</v>
      </c>
      <c r="L7" s="73" t="s">
        <v>212</v>
      </c>
      <c r="M7" s="73" t="s">
        <v>211</v>
      </c>
      <c r="N7" s="73" t="s">
        <v>212</v>
      </c>
      <c r="O7" s="73" t="s">
        <v>211</v>
      </c>
      <c r="P7" s="73" t="s">
        <v>212</v>
      </c>
      <c r="Q7" s="73" t="s">
        <v>212</v>
      </c>
      <c r="R7" s="73" t="s">
        <v>211</v>
      </c>
      <c r="S7" s="73" t="s">
        <v>211</v>
      </c>
      <c r="T7" s="73" t="s">
        <v>211</v>
      </c>
      <c r="U7" s="73" t="s">
        <v>211</v>
      </c>
      <c r="V7" s="73" t="s">
        <v>211</v>
      </c>
      <c r="W7" s="73" t="s">
        <v>211</v>
      </c>
      <c r="X7" s="73"/>
      <c r="Y7" s="73"/>
    </row>
    <row r="8" spans="1:26" ht="22.5" customHeight="1">
      <c r="A8" s="171"/>
      <c r="B8" s="66" t="s">
        <v>151</v>
      </c>
      <c r="C8" s="38" t="s">
        <v>26</v>
      </c>
      <c r="D8" s="73" t="s">
        <v>212</v>
      </c>
      <c r="E8" s="73" t="s">
        <v>212</v>
      </c>
      <c r="F8" s="73" t="s">
        <v>212</v>
      </c>
      <c r="G8" s="73" t="s">
        <v>211</v>
      </c>
      <c r="H8" s="73" t="s">
        <v>211</v>
      </c>
      <c r="I8" s="73" t="s">
        <v>211</v>
      </c>
      <c r="J8" s="73" t="s">
        <v>212</v>
      </c>
      <c r="K8" s="73" t="s">
        <v>212</v>
      </c>
      <c r="L8" s="73" t="s">
        <v>212</v>
      </c>
      <c r="M8" s="73" t="s">
        <v>211</v>
      </c>
      <c r="N8" s="73" t="s">
        <v>212</v>
      </c>
      <c r="O8" s="73" t="s">
        <v>212</v>
      </c>
      <c r="P8" s="73" t="s">
        <v>212</v>
      </c>
      <c r="Q8" s="73" t="s">
        <v>211</v>
      </c>
      <c r="R8" s="73" t="s">
        <v>211</v>
      </c>
      <c r="S8" s="73" t="s">
        <v>212</v>
      </c>
      <c r="T8" s="73" t="s">
        <v>212</v>
      </c>
      <c r="U8" s="73" t="s">
        <v>212</v>
      </c>
      <c r="V8" s="73" t="s">
        <v>212</v>
      </c>
      <c r="W8" s="73" t="s">
        <v>212</v>
      </c>
      <c r="X8" s="73"/>
      <c r="Y8" s="73"/>
    </row>
    <row r="9" spans="1:26" ht="22.5" customHeight="1">
      <c r="A9" s="171"/>
      <c r="B9" s="66" t="s">
        <v>152</v>
      </c>
      <c r="C9" s="38" t="s">
        <v>26</v>
      </c>
      <c r="D9" s="73" t="s">
        <v>211</v>
      </c>
      <c r="E9" s="73" t="s">
        <v>211</v>
      </c>
      <c r="F9" s="73" t="s">
        <v>211</v>
      </c>
      <c r="G9" s="73" t="s">
        <v>212</v>
      </c>
      <c r="H9" s="73" t="s">
        <v>211</v>
      </c>
      <c r="I9" s="73" t="s">
        <v>212</v>
      </c>
      <c r="J9" s="73" t="s">
        <v>211</v>
      </c>
      <c r="K9" s="73" t="s">
        <v>211</v>
      </c>
      <c r="L9" s="73" t="s">
        <v>211</v>
      </c>
      <c r="M9" s="73" t="s">
        <v>211</v>
      </c>
      <c r="N9" s="73" t="s">
        <v>212</v>
      </c>
      <c r="O9" s="73" t="s">
        <v>211</v>
      </c>
      <c r="P9" s="73" t="s">
        <v>211</v>
      </c>
      <c r="Q9" s="73" t="s">
        <v>211</v>
      </c>
      <c r="R9" s="73" t="s">
        <v>211</v>
      </c>
      <c r="S9" s="73" t="s">
        <v>211</v>
      </c>
      <c r="T9" s="73" t="s">
        <v>211</v>
      </c>
      <c r="U9" s="73" t="s">
        <v>211</v>
      </c>
      <c r="V9" s="73" t="s">
        <v>211</v>
      </c>
      <c r="W9" s="73" t="s">
        <v>211</v>
      </c>
      <c r="X9" s="73"/>
      <c r="Y9" s="73"/>
    </row>
    <row r="10" spans="1:26" ht="22.5" customHeight="1">
      <c r="A10" s="81"/>
      <c r="B10" s="66" t="s">
        <v>153</v>
      </c>
      <c r="C10" s="38" t="s">
        <v>26</v>
      </c>
      <c r="D10" s="73" t="s">
        <v>211</v>
      </c>
      <c r="E10" s="73" t="s">
        <v>289</v>
      </c>
      <c r="F10" s="73" t="s">
        <v>211</v>
      </c>
      <c r="G10" s="73" t="s">
        <v>211</v>
      </c>
      <c r="H10" s="73" t="s">
        <v>211</v>
      </c>
      <c r="I10" s="73" t="s">
        <v>211</v>
      </c>
      <c r="J10" s="73" t="s">
        <v>211</v>
      </c>
      <c r="K10" s="73" t="s">
        <v>211</v>
      </c>
      <c r="L10" s="73" t="s">
        <v>211</v>
      </c>
      <c r="M10" s="73" t="s">
        <v>211</v>
      </c>
      <c r="N10" s="73" t="s">
        <v>211</v>
      </c>
      <c r="O10" s="73" t="s">
        <v>211</v>
      </c>
      <c r="P10" s="73" t="s">
        <v>211</v>
      </c>
      <c r="Q10" s="73" t="s">
        <v>211</v>
      </c>
      <c r="R10" s="73" t="s">
        <v>211</v>
      </c>
      <c r="S10" s="73" t="s">
        <v>211</v>
      </c>
      <c r="T10" s="73" t="s">
        <v>211</v>
      </c>
      <c r="U10" s="73" t="s">
        <v>211</v>
      </c>
      <c r="V10" s="73" t="s">
        <v>211</v>
      </c>
      <c r="W10" s="73" t="s">
        <v>211</v>
      </c>
      <c r="X10" s="73"/>
      <c r="Y10" s="73"/>
    </row>
    <row r="11" spans="1:26" ht="22.5" customHeight="1">
      <c r="A11" s="81"/>
      <c r="B11" s="67" t="s">
        <v>154</v>
      </c>
      <c r="C11" s="38" t="s">
        <v>26</v>
      </c>
      <c r="D11" s="73" t="s">
        <v>211</v>
      </c>
      <c r="E11" s="73" t="s">
        <v>211</v>
      </c>
      <c r="F11" s="73" t="s">
        <v>211</v>
      </c>
      <c r="G11" s="73" t="s">
        <v>212</v>
      </c>
      <c r="H11" s="73" t="s">
        <v>211</v>
      </c>
      <c r="I11" s="73" t="s">
        <v>211</v>
      </c>
      <c r="J11" s="73" t="s">
        <v>211</v>
      </c>
      <c r="K11" s="73" t="s">
        <v>211</v>
      </c>
      <c r="L11" s="73" t="s">
        <v>211</v>
      </c>
      <c r="M11" s="73" t="s">
        <v>211</v>
      </c>
      <c r="N11" s="73" t="s">
        <v>211</v>
      </c>
      <c r="O11" s="73" t="s">
        <v>211</v>
      </c>
      <c r="P11" s="73" t="s">
        <v>211</v>
      </c>
      <c r="Q11" s="73" t="s">
        <v>212</v>
      </c>
      <c r="R11" s="73" t="s">
        <v>211</v>
      </c>
      <c r="S11" s="73" t="s">
        <v>211</v>
      </c>
      <c r="T11" s="73" t="s">
        <v>211</v>
      </c>
      <c r="U11" s="73" t="s">
        <v>211</v>
      </c>
      <c r="V11" s="73" t="s">
        <v>211</v>
      </c>
      <c r="W11" s="73" t="s">
        <v>211</v>
      </c>
      <c r="X11" s="73"/>
      <c r="Y11" s="73"/>
    </row>
    <row r="12" spans="1:26" ht="22.5" customHeight="1">
      <c r="A12" s="172" t="s">
        <v>33</v>
      </c>
      <c r="B12" s="173"/>
      <c r="C12" s="173"/>
      <c r="D12" s="173"/>
      <c r="E12" s="173"/>
      <c r="F12" s="173"/>
      <c r="G12" s="173"/>
      <c r="H12" s="173"/>
      <c r="I12" s="173"/>
      <c r="J12" s="173"/>
      <c r="K12" s="173"/>
      <c r="L12" s="173"/>
      <c r="M12" s="173"/>
      <c r="N12" s="173"/>
      <c r="O12" s="173"/>
      <c r="P12" s="173"/>
      <c r="Q12" s="173"/>
      <c r="R12" s="173"/>
      <c r="S12" s="173"/>
      <c r="T12" s="173"/>
      <c r="U12" s="173"/>
      <c r="V12" s="173"/>
      <c r="W12" s="173"/>
      <c r="X12" s="173"/>
      <c r="Y12" s="174"/>
    </row>
    <row r="13" spans="1:26" ht="22.5" customHeight="1">
      <c r="A13" s="82" t="s">
        <v>79</v>
      </c>
      <c r="B13" s="161" t="s">
        <v>186</v>
      </c>
      <c r="C13" s="162"/>
      <c r="D13" s="162"/>
      <c r="E13" s="162"/>
      <c r="F13" s="162"/>
      <c r="G13" s="162"/>
      <c r="H13" s="162"/>
      <c r="I13" s="162"/>
      <c r="J13" s="162"/>
      <c r="K13" s="162"/>
      <c r="L13" s="162"/>
      <c r="M13" s="162"/>
      <c r="N13" s="162"/>
      <c r="O13" s="162"/>
      <c r="P13" s="162"/>
      <c r="Q13" s="162"/>
      <c r="R13" s="162"/>
      <c r="S13" s="162"/>
      <c r="T13" s="162"/>
      <c r="U13" s="162"/>
      <c r="V13" s="162"/>
      <c r="W13" s="162"/>
      <c r="X13" s="162"/>
      <c r="Y13" s="163"/>
    </row>
    <row r="14" spans="1:26" ht="22.5" customHeight="1">
      <c r="A14" s="82" t="s">
        <v>80</v>
      </c>
      <c r="B14" s="161" t="s">
        <v>155</v>
      </c>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6" ht="22.5" customHeight="1">
      <c r="A15" s="82" t="s">
        <v>81</v>
      </c>
      <c r="B15" s="161" t="s">
        <v>156</v>
      </c>
      <c r="C15" s="162"/>
      <c r="D15" s="162"/>
      <c r="E15" s="162"/>
      <c r="F15" s="162"/>
      <c r="G15" s="162"/>
      <c r="H15" s="162"/>
      <c r="I15" s="162"/>
      <c r="J15" s="162"/>
      <c r="K15" s="162"/>
      <c r="L15" s="162"/>
      <c r="M15" s="162"/>
      <c r="N15" s="162"/>
      <c r="O15" s="162"/>
      <c r="P15" s="162"/>
      <c r="Q15" s="162"/>
      <c r="R15" s="162"/>
      <c r="S15" s="162"/>
      <c r="T15" s="162"/>
      <c r="U15" s="162"/>
      <c r="V15" s="162"/>
      <c r="W15" s="162"/>
      <c r="X15" s="162"/>
      <c r="Y15" s="163"/>
    </row>
    <row r="16" spans="1:26" ht="22.5" customHeight="1">
      <c r="A16" s="82" t="s">
        <v>82</v>
      </c>
      <c r="B16" s="161" t="s">
        <v>157</v>
      </c>
      <c r="C16" s="162"/>
      <c r="D16" s="162"/>
      <c r="E16" s="162"/>
      <c r="F16" s="162"/>
      <c r="G16" s="162"/>
      <c r="H16" s="162"/>
      <c r="I16" s="162"/>
      <c r="J16" s="162"/>
      <c r="K16" s="162"/>
      <c r="L16" s="162"/>
      <c r="M16" s="162"/>
      <c r="N16" s="162"/>
      <c r="O16" s="162"/>
      <c r="P16" s="162"/>
      <c r="Q16" s="162"/>
      <c r="R16" s="162"/>
      <c r="S16" s="162"/>
      <c r="T16" s="162"/>
      <c r="U16" s="162"/>
      <c r="V16" s="162"/>
      <c r="W16" s="162"/>
      <c r="X16" s="162"/>
      <c r="Y16" s="163"/>
    </row>
    <row r="17" spans="1:25" ht="22.5" customHeight="1">
      <c r="A17" s="82" t="s">
        <v>83</v>
      </c>
      <c r="B17" s="161" t="s">
        <v>68</v>
      </c>
      <c r="C17" s="162"/>
      <c r="D17" s="162"/>
      <c r="E17" s="162"/>
      <c r="F17" s="162"/>
      <c r="G17" s="162"/>
      <c r="H17" s="162"/>
      <c r="I17" s="162"/>
      <c r="J17" s="162"/>
      <c r="K17" s="162"/>
      <c r="L17" s="162"/>
      <c r="M17" s="162"/>
      <c r="N17" s="162"/>
      <c r="O17" s="162"/>
      <c r="P17" s="162"/>
      <c r="Q17" s="162"/>
      <c r="R17" s="162"/>
      <c r="S17" s="162"/>
      <c r="T17" s="162"/>
      <c r="U17" s="162"/>
      <c r="V17" s="162"/>
      <c r="W17" s="162"/>
      <c r="X17" s="162"/>
      <c r="Y17" s="163"/>
    </row>
    <row r="18" spans="1:25" ht="22.5" customHeight="1">
      <c r="A18" s="82" t="s">
        <v>84</v>
      </c>
      <c r="B18" s="161" t="s">
        <v>158</v>
      </c>
      <c r="C18" s="162"/>
      <c r="D18" s="162"/>
      <c r="E18" s="162"/>
      <c r="F18" s="162"/>
      <c r="G18" s="162"/>
      <c r="H18" s="162"/>
      <c r="I18" s="162"/>
      <c r="J18" s="162"/>
      <c r="K18" s="162"/>
      <c r="L18" s="162"/>
      <c r="M18" s="162"/>
      <c r="N18" s="162"/>
      <c r="O18" s="162"/>
      <c r="P18" s="162"/>
      <c r="Q18" s="162"/>
      <c r="R18" s="162"/>
      <c r="S18" s="162"/>
      <c r="T18" s="162"/>
      <c r="U18" s="162"/>
      <c r="V18" s="162"/>
      <c r="W18" s="162"/>
      <c r="X18" s="162"/>
      <c r="Y18" s="163"/>
    </row>
    <row r="19" spans="1:25" ht="22.5" customHeight="1">
      <c r="A19" s="82" t="s">
        <v>85</v>
      </c>
      <c r="B19" s="161" t="s">
        <v>159</v>
      </c>
      <c r="C19" s="162"/>
      <c r="D19" s="162"/>
      <c r="E19" s="162"/>
      <c r="F19" s="162"/>
      <c r="G19" s="162"/>
      <c r="H19" s="162"/>
      <c r="I19" s="162"/>
      <c r="J19" s="162"/>
      <c r="K19" s="162"/>
      <c r="L19" s="162"/>
      <c r="M19" s="162"/>
      <c r="N19" s="162"/>
      <c r="O19" s="162"/>
      <c r="P19" s="162"/>
      <c r="Q19" s="162"/>
      <c r="R19" s="162"/>
      <c r="S19" s="162"/>
      <c r="T19" s="162"/>
      <c r="U19" s="162"/>
      <c r="V19" s="162"/>
      <c r="W19" s="162"/>
      <c r="X19" s="162"/>
      <c r="Y19" s="163"/>
    </row>
    <row r="20" spans="1:25" ht="22.5" customHeight="1">
      <c r="A20" s="82" t="s">
        <v>86</v>
      </c>
      <c r="B20" s="161" t="s">
        <v>160</v>
      </c>
      <c r="C20" s="162"/>
      <c r="D20" s="162"/>
      <c r="E20" s="162"/>
      <c r="F20" s="162"/>
      <c r="G20" s="162"/>
      <c r="H20" s="162"/>
      <c r="I20" s="162"/>
      <c r="J20" s="162"/>
      <c r="K20" s="162"/>
      <c r="L20" s="162"/>
      <c r="M20" s="162"/>
      <c r="N20" s="162"/>
      <c r="O20" s="162"/>
      <c r="P20" s="162"/>
      <c r="Q20" s="162"/>
      <c r="R20" s="162"/>
      <c r="S20" s="162"/>
      <c r="T20" s="162"/>
      <c r="U20" s="162"/>
      <c r="V20" s="162"/>
      <c r="W20" s="162"/>
      <c r="X20" s="162"/>
      <c r="Y20" s="163"/>
    </row>
    <row r="21" spans="1:25" ht="22.5" customHeight="1">
      <c r="A21" s="82" t="s">
        <v>87</v>
      </c>
      <c r="B21" s="161" t="s">
        <v>161</v>
      </c>
      <c r="C21" s="162"/>
      <c r="D21" s="162"/>
      <c r="E21" s="162"/>
      <c r="F21" s="162"/>
      <c r="G21" s="162"/>
      <c r="H21" s="162"/>
      <c r="I21" s="162"/>
      <c r="J21" s="162"/>
      <c r="K21" s="162"/>
      <c r="L21" s="162"/>
      <c r="M21" s="162"/>
      <c r="N21" s="162"/>
      <c r="O21" s="162"/>
      <c r="P21" s="162"/>
      <c r="Q21" s="162"/>
      <c r="R21" s="162"/>
      <c r="S21" s="162"/>
      <c r="T21" s="162"/>
      <c r="U21" s="162"/>
      <c r="V21" s="162"/>
      <c r="W21" s="162"/>
      <c r="X21" s="162"/>
      <c r="Y21" s="163"/>
    </row>
    <row r="22" spans="1:25" ht="22.5" customHeight="1">
      <c r="A22" s="82" t="s">
        <v>88</v>
      </c>
      <c r="B22" s="161" t="s">
        <v>162</v>
      </c>
      <c r="C22" s="162"/>
      <c r="D22" s="162"/>
      <c r="E22" s="162"/>
      <c r="F22" s="162"/>
      <c r="G22" s="162"/>
      <c r="H22" s="162"/>
      <c r="I22" s="162"/>
      <c r="J22" s="162"/>
      <c r="K22" s="162"/>
      <c r="L22" s="162"/>
      <c r="M22" s="162"/>
      <c r="N22" s="162"/>
      <c r="O22" s="162"/>
      <c r="P22" s="162"/>
      <c r="Q22" s="162"/>
      <c r="R22" s="162"/>
      <c r="S22" s="162"/>
      <c r="T22" s="162"/>
      <c r="U22" s="162"/>
      <c r="V22" s="162"/>
      <c r="W22" s="162"/>
      <c r="X22" s="162"/>
      <c r="Y22" s="163"/>
    </row>
    <row r="23" spans="1:25" ht="22.5" customHeight="1">
      <c r="A23" s="82" t="s">
        <v>89</v>
      </c>
      <c r="B23" s="161" t="s">
        <v>70</v>
      </c>
      <c r="C23" s="162"/>
      <c r="D23" s="162"/>
      <c r="E23" s="162"/>
      <c r="F23" s="162"/>
      <c r="G23" s="162"/>
      <c r="H23" s="162"/>
      <c r="I23" s="162"/>
      <c r="J23" s="162"/>
      <c r="K23" s="162"/>
      <c r="L23" s="162"/>
      <c r="M23" s="162"/>
      <c r="N23" s="162"/>
      <c r="O23" s="162"/>
      <c r="P23" s="162"/>
      <c r="Q23" s="162"/>
      <c r="R23" s="162"/>
      <c r="S23" s="162"/>
      <c r="T23" s="162"/>
      <c r="U23" s="162"/>
      <c r="V23" s="162"/>
      <c r="W23" s="162"/>
      <c r="X23" s="162"/>
      <c r="Y23" s="163"/>
    </row>
    <row r="24" spans="1:25" ht="22.5" customHeight="1">
      <c r="A24" s="82" t="s">
        <v>90</v>
      </c>
      <c r="B24" s="161" t="s">
        <v>163</v>
      </c>
      <c r="C24" s="162"/>
      <c r="D24" s="162"/>
      <c r="E24" s="162"/>
      <c r="F24" s="162"/>
      <c r="G24" s="162"/>
      <c r="H24" s="162"/>
      <c r="I24" s="162"/>
      <c r="J24" s="162"/>
      <c r="K24" s="162"/>
      <c r="L24" s="162"/>
      <c r="M24" s="162"/>
      <c r="N24" s="162"/>
      <c r="O24" s="162"/>
      <c r="P24" s="162"/>
      <c r="Q24" s="162"/>
      <c r="R24" s="162"/>
      <c r="S24" s="162"/>
      <c r="T24" s="162"/>
      <c r="U24" s="162"/>
      <c r="V24" s="162"/>
      <c r="W24" s="162"/>
      <c r="X24" s="162"/>
      <c r="Y24" s="163"/>
    </row>
    <row r="25" spans="1:25" ht="22.5" customHeight="1">
      <c r="A25" s="82" t="s">
        <v>91</v>
      </c>
      <c r="B25" s="161" t="s">
        <v>164</v>
      </c>
      <c r="C25" s="162"/>
      <c r="D25" s="162"/>
      <c r="E25" s="162"/>
      <c r="F25" s="162"/>
      <c r="G25" s="162"/>
      <c r="H25" s="162"/>
      <c r="I25" s="162"/>
      <c r="J25" s="162"/>
      <c r="K25" s="162"/>
      <c r="L25" s="162"/>
      <c r="M25" s="162"/>
      <c r="N25" s="162"/>
      <c r="O25" s="162"/>
      <c r="P25" s="162"/>
      <c r="Q25" s="162"/>
      <c r="R25" s="162"/>
      <c r="S25" s="162"/>
      <c r="T25" s="162"/>
      <c r="U25" s="162"/>
      <c r="V25" s="162"/>
      <c r="W25" s="162"/>
      <c r="X25" s="162"/>
      <c r="Y25" s="163"/>
    </row>
    <row r="26" spans="1:25" ht="22.5" customHeight="1">
      <c r="A26" s="82" t="s">
        <v>92</v>
      </c>
      <c r="B26" s="161" t="s">
        <v>165</v>
      </c>
      <c r="C26" s="162"/>
      <c r="D26" s="162"/>
      <c r="E26" s="162"/>
      <c r="F26" s="162"/>
      <c r="G26" s="162"/>
      <c r="H26" s="162"/>
      <c r="I26" s="162"/>
      <c r="J26" s="162"/>
      <c r="K26" s="162"/>
      <c r="L26" s="162"/>
      <c r="M26" s="162"/>
      <c r="N26" s="162"/>
      <c r="O26" s="162"/>
      <c r="P26" s="162"/>
      <c r="Q26" s="162"/>
      <c r="R26" s="162"/>
      <c r="S26" s="162"/>
      <c r="T26" s="162"/>
      <c r="U26" s="162"/>
      <c r="V26" s="162"/>
      <c r="W26" s="162"/>
      <c r="X26" s="162"/>
      <c r="Y26" s="163"/>
    </row>
    <row r="27" spans="1:25" ht="22.5" customHeight="1">
      <c r="A27" s="82" t="s">
        <v>93</v>
      </c>
      <c r="B27" s="161" t="s">
        <v>69</v>
      </c>
      <c r="C27" s="162"/>
      <c r="D27" s="162"/>
      <c r="E27" s="162"/>
      <c r="F27" s="162"/>
      <c r="G27" s="162"/>
      <c r="H27" s="162"/>
      <c r="I27" s="162"/>
      <c r="J27" s="162"/>
      <c r="K27" s="162"/>
      <c r="L27" s="162"/>
      <c r="M27" s="162"/>
      <c r="N27" s="162"/>
      <c r="O27" s="162"/>
      <c r="P27" s="162"/>
      <c r="Q27" s="162"/>
      <c r="R27" s="162"/>
      <c r="S27" s="162"/>
      <c r="T27" s="162"/>
      <c r="U27" s="162"/>
      <c r="V27" s="162"/>
      <c r="W27" s="162"/>
      <c r="X27" s="162"/>
      <c r="Y27" s="163"/>
    </row>
    <row r="28" spans="1:25" ht="22.5" customHeight="1">
      <c r="A28" s="82" t="s">
        <v>94</v>
      </c>
      <c r="B28" s="161" t="s">
        <v>166</v>
      </c>
      <c r="C28" s="162"/>
      <c r="D28" s="162"/>
      <c r="E28" s="162"/>
      <c r="F28" s="162"/>
      <c r="G28" s="162"/>
      <c r="H28" s="162"/>
      <c r="I28" s="162"/>
      <c r="J28" s="162"/>
      <c r="K28" s="162"/>
      <c r="L28" s="162"/>
      <c r="M28" s="162"/>
      <c r="N28" s="162"/>
      <c r="O28" s="162"/>
      <c r="P28" s="162"/>
      <c r="Q28" s="162"/>
      <c r="R28" s="162"/>
      <c r="S28" s="162"/>
      <c r="T28" s="162"/>
      <c r="U28" s="162"/>
      <c r="V28" s="162"/>
      <c r="W28" s="162"/>
      <c r="X28" s="162"/>
      <c r="Y28" s="163"/>
    </row>
    <row r="29" spans="1:25" ht="22.5" customHeight="1">
      <c r="A29" s="82" t="s">
        <v>95</v>
      </c>
      <c r="B29" s="161" t="s">
        <v>167</v>
      </c>
      <c r="C29" s="162"/>
      <c r="D29" s="162"/>
      <c r="E29" s="162"/>
      <c r="F29" s="162"/>
      <c r="G29" s="162"/>
      <c r="H29" s="162"/>
      <c r="I29" s="162"/>
      <c r="J29" s="162"/>
      <c r="K29" s="162"/>
      <c r="L29" s="162"/>
      <c r="M29" s="162"/>
      <c r="N29" s="162"/>
      <c r="O29" s="162"/>
      <c r="P29" s="162"/>
      <c r="Q29" s="162"/>
      <c r="R29" s="162"/>
      <c r="S29" s="162"/>
      <c r="T29" s="162"/>
      <c r="U29" s="162"/>
      <c r="V29" s="162"/>
      <c r="W29" s="162"/>
      <c r="X29" s="162"/>
      <c r="Y29" s="163"/>
    </row>
    <row r="30" spans="1:25" ht="22.5" customHeight="1">
      <c r="A30" s="82" t="s">
        <v>96</v>
      </c>
      <c r="B30" s="161" t="s">
        <v>168</v>
      </c>
      <c r="C30" s="162"/>
      <c r="D30" s="162"/>
      <c r="E30" s="162"/>
      <c r="F30" s="162"/>
      <c r="G30" s="162"/>
      <c r="H30" s="162"/>
      <c r="I30" s="162"/>
      <c r="J30" s="162"/>
      <c r="K30" s="162"/>
      <c r="L30" s="162"/>
      <c r="M30" s="162"/>
      <c r="N30" s="162"/>
      <c r="O30" s="162"/>
      <c r="P30" s="162"/>
      <c r="Q30" s="162"/>
      <c r="R30" s="162"/>
      <c r="S30" s="162"/>
      <c r="T30" s="162"/>
      <c r="U30" s="162"/>
      <c r="V30" s="162"/>
      <c r="W30" s="162"/>
      <c r="X30" s="162"/>
      <c r="Y30" s="163"/>
    </row>
    <row r="31" spans="1:25" ht="22.5" customHeight="1">
      <c r="A31" s="82" t="s">
        <v>97</v>
      </c>
      <c r="B31" s="161" t="s">
        <v>169</v>
      </c>
      <c r="C31" s="162"/>
      <c r="D31" s="162"/>
      <c r="E31" s="162"/>
      <c r="F31" s="162"/>
      <c r="G31" s="162"/>
      <c r="H31" s="162"/>
      <c r="I31" s="162"/>
      <c r="J31" s="162"/>
      <c r="K31" s="162"/>
      <c r="L31" s="162"/>
      <c r="M31" s="162"/>
      <c r="N31" s="162"/>
      <c r="O31" s="162"/>
      <c r="P31" s="162"/>
      <c r="Q31" s="162"/>
      <c r="R31" s="162"/>
      <c r="S31" s="162"/>
      <c r="T31" s="162"/>
      <c r="U31" s="162"/>
      <c r="V31" s="162"/>
      <c r="W31" s="162"/>
      <c r="X31" s="162"/>
      <c r="Y31" s="163"/>
    </row>
    <row r="32" spans="1:25" ht="22.5" customHeight="1">
      <c r="A32" s="82" t="s">
        <v>98</v>
      </c>
      <c r="B32" s="161" t="s">
        <v>170</v>
      </c>
      <c r="C32" s="162"/>
      <c r="D32" s="162"/>
      <c r="E32" s="162"/>
      <c r="F32" s="162"/>
      <c r="G32" s="162"/>
      <c r="H32" s="162"/>
      <c r="I32" s="162"/>
      <c r="J32" s="162"/>
      <c r="K32" s="162"/>
      <c r="L32" s="162"/>
      <c r="M32" s="162"/>
      <c r="N32" s="162"/>
      <c r="O32" s="162"/>
      <c r="P32" s="162"/>
      <c r="Q32" s="162"/>
      <c r="R32" s="162"/>
      <c r="S32" s="162"/>
      <c r="T32" s="162"/>
      <c r="U32" s="162"/>
      <c r="V32" s="162"/>
      <c r="W32" s="162"/>
      <c r="X32" s="162"/>
      <c r="Y32" s="163"/>
    </row>
    <row r="33" spans="1:26" ht="22.5" customHeight="1">
      <c r="A33" s="82"/>
      <c r="B33" s="161"/>
      <c r="C33" s="162"/>
      <c r="D33" s="162"/>
      <c r="E33" s="162"/>
      <c r="F33" s="162"/>
      <c r="G33" s="162"/>
      <c r="H33" s="162"/>
      <c r="I33" s="162"/>
      <c r="J33" s="162"/>
      <c r="K33" s="162"/>
      <c r="L33" s="162"/>
      <c r="M33" s="162"/>
      <c r="N33" s="162"/>
      <c r="O33" s="162"/>
      <c r="P33" s="162"/>
      <c r="Q33" s="162"/>
      <c r="R33" s="162"/>
      <c r="S33" s="162"/>
      <c r="T33" s="162"/>
      <c r="U33" s="162"/>
      <c r="V33" s="162"/>
      <c r="W33" s="162"/>
      <c r="X33" s="162"/>
      <c r="Y33" s="163"/>
    </row>
    <row r="34" spans="1:26" ht="22.5" customHeight="1">
      <c r="A34" s="82"/>
      <c r="B34" s="161"/>
      <c r="C34" s="162"/>
      <c r="D34" s="162"/>
      <c r="E34" s="162"/>
      <c r="F34" s="162"/>
      <c r="G34" s="162"/>
      <c r="H34" s="162"/>
      <c r="I34" s="162"/>
      <c r="J34" s="162"/>
      <c r="K34" s="162"/>
      <c r="L34" s="162"/>
      <c r="M34" s="162"/>
      <c r="N34" s="162"/>
      <c r="O34" s="162"/>
      <c r="P34" s="162"/>
      <c r="Q34" s="162"/>
      <c r="R34" s="162"/>
      <c r="S34" s="162"/>
      <c r="T34" s="162"/>
      <c r="U34" s="162"/>
      <c r="V34" s="162"/>
      <c r="W34" s="162"/>
      <c r="X34" s="162"/>
      <c r="Y34" s="163"/>
      <c r="Z34" s="83" t="s">
        <v>30</v>
      </c>
    </row>
    <row r="35" spans="1:26" ht="22.5" customHeight="1">
      <c r="A35" s="175" t="s">
        <v>292</v>
      </c>
      <c r="B35" s="176"/>
      <c r="C35" s="176"/>
      <c r="D35" s="176"/>
      <c r="E35" s="176"/>
      <c r="F35" s="176"/>
      <c r="G35" s="176"/>
      <c r="H35" s="176"/>
      <c r="I35" s="176"/>
      <c r="J35" s="176"/>
      <c r="K35" s="176"/>
      <c r="L35" s="176"/>
      <c r="M35" s="176"/>
      <c r="N35" s="176"/>
      <c r="O35" s="176"/>
      <c r="P35" s="176"/>
      <c r="Q35" s="176"/>
      <c r="R35" s="176"/>
      <c r="S35" s="176"/>
      <c r="T35" s="176"/>
      <c r="U35" s="176"/>
      <c r="V35" s="176"/>
      <c r="W35" s="176"/>
      <c r="X35" s="176"/>
      <c r="Y35" s="177"/>
      <c r="Z35" s="76" t="s">
        <v>293</v>
      </c>
    </row>
    <row r="36" spans="1:26" ht="77.25" customHeight="1">
      <c r="A36" s="84" t="str">
        <f>A13</f>
        <v>相澤 諒典</v>
      </c>
      <c r="B36" s="178" t="s">
        <v>187</v>
      </c>
      <c r="C36" s="179"/>
      <c r="D36" s="179"/>
      <c r="E36" s="179"/>
      <c r="F36" s="179"/>
      <c r="G36" s="179"/>
      <c r="H36" s="179"/>
      <c r="I36" s="179"/>
      <c r="J36" s="179"/>
      <c r="K36" s="179"/>
      <c r="L36" s="179"/>
      <c r="M36" s="179"/>
      <c r="N36" s="179"/>
      <c r="O36" s="179"/>
      <c r="P36" s="179"/>
      <c r="Q36" s="179"/>
      <c r="R36" s="179"/>
      <c r="S36" s="179"/>
      <c r="T36" s="179"/>
      <c r="U36" s="179"/>
      <c r="V36" s="179"/>
      <c r="W36" s="179"/>
      <c r="X36" s="179"/>
      <c r="Y36" s="180"/>
      <c r="Z36" s="76">
        <f>LEN(B36)</f>
        <v>459</v>
      </c>
    </row>
    <row r="37" spans="1:26" ht="77.25" customHeight="1">
      <c r="A37" s="84" t="str">
        <f t="shared" ref="A37:A57" si="0">A14</f>
        <v>赤木 咲哉</v>
      </c>
      <c r="B37" s="178" t="s">
        <v>188</v>
      </c>
      <c r="C37" s="179"/>
      <c r="D37" s="179"/>
      <c r="E37" s="179"/>
      <c r="F37" s="179"/>
      <c r="G37" s="179"/>
      <c r="H37" s="179"/>
      <c r="I37" s="179"/>
      <c r="J37" s="179"/>
      <c r="K37" s="179"/>
      <c r="L37" s="179"/>
      <c r="M37" s="179"/>
      <c r="N37" s="179"/>
      <c r="O37" s="179"/>
      <c r="P37" s="179"/>
      <c r="Q37" s="179"/>
      <c r="R37" s="179"/>
      <c r="S37" s="179"/>
      <c r="T37" s="179"/>
      <c r="U37" s="179"/>
      <c r="V37" s="179"/>
      <c r="W37" s="179"/>
      <c r="X37" s="179"/>
      <c r="Y37" s="180"/>
      <c r="Z37" s="76">
        <f t="shared" ref="Z37:Z57" si="1">LEN(B37)</f>
        <v>444</v>
      </c>
    </row>
    <row r="38" spans="1:26" ht="77.25" customHeight="1">
      <c r="A38" s="84" t="str">
        <f t="shared" si="0"/>
        <v>加藤 綾</v>
      </c>
      <c r="B38" s="178" t="s">
        <v>189</v>
      </c>
      <c r="C38" s="179"/>
      <c r="D38" s="179"/>
      <c r="E38" s="179"/>
      <c r="F38" s="179"/>
      <c r="G38" s="179"/>
      <c r="H38" s="179"/>
      <c r="I38" s="179"/>
      <c r="J38" s="179"/>
      <c r="K38" s="179"/>
      <c r="L38" s="179"/>
      <c r="M38" s="179"/>
      <c r="N38" s="179"/>
      <c r="O38" s="179"/>
      <c r="P38" s="179"/>
      <c r="Q38" s="179"/>
      <c r="R38" s="179"/>
      <c r="S38" s="179"/>
      <c r="T38" s="179"/>
      <c r="U38" s="179"/>
      <c r="V38" s="179"/>
      <c r="W38" s="179"/>
      <c r="X38" s="179"/>
      <c r="Y38" s="180"/>
      <c r="Z38" s="76">
        <f t="shared" si="1"/>
        <v>436</v>
      </c>
    </row>
    <row r="39" spans="1:26" ht="77.25" customHeight="1">
      <c r="A39" s="84" t="str">
        <f t="shared" si="0"/>
        <v>加藤 照乃</v>
      </c>
      <c r="B39" s="178" t="s">
        <v>190</v>
      </c>
      <c r="C39" s="179"/>
      <c r="D39" s="179"/>
      <c r="E39" s="179"/>
      <c r="F39" s="179"/>
      <c r="G39" s="179"/>
      <c r="H39" s="179"/>
      <c r="I39" s="179"/>
      <c r="J39" s="179"/>
      <c r="K39" s="179"/>
      <c r="L39" s="179"/>
      <c r="M39" s="179"/>
      <c r="N39" s="179"/>
      <c r="O39" s="179"/>
      <c r="P39" s="179"/>
      <c r="Q39" s="179"/>
      <c r="R39" s="179"/>
      <c r="S39" s="179"/>
      <c r="T39" s="179"/>
      <c r="U39" s="179"/>
      <c r="V39" s="179"/>
      <c r="W39" s="179"/>
      <c r="X39" s="179"/>
      <c r="Y39" s="180"/>
      <c r="Z39" s="76">
        <f t="shared" si="1"/>
        <v>444</v>
      </c>
    </row>
    <row r="40" spans="1:26" ht="77.25" customHeight="1">
      <c r="A40" s="84" t="str">
        <f t="shared" si="0"/>
        <v>門田 藍里</v>
      </c>
      <c r="B40" s="178" t="s">
        <v>191</v>
      </c>
      <c r="C40" s="179"/>
      <c r="D40" s="179"/>
      <c r="E40" s="179"/>
      <c r="F40" s="179"/>
      <c r="G40" s="179"/>
      <c r="H40" s="179"/>
      <c r="I40" s="179"/>
      <c r="J40" s="179"/>
      <c r="K40" s="179"/>
      <c r="L40" s="179"/>
      <c r="M40" s="179"/>
      <c r="N40" s="179"/>
      <c r="O40" s="179"/>
      <c r="P40" s="179"/>
      <c r="Q40" s="179"/>
      <c r="R40" s="179"/>
      <c r="S40" s="179"/>
      <c r="T40" s="179"/>
      <c r="U40" s="179"/>
      <c r="V40" s="179"/>
      <c r="W40" s="179"/>
      <c r="X40" s="179"/>
      <c r="Y40" s="180"/>
      <c r="Z40" s="76">
        <f t="shared" si="1"/>
        <v>445</v>
      </c>
    </row>
    <row r="41" spans="1:26" ht="77.25" customHeight="1">
      <c r="A41" s="84" t="str">
        <f t="shared" si="0"/>
        <v>金井 傑</v>
      </c>
      <c r="B41" s="178" t="s">
        <v>192</v>
      </c>
      <c r="C41" s="179"/>
      <c r="D41" s="179"/>
      <c r="E41" s="179"/>
      <c r="F41" s="179"/>
      <c r="G41" s="179"/>
      <c r="H41" s="179"/>
      <c r="I41" s="179"/>
      <c r="J41" s="179"/>
      <c r="K41" s="179"/>
      <c r="L41" s="179"/>
      <c r="M41" s="179"/>
      <c r="N41" s="179"/>
      <c r="O41" s="179"/>
      <c r="P41" s="179"/>
      <c r="Q41" s="179"/>
      <c r="R41" s="179"/>
      <c r="S41" s="179"/>
      <c r="T41" s="179"/>
      <c r="U41" s="179"/>
      <c r="V41" s="179"/>
      <c r="W41" s="179"/>
      <c r="X41" s="179"/>
      <c r="Y41" s="180"/>
      <c r="Z41" s="76">
        <f t="shared" si="1"/>
        <v>462</v>
      </c>
    </row>
    <row r="42" spans="1:26" ht="77.25" customHeight="1">
      <c r="A42" s="84" t="str">
        <f t="shared" si="0"/>
        <v>上條 優那</v>
      </c>
      <c r="B42" s="178" t="s">
        <v>193</v>
      </c>
      <c r="C42" s="179"/>
      <c r="D42" s="179"/>
      <c r="E42" s="179"/>
      <c r="F42" s="179"/>
      <c r="G42" s="179"/>
      <c r="H42" s="179"/>
      <c r="I42" s="179"/>
      <c r="J42" s="179"/>
      <c r="K42" s="179"/>
      <c r="L42" s="179"/>
      <c r="M42" s="179"/>
      <c r="N42" s="179"/>
      <c r="O42" s="179"/>
      <c r="P42" s="179"/>
      <c r="Q42" s="179"/>
      <c r="R42" s="179"/>
      <c r="S42" s="179"/>
      <c r="T42" s="179"/>
      <c r="U42" s="179"/>
      <c r="V42" s="179"/>
      <c r="W42" s="179"/>
      <c r="X42" s="179"/>
      <c r="Y42" s="180"/>
      <c r="Z42" s="76">
        <f t="shared" si="1"/>
        <v>444</v>
      </c>
    </row>
    <row r="43" spans="1:26" ht="77.25" customHeight="1">
      <c r="A43" s="84" t="str">
        <f t="shared" si="0"/>
        <v>川村 唯栖</v>
      </c>
      <c r="B43" s="178" t="s">
        <v>194</v>
      </c>
      <c r="C43" s="179"/>
      <c r="D43" s="179"/>
      <c r="E43" s="179"/>
      <c r="F43" s="179"/>
      <c r="G43" s="179"/>
      <c r="H43" s="179"/>
      <c r="I43" s="179"/>
      <c r="J43" s="179"/>
      <c r="K43" s="179"/>
      <c r="L43" s="179"/>
      <c r="M43" s="179"/>
      <c r="N43" s="179"/>
      <c r="O43" s="179"/>
      <c r="P43" s="179"/>
      <c r="Q43" s="179"/>
      <c r="R43" s="179"/>
      <c r="S43" s="179"/>
      <c r="T43" s="179"/>
      <c r="U43" s="179"/>
      <c r="V43" s="179"/>
      <c r="W43" s="179"/>
      <c r="X43" s="179"/>
      <c r="Y43" s="180"/>
      <c r="Z43" s="76">
        <f t="shared" si="1"/>
        <v>451</v>
      </c>
    </row>
    <row r="44" spans="1:26" ht="77.25" customHeight="1">
      <c r="A44" s="84" t="str">
        <f t="shared" si="0"/>
        <v>小松 宗祐</v>
      </c>
      <c r="B44" s="178" t="s">
        <v>195</v>
      </c>
      <c r="C44" s="179"/>
      <c r="D44" s="179"/>
      <c r="E44" s="179"/>
      <c r="F44" s="179"/>
      <c r="G44" s="179"/>
      <c r="H44" s="179"/>
      <c r="I44" s="179"/>
      <c r="J44" s="179"/>
      <c r="K44" s="179"/>
      <c r="L44" s="179"/>
      <c r="M44" s="179"/>
      <c r="N44" s="179"/>
      <c r="O44" s="179"/>
      <c r="P44" s="179"/>
      <c r="Q44" s="179"/>
      <c r="R44" s="179"/>
      <c r="S44" s="179"/>
      <c r="T44" s="179"/>
      <c r="U44" s="179"/>
      <c r="V44" s="179"/>
      <c r="W44" s="179"/>
      <c r="X44" s="179"/>
      <c r="Y44" s="180"/>
      <c r="Z44" s="76">
        <f t="shared" si="1"/>
        <v>435</v>
      </c>
    </row>
    <row r="45" spans="1:26" ht="77.25" customHeight="1">
      <c r="A45" s="84" t="str">
        <f t="shared" si="0"/>
        <v>五味 愛陽</v>
      </c>
      <c r="B45" s="178" t="s">
        <v>196</v>
      </c>
      <c r="C45" s="179"/>
      <c r="D45" s="179"/>
      <c r="E45" s="179"/>
      <c r="F45" s="179"/>
      <c r="G45" s="179"/>
      <c r="H45" s="179"/>
      <c r="I45" s="179"/>
      <c r="J45" s="179"/>
      <c r="K45" s="179"/>
      <c r="L45" s="179"/>
      <c r="M45" s="179"/>
      <c r="N45" s="179"/>
      <c r="O45" s="179"/>
      <c r="P45" s="179"/>
      <c r="Q45" s="179"/>
      <c r="R45" s="179"/>
      <c r="S45" s="179"/>
      <c r="T45" s="179"/>
      <c r="U45" s="179"/>
      <c r="V45" s="179"/>
      <c r="W45" s="179"/>
      <c r="X45" s="179"/>
      <c r="Y45" s="180"/>
      <c r="Z45" s="76">
        <f t="shared" si="1"/>
        <v>443</v>
      </c>
    </row>
    <row r="46" spans="1:26" ht="77.25" customHeight="1">
      <c r="A46" s="84" t="str">
        <f t="shared" si="0"/>
        <v>武田 理暉</v>
      </c>
      <c r="B46" s="178" t="s">
        <v>197</v>
      </c>
      <c r="C46" s="179"/>
      <c r="D46" s="179"/>
      <c r="E46" s="179"/>
      <c r="F46" s="179"/>
      <c r="G46" s="179"/>
      <c r="H46" s="179"/>
      <c r="I46" s="179"/>
      <c r="J46" s="179"/>
      <c r="K46" s="179"/>
      <c r="L46" s="179"/>
      <c r="M46" s="179"/>
      <c r="N46" s="179"/>
      <c r="O46" s="179"/>
      <c r="P46" s="179"/>
      <c r="Q46" s="179"/>
      <c r="R46" s="179"/>
      <c r="S46" s="179"/>
      <c r="T46" s="179"/>
      <c r="U46" s="179"/>
      <c r="V46" s="179"/>
      <c r="W46" s="179"/>
      <c r="X46" s="179"/>
      <c r="Y46" s="180"/>
      <c r="Z46" s="76">
        <f t="shared" si="1"/>
        <v>422</v>
      </c>
    </row>
    <row r="47" spans="1:26" ht="77.25" customHeight="1">
      <c r="A47" s="84" t="str">
        <f t="shared" si="0"/>
        <v>竹渕 成悟</v>
      </c>
      <c r="B47" s="178" t="s">
        <v>198</v>
      </c>
      <c r="C47" s="179"/>
      <c r="D47" s="179"/>
      <c r="E47" s="179"/>
      <c r="F47" s="179"/>
      <c r="G47" s="179"/>
      <c r="H47" s="179"/>
      <c r="I47" s="179"/>
      <c r="J47" s="179"/>
      <c r="K47" s="179"/>
      <c r="L47" s="179"/>
      <c r="M47" s="179"/>
      <c r="N47" s="179"/>
      <c r="O47" s="179"/>
      <c r="P47" s="179"/>
      <c r="Q47" s="179"/>
      <c r="R47" s="179"/>
      <c r="S47" s="179"/>
      <c r="T47" s="179"/>
      <c r="U47" s="179"/>
      <c r="V47" s="179"/>
      <c r="W47" s="179"/>
      <c r="X47" s="179"/>
      <c r="Y47" s="180"/>
      <c r="Z47" s="76">
        <f t="shared" si="1"/>
        <v>440</v>
      </c>
    </row>
    <row r="48" spans="1:26" ht="77.25" customHeight="1">
      <c r="A48" s="84" t="str">
        <f t="shared" si="0"/>
        <v>立石 明寛</v>
      </c>
      <c r="B48" s="178" t="s">
        <v>199</v>
      </c>
      <c r="C48" s="179"/>
      <c r="D48" s="179"/>
      <c r="E48" s="179"/>
      <c r="F48" s="179"/>
      <c r="G48" s="179"/>
      <c r="H48" s="179"/>
      <c r="I48" s="179"/>
      <c r="J48" s="179"/>
      <c r="K48" s="179"/>
      <c r="L48" s="179"/>
      <c r="M48" s="179"/>
      <c r="N48" s="179"/>
      <c r="O48" s="179"/>
      <c r="P48" s="179"/>
      <c r="Q48" s="179"/>
      <c r="R48" s="179"/>
      <c r="S48" s="179"/>
      <c r="T48" s="179"/>
      <c r="U48" s="179"/>
      <c r="V48" s="179"/>
      <c r="W48" s="179"/>
      <c r="X48" s="179"/>
      <c r="Y48" s="180"/>
      <c r="Z48" s="76">
        <f t="shared" si="1"/>
        <v>465</v>
      </c>
    </row>
    <row r="49" spans="1:26" ht="77.25" customHeight="1">
      <c r="A49" s="84" t="str">
        <f t="shared" si="0"/>
        <v>新村 悠妃</v>
      </c>
      <c r="B49" s="178" t="s">
        <v>200</v>
      </c>
      <c r="C49" s="179"/>
      <c r="D49" s="179"/>
      <c r="E49" s="179"/>
      <c r="F49" s="179"/>
      <c r="G49" s="179"/>
      <c r="H49" s="179"/>
      <c r="I49" s="179"/>
      <c r="J49" s="179"/>
      <c r="K49" s="179"/>
      <c r="L49" s="179"/>
      <c r="M49" s="179"/>
      <c r="N49" s="179"/>
      <c r="O49" s="179"/>
      <c r="P49" s="179"/>
      <c r="Q49" s="179"/>
      <c r="R49" s="179"/>
      <c r="S49" s="179"/>
      <c r="T49" s="179"/>
      <c r="U49" s="179"/>
      <c r="V49" s="179"/>
      <c r="W49" s="179"/>
      <c r="X49" s="179"/>
      <c r="Y49" s="180"/>
      <c r="Z49" s="76">
        <f t="shared" si="1"/>
        <v>452</v>
      </c>
    </row>
    <row r="50" spans="1:26" ht="77.25" customHeight="1">
      <c r="A50" s="84" t="str">
        <f t="shared" si="0"/>
        <v>平岡 恭佑</v>
      </c>
      <c r="B50" s="178" t="s">
        <v>201</v>
      </c>
      <c r="C50" s="179"/>
      <c r="D50" s="179"/>
      <c r="E50" s="179"/>
      <c r="F50" s="179"/>
      <c r="G50" s="179"/>
      <c r="H50" s="179"/>
      <c r="I50" s="179"/>
      <c r="J50" s="179"/>
      <c r="K50" s="179"/>
      <c r="L50" s="179"/>
      <c r="M50" s="179"/>
      <c r="N50" s="179"/>
      <c r="O50" s="179"/>
      <c r="P50" s="179"/>
      <c r="Q50" s="179"/>
      <c r="R50" s="179"/>
      <c r="S50" s="179"/>
      <c r="T50" s="179"/>
      <c r="U50" s="179"/>
      <c r="V50" s="179"/>
      <c r="W50" s="179"/>
      <c r="X50" s="179"/>
      <c r="Y50" s="180"/>
      <c r="Z50" s="76">
        <f t="shared" si="1"/>
        <v>459</v>
      </c>
    </row>
    <row r="51" spans="1:26" ht="77.25" customHeight="1">
      <c r="A51" s="84" t="str">
        <f t="shared" si="0"/>
        <v>福沢 瑛心</v>
      </c>
      <c r="B51" s="178" t="s">
        <v>202</v>
      </c>
      <c r="C51" s="179"/>
      <c r="D51" s="179"/>
      <c r="E51" s="179"/>
      <c r="F51" s="179"/>
      <c r="G51" s="179"/>
      <c r="H51" s="179"/>
      <c r="I51" s="179"/>
      <c r="J51" s="179"/>
      <c r="K51" s="179"/>
      <c r="L51" s="179"/>
      <c r="M51" s="179"/>
      <c r="N51" s="179"/>
      <c r="O51" s="179"/>
      <c r="P51" s="179"/>
      <c r="Q51" s="179"/>
      <c r="R51" s="179"/>
      <c r="S51" s="179"/>
      <c r="T51" s="179"/>
      <c r="U51" s="179"/>
      <c r="V51" s="179"/>
      <c r="W51" s="179"/>
      <c r="X51" s="179"/>
      <c r="Y51" s="180"/>
      <c r="Z51" s="76">
        <f t="shared" si="1"/>
        <v>430</v>
      </c>
    </row>
    <row r="52" spans="1:26" ht="77.25" customHeight="1">
      <c r="A52" s="84" t="str">
        <f t="shared" si="0"/>
        <v>松井 大和</v>
      </c>
      <c r="B52" s="178" t="s">
        <v>171</v>
      </c>
      <c r="C52" s="179"/>
      <c r="D52" s="179"/>
      <c r="E52" s="179"/>
      <c r="F52" s="179"/>
      <c r="G52" s="179"/>
      <c r="H52" s="179"/>
      <c r="I52" s="179"/>
      <c r="J52" s="179"/>
      <c r="K52" s="179"/>
      <c r="L52" s="179"/>
      <c r="M52" s="179"/>
      <c r="N52" s="179"/>
      <c r="O52" s="179"/>
      <c r="P52" s="179"/>
      <c r="Q52" s="179"/>
      <c r="R52" s="179"/>
      <c r="S52" s="179"/>
      <c r="T52" s="179"/>
      <c r="U52" s="179"/>
      <c r="V52" s="179"/>
      <c r="W52" s="179"/>
      <c r="X52" s="179"/>
      <c r="Y52" s="180"/>
      <c r="Z52" s="76">
        <f t="shared" si="1"/>
        <v>433</v>
      </c>
    </row>
    <row r="53" spans="1:26" ht="77.25" customHeight="1">
      <c r="A53" s="84" t="str">
        <f t="shared" si="0"/>
        <v>丸山 紗那</v>
      </c>
      <c r="B53" s="178" t="s">
        <v>172</v>
      </c>
      <c r="C53" s="179"/>
      <c r="D53" s="179"/>
      <c r="E53" s="179"/>
      <c r="F53" s="179"/>
      <c r="G53" s="179"/>
      <c r="H53" s="179"/>
      <c r="I53" s="179"/>
      <c r="J53" s="179"/>
      <c r="K53" s="179"/>
      <c r="L53" s="179"/>
      <c r="M53" s="179"/>
      <c r="N53" s="179"/>
      <c r="O53" s="179"/>
      <c r="P53" s="179"/>
      <c r="Q53" s="179"/>
      <c r="R53" s="179"/>
      <c r="S53" s="179"/>
      <c r="T53" s="179"/>
      <c r="U53" s="179"/>
      <c r="V53" s="179"/>
      <c r="W53" s="179"/>
      <c r="X53" s="179"/>
      <c r="Y53" s="180"/>
      <c r="Z53" s="76">
        <f t="shared" si="1"/>
        <v>451</v>
      </c>
    </row>
    <row r="54" spans="1:26" ht="77.25" customHeight="1">
      <c r="A54" s="84" t="str">
        <f t="shared" si="0"/>
        <v>百瀬 杏</v>
      </c>
      <c r="B54" s="178" t="s">
        <v>203</v>
      </c>
      <c r="C54" s="179"/>
      <c r="D54" s="179"/>
      <c r="E54" s="179"/>
      <c r="F54" s="179"/>
      <c r="G54" s="179"/>
      <c r="H54" s="179"/>
      <c r="I54" s="179"/>
      <c r="J54" s="179"/>
      <c r="K54" s="179"/>
      <c r="L54" s="179"/>
      <c r="M54" s="179"/>
      <c r="N54" s="179"/>
      <c r="O54" s="179"/>
      <c r="P54" s="179"/>
      <c r="Q54" s="179"/>
      <c r="R54" s="179"/>
      <c r="S54" s="179"/>
      <c r="T54" s="179"/>
      <c r="U54" s="179"/>
      <c r="V54" s="179"/>
      <c r="W54" s="179"/>
      <c r="X54" s="179"/>
      <c r="Y54" s="180"/>
      <c r="Z54" s="76">
        <f t="shared" si="1"/>
        <v>449</v>
      </c>
    </row>
    <row r="55" spans="1:26" ht="77.25" customHeight="1">
      <c r="A55" s="84" t="str">
        <f t="shared" si="0"/>
        <v>百瀬 颯紀</v>
      </c>
      <c r="B55" s="178" t="s">
        <v>204</v>
      </c>
      <c r="C55" s="179"/>
      <c r="D55" s="179"/>
      <c r="E55" s="179"/>
      <c r="F55" s="179"/>
      <c r="G55" s="179"/>
      <c r="H55" s="179"/>
      <c r="I55" s="179"/>
      <c r="J55" s="179"/>
      <c r="K55" s="179"/>
      <c r="L55" s="179"/>
      <c r="M55" s="179"/>
      <c r="N55" s="179"/>
      <c r="O55" s="179"/>
      <c r="P55" s="179"/>
      <c r="Q55" s="179"/>
      <c r="R55" s="179"/>
      <c r="S55" s="179"/>
      <c r="T55" s="179"/>
      <c r="U55" s="179"/>
      <c r="V55" s="179"/>
      <c r="W55" s="179"/>
      <c r="X55" s="179"/>
      <c r="Y55" s="180"/>
      <c r="Z55" s="76">
        <f t="shared" si="1"/>
        <v>422</v>
      </c>
    </row>
    <row r="56" spans="1:26" ht="77.25" customHeight="1">
      <c r="A56" s="84">
        <f t="shared" si="0"/>
        <v>0</v>
      </c>
      <c r="B56" s="178"/>
      <c r="C56" s="179"/>
      <c r="D56" s="179"/>
      <c r="E56" s="179"/>
      <c r="F56" s="179"/>
      <c r="G56" s="179"/>
      <c r="H56" s="179"/>
      <c r="I56" s="179"/>
      <c r="J56" s="179"/>
      <c r="K56" s="179"/>
      <c r="L56" s="179"/>
      <c r="M56" s="179"/>
      <c r="N56" s="179"/>
      <c r="O56" s="179"/>
      <c r="P56" s="179"/>
      <c r="Q56" s="179"/>
      <c r="R56" s="179"/>
      <c r="S56" s="179"/>
      <c r="T56" s="179"/>
      <c r="U56" s="179"/>
      <c r="V56" s="179"/>
      <c r="W56" s="179"/>
      <c r="X56" s="179"/>
      <c r="Y56" s="180"/>
      <c r="Z56" s="76">
        <f t="shared" si="1"/>
        <v>0</v>
      </c>
    </row>
    <row r="57" spans="1:26" ht="77.25" customHeight="1">
      <c r="A57" s="84">
        <f t="shared" si="0"/>
        <v>0</v>
      </c>
      <c r="B57" s="178"/>
      <c r="C57" s="179"/>
      <c r="D57" s="179"/>
      <c r="E57" s="179"/>
      <c r="F57" s="179"/>
      <c r="G57" s="179"/>
      <c r="H57" s="179"/>
      <c r="I57" s="179"/>
      <c r="J57" s="179"/>
      <c r="K57" s="179"/>
      <c r="L57" s="179"/>
      <c r="M57" s="179"/>
      <c r="N57" s="179"/>
      <c r="O57" s="179"/>
      <c r="P57" s="179"/>
      <c r="Q57" s="179"/>
      <c r="R57" s="179"/>
      <c r="S57" s="179"/>
      <c r="T57" s="179"/>
      <c r="U57" s="179"/>
      <c r="V57" s="179"/>
      <c r="W57" s="179"/>
      <c r="X57" s="179"/>
      <c r="Y57" s="180"/>
      <c r="Z57" s="76">
        <f t="shared" si="1"/>
        <v>0</v>
      </c>
    </row>
    <row r="58" spans="1:26" ht="17.25" customHeight="1"/>
    <row r="59" spans="1:26" ht="17.25" customHeight="1"/>
    <row r="60" spans="1:26" ht="17.25" customHeight="1"/>
    <row r="61" spans="1:26" ht="17.25" customHeight="1"/>
    <row r="62" spans="1:26" ht="17.25" customHeight="1"/>
    <row r="63" spans="1:26" ht="17.25" customHeight="1"/>
    <row r="64" spans="1:26"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row r="157" ht="17.25" customHeight="1"/>
    <row r="158" ht="17.25" customHeight="1"/>
    <row r="159" ht="17.25" customHeight="1"/>
    <row r="160" ht="17.25" customHeight="1"/>
    <row r="161" ht="17.25" customHeight="1"/>
    <row r="162" ht="17.25" customHeight="1"/>
    <row r="163" ht="17.25" customHeight="1"/>
    <row r="164" ht="17.25" customHeight="1"/>
    <row r="165" ht="17.25" customHeight="1"/>
    <row r="166" ht="17.25" customHeight="1"/>
    <row r="167" ht="17.25" customHeight="1"/>
    <row r="168" ht="17.25" customHeight="1"/>
    <row r="169" ht="17.25" customHeight="1"/>
    <row r="170" ht="17.25" customHeight="1"/>
    <row r="171" ht="17.25" customHeight="1"/>
    <row r="172" ht="17.25" customHeight="1"/>
    <row r="173" ht="17.25" customHeight="1"/>
    <row r="174" ht="17.25" customHeight="1"/>
    <row r="175" ht="17.25" customHeight="1"/>
    <row r="176" ht="17.25" customHeight="1"/>
    <row r="177" ht="17.25" customHeight="1"/>
    <row r="178" ht="17.25" customHeight="1"/>
    <row r="179" ht="17.25" customHeight="1"/>
    <row r="180" ht="17.25" customHeight="1"/>
    <row r="181" ht="17.25" customHeight="1"/>
    <row r="182" ht="17.25" customHeight="1"/>
    <row r="183" ht="17.25" customHeight="1"/>
    <row r="184" ht="17.25" customHeight="1"/>
    <row r="185" ht="17.25" customHeight="1"/>
    <row r="186" ht="17.25" customHeight="1"/>
    <row r="187" ht="17.25" customHeight="1"/>
    <row r="188" ht="17.25" customHeight="1"/>
    <row r="189" ht="17.25" customHeight="1"/>
    <row r="190" ht="17.25" customHeight="1"/>
    <row r="191" ht="17.25" customHeight="1"/>
    <row r="192" ht="17.25" customHeight="1"/>
    <row r="193" ht="17.25" customHeight="1"/>
    <row r="194" ht="17.25" customHeight="1"/>
    <row r="195" ht="17.25" customHeight="1"/>
    <row r="196" ht="17.25" customHeight="1"/>
  </sheetData>
  <mergeCells count="47">
    <mergeCell ref="B54:Y54"/>
    <mergeCell ref="B55:Y55"/>
    <mergeCell ref="B56:Y56"/>
    <mergeCell ref="B57:Y57"/>
    <mergeCell ref="B44:Y44"/>
    <mergeCell ref="B45:Y45"/>
    <mergeCell ref="B46:Y46"/>
    <mergeCell ref="B47:Y47"/>
    <mergeCell ref="B48:Y48"/>
    <mergeCell ref="B49:Y49"/>
    <mergeCell ref="B50:Y50"/>
    <mergeCell ref="B51:Y51"/>
    <mergeCell ref="B52:Y52"/>
    <mergeCell ref="B53:Y53"/>
    <mergeCell ref="B39:Y39"/>
    <mergeCell ref="B40:Y40"/>
    <mergeCell ref="B41:Y41"/>
    <mergeCell ref="B42:Y42"/>
    <mergeCell ref="B43:Y43"/>
    <mergeCell ref="B21:Y21"/>
    <mergeCell ref="B22:Y22"/>
    <mergeCell ref="B23:Y23"/>
    <mergeCell ref="B24:Y24"/>
    <mergeCell ref="B25:Y25"/>
    <mergeCell ref="B16:Y16"/>
    <mergeCell ref="B17:Y17"/>
    <mergeCell ref="B18:Y18"/>
    <mergeCell ref="B19:Y19"/>
    <mergeCell ref="B20:Y20"/>
    <mergeCell ref="A35:Y35"/>
    <mergeCell ref="B36:Y36"/>
    <mergeCell ref="B37:Y37"/>
    <mergeCell ref="B38:Y38"/>
    <mergeCell ref="B26:Y26"/>
    <mergeCell ref="B27:Y27"/>
    <mergeCell ref="B28:Y28"/>
    <mergeCell ref="B29:Y29"/>
    <mergeCell ref="B30:Y30"/>
    <mergeCell ref="B31:Y31"/>
    <mergeCell ref="B32:Y32"/>
    <mergeCell ref="B33:Y33"/>
    <mergeCell ref="B34:Y34"/>
    <mergeCell ref="A2:A9"/>
    <mergeCell ref="A12:Y12"/>
    <mergeCell ref="B13:Y13"/>
    <mergeCell ref="B14:Y14"/>
    <mergeCell ref="B15:Y15"/>
  </mergeCells>
  <phoneticPr fontId="1"/>
  <conditionalFormatting sqref="Z36:Z57">
    <cfRule type="cellIs" dxfId="2" priority="1" operator="greaterThan">
      <formula>450</formula>
    </cfRule>
    <cfRule type="cellIs" dxfId="1" priority="2" operator="lessThan">
      <formula>400</formula>
    </cfRule>
    <cfRule type="cellIs" dxfId="0" priority="3" operator="between">
      <formula>400</formula>
      <formula>450</formula>
    </cfRule>
  </conditionalFormatting>
  <dataValidations count="1">
    <dataValidation type="list" imeMode="disabled" allowBlank="1" showDropDown="1" showInputMessage="1" showErrorMessage="1" errorTitle="全角文字エラー" error="半角ABC=を入れて下さい。" sqref="D2:Y11">
      <formula1>$Z$2:$Z$5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sheetPr>
  <dimension ref="A1:Z156"/>
  <sheetViews>
    <sheetView workbookViewId="0">
      <selection sqref="A1:XFD1048576"/>
    </sheetView>
  </sheetViews>
  <sheetFormatPr defaultColWidth="9" defaultRowHeight="13.5"/>
  <cols>
    <col min="1" max="1" width="13.5" style="76" customWidth="1"/>
    <col min="2" max="2" width="7.5" style="76" customWidth="1"/>
    <col min="3" max="3" width="9.375" style="76" customWidth="1"/>
    <col min="4" max="25" width="6.875" style="76" customWidth="1"/>
    <col min="26" max="16384" width="9" style="76"/>
  </cols>
  <sheetData>
    <row r="1" spans="1:26" ht="85.5" customHeight="1">
      <c r="A1" s="181" t="str">
        <f ca="1">MID(CELL("filename",A1),FIND("[",CELL("filename",A1))+1,3)</f>
        <v>４－２</v>
      </c>
      <c r="B1" s="182"/>
      <c r="C1" s="183"/>
      <c r="D1" s="68" t="str">
        <f>A10</f>
        <v>相澤 諒典</v>
      </c>
      <c r="E1" s="68" t="str">
        <f>A11</f>
        <v>赤木 咲哉</v>
      </c>
      <c r="F1" s="68" t="str">
        <f>A12</f>
        <v>加藤 綾</v>
      </c>
      <c r="G1" s="68" t="str">
        <f>A13</f>
        <v>加藤 照乃</v>
      </c>
      <c r="H1" s="68" t="str">
        <f>A14</f>
        <v>門田 藍里</v>
      </c>
      <c r="I1" s="68" t="str">
        <f>A15</f>
        <v>金井 傑</v>
      </c>
      <c r="J1" s="68" t="str">
        <f>A16</f>
        <v>上條 優那</v>
      </c>
      <c r="K1" s="68" t="str">
        <f>A17</f>
        <v>川村 唯栖</v>
      </c>
      <c r="L1" s="68" t="str">
        <f>A18</f>
        <v>小松 宗祐</v>
      </c>
      <c r="M1" s="68" t="str">
        <f>A19</f>
        <v>五味 愛陽</v>
      </c>
      <c r="N1" s="68" t="str">
        <f>A20</f>
        <v>武田 理暉</v>
      </c>
      <c r="O1" s="68" t="str">
        <f>A21</f>
        <v>竹渕 成悟</v>
      </c>
      <c r="P1" s="68" t="str">
        <f>A22</f>
        <v>立石 明寛</v>
      </c>
      <c r="Q1" s="68" t="str">
        <f>A23</f>
        <v>新村 悠妃</v>
      </c>
      <c r="R1" s="68" t="str">
        <f>A24</f>
        <v>平岡 恭佑</v>
      </c>
      <c r="S1" s="68" t="str">
        <f>A25</f>
        <v>福沢 瑛心</v>
      </c>
      <c r="T1" s="68" t="str">
        <f>A26</f>
        <v>松井 大和</v>
      </c>
      <c r="U1" s="68" t="str">
        <f>A27</f>
        <v>丸山 紗那</v>
      </c>
      <c r="V1" s="68" t="str">
        <f>A28</f>
        <v>百瀬 杏</v>
      </c>
      <c r="W1" s="68" t="str">
        <f>A29</f>
        <v>百瀬 颯紀</v>
      </c>
      <c r="X1" s="68">
        <f>A30</f>
        <v>0</v>
      </c>
      <c r="Y1" s="68">
        <f>A31</f>
        <v>0</v>
      </c>
      <c r="Z1" s="75"/>
    </row>
    <row r="2" spans="1:26" ht="22.5" customHeight="1">
      <c r="A2" s="184" t="s">
        <v>34</v>
      </c>
      <c r="B2" s="184"/>
      <c r="C2" s="184"/>
      <c r="D2" s="85">
        <v>76</v>
      </c>
      <c r="E2" s="85">
        <v>76</v>
      </c>
      <c r="F2" s="85">
        <v>76</v>
      </c>
      <c r="G2" s="85">
        <v>76</v>
      </c>
      <c r="H2" s="85">
        <v>76</v>
      </c>
      <c r="I2" s="85">
        <v>76</v>
      </c>
      <c r="J2" s="85">
        <v>76</v>
      </c>
      <c r="K2" s="85">
        <v>76</v>
      </c>
      <c r="L2" s="85">
        <v>76</v>
      </c>
      <c r="M2" s="85">
        <v>76</v>
      </c>
      <c r="N2" s="85">
        <v>76</v>
      </c>
      <c r="O2" s="85">
        <v>76</v>
      </c>
      <c r="P2" s="85">
        <v>76</v>
      </c>
      <c r="Q2" s="85">
        <v>76</v>
      </c>
      <c r="R2" s="85">
        <v>76</v>
      </c>
      <c r="S2" s="85">
        <v>76</v>
      </c>
      <c r="T2" s="85">
        <v>76</v>
      </c>
      <c r="U2" s="85">
        <v>76</v>
      </c>
      <c r="V2" s="85">
        <v>76</v>
      </c>
      <c r="W2" s="85">
        <v>76</v>
      </c>
      <c r="X2" s="85"/>
      <c r="Y2" s="85"/>
    </row>
    <row r="3" spans="1:26" ht="22.5" customHeight="1">
      <c r="A3" s="184" t="s">
        <v>35</v>
      </c>
      <c r="B3" s="184"/>
      <c r="C3" s="184"/>
      <c r="D3" s="85">
        <v>0</v>
      </c>
      <c r="E3" s="85">
        <v>0</v>
      </c>
      <c r="F3" s="85">
        <v>0</v>
      </c>
      <c r="G3" s="85">
        <v>0</v>
      </c>
      <c r="H3" s="85">
        <v>0</v>
      </c>
      <c r="I3" s="85">
        <v>0</v>
      </c>
      <c r="J3" s="85">
        <v>0</v>
      </c>
      <c r="K3" s="85">
        <v>0</v>
      </c>
      <c r="L3" s="85">
        <v>0</v>
      </c>
      <c r="M3" s="85">
        <v>1</v>
      </c>
      <c r="N3" s="85">
        <v>0</v>
      </c>
      <c r="O3" s="85">
        <v>0</v>
      </c>
      <c r="P3" s="85">
        <v>0</v>
      </c>
      <c r="Q3" s="85">
        <v>0</v>
      </c>
      <c r="R3" s="85">
        <v>0</v>
      </c>
      <c r="S3" s="85">
        <v>0</v>
      </c>
      <c r="T3" s="85">
        <v>0</v>
      </c>
      <c r="U3" s="85">
        <v>0</v>
      </c>
      <c r="V3" s="85">
        <v>0</v>
      </c>
      <c r="W3" s="85">
        <v>0</v>
      </c>
      <c r="X3" s="85"/>
      <c r="Y3" s="85"/>
    </row>
    <row r="4" spans="1:26" ht="22.5" customHeight="1">
      <c r="A4" s="184" t="s">
        <v>36</v>
      </c>
      <c r="B4" s="184"/>
      <c r="C4" s="184"/>
      <c r="D4" s="49">
        <f t="shared" ref="D4:Y4" si="0">D2-D3</f>
        <v>76</v>
      </c>
      <c r="E4" s="49">
        <f t="shared" si="0"/>
        <v>76</v>
      </c>
      <c r="F4" s="49">
        <f t="shared" si="0"/>
        <v>76</v>
      </c>
      <c r="G4" s="49">
        <f t="shared" si="0"/>
        <v>76</v>
      </c>
      <c r="H4" s="49">
        <f t="shared" si="0"/>
        <v>76</v>
      </c>
      <c r="I4" s="49">
        <f t="shared" si="0"/>
        <v>76</v>
      </c>
      <c r="J4" s="49">
        <f t="shared" si="0"/>
        <v>76</v>
      </c>
      <c r="K4" s="49">
        <f t="shared" si="0"/>
        <v>76</v>
      </c>
      <c r="L4" s="49">
        <f t="shared" si="0"/>
        <v>76</v>
      </c>
      <c r="M4" s="49">
        <f t="shared" si="0"/>
        <v>75</v>
      </c>
      <c r="N4" s="49">
        <f t="shared" si="0"/>
        <v>76</v>
      </c>
      <c r="O4" s="49">
        <f t="shared" si="0"/>
        <v>76</v>
      </c>
      <c r="P4" s="49">
        <f t="shared" si="0"/>
        <v>76</v>
      </c>
      <c r="Q4" s="49">
        <f t="shared" si="0"/>
        <v>76</v>
      </c>
      <c r="R4" s="49">
        <f t="shared" si="0"/>
        <v>76</v>
      </c>
      <c r="S4" s="49">
        <f t="shared" si="0"/>
        <v>76</v>
      </c>
      <c r="T4" s="49">
        <f t="shared" si="0"/>
        <v>76</v>
      </c>
      <c r="U4" s="49">
        <f t="shared" si="0"/>
        <v>76</v>
      </c>
      <c r="V4" s="49">
        <f t="shared" si="0"/>
        <v>76</v>
      </c>
      <c r="W4" s="49">
        <f t="shared" si="0"/>
        <v>76</v>
      </c>
      <c r="X4" s="49">
        <f t="shared" si="0"/>
        <v>0</v>
      </c>
      <c r="Y4" s="49">
        <f t="shared" si="0"/>
        <v>0</v>
      </c>
    </row>
    <row r="5" spans="1:26" ht="22.5" customHeight="1">
      <c r="A5" s="185" t="s">
        <v>294</v>
      </c>
      <c r="B5" s="186"/>
      <c r="C5" s="187"/>
      <c r="D5" s="49">
        <f t="shared" ref="D5:Y5" si="1">D4-D6</f>
        <v>75</v>
      </c>
      <c r="E5" s="49">
        <f t="shared" si="1"/>
        <v>72</v>
      </c>
      <c r="F5" s="49">
        <f t="shared" si="1"/>
        <v>74</v>
      </c>
      <c r="G5" s="49">
        <f t="shared" si="1"/>
        <v>71</v>
      </c>
      <c r="H5" s="49">
        <f t="shared" si="1"/>
        <v>76</v>
      </c>
      <c r="I5" s="49">
        <f t="shared" si="1"/>
        <v>76</v>
      </c>
      <c r="J5" s="49">
        <f t="shared" si="1"/>
        <v>76</v>
      </c>
      <c r="K5" s="49">
        <f t="shared" si="1"/>
        <v>76</v>
      </c>
      <c r="L5" s="49">
        <f t="shared" si="1"/>
        <v>74</v>
      </c>
      <c r="M5" s="49">
        <f t="shared" si="1"/>
        <v>72</v>
      </c>
      <c r="N5" s="49">
        <f t="shared" si="1"/>
        <v>62</v>
      </c>
      <c r="O5" s="49">
        <f t="shared" si="1"/>
        <v>72</v>
      </c>
      <c r="P5" s="49">
        <f t="shared" si="1"/>
        <v>75</v>
      </c>
      <c r="Q5" s="49">
        <f t="shared" si="1"/>
        <v>76</v>
      </c>
      <c r="R5" s="49">
        <f t="shared" si="1"/>
        <v>76</v>
      </c>
      <c r="S5" s="49">
        <f t="shared" si="1"/>
        <v>76</v>
      </c>
      <c r="T5" s="49">
        <f t="shared" si="1"/>
        <v>75</v>
      </c>
      <c r="U5" s="49">
        <f t="shared" si="1"/>
        <v>76</v>
      </c>
      <c r="V5" s="49">
        <f t="shared" si="1"/>
        <v>76</v>
      </c>
      <c r="W5" s="49">
        <f t="shared" si="1"/>
        <v>75</v>
      </c>
      <c r="X5" s="49">
        <f t="shared" si="1"/>
        <v>0</v>
      </c>
      <c r="Y5" s="49">
        <f t="shared" si="1"/>
        <v>0</v>
      </c>
    </row>
    <row r="6" spans="1:26" ht="22.5" customHeight="1">
      <c r="A6" s="188" t="s">
        <v>295</v>
      </c>
      <c r="B6" s="189"/>
      <c r="C6" s="190"/>
      <c r="D6" s="85">
        <v>1</v>
      </c>
      <c r="E6" s="85">
        <v>4</v>
      </c>
      <c r="F6" s="85">
        <v>2</v>
      </c>
      <c r="G6" s="85">
        <v>5</v>
      </c>
      <c r="H6" s="85">
        <v>0</v>
      </c>
      <c r="I6" s="85">
        <v>0</v>
      </c>
      <c r="J6" s="85">
        <v>0</v>
      </c>
      <c r="K6" s="85">
        <v>0</v>
      </c>
      <c r="L6" s="85">
        <v>2</v>
      </c>
      <c r="M6" s="85">
        <v>3</v>
      </c>
      <c r="N6" s="85">
        <v>14</v>
      </c>
      <c r="O6" s="85">
        <v>4</v>
      </c>
      <c r="P6" s="85">
        <v>1</v>
      </c>
      <c r="Q6" s="85">
        <v>0</v>
      </c>
      <c r="R6" s="85">
        <v>0</v>
      </c>
      <c r="S6" s="85">
        <v>0</v>
      </c>
      <c r="T6" s="85">
        <v>1</v>
      </c>
      <c r="U6" s="85">
        <v>0</v>
      </c>
      <c r="V6" s="85">
        <v>0</v>
      </c>
      <c r="W6" s="85">
        <v>1</v>
      </c>
      <c r="X6" s="85"/>
      <c r="Y6" s="85"/>
    </row>
    <row r="7" spans="1:26" ht="22.5" customHeight="1">
      <c r="A7" s="184" t="s">
        <v>37</v>
      </c>
      <c r="B7" s="184"/>
      <c r="C7" s="184"/>
      <c r="D7" s="85">
        <v>1</v>
      </c>
      <c r="E7" s="85">
        <v>0</v>
      </c>
      <c r="F7" s="85">
        <v>2</v>
      </c>
      <c r="G7" s="85">
        <v>0</v>
      </c>
      <c r="H7" s="85">
        <v>0</v>
      </c>
      <c r="I7" s="85">
        <v>0</v>
      </c>
      <c r="J7" s="85">
        <v>0</v>
      </c>
      <c r="K7" s="85">
        <v>2</v>
      </c>
      <c r="L7" s="85">
        <v>0</v>
      </c>
      <c r="M7" s="85">
        <v>1</v>
      </c>
      <c r="N7" s="85">
        <v>0</v>
      </c>
      <c r="O7" s="85">
        <v>3</v>
      </c>
      <c r="P7" s="85">
        <v>0</v>
      </c>
      <c r="Q7" s="85">
        <v>0</v>
      </c>
      <c r="R7" s="85">
        <v>0</v>
      </c>
      <c r="S7" s="85">
        <v>0</v>
      </c>
      <c r="T7" s="85">
        <v>0</v>
      </c>
      <c r="U7" s="85">
        <v>3</v>
      </c>
      <c r="V7" s="85">
        <v>0</v>
      </c>
      <c r="W7" s="85">
        <v>0</v>
      </c>
      <c r="X7" s="85"/>
      <c r="Y7" s="85"/>
    </row>
    <row r="8" spans="1:26" ht="22.5" customHeight="1">
      <c r="A8" s="184" t="s">
        <v>38</v>
      </c>
      <c r="B8" s="184"/>
      <c r="C8" s="184"/>
      <c r="D8" s="85">
        <v>0</v>
      </c>
      <c r="E8" s="85">
        <v>2</v>
      </c>
      <c r="F8" s="85">
        <v>0</v>
      </c>
      <c r="G8" s="85">
        <v>0</v>
      </c>
      <c r="H8" s="85">
        <v>0</v>
      </c>
      <c r="I8" s="85">
        <v>0</v>
      </c>
      <c r="J8" s="85">
        <v>0</v>
      </c>
      <c r="K8" s="85">
        <v>0</v>
      </c>
      <c r="L8" s="85">
        <v>0</v>
      </c>
      <c r="M8" s="85">
        <v>2</v>
      </c>
      <c r="N8" s="85">
        <v>4</v>
      </c>
      <c r="O8" s="85">
        <v>2</v>
      </c>
      <c r="P8" s="85">
        <v>0</v>
      </c>
      <c r="Q8" s="85">
        <v>0</v>
      </c>
      <c r="R8" s="85">
        <v>0</v>
      </c>
      <c r="S8" s="85">
        <v>2</v>
      </c>
      <c r="T8" s="85">
        <v>0</v>
      </c>
      <c r="U8" s="85">
        <v>0</v>
      </c>
      <c r="V8" s="85">
        <v>0</v>
      </c>
      <c r="W8" s="85">
        <v>0</v>
      </c>
      <c r="X8" s="85"/>
      <c r="Y8" s="85"/>
    </row>
    <row r="9" spans="1:26" ht="22.5" customHeight="1">
      <c r="A9" s="172" t="s">
        <v>39</v>
      </c>
      <c r="B9" s="173"/>
      <c r="C9" s="173"/>
      <c r="D9" s="173"/>
      <c r="E9" s="173"/>
      <c r="F9" s="173"/>
      <c r="G9" s="173"/>
      <c r="H9" s="173"/>
      <c r="I9" s="173"/>
      <c r="J9" s="173"/>
      <c r="K9" s="173"/>
      <c r="L9" s="173"/>
      <c r="M9" s="173"/>
      <c r="N9" s="173"/>
      <c r="O9" s="173"/>
      <c r="P9" s="173"/>
      <c r="Q9" s="173"/>
      <c r="R9" s="173"/>
      <c r="S9" s="173"/>
      <c r="T9" s="173"/>
      <c r="U9" s="173"/>
      <c r="V9" s="173"/>
      <c r="W9" s="173"/>
      <c r="X9" s="173"/>
      <c r="Y9" s="174"/>
    </row>
    <row r="10" spans="1:26" ht="22.5" customHeight="1">
      <c r="A10" s="82" t="s">
        <v>79</v>
      </c>
      <c r="B10" s="161" t="s">
        <v>173</v>
      </c>
      <c r="C10" s="162"/>
      <c r="D10" s="162"/>
      <c r="E10" s="162"/>
      <c r="F10" s="162"/>
      <c r="G10" s="162"/>
      <c r="H10" s="162"/>
      <c r="I10" s="162"/>
      <c r="J10" s="162"/>
      <c r="K10" s="162"/>
      <c r="L10" s="162"/>
      <c r="M10" s="162"/>
      <c r="N10" s="162"/>
      <c r="O10" s="162"/>
      <c r="P10" s="162"/>
      <c r="Q10" s="162"/>
      <c r="R10" s="162"/>
      <c r="S10" s="162"/>
      <c r="T10" s="162"/>
      <c r="U10" s="162"/>
      <c r="V10" s="162"/>
      <c r="W10" s="162"/>
      <c r="X10" s="162"/>
      <c r="Y10" s="163"/>
    </row>
    <row r="11" spans="1:26" ht="22.5" customHeight="1">
      <c r="A11" s="82" t="s">
        <v>80</v>
      </c>
      <c r="B11" s="161" t="s">
        <v>174</v>
      </c>
      <c r="C11" s="162"/>
      <c r="D11" s="162"/>
      <c r="E11" s="162"/>
      <c r="F11" s="162"/>
      <c r="G11" s="162"/>
      <c r="H11" s="162"/>
      <c r="I11" s="162"/>
      <c r="J11" s="162"/>
      <c r="K11" s="162"/>
      <c r="L11" s="162"/>
      <c r="M11" s="162"/>
      <c r="N11" s="162"/>
      <c r="O11" s="162"/>
      <c r="P11" s="162"/>
      <c r="Q11" s="162"/>
      <c r="R11" s="162"/>
      <c r="S11" s="162"/>
      <c r="T11" s="162"/>
      <c r="U11" s="162"/>
      <c r="V11" s="162"/>
      <c r="W11" s="162"/>
      <c r="X11" s="162"/>
      <c r="Y11" s="163"/>
    </row>
    <row r="12" spans="1:26" ht="22.5" customHeight="1">
      <c r="A12" s="82" t="s">
        <v>81</v>
      </c>
      <c r="B12" s="161" t="s">
        <v>175</v>
      </c>
      <c r="C12" s="162"/>
      <c r="D12" s="162"/>
      <c r="E12" s="162"/>
      <c r="F12" s="162"/>
      <c r="G12" s="162"/>
      <c r="H12" s="162"/>
      <c r="I12" s="162"/>
      <c r="J12" s="162"/>
      <c r="K12" s="162"/>
      <c r="L12" s="162"/>
      <c r="M12" s="162"/>
      <c r="N12" s="162"/>
      <c r="O12" s="162"/>
      <c r="P12" s="162"/>
      <c r="Q12" s="162"/>
      <c r="R12" s="162"/>
      <c r="S12" s="162"/>
      <c r="T12" s="162"/>
      <c r="U12" s="162"/>
      <c r="V12" s="162"/>
      <c r="W12" s="162"/>
      <c r="X12" s="162"/>
      <c r="Y12" s="163"/>
    </row>
    <row r="13" spans="1:26" ht="22.5" customHeight="1">
      <c r="A13" s="82" t="s">
        <v>82</v>
      </c>
      <c r="B13" s="161" t="s">
        <v>176</v>
      </c>
      <c r="C13" s="162"/>
      <c r="D13" s="162"/>
      <c r="E13" s="162"/>
      <c r="F13" s="162"/>
      <c r="G13" s="162"/>
      <c r="H13" s="162"/>
      <c r="I13" s="162"/>
      <c r="J13" s="162"/>
      <c r="K13" s="162"/>
      <c r="L13" s="162"/>
      <c r="M13" s="162"/>
      <c r="N13" s="162"/>
      <c r="O13" s="162"/>
      <c r="P13" s="162"/>
      <c r="Q13" s="162"/>
      <c r="R13" s="162"/>
      <c r="S13" s="162"/>
      <c r="T13" s="162"/>
      <c r="U13" s="162"/>
      <c r="V13" s="162"/>
      <c r="W13" s="162"/>
      <c r="X13" s="162"/>
      <c r="Y13" s="163"/>
    </row>
    <row r="14" spans="1:26" ht="22.5" customHeight="1">
      <c r="A14" s="82" t="s">
        <v>83</v>
      </c>
      <c r="B14" s="161"/>
      <c r="C14" s="162"/>
      <c r="D14" s="162"/>
      <c r="E14" s="162"/>
      <c r="F14" s="162"/>
      <c r="G14" s="162"/>
      <c r="H14" s="162"/>
      <c r="I14" s="162"/>
      <c r="J14" s="162"/>
      <c r="K14" s="162"/>
      <c r="L14" s="162"/>
      <c r="M14" s="162"/>
      <c r="N14" s="162"/>
      <c r="O14" s="162"/>
      <c r="P14" s="162"/>
      <c r="Q14" s="162"/>
      <c r="R14" s="162"/>
      <c r="S14" s="162"/>
      <c r="T14" s="162"/>
      <c r="U14" s="162"/>
      <c r="V14" s="162"/>
      <c r="W14" s="162"/>
      <c r="X14" s="162"/>
      <c r="Y14" s="163"/>
    </row>
    <row r="15" spans="1:26" ht="22.5" customHeight="1">
      <c r="A15" s="82" t="s">
        <v>84</v>
      </c>
      <c r="B15" s="161"/>
      <c r="C15" s="162"/>
      <c r="D15" s="162"/>
      <c r="E15" s="162"/>
      <c r="F15" s="162"/>
      <c r="G15" s="162"/>
      <c r="H15" s="162"/>
      <c r="I15" s="162"/>
      <c r="J15" s="162"/>
      <c r="K15" s="162"/>
      <c r="L15" s="162"/>
      <c r="M15" s="162"/>
      <c r="N15" s="162"/>
      <c r="O15" s="162"/>
      <c r="P15" s="162"/>
      <c r="Q15" s="162"/>
      <c r="R15" s="162"/>
      <c r="S15" s="162"/>
      <c r="T15" s="162"/>
      <c r="U15" s="162"/>
      <c r="V15" s="162"/>
      <c r="W15" s="162"/>
      <c r="X15" s="162"/>
      <c r="Y15" s="163"/>
    </row>
    <row r="16" spans="1:26" ht="22.5" customHeight="1">
      <c r="A16" s="82" t="s">
        <v>85</v>
      </c>
      <c r="B16" s="161"/>
      <c r="C16" s="162"/>
      <c r="D16" s="162"/>
      <c r="E16" s="162"/>
      <c r="F16" s="162"/>
      <c r="G16" s="162"/>
      <c r="H16" s="162"/>
      <c r="I16" s="162"/>
      <c r="J16" s="162"/>
      <c r="K16" s="162"/>
      <c r="L16" s="162"/>
      <c r="M16" s="162"/>
      <c r="N16" s="162"/>
      <c r="O16" s="162"/>
      <c r="P16" s="162"/>
      <c r="Q16" s="162"/>
      <c r="R16" s="162"/>
      <c r="S16" s="162"/>
      <c r="T16" s="162"/>
      <c r="U16" s="162"/>
      <c r="V16" s="162"/>
      <c r="W16" s="162"/>
      <c r="X16" s="162"/>
      <c r="Y16" s="163"/>
    </row>
    <row r="17" spans="1:25" ht="22.5" customHeight="1">
      <c r="A17" s="82" t="s">
        <v>86</v>
      </c>
      <c r="B17" s="161" t="s">
        <v>177</v>
      </c>
      <c r="C17" s="162"/>
      <c r="D17" s="162"/>
      <c r="E17" s="162"/>
      <c r="F17" s="162"/>
      <c r="G17" s="162"/>
      <c r="H17" s="162"/>
      <c r="I17" s="162"/>
      <c r="J17" s="162"/>
      <c r="K17" s="162"/>
      <c r="L17" s="162"/>
      <c r="M17" s="162"/>
      <c r="N17" s="162"/>
      <c r="O17" s="162"/>
      <c r="P17" s="162"/>
      <c r="Q17" s="162"/>
      <c r="R17" s="162"/>
      <c r="S17" s="162"/>
      <c r="T17" s="162"/>
      <c r="U17" s="162"/>
      <c r="V17" s="162"/>
      <c r="W17" s="162"/>
      <c r="X17" s="162"/>
      <c r="Y17" s="163"/>
    </row>
    <row r="18" spans="1:25" ht="22.5" customHeight="1">
      <c r="A18" s="82" t="s">
        <v>87</v>
      </c>
      <c r="B18" s="161" t="s">
        <v>178</v>
      </c>
      <c r="C18" s="162"/>
      <c r="D18" s="162"/>
      <c r="E18" s="162"/>
      <c r="F18" s="162"/>
      <c r="G18" s="162"/>
      <c r="H18" s="162"/>
      <c r="I18" s="162"/>
      <c r="J18" s="162"/>
      <c r="K18" s="162"/>
      <c r="L18" s="162"/>
      <c r="M18" s="162"/>
      <c r="N18" s="162"/>
      <c r="O18" s="162"/>
      <c r="P18" s="162"/>
      <c r="Q18" s="162"/>
      <c r="R18" s="162"/>
      <c r="S18" s="162"/>
      <c r="T18" s="162"/>
      <c r="U18" s="162"/>
      <c r="V18" s="162"/>
      <c r="W18" s="162"/>
      <c r="X18" s="162"/>
      <c r="Y18" s="163"/>
    </row>
    <row r="19" spans="1:25" ht="22.5" customHeight="1">
      <c r="A19" s="82" t="s">
        <v>88</v>
      </c>
      <c r="B19" s="161" t="s">
        <v>296</v>
      </c>
      <c r="C19" s="162"/>
      <c r="D19" s="162"/>
      <c r="E19" s="162"/>
      <c r="F19" s="162"/>
      <c r="G19" s="162"/>
      <c r="H19" s="162"/>
      <c r="I19" s="162"/>
      <c r="J19" s="162"/>
      <c r="K19" s="162"/>
      <c r="L19" s="162"/>
      <c r="M19" s="162"/>
      <c r="N19" s="162"/>
      <c r="O19" s="162"/>
      <c r="P19" s="162"/>
      <c r="Q19" s="162"/>
      <c r="R19" s="162"/>
      <c r="S19" s="162"/>
      <c r="T19" s="162"/>
      <c r="U19" s="162"/>
      <c r="V19" s="162"/>
      <c r="W19" s="162"/>
      <c r="X19" s="162"/>
      <c r="Y19" s="163"/>
    </row>
    <row r="20" spans="1:25" ht="22.5" customHeight="1">
      <c r="A20" s="82" t="s">
        <v>89</v>
      </c>
      <c r="B20" s="161" t="s">
        <v>297</v>
      </c>
      <c r="C20" s="162"/>
      <c r="D20" s="162"/>
      <c r="E20" s="162"/>
      <c r="F20" s="162"/>
      <c r="G20" s="162"/>
      <c r="H20" s="162"/>
      <c r="I20" s="162"/>
      <c r="J20" s="162"/>
      <c r="K20" s="162"/>
      <c r="L20" s="162"/>
      <c r="M20" s="162"/>
      <c r="N20" s="162"/>
      <c r="O20" s="162"/>
      <c r="P20" s="162"/>
      <c r="Q20" s="162"/>
      <c r="R20" s="162"/>
      <c r="S20" s="162"/>
      <c r="T20" s="162"/>
      <c r="U20" s="162"/>
      <c r="V20" s="162"/>
      <c r="W20" s="162"/>
      <c r="X20" s="162"/>
      <c r="Y20" s="163"/>
    </row>
    <row r="21" spans="1:25" ht="22.5" customHeight="1">
      <c r="A21" s="82" t="s">
        <v>90</v>
      </c>
      <c r="B21" s="161" t="s">
        <v>179</v>
      </c>
      <c r="C21" s="162"/>
      <c r="D21" s="162"/>
      <c r="E21" s="162"/>
      <c r="F21" s="162"/>
      <c r="G21" s="162"/>
      <c r="H21" s="162"/>
      <c r="I21" s="162"/>
      <c r="J21" s="162"/>
      <c r="K21" s="162"/>
      <c r="L21" s="162"/>
      <c r="M21" s="162"/>
      <c r="N21" s="162"/>
      <c r="O21" s="162"/>
      <c r="P21" s="162"/>
      <c r="Q21" s="162"/>
      <c r="R21" s="162"/>
      <c r="S21" s="162"/>
      <c r="T21" s="162"/>
      <c r="U21" s="162"/>
      <c r="V21" s="162"/>
      <c r="W21" s="162"/>
      <c r="X21" s="162"/>
      <c r="Y21" s="163"/>
    </row>
    <row r="22" spans="1:25" ht="22.5" customHeight="1">
      <c r="A22" s="82" t="s">
        <v>91</v>
      </c>
      <c r="B22" s="161" t="s">
        <v>298</v>
      </c>
      <c r="C22" s="162"/>
      <c r="D22" s="162"/>
      <c r="E22" s="162"/>
      <c r="F22" s="162"/>
      <c r="G22" s="162"/>
      <c r="H22" s="162"/>
      <c r="I22" s="162"/>
      <c r="J22" s="162"/>
      <c r="K22" s="162"/>
      <c r="L22" s="162"/>
      <c r="M22" s="162"/>
      <c r="N22" s="162"/>
      <c r="O22" s="162"/>
      <c r="P22" s="162"/>
      <c r="Q22" s="162"/>
      <c r="R22" s="162"/>
      <c r="S22" s="162"/>
      <c r="T22" s="162"/>
      <c r="U22" s="162"/>
      <c r="V22" s="162"/>
      <c r="W22" s="162"/>
      <c r="X22" s="162"/>
      <c r="Y22" s="163"/>
    </row>
    <row r="23" spans="1:25" ht="22.5" customHeight="1">
      <c r="A23" s="82" t="s">
        <v>92</v>
      </c>
      <c r="B23" s="161"/>
      <c r="C23" s="162"/>
      <c r="D23" s="162"/>
      <c r="E23" s="162"/>
      <c r="F23" s="162"/>
      <c r="G23" s="162"/>
      <c r="H23" s="162"/>
      <c r="I23" s="162"/>
      <c r="J23" s="162"/>
      <c r="K23" s="162"/>
      <c r="L23" s="162"/>
      <c r="M23" s="162"/>
      <c r="N23" s="162"/>
      <c r="O23" s="162"/>
      <c r="P23" s="162"/>
      <c r="Q23" s="162"/>
      <c r="R23" s="162"/>
      <c r="S23" s="162"/>
      <c r="T23" s="162"/>
      <c r="U23" s="162"/>
      <c r="V23" s="162"/>
      <c r="W23" s="162"/>
      <c r="X23" s="162"/>
      <c r="Y23" s="163"/>
    </row>
    <row r="24" spans="1:25" ht="22.5" customHeight="1">
      <c r="A24" s="82" t="s">
        <v>93</v>
      </c>
      <c r="B24" s="161"/>
      <c r="C24" s="162"/>
      <c r="D24" s="162"/>
      <c r="E24" s="162"/>
      <c r="F24" s="162"/>
      <c r="G24" s="162"/>
      <c r="H24" s="162"/>
      <c r="I24" s="162"/>
      <c r="J24" s="162"/>
      <c r="K24" s="162"/>
      <c r="L24" s="162"/>
      <c r="M24" s="162"/>
      <c r="N24" s="162"/>
      <c r="O24" s="162"/>
      <c r="P24" s="162"/>
      <c r="Q24" s="162"/>
      <c r="R24" s="162"/>
      <c r="S24" s="162"/>
      <c r="T24" s="162"/>
      <c r="U24" s="162"/>
      <c r="V24" s="162"/>
      <c r="W24" s="162"/>
      <c r="X24" s="162"/>
      <c r="Y24" s="163"/>
    </row>
    <row r="25" spans="1:25" ht="22.5" customHeight="1">
      <c r="A25" s="82" t="s">
        <v>94</v>
      </c>
      <c r="B25" s="161" t="s">
        <v>205</v>
      </c>
      <c r="C25" s="162"/>
      <c r="D25" s="162"/>
      <c r="E25" s="162"/>
      <c r="F25" s="162"/>
      <c r="G25" s="162"/>
      <c r="H25" s="162"/>
      <c r="I25" s="162"/>
      <c r="J25" s="162"/>
      <c r="K25" s="162"/>
      <c r="L25" s="162"/>
      <c r="M25" s="162"/>
      <c r="N25" s="162"/>
      <c r="O25" s="162"/>
      <c r="P25" s="162"/>
      <c r="Q25" s="162"/>
      <c r="R25" s="162"/>
      <c r="S25" s="162"/>
      <c r="T25" s="162"/>
      <c r="U25" s="162"/>
      <c r="V25" s="162"/>
      <c r="W25" s="162"/>
      <c r="X25" s="162"/>
      <c r="Y25" s="163"/>
    </row>
    <row r="26" spans="1:25" ht="22.5" customHeight="1">
      <c r="A26" s="82" t="s">
        <v>95</v>
      </c>
      <c r="B26" s="161" t="s">
        <v>180</v>
      </c>
      <c r="C26" s="162"/>
      <c r="D26" s="162"/>
      <c r="E26" s="162"/>
      <c r="F26" s="162"/>
      <c r="G26" s="162"/>
      <c r="H26" s="162"/>
      <c r="I26" s="162"/>
      <c r="J26" s="162"/>
      <c r="K26" s="162"/>
      <c r="L26" s="162"/>
      <c r="M26" s="162"/>
      <c r="N26" s="162"/>
      <c r="O26" s="162"/>
      <c r="P26" s="162"/>
      <c r="Q26" s="162"/>
      <c r="R26" s="162"/>
      <c r="S26" s="162"/>
      <c r="T26" s="162"/>
      <c r="U26" s="162"/>
      <c r="V26" s="162"/>
      <c r="W26" s="162"/>
      <c r="X26" s="162"/>
      <c r="Y26" s="163"/>
    </row>
    <row r="27" spans="1:25" ht="22.5" customHeight="1">
      <c r="A27" s="82" t="s">
        <v>96</v>
      </c>
      <c r="B27" s="161" t="s">
        <v>206</v>
      </c>
      <c r="C27" s="162"/>
      <c r="D27" s="162"/>
      <c r="E27" s="162"/>
      <c r="F27" s="162"/>
      <c r="G27" s="162"/>
      <c r="H27" s="162"/>
      <c r="I27" s="162"/>
      <c r="J27" s="162"/>
      <c r="K27" s="162"/>
      <c r="L27" s="162"/>
      <c r="M27" s="162"/>
      <c r="N27" s="162"/>
      <c r="O27" s="162"/>
      <c r="P27" s="162"/>
      <c r="Q27" s="162"/>
      <c r="R27" s="162"/>
      <c r="S27" s="162"/>
      <c r="T27" s="162"/>
      <c r="U27" s="162"/>
      <c r="V27" s="162"/>
      <c r="W27" s="162"/>
      <c r="X27" s="162"/>
      <c r="Y27" s="163"/>
    </row>
    <row r="28" spans="1:25" ht="22.5" customHeight="1">
      <c r="A28" s="82" t="s">
        <v>97</v>
      </c>
      <c r="B28" s="161"/>
      <c r="C28" s="162"/>
      <c r="D28" s="162"/>
      <c r="E28" s="162"/>
      <c r="F28" s="162"/>
      <c r="G28" s="162"/>
      <c r="H28" s="162"/>
      <c r="I28" s="162"/>
      <c r="J28" s="162"/>
      <c r="K28" s="162"/>
      <c r="L28" s="162"/>
      <c r="M28" s="162"/>
      <c r="N28" s="162"/>
      <c r="O28" s="162"/>
      <c r="P28" s="162"/>
      <c r="Q28" s="162"/>
      <c r="R28" s="162"/>
      <c r="S28" s="162"/>
      <c r="T28" s="162"/>
      <c r="U28" s="162"/>
      <c r="V28" s="162"/>
      <c r="W28" s="162"/>
      <c r="X28" s="162"/>
      <c r="Y28" s="163"/>
    </row>
    <row r="29" spans="1:25" ht="22.5" customHeight="1">
      <c r="A29" s="82" t="s">
        <v>98</v>
      </c>
      <c r="B29" s="161" t="s">
        <v>181</v>
      </c>
      <c r="C29" s="162"/>
      <c r="D29" s="162"/>
      <c r="E29" s="162"/>
      <c r="F29" s="162"/>
      <c r="G29" s="162"/>
      <c r="H29" s="162"/>
      <c r="I29" s="162"/>
      <c r="J29" s="162"/>
      <c r="K29" s="162"/>
      <c r="L29" s="162"/>
      <c r="M29" s="162"/>
      <c r="N29" s="162"/>
      <c r="O29" s="162"/>
      <c r="P29" s="162"/>
      <c r="Q29" s="162"/>
      <c r="R29" s="162"/>
      <c r="S29" s="162"/>
      <c r="T29" s="162"/>
      <c r="U29" s="162"/>
      <c r="V29" s="162"/>
      <c r="W29" s="162"/>
      <c r="X29" s="162"/>
      <c r="Y29" s="163"/>
    </row>
    <row r="30" spans="1:25" ht="22.5" customHeight="1">
      <c r="A30" s="82"/>
      <c r="B30" s="161"/>
      <c r="C30" s="162"/>
      <c r="D30" s="162"/>
      <c r="E30" s="162"/>
      <c r="F30" s="162"/>
      <c r="G30" s="162"/>
      <c r="H30" s="162"/>
      <c r="I30" s="162"/>
      <c r="J30" s="162"/>
      <c r="K30" s="162"/>
      <c r="L30" s="162"/>
      <c r="M30" s="162"/>
      <c r="N30" s="162"/>
      <c r="O30" s="162"/>
      <c r="P30" s="162"/>
      <c r="Q30" s="162"/>
      <c r="R30" s="162"/>
      <c r="S30" s="162"/>
      <c r="T30" s="162"/>
      <c r="U30" s="162"/>
      <c r="V30" s="162"/>
      <c r="W30" s="162"/>
      <c r="X30" s="162"/>
      <c r="Y30" s="163"/>
    </row>
    <row r="31" spans="1:25" ht="22.5" customHeight="1">
      <c r="A31" s="82"/>
      <c r="B31" s="161"/>
      <c r="C31" s="162"/>
      <c r="D31" s="162"/>
      <c r="E31" s="162"/>
      <c r="F31" s="162"/>
      <c r="G31" s="162"/>
      <c r="H31" s="162"/>
      <c r="I31" s="162"/>
      <c r="J31" s="162"/>
      <c r="K31" s="162"/>
      <c r="L31" s="162"/>
      <c r="M31" s="162"/>
      <c r="N31" s="162"/>
      <c r="O31" s="162"/>
      <c r="P31" s="162"/>
      <c r="Q31" s="162"/>
      <c r="R31" s="162"/>
      <c r="S31" s="162"/>
      <c r="T31" s="162"/>
      <c r="U31" s="162"/>
      <c r="V31" s="162"/>
      <c r="W31" s="162"/>
      <c r="X31" s="162"/>
      <c r="Y31" s="163"/>
    </row>
    <row r="32" spans="1:25" ht="17.25" customHeight="1"/>
    <row r="33" ht="17.25" customHeight="1"/>
    <row r="34" ht="17.25" customHeight="1"/>
    <row r="35" ht="17.25" customHeight="1"/>
    <row r="36" ht="17.25" customHeight="1"/>
    <row r="37" ht="17.25" customHeight="1"/>
    <row r="38" ht="17.25" customHeight="1"/>
    <row r="39" ht="17.25" customHeight="1"/>
    <row r="40" ht="17.25" customHeight="1"/>
    <row r="41" ht="17.25" customHeight="1"/>
    <row r="42" ht="17.25" customHeight="1"/>
    <row r="43" ht="17.25" customHeight="1"/>
    <row r="44" ht="17.25" customHeight="1"/>
    <row r="45" ht="17.25" customHeight="1"/>
    <row r="46" ht="17.25" customHeight="1"/>
    <row r="47" ht="17.25" customHeight="1"/>
    <row r="48" ht="17.25" customHeight="1"/>
    <row r="49" ht="17.25" customHeight="1"/>
    <row r="50" ht="17.25" customHeight="1"/>
    <row r="51" ht="17.25" customHeight="1"/>
    <row r="52" ht="17.25" customHeight="1"/>
    <row r="53" ht="17.25" customHeight="1"/>
    <row r="54" ht="17.25" customHeight="1"/>
    <row r="55" ht="17.25" customHeight="1"/>
    <row r="56" ht="17.25" customHeight="1"/>
    <row r="57" ht="17.25" customHeight="1"/>
    <row r="58" ht="17.25" customHeight="1"/>
    <row r="59" ht="17.25" customHeight="1"/>
    <row r="60" ht="17.25" customHeight="1"/>
    <row r="61" ht="17.25" customHeight="1"/>
    <row r="62" ht="17.25" customHeight="1"/>
    <row r="63" ht="17.25" customHeight="1"/>
    <row r="64" ht="17.25" customHeight="1"/>
    <row r="65" ht="17.25" customHeight="1"/>
    <row r="66" ht="17.25" customHeight="1"/>
    <row r="67" ht="17.25" customHeight="1"/>
    <row r="68" ht="17.25" customHeight="1"/>
    <row r="69" ht="17.25" customHeight="1"/>
    <row r="70" ht="17.25" customHeight="1"/>
    <row r="71" ht="17.25" customHeight="1"/>
    <row r="72" ht="17.25" customHeight="1"/>
    <row r="73" ht="17.25" customHeight="1"/>
    <row r="74" ht="17.25" customHeight="1"/>
    <row r="75" ht="17.25" customHeight="1"/>
    <row r="76" ht="17.25" customHeight="1"/>
    <row r="77" ht="17.25" customHeight="1"/>
    <row r="78" ht="17.25" customHeight="1"/>
    <row r="79" ht="17.25" customHeight="1"/>
    <row r="80" ht="17.25" customHeight="1"/>
    <row r="81" ht="17.25" customHeight="1"/>
    <row r="82" ht="17.25" customHeight="1"/>
    <row r="83" ht="17.25" customHeight="1"/>
    <row r="84" ht="17.25" customHeight="1"/>
    <row r="85" ht="17.25" customHeight="1"/>
    <row r="86" ht="17.25" customHeight="1"/>
    <row r="87" ht="17.25" customHeight="1"/>
    <row r="88" ht="17.25" customHeight="1"/>
    <row r="89" ht="17.25" customHeight="1"/>
    <row r="90" ht="17.25" customHeight="1"/>
    <row r="91" ht="17.25" customHeight="1"/>
    <row r="92" ht="17.25" customHeight="1"/>
    <row r="93" ht="17.25" customHeight="1"/>
    <row r="94" ht="17.25" customHeight="1"/>
    <row r="95" ht="17.25" customHeight="1"/>
    <row r="96" ht="17.25" customHeight="1"/>
    <row r="97" ht="17.25" customHeight="1"/>
    <row r="98" ht="17.25" customHeight="1"/>
    <row r="99" ht="17.25" customHeight="1"/>
    <row r="100" ht="17.25" customHeight="1"/>
    <row r="101" ht="17.25" customHeight="1"/>
    <row r="102" ht="17.25" customHeight="1"/>
    <row r="103" ht="17.25" customHeight="1"/>
    <row r="104" ht="17.25" customHeight="1"/>
    <row r="105" ht="17.25" customHeight="1"/>
    <row r="106" ht="17.25" customHeight="1"/>
    <row r="107" ht="17.25" customHeight="1"/>
    <row r="108" ht="17.25" customHeight="1"/>
    <row r="109" ht="17.25" customHeight="1"/>
    <row r="110" ht="17.25" customHeight="1"/>
    <row r="111" ht="17.25" customHeight="1"/>
    <row r="112" ht="17.25" customHeight="1"/>
    <row r="113" ht="17.25" customHeight="1"/>
    <row r="114" ht="17.25" customHeight="1"/>
    <row r="115" ht="17.25" customHeight="1"/>
    <row r="116" ht="17.25" customHeight="1"/>
    <row r="117" ht="17.25" customHeight="1"/>
    <row r="118" ht="17.25" customHeight="1"/>
    <row r="119" ht="17.25" customHeight="1"/>
    <row r="120" ht="17.25" customHeight="1"/>
    <row r="121" ht="17.25" customHeight="1"/>
    <row r="122" ht="17.25" customHeight="1"/>
    <row r="123" ht="17.25" customHeight="1"/>
    <row r="124" ht="17.25" customHeight="1"/>
    <row r="125" ht="17.25" customHeight="1"/>
    <row r="126" ht="17.25" customHeight="1"/>
    <row r="127" ht="17.25" customHeight="1"/>
    <row r="128" ht="17.25" customHeight="1"/>
    <row r="129" ht="17.25" customHeight="1"/>
    <row r="130" ht="17.25" customHeight="1"/>
    <row r="131" ht="17.25" customHeight="1"/>
    <row r="132" ht="17.25" customHeight="1"/>
    <row r="133" ht="17.25" customHeight="1"/>
    <row r="134" ht="17.25" customHeight="1"/>
    <row r="135" ht="17.25" customHeight="1"/>
    <row r="136" ht="17.25" customHeight="1"/>
    <row r="137" ht="17.25" customHeight="1"/>
    <row r="138" ht="17.25" customHeight="1"/>
    <row r="139" ht="17.25" customHeight="1"/>
    <row r="140" ht="17.25" customHeight="1"/>
    <row r="141" ht="17.25" customHeight="1"/>
    <row r="142" ht="17.25" customHeight="1"/>
    <row r="143" ht="17.25" customHeight="1"/>
    <row r="144" ht="17.25" customHeight="1"/>
    <row r="145" ht="17.25" customHeight="1"/>
    <row r="146" ht="17.25" customHeight="1"/>
    <row r="147" ht="17.25" customHeight="1"/>
    <row r="148" ht="17.25" customHeight="1"/>
    <row r="149" ht="17.25" customHeight="1"/>
    <row r="150" ht="17.25" customHeight="1"/>
    <row r="151" ht="17.25" customHeight="1"/>
    <row r="152" ht="17.25" customHeight="1"/>
    <row r="153" ht="17.25" customHeight="1"/>
    <row r="154" ht="17.25" customHeight="1"/>
    <row r="155" ht="17.25" customHeight="1"/>
    <row r="156" ht="17.25" customHeight="1"/>
  </sheetData>
  <mergeCells count="31">
    <mergeCell ref="B30:Y30"/>
    <mergeCell ref="B31:Y31"/>
    <mergeCell ref="B22:Y22"/>
    <mergeCell ref="B23:Y23"/>
    <mergeCell ref="B24:Y24"/>
    <mergeCell ref="B25:Y25"/>
    <mergeCell ref="B26:Y26"/>
    <mergeCell ref="B27:Y27"/>
    <mergeCell ref="B28:Y28"/>
    <mergeCell ref="B29:Y29"/>
    <mergeCell ref="B17:Y17"/>
    <mergeCell ref="B18:Y18"/>
    <mergeCell ref="B19:Y19"/>
    <mergeCell ref="B20:Y20"/>
    <mergeCell ref="B21:Y21"/>
    <mergeCell ref="B13:Y13"/>
    <mergeCell ref="B14:Y14"/>
    <mergeCell ref="B15:Y15"/>
    <mergeCell ref="B16:Y16"/>
    <mergeCell ref="A1:C1"/>
    <mergeCell ref="A2:C2"/>
    <mergeCell ref="A3:C3"/>
    <mergeCell ref="A4:C4"/>
    <mergeCell ref="A5:C5"/>
    <mergeCell ref="A6:C6"/>
    <mergeCell ref="A7:C7"/>
    <mergeCell ref="A8:C8"/>
    <mergeCell ref="A9:Y9"/>
    <mergeCell ref="B10:Y10"/>
    <mergeCell ref="B11:Y11"/>
    <mergeCell ref="B12:Y12"/>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6</vt:i4>
      </vt:variant>
    </vt:vector>
  </HeadingPairs>
  <TitlesOfParts>
    <vt:vector size="19" baseType="lpstr">
      <vt:lpstr>通知票</vt:lpstr>
      <vt:lpstr>所見集</vt:lpstr>
      <vt:lpstr>国語</vt:lpstr>
      <vt:lpstr>算数</vt:lpstr>
      <vt:lpstr>理科</vt:lpstr>
      <vt:lpstr>社会</vt:lpstr>
      <vt:lpstr>英語</vt:lpstr>
      <vt:lpstr>音楽</vt:lpstr>
      <vt:lpstr>図工</vt:lpstr>
      <vt:lpstr>体育</vt:lpstr>
      <vt:lpstr>道徳</vt:lpstr>
      <vt:lpstr>所見</vt:lpstr>
      <vt:lpstr>出欠</vt:lpstr>
      <vt:lpstr>所見集!Print_Area</vt:lpstr>
      <vt:lpstr>通知票!Print_Area</vt:lpstr>
      <vt:lpstr>至</vt:lpstr>
      <vt:lpstr>自</vt:lpstr>
      <vt:lpstr>番号</vt:lpstr>
      <vt:lpstr>番号2</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saikyo-gakuen</dc:creator>
  <cp:lastModifiedBy>巣山 孝弘</cp:lastModifiedBy>
  <cp:lastPrinted>2024-07-22T03:24:45Z</cp:lastPrinted>
  <dcterms:created xsi:type="dcterms:W3CDTF">2005-07-21T09:07:06Z</dcterms:created>
  <dcterms:modified xsi:type="dcterms:W3CDTF">2024-07-22T03:24:48Z</dcterms:modified>
</cp:coreProperties>
</file>