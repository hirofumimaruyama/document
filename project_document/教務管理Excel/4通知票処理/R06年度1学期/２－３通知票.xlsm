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240" yWindow="60" windowWidth="14940" windowHeight="8550" tabRatio="783"/>
  </bookViews>
  <sheets>
    <sheet name="通知票" sheetId="1" r:id="rId1"/>
    <sheet name="所見集" sheetId="46" r:id="rId2"/>
    <sheet name="国語" sheetId="36" r:id="rId3"/>
    <sheet name="算数" sheetId="37" r:id="rId4"/>
    <sheet name="生活" sheetId="38" r:id="rId5"/>
    <sheet name="英語" sheetId="39" r:id="rId6"/>
    <sheet name="音楽" sheetId="40" r:id="rId7"/>
    <sheet name="図工" sheetId="41" r:id="rId8"/>
    <sheet name="体育" sheetId="42" r:id="rId9"/>
    <sheet name="道徳" sheetId="43" r:id="rId10"/>
    <sheet name="所見" sheetId="44" r:id="rId11"/>
    <sheet name="出欠" sheetId="45" r:id="rId12"/>
  </sheets>
  <definedNames>
    <definedName name="_xlnm.Print_Area" localSheetId="1">所見集!$A$1:$C$14</definedName>
    <definedName name="_xlnm.Print_Area" localSheetId="0">通知票!$A$1:$I$91</definedName>
    <definedName name="至">通知票!$L$9</definedName>
    <definedName name="自">通知票!$K$9</definedName>
    <definedName name="番号">通知票!$B$2</definedName>
    <definedName name="番号2">所見集!$B$2</definedName>
  </definedNames>
  <calcPr calcId="152511"/>
</workbook>
</file>

<file path=xl/calcChain.xml><?xml version="1.0" encoding="utf-8"?>
<calcChain xmlns="http://schemas.openxmlformats.org/spreadsheetml/2006/main">
  <c r="T5" i="45" l="1"/>
  <c r="S5" i="45"/>
  <c r="R5" i="45"/>
  <c r="Q5" i="45"/>
  <c r="L5" i="45"/>
  <c r="K5" i="45"/>
  <c r="J5" i="45"/>
  <c r="I5" i="45"/>
  <c r="D5" i="45"/>
  <c r="W4" i="45"/>
  <c r="W5" i="45" s="1"/>
  <c r="V4" i="45"/>
  <c r="V5" i="45" s="1"/>
  <c r="U4" i="45"/>
  <c r="U5" i="45" s="1"/>
  <c r="T4" i="45"/>
  <c r="S4" i="45"/>
  <c r="R4" i="45"/>
  <c r="Q4" i="45"/>
  <c r="P4" i="45"/>
  <c r="P5" i="45" s="1"/>
  <c r="O4" i="45"/>
  <c r="O5" i="45" s="1"/>
  <c r="N4" i="45"/>
  <c r="N5" i="45" s="1"/>
  <c r="M4" i="45"/>
  <c r="M5" i="45" s="1"/>
  <c r="L4" i="45"/>
  <c r="K4" i="45"/>
  <c r="J4" i="45"/>
  <c r="I4" i="45"/>
  <c r="H4" i="45"/>
  <c r="H5" i="45" s="1"/>
  <c r="G4" i="45"/>
  <c r="G5" i="45" s="1"/>
  <c r="F4" i="45"/>
  <c r="F5" i="45" s="1"/>
  <c r="E4" i="45"/>
  <c r="E5" i="45" s="1"/>
  <c r="D4" i="45"/>
  <c r="W1" i="45"/>
  <c r="V1" i="45"/>
  <c r="U1" i="45"/>
  <c r="T1" i="45"/>
  <c r="S1" i="45"/>
  <c r="R1" i="45"/>
  <c r="Q1" i="45"/>
  <c r="P1" i="45"/>
  <c r="O1" i="45"/>
  <c r="N1" i="45"/>
  <c r="M1" i="45"/>
  <c r="L1" i="45"/>
  <c r="K1" i="45"/>
  <c r="J1" i="45"/>
  <c r="I1" i="45"/>
  <c r="H1" i="45"/>
  <c r="G1" i="45"/>
  <c r="F1" i="45"/>
  <c r="E1" i="45"/>
  <c r="D1" i="45"/>
  <c r="A1" i="45"/>
  <c r="X53" i="44" l="1"/>
  <c r="A53" i="44"/>
  <c r="X52" i="44"/>
  <c r="A52" i="44"/>
  <c r="X51" i="44"/>
  <c r="A51" i="44"/>
  <c r="X50" i="44"/>
  <c r="A50" i="44"/>
  <c r="X49" i="44"/>
  <c r="A49" i="44"/>
  <c r="X48" i="44"/>
  <c r="A48" i="44"/>
  <c r="X47" i="44"/>
  <c r="A47" i="44"/>
  <c r="X46" i="44"/>
  <c r="A46" i="44"/>
  <c r="X45" i="44"/>
  <c r="A45" i="44"/>
  <c r="X44" i="44"/>
  <c r="A44" i="44"/>
  <c r="X43" i="44"/>
  <c r="A43" i="44"/>
  <c r="X42" i="44"/>
  <c r="A42" i="44"/>
  <c r="X41" i="44"/>
  <c r="A41" i="44"/>
  <c r="X40" i="44"/>
  <c r="A40" i="44"/>
  <c r="X39" i="44"/>
  <c r="A39" i="44"/>
  <c r="X38" i="44"/>
  <c r="A38" i="44"/>
  <c r="X37" i="44"/>
  <c r="A37" i="44"/>
  <c r="X36" i="44"/>
  <c r="A36" i="44"/>
  <c r="X35" i="44"/>
  <c r="A35" i="44"/>
  <c r="X34" i="44"/>
  <c r="A34" i="44"/>
  <c r="W1" i="44"/>
  <c r="V1" i="44"/>
  <c r="U1" i="44"/>
  <c r="T1" i="44"/>
  <c r="S1" i="44"/>
  <c r="R1" i="44"/>
  <c r="Q1" i="44"/>
  <c r="P1" i="44"/>
  <c r="O1" i="44"/>
  <c r="N1" i="44"/>
  <c r="M1" i="44"/>
  <c r="L1" i="44"/>
  <c r="K1" i="44"/>
  <c r="J1" i="44"/>
  <c r="I1" i="44"/>
  <c r="H1" i="44"/>
  <c r="G1" i="44"/>
  <c r="F1" i="44"/>
  <c r="E1" i="44"/>
  <c r="D1" i="44"/>
  <c r="A1" i="44"/>
  <c r="C22" i="43" l="1"/>
  <c r="C21" i="43"/>
  <c r="C20" i="43"/>
  <c r="C19" i="43"/>
  <c r="C18" i="43"/>
  <c r="C17" i="43"/>
  <c r="C16" i="43"/>
  <c r="C15" i="43"/>
  <c r="C14" i="43"/>
  <c r="C13" i="43"/>
  <c r="C12" i="43"/>
  <c r="C11" i="43"/>
  <c r="C10" i="43"/>
  <c r="C9" i="43"/>
  <c r="C8" i="43"/>
  <c r="C7" i="43"/>
  <c r="C6" i="43"/>
  <c r="C5" i="43"/>
  <c r="C4" i="43"/>
  <c r="C3" i="43"/>
  <c r="B1" i="43"/>
  <c r="A1" i="43"/>
  <c r="W1" i="42" l="1"/>
  <c r="V1" i="42"/>
  <c r="U1" i="42"/>
  <c r="T1" i="42"/>
  <c r="S1" i="42"/>
  <c r="R1" i="42"/>
  <c r="Q1" i="42"/>
  <c r="P1" i="42"/>
  <c r="O1" i="42"/>
  <c r="N1" i="42"/>
  <c r="M1" i="42"/>
  <c r="L1" i="42"/>
  <c r="K1" i="42"/>
  <c r="J1" i="42"/>
  <c r="I1" i="42"/>
  <c r="H1" i="42"/>
  <c r="G1" i="42"/>
  <c r="F1" i="42"/>
  <c r="E1" i="42"/>
  <c r="D1" i="42"/>
  <c r="B1" i="42"/>
  <c r="A1" i="42"/>
  <c r="W1" i="41" l="1"/>
  <c r="V1" i="41"/>
  <c r="U1" i="41"/>
  <c r="T1" i="41"/>
  <c r="S1" i="41"/>
  <c r="R1" i="41"/>
  <c r="Q1" i="41"/>
  <c r="P1" i="41"/>
  <c r="O1" i="41"/>
  <c r="N1" i="41"/>
  <c r="M1" i="41"/>
  <c r="L1" i="41"/>
  <c r="K1" i="41"/>
  <c r="J1" i="41"/>
  <c r="I1" i="41"/>
  <c r="H1" i="41"/>
  <c r="G1" i="41"/>
  <c r="F1" i="41"/>
  <c r="E1" i="41"/>
  <c r="D1" i="41"/>
  <c r="B1" i="41"/>
  <c r="A1" i="41"/>
  <c r="W1" i="40" l="1"/>
  <c r="V1" i="40"/>
  <c r="U1" i="40"/>
  <c r="T1" i="40"/>
  <c r="S1" i="40"/>
  <c r="R1" i="40"/>
  <c r="Q1" i="40"/>
  <c r="P1" i="40"/>
  <c r="O1" i="40"/>
  <c r="N1" i="40"/>
  <c r="M1" i="40"/>
  <c r="L1" i="40"/>
  <c r="K1" i="40"/>
  <c r="J1" i="40"/>
  <c r="I1" i="40"/>
  <c r="H1" i="40"/>
  <c r="G1" i="40"/>
  <c r="F1" i="40"/>
  <c r="E1" i="40"/>
  <c r="D1" i="40"/>
  <c r="B1" i="40"/>
  <c r="A1" i="40"/>
  <c r="W1" i="39" l="1"/>
  <c r="V1" i="39"/>
  <c r="U1" i="39"/>
  <c r="T1" i="39"/>
  <c r="S1" i="39"/>
  <c r="R1" i="39"/>
  <c r="Q1" i="39"/>
  <c r="P1" i="39"/>
  <c r="O1" i="39"/>
  <c r="N1" i="39"/>
  <c r="M1" i="39"/>
  <c r="L1" i="39"/>
  <c r="K1" i="39"/>
  <c r="J1" i="39"/>
  <c r="I1" i="39"/>
  <c r="H1" i="39"/>
  <c r="G1" i="39"/>
  <c r="F1" i="39"/>
  <c r="E1" i="39"/>
  <c r="D1" i="39"/>
  <c r="B1" i="39"/>
  <c r="A1" i="39"/>
  <c r="W1" i="38" l="1"/>
  <c r="V1" i="38"/>
  <c r="U1" i="38"/>
  <c r="T1" i="38"/>
  <c r="S1" i="38"/>
  <c r="R1" i="38"/>
  <c r="Q1" i="38"/>
  <c r="P1" i="38"/>
  <c r="O1" i="38"/>
  <c r="N1" i="38"/>
  <c r="M1" i="38"/>
  <c r="L1" i="38"/>
  <c r="K1" i="38"/>
  <c r="J1" i="38"/>
  <c r="I1" i="38"/>
  <c r="H1" i="38"/>
  <c r="G1" i="38"/>
  <c r="F1" i="38"/>
  <c r="E1" i="38"/>
  <c r="D1" i="38"/>
  <c r="B1" i="38"/>
  <c r="A1" i="38"/>
  <c r="W1" i="37" l="1"/>
  <c r="V1" i="37"/>
  <c r="U1" i="37"/>
  <c r="T1" i="37"/>
  <c r="S1" i="37"/>
  <c r="R1" i="37"/>
  <c r="Q1" i="37"/>
  <c r="P1" i="37"/>
  <c r="O1" i="37"/>
  <c r="N1" i="37"/>
  <c r="M1" i="37"/>
  <c r="L1" i="37"/>
  <c r="K1" i="37"/>
  <c r="J1" i="37"/>
  <c r="I1" i="37"/>
  <c r="H1" i="37"/>
  <c r="G1" i="37"/>
  <c r="F1" i="37"/>
  <c r="E1" i="37"/>
  <c r="D1" i="37"/>
  <c r="B1" i="37"/>
  <c r="A1" i="37"/>
  <c r="W1" i="36" l="1"/>
  <c r="V1" i="36"/>
  <c r="U1" i="36"/>
  <c r="T1" i="36"/>
  <c r="S1" i="36"/>
  <c r="R1" i="36"/>
  <c r="Q1" i="36"/>
  <c r="P1" i="36"/>
  <c r="O1" i="36"/>
  <c r="N1" i="36"/>
  <c r="M1" i="36"/>
  <c r="L1" i="36"/>
  <c r="K1" i="36"/>
  <c r="J1" i="36"/>
  <c r="I1" i="36"/>
  <c r="H1" i="36"/>
  <c r="G1" i="36"/>
  <c r="F1" i="36"/>
  <c r="E1" i="36"/>
  <c r="D1" i="36"/>
  <c r="B1" i="36"/>
  <c r="A1" i="36"/>
  <c r="L85" i="1" l="1"/>
  <c r="L19" i="1"/>
  <c r="A1" i="1" l="1"/>
  <c r="P10" i="1"/>
  <c r="P19" i="1"/>
  <c r="P7" i="1"/>
  <c r="P27" i="1"/>
  <c r="P13" i="1"/>
  <c r="P15" i="1"/>
  <c r="P26" i="1"/>
  <c r="B91" i="1"/>
  <c r="P23" i="1"/>
  <c r="G2" i="1"/>
  <c r="P29" i="1"/>
  <c r="P24" i="1"/>
  <c r="P14" i="1"/>
  <c r="P28" i="1"/>
  <c r="P25" i="1"/>
  <c r="P17" i="1"/>
  <c r="P18" i="1"/>
  <c r="P30" i="1"/>
  <c r="P6" i="1"/>
  <c r="P9" i="1"/>
  <c r="P22" i="1"/>
  <c r="P20" i="1"/>
  <c r="C14" i="46"/>
  <c r="P16" i="1"/>
  <c r="P11" i="1"/>
  <c r="P8" i="1"/>
  <c r="P12" i="1"/>
  <c r="P21" i="1"/>
  <c r="B6" i="46" l="1"/>
  <c r="C6" i="46"/>
  <c r="C1" i="1" l="1"/>
  <c r="B11" i="46" l="1"/>
  <c r="B10" i="46"/>
  <c r="B9" i="46"/>
  <c r="B8" i="46"/>
  <c r="B7" i="46"/>
  <c r="B5" i="46"/>
  <c r="A1" i="46"/>
  <c r="B12" i="46"/>
  <c r="C8" i="46"/>
  <c r="C5" i="46"/>
  <c r="C9" i="46"/>
  <c r="C11" i="46"/>
  <c r="C10" i="46"/>
  <c r="C7" i="46"/>
  <c r="C2" i="46"/>
  <c r="C1" i="46" l="1"/>
  <c r="G74" i="1" l="1"/>
  <c r="G73" i="1"/>
  <c r="G72" i="1"/>
  <c r="G71" i="1"/>
  <c r="G70" i="1"/>
  <c r="G69" i="1"/>
  <c r="G68" i="1"/>
  <c r="G67" i="1"/>
  <c r="G66" i="1"/>
  <c r="H65" i="1"/>
  <c r="G65" i="1"/>
  <c r="G64" i="1"/>
  <c r="G63" i="1"/>
  <c r="G62" i="1"/>
  <c r="G61" i="1"/>
  <c r="G60" i="1"/>
  <c r="G59" i="1"/>
  <c r="G58" i="1"/>
  <c r="G57" i="1"/>
  <c r="G56" i="1"/>
  <c r="H55" i="1"/>
  <c r="G55" i="1"/>
  <c r="G52" i="1"/>
  <c r="G51" i="1"/>
  <c r="G50" i="1"/>
  <c r="G49" i="1"/>
  <c r="G48" i="1"/>
  <c r="G47" i="1"/>
  <c r="G46" i="1"/>
  <c r="G45" i="1"/>
  <c r="G44" i="1"/>
  <c r="H43" i="1"/>
  <c r="G43" i="1"/>
  <c r="G42" i="1"/>
  <c r="G41" i="1"/>
  <c r="G40" i="1"/>
  <c r="G39" i="1"/>
  <c r="G38" i="1"/>
  <c r="G37" i="1"/>
  <c r="G36" i="1"/>
  <c r="G35" i="1"/>
  <c r="H34" i="1"/>
  <c r="G34" i="1"/>
  <c r="G33" i="1"/>
  <c r="G32" i="1"/>
  <c r="G31" i="1"/>
  <c r="G30" i="1"/>
  <c r="G29" i="1"/>
  <c r="G28" i="1"/>
  <c r="G27" i="1"/>
  <c r="H26" i="1"/>
  <c r="G26" i="1"/>
  <c r="G25" i="1"/>
  <c r="G24" i="1"/>
  <c r="G23" i="1"/>
  <c r="G22" i="1"/>
  <c r="G21" i="1"/>
  <c r="G20" i="1"/>
  <c r="G19" i="1"/>
  <c r="G18" i="1"/>
  <c r="G17" i="1"/>
  <c r="H16" i="1"/>
  <c r="G16" i="1"/>
  <c r="I84" i="1"/>
  <c r="I83" i="1"/>
  <c r="I82" i="1"/>
  <c r="I81" i="1"/>
  <c r="I80" i="1"/>
  <c r="I79" i="1"/>
  <c r="I78" i="1"/>
  <c r="D87" i="1"/>
  <c r="D86" i="1"/>
  <c r="D85" i="1"/>
  <c r="D84" i="1"/>
  <c r="D83" i="1"/>
  <c r="D82" i="1"/>
  <c r="D81" i="1"/>
  <c r="D80" i="1"/>
  <c r="D79" i="1"/>
  <c r="D78" i="1"/>
  <c r="H6" i="1"/>
  <c r="G15" i="1"/>
  <c r="G14" i="1"/>
  <c r="G13" i="1"/>
  <c r="G12" i="1"/>
  <c r="G11" i="1"/>
  <c r="G10" i="1"/>
  <c r="G9" i="1"/>
  <c r="G8" i="1"/>
  <c r="G7" i="1"/>
  <c r="G6" i="1"/>
  <c r="C89" i="1"/>
  <c r="B75" i="1"/>
  <c r="F85" i="1"/>
  <c r="A87" i="1" l="1"/>
  <c r="A86" i="1"/>
  <c r="A85" i="1"/>
  <c r="A84" i="1"/>
  <c r="A83" i="1"/>
  <c r="A82" i="1"/>
  <c r="A81" i="1"/>
  <c r="A80" i="1"/>
  <c r="A79" i="1"/>
  <c r="A78" i="1"/>
  <c r="B74" i="1"/>
  <c r="B73" i="1"/>
  <c r="B72" i="1"/>
  <c r="B71" i="1"/>
  <c r="B70" i="1"/>
  <c r="B69" i="1"/>
  <c r="B68" i="1"/>
  <c r="B67" i="1"/>
  <c r="B66" i="1"/>
  <c r="B65" i="1"/>
  <c r="B64" i="1"/>
  <c r="B63" i="1"/>
  <c r="B62" i="1"/>
  <c r="B61" i="1"/>
  <c r="B60" i="1"/>
  <c r="B59" i="1"/>
  <c r="B58" i="1"/>
  <c r="B57" i="1"/>
  <c r="B56" i="1"/>
  <c r="B55"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alcChain>
</file>

<file path=xl/sharedStrings.xml><?xml version="1.0" encoding="utf-8"?>
<sst xmlns="http://schemas.openxmlformats.org/spreadsheetml/2006/main" count="1158" uniqueCount="220">
  <si>
    <t>生活</t>
    <phoneticPr fontId="1"/>
  </si>
  <si>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</si>
  <si>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</si>
  <si>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</si>
  <si>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</si>
  <si>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</si>
  <si>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</si>
  <si>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</si>
  <si>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</si>
  <si>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</si>
  <si>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</si>
  <si>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</si>
  <si>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</si>
  <si>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</si>
  <si>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</si>
  <si>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</si>
  <si>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</si>
  <si>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</si>
  <si>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</si>
  <si>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</si>
  <si>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</si>
  <si>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</si>
  <si>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</si>
  <si>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</si>
  <si>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</si>
  <si>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</si>
  <si>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</si>
  <si>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A～C</t>
  </si>
  <si>
    <t>１～５</t>
  </si>
  <si>
    <t>氏名</t>
  </si>
  <si>
    <t>今学期の様子（教科担任から学級担任へ）</t>
  </si>
  <si>
    <t>文字数</t>
    <rPh sb="0" eb="3">
      <t>もじすう</t>
    </rPh>
    <phoneticPr fontId="10"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</si>
  <si>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</si>
  <si>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</si>
  <si>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</si>
  <si>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</si>
  <si>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</si>
  <si>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</si>
  <si>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</si>
  <si>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</si>
  <si>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</si>
  <si>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</si>
  <si>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</si>
  <si>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</si>
  <si>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</si>
  <si>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</si>
  <si>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生活</t>
    <phoneticPr fontId="1"/>
  </si>
  <si>
    <t>英語学習に楽しみを感じ、意欲的に学習に励むことができる</t>
  </si>
  <si>
    <t>単語の発音を予想して読むことができる</t>
  </si>
  <si>
    <t>単語の音を聞いて、つづりを予想して書くことができる</t>
  </si>
  <si>
    <t>大きな声ではっきりと自分からあいさつや返事をすることができる</t>
  </si>
  <si>
    <t>必要な持ち物を準備でき、きれいに整理整頓をすることができる</t>
  </si>
  <si>
    <t>心身の健康に気をつけ、進んで運動をし、元気に生活することができる</t>
  </si>
  <si>
    <t>自然に親しみ、生きているものに優しく接することができる</t>
  </si>
  <si>
    <t>手伝いや仕事を進んで行うことができる</t>
  </si>
  <si>
    <t>黒板係</t>
    <rPh sb="0" eb="2">
      <t>こくばん</t>
    </rPh>
    <rPh sb="2" eb="3">
      <t>かかり</t>
    </rPh>
    <phoneticPr fontId="10" type="Hiragana" alignment="distributed"/>
  </si>
  <si>
    <t>配り係</t>
    <rPh sb="0" eb="1">
      <t>くば</t>
    </rPh>
    <rPh sb="2" eb="3">
      <t>かかり</t>
    </rPh>
    <phoneticPr fontId="10" type="Hiragana" alignment="distributed"/>
  </si>
  <si>
    <r>
      <t xml:space="preserve">学年
</t>
    </r>
    <r>
      <rPr>
        <sz val="9"/>
        <rFont val="ＭＳ Ｐ明朝"/>
        <family val="1"/>
        <charset val="128"/>
      </rPr>
      <t>(3学期)</t>
    </r>
    <rPh sb="5" eb="7">
      <t>ガッキ</t>
    </rPh>
    <phoneticPr fontId="1"/>
  </si>
  <si>
    <t>簡単な事柄を整理して、表やグラフに表したり、読んだりすることができる</t>
  </si>
  <si>
    <t>２けたの数のたし算を、筆算を使って計算することができる</t>
  </si>
  <si>
    <t>２けたの数のひき算を、筆算を使って計算することができる</t>
  </si>
  <si>
    <t>身の回りにあるもの（名詞）、日常生活の動作（動詞）、人や物を説明する言葉（形容詞）を習得することができる</t>
  </si>
  <si>
    <t>算数に関心を持ち、進んで学習に取り組むことができる</t>
  </si>
  <si>
    <t>１０００までの数の読み方、書き方やしくみ、大小などを理解し、何十や何百のたし算・ひき算ができる</t>
  </si>
  <si>
    <t>国語に関心を持ち、進んで読んだり、書いたりすることができる</t>
  </si>
  <si>
    <t>語のまとまりや言葉の響きなどに気をつけて音読や発表をすることができる</t>
  </si>
  <si>
    <t>大事なことを落とさないように聞いたり話したりすることができる</t>
  </si>
  <si>
    <t>物語文を読んで、場面の様子を想像したり、内容を読み取ったりすることができる</t>
  </si>
  <si>
    <t>説明文の内容を、順を追って整理したり、理解したりすることができる</t>
  </si>
  <si>
    <t>学習した漢字を読んだり書いたりすることができる</t>
  </si>
  <si>
    <t>B</t>
    <phoneticPr fontId="1"/>
  </si>
  <si>
    <t>進んで学習に取り組むことができる</t>
    <rPh sb="0" eb="1">
      <t>スス</t>
    </rPh>
    <rPh sb="3" eb="5">
      <t>ガクシュウ</t>
    </rPh>
    <rPh sb="6" eb="7">
      <t>ト</t>
    </rPh>
    <rPh sb="8" eb="9">
      <t>ク</t>
    </rPh>
    <phoneticPr fontId="1"/>
  </si>
  <si>
    <t>野菜を育て、観察することを通して、その成長に気づくことができる</t>
    <rPh sb="0" eb="2">
      <t>ヤサイ</t>
    </rPh>
    <rPh sb="3" eb="4">
      <t>ソダ</t>
    </rPh>
    <rPh sb="6" eb="8">
      <t>カンサツ</t>
    </rPh>
    <rPh sb="13" eb="14">
      <t>トオ</t>
    </rPh>
    <rPh sb="19" eb="21">
      <t>セイチョウ</t>
    </rPh>
    <rPh sb="22" eb="23">
      <t>キ</t>
    </rPh>
    <phoneticPr fontId="1"/>
  </si>
  <si>
    <t>身近な材料で作るものについてイメージを広げ、作りたいものを考えることができる</t>
    <rPh sb="0" eb="2">
      <t>ミヂカ</t>
    </rPh>
    <rPh sb="3" eb="5">
      <t>ザイリョウ</t>
    </rPh>
    <rPh sb="6" eb="7">
      <t>ツク</t>
    </rPh>
    <rPh sb="19" eb="20">
      <t>ヒロ</t>
    </rPh>
    <rPh sb="22" eb="23">
      <t>ツク</t>
    </rPh>
    <rPh sb="29" eb="30">
      <t>カンガ</t>
    </rPh>
    <phoneticPr fontId="1"/>
  </si>
  <si>
    <t>体育係</t>
    <rPh sb="0" eb="2">
      <t>たいいく</t>
    </rPh>
    <rPh sb="2" eb="3">
      <t>かかり</t>
    </rPh>
    <phoneticPr fontId="10" type="Hiragana" alignment="distributed"/>
  </si>
  <si>
    <t>時刻係</t>
    <rPh sb="0" eb="2">
      <t>じこく</t>
    </rPh>
    <rPh sb="2" eb="3">
      <t>かかり</t>
    </rPh>
    <phoneticPr fontId="10" type="Hiragana" alignment="distributed"/>
  </si>
  <si>
    <t>観察したことを記録する文章を書いたり、組み立てを考えて文章を書いたりすることができる</t>
  </si>
  <si>
    <t>漢字の同じ部分に着目したり、丸、点、かぎの使い方を理解したりすることができる</t>
  </si>
  <si>
    <t>学習した漢字や平仮名を、形に注意しながら丁寧に書くことができる</t>
  </si>
  <si>
    <t>奥山 大雅</t>
  </si>
  <si>
    <t>兼村 祐希</t>
  </si>
  <si>
    <t>熊谷 百桜</t>
  </si>
  <si>
    <t>小原 幸典</t>
  </si>
  <si>
    <t>清水 清豪</t>
  </si>
  <si>
    <t>鈴木 理子</t>
  </si>
  <si>
    <t>徳田 安須嘉</t>
  </si>
  <si>
    <t>松尾 怜奈</t>
  </si>
  <si>
    <t>丸茂 彰仁</t>
  </si>
  <si>
    <t>御子柴 希美</t>
  </si>
  <si>
    <t>峯村 梨奈</t>
  </si>
  <si>
    <t>百瀬 友紀</t>
  </si>
  <si>
    <t>矢崎 優希菜</t>
  </si>
  <si>
    <t>山本 侑輝</t>
  </si>
  <si>
    <t>問題を読み、式や図を書いて解き方を示し、文章題を正しく解くことができる</t>
  </si>
  <si>
    <t>上級生として１年生のことを考えながら、学校案内のための活動をすることができる</t>
    <rPh sb="0" eb="3">
      <t>ジョウキュウセイ</t>
    </rPh>
    <rPh sb="7" eb="9">
      <t>ネンセイ</t>
    </rPh>
    <rPh sb="13" eb="14">
      <t>カンガ</t>
    </rPh>
    <rPh sb="19" eb="21">
      <t>ガッコウ</t>
    </rPh>
    <rPh sb="21" eb="23">
      <t>アンナイ</t>
    </rPh>
    <rPh sb="27" eb="29">
      <t>カツドウ</t>
    </rPh>
    <phoneticPr fontId="1"/>
  </si>
  <si>
    <t>・１年生への学校案内の時には、教室の中を見えないという１年生を抱っこして見せてあげたようだ。・ミニトマトの観察では、いろいろな視点から観察し、詳しく記録に書くことができた。</t>
    <rPh sb="2" eb="4">
      <t>ネンセイ</t>
    </rPh>
    <rPh sb="6" eb="8">
      <t>ガッコウ</t>
    </rPh>
    <rPh sb="8" eb="10">
      <t>アンナイ</t>
    </rPh>
    <rPh sb="11" eb="12">
      <t>トキ</t>
    </rPh>
    <rPh sb="15" eb="17">
      <t>キョウシツ</t>
    </rPh>
    <rPh sb="18" eb="19">
      <t>ナカ</t>
    </rPh>
    <rPh sb="20" eb="21">
      <t>ミ</t>
    </rPh>
    <rPh sb="28" eb="30">
      <t>ネンセイ</t>
    </rPh>
    <rPh sb="31" eb="32">
      <t>ダ</t>
    </rPh>
    <rPh sb="36" eb="37">
      <t>ミ</t>
    </rPh>
    <rPh sb="53" eb="55">
      <t>カンサツ</t>
    </rPh>
    <rPh sb="63" eb="65">
      <t>シテン</t>
    </rPh>
    <rPh sb="67" eb="69">
      <t>カンサツ</t>
    </rPh>
    <rPh sb="71" eb="72">
      <t>クワ</t>
    </rPh>
    <rPh sb="74" eb="76">
      <t>キロク</t>
    </rPh>
    <rPh sb="77" eb="78">
      <t>カ</t>
    </rPh>
    <phoneticPr fontId="1"/>
  </si>
  <si>
    <t>・「１年生への学校案内」では、振り返り用紙の「ようす・思ったこと・かんじたこと」に、１年生との学校案内に関する記述がなく、学校案内を通しての１年生との関わりをあまり深く感じられなかったようだ。</t>
    <rPh sb="6" eb="8">
      <t>ガッコウ</t>
    </rPh>
    <rPh sb="8" eb="10">
      <t>アンナイ</t>
    </rPh>
    <rPh sb="14" eb="15">
      <t>フ</t>
    </rPh>
    <rPh sb="16" eb="17">
      <t>カエ</t>
    </rPh>
    <rPh sb="18" eb="20">
      <t>ヨウシ</t>
    </rPh>
    <rPh sb="26" eb="27">
      <t>オモ</t>
    </rPh>
    <rPh sb="36" eb="37">
      <t>ココロ</t>
    </rPh>
    <rPh sb="42" eb="44">
      <t>ネンセイ</t>
    </rPh>
    <rPh sb="46" eb="50">
      <t>ガッコウアンナイ</t>
    </rPh>
    <rPh sb="51" eb="52">
      <t>カン</t>
    </rPh>
    <rPh sb="54" eb="56">
      <t>キジュツ</t>
    </rPh>
    <rPh sb="60" eb="64">
      <t>ガッコウアンナイ</t>
    </rPh>
    <rPh sb="65" eb="66">
      <t>トオ</t>
    </rPh>
    <rPh sb="70" eb="72">
      <t>ネンセイ</t>
    </rPh>
    <rPh sb="74" eb="75">
      <t>カカ</t>
    </rPh>
    <rPh sb="81" eb="82">
      <t>フカ</t>
    </rPh>
    <rPh sb="83" eb="84">
      <t>カン</t>
    </rPh>
    <phoneticPr fontId="1"/>
  </si>
  <si>
    <t>・ミニトマトの観察では、前の観察からかわったところをあまり書くことができなかった。</t>
    <rPh sb="7" eb="9">
      <t>カンサツ</t>
    </rPh>
    <rPh sb="12" eb="13">
      <t>マエ</t>
    </rPh>
    <rPh sb="14" eb="16">
      <t>カンサツ</t>
    </rPh>
    <rPh sb="29" eb="30">
      <t>カ</t>
    </rPh>
    <phoneticPr fontId="1"/>
  </si>
  <si>
    <t>・ミニトマトの観察では、観察記録を１回提出し、前からかわったところを一つ記述。</t>
    <rPh sb="7" eb="9">
      <t>カンサツ</t>
    </rPh>
    <rPh sb="12" eb="16">
      <t>カンサツキロク</t>
    </rPh>
    <rPh sb="18" eb="19">
      <t>カイ</t>
    </rPh>
    <rPh sb="19" eb="21">
      <t>テイシュツ</t>
    </rPh>
    <rPh sb="23" eb="24">
      <t>マエ</t>
    </rPh>
    <rPh sb="34" eb="35">
      <t>ヒト</t>
    </rPh>
    <rPh sb="36" eb="38">
      <t>キジュツ</t>
    </rPh>
    <phoneticPr fontId="1"/>
  </si>
  <si>
    <t>・さいきょう商店街の準備で、１年生のところへアンケートをとりに行った時には、皆を代表して挨拶をした。</t>
    <rPh sb="6" eb="9">
      <t>ショウテンガイ</t>
    </rPh>
    <rPh sb="10" eb="12">
      <t>ジュンビ</t>
    </rPh>
    <rPh sb="15" eb="17">
      <t>ネンセイ</t>
    </rPh>
    <rPh sb="31" eb="32">
      <t>イ</t>
    </rPh>
    <rPh sb="34" eb="35">
      <t>トキ</t>
    </rPh>
    <rPh sb="38" eb="39">
      <t>ミナ</t>
    </rPh>
    <rPh sb="40" eb="42">
      <t>ダイヒョウ</t>
    </rPh>
    <rPh sb="44" eb="46">
      <t>アイサツ</t>
    </rPh>
    <phoneticPr fontId="1"/>
  </si>
  <si>
    <t>・ミニトマトの観察では、いろいろな視点から観察し、詳しく記録に書くことができた。</t>
    <rPh sb="7" eb="9">
      <t>カンサツ</t>
    </rPh>
    <rPh sb="17" eb="19">
      <t>シテン</t>
    </rPh>
    <rPh sb="21" eb="23">
      <t>カンサツ</t>
    </rPh>
    <rPh sb="25" eb="26">
      <t>クワ</t>
    </rPh>
    <rPh sb="28" eb="30">
      <t>キロク</t>
    </rPh>
    <rPh sb="31" eb="32">
      <t>カ</t>
    </rPh>
    <phoneticPr fontId="1"/>
  </si>
  <si>
    <t>・ミニトマトの観察では、前の観察からかわったところをあまり書くことができなかった。また、観察記録を最後まで書かないままに提出したこともあったので、落ち着いて最後まで取り組みたい。</t>
    <rPh sb="7" eb="9">
      <t>カンサツ</t>
    </rPh>
    <rPh sb="12" eb="13">
      <t>マエ</t>
    </rPh>
    <rPh sb="14" eb="16">
      <t>カンサツ</t>
    </rPh>
    <rPh sb="29" eb="30">
      <t>カ</t>
    </rPh>
    <rPh sb="44" eb="48">
      <t>カンサツキロク</t>
    </rPh>
    <rPh sb="49" eb="51">
      <t>サイゴ</t>
    </rPh>
    <rPh sb="53" eb="54">
      <t>カ</t>
    </rPh>
    <rPh sb="60" eb="62">
      <t>テイシュツ</t>
    </rPh>
    <rPh sb="73" eb="74">
      <t>オ</t>
    </rPh>
    <rPh sb="75" eb="76">
      <t>ツ</t>
    </rPh>
    <rPh sb="78" eb="80">
      <t>サイゴ</t>
    </rPh>
    <rPh sb="82" eb="83">
      <t>ト</t>
    </rPh>
    <rPh sb="84" eb="85">
      <t>ク</t>
    </rPh>
    <phoneticPr fontId="1"/>
  </si>
  <si>
    <t>学習した表現を用いて、自己紹介のスピーチをすることができる。</t>
  </si>
  <si>
    <t>授業の活動に意欲的に取り組むことができる</t>
  </si>
  <si>
    <t>メロディーを正しい音程で歌い、のびやかな表現ができる</t>
  </si>
  <si>
    <t>鍵盤ハーモニカで楽曲（喜びの歌）を、正しい指使い・リズム・音程で楽曲を奏でることができる</t>
  </si>
  <si>
    <t>提示した音を聴き取り、和音を聴き分けることができる</t>
  </si>
  <si>
    <t>鍵盤ハーモニカに上達を感じました。</t>
    <rPh sb="0" eb="2">
      <t>ケンバン</t>
    </rPh>
    <rPh sb="8" eb="10">
      <t>ジョウタツ</t>
    </rPh>
    <rPh sb="11" eb="12">
      <t>カン</t>
    </rPh>
    <phoneticPr fontId="1"/>
  </si>
  <si>
    <t>鍵盤ハーモニカは今より練習を重ねると、上達の余地があります。たくさん練習していきましょう。</t>
    <rPh sb="0" eb="2">
      <t>ケンバン</t>
    </rPh>
    <rPh sb="8" eb="9">
      <t>イマ</t>
    </rPh>
    <rPh sb="11" eb="13">
      <t>レンシュウ</t>
    </rPh>
    <rPh sb="14" eb="15">
      <t>カサ</t>
    </rPh>
    <rPh sb="19" eb="21">
      <t>ジョウタツ</t>
    </rPh>
    <rPh sb="22" eb="24">
      <t>ヨチ</t>
    </rPh>
    <rPh sb="34" eb="36">
      <t>レンシュウ</t>
    </rPh>
    <phoneticPr fontId="1"/>
  </si>
  <si>
    <t>運動遊びの行い方を工夫するとともに、考えたことを他者に伝えることができる</t>
  </si>
  <si>
    <t>決まりを守り、誰とでも仲よく意欲的に運動ができる</t>
  </si>
  <si>
    <t>全身を使って、力強く走ることができる（かけっこ）</t>
  </si>
  <si>
    <t>簡単なボール操作と攻めや守りの動きができる（ボールゲーム）</t>
  </si>
  <si>
    <t>どの活動も意欲を持って取り組むことができました。しかし、話を聞く場面では砂いじりをしたり、他の方へと意識が行ってしまったりすることが多かったです。そのため、教師が説明したこととは違うことをやってしまうこともありました。また、グループ活動では積極的な発言や行動がある一方で、友達に対して強い言い方をしてしまったり、強引に練習をしてしまったりすることがありました。２学期は、きちんとした姿勢で話を聞き、友達の意見にも耳を傾け、皆で楽しく授業が受けられるようにしましょう。</t>
    <rPh sb="2" eb="4">
      <t>カツドウ</t>
    </rPh>
    <rPh sb="5" eb="7">
      <t>イヨク</t>
    </rPh>
    <rPh sb="8" eb="9">
      <t>モ</t>
    </rPh>
    <rPh sb="11" eb="12">
      <t>ト</t>
    </rPh>
    <rPh sb="13" eb="14">
      <t>ク</t>
    </rPh>
    <rPh sb="28" eb="29">
      <t>ハナシ</t>
    </rPh>
    <rPh sb="30" eb="31">
      <t>キ</t>
    </rPh>
    <rPh sb="32" eb="34">
      <t>バメン</t>
    </rPh>
    <rPh sb="36" eb="37">
      <t>スナ</t>
    </rPh>
    <rPh sb="45" eb="46">
      <t>ホカ</t>
    </rPh>
    <rPh sb="47" eb="48">
      <t>ホウ</t>
    </rPh>
    <rPh sb="50" eb="52">
      <t>イシキ</t>
    </rPh>
    <rPh sb="53" eb="54">
      <t>イ</t>
    </rPh>
    <rPh sb="66" eb="67">
      <t>オオ</t>
    </rPh>
    <rPh sb="78" eb="80">
      <t>キョウシ</t>
    </rPh>
    <rPh sb="81" eb="83">
      <t>セツメイ</t>
    </rPh>
    <rPh sb="89" eb="90">
      <t>チガ</t>
    </rPh>
    <rPh sb="116" eb="118">
      <t>カツドウ</t>
    </rPh>
    <rPh sb="120" eb="123">
      <t>セッキョクテキ</t>
    </rPh>
    <rPh sb="124" eb="126">
      <t>ハツゲン</t>
    </rPh>
    <rPh sb="127" eb="129">
      <t>コウドウ</t>
    </rPh>
    <rPh sb="132" eb="134">
      <t>イッポウ</t>
    </rPh>
    <rPh sb="136" eb="138">
      <t>トモダチ</t>
    </rPh>
    <rPh sb="139" eb="140">
      <t>タイ</t>
    </rPh>
    <rPh sb="142" eb="143">
      <t>ツヨ</t>
    </rPh>
    <rPh sb="144" eb="145">
      <t>イ</t>
    </rPh>
    <rPh sb="146" eb="147">
      <t>カタ</t>
    </rPh>
    <rPh sb="156" eb="158">
      <t>ゴウイン</t>
    </rPh>
    <rPh sb="159" eb="161">
      <t>レンシュウ</t>
    </rPh>
    <rPh sb="181" eb="183">
      <t>ガッキ</t>
    </rPh>
    <rPh sb="191" eb="193">
      <t>シセイ</t>
    </rPh>
    <rPh sb="194" eb="195">
      <t>ハナシ</t>
    </rPh>
    <rPh sb="196" eb="197">
      <t>キ</t>
    </rPh>
    <rPh sb="199" eb="201">
      <t>トモダチ</t>
    </rPh>
    <rPh sb="202" eb="204">
      <t>イケン</t>
    </rPh>
    <rPh sb="206" eb="207">
      <t>ミミ</t>
    </rPh>
    <rPh sb="208" eb="209">
      <t>カタム</t>
    </rPh>
    <rPh sb="211" eb="212">
      <t>ミンナ</t>
    </rPh>
    <rPh sb="213" eb="214">
      <t>タノ</t>
    </rPh>
    <rPh sb="216" eb="218">
      <t>ジュギョウ</t>
    </rPh>
    <rPh sb="219" eb="220">
      <t>ウ</t>
    </rPh>
    <phoneticPr fontId="1"/>
  </si>
  <si>
    <t>授業では、どの活動も仲間と協力しながら楽しく、また集中して受けることができています。リレーにおいては、バトンを渡される時のスタートが出遅れたり、バトンゾーンでのバトンの受け渡しのタイミングが上手くいかず、残念でした。しかし、他の運動はよくできているので、上手くできなかったものもやり方をきちんと理解し、根気よく練習すれば良い結果として表れるでしょう。</t>
    <rPh sb="0" eb="2">
      <t>ジュギョウ</t>
    </rPh>
    <rPh sb="7" eb="9">
      <t>カツドウ</t>
    </rPh>
    <rPh sb="10" eb="12">
      <t>ナカマ</t>
    </rPh>
    <rPh sb="13" eb="15">
      <t>キョウリョク</t>
    </rPh>
    <rPh sb="19" eb="20">
      <t>タノ</t>
    </rPh>
    <rPh sb="25" eb="27">
      <t>シュウチュウ</t>
    </rPh>
    <rPh sb="29" eb="30">
      <t>ウ</t>
    </rPh>
    <rPh sb="55" eb="56">
      <t>ワタ</t>
    </rPh>
    <rPh sb="59" eb="60">
      <t>トキ</t>
    </rPh>
    <rPh sb="66" eb="68">
      <t>デオク</t>
    </rPh>
    <rPh sb="84" eb="85">
      <t>ウ</t>
    </rPh>
    <rPh sb="86" eb="87">
      <t>ワタ</t>
    </rPh>
    <rPh sb="95" eb="97">
      <t>ウマ</t>
    </rPh>
    <rPh sb="102" eb="104">
      <t>ザンネン</t>
    </rPh>
    <rPh sb="112" eb="113">
      <t>ホカ</t>
    </rPh>
    <rPh sb="114" eb="116">
      <t>ウンドウ</t>
    </rPh>
    <rPh sb="127" eb="129">
      <t>ウマ</t>
    </rPh>
    <rPh sb="141" eb="142">
      <t>カタ</t>
    </rPh>
    <rPh sb="147" eb="149">
      <t>リカイ</t>
    </rPh>
    <rPh sb="151" eb="153">
      <t>コンキ</t>
    </rPh>
    <rPh sb="155" eb="157">
      <t>レンシュウ</t>
    </rPh>
    <rPh sb="160" eb="161">
      <t>ヨ</t>
    </rPh>
    <rPh sb="162" eb="164">
      <t>ケッカ</t>
    </rPh>
    <rPh sb="167" eb="168">
      <t>アラワ</t>
    </rPh>
    <phoneticPr fontId="1"/>
  </si>
  <si>
    <t>授業では、どの活動も仲間と協力しながら楽しく受けることができています。しかし、時折集中していないことがあり、活動に取り掛かるのが遅くなったり、説明したこととは違うことをやったり、ぼーっとしていたりすることがあります。また、リレーにおいては、バトンを渡される時のスタートが出遅れたり、バトンゾーンでのバトンの受け渡しのタイミングが上手くいかず、残念でした。全体を通して、理解するのに少し時間が掛かるように感じます。わからないことがあれば自分から先生や友達に聞くとよいでしょう。そうすれば、活動の取り掛かりもスムーズになるはずです。</t>
    <rPh sb="0" eb="2">
      <t>ジュギョウ</t>
    </rPh>
    <rPh sb="7" eb="9">
      <t>カツドウ</t>
    </rPh>
    <rPh sb="10" eb="12">
      <t>ナカマ</t>
    </rPh>
    <rPh sb="13" eb="15">
      <t>キョウリョク</t>
    </rPh>
    <rPh sb="19" eb="20">
      <t>タノ</t>
    </rPh>
    <rPh sb="22" eb="23">
      <t>ウ</t>
    </rPh>
    <rPh sb="39" eb="43">
      <t>トキオリシュウチュウ</t>
    </rPh>
    <rPh sb="54" eb="56">
      <t>カツドウ</t>
    </rPh>
    <rPh sb="57" eb="58">
      <t>ト</t>
    </rPh>
    <rPh sb="59" eb="60">
      <t>カ</t>
    </rPh>
    <rPh sb="64" eb="65">
      <t>オソ</t>
    </rPh>
    <rPh sb="71" eb="73">
      <t>セツメイ</t>
    </rPh>
    <rPh sb="79" eb="80">
      <t>チガ</t>
    </rPh>
    <rPh sb="124" eb="125">
      <t>ワタ</t>
    </rPh>
    <rPh sb="128" eb="129">
      <t>トキ</t>
    </rPh>
    <rPh sb="135" eb="137">
      <t>デオク</t>
    </rPh>
    <rPh sb="153" eb="154">
      <t>ウ</t>
    </rPh>
    <rPh sb="155" eb="156">
      <t>ワタ</t>
    </rPh>
    <rPh sb="164" eb="166">
      <t>ウマ</t>
    </rPh>
    <rPh sb="171" eb="173">
      <t>ザンネン</t>
    </rPh>
    <rPh sb="177" eb="179">
      <t>ゼンタイ</t>
    </rPh>
    <rPh sb="180" eb="181">
      <t>トオ</t>
    </rPh>
    <rPh sb="184" eb="186">
      <t>リカイ</t>
    </rPh>
    <rPh sb="190" eb="191">
      <t>スコ</t>
    </rPh>
    <rPh sb="192" eb="194">
      <t>ジカン</t>
    </rPh>
    <rPh sb="195" eb="196">
      <t>カ</t>
    </rPh>
    <rPh sb="201" eb="202">
      <t>カン</t>
    </rPh>
    <rPh sb="217" eb="219">
      <t>ジブン</t>
    </rPh>
    <rPh sb="221" eb="223">
      <t>センセイ</t>
    </rPh>
    <rPh sb="224" eb="226">
      <t>トモダチ</t>
    </rPh>
    <rPh sb="227" eb="228">
      <t>キ</t>
    </rPh>
    <rPh sb="243" eb="245">
      <t>カツドウ</t>
    </rPh>
    <rPh sb="246" eb="247">
      <t>ト</t>
    </rPh>
    <rPh sb="248" eb="249">
      <t>カ</t>
    </rPh>
    <phoneticPr fontId="1"/>
  </si>
  <si>
    <t xml:space="preserve"> 1年生の時と2年生の時の「かなこ」の生活の様子を比べる活動などを通して、気持ちの良い生活をするために大切なことを考えさせ、わがままをしないで、健康や安全に気をつけ、規則正しい生活をしようとする意欲を育てる「2年生になって」という単元では、自分も決まりよい生活をして立派な2年生になりたいと決意を表していました。</t>
    <rPh sb="120" eb="122">
      <t>ジブン</t>
    </rPh>
    <rPh sb="123" eb="124">
      <t>キ</t>
    </rPh>
    <rPh sb="128" eb="130">
      <t>セイカツ</t>
    </rPh>
    <rPh sb="133" eb="135">
      <t>リッパ</t>
    </rPh>
    <rPh sb="137" eb="139">
      <t>ネンセイ</t>
    </rPh>
    <rPh sb="145" eb="147">
      <t>ケツイ</t>
    </rPh>
    <rPh sb="148" eb="149">
      <t>アラワ</t>
    </rPh>
    <phoneticPr fontId="1"/>
  </si>
  <si>
    <t>男の子の挨拶についての父との対話から、大切なことに気づく「わたし」の姿などを通して、気持ちのいい挨拶について考えさせ、心を込めた挨拶や言葉遣い、動作などをしようとする心情を育てる「あいさつ月間」という単元では、相手に自分の気持ちを伝えることが大切であることに気づきました。挨拶や返事を通して相手も自分も気持ちの良い生活ができることにも気づきました。</t>
    <rPh sb="105" eb="107">
      <t>アイテ</t>
    </rPh>
    <rPh sb="108" eb="110">
      <t>ジブン</t>
    </rPh>
    <rPh sb="111" eb="113">
      <t>キモ</t>
    </rPh>
    <rPh sb="115" eb="116">
      <t>ツタ</t>
    </rPh>
    <rPh sb="121" eb="123">
      <t>タイセツ</t>
    </rPh>
    <rPh sb="129" eb="130">
      <t>キ</t>
    </rPh>
    <rPh sb="136" eb="138">
      <t>アイサツ</t>
    </rPh>
    <rPh sb="139" eb="141">
      <t>ヘンジ</t>
    </rPh>
    <rPh sb="142" eb="143">
      <t>トオ</t>
    </rPh>
    <rPh sb="145" eb="147">
      <t>アイテ</t>
    </rPh>
    <rPh sb="148" eb="150">
      <t>ジブン</t>
    </rPh>
    <rPh sb="151" eb="153">
      <t>キモ</t>
    </rPh>
    <rPh sb="167" eb="168">
      <t>キ</t>
    </rPh>
    <phoneticPr fontId="1"/>
  </si>
  <si>
    <t>大好きな折り紙を研究し続け、折り紙名人となった吉澤章さんの姿などを通して、自分の好きなことや良いところに気づいたらどうするかを考えさせ、長所に気づき、それを伸ばそうとする意欲を育てる「おり紙の名人」という単元では、自分の隠れた才能を見つけるために、いろいろなことに挑戦しようという気持ちになりました。自分の可能性を伸ばしてほしいと思います。</t>
    <rPh sb="107" eb="109">
      <t>ジブン</t>
    </rPh>
    <rPh sb="110" eb="111">
      <t>カク</t>
    </rPh>
    <rPh sb="113" eb="115">
      <t>サイノウ</t>
    </rPh>
    <rPh sb="116" eb="117">
      <t>ミ</t>
    </rPh>
    <rPh sb="132" eb="134">
      <t>チョウセン</t>
    </rPh>
    <rPh sb="140" eb="142">
      <t>キモ</t>
    </rPh>
    <rPh sb="150" eb="152">
      <t>ジブン</t>
    </rPh>
    <rPh sb="153" eb="156">
      <t>カノウセイ</t>
    </rPh>
    <rPh sb="157" eb="158">
      <t>ノ</t>
    </rPh>
    <rPh sb="165" eb="166">
      <t>オモ</t>
    </rPh>
    <phoneticPr fontId="1"/>
  </si>
  <si>
    <t>どきどきしながらも人に親切にした3人の話などを通して、人に優しくすることは、どうして大切なのかを考えさせ、身近な人に温かい心で接し、進んで親切にしようとする心情を育てる「どきどきしたけど」という単元では、周りのみんなに優しくすることができれば、周りの人々も幸せになれることがわかりました。みんなのためにも優しさは、大事なことを学びました。</t>
    <rPh sb="102" eb="103">
      <t>マワ</t>
    </rPh>
    <rPh sb="109" eb="110">
      <t>ヤサ</t>
    </rPh>
    <rPh sb="122" eb="123">
      <t>マワ</t>
    </rPh>
    <rPh sb="125" eb="127">
      <t>ヒトビト</t>
    </rPh>
    <rPh sb="128" eb="129">
      <t>シアワ</t>
    </rPh>
    <rPh sb="152" eb="153">
      <t>ヤサ</t>
    </rPh>
    <rPh sb="157" eb="159">
      <t>ダイジ</t>
    </rPh>
    <rPh sb="163" eb="164">
      <t>マナ</t>
    </rPh>
    <phoneticPr fontId="1"/>
  </si>
  <si>
    <t>町の様子が描かれている絵などを通して、きまりをどうして守らなければならないかについて考えさせ、きまりをしっかり守ろうとする判断力を育てる「どうしてきまりがあるのかな」という単元では、決まりを守ることがみんなの幸せにつながることに気づきました。ルールを守ることでみんなが安心して暮らせることも学びました。</t>
    <rPh sb="91" eb="92">
      <t>キ</t>
    </rPh>
    <rPh sb="95" eb="96">
      <t>マモ</t>
    </rPh>
    <rPh sb="104" eb="105">
      <t>シアワ</t>
    </rPh>
    <rPh sb="114" eb="115">
      <t>キ</t>
    </rPh>
    <rPh sb="125" eb="126">
      <t>マモ</t>
    </rPh>
    <phoneticPr fontId="1"/>
  </si>
  <si>
    <t>友達の作品に勝手に手を加えた「たくみ」の姿などを通して、していいことか、してはいけないことかを考えるのはどうして大切なのかを考えさせ、善悪を区別し、正しいことをしようとする判断力を育てる「角がついたかいじゅう」という単元では、相手の気持ちも考えて、自分の価値観だけで行動してはいけないことを学びました。</t>
    <rPh sb="113" eb="115">
      <t>アイテ</t>
    </rPh>
    <rPh sb="116" eb="118">
      <t>キモ</t>
    </rPh>
    <rPh sb="120" eb="121">
      <t>カンガ</t>
    </rPh>
    <rPh sb="124" eb="126">
      <t>ジブン</t>
    </rPh>
    <rPh sb="127" eb="130">
      <t>カチカン</t>
    </rPh>
    <rPh sb="133" eb="135">
      <t>コウドウ</t>
    </rPh>
    <rPh sb="145" eb="146">
      <t>マナ</t>
    </rPh>
    <phoneticPr fontId="1"/>
  </si>
  <si>
    <t>大好きな折り紙を研究し続け、折り紙名人となった吉澤章さんの姿などを通して、自分の好きなことや良いところに気づいたらどうするかを考えさせ、長所に気づき、それを伸ばそうとする意欲を育てる「おり紙の名人」という単元では、自分の才能を早く見つけてそこに向かって頑張ることが大切であることを学びました。文武両道でこれからも頑張りましょう。</t>
    <rPh sb="107" eb="109">
      <t>ジブン</t>
    </rPh>
    <rPh sb="110" eb="112">
      <t>サイノウ</t>
    </rPh>
    <rPh sb="113" eb="114">
      <t>ハヤ</t>
    </rPh>
    <rPh sb="115" eb="116">
      <t>ミ</t>
    </rPh>
    <rPh sb="122" eb="123">
      <t>ム</t>
    </rPh>
    <rPh sb="126" eb="128">
      <t>ガンバ</t>
    </rPh>
    <rPh sb="132" eb="134">
      <t>タイセツ</t>
    </rPh>
    <rPh sb="140" eb="141">
      <t>マナ</t>
    </rPh>
    <rPh sb="146" eb="150">
      <t>ブンブリョウドウ</t>
    </rPh>
    <rPh sb="156" eb="158">
      <t>ガンバ</t>
    </rPh>
    <phoneticPr fontId="1"/>
  </si>
  <si>
    <t>友達の作品に勝手に手を加えた「たくみ」の姿などを通して、していいことか、してはいけないことかを考えるのはどうして大切なのかを考えさせ、善悪を区別し、正しいことをしようとする判断力を育てる「角がついたかいじゅう」という単元では、相手のことを考えて行動することの大切さを学びました。自分の価値観だけで行動してはいけないことも同時に学びました。</t>
    <rPh sb="113" eb="115">
      <t>アイテ</t>
    </rPh>
    <rPh sb="119" eb="120">
      <t>カンガ</t>
    </rPh>
    <rPh sb="122" eb="124">
      <t>コウドウ</t>
    </rPh>
    <rPh sb="129" eb="131">
      <t>タイセツ</t>
    </rPh>
    <rPh sb="133" eb="134">
      <t>マナ</t>
    </rPh>
    <rPh sb="139" eb="141">
      <t>ジブン</t>
    </rPh>
    <rPh sb="142" eb="145">
      <t>カチカン</t>
    </rPh>
    <rPh sb="148" eb="150">
      <t>コウドウ</t>
    </rPh>
    <rPh sb="160" eb="162">
      <t>ドウジ</t>
    </rPh>
    <rPh sb="163" eb="164">
      <t>マナ</t>
    </rPh>
    <phoneticPr fontId="1"/>
  </si>
  <si>
    <t>町の様子が描かれている絵などを通して、きまりをどうして守らなければならないかについて考えさせ、きまりをしっかり守ろうとする判断力を育てる「どうしてきまりがあるのかな」という単元では、決まりがあるのはみんなが幸せに生活するために必要なものであることに気がつきました。規則を守ることが自分を守ることにつながるということにも気づきました。</t>
    <rPh sb="91" eb="92">
      <t>キ</t>
    </rPh>
    <rPh sb="103" eb="104">
      <t>シアワ</t>
    </rPh>
    <rPh sb="106" eb="108">
      <t>セイカツ</t>
    </rPh>
    <rPh sb="113" eb="115">
      <t>ヒツヨウ</t>
    </rPh>
    <rPh sb="124" eb="125">
      <t>キ</t>
    </rPh>
    <rPh sb="132" eb="134">
      <t>キソク</t>
    </rPh>
    <rPh sb="135" eb="136">
      <t>マモ</t>
    </rPh>
    <rPh sb="140" eb="142">
      <t>ジブン</t>
    </rPh>
    <rPh sb="143" eb="144">
      <t>マモ</t>
    </rPh>
    <rPh sb="159" eb="160">
      <t>キ</t>
    </rPh>
    <phoneticPr fontId="1"/>
  </si>
  <si>
    <t>大好きな折り紙を研究し続け、折り紙名人となった吉澤章さんの姿などを通して、自分の好きなことや良いところに気づいたらどうするかを考えさせ、長所に気づき、それを伸ばそうとする意欲を育てる「おり紙の名人」という単元では、自分の隠れた才能や得意なことに早く気づいて努力していくことが大切なことを学びました。自分の才を見つけてそこに向かっていきましょう。</t>
    <rPh sb="107" eb="109">
      <t>ジブン</t>
    </rPh>
    <rPh sb="110" eb="111">
      <t>カク</t>
    </rPh>
    <rPh sb="113" eb="115">
      <t>サイノウ</t>
    </rPh>
    <rPh sb="116" eb="118">
      <t>トクイ</t>
    </rPh>
    <rPh sb="122" eb="123">
      <t>ハヤ</t>
    </rPh>
    <rPh sb="124" eb="125">
      <t>キ</t>
    </rPh>
    <rPh sb="128" eb="130">
      <t>ドリョク</t>
    </rPh>
    <rPh sb="137" eb="139">
      <t>タイセツ</t>
    </rPh>
    <rPh sb="143" eb="144">
      <t>マナ</t>
    </rPh>
    <rPh sb="149" eb="151">
      <t>ジブン</t>
    </rPh>
    <rPh sb="152" eb="153">
      <t>サイ</t>
    </rPh>
    <rPh sb="154" eb="155">
      <t>ミ</t>
    </rPh>
    <rPh sb="161" eb="162">
      <t>ム</t>
    </rPh>
    <phoneticPr fontId="1"/>
  </si>
  <si>
    <t>町の様子が描かれている絵などを通して、きまりをどうして守らなければならないかについて考えさせ、きまりをしっかり守ろうとする判断力を育てる「どうしてきまりがあるのかな」という単元では、なぜきまりが必要なのかを考え、きまりはみんなの幸せや安全の為に、社会では大切なことであることに気づきました。自分の身を守るためにも、必要であることがわかりました。</t>
    <rPh sb="97" eb="99">
      <t>ヒツヨウ</t>
    </rPh>
    <rPh sb="103" eb="104">
      <t>カンガ</t>
    </rPh>
    <rPh sb="114" eb="115">
      <t>シアワ</t>
    </rPh>
    <rPh sb="117" eb="119">
      <t>アンゼン</t>
    </rPh>
    <rPh sb="120" eb="121">
      <t>タメ</t>
    </rPh>
    <rPh sb="123" eb="125">
      <t>シャカイ</t>
    </rPh>
    <rPh sb="127" eb="129">
      <t>タイセツ</t>
    </rPh>
    <rPh sb="138" eb="139">
      <t>キ</t>
    </rPh>
    <rPh sb="145" eb="147">
      <t>ジブン</t>
    </rPh>
    <rPh sb="148" eb="149">
      <t>ミ</t>
    </rPh>
    <rPh sb="150" eb="151">
      <t>マモ</t>
    </rPh>
    <rPh sb="157" eb="159">
      <t>ヒツヨウ</t>
    </rPh>
    <phoneticPr fontId="1"/>
  </si>
  <si>
    <t>どきどきしながらも人に親切にした3人の話などを通して、人に優しくすることは、どうして大切なのかを考えさせ、身近な人に温かい心で接し、進んで親切にしようとする心情を育てる「どきどきしたけど」という単元では、人に優しくすることで周りのみんなも幸せになれることを実感しました。これからも、みんなに親切にしていきましょう。</t>
    <rPh sb="102" eb="103">
      <t>ヒト</t>
    </rPh>
    <rPh sb="104" eb="105">
      <t>ヤサ</t>
    </rPh>
    <rPh sb="112" eb="113">
      <t>マワ</t>
    </rPh>
    <rPh sb="119" eb="120">
      <t>シアワ</t>
    </rPh>
    <rPh sb="128" eb="130">
      <t>ジッカン</t>
    </rPh>
    <rPh sb="145" eb="147">
      <t>シンセツ</t>
    </rPh>
    <phoneticPr fontId="1"/>
  </si>
  <si>
    <t>友達の作品に勝手に手を加えた「たくみ」の姿などを通して、していいことか、してはいけないことかを考えるのはどうして大切なのかを考えさせ、善悪を区別し、正しいことをしようとする判断力を育てる「角がついたかいじゅう」という単元では、自分の良いと思うことだけで判断してはいけないことを学びました。相手の気持ちも考えて行動することの大切さも学びました。</t>
    <rPh sb="113" eb="115">
      <t>ジブン</t>
    </rPh>
    <rPh sb="116" eb="117">
      <t>ヨ</t>
    </rPh>
    <rPh sb="119" eb="120">
      <t>オモ</t>
    </rPh>
    <rPh sb="126" eb="128">
      <t>ハンダン</t>
    </rPh>
    <rPh sb="138" eb="139">
      <t>マナ</t>
    </rPh>
    <rPh sb="144" eb="146">
      <t>アイテ</t>
    </rPh>
    <rPh sb="147" eb="149">
      <t>キモ</t>
    </rPh>
    <rPh sb="151" eb="152">
      <t>カンガ</t>
    </rPh>
    <rPh sb="154" eb="156">
      <t>コウドウ</t>
    </rPh>
    <rPh sb="161" eb="163">
      <t>タイセツ</t>
    </rPh>
    <rPh sb="165" eb="166">
      <t>マナ</t>
    </rPh>
    <phoneticPr fontId="1"/>
  </si>
  <si>
    <t>時間やきまりを守り、規則正しい生活をすることができる</t>
  </si>
  <si>
    <t>良いと思うことは進んで行い、最後まで頑張ることができる</t>
  </si>
  <si>
    <t>当番や係など、自分でやるべきことを、しっかりと行うことができる</t>
  </si>
  <si>
    <t>自分から進んで考え、工夫しながら取り組むことができる</t>
  </si>
  <si>
    <t>身近にいる人々に親切にし、誰とでも仲良く助け合うことができる</t>
  </si>
  <si>
    <t>体育係</t>
    <rPh sb="0" eb="3">
      <t>たいいくかかり</t>
    </rPh>
    <phoneticPr fontId="10" type="Hiragana" alignment="distributed"/>
  </si>
  <si>
    <t>プリント係</t>
    <rPh sb="4" eb="5">
      <t>かかり</t>
    </rPh>
    <phoneticPr fontId="10" type="Hiragana" alignment="distributed"/>
  </si>
  <si>
    <t>掃除係</t>
    <rPh sb="0" eb="2">
      <t>そうじ</t>
    </rPh>
    <rPh sb="2" eb="3">
      <t>かかり</t>
    </rPh>
    <phoneticPr fontId="10" type="Hiragana" alignment="distributed"/>
  </si>
  <si>
    <t>お助け係</t>
    <rPh sb="1" eb="2">
      <t>たす</t>
    </rPh>
    <rPh sb="3" eb="4">
      <t>かかり</t>
    </rPh>
    <phoneticPr fontId="10" type="Hiragana" alignment="distributed"/>
  </si>
  <si>
    <t>音楽、図工、生活係</t>
    <rPh sb="0" eb="2">
      <t>おんがく</t>
    </rPh>
    <rPh sb="3" eb="5">
      <t>ずこう</t>
    </rPh>
    <rPh sb="6" eb="9">
      <t>せいかつかかり</t>
    </rPh>
    <phoneticPr fontId="10" type="Hiragana" alignment="distributed"/>
  </si>
  <si>
    <t>整列係</t>
    <rPh sb="0" eb="3">
      <t>せいれつかかり</t>
    </rPh>
    <phoneticPr fontId="10" type="Hiragana" alignment="distributed"/>
  </si>
  <si>
    <t>欠席2(発熱2)</t>
    <rPh sb="0" eb="2">
      <t>ケッセキ</t>
    </rPh>
    <rPh sb="4" eb="6">
      <t>ハツネツ</t>
    </rPh>
    <phoneticPr fontId="1"/>
  </si>
  <si>
    <t>出席停止2(溶連菌2)　忌引き１(祖母葬儀1)　早退2(通院2)　　遅刻4(通院１　体調不良3)</t>
    <rPh sb="0" eb="2">
      <t>シュッセキ</t>
    </rPh>
    <rPh sb="2" eb="4">
      <t>テイシ</t>
    </rPh>
    <rPh sb="6" eb="9">
      <t>ヨウレンキン</t>
    </rPh>
    <rPh sb="12" eb="14">
      <t>キビ</t>
    </rPh>
    <rPh sb="17" eb="19">
      <t>ソボ</t>
    </rPh>
    <rPh sb="19" eb="21">
      <t>ソウギ</t>
    </rPh>
    <rPh sb="24" eb="26">
      <t>ソウタイ</t>
    </rPh>
    <rPh sb="28" eb="30">
      <t>ツウイン</t>
    </rPh>
    <rPh sb="34" eb="36">
      <t>チコク</t>
    </rPh>
    <rPh sb="38" eb="40">
      <t>ツウイン</t>
    </rPh>
    <rPh sb="42" eb="46">
      <t>タイチョウフリョウ</t>
    </rPh>
    <phoneticPr fontId="1"/>
  </si>
  <si>
    <t>奥山 大雅</t>
    <rPh sb="0" eb="2">
      <t>オクヤマ</t>
    </rPh>
    <rPh sb="3" eb="4">
      <t>オオ</t>
    </rPh>
    <rPh sb="4" eb="5">
      <t>マサ</t>
    </rPh>
    <phoneticPr fontId="1"/>
  </si>
  <si>
    <t xml:space="preserve"> 1学期間、元気に通うことができました。何事にも前向きで一生懸命な姿がとても良いと思いました。係の仕事は配り係りでしたが、頼まれると気持ち良く行動することができました。友達とも仲良くサッカーをしたり、行動量も増えてきたりしました。体育祭では全力で取り組み、良い経験をして終えることができました。2学期のさいきょう祭でも、活躍することを願っています。学習面では、算数においてよく理解できており、それが模試の成績として現れていると思います。国語においても宿題をしっかりとやっており、漢字も身についています。ただし、一学期当初に比べると全体的にやることに丁寧さを感じなくなりました。時間的に余裕がなくなっているようですが、この生活の速さに慣れていく必要があると思います。給食では完食できるようになり、元気いっぱいです。夏休みには1学期に行った漢字の学習を中心に復習をしていきましょう。特に、時間に余裕がある夏休みには、いろいろな体験をすることも大切です。２学期には、一回り成長した大雅君に期待しています。
</t>
    <rPh sb="4" eb="5">
      <t>かん</t>
    </rPh>
    <rPh sb="69" eb="70">
      <t>よ</t>
    </rPh>
    <rPh sb="130" eb="132">
      <t>けいけん</t>
    </rPh>
    <rPh sb="242" eb="243">
      <t>み</t>
    </rPh>
    <rPh sb="255" eb="260">
      <t>いちがっきとうしょ</t>
    </rPh>
    <rPh sb="274" eb="276">
      <t>ていねい</t>
    </rPh>
    <rPh sb="278" eb="279">
      <t>かん</t>
    </rPh>
    <rPh sb="332" eb="334">
      <t>きゅうしょく</t>
    </rPh>
    <rPh sb="336" eb="338">
      <t>かんしょく</t>
    </rPh>
    <rPh sb="347" eb="349">
      <t>げんき</t>
    </rPh>
    <rPh sb="425" eb="427">
      <t>がっき</t>
    </rPh>
    <rPh sb="430" eb="432">
      <t>ひとまわ</t>
    </rPh>
    <rPh sb="433" eb="435">
      <t>せいちょう</t>
    </rPh>
    <rPh sb="437" eb="440">
      <t>たいがくん</t>
    </rPh>
    <rPh sb="441" eb="443">
      <t>きたい</t>
    </rPh>
    <phoneticPr fontId="10" type="Hiragana" alignment="distributed"/>
  </si>
  <si>
    <t>毎日元気に通うことができました。いつも明るく、友達と仲良く遊ぶことができました。誰に対しても親切で面倒見が良く、みんなから親しまれています。体育祭では全力で戦い、最後まで頑張り抜きました。学習面では、どの教科も高い能力を発揮し、優秀な成績を収めることができました。模試でも、算数、国語ともに高得点を取ることができました。宿題等も丁寧にしっかりと行うことができています。今の学習を進めてください。係の仕事では、体育係をやっており、責任を持って役目を果たそうと頑張っていました。時に思うように、周囲が行動してくれないこともありましたが、みんなに声をかけ、一生懸命係の仕事をしていました。2年生になり、時間的に余裕が無くなる傾向にあります。その為に学習面や生活面で、丁寧さを感じなくなることが時々ありました。整理整頓等ができているか、もう一度振り返ってみましょう。何事にも挑戦しようとする、頑張り屋の祐希さん。この長い夏休みを有効に使って、より一層成長することを願っています。</t>
    <rPh sb="49" eb="52">
      <t>めんどうみ</t>
    </rPh>
    <rPh sb="53" eb="54">
      <t>よ</t>
    </rPh>
    <rPh sb="81" eb="83">
      <t>さいご</t>
    </rPh>
    <rPh sb="248" eb="250">
      <t>こうどう</t>
    </rPh>
    <rPh sb="334" eb="335">
      <t>かん</t>
    </rPh>
    <rPh sb="343" eb="345">
      <t>ときどき</t>
    </rPh>
    <phoneticPr fontId="10" type="Hiragana" alignment="distributed"/>
  </si>
  <si>
    <t>新しいクラスにも慣れ、百桜さんの持っている能力を発揮することができています。休み時間などはみんなと一緒に折り紙をし、思い思いの生活を過ごしています。係活動では、プリント係となり、お昼休みにプリントを取りに行くという重要な係を担っていましたが、その責任を果たすことができたのは素晴らしいと思います。学習面では、基本的な事をしっかりと抑えられてはいるので、今のところ心配はありません。ただし2年生になってからやり方に丁寧さが感じられなくなっていることが気になります。以前のようにゆっくりと考えながら学習を進めてほしいと思います。学習を進める上で、新しいことを身に付けるのに時間がかかる一方、一度身につけてしまうと、人並み以上に深く理解することができます。これが百桜さんの高い能力に繋がっているのだと思います。これから学習が難しくなっていきますが、理解するスピードを上げられるようにしていきましょう。また、新しいことに対して、果敢に挑戦できるようにしていけると良いでしょう。</t>
    <rPh sb="206" eb="208">
      <t>ていねい</t>
    </rPh>
    <rPh sb="210" eb="211">
      <t>かん</t>
    </rPh>
    <rPh sb="224" eb="225">
      <t>き</t>
    </rPh>
    <rPh sb="290" eb="292">
      <t>いっぽう</t>
    </rPh>
    <rPh sb="338" eb="339">
      <t>つな</t>
    </rPh>
    <phoneticPr fontId="10" type="Hiragana" alignment="distributed"/>
  </si>
  <si>
    <t>今年度、2年生のスタートから順調に学校生活を送れるようになりました。時折、体調不良を訴えることもありましたが、大事に至らず、現在は良い状況で生活できていると思います。休み時間等には得意の折り紙を折って、友達と一緒に遊ぶ光景が見られました。細かい手仕事がとても上手で、折り紙を友達に教えてあげたり、作ったものを友達にあげたりしていました。特に紙飛行機を作ることが上手で、みんなから羨望の目で見られています。学習面では算数、国語ともによく理解できており、バランスよく学習できているように思います。ただしページを抜かしたり、問題を抜かしたりというケアレスミスが多く見られたのが残念です。模試においても、ケアレスミスがなければ、満点を取れるだけの実力はあるのにもったいないことです。これは集中力が課題だと思います。自分の好きなことに、もっと貪欲に打ち込むことができるようになれれば、また違った能力を発揮できるのではないかと思います。高い能力を持った幸典君。これからの成長を楽しみにしています。</t>
    <rPh sb="17" eb="19">
      <t>がっこう</t>
    </rPh>
    <phoneticPr fontId="10" type="Hiragana" alignment="distributed"/>
  </si>
  <si>
    <t>遠方からの通学ですが、1日も休まずに元気に登校することができました。活動も活発になり、友達と楽しく遊ぶ光景を数多く見ることができました。文字も丁寧にきれいに書くことができるようになりました。この事は学習面にも良い影響が出てきています。国語の読解においては、更に努力が必要ですが、家庭の協力も頂き、確実に良い方法へ向かっています。以前に比べ読解力の向上が見られるので、引き続き努力を重ねていきましょう。算数において文章問題でつまずくことがありますが、徐々に解消されてきています。漢字も丁寧に学習できており、結果として現れています。このまま学習を続けていきましょう。算数に関しては基本的な事はわかっていますので、あとはコツコツ地道に勉強を続けていきましょう。係活動は、掃除係として毎日責任を持って行なっていました。みんなに向かって注意喚起をすることもあります。やると決めた事はきちっとやるという性格を持ち合わせています。とても良いことだと思います。いつまでも持ち続けてほしいと思います。</t>
    <rPh sb="128" eb="129">
      <t>さら</t>
    </rPh>
    <rPh sb="130" eb="132">
      <t>どりょく</t>
    </rPh>
    <rPh sb="133" eb="135">
      <t>ひつよう</t>
    </rPh>
    <rPh sb="145" eb="146">
      <t>いただき</t>
    </rPh>
    <rPh sb="148" eb="150">
      <t>かくじつ</t>
    </rPh>
    <rPh sb="183" eb="184">
      <t>ひ</t>
    </rPh>
    <rPh sb="185" eb="186">
      <t>つづ</t>
    </rPh>
    <rPh sb="187" eb="189">
      <t>どりょく</t>
    </rPh>
    <rPh sb="190" eb="191">
      <t>かさ</t>
    </rPh>
    <rPh sb="311" eb="313">
      <t>じみち</t>
    </rPh>
    <rPh sb="314" eb="316">
      <t>べんきょう</t>
    </rPh>
    <rPh sb="317" eb="318">
      <t>つづ</t>
    </rPh>
    <rPh sb="363" eb="367">
      <t>ちゅういかんき</t>
    </rPh>
    <phoneticPr fontId="10" type="Hiragana" alignment="distributed"/>
  </si>
  <si>
    <t>毎日元気に学校に通うことができ、1年の時から今まで一度も休むことなく登校できたことは素晴らしいことです。最近活動が活発になり、休み時間にも友達と楽しそうに遊び、昼休みもサッカーで汗びっしょりになりながら遊んでいる姿が見られます。学習面では国語、算数共によく理解できていると思われます。それが模試の成績に反映されないのは、ケアレスミスが多いことに加え、設問で自分なりの解釈で考えてしまうことに要因があると考えています。最近では、物事を丁寧に行わず、早く済ましてしまおうとする傾向にあり、授業中にも集中力が途切れ、話を聞いてないことがあることが少々気になります。生活面では黒板係として依頼されたことに対し、積極的に仕事を行うことができました。給食もよく食べるようになり、ほとんど毎日完食することができています。サッカーの世界に飛び込んだようですが、自分の可能性をどこまで広げられるのか、自分ができる事は何なのか、自分の才を探してみましょう。新たな世界が見つかるかもしれません。</t>
    <rPh sb="25" eb="26">
      <t>いち</t>
    </rPh>
    <rPh sb="72" eb="73">
      <t>たの</t>
    </rPh>
    <rPh sb="77" eb="78">
      <t>あそ</t>
    </rPh>
    <rPh sb="172" eb="173">
      <t>くわ</t>
    </rPh>
    <rPh sb="175" eb="177">
      <t>せつもん</t>
    </rPh>
    <rPh sb="183" eb="185">
      <t>かいしゃく</t>
    </rPh>
    <rPh sb="195" eb="197">
      <t>よういん</t>
    </rPh>
    <rPh sb="201" eb="202">
      <t>かんが</t>
    </rPh>
    <rPh sb="208" eb="210">
      <t>さいきん</t>
    </rPh>
    <rPh sb="213" eb="215">
      <t>ものごと</t>
    </rPh>
    <rPh sb="216" eb="218">
      <t>ていねい</t>
    </rPh>
    <rPh sb="219" eb="220">
      <t>おこな</t>
    </rPh>
    <rPh sb="223" eb="224">
      <t>はや</t>
    </rPh>
    <rPh sb="225" eb="226">
      <t>す</t>
    </rPh>
    <rPh sb="236" eb="238">
      <t>けいこう</t>
    </rPh>
    <rPh sb="255" eb="256">
      <t>はなし</t>
    </rPh>
    <phoneticPr fontId="10" type="Hiragana" alignment="distributed"/>
  </si>
  <si>
    <t>毎日元気よく学校に通うことができ、表情も明るくしっかりと相手の顔を見て自分の話をすることができます。休み時間には折り紙を折ったり、友達と仲良く遊んだりしていおり、昼休みには校庭でサッカーをして、汗びっしょりになって教室に戻ってくる姿が見られます。筋道を立てて行動することができ、次に何をやるのかも理解して行動することができます。学習面では国語、算数ともによく理解できています。模試においても良い成績を収めており、今の学習を続けていきましょう。授業中では積極的に挙手をして発言することは少ないですが、授業をしっかりと聞き、内容を理解しています。係活動ではお助け係になり、手の足りない係の手伝いを進んで行うことができました。与えられた仕事に進んで取り組む姿勢がとても良いと思います。彰仁君は高い能力を持っています。この能力を発揮するためにも、毎日の学習をコツコツと丁寧に行っていきましょう。必ず良い結果が得られると思います。</t>
    <rPh sb="123" eb="125">
      <t>すじみち</t>
    </rPh>
    <rPh sb="126" eb="127">
      <t>た</t>
    </rPh>
    <rPh sb="129" eb="131">
      <t>こうどう</t>
    </rPh>
    <rPh sb="284" eb="285">
      <t>て</t>
    </rPh>
    <rPh sb="286" eb="287">
      <t>た</t>
    </rPh>
    <rPh sb="400" eb="401">
      <t>え</t>
    </rPh>
    <phoneticPr fontId="10" type="Hiragana" alignment="distributed"/>
  </si>
  <si>
    <t>1学期当初は、始業ぎりぎりに登校することが多く、スタートから出遅れてしまうことがありました。現在ではそのような生活が徐々に改善され、みんなと歩調を合わせて行動することができるようになりました。特定の友達と一緒に行動するというよりは、誰とでも仲良くすることができているようです。係は音楽、図工、生活係ですが毎回、次に行う授業の内容を聞いて、みんなに持ち物を伝えることができました。掃除では積極的に重い机を運び、みんなが敬遠するような仕事も進んで行うことができました。体育祭では、力の限り応援をして自分の役目をしっかりと果たすことができました。学習面では国語、算数ともによく理解できています。能力的に高いものを持っていますので、そこをこれから十分に伸ばせるよう勉強を続けていきましょう。字形も整っており、丁寧に物事を行うことができます。このことが良い成績につながっているのだと思います。ただし英語単語の練習は、毎日地道に練習しましょう。この夏休みにはいろいろな経験をして、一層大きく成長してほしいと思います。</t>
    <rPh sb="58" eb="60">
      <t>じょじょ</t>
    </rPh>
    <rPh sb="394" eb="396">
      <t>えいご</t>
    </rPh>
    <rPh sb="396" eb="398">
      <t>たんご</t>
    </rPh>
    <rPh sb="399" eb="401">
      <t>れんしゅう</t>
    </rPh>
    <rPh sb="403" eb="405">
      <t>まいにち</t>
    </rPh>
    <rPh sb="405" eb="407">
      <t>じみち</t>
    </rPh>
    <rPh sb="408" eb="410">
      <t>れんしゅう</t>
    </rPh>
    <phoneticPr fontId="10" type="Hiragana" alignment="distributed"/>
  </si>
  <si>
    <t>毎日早く学校に登校しており、余裕を持って授業に取り組むことができました。休み時間には仲の良い友達と折り紙を折って遊んだり、時にはくだけた話題で盛り上がっていたりする光景が見られました。体育祭では自分の持てる力を全力で出し切り、終わった後は、清々しい表情をしていました。梨奈さんの長所は、誰に対しても親切で、周囲を温かい雰囲気にすることです。学習面では国語、算数ともによく理解できています。国語の模試で点数が伸びなかったのは、詩に関してまだよく慣れてなかったのが原因だと思います。宿題等も丁寧に行っており、今の学習を続ければ、必ず結果が得られるでしょう。真面目に努力できることが梨奈さんの良いところです。いつまでもこのことを持ち続けてほしいと思います。係活動では配り係として責任を持って行動することができました。給食も完食を続け元気いっぱいです。生活面においては整理整頓や返事挨拶等が身に付いており、とても良いです。夏休みにはいろいろな体験をして、一層成長した姿が見られることを願っています。</t>
    <rPh sb="42" eb="43">
      <t>なか</t>
    </rPh>
    <rPh sb="61" eb="62">
      <t>とき</t>
    </rPh>
    <rPh sb="68" eb="70">
      <t>わだい</t>
    </rPh>
    <rPh sb="71" eb="72">
      <t>も</t>
    </rPh>
    <rPh sb="73" eb="74">
      <t>あ</t>
    </rPh>
    <rPh sb="139" eb="141">
      <t>ちょうしょ</t>
    </rPh>
    <rPh sb="156" eb="157">
      <t>あたた</t>
    </rPh>
    <rPh sb="252" eb="253">
      <t>いま</t>
    </rPh>
    <rPh sb="267" eb="268">
      <t>え</t>
    </rPh>
    <rPh sb="355" eb="357">
      <t>きゅうしょく</t>
    </rPh>
    <rPh sb="358" eb="360">
      <t>かんしょく</t>
    </rPh>
    <rPh sb="361" eb="362">
      <t>つづ</t>
    </rPh>
    <rPh sb="363" eb="365">
      <t>げんき</t>
    </rPh>
    <rPh sb="423" eb="427">
      <t>いっそうせいちょう</t>
    </rPh>
    <rPh sb="429" eb="430">
      <t>すがた</t>
    </rPh>
    <rPh sb="431" eb="432">
      <t>み</t>
    </rPh>
    <rPh sb="438" eb="439">
      <t>ねが</t>
    </rPh>
    <phoneticPr fontId="10" type="Hiragana" alignment="distributed"/>
  </si>
  <si>
    <t>遠方より毎日元気に登校することができ、元気で明るく物怖じしない性格は、クラスを明るくしてくれます。また友達に対して、困っていたら手を差し伸べてあげられる優しい面も持ち合わせています。周囲の事によく気がつき、みんなのために動くこともあります。その一方、自分のことを後回しにしてしまうことがあります。まずは自分のことをしっかりと出来るようにしていきましょう。学習面ではケアレスミスが多く、集中力が課題だと思います。根本的に理解できていないのではなく、問題を深くゆっくりと考える習慣を身に付けることが大事です。模試では算数が課題となりました。特に文章問題において点数を落としていましたが、ゆっくりと考えればできるはずです。直感的に物事を捉えるのではなく、論理的な思考ができるようになれば点数が伸びるでしょう。作文ではとてもユニークな発想を持って文章を作ることができます。人とは違った視点で物事を捉えることができるのは、素晴らしいことです。これからもこの点を伸ばしていきましょう。</t>
    <rPh sb="131" eb="133">
      <t>あとまわ</t>
    </rPh>
    <rPh sb="151" eb="153">
      <t>じぶん</t>
    </rPh>
    <rPh sb="162" eb="164">
      <t>でき</t>
    </rPh>
    <phoneticPr fontId="10" type="Hiragana" alignment="distributed"/>
  </si>
  <si>
    <t>毎日クラスで一番初めに登校して、余裕を持って授業の用意をすることができました。またその時間を使ってクラスのみんなのために配り物をしたり、教室の整理をしたりすることができました。感情がいつも安定しており、穏やかで友達もたくさんいます。休み時間には折り紙などをして友達と楽しんでいる姿が見られ、争い事を好まず穏やかに物事を処理することができます。体育祭では自分のチームの優勝を目指して一生懸命頑張る姿が見られました。学習面では国語、算数共によく理解できていると思います。国語の模試では詩の部分で点数を落としていましたが、まだ詩と言うものに慣れていないことが原因だと思われます。宿題なども丁寧に行っており、根本的な部分が理解できていないのではないので、今の学習を続けてください。授業中では積極的に挙手をし、集中して授業を受けています。係の活動では、プリント係として、毎日欠かさずプリントを取りに行く仕事を行うことができました。夏休みにはいろいろな経験をして一回り大きく成長してほしいと思います。</t>
    <rPh sb="68" eb="70">
      <t>きょうしつ</t>
    </rPh>
    <rPh sb="118" eb="119">
      <t>じ</t>
    </rPh>
    <rPh sb="216" eb="217">
      <t>とも</t>
    </rPh>
    <phoneticPr fontId="10" type="Hiragana" alignment="distributed"/>
  </si>
  <si>
    <t>毎日、元気よく明るく挨拶をして教室に入ってくる姿が印象的でした。休み時間等では友達と仲良く遊ぶ光景が見られました。特定の友達と遊ぶというよりは、いろいろな友達と幅広く友好を深めることができました。体育祭ではチームの優勝に向かって一生懸命が応援する姿が見られました。何事にも前向きに頑張る姿がとても良いと思います。学習では国語の読解に課題があります。しかし毎日の学習を丁寧にしっかりと行っていることにより、成果が出てきました。徐々に良くなってきているので、今の学習を進めてください。必ず良い結果が得られると思います。算数はよく理解できています。模試でも高得点を取ることができています。後は計算のスピードが上がるように練習しましよう。係活動は号令係を責任を持って行うことができていました。自分の果たす役目をしっかりと理解し行動することができました。長い夏休みでは、1学期の復習をしっかりとし、2学期に備えてください。いろいろな経験をして一回り大きくなった侑輝君に会うのを楽しみにしています。</t>
    <rPh sb="83" eb="85">
      <t>ゆうこう</t>
    </rPh>
    <rPh sb="202" eb="204">
      <t>せいか</t>
    </rPh>
    <rPh sb="215" eb="216">
      <t>よ</t>
    </rPh>
    <rPh sb="247" eb="248">
      <t>え</t>
    </rPh>
    <rPh sb="271" eb="273">
      <t>もし</t>
    </rPh>
    <rPh sb="429" eb="430">
      <t>あ</t>
    </rPh>
    <rPh sb="433" eb="434">
      <t>たの</t>
    </rPh>
    <phoneticPr fontId="10" type="Hiragana" alignment="distributed"/>
  </si>
  <si>
    <t>欠席3(体調不良3)　遅刻7(体調不良1　家事都合6)</t>
    <rPh sb="0" eb="2">
      <t>ケッセキ</t>
    </rPh>
    <rPh sb="4" eb="8">
      <t>タイチョウフリョウ</t>
    </rPh>
    <rPh sb="11" eb="13">
      <t>チコク</t>
    </rPh>
    <rPh sb="15" eb="19">
      <t>タイチョウフリョウ</t>
    </rPh>
    <rPh sb="21" eb="25">
      <t>カジツゴウ</t>
    </rPh>
    <phoneticPr fontId="1"/>
  </si>
  <si>
    <t>A</t>
    <phoneticPr fontId="10" type="Hiragana" alignment="distributed"/>
  </si>
  <si>
    <t>B</t>
    <phoneticPr fontId="10" type="Hiragana" alignment="distributed"/>
  </si>
  <si>
    <t>出席停止4(コロナウィルス感染4)</t>
    <rPh sb="0" eb="4">
      <t>シュッセキテイシ</t>
    </rPh>
    <rPh sb="13" eb="15">
      <t>カンセン</t>
    </rPh>
    <phoneticPr fontId="1"/>
  </si>
  <si>
    <t>欠席20(体調不良18 通院1　怪我1)　早退25(体調不良25)</t>
    <rPh sb="0" eb="2">
      <t>ケッセキ</t>
    </rPh>
    <rPh sb="5" eb="9">
      <t>タイチョウフリョウ</t>
    </rPh>
    <rPh sb="12" eb="14">
      <t>ツウイン</t>
    </rPh>
    <rPh sb="16" eb="18">
      <t>ケガ</t>
    </rPh>
    <rPh sb="21" eb="23">
      <t>ソウタイ</t>
    </rPh>
    <rPh sb="26" eb="28">
      <t>タイチョウ</t>
    </rPh>
    <rPh sb="28" eb="30">
      <t>フリョウ</t>
    </rPh>
    <phoneticPr fontId="1"/>
  </si>
  <si>
    <t>この項目は適宜変更して下さい。
※注意※
ただし、項目数は１０個まで。仮に少ない場合も行の削除は絶対に行わないで下さい。</t>
    <phoneticPr fontId="1"/>
  </si>
  <si>
    <t>A</t>
    <phoneticPr fontId="1"/>
  </si>
  <si>
    <t>B</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</si>
  <si>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</si>
  <si>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</si>
  <si>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</si>
  <si>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</si>
  <si>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</si>
  <si>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</si>
  <si>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</si>
  <si>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長さの単位ｃｍ、ｍｍについて理解し、ものさしを使って、長さを測ったり直線をかいたりできる</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</si>
  <si>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</si>
  <si>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</si>
  <si>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</si>
  <si>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</si>
  <si>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この項目は適宜変更して下さい。
※注意※
ただし、項目数は１０個まで。仮に少ない場合も行の削除は絶対に行わないで下さい。</t>
    <phoneticPr fontId="1"/>
  </si>
  <si>
    <t>A</t>
    <phoneticPr fontId="1"/>
  </si>
  <si>
    <t>B</t>
    <phoneticPr fontId="1"/>
  </si>
  <si>
    <t>この項目は適宜変更して下さい。
※注意※
ただし、項目数は１０個まで。仮に少ない場合も行の削除は絶対に行わないで下さい。</t>
    <phoneticPr fontId="1"/>
  </si>
  <si>
    <t>A</t>
    <phoneticPr fontId="1"/>
  </si>
  <si>
    <t>この項目は適宜変更して下さい。
※注意※
ただし、項目数は１０個まで。仮に少ない場合も行の削除は絶対に行わないで下さい。</t>
    <phoneticPr fontId="1"/>
  </si>
  <si>
    <t>図工への関心を持ち、楽しく制作に取り組んでいる</t>
    <phoneticPr fontId="1"/>
  </si>
  <si>
    <t>A</t>
    <phoneticPr fontId="1"/>
  </si>
  <si>
    <t>豊かな発想を持ち自由に表現することができる</t>
    <phoneticPr fontId="1"/>
  </si>
  <si>
    <t>B</t>
    <phoneticPr fontId="1"/>
  </si>
  <si>
    <t>つくりたいもののイメージを持ち、それに向かって制作することができる</t>
    <phoneticPr fontId="1"/>
  </si>
  <si>
    <t>自分や友達の作品から良さや面白さ、美しさを感じとることができる</t>
    <phoneticPr fontId="1"/>
  </si>
  <si>
    <t>とても積極的に活動しています。【でんしゃでGO！】では、場所を広く使ってカーブの線路や駅をたくさんつくっていました。友達の工夫なども良く気が付き、友達に伝える姿が見られました。</t>
    <phoneticPr fontId="1"/>
  </si>
  <si>
    <t>つくりたい作品のイメージがいつもはっきりとしています。絵を描くときには、画面からはみ出るほど大きく表現することができます。陶芸でも、ウサギと家を大きく表現していました。</t>
    <phoneticPr fontId="1"/>
  </si>
  <si>
    <t>非常に能力が高く、自分が納得する形につくり上げることができます。【でんしゃでGO！】では、２両の電車をつくり、丁寧に色を塗っていました。2学期も集中して活動に取り組んでいって欲しいと感じています。</t>
    <phoneticPr fontId="1"/>
  </si>
  <si>
    <t>自分がイメージしたことを、しっかりと表現することができます。技能力が高く、細かい作品をつくることが得意です。【カッター名人になろう！】では、窓の形やガラスの面などを繊細に仕上げていました。</t>
    <phoneticPr fontId="1"/>
  </si>
  <si>
    <t>豪快に作品をつくっていました。【でんしゃでGO！】でも線路や駅をたくさんつくってはつなげ、ダイナミックに活動していました。恐竜が大好きで、よく色々なところに登場させています。</t>
    <phoneticPr fontId="1"/>
  </si>
  <si>
    <t>細かく丁寧に作品をつくることができます。時々細かくなりすぎて全体が見えなくなる傾向があるため、必要に応じて声を掛けていきたいと考えています。思い付いたことを、たくさん言葉にして紹介することができます。</t>
    <phoneticPr fontId="1"/>
  </si>
  <si>
    <t>パッと表現することが多く、色がしっかりと塗れていなかったり、テープが剝がれそうだったりと、つくりが弱い作品に仕上がってしまうことが多く見られます。指摘されると完成度を上げることができるので、意識して取り組ませていきたいです。</t>
    <phoneticPr fontId="1"/>
  </si>
  <si>
    <t>スムーズに製作を進めることができます。手順もしっかりと理解することができます。これからは、もう一工夫できるとさらに作品の完成度が上がると感じています。</t>
    <phoneticPr fontId="1"/>
  </si>
  <si>
    <t>独自の解釈や方法で製作を進める傾向にあります。気に入った活動や作品には思い入れが深く、最後まで取り組む姿が見られます。【でんしゃでGO！】では、線路や駅をたくさんつなげて、活動を広げていました。</t>
    <phoneticPr fontId="1"/>
  </si>
  <si>
    <t>発想が豊かで、技能面のスキルも身に付けながら活動に取り組むことができました。つくりたい作品の思いの丈が高すぎると、時々こちらの助言が入らないことがありますが、自分でしっかりと解決しています。</t>
    <phoneticPr fontId="1"/>
  </si>
  <si>
    <t>丁寧に製作することができます。どんな作品にするか決定するのに時間がかかりますが、時間以内には仕上げることができます。道具や材料にどんどん慣れてくると、もっと自信をもって表現できるように感じます。</t>
    <phoneticPr fontId="1"/>
  </si>
  <si>
    <t>作品が上滑りし、雑になってしまうため、もう少し落ち着いて活動ができるといいな、と思っています。【でんしゃでGO！】では、車両を２台つくったり、線路にカーブをつけたりと、とても意欲的に取り組んでいました。</t>
    <phoneticPr fontId="1"/>
  </si>
  <si>
    <t>毎回の授業に興味津々で臨んでいました。【でんしゃでGO！】では、動物の車両をつくっていました。最後の旅に何度も出かけては、もっとよくするために、つくりたいものを増やしていました。</t>
    <phoneticPr fontId="1"/>
  </si>
  <si>
    <t>没頭して製作に取り組むことができます。落ち着いて活動できれば、作品のレベルが上がるように感じています。陶芸の【お好み焼き】では、四角いブロック状の粘土をたくさん組み合わせ、ロボットをつくっていました。</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</si>
  <si>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</si>
  <si>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</si>
  <si>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</si>
  <si>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</si>
  <si>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タイミングを合わせたバトンパスができる（リレー）</t>
    <phoneticPr fontId="1"/>
  </si>
  <si>
    <t>-</t>
    <phoneticPr fontId="1"/>
  </si>
  <si>
    <t>150～200</t>
    <phoneticPr fontId="10" type="Hiragana" alignment="distributed"/>
  </si>
  <si>
    <t>どきどきしながらも人に親切にした3人の話などを通して、人に優しくすることは、どうして大切なのかを考えさせ、身近な人に温かい心で接し、進んで親切にしようとする心情を育てる「どきどきしたけど」という単元では、みんなに親切にすることで、周りのみんなも幸せな気持ちになれることを学習しました。優しさが大切であることを実感できました。</t>
    <rPh sb="106" eb="108">
      <t>シンセツ</t>
    </rPh>
    <rPh sb="115" eb="116">
      <t>マワ</t>
    </rPh>
    <rPh sb="122" eb="123">
      <t>シアワ</t>
    </rPh>
    <rPh sb="125" eb="127">
      <t>キモ</t>
    </rPh>
    <rPh sb="135" eb="137">
      <t>ガクシュウ</t>
    </rPh>
    <rPh sb="142" eb="143">
      <t>ヤサ</t>
    </rPh>
    <rPh sb="146" eb="148">
      <t>タイセツ</t>
    </rPh>
    <rPh sb="154" eb="156">
      <t>ジッカン</t>
    </rPh>
    <phoneticPr fontId="1"/>
  </si>
  <si>
    <t>A</t>
    <phoneticPr fontId="10" type="Hiragana" alignment="distributed"/>
  </si>
  <si>
    <t>B</t>
    <phoneticPr fontId="10" type="Hiragana" alignment="distributed"/>
  </si>
  <si>
    <t>B</t>
    <phoneticPr fontId="10" type="Hiragana" alignment="distributed"/>
  </si>
  <si>
    <t>A</t>
    <phoneticPr fontId="10" type="Hiragana" alignment="distributed"/>
  </si>
  <si>
    <t>総合所見</t>
    <phoneticPr fontId="1"/>
  </si>
  <si>
    <t>400～450</t>
    <phoneticPr fontId="10" type="Hiragana" alignment="distributed"/>
  </si>
  <si>
    <t>明るく元気に毎日登校でき、お友達とも仲良く楽しそうに折り紙などをして、休み時間に遊ぶ光景が見られました。特定の友達といつもいるのではなく、いろいろな友達と交流を深めていたようです。観察眼が鋭くて、いろいろなことに気がつきます。係の仕事は黒板係で、自ら気がつき、黒板消しにクリーナーをかけたり、黒板の字を消したりすることができました。また、依頼されたことに対して気持ち良く行動することができました。学習面では、能力的に高いものを持っています。それが模試の成績と結び付いていないのは、理解そのものができてないのではなく、ケアレスミスや単純な考え方の間違いから起こるものだと思われます。国語に関しては読解、語彙など高いレベルで学習ができています。授業中はよく話を聞き、挙手も積極的に行なってます。何事も前向きに頑張る姿勢はとても良いと思います。夏休みは1学期の復習を中心に勉強を進めてください。また、いろいろな経験を積む良いチャンスです。一回り大きくなった理子さんを楽しみにしています。</t>
    <phoneticPr fontId="10" type="Hiragana" alignment="distributed"/>
  </si>
  <si>
    <t>登校するとすぐに自分の整理に取り掛かり、しっかりと用意をして次の準備をすることができます。休み時間には仲の良いお友達と折り紙をして遊んだり、腕相撲をしたり、お話をしたりしている光景を見ることができました。係の仕事は配り係で、依頼されたことを責任を持って行えました。学習に関しては算数、国語共に非常に高いレベルで理解ができています。ワークなどのやり残しはありますが、自分で学習する能力を持っていますので、夏休みの間に、できる範囲内で、やっていない部分をやっておくと良いでしょう。授業では積極的に挙手をし発言する様子も見られました。生活面においては指摘するようなことは特にありません。今は自分の体調を一番に考え、その中で出来ることをやっていければ良いと思います。疲れを溜め込まないように、自分でコントロールできているようですので、今の状態を維持していくことが、一番良いのではないかと思います。たくさんの可能性を秘めた怜奈さん。これからも静かに見守っていきたいと思います。</t>
    <rPh sb="70" eb="73">
      <t>うでずもう</t>
    </rPh>
    <rPh sb="211" eb="213">
      <t>はんい</t>
    </rPh>
    <rPh sb="213" eb="214">
      <t>ない</t>
    </rPh>
    <rPh sb="222" eb="224">
      <t>ぶぶん</t>
    </rPh>
    <rPh sb="308" eb="310">
      <t>でき</t>
    </rPh>
    <rPh sb="321" eb="322">
      <t>よ</t>
    </rPh>
    <rPh sb="406" eb="408">
      <t>れな</t>
    </rPh>
    <phoneticPr fontId="10" type="Hiragana" alignment="distributed"/>
  </si>
  <si>
    <t xml:space="preserve"> 出席日数（自動計算）</t>
    <phoneticPr fontId="1"/>
  </si>
  <si>
    <t xml:space="preserve"> 欠席日数</t>
    <phoneticPr fontId="1"/>
  </si>
  <si>
    <t>欠席1(発熱1)</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</si>
</sst>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3"/>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b/>
      <sz val="12"/>
      <color theme="0"/>
      <name val="ＭＳ Ｐ明朝"/>
      <family val="1"/>
      <charset val="128"/>
    </font>
    <font>
      <sz val="11"/>
      <color rgb="FF222222"/>
      <name val="ＭＳ 明朝"/>
      <family val="1"/>
      <charset val="128"/>
    </font>
    <font>
      <sz val="11"/>
      <color theme="1"/>
      <name val="ＭＳ Ｐ明朝"/>
      <family val="1"/>
      <charset val="128"/>
    </font>
  </fonts>
  <fills count="14">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s>
  <borders count="52">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s>
  <cellStyleXfs count="1">
    <xf numFmtId="0" fontId="0" fillId="0" borderId="0">
      <alignment vertical="center"/>
    </xf>
  </cellStyleXfs>
  <cellXfs count="191">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8" fillId="2" borderId="14" xfId="0" applyNumberFormat="1" applyFont="1" applyFill="1" applyBorder="1" applyAlignment="1">
      <alignment horizontal="center" vertical="center" wrapText="1"/>
    </xf>
    <xf numFmtId="0" fontId="8" fillId="2" borderId="14" xfId="0" applyFont="1" applyFill="1" applyBorder="1" applyAlignment="1">
      <alignment horizontal="center" vertical="center"/>
    </xf>
    <xf numFmtId="0" fontId="7"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9"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11"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2" fillId="8" borderId="14" xfId="0" applyFont="1" applyFill="1" applyBorder="1">
      <alignment vertical="center"/>
    </xf>
    <xf numFmtId="0" fontId="12" fillId="12" borderId="48" xfId="0" applyFont="1" applyFill="1" applyBorder="1" applyAlignment="1">
      <alignment horizontal="center" vertical="center"/>
    </xf>
    <xf numFmtId="0" fontId="13" fillId="11" borderId="4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3" fillId="0" borderId="14" xfId="0" applyFont="1" applyFill="1" applyBorder="1" applyAlignment="1">
      <alignment horizontal="right" vertical="center"/>
    </xf>
    <xf numFmtId="0" fontId="15" fillId="0" borderId="0" xfId="0" applyFont="1" applyFill="1" applyBorder="1" applyAlignment="1">
      <alignment vertical="top" wrapText="1" shrinkToFit="1"/>
    </xf>
    <xf numFmtId="0" fontId="3" fillId="13" borderId="14" xfId="0" applyFont="1" applyFill="1" applyBorder="1" applyAlignment="1">
      <alignment horizontal="center" vertical="center" wrapText="1"/>
    </xf>
    <xf numFmtId="0" fontId="3" fillId="0" borderId="14" xfId="0" applyFont="1" applyFill="1" applyBorder="1" applyAlignment="1" applyProtection="1">
      <alignment horizontal="center" vertical="center"/>
      <protection locked="0"/>
    </xf>
    <xf numFmtId="0" fontId="16" fillId="0" borderId="14" xfId="0" applyFont="1" applyBorder="1" applyAlignment="1" applyProtection="1">
      <alignment horizontal="left" vertical="center" wrapText="1"/>
      <protection locked="0"/>
    </xf>
    <xf numFmtId="0" fontId="2" fillId="0" borderId="14" xfId="0" applyFont="1" applyBorder="1" applyAlignment="1" applyProtection="1">
      <alignment horizontal="center" vertical="center"/>
      <protection locked="0"/>
    </xf>
    <xf numFmtId="0" fontId="8" fillId="2" borderId="14" xfId="0" applyFont="1" applyFill="1" applyBorder="1" applyAlignment="1">
      <alignment horizontal="center" vertical="center" wrapText="1"/>
    </xf>
    <xf numFmtId="0" fontId="3" fillId="0" borderId="0" xfId="0" applyFont="1" applyAlignment="1">
      <alignment vertical="center" textRotation="255"/>
    </xf>
    <xf numFmtId="0" fontId="3" fillId="0" borderId="0" xfId="0" applyFont="1">
      <alignment vertical="center"/>
    </xf>
    <xf numFmtId="0" fontId="9" fillId="0" borderId="0" xfId="0" applyFont="1">
      <alignment vertical="center"/>
    </xf>
    <xf numFmtId="0" fontId="3" fillId="0" borderId="31" xfId="0" applyFont="1" applyBorder="1" applyAlignment="1">
      <alignment horizontal="left" vertical="center" wrapText="1"/>
    </xf>
    <xf numFmtId="0" fontId="3" fillId="0" borderId="14" xfId="0" applyFont="1" applyBorder="1" applyAlignment="1" applyProtection="1">
      <alignment horizontal="center" vertical="center"/>
      <protection locked="0"/>
    </xf>
    <xf numFmtId="0" fontId="2" fillId="3" borderId="14" xfId="0" applyFont="1" applyFill="1" applyBorder="1" applyProtection="1">
      <alignment vertical="center"/>
      <protection locked="0"/>
    </xf>
    <xf numFmtId="0" fontId="3" fillId="0" borderId="0" xfId="0" applyFont="1" applyAlignment="1">
      <alignment horizontal="center" vertical="center"/>
    </xf>
    <xf numFmtId="0" fontId="3" fillId="8" borderId="0" xfId="0" applyFont="1" applyFill="1" applyAlignment="1">
      <alignment horizontal="left" vertical="center" wrapText="1"/>
    </xf>
    <xf numFmtId="0" fontId="3" fillId="3" borderId="14" xfId="0" applyFont="1" applyFill="1" applyBorder="1" applyProtection="1">
      <alignment vertical="center"/>
      <protection locked="0"/>
    </xf>
    <xf numFmtId="0" fontId="3" fillId="3" borderId="14" xfId="0" applyFont="1" applyFill="1" applyBorder="1" applyAlignment="1">
      <alignment horizontal="left" vertical="center"/>
    </xf>
    <xf numFmtId="0" fontId="17" fillId="0" borderId="14" xfId="0" applyFont="1" applyBorder="1" applyProtection="1">
      <alignment vertical="center"/>
      <protection locked="0"/>
    </xf>
    <xf numFmtId="0" fontId="17" fillId="0" borderId="14" xfId="0" applyFont="1" applyBorder="1" applyAlignment="1" applyProtection="1">
      <alignment vertical="center" wrapText="1"/>
      <protection locked="0"/>
    </xf>
    <xf numFmtId="0" fontId="3" fillId="0" borderId="30" xfId="0" applyFont="1" applyBorder="1" applyAlignment="1" applyProtection="1">
      <alignment vertical="center" wrapText="1" shrinkToFit="1"/>
      <protection locked="0"/>
    </xf>
    <xf numFmtId="0" fontId="3" fillId="0" borderId="0" xfId="0" applyFont="1" applyFill="1" applyAlignment="1">
      <alignment horizontal="center" vertical="center"/>
    </xf>
    <xf numFmtId="0" fontId="3" fillId="6" borderId="14" xfId="0" applyNumberFormat="1" applyFont="1" applyFill="1" applyBorder="1" applyAlignment="1">
      <alignment horizontal="center" vertical="center" wrapText="1"/>
    </xf>
    <xf numFmtId="0" fontId="16" fillId="0" borderId="14" xfId="0" applyFont="1" applyBorder="1" applyAlignment="1" applyProtection="1">
      <alignment vertical="center" wrapText="1"/>
      <protection locked="0"/>
    </xf>
    <xf numFmtId="0" fontId="3" fillId="0" borderId="14" xfId="0" applyNumberFormat="1" applyFont="1" applyFill="1" applyBorder="1" applyAlignment="1" applyProtection="1">
      <alignment horizontal="left" vertical="center" wrapText="1"/>
      <protection locked="0"/>
    </xf>
    <xf numFmtId="0" fontId="2" fillId="0" borderId="14" xfId="0" applyFont="1" applyFill="1" applyBorder="1" applyProtection="1">
      <alignment vertical="center"/>
      <protection locked="0"/>
    </xf>
    <xf numFmtId="0" fontId="3" fillId="3" borderId="14" xfId="0" applyFont="1" applyFill="1" applyBorder="1" applyAlignment="1" applyProtection="1">
      <alignment vertical="center"/>
      <protection locked="0"/>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3" fillId="0" borderId="11" xfId="0" applyNumberFormat="1" applyFont="1" applyFill="1" applyBorder="1" applyAlignment="1">
      <alignment horizontal="left" vertical="top" wrapText="1"/>
    </xf>
    <xf numFmtId="0" fontId="3" fillId="0" borderId="9" xfId="0" applyNumberFormat="1" applyFont="1" applyFill="1" applyBorder="1" applyAlignment="1">
      <alignment horizontal="left" vertical="top" wrapText="1"/>
    </xf>
    <xf numFmtId="0" fontId="3" fillId="0" borderId="10" xfId="0" applyNumberFormat="1" applyFont="1" applyFill="1" applyBorder="1" applyAlignment="1">
      <alignment horizontal="left" vertical="top" wrapText="1"/>
    </xf>
    <xf numFmtId="0" fontId="3" fillId="0" borderId="40" xfId="0" applyNumberFormat="1" applyFont="1" applyFill="1" applyBorder="1" applyAlignment="1">
      <alignment horizontal="left" vertical="top" wrapText="1"/>
    </xf>
    <xf numFmtId="0" fontId="3" fillId="0" borderId="0" xfId="0" applyNumberFormat="1" applyFont="1" applyFill="1" applyBorder="1" applyAlignment="1">
      <alignment horizontal="left" vertical="top" wrapText="1"/>
    </xf>
    <xf numFmtId="0" fontId="3" fillId="0" borderId="34" xfId="0" applyNumberFormat="1" applyFont="1" applyFill="1" applyBorder="1" applyAlignment="1">
      <alignment horizontal="left" vertical="top" wrapText="1"/>
    </xf>
    <xf numFmtId="0" fontId="3" fillId="0" borderId="41" xfId="0" applyNumberFormat="1" applyFont="1" applyFill="1" applyBorder="1" applyAlignment="1">
      <alignment horizontal="left" vertical="top" wrapText="1"/>
    </xf>
    <xf numFmtId="0" fontId="3" fillId="0" borderId="1" xfId="0" applyNumberFormat="1" applyFont="1" applyFill="1" applyBorder="1" applyAlignment="1">
      <alignment horizontal="left" vertical="top" wrapText="1"/>
    </xf>
    <xf numFmtId="0" fontId="3" fillId="0" borderId="38" xfId="0" applyNumberFormat="1" applyFont="1" applyFill="1" applyBorder="1" applyAlignment="1">
      <alignment horizontal="left" vertical="top" wrapTex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16"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3" fillId="0" borderId="24" xfId="0" applyFont="1" applyFill="1" applyBorder="1" applyAlignment="1">
      <alignment horizontal="left" vertical="center" shrinkToFit="1"/>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13" fillId="11" borderId="49" xfId="0" applyFont="1" applyFill="1" applyBorder="1" applyAlignment="1">
      <alignment horizontal="center" vertical="center"/>
    </xf>
    <xf numFmtId="0" fontId="13" fillId="11" borderId="50" xfId="0" applyFont="1" applyFill="1" applyBorder="1" applyAlignment="1">
      <alignment horizontal="center" vertical="center"/>
    </xf>
    <xf numFmtId="0" fontId="6" fillId="0" borderId="42" xfId="0" applyFont="1" applyFill="1" applyBorder="1" applyAlignment="1">
      <alignment horizontal="left" vertical="top" wrapText="1"/>
    </xf>
    <xf numFmtId="0" fontId="6" fillId="0" borderId="31" xfId="0" applyFont="1" applyFill="1" applyBorder="1" applyAlignment="1">
      <alignment horizontal="left" vertical="top" wrapText="1"/>
    </xf>
    <xf numFmtId="0" fontId="6" fillId="0" borderId="32" xfId="0" applyFont="1" applyFill="1" applyBorder="1" applyAlignment="1">
      <alignment horizontal="left" vertical="top" wrapTex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6" fillId="0" borderId="8" xfId="0" applyFont="1" applyFill="1" applyBorder="1" applyAlignment="1">
      <alignment horizontal="left" vertical="top" wrapText="1" shrinkToFit="1"/>
    </xf>
    <xf numFmtId="0" fontId="6" fillId="0" borderId="39" xfId="0" applyFont="1" applyFill="1" applyBorder="1" applyAlignment="1">
      <alignment horizontal="left" vertical="top" wrapText="1"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7" fillId="4" borderId="45" xfId="0" applyFont="1" applyFill="1" applyBorder="1" applyAlignment="1">
      <alignment horizontal="left" vertical="center" wrapText="1"/>
    </xf>
    <xf numFmtId="0" fontId="7" fillId="4" borderId="46" xfId="0" applyFont="1" applyFill="1" applyBorder="1" applyAlignment="1">
      <alignment horizontal="left" vertical="center" wrapText="1"/>
    </xf>
    <xf numFmtId="0" fontId="7" fillId="4" borderId="41" xfId="0" applyFont="1" applyFill="1" applyBorder="1" applyAlignment="1">
      <alignment horizontal="left" vertical="center" wrapText="1"/>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0" borderId="30" xfId="0" applyFont="1" applyBorder="1" applyAlignment="1" applyProtection="1">
      <alignment horizontal="left" vertical="top" wrapText="1"/>
      <protection locked="0"/>
    </xf>
    <xf numFmtId="0" fontId="3" fillId="0" borderId="31"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11" fillId="7" borderId="30" xfId="0" applyNumberFormat="1" applyFont="1" applyFill="1" applyBorder="1" applyAlignment="1">
      <alignment horizontal="center" vertical="center"/>
    </xf>
    <xf numFmtId="0" fontId="11" fillId="7" borderId="31" xfId="0" applyNumberFormat="1" applyFont="1" applyFill="1" applyBorder="1" applyAlignment="1">
      <alignment horizontal="center" vertical="center"/>
    </xf>
    <xf numFmtId="0" fontId="11" fillId="7" borderId="32" xfId="0" applyNumberFormat="1" applyFont="1" applyFill="1" applyBorder="1" applyAlignment="1">
      <alignment horizontal="center" vertical="center"/>
    </xf>
    <xf numFmtId="0" fontId="3" fillId="8" borderId="14" xfId="0" applyFont="1" applyFill="1" applyBorder="1" applyAlignment="1">
      <alignment horizontal="left"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cellXfs>
  <cellStyles count="1">
    <cellStyle name="標準" xfId="0" builtinId="0"/>
  </cellStyles>
  <dxfs count="16">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581024</xdr:colOff>
      <xdr:row>0</xdr:row>
      <xdr:rowOff>114300</xdr:rowOff>
    </xdr:from>
    <xdr:to>
      <xdr:col>17</xdr:col>
      <xdr:colOff>600074</xdr:colOff>
      <xdr:row>3</xdr:row>
      <xdr:rowOff>95250</xdr:rowOff>
    </xdr:to>
    <xdr:sp macro="" textlink="">
      <xdr:nvSpPr>
        <xdr:cNvPr id="5" name="テキスト ボックス 4"/>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6" name="テキスト ボックス 5"/>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16</xdr:col>
      <xdr:colOff>104776</xdr:colOff>
      <xdr:row>5</xdr:row>
      <xdr:rowOff>66675</xdr:rowOff>
    </xdr:from>
    <xdr:to>
      <xdr:col>17</xdr:col>
      <xdr:colOff>561976</xdr:colOff>
      <xdr:row>7</xdr:row>
      <xdr:rowOff>114300</xdr:rowOff>
    </xdr:to>
    <xdr:sp macro="" textlink="">
      <xdr:nvSpPr>
        <xdr:cNvPr id="7" name="テキスト ボックス 6"/>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8" name="テキスト ボックス 7"/>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9" name="テキスト ボックス 8"/>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0" name="テキスト ボックス 9"/>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1" name="テキスト ボックス 10"/>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15</xdr:col>
      <xdr:colOff>1247776</xdr:colOff>
      <xdr:row>5</xdr:row>
      <xdr:rowOff>76200</xdr:rowOff>
    </xdr:from>
    <xdr:to>
      <xdr:col>17</xdr:col>
      <xdr:colOff>666750</xdr:colOff>
      <xdr:row>10</xdr:row>
      <xdr:rowOff>171451</xdr:rowOff>
    </xdr:to>
    <xdr:sp macro="" textlink="">
      <xdr:nvSpPr>
        <xdr:cNvPr id="12" name="テキスト ボックス 11"/>
        <xdr:cNvSpPr txBox="1"/>
      </xdr:nvSpPr>
      <xdr:spPr>
        <a:xfrm>
          <a:off x="12001501" y="1181100"/>
          <a:ext cx="1085849"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10</xdr:col>
          <xdr:colOff>66675</xdr:colOff>
          <xdr:row>83</xdr:row>
          <xdr:rowOff>200025</xdr:rowOff>
        </xdr:from>
        <xdr:to>
          <xdr:col>11</xdr:col>
          <xdr:colOff>9525</xdr:colOff>
          <xdr:row>85</xdr:row>
          <xdr:rowOff>19050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83</xdr:row>
          <xdr:rowOff>200025</xdr:rowOff>
        </xdr:from>
        <xdr:to>
          <xdr:col>12</xdr:col>
          <xdr:colOff>438150</xdr:colOff>
          <xdr:row>85</xdr:row>
          <xdr:rowOff>19050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17</xdr:row>
          <xdr:rowOff>200025</xdr:rowOff>
        </xdr:from>
        <xdr:to>
          <xdr:col>11</xdr:col>
          <xdr:colOff>9525</xdr:colOff>
          <xdr:row>19</xdr:row>
          <xdr:rowOff>19050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17</xdr:row>
          <xdr:rowOff>200025</xdr:rowOff>
        </xdr:from>
        <xdr:to>
          <xdr:col>12</xdr:col>
          <xdr:colOff>438150</xdr:colOff>
          <xdr:row>19</xdr:row>
          <xdr:rowOff>19050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1"/>
  <sheetViews>
    <sheetView tabSelected="1" view="pageBreakPreview" zoomScaleNormal="85" zoomScaleSheetLayoutView="100" workbookViewId="0">
      <selection activeCell="P13" sqref="P13"/>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40" t="str">
        <f ca="1">MID(CELL("filename",A1),FIND("[",CELL("filename",A1))+1,3)</f>
        <v>２－３</v>
      </c>
      <c r="B1" s="140"/>
      <c r="C1" s="141" t="str">
        <f ca="1">RIGHT(LEFT(CELL("filename",A1),FIND("[",CELL("filename",A1))-2),3)</f>
        <v>1学期</v>
      </c>
      <c r="D1" s="141"/>
      <c r="E1" s="141"/>
      <c r="F1" s="141"/>
      <c r="G1" s="141"/>
      <c r="H1" s="5"/>
      <c r="I1" s="5"/>
    </row>
    <row r="2" spans="1:17" ht="18.75" customHeight="1">
      <c r="A2" s="2" t="s">
        <v>19</v>
      </c>
      <c r="B2" s="1">
        <v>9</v>
      </c>
      <c r="F2" s="4" t="s">
        <v>18</v>
      </c>
      <c r="G2" s="142" t="str">
        <f ca="1">INDIRECT("'所見'!A"&amp;12+$B$2)</f>
        <v>丸茂 彰仁</v>
      </c>
      <c r="H2" s="142"/>
      <c r="I2" s="142"/>
    </row>
    <row r="3" spans="1:17" ht="12" customHeight="1">
      <c r="C3" s="9"/>
      <c r="D3" s="9"/>
      <c r="E3" s="9"/>
      <c r="F3" s="9"/>
      <c r="G3" s="9"/>
      <c r="H3" s="9"/>
      <c r="I3" s="9"/>
    </row>
    <row r="4" spans="1:17" ht="18.75" customHeight="1">
      <c r="A4" s="111" t="s">
        <v>20</v>
      </c>
      <c r="B4" s="112"/>
      <c r="C4" s="112"/>
      <c r="D4" s="112"/>
      <c r="E4" s="112"/>
      <c r="F4" s="112"/>
      <c r="G4" s="112"/>
      <c r="H4" s="112"/>
      <c r="I4" s="113"/>
    </row>
    <row r="5" spans="1:17" ht="18.75" customHeight="1">
      <c r="A5" s="19" t="s">
        <v>5</v>
      </c>
      <c r="B5" s="148" t="s">
        <v>6</v>
      </c>
      <c r="C5" s="148"/>
      <c r="D5" s="148"/>
      <c r="E5" s="148"/>
      <c r="F5" s="148"/>
      <c r="G5" s="20" t="s">
        <v>7</v>
      </c>
      <c r="H5" s="148" t="s">
        <v>8</v>
      </c>
      <c r="I5" s="149"/>
      <c r="Q5" s="66">
        <v>33</v>
      </c>
    </row>
    <row r="6" spans="1:17" ht="18.75" customHeight="1" thickBot="1">
      <c r="A6" s="120" t="s">
        <v>9</v>
      </c>
      <c r="B6" s="123" t="str">
        <f>国語!B2</f>
        <v>国語に関心を持ち、進んで読んだり、書いたりすることができる</v>
      </c>
      <c r="C6" s="124"/>
      <c r="D6" s="124"/>
      <c r="E6" s="124"/>
      <c r="F6" s="125"/>
      <c r="G6" s="21" t="str">
        <f ca="1">OFFSET(国語!C2,0,$B$2)</f>
        <v>A</v>
      </c>
      <c r="H6" s="126">
        <f ca="1">OFFSET(国語!C12,0,$B$2)</f>
        <v>5</v>
      </c>
      <c r="I6" s="127"/>
      <c r="O6" s="8">
        <v>1</v>
      </c>
      <c r="P6" s="52" t="str">
        <f ca="1">INDIRECT("'出欠'!A"&amp;9+O6)</f>
        <v>奥山 大雅</v>
      </c>
    </row>
    <row r="7" spans="1:17" ht="18.75" customHeight="1" thickBot="1">
      <c r="A7" s="121"/>
      <c r="B7" s="119" t="str">
        <f>国語!B3</f>
        <v>語のまとまりや言葉の響きなどに気をつけて音読や発表をすることができる</v>
      </c>
      <c r="C7" s="115"/>
      <c r="D7" s="115"/>
      <c r="E7" s="115"/>
      <c r="F7" s="116"/>
      <c r="G7" s="17" t="str">
        <f ca="1">OFFSET(国語!C3,0,$B$2)</f>
        <v>A</v>
      </c>
      <c r="H7" s="128"/>
      <c r="I7" s="129"/>
      <c r="K7" s="143" t="s">
        <v>41</v>
      </c>
      <c r="L7" s="144"/>
      <c r="O7" s="8">
        <v>2</v>
      </c>
      <c r="P7" s="52" t="str">
        <f t="shared" ref="P7:P30" ca="1" si="0">INDIRECT("'出欠'!A"&amp;9+O7)</f>
        <v>兼村 祐希</v>
      </c>
    </row>
    <row r="8" spans="1:17" ht="18.75" customHeight="1" thickBot="1">
      <c r="A8" s="121"/>
      <c r="B8" s="119" t="str">
        <f>国語!B4</f>
        <v>大事なことを落とさないように聞いたり話したりすることができる</v>
      </c>
      <c r="C8" s="115"/>
      <c r="D8" s="115"/>
      <c r="E8" s="115"/>
      <c r="F8" s="116"/>
      <c r="G8" s="17" t="str">
        <f ca="1">OFFSET(国語!C4,0,$B$2)</f>
        <v>A</v>
      </c>
      <c r="H8" s="128"/>
      <c r="I8" s="129"/>
      <c r="K8" s="51" t="s">
        <v>42</v>
      </c>
      <c r="L8" s="51" t="s">
        <v>43</v>
      </c>
      <c r="O8" s="8">
        <v>3</v>
      </c>
      <c r="P8" s="52" t="str">
        <f t="shared" ca="1" si="0"/>
        <v>熊谷 百桜</v>
      </c>
    </row>
    <row r="9" spans="1:17" ht="18.75" customHeight="1" thickBot="1">
      <c r="A9" s="121"/>
      <c r="B9" s="119" t="str">
        <f>国語!B5</f>
        <v>観察したことを記録する文章を書いたり、組み立てを考えて文章を書いたりすることができる</v>
      </c>
      <c r="C9" s="115"/>
      <c r="D9" s="115"/>
      <c r="E9" s="115"/>
      <c r="F9" s="116"/>
      <c r="G9" s="17" t="str">
        <f ca="1">OFFSET(国語!C5,0,$B$2)</f>
        <v>A</v>
      </c>
      <c r="H9" s="128"/>
      <c r="I9" s="129"/>
      <c r="K9" s="50">
        <v>8</v>
      </c>
      <c r="L9" s="50">
        <v>8</v>
      </c>
      <c r="O9" s="8">
        <v>4</v>
      </c>
      <c r="P9" s="52" t="str">
        <f t="shared" ca="1" si="0"/>
        <v>小原 幸典</v>
      </c>
    </row>
    <row r="10" spans="1:17" ht="18.75" customHeight="1">
      <c r="A10" s="121"/>
      <c r="B10" s="119" t="str">
        <f>国語!B6</f>
        <v>物語文を読んで、場面の様子を想像したり、内容を読み取ったりすることができる</v>
      </c>
      <c r="C10" s="115"/>
      <c r="D10" s="115"/>
      <c r="E10" s="115"/>
      <c r="F10" s="116"/>
      <c r="G10" s="17" t="str">
        <f ca="1">OFFSET(国語!C6,0,$B$2)</f>
        <v>A</v>
      </c>
      <c r="H10" s="128"/>
      <c r="I10" s="129"/>
      <c r="O10" s="8">
        <v>5</v>
      </c>
      <c r="P10" s="52" t="str">
        <f t="shared" ca="1" si="0"/>
        <v>清水 清豪</v>
      </c>
    </row>
    <row r="11" spans="1:17" ht="18.75" customHeight="1">
      <c r="A11" s="121"/>
      <c r="B11" s="119" t="str">
        <f>国語!B7</f>
        <v>説明文の内容を、順を追って整理したり、理解したりすることができる</v>
      </c>
      <c r="C11" s="115"/>
      <c r="D11" s="115"/>
      <c r="E11" s="115"/>
      <c r="F11" s="116"/>
      <c r="G11" s="17" t="str">
        <f ca="1">OFFSET(国語!C7,0,$B$2)</f>
        <v>A</v>
      </c>
      <c r="H11" s="128"/>
      <c r="I11" s="129"/>
      <c r="O11" s="8">
        <v>6</v>
      </c>
      <c r="P11" s="52" t="str">
        <f t="shared" ca="1" si="0"/>
        <v>鈴木 理子</v>
      </c>
    </row>
    <row r="12" spans="1:17" ht="18.75" customHeight="1">
      <c r="A12" s="121"/>
      <c r="B12" s="119" t="str">
        <f>国語!B8</f>
        <v>学習した漢字を読んだり書いたりすることができる</v>
      </c>
      <c r="C12" s="115"/>
      <c r="D12" s="115"/>
      <c r="E12" s="115"/>
      <c r="F12" s="116"/>
      <c r="G12" s="17" t="str">
        <f ca="1">OFFSET(国語!C8,0,$B$2)</f>
        <v>A</v>
      </c>
      <c r="H12" s="128"/>
      <c r="I12" s="129"/>
      <c r="O12" s="8">
        <v>7</v>
      </c>
      <c r="P12" s="52" t="str">
        <f t="shared" ca="1" si="0"/>
        <v>徳田 安須嘉</v>
      </c>
    </row>
    <row r="13" spans="1:17" ht="18.75" customHeight="1">
      <c r="A13" s="121"/>
      <c r="B13" s="119" t="str">
        <f>国語!B9</f>
        <v>漢字の同じ部分に着目したり、丸、点、かぎの使い方を理解したりすることができる</v>
      </c>
      <c r="C13" s="115"/>
      <c r="D13" s="115"/>
      <c r="E13" s="115"/>
      <c r="F13" s="116"/>
      <c r="G13" s="17" t="str">
        <f ca="1">OFFSET(国語!C9,0,$B$2)</f>
        <v>A</v>
      </c>
      <c r="H13" s="128"/>
      <c r="I13" s="129"/>
      <c r="O13" s="8">
        <v>8</v>
      </c>
      <c r="P13" s="52" t="str">
        <f t="shared" ca="1" si="0"/>
        <v>松尾 怜奈</v>
      </c>
    </row>
    <row r="14" spans="1:17" ht="18.75" customHeight="1">
      <c r="A14" s="121"/>
      <c r="B14" s="119" t="str">
        <f>国語!B10</f>
        <v>学習した漢字や平仮名を、形に注意しながら丁寧に書くことができる</v>
      </c>
      <c r="C14" s="115"/>
      <c r="D14" s="115"/>
      <c r="E14" s="115"/>
      <c r="F14" s="116"/>
      <c r="G14" s="17" t="str">
        <f ca="1">OFFSET(国語!C10,0,$B$2)</f>
        <v>A</v>
      </c>
      <c r="H14" s="128"/>
      <c r="I14" s="129"/>
      <c r="O14" s="8">
        <v>9</v>
      </c>
      <c r="P14" s="52" t="str">
        <f t="shared" ca="1" si="0"/>
        <v>丸茂 彰仁</v>
      </c>
    </row>
    <row r="15" spans="1:17" ht="18.75" customHeight="1">
      <c r="A15" s="122"/>
      <c r="B15" s="119">
        <f>国語!B11</f>
        <v>0</v>
      </c>
      <c r="C15" s="115"/>
      <c r="D15" s="115"/>
      <c r="E15" s="115"/>
      <c r="F15" s="116"/>
      <c r="G15" s="18">
        <f ca="1">OFFSET(国語!C11,0,$B$2)</f>
        <v>0</v>
      </c>
      <c r="H15" s="128"/>
      <c r="I15" s="129"/>
      <c r="O15" s="8">
        <v>10</v>
      </c>
      <c r="P15" s="52" t="str">
        <f t="shared" ca="1" si="0"/>
        <v>御子柴 希美</v>
      </c>
    </row>
    <row r="16" spans="1:17" ht="18.75" customHeight="1">
      <c r="A16" s="120" t="s">
        <v>1</v>
      </c>
      <c r="B16" s="123" t="str">
        <f>算数!B2</f>
        <v>算数に関心を持ち、進んで学習に取り組むことができる</v>
      </c>
      <c r="C16" s="124"/>
      <c r="D16" s="124"/>
      <c r="E16" s="124"/>
      <c r="F16" s="125"/>
      <c r="G16" s="21" t="str">
        <f ca="1">OFFSET(算数!C2,0,$B$2)</f>
        <v>A</v>
      </c>
      <c r="H16" s="126">
        <f ca="1">OFFSET(算数!C12,0,$B$2)</f>
        <v>5</v>
      </c>
      <c r="I16" s="127"/>
      <c r="O16" s="8">
        <v>11</v>
      </c>
      <c r="P16" s="52" t="str">
        <f t="shared" ca="1" si="0"/>
        <v>峯村 梨奈</v>
      </c>
    </row>
    <row r="17" spans="1:16" ht="18.75" customHeight="1">
      <c r="A17" s="121"/>
      <c r="B17" s="119" t="str">
        <f>算数!B3</f>
        <v>簡単な事柄を整理して、表やグラフに表したり、読んだりすることができる</v>
      </c>
      <c r="C17" s="115"/>
      <c r="D17" s="115"/>
      <c r="E17" s="115"/>
      <c r="F17" s="116"/>
      <c r="G17" s="17" t="str">
        <f ca="1">OFFSET(算数!C3,0,$B$2)</f>
        <v>A</v>
      </c>
      <c r="H17" s="128"/>
      <c r="I17" s="129"/>
      <c r="L17" s="30"/>
      <c r="M17" s="30"/>
      <c r="O17" s="8">
        <v>12</v>
      </c>
      <c r="P17" s="52" t="str">
        <f t="shared" ca="1" si="0"/>
        <v>百瀬 友紀</v>
      </c>
    </row>
    <row r="18" spans="1:16" ht="18.75" customHeight="1">
      <c r="A18" s="121"/>
      <c r="B18" s="119" t="str">
        <f>算数!B4</f>
        <v>２けたの数のたし算を、筆算を使って計算することができる</v>
      </c>
      <c r="C18" s="115"/>
      <c r="D18" s="115"/>
      <c r="E18" s="115"/>
      <c r="F18" s="116"/>
      <c r="G18" s="17" t="str">
        <f ca="1">OFFSET(算数!C4,0,$B$2)</f>
        <v>A</v>
      </c>
      <c r="H18" s="128"/>
      <c r="I18" s="129"/>
      <c r="L18" s="30"/>
      <c r="M18" s="30"/>
      <c r="O18" s="8">
        <v>13</v>
      </c>
      <c r="P18" s="52" t="str">
        <f t="shared" ca="1" si="0"/>
        <v>矢崎 優希菜</v>
      </c>
    </row>
    <row r="19" spans="1:16" ht="18.75" customHeight="1">
      <c r="A19" s="121"/>
      <c r="B19" s="119" t="str">
        <f>算数!B5</f>
        <v>２けたの数のひき算を、筆算を使って計算することができる</v>
      </c>
      <c r="C19" s="115"/>
      <c r="D19" s="115"/>
      <c r="E19" s="115"/>
      <c r="F19" s="116"/>
      <c r="G19" s="17" t="str">
        <f ca="1">OFFSET(算数!C5,0,$B$2)</f>
        <v>A</v>
      </c>
      <c r="H19" s="128"/>
      <c r="I19" s="129"/>
      <c r="L19" s="67">
        <f>番号</f>
        <v>9</v>
      </c>
      <c r="M19" s="30"/>
      <c r="O19" s="8">
        <v>14</v>
      </c>
      <c r="P19" s="52" t="str">
        <f t="shared" ca="1" si="0"/>
        <v>山本 侑輝</v>
      </c>
    </row>
    <row r="20" spans="1:16" ht="18.75" customHeight="1">
      <c r="A20" s="121"/>
      <c r="B20" s="119" t="str">
        <f>算数!B6</f>
        <v>問題を読み、式や図を書いて解き方を示し、文章題を正しく解くことができる</v>
      </c>
      <c r="C20" s="115"/>
      <c r="D20" s="115"/>
      <c r="E20" s="115"/>
      <c r="F20" s="116"/>
      <c r="G20" s="17" t="str">
        <f ca="1">OFFSET(算数!C6,0,$B$2)</f>
        <v>A</v>
      </c>
      <c r="H20" s="128"/>
      <c r="I20" s="129"/>
      <c r="L20" s="30"/>
      <c r="M20" s="30"/>
      <c r="O20" s="8">
        <v>15</v>
      </c>
      <c r="P20" s="52">
        <f t="shared" ca="1" si="0"/>
        <v>0</v>
      </c>
    </row>
    <row r="21" spans="1:16" ht="18.75" customHeight="1">
      <c r="A21" s="121"/>
      <c r="B21" s="119" t="str">
        <f>算数!B7</f>
        <v>長さの単位ｃｍ、ｍｍについて理解し、ものさしを使って、長さを測ったり直線をかいたりできる</v>
      </c>
      <c r="C21" s="115"/>
      <c r="D21" s="115"/>
      <c r="E21" s="115"/>
      <c r="F21" s="116"/>
      <c r="G21" s="17" t="str">
        <f ca="1">OFFSET(算数!C7,0,$B$2)</f>
        <v>A</v>
      </c>
      <c r="H21" s="128"/>
      <c r="I21" s="129"/>
      <c r="O21" s="8">
        <v>16</v>
      </c>
      <c r="P21" s="52">
        <f t="shared" ca="1" si="0"/>
        <v>0</v>
      </c>
    </row>
    <row r="22" spans="1:16" ht="18.75" customHeight="1">
      <c r="A22" s="121"/>
      <c r="B22" s="119" t="str">
        <f>算数!B8</f>
        <v>１０００までの数の読み方、書き方やしくみ、大小などを理解し、何十や何百のたし算・ひき算ができる</v>
      </c>
      <c r="C22" s="115"/>
      <c r="D22" s="115"/>
      <c r="E22" s="115"/>
      <c r="F22" s="116"/>
      <c r="G22" s="17" t="str">
        <f ca="1">OFFSET(算数!C8,0,$B$2)</f>
        <v>A</v>
      </c>
      <c r="H22" s="128"/>
      <c r="I22" s="129"/>
      <c r="O22" s="8">
        <v>17</v>
      </c>
      <c r="P22" s="52">
        <f t="shared" ca="1" si="0"/>
        <v>0</v>
      </c>
    </row>
    <row r="23" spans="1:16" ht="18.75" customHeight="1">
      <c r="A23" s="121"/>
      <c r="B23" s="119">
        <f>算数!B9</f>
        <v>0</v>
      </c>
      <c r="C23" s="115"/>
      <c r="D23" s="115"/>
      <c r="E23" s="115"/>
      <c r="F23" s="116"/>
      <c r="G23" s="17">
        <f ca="1">OFFSET(算数!C9,0,$B$2)</f>
        <v>0</v>
      </c>
      <c r="H23" s="128"/>
      <c r="I23" s="129"/>
      <c r="O23" s="8">
        <v>18</v>
      </c>
      <c r="P23" s="52">
        <f t="shared" ca="1" si="0"/>
        <v>0</v>
      </c>
    </row>
    <row r="24" spans="1:16" ht="18.75" customHeight="1">
      <c r="A24" s="121"/>
      <c r="B24" s="119">
        <f>算数!B10</f>
        <v>0</v>
      </c>
      <c r="C24" s="115"/>
      <c r="D24" s="115"/>
      <c r="E24" s="115"/>
      <c r="F24" s="116"/>
      <c r="G24" s="17">
        <f ca="1">OFFSET(算数!C10,0,$B$2)</f>
        <v>0</v>
      </c>
      <c r="H24" s="128"/>
      <c r="I24" s="129"/>
      <c r="O24" s="8">
        <v>19</v>
      </c>
      <c r="P24" s="52">
        <f t="shared" ca="1" si="0"/>
        <v>0</v>
      </c>
    </row>
    <row r="25" spans="1:16" ht="18.75" customHeight="1">
      <c r="A25" s="122"/>
      <c r="B25" s="119">
        <f>算数!B11</f>
        <v>0</v>
      </c>
      <c r="C25" s="115"/>
      <c r="D25" s="115"/>
      <c r="E25" s="115"/>
      <c r="F25" s="116"/>
      <c r="G25" s="18">
        <f ca="1">OFFSET(算数!C11,0,$B$2)</f>
        <v>0</v>
      </c>
      <c r="H25" s="128"/>
      <c r="I25" s="129"/>
      <c r="O25" s="8">
        <v>20</v>
      </c>
      <c r="P25" s="52">
        <f t="shared" ca="1" si="0"/>
        <v>0</v>
      </c>
    </row>
    <row r="26" spans="1:16" ht="18.75" customHeight="1">
      <c r="A26" s="120" t="s">
        <v>0</v>
      </c>
      <c r="B26" s="123" t="str">
        <f>生活!B2</f>
        <v>進んで学習に取り組むことができる</v>
      </c>
      <c r="C26" s="124"/>
      <c r="D26" s="124"/>
      <c r="E26" s="124"/>
      <c r="F26" s="125"/>
      <c r="G26" s="21" t="str">
        <f ca="1">OFFSET(生活!C2,0,$B$2)</f>
        <v>A</v>
      </c>
      <c r="H26" s="126">
        <f ca="1">OFFSET(生活!C12,0,$B$2)</f>
        <v>5</v>
      </c>
      <c r="I26" s="127"/>
      <c r="O26" s="8">
        <v>21</v>
      </c>
      <c r="P26" s="52">
        <f t="shared" ca="1" si="0"/>
        <v>0</v>
      </c>
    </row>
    <row r="27" spans="1:16" ht="18.75" customHeight="1">
      <c r="A27" s="121"/>
      <c r="B27" s="119" t="str">
        <f>生活!B3</f>
        <v>上級生として１年生のことを考えながら、学校案内のための活動をすることができる</v>
      </c>
      <c r="C27" s="115"/>
      <c r="D27" s="115"/>
      <c r="E27" s="115"/>
      <c r="F27" s="116"/>
      <c r="G27" s="17" t="str">
        <f ca="1">OFFSET(生活!C3,0,$B$2)</f>
        <v>A</v>
      </c>
      <c r="H27" s="128"/>
      <c r="I27" s="129"/>
      <c r="O27" s="8">
        <v>22</v>
      </c>
      <c r="P27" s="52">
        <f t="shared" ca="1" si="0"/>
        <v>0</v>
      </c>
    </row>
    <row r="28" spans="1:16" ht="18.75" customHeight="1">
      <c r="A28" s="121"/>
      <c r="B28" s="119" t="str">
        <f>生活!B4</f>
        <v>野菜を育て、観察することを通して、その成長に気づくことができる</v>
      </c>
      <c r="C28" s="115"/>
      <c r="D28" s="115"/>
      <c r="E28" s="115"/>
      <c r="F28" s="116"/>
      <c r="G28" s="17" t="str">
        <f ca="1">OFFSET(生活!C4,0,$B$2)</f>
        <v>A</v>
      </c>
      <c r="H28" s="128"/>
      <c r="I28" s="129"/>
      <c r="O28" s="8">
        <v>23</v>
      </c>
      <c r="P28" s="52">
        <f t="shared" ca="1" si="0"/>
        <v>0</v>
      </c>
    </row>
    <row r="29" spans="1:16" ht="18.75" customHeight="1">
      <c r="A29" s="121"/>
      <c r="B29" s="119" t="str">
        <f>生活!B5</f>
        <v>身近な材料で作るものについてイメージを広げ、作りたいものを考えることができる</v>
      </c>
      <c r="C29" s="115"/>
      <c r="D29" s="115"/>
      <c r="E29" s="115"/>
      <c r="F29" s="116"/>
      <c r="G29" s="17" t="str">
        <f ca="1">OFFSET(生活!C5,0,$B$2)</f>
        <v>A</v>
      </c>
      <c r="H29" s="128"/>
      <c r="I29" s="129"/>
      <c r="O29" s="8">
        <v>24</v>
      </c>
      <c r="P29" s="52">
        <f t="shared" ca="1" si="0"/>
        <v>0</v>
      </c>
    </row>
    <row r="30" spans="1:16" ht="18.75" customHeight="1">
      <c r="A30" s="121"/>
      <c r="B30" s="119">
        <f>生活!B6</f>
        <v>0</v>
      </c>
      <c r="C30" s="115"/>
      <c r="D30" s="115"/>
      <c r="E30" s="115"/>
      <c r="F30" s="116"/>
      <c r="G30" s="17">
        <f ca="1">OFFSET(生活!C6,0,$B$2)</f>
        <v>0</v>
      </c>
      <c r="H30" s="128"/>
      <c r="I30" s="129"/>
      <c r="O30" s="8">
        <v>25</v>
      </c>
      <c r="P30" s="52">
        <f t="shared" ca="1" si="0"/>
        <v>0</v>
      </c>
    </row>
    <row r="31" spans="1:16" ht="18.75" customHeight="1">
      <c r="A31" s="121"/>
      <c r="B31" s="119">
        <f>生活!B7</f>
        <v>0</v>
      </c>
      <c r="C31" s="115"/>
      <c r="D31" s="115"/>
      <c r="E31" s="115"/>
      <c r="F31" s="116"/>
      <c r="G31" s="17">
        <f ca="1">OFFSET(生活!C7,0,$B$2)</f>
        <v>0</v>
      </c>
      <c r="H31" s="128"/>
      <c r="I31" s="129"/>
    </row>
    <row r="32" spans="1:16" ht="18.75" customHeight="1">
      <c r="A32" s="121"/>
      <c r="B32" s="119">
        <f>生活!B8</f>
        <v>0</v>
      </c>
      <c r="C32" s="115"/>
      <c r="D32" s="115"/>
      <c r="E32" s="115"/>
      <c r="F32" s="116"/>
      <c r="G32" s="17">
        <f ca="1">OFFSET(生活!C8,0,$B$2)</f>
        <v>0</v>
      </c>
      <c r="H32" s="128"/>
      <c r="I32" s="129"/>
    </row>
    <row r="33" spans="1:9" ht="18.75" customHeight="1">
      <c r="A33" s="122"/>
      <c r="B33" s="119">
        <f>生活!B9</f>
        <v>0</v>
      </c>
      <c r="C33" s="115"/>
      <c r="D33" s="115"/>
      <c r="E33" s="115"/>
      <c r="F33" s="116"/>
      <c r="G33" s="18">
        <f ca="1">OFFSET(生活!C9,0,$B$2)</f>
        <v>0</v>
      </c>
      <c r="H33" s="128"/>
      <c r="I33" s="129"/>
    </row>
    <row r="34" spans="1:9" ht="18.75" customHeight="1">
      <c r="A34" s="120" t="s">
        <v>10</v>
      </c>
      <c r="B34" s="123" t="str">
        <f>英語!B2</f>
        <v>英語学習に楽しみを感じ、意欲的に学習に励むことができる</v>
      </c>
      <c r="C34" s="124"/>
      <c r="D34" s="124"/>
      <c r="E34" s="124"/>
      <c r="F34" s="125"/>
      <c r="G34" s="21" t="str">
        <f ca="1">OFFSET(英語!C2,0,$B$2)</f>
        <v>A</v>
      </c>
      <c r="H34" s="126">
        <f ca="1">OFFSET(英語!C12,0,$B$2)</f>
        <v>5</v>
      </c>
      <c r="I34" s="127"/>
    </row>
    <row r="35" spans="1:9" ht="18.75" customHeight="1">
      <c r="A35" s="121"/>
      <c r="B35" s="119" t="str">
        <f>英語!B3</f>
        <v>学習した表現を用いて、自己紹介のスピーチをすることができる。</v>
      </c>
      <c r="C35" s="115"/>
      <c r="D35" s="115"/>
      <c r="E35" s="115"/>
      <c r="F35" s="116"/>
      <c r="G35" s="17" t="str">
        <f ca="1">OFFSET(英語!C3,0,$B$2)</f>
        <v>A</v>
      </c>
      <c r="H35" s="128"/>
      <c r="I35" s="129"/>
    </row>
    <row r="36" spans="1:9" ht="18.75" customHeight="1">
      <c r="A36" s="121"/>
      <c r="B36" s="119" t="str">
        <f>英語!B4</f>
        <v>身の回りにあるもの（名詞）、日常生活の動作（動詞）、人や物を説明する言葉（形容詞）を習得することができる</v>
      </c>
      <c r="C36" s="115"/>
      <c r="D36" s="115"/>
      <c r="E36" s="115"/>
      <c r="F36" s="116"/>
      <c r="G36" s="17" t="str">
        <f ca="1">OFFSET(英語!C4,0,$B$2)</f>
        <v>A</v>
      </c>
      <c r="H36" s="128"/>
      <c r="I36" s="129"/>
    </row>
    <row r="37" spans="1:9" ht="18.75" customHeight="1">
      <c r="A37" s="121"/>
      <c r="B37" s="119" t="str">
        <f>英語!B5</f>
        <v>単語の発音を予想して読むことができる</v>
      </c>
      <c r="C37" s="115"/>
      <c r="D37" s="115"/>
      <c r="E37" s="115"/>
      <c r="F37" s="116"/>
      <c r="G37" s="17" t="str">
        <f ca="1">OFFSET(英語!C5,0,$B$2)</f>
        <v>A</v>
      </c>
      <c r="H37" s="128"/>
      <c r="I37" s="129"/>
    </row>
    <row r="38" spans="1:9" ht="18.75" customHeight="1">
      <c r="A38" s="121"/>
      <c r="B38" s="119" t="str">
        <f>英語!B6</f>
        <v>単語の音を聞いて、つづりを予想して書くことができる</v>
      </c>
      <c r="C38" s="115"/>
      <c r="D38" s="115"/>
      <c r="E38" s="115"/>
      <c r="F38" s="116"/>
      <c r="G38" s="17" t="str">
        <f ca="1">OFFSET(英語!C6,0,$B$2)</f>
        <v>A</v>
      </c>
      <c r="H38" s="128"/>
      <c r="I38" s="129"/>
    </row>
    <row r="39" spans="1:9" ht="18.75" customHeight="1">
      <c r="A39" s="121"/>
      <c r="B39" s="119">
        <f>英語!B7</f>
        <v>0</v>
      </c>
      <c r="C39" s="115"/>
      <c r="D39" s="115"/>
      <c r="E39" s="115"/>
      <c r="F39" s="116"/>
      <c r="G39" s="17">
        <f ca="1">OFFSET(英語!C7,0,$B$2)</f>
        <v>0</v>
      </c>
      <c r="H39" s="128"/>
      <c r="I39" s="129"/>
    </row>
    <row r="40" spans="1:9" ht="18.75" customHeight="1">
      <c r="A40" s="121"/>
      <c r="B40" s="119">
        <f>英語!B8</f>
        <v>0</v>
      </c>
      <c r="C40" s="115"/>
      <c r="D40" s="115"/>
      <c r="E40" s="115"/>
      <c r="F40" s="116"/>
      <c r="G40" s="17">
        <f ca="1">OFFSET(英語!C8,0,$B$2)</f>
        <v>0</v>
      </c>
      <c r="H40" s="128"/>
      <c r="I40" s="129"/>
    </row>
    <row r="41" spans="1:9" ht="18.75" customHeight="1">
      <c r="A41" s="121"/>
      <c r="B41" s="119">
        <f>英語!B9</f>
        <v>0</v>
      </c>
      <c r="C41" s="115"/>
      <c r="D41" s="115"/>
      <c r="E41" s="115"/>
      <c r="F41" s="116"/>
      <c r="G41" s="17">
        <f ca="1">OFFSET(英語!C9,0,$B$2)</f>
        <v>0</v>
      </c>
      <c r="H41" s="128"/>
      <c r="I41" s="129"/>
    </row>
    <row r="42" spans="1:9" ht="18.75" customHeight="1">
      <c r="A42" s="122"/>
      <c r="B42" s="119">
        <f>英語!B10</f>
        <v>0</v>
      </c>
      <c r="C42" s="115"/>
      <c r="D42" s="115"/>
      <c r="E42" s="115"/>
      <c r="F42" s="116"/>
      <c r="G42" s="18">
        <f ca="1">OFFSET(英語!C10,0,$B$2)</f>
        <v>0</v>
      </c>
      <c r="H42" s="128"/>
      <c r="I42" s="129"/>
    </row>
    <row r="43" spans="1:9" ht="18.75" customHeight="1">
      <c r="A43" s="120" t="s">
        <v>4</v>
      </c>
      <c r="B43" s="123" t="str">
        <f>音楽!B2</f>
        <v>授業の活動に意欲的に取り組むことができる</v>
      </c>
      <c r="C43" s="124"/>
      <c r="D43" s="124"/>
      <c r="E43" s="124"/>
      <c r="F43" s="125"/>
      <c r="G43" s="21" t="str">
        <f ca="1">OFFSET(音楽!C2,0,$B$2)</f>
        <v>A</v>
      </c>
      <c r="H43" s="126">
        <f ca="1">OFFSET(音楽!C12,0,$B$2)</f>
        <v>5</v>
      </c>
      <c r="I43" s="127"/>
    </row>
    <row r="44" spans="1:9" ht="18.75" customHeight="1">
      <c r="A44" s="121"/>
      <c r="B44" s="119" t="str">
        <f>音楽!B3</f>
        <v>メロディーを正しい音程で歌い、のびやかな表現ができる</v>
      </c>
      <c r="C44" s="115"/>
      <c r="D44" s="115"/>
      <c r="E44" s="115"/>
      <c r="F44" s="116"/>
      <c r="G44" s="17" t="str">
        <f ca="1">OFFSET(音楽!C3,0,$B$2)</f>
        <v>A</v>
      </c>
      <c r="H44" s="128"/>
      <c r="I44" s="129"/>
    </row>
    <row r="45" spans="1:9" ht="18.75" customHeight="1">
      <c r="A45" s="121"/>
      <c r="B45" s="119" t="str">
        <f>音楽!B4</f>
        <v>鍵盤ハーモニカで楽曲（喜びの歌）を、正しい指使い・リズム・音程で楽曲を奏でることができる</v>
      </c>
      <c r="C45" s="115"/>
      <c r="D45" s="115"/>
      <c r="E45" s="115"/>
      <c r="F45" s="116"/>
      <c r="G45" s="17" t="str">
        <f ca="1">OFFSET(音楽!C4,0,$B$2)</f>
        <v>A</v>
      </c>
      <c r="H45" s="128"/>
      <c r="I45" s="129"/>
    </row>
    <row r="46" spans="1:9" ht="18.75" customHeight="1">
      <c r="A46" s="121"/>
      <c r="B46" s="119" t="str">
        <f>音楽!B5</f>
        <v>提示した音を聴き取り、和音を聴き分けることができる</v>
      </c>
      <c r="C46" s="115"/>
      <c r="D46" s="115"/>
      <c r="E46" s="115"/>
      <c r="F46" s="116"/>
      <c r="G46" s="17" t="str">
        <f ca="1">OFFSET(音楽!C5,0,$B$2)</f>
        <v>A</v>
      </c>
      <c r="H46" s="128"/>
      <c r="I46" s="129"/>
    </row>
    <row r="47" spans="1:9" ht="18.75" customHeight="1">
      <c r="A47" s="121"/>
      <c r="B47" s="119">
        <f>音楽!B6</f>
        <v>0</v>
      </c>
      <c r="C47" s="115"/>
      <c r="D47" s="115"/>
      <c r="E47" s="115"/>
      <c r="F47" s="116"/>
      <c r="G47" s="17">
        <f ca="1">OFFSET(音楽!C6,0,$B$2)</f>
        <v>0</v>
      </c>
      <c r="H47" s="128"/>
      <c r="I47" s="129"/>
    </row>
    <row r="48" spans="1:9" ht="18.75" customHeight="1">
      <c r="A48" s="121"/>
      <c r="B48" s="119">
        <f>音楽!B7</f>
        <v>0</v>
      </c>
      <c r="C48" s="115"/>
      <c r="D48" s="115"/>
      <c r="E48" s="115"/>
      <c r="F48" s="116"/>
      <c r="G48" s="17">
        <f ca="1">OFFSET(音楽!C7,0,$B$2)</f>
        <v>0</v>
      </c>
      <c r="H48" s="128"/>
      <c r="I48" s="129"/>
    </row>
    <row r="49" spans="1:9" ht="18.75" customHeight="1">
      <c r="A49" s="121"/>
      <c r="B49" s="119">
        <f>音楽!B8</f>
        <v>0</v>
      </c>
      <c r="C49" s="115"/>
      <c r="D49" s="115"/>
      <c r="E49" s="115"/>
      <c r="F49" s="116"/>
      <c r="G49" s="17">
        <f ca="1">OFFSET(音楽!C8,0,$B$2)</f>
        <v>0</v>
      </c>
      <c r="H49" s="128"/>
      <c r="I49" s="129"/>
    </row>
    <row r="50" spans="1:9" ht="18.75" customHeight="1">
      <c r="A50" s="121"/>
      <c r="B50" s="119">
        <f>音楽!B9</f>
        <v>0</v>
      </c>
      <c r="C50" s="115"/>
      <c r="D50" s="115"/>
      <c r="E50" s="115"/>
      <c r="F50" s="116"/>
      <c r="G50" s="17">
        <f ca="1">OFFSET(音楽!C9,0,$B$2)</f>
        <v>0</v>
      </c>
      <c r="H50" s="128"/>
      <c r="I50" s="129"/>
    </row>
    <row r="51" spans="1:9" ht="18.75" customHeight="1">
      <c r="A51" s="121"/>
      <c r="B51" s="119">
        <f>音楽!B10</f>
        <v>0</v>
      </c>
      <c r="C51" s="115"/>
      <c r="D51" s="115"/>
      <c r="E51" s="115"/>
      <c r="F51" s="116"/>
      <c r="G51" s="17">
        <f ca="1">OFFSET(音楽!C10,0,$B$2)</f>
        <v>0</v>
      </c>
      <c r="H51" s="128"/>
      <c r="I51" s="129"/>
    </row>
    <row r="52" spans="1:9" ht="18.75" customHeight="1">
      <c r="A52" s="122"/>
      <c r="B52" s="119">
        <f>音楽!B11</f>
        <v>0</v>
      </c>
      <c r="C52" s="115"/>
      <c r="D52" s="115"/>
      <c r="E52" s="115"/>
      <c r="F52" s="116"/>
      <c r="G52" s="18">
        <f ca="1">OFFSET(音楽!C11,0,$B$2)</f>
        <v>0</v>
      </c>
      <c r="H52" s="128"/>
      <c r="I52" s="129"/>
    </row>
    <row r="53" spans="1:9" ht="18.75" customHeight="1">
      <c r="A53" s="6"/>
      <c r="B53" s="31"/>
      <c r="C53" s="10"/>
      <c r="D53" s="10"/>
      <c r="E53" s="10"/>
      <c r="F53" s="10"/>
      <c r="G53" s="6"/>
      <c r="H53" s="7"/>
      <c r="I53" s="7"/>
    </row>
    <row r="54" spans="1:9" ht="18.75" customHeight="1">
      <c r="A54" s="1"/>
      <c r="B54" s="32"/>
      <c r="C54" s="11"/>
      <c r="D54" s="11"/>
      <c r="E54" s="11"/>
      <c r="F54" s="11"/>
      <c r="G54" s="1"/>
      <c r="H54" s="3"/>
      <c r="I54" s="3"/>
    </row>
    <row r="55" spans="1:9" ht="18.75" customHeight="1">
      <c r="A55" s="120" t="s">
        <v>2</v>
      </c>
      <c r="B55" s="123" t="str">
        <f>図工!B2</f>
        <v>図工への関心を持ち、楽しく制作に取り組んでいる</v>
      </c>
      <c r="C55" s="124"/>
      <c r="D55" s="124"/>
      <c r="E55" s="124"/>
      <c r="F55" s="125"/>
      <c r="G55" s="21" t="str">
        <f ca="1">OFFSET(図工!C2,0,$B$2)</f>
        <v>A</v>
      </c>
      <c r="H55" s="126">
        <f ca="1">OFFSET(図工!C12,0,$B$2)</f>
        <v>4</v>
      </c>
      <c r="I55" s="127"/>
    </row>
    <row r="56" spans="1:9" ht="18.75" customHeight="1">
      <c r="A56" s="121"/>
      <c r="B56" s="119" t="str">
        <f>図工!B3</f>
        <v>豊かな発想を持ち自由に表現することができる</v>
      </c>
      <c r="C56" s="115"/>
      <c r="D56" s="115"/>
      <c r="E56" s="115"/>
      <c r="F56" s="116"/>
      <c r="G56" s="17" t="str">
        <f ca="1">OFFSET(図工!C3,0,$B$2)</f>
        <v>A</v>
      </c>
      <c r="H56" s="128"/>
      <c r="I56" s="129"/>
    </row>
    <row r="57" spans="1:9" ht="18.75" customHeight="1">
      <c r="A57" s="121"/>
      <c r="B57" s="119" t="str">
        <f>図工!B4</f>
        <v>つくりたいもののイメージを持ち、それに向かって制作することができる</v>
      </c>
      <c r="C57" s="115"/>
      <c r="D57" s="115"/>
      <c r="E57" s="115"/>
      <c r="F57" s="116"/>
      <c r="G57" s="17" t="str">
        <f ca="1">OFFSET(図工!C4,0,$B$2)</f>
        <v>B</v>
      </c>
      <c r="H57" s="128"/>
      <c r="I57" s="129"/>
    </row>
    <row r="58" spans="1:9" ht="18.75" customHeight="1">
      <c r="A58" s="121"/>
      <c r="B58" s="119" t="str">
        <f>図工!B5</f>
        <v>自分や友達の作品から良さや面白さ、美しさを感じとることができる</v>
      </c>
      <c r="C58" s="115"/>
      <c r="D58" s="115"/>
      <c r="E58" s="115"/>
      <c r="F58" s="116"/>
      <c r="G58" s="17" t="str">
        <f ca="1">OFFSET(図工!C5,0,$B$2)</f>
        <v>A</v>
      </c>
      <c r="H58" s="128"/>
      <c r="I58" s="129"/>
    </row>
    <row r="59" spans="1:9" ht="18.75" customHeight="1">
      <c r="A59" s="121"/>
      <c r="B59" s="119">
        <f>図工!B6</f>
        <v>0</v>
      </c>
      <c r="C59" s="115"/>
      <c r="D59" s="115"/>
      <c r="E59" s="115"/>
      <c r="F59" s="116"/>
      <c r="G59" s="17">
        <f ca="1">OFFSET(図工!C6,0,$B$2)</f>
        <v>0</v>
      </c>
      <c r="H59" s="128"/>
      <c r="I59" s="129"/>
    </row>
    <row r="60" spans="1:9" ht="18.75" customHeight="1">
      <c r="A60" s="121"/>
      <c r="B60" s="119">
        <f>図工!B7</f>
        <v>0</v>
      </c>
      <c r="C60" s="115"/>
      <c r="D60" s="115"/>
      <c r="E60" s="115"/>
      <c r="F60" s="116"/>
      <c r="G60" s="17">
        <f ca="1">OFFSET(図工!C7,0,$B$2)</f>
        <v>0</v>
      </c>
      <c r="H60" s="128"/>
      <c r="I60" s="129"/>
    </row>
    <row r="61" spans="1:9" ht="18.75" customHeight="1">
      <c r="A61" s="121"/>
      <c r="B61" s="119">
        <f>図工!B8</f>
        <v>0</v>
      </c>
      <c r="C61" s="115"/>
      <c r="D61" s="115"/>
      <c r="E61" s="115"/>
      <c r="F61" s="116"/>
      <c r="G61" s="17">
        <f ca="1">OFFSET(図工!C8,0,$B$2)</f>
        <v>0</v>
      </c>
      <c r="H61" s="128"/>
      <c r="I61" s="129"/>
    </row>
    <row r="62" spans="1:9" ht="18.75" customHeight="1">
      <c r="A62" s="121"/>
      <c r="B62" s="119">
        <f>図工!B9</f>
        <v>0</v>
      </c>
      <c r="C62" s="115"/>
      <c r="D62" s="115"/>
      <c r="E62" s="115"/>
      <c r="F62" s="116"/>
      <c r="G62" s="17">
        <f ca="1">OFFSET(図工!C9,0,$B$2)</f>
        <v>0</v>
      </c>
      <c r="H62" s="128"/>
      <c r="I62" s="129"/>
    </row>
    <row r="63" spans="1:9" ht="18.75" customHeight="1">
      <c r="A63" s="121"/>
      <c r="B63" s="119">
        <f>図工!B10</f>
        <v>0</v>
      </c>
      <c r="C63" s="115"/>
      <c r="D63" s="115"/>
      <c r="E63" s="115"/>
      <c r="F63" s="116"/>
      <c r="G63" s="17">
        <f ca="1">OFFSET(図工!C10,0,$B$2)</f>
        <v>0</v>
      </c>
      <c r="H63" s="128"/>
      <c r="I63" s="129"/>
    </row>
    <row r="64" spans="1:9" ht="18.75" customHeight="1">
      <c r="A64" s="122"/>
      <c r="B64" s="119">
        <f>図工!B11</f>
        <v>0</v>
      </c>
      <c r="C64" s="115"/>
      <c r="D64" s="115"/>
      <c r="E64" s="115"/>
      <c r="F64" s="116"/>
      <c r="G64" s="18">
        <f ca="1">OFFSET(図工!C11,0,$B$2)</f>
        <v>0</v>
      </c>
      <c r="H64" s="128"/>
      <c r="I64" s="129"/>
    </row>
    <row r="65" spans="1:14" ht="18.75" customHeight="1">
      <c r="A65" s="120" t="s">
        <v>3</v>
      </c>
      <c r="B65" s="123" t="str">
        <f>体育!B2</f>
        <v>運動遊びの行い方を工夫するとともに、考えたことを他者に伝えることができる</v>
      </c>
      <c r="C65" s="124"/>
      <c r="D65" s="124"/>
      <c r="E65" s="124"/>
      <c r="F65" s="125"/>
      <c r="G65" s="21" t="str">
        <f ca="1">OFFSET(体育!C2,0,$B$2)</f>
        <v>A</v>
      </c>
      <c r="H65" s="126">
        <f ca="1">OFFSET(体育!C12,0,$B$2)</f>
        <v>5</v>
      </c>
      <c r="I65" s="127"/>
    </row>
    <row r="66" spans="1:14" ht="18.75" customHeight="1">
      <c r="A66" s="121"/>
      <c r="B66" s="119" t="str">
        <f>体育!B3</f>
        <v>決まりを守り、誰とでも仲よく意欲的に運動ができる</v>
      </c>
      <c r="C66" s="115"/>
      <c r="D66" s="115"/>
      <c r="E66" s="115"/>
      <c r="F66" s="116"/>
      <c r="G66" s="17" t="str">
        <f ca="1">OFFSET(体育!C3,0,$B$2)</f>
        <v>B</v>
      </c>
      <c r="H66" s="128"/>
      <c r="I66" s="129"/>
    </row>
    <row r="67" spans="1:14" ht="18.75" customHeight="1">
      <c r="A67" s="121"/>
      <c r="B67" s="119" t="str">
        <f>体育!B4</f>
        <v>全身を使って、力強く走ることができる（かけっこ）</v>
      </c>
      <c r="C67" s="115"/>
      <c r="D67" s="115"/>
      <c r="E67" s="115"/>
      <c r="F67" s="116"/>
      <c r="G67" s="17" t="str">
        <f ca="1">OFFSET(体育!C4,0,$B$2)</f>
        <v>A</v>
      </c>
      <c r="H67" s="128"/>
      <c r="I67" s="129"/>
    </row>
    <row r="68" spans="1:14" ht="18.75" customHeight="1">
      <c r="A68" s="121"/>
      <c r="B68" s="119" t="str">
        <f>体育!B5</f>
        <v>タイミングを合わせたバトンパスができる（リレー）</v>
      </c>
      <c r="C68" s="115"/>
      <c r="D68" s="115"/>
      <c r="E68" s="115"/>
      <c r="F68" s="116"/>
      <c r="G68" s="17" t="str">
        <f ca="1">OFFSET(体育!C5,0,$B$2)</f>
        <v>A</v>
      </c>
      <c r="H68" s="128"/>
      <c r="I68" s="129"/>
    </row>
    <row r="69" spans="1:14" ht="18.75" customHeight="1">
      <c r="A69" s="121"/>
      <c r="B69" s="119" t="str">
        <f>体育!B6</f>
        <v>簡単なボール操作と攻めや守りの動きができる（ボールゲーム）</v>
      </c>
      <c r="C69" s="115"/>
      <c r="D69" s="115"/>
      <c r="E69" s="115"/>
      <c r="F69" s="116"/>
      <c r="G69" s="17" t="str">
        <f ca="1">OFFSET(体育!C6,0,$B$2)</f>
        <v>A</v>
      </c>
      <c r="H69" s="128"/>
      <c r="I69" s="129"/>
    </row>
    <row r="70" spans="1:14" ht="18.75" customHeight="1">
      <c r="A70" s="121"/>
      <c r="B70" s="119">
        <f>体育!B7</f>
        <v>0</v>
      </c>
      <c r="C70" s="115"/>
      <c r="D70" s="115"/>
      <c r="E70" s="115"/>
      <c r="F70" s="116"/>
      <c r="G70" s="17">
        <f ca="1">OFFSET(体育!C7,0,$B$2)</f>
        <v>0</v>
      </c>
      <c r="H70" s="128"/>
      <c r="I70" s="129"/>
    </row>
    <row r="71" spans="1:14" ht="18.75" customHeight="1">
      <c r="A71" s="121"/>
      <c r="B71" s="119">
        <f>体育!B8</f>
        <v>0</v>
      </c>
      <c r="C71" s="115"/>
      <c r="D71" s="115"/>
      <c r="E71" s="115"/>
      <c r="F71" s="116"/>
      <c r="G71" s="17">
        <f ca="1">OFFSET(体育!C8,0,$B$2)</f>
        <v>0</v>
      </c>
      <c r="H71" s="128"/>
      <c r="I71" s="129"/>
    </row>
    <row r="72" spans="1:14" ht="18.75" customHeight="1">
      <c r="A72" s="121"/>
      <c r="B72" s="119">
        <f>体育!B9</f>
        <v>0</v>
      </c>
      <c r="C72" s="115"/>
      <c r="D72" s="115"/>
      <c r="E72" s="115"/>
      <c r="F72" s="116"/>
      <c r="G72" s="17">
        <f ca="1">OFFSET(体育!C9,0,$B$2)</f>
        <v>0</v>
      </c>
      <c r="H72" s="128"/>
      <c r="I72" s="129"/>
    </row>
    <row r="73" spans="1:14" ht="18.75" customHeight="1">
      <c r="A73" s="121"/>
      <c r="B73" s="119">
        <f>体育!B10</f>
        <v>0</v>
      </c>
      <c r="C73" s="115"/>
      <c r="D73" s="115"/>
      <c r="E73" s="115"/>
      <c r="F73" s="116"/>
      <c r="G73" s="17">
        <f ca="1">OFFSET(体育!C10,0,$B$2)</f>
        <v>0</v>
      </c>
      <c r="H73" s="128"/>
      <c r="I73" s="129"/>
    </row>
    <row r="74" spans="1:14" ht="18.75" customHeight="1">
      <c r="A74" s="122"/>
      <c r="B74" s="135">
        <f>体育!B11</f>
        <v>0</v>
      </c>
      <c r="C74" s="136"/>
      <c r="D74" s="136"/>
      <c r="E74" s="136"/>
      <c r="F74" s="137"/>
      <c r="G74" s="18">
        <f ca="1">OFFSET(体育!C11,0,$B$2)</f>
        <v>0</v>
      </c>
      <c r="H74" s="130"/>
      <c r="I74" s="131"/>
    </row>
    <row r="75" spans="1:14" ht="92.25" customHeight="1">
      <c r="A75" s="23" t="s">
        <v>25</v>
      </c>
      <c r="B75" s="150" t="str">
        <f ca="1">INDIRECT("'道徳'!B"&amp;2+$B$2)</f>
        <v>友達の作品に勝手に手を加えた「たくみ」の姿などを通して、していいことか、してはいけないことかを考えるのはどうして大切なのかを考えさせ、善悪を区別し、正しいことをしようとする判断力を育てる「角がついたかいじゅう」という単元では、相手のことを考えて行動することの大切さを学びました。自分の価値観だけで行動してはいけないことも同時に学びました。</v>
      </c>
      <c r="C75" s="150"/>
      <c r="D75" s="150"/>
      <c r="E75" s="150"/>
      <c r="F75" s="150"/>
      <c r="G75" s="150"/>
      <c r="H75" s="150"/>
      <c r="I75" s="151"/>
    </row>
    <row r="76" spans="1:14" ht="18.75" customHeight="1">
      <c r="D76" s="14"/>
      <c r="E76" s="12"/>
      <c r="N76" s="12"/>
    </row>
    <row r="77" spans="1:14" ht="18.75" customHeight="1">
      <c r="A77" s="111" t="s">
        <v>23</v>
      </c>
      <c r="B77" s="112"/>
      <c r="C77" s="112"/>
      <c r="D77" s="113"/>
      <c r="F77" s="111" t="s">
        <v>11</v>
      </c>
      <c r="G77" s="112"/>
      <c r="H77" s="112"/>
      <c r="I77" s="113"/>
      <c r="L77" s="14"/>
      <c r="M77" s="12"/>
      <c r="N77" s="30"/>
    </row>
    <row r="78" spans="1:14" ht="19.5" customHeight="1">
      <c r="A78" s="132" t="str">
        <f>所見!B2</f>
        <v>大きな声ではっきりと自分からあいさつや返事をすることができる</v>
      </c>
      <c r="B78" s="133"/>
      <c r="C78" s="134"/>
      <c r="D78" s="27" t="str">
        <f ca="1">OFFSET(所見!C2,0,$B$2)</f>
        <v>A</v>
      </c>
      <c r="F78" s="138" t="s">
        <v>13</v>
      </c>
      <c r="G78" s="139"/>
      <c r="H78" s="139"/>
      <c r="I78" s="22">
        <f ca="1">OFFSET(出欠!C2,0,$B$2)</f>
        <v>70</v>
      </c>
      <c r="L78" s="14"/>
      <c r="M78" s="30"/>
      <c r="N78" s="30"/>
    </row>
    <row r="79" spans="1:14" ht="19.5" customHeight="1">
      <c r="A79" s="105" t="str">
        <f>所見!B3</f>
        <v>時間やきまりを守り、規則正しい生活をすることができる</v>
      </c>
      <c r="B79" s="106"/>
      <c r="C79" s="107"/>
      <c r="D79" s="13" t="str">
        <f ca="1">OFFSET(所見!C3,0,$B$2)</f>
        <v>B</v>
      </c>
      <c r="F79" s="117" t="s">
        <v>14</v>
      </c>
      <c r="G79" s="118"/>
      <c r="H79" s="118"/>
      <c r="I79" s="13">
        <f ca="1">OFFSET(出欠!C3,0,$B$2)</f>
        <v>0</v>
      </c>
      <c r="L79" s="30"/>
      <c r="M79" s="30"/>
      <c r="N79" s="30"/>
    </row>
    <row r="80" spans="1:14" ht="19.5" customHeight="1">
      <c r="A80" s="105" t="str">
        <f>所見!B4</f>
        <v>必要な持ち物を準備でき、きれいに整理整頓をすることができる</v>
      </c>
      <c r="B80" s="106"/>
      <c r="C80" s="107"/>
      <c r="D80" s="13" t="str">
        <f ca="1">OFFSET(所見!C4,0,$B$2)</f>
        <v>A</v>
      </c>
      <c r="F80" s="114" t="s">
        <v>21</v>
      </c>
      <c r="G80" s="115"/>
      <c r="H80" s="116"/>
      <c r="I80" s="13">
        <f ca="1">OFFSET(出欠!C4,0,$B$2)</f>
        <v>70</v>
      </c>
      <c r="L80" s="30"/>
      <c r="M80" s="30"/>
      <c r="N80" s="30"/>
    </row>
    <row r="81" spans="1:14" ht="19.5" customHeight="1">
      <c r="A81" s="105" t="str">
        <f>所見!B5</f>
        <v>心身の健康に気をつけ、進んで運動をし、元気に生活することができる</v>
      </c>
      <c r="B81" s="106"/>
      <c r="C81" s="107"/>
      <c r="D81" s="13" t="str">
        <f ca="1">OFFSET(所見!C5,0,$B$2)</f>
        <v>A</v>
      </c>
      <c r="F81" s="117" t="s">
        <v>15</v>
      </c>
      <c r="G81" s="118"/>
      <c r="H81" s="118"/>
      <c r="I81" s="13">
        <f ca="1">OFFSET(出欠!C5,0,$B$2)</f>
        <v>70</v>
      </c>
      <c r="L81" s="30"/>
      <c r="M81" s="30"/>
      <c r="N81" s="30"/>
    </row>
    <row r="82" spans="1:14" ht="19.5" customHeight="1">
      <c r="A82" s="105" t="str">
        <f>所見!B6</f>
        <v>良いと思うことは進んで行い、最後まで頑張ることができる</v>
      </c>
      <c r="B82" s="106"/>
      <c r="C82" s="107"/>
      <c r="D82" s="13" t="str">
        <f ca="1">OFFSET(所見!C6,0,$B$2)</f>
        <v>A</v>
      </c>
      <c r="F82" s="117" t="s">
        <v>22</v>
      </c>
      <c r="G82" s="118"/>
      <c r="H82" s="118"/>
      <c r="I82" s="13">
        <f ca="1">OFFSET(出欠!C6,0,$B$2)</f>
        <v>0</v>
      </c>
      <c r="L82" s="30"/>
      <c r="M82" s="30"/>
      <c r="N82" s="30"/>
    </row>
    <row r="83" spans="1:14" ht="19.5" customHeight="1">
      <c r="A83" s="105" t="str">
        <f>所見!B7</f>
        <v>当番や係など、自分でやるべきことを、しっかりと行うことができる</v>
      </c>
      <c r="B83" s="106"/>
      <c r="C83" s="107"/>
      <c r="D83" s="13" t="str">
        <f ca="1">OFFSET(所見!C7,0,$B$2)</f>
        <v>A</v>
      </c>
      <c r="F83" s="117" t="s">
        <v>16</v>
      </c>
      <c r="G83" s="118"/>
      <c r="H83" s="118"/>
      <c r="I83" s="13">
        <f ca="1">OFFSET(出欠!C7,0,$B$2)</f>
        <v>0</v>
      </c>
      <c r="L83" s="30"/>
      <c r="M83" s="30"/>
      <c r="N83" s="30"/>
    </row>
    <row r="84" spans="1:14" ht="19.5" customHeight="1">
      <c r="A84" s="105" t="str">
        <f>所見!B8</f>
        <v>自分から進んで考え、工夫しながら取り組むことができる</v>
      </c>
      <c r="B84" s="106"/>
      <c r="C84" s="107"/>
      <c r="D84" s="13" t="str">
        <f ca="1">OFFSET(所見!C8,0,$B$2)</f>
        <v>A</v>
      </c>
      <c r="F84" s="117" t="s">
        <v>17</v>
      </c>
      <c r="G84" s="118"/>
      <c r="H84" s="118"/>
      <c r="I84" s="13">
        <f ca="1">OFFSET(出欠!C8,0,$B$2)</f>
        <v>0</v>
      </c>
      <c r="L84" s="30"/>
      <c r="M84" s="30"/>
      <c r="N84" s="30"/>
    </row>
    <row r="85" spans="1:14" ht="19.5" customHeight="1">
      <c r="A85" s="105" t="str">
        <f>所見!B9</f>
        <v>身近にいる人々に親切にし、誰とでも仲良く助け合うことができる</v>
      </c>
      <c r="B85" s="106"/>
      <c r="C85" s="107"/>
      <c r="D85" s="15" t="str">
        <f ca="1">OFFSET(所見!C9,0,$B$2)</f>
        <v>A</v>
      </c>
      <c r="F85" s="96" t="str">
        <f ca="1">"備考： "&amp;INDIRECT("'出欠'!B"&amp;9+$B$2)</f>
        <v xml:space="preserve">備考： </v>
      </c>
      <c r="G85" s="97"/>
      <c r="H85" s="97"/>
      <c r="I85" s="98"/>
      <c r="L85" s="67">
        <f>番号</f>
        <v>9</v>
      </c>
      <c r="M85" s="30"/>
      <c r="N85" s="30"/>
    </row>
    <row r="86" spans="1:14" ht="19.5" customHeight="1">
      <c r="A86" s="105" t="str">
        <f>所見!B10</f>
        <v>自然に親しみ、生きているものに優しく接することができる</v>
      </c>
      <c r="B86" s="106"/>
      <c r="C86" s="107"/>
      <c r="D86" s="15" t="str">
        <f ca="1">OFFSET(所見!C10,0,$B$2)</f>
        <v>A</v>
      </c>
      <c r="F86" s="99"/>
      <c r="G86" s="100"/>
      <c r="H86" s="100"/>
      <c r="I86" s="101"/>
      <c r="L86" s="30"/>
      <c r="M86" s="30"/>
      <c r="N86" s="30"/>
    </row>
    <row r="87" spans="1:14" ht="19.5" customHeight="1">
      <c r="A87" s="108" t="str">
        <f>所見!B11</f>
        <v>手伝いや仕事を進んで行うことができる</v>
      </c>
      <c r="B87" s="109"/>
      <c r="C87" s="110"/>
      <c r="D87" s="16" t="str">
        <f ca="1">OFFSET(所見!C11,0,$B$2)</f>
        <v>A</v>
      </c>
      <c r="F87" s="102"/>
      <c r="G87" s="103"/>
      <c r="H87" s="103"/>
      <c r="I87" s="104"/>
      <c r="L87" s="30"/>
      <c r="M87" s="30"/>
      <c r="N87" s="25"/>
    </row>
    <row r="88" spans="1:14" ht="18.75" customHeight="1">
      <c r="A88" s="26"/>
      <c r="B88" s="28"/>
      <c r="C88" s="28"/>
      <c r="D88" s="29"/>
      <c r="F88" s="24"/>
      <c r="G88" s="24"/>
      <c r="H88" s="24"/>
      <c r="I88" s="24"/>
      <c r="L88" s="25"/>
      <c r="M88" s="25"/>
      <c r="N88" s="25"/>
    </row>
    <row r="89" spans="1:14" ht="39" customHeight="1">
      <c r="A89" s="92" t="s">
        <v>24</v>
      </c>
      <c r="B89" s="93"/>
      <c r="C89" s="94" t="str">
        <f ca="1">INDIRECT("'所見'!B"&amp;12+$B$2)</f>
        <v>お助け係</v>
      </c>
      <c r="D89" s="94"/>
      <c r="E89" s="94"/>
      <c r="F89" s="94"/>
      <c r="G89" s="94"/>
      <c r="H89" s="94"/>
      <c r="I89" s="95"/>
      <c r="L89" s="25"/>
      <c r="M89" s="25"/>
    </row>
    <row r="90" spans="1:14" ht="18.75" customHeight="1">
      <c r="C90" s="14"/>
    </row>
    <row r="91" spans="1:14" ht="183" customHeight="1">
      <c r="A91" s="23" t="s">
        <v>12</v>
      </c>
      <c r="B91" s="145" t="str">
        <f ca="1">INDIRECT("'所見'!B"&amp;$Q$5+$B$2)</f>
        <v>毎日元気よく学校に通うことができ、表情も明るくしっかりと相手の顔を見て自分の話をすることができます。休み時間には折り紙を折ったり、友達と仲良く遊んだりしていおり、昼休みには校庭でサッカーをして、汗びっしょりになって教室に戻ってくる姿が見られます。筋道を立てて行動することができ、次に何をやるのかも理解して行動することができます。学習面では国語、算数ともによく理解できています。模試においても良い成績を収めており、今の学習を続けていきましょう。授業中では積極的に挙手をして発言することは少ないですが、授業をしっかりと聞き、内容を理解しています。係活動ではお助け係になり、手の足りない係の手伝いを進んで行うことができました。与えられた仕事に進んで取り組む姿勢がとても良いと思います。彰仁君は高い能力を持っています。この能力を発揮するためにも、毎日の学習をコツコツと丁寧に行っていきましょう。必ず良い結果が得られると思います。</v>
      </c>
      <c r="C91" s="146"/>
      <c r="D91" s="146"/>
      <c r="E91" s="146"/>
      <c r="F91" s="146"/>
      <c r="G91" s="146"/>
      <c r="H91" s="146"/>
      <c r="I91" s="147"/>
    </row>
  </sheetData>
  <mergeCells count="112">
    <mergeCell ref="K7:L7"/>
    <mergeCell ref="B91:I91"/>
    <mergeCell ref="A4:I4"/>
    <mergeCell ref="B6:F6"/>
    <mergeCell ref="B7:F7"/>
    <mergeCell ref="B8:F8"/>
    <mergeCell ref="H5:I5"/>
    <mergeCell ref="F82:H82"/>
    <mergeCell ref="H55:I64"/>
    <mergeCell ref="H43:I52"/>
    <mergeCell ref="B32:F32"/>
    <mergeCell ref="B40:F40"/>
    <mergeCell ref="B49:F49"/>
    <mergeCell ref="B30:F30"/>
    <mergeCell ref="B31:F31"/>
    <mergeCell ref="B33:F33"/>
    <mergeCell ref="B42:F42"/>
    <mergeCell ref="B47:F47"/>
    <mergeCell ref="B48:F48"/>
    <mergeCell ref="B50:F50"/>
    <mergeCell ref="B51:F51"/>
    <mergeCell ref="B52:F52"/>
    <mergeCell ref="B5:F5"/>
    <mergeCell ref="B75:I75"/>
    <mergeCell ref="A16:A25"/>
    <mergeCell ref="A1:B1"/>
    <mergeCell ref="C1:G1"/>
    <mergeCell ref="G2:I2"/>
    <mergeCell ref="H6:I15"/>
    <mergeCell ref="A6:A15"/>
    <mergeCell ref="B38:F38"/>
    <mergeCell ref="B39:F39"/>
    <mergeCell ref="H34:I42"/>
    <mergeCell ref="H16:I25"/>
    <mergeCell ref="H26:I33"/>
    <mergeCell ref="B14:F14"/>
    <mergeCell ref="B15:F15"/>
    <mergeCell ref="B25:F25"/>
    <mergeCell ref="A26:A33"/>
    <mergeCell ref="B26:F26"/>
    <mergeCell ref="B27:F27"/>
    <mergeCell ref="B28:F28"/>
    <mergeCell ref="B29:F29"/>
    <mergeCell ref="A34:A42"/>
    <mergeCell ref="B34:F34"/>
    <mergeCell ref="B35:F35"/>
    <mergeCell ref="B36:F36"/>
    <mergeCell ref="B37:F37"/>
    <mergeCell ref="H65:I74"/>
    <mergeCell ref="A78:C78"/>
    <mergeCell ref="A79:C79"/>
    <mergeCell ref="A80:C80"/>
    <mergeCell ref="A81:C81"/>
    <mergeCell ref="A82:C82"/>
    <mergeCell ref="A83:C83"/>
    <mergeCell ref="A84:C84"/>
    <mergeCell ref="B72:F72"/>
    <mergeCell ref="B74:F74"/>
    <mergeCell ref="B65:F65"/>
    <mergeCell ref="B66:F66"/>
    <mergeCell ref="B67:F67"/>
    <mergeCell ref="F78:H78"/>
    <mergeCell ref="B9:F9"/>
    <mergeCell ref="B10:F10"/>
    <mergeCell ref="B11:F11"/>
    <mergeCell ref="B12:F12"/>
    <mergeCell ref="B13:F13"/>
    <mergeCell ref="B58:F58"/>
    <mergeCell ref="B23:F23"/>
    <mergeCell ref="B16:F16"/>
    <mergeCell ref="B17:F17"/>
    <mergeCell ref="B18:F18"/>
    <mergeCell ref="B19:F19"/>
    <mergeCell ref="B20:F20"/>
    <mergeCell ref="B21:F21"/>
    <mergeCell ref="B22:F22"/>
    <mergeCell ref="B41:F41"/>
    <mergeCell ref="B24:F24"/>
    <mergeCell ref="B62:F62"/>
    <mergeCell ref="B63:F63"/>
    <mergeCell ref="A43:A52"/>
    <mergeCell ref="B43:F43"/>
    <mergeCell ref="B44:F44"/>
    <mergeCell ref="B45:F45"/>
    <mergeCell ref="B46:F46"/>
    <mergeCell ref="B64:F64"/>
    <mergeCell ref="B73:F73"/>
    <mergeCell ref="A55:A64"/>
    <mergeCell ref="B61:F61"/>
    <mergeCell ref="B55:F55"/>
    <mergeCell ref="B56:F56"/>
    <mergeCell ref="B57:F57"/>
    <mergeCell ref="A65:A74"/>
    <mergeCell ref="B68:F68"/>
    <mergeCell ref="B69:F69"/>
    <mergeCell ref="B70:F70"/>
    <mergeCell ref="B71:F71"/>
    <mergeCell ref="B59:F59"/>
    <mergeCell ref="B60:F60"/>
    <mergeCell ref="A89:B89"/>
    <mergeCell ref="C89:I89"/>
    <mergeCell ref="F85:I87"/>
    <mergeCell ref="A85:C85"/>
    <mergeCell ref="A86:C86"/>
    <mergeCell ref="A87:C87"/>
    <mergeCell ref="A77:D77"/>
    <mergeCell ref="F80:H80"/>
    <mergeCell ref="F79:H79"/>
    <mergeCell ref="F83:H83"/>
    <mergeCell ref="F84:H84"/>
    <mergeCell ref="F77:I77"/>
    <mergeCell ref="F81:H81"/>
  </mergeCells>
  <phoneticPr fontId="1"/>
  <conditionalFormatting sqref="F85 B91 B55:B75 D78:D88 A78:A88 C89 B6:B52 C53:F54 G6:G74 L87:M89 N77:N88">
    <cfRule type="cellIs" dxfId="15" priority="3" stopIfTrue="1" operator="equal">
      <formula>0</formula>
    </cfRule>
  </conditionalFormatting>
  <conditionalFormatting sqref="L79:M86 M78">
    <cfRule type="cellIs" dxfId="14" priority="2" stopIfTrue="1" operator="equal">
      <formula>0</formula>
    </cfRule>
  </conditionalFormatting>
  <conditionalFormatting sqref="L17:M20">
    <cfRule type="cellIs" dxfId="13"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4" fitToHeight="2"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前">
                <anchor moveWithCells="1" sizeWithCells="1">
                  <from>
                    <xdr:col>10</xdr:col>
                    <xdr:colOff>66675</xdr:colOff>
                    <xdr:row>83</xdr:row>
                    <xdr:rowOff>200025</xdr:rowOff>
                  </from>
                  <to>
                    <xdr:col>11</xdr:col>
                    <xdr:colOff>9525</xdr:colOff>
                    <xdr:row>85</xdr:row>
                    <xdr:rowOff>19050</xdr:rowOff>
                  </to>
                </anchor>
              </controlPr>
            </control>
          </mc:Choice>
        </mc:AlternateContent>
        <mc:AlternateContent xmlns:mc="http://schemas.openxmlformats.org/markup-compatibility/2006">
          <mc:Choice Requires="x14">
            <control shapeId="1029" r:id="rId8" name="Button 5">
              <controlPr defaultSize="0" print="0" autoFill="0" autoPict="0" macro="[0]!先">
                <anchor moveWithCells="1" sizeWithCells="1">
                  <from>
                    <xdr:col>12</xdr:col>
                    <xdr:colOff>133350</xdr:colOff>
                    <xdr:row>83</xdr:row>
                    <xdr:rowOff>200025</xdr:rowOff>
                  </from>
                  <to>
                    <xdr:col>12</xdr:col>
                    <xdr:colOff>438150</xdr:colOff>
                    <xdr:row>85</xdr:row>
                    <xdr:rowOff>19050</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10</xdr:col>
                    <xdr:colOff>66675</xdr:colOff>
                    <xdr:row>17</xdr:row>
                    <xdr:rowOff>200025</xdr:rowOff>
                  </from>
                  <to>
                    <xdr:col>11</xdr:col>
                    <xdr:colOff>9525</xdr:colOff>
                    <xdr:row>19</xdr:row>
                    <xdr:rowOff>19050</xdr:rowOff>
                  </to>
                </anchor>
              </controlPr>
            </control>
          </mc:Choice>
        </mc:AlternateContent>
        <mc:AlternateContent xmlns:mc="http://schemas.openxmlformats.org/markup-compatibility/2006">
          <mc:Choice Requires="x14">
            <control shapeId="1031" r:id="rId10" name="Button 7">
              <controlPr defaultSize="0" print="0" autoFill="0" autoPict="0" macro="[0]!先">
                <anchor moveWithCells="1" sizeWithCells="1">
                  <from>
                    <xdr:col>12</xdr:col>
                    <xdr:colOff>133350</xdr:colOff>
                    <xdr:row>17</xdr:row>
                    <xdr:rowOff>200025</xdr:rowOff>
                  </from>
                  <to>
                    <xdr:col>12</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4"/>
  <sheetViews>
    <sheetView view="pageBreakPreview" zoomScaleNormal="70" zoomScaleSheetLayoutView="100" workbookViewId="0">
      <selection activeCell="B3" sqref="B3"/>
    </sheetView>
  </sheetViews>
  <sheetFormatPr defaultRowHeight="13.5"/>
  <cols>
    <col min="1" max="2" width="4.25" style="8" customWidth="1"/>
    <col min="3" max="3" width="95" style="8" customWidth="1"/>
    <col min="4" max="16384" width="9" style="8"/>
  </cols>
  <sheetData>
    <row r="1" spans="1:3" ht="18.75" customHeight="1">
      <c r="A1" s="152" t="str">
        <f ca="1">通知票!A1</f>
        <v>２－３</v>
      </c>
      <c r="B1" s="140"/>
      <c r="C1" s="53" t="str">
        <f ca="1">通知票!C1</f>
        <v>1学期</v>
      </c>
    </row>
    <row r="2" spans="1:3" ht="18.75" customHeight="1">
      <c r="A2" s="54" t="s">
        <v>44</v>
      </c>
      <c r="B2" s="53">
        <v>15</v>
      </c>
      <c r="C2" s="65">
        <f ca="1">INDIRECT("'所見'!A"&amp;12+$B$2)</f>
        <v>0</v>
      </c>
    </row>
    <row r="3" spans="1:3" ht="12" customHeight="1">
      <c r="C3" s="9"/>
    </row>
    <row r="4" spans="1:3" ht="18.75" customHeight="1">
      <c r="A4" s="55" t="s">
        <v>5</v>
      </c>
      <c r="B4" s="56" t="s">
        <v>7</v>
      </c>
      <c r="C4" s="22" t="s">
        <v>45</v>
      </c>
    </row>
    <row r="5" spans="1:3" ht="75" customHeight="1">
      <c r="A5" s="57" t="s">
        <v>9</v>
      </c>
      <c r="B5" s="58">
        <f ca="1">OFFSET(国語!C12,0,$B$2)</f>
        <v>0</v>
      </c>
      <c r="C5" s="59">
        <f ca="1">INDIRECT("'国語'!B"&amp;14+$B$2)</f>
        <v>0</v>
      </c>
    </row>
    <row r="6" spans="1:3" ht="75" customHeight="1">
      <c r="A6" s="60" t="s">
        <v>1</v>
      </c>
      <c r="B6" s="61">
        <f ca="1">OFFSET(算数!C12,0,$B$2)</f>
        <v>0</v>
      </c>
      <c r="C6" s="62">
        <f ca="1">INDIRECT("'算数'!B"&amp;14+$B$2)</f>
        <v>0</v>
      </c>
    </row>
    <row r="7" spans="1:3" ht="75" customHeight="1">
      <c r="A7" s="57" t="s">
        <v>46</v>
      </c>
      <c r="B7" s="58">
        <f ca="1">OFFSET(生活!C12,0,$B$2)</f>
        <v>0</v>
      </c>
      <c r="C7" s="59">
        <f ca="1">INDIRECT("'生活'!B"&amp;14+$B$2)</f>
        <v>0</v>
      </c>
    </row>
    <row r="8" spans="1:3" ht="75" customHeight="1">
      <c r="A8" s="60" t="s">
        <v>10</v>
      </c>
      <c r="B8" s="61">
        <f ca="1">OFFSET(英語!C12,0,$B$2)</f>
        <v>0</v>
      </c>
      <c r="C8" s="62">
        <f ca="1">INDIRECT("'英語'!B"&amp;14+$B$2)</f>
        <v>0</v>
      </c>
    </row>
    <row r="9" spans="1:3" ht="75" customHeight="1">
      <c r="A9" s="57" t="s">
        <v>4</v>
      </c>
      <c r="B9" s="58">
        <f ca="1">OFFSET(音楽!C12,0,$B$2)</f>
        <v>0</v>
      </c>
      <c r="C9" s="59">
        <f ca="1">INDIRECT("'音楽'!B"&amp;14+$B$2)</f>
        <v>0</v>
      </c>
    </row>
    <row r="10" spans="1:3" ht="75" customHeight="1">
      <c r="A10" s="60" t="s">
        <v>2</v>
      </c>
      <c r="B10" s="61">
        <f ca="1">OFFSET(図工!C12,0,$B$2)</f>
        <v>0</v>
      </c>
      <c r="C10" s="62">
        <f ca="1">INDIRECT("'図工'!B"&amp;14+$B$2)</f>
        <v>0</v>
      </c>
    </row>
    <row r="11" spans="1:3" ht="75" customHeight="1">
      <c r="A11" s="57" t="s">
        <v>3</v>
      </c>
      <c r="B11" s="58">
        <f ca="1">OFFSET(体育!C12,0,$B$2)</f>
        <v>0</v>
      </c>
      <c r="C11" s="59">
        <f ca="1">INDIRECT("'体育'!B"&amp;14+$B$2)</f>
        <v>0</v>
      </c>
    </row>
    <row r="12" spans="1:3" ht="75" customHeight="1">
      <c r="A12" s="57" t="s">
        <v>25</v>
      </c>
      <c r="B12" s="153">
        <f ca="1">INDIRECT("'道徳'!B"&amp;2+$B$2)</f>
        <v>0</v>
      </c>
      <c r="C12" s="154"/>
    </row>
    <row r="13" spans="1:3" ht="18.75" customHeight="1">
      <c r="C13" s="63"/>
    </row>
    <row r="14" spans="1:3" ht="225" customHeight="1">
      <c r="A14" s="23" t="s">
        <v>12</v>
      </c>
      <c r="B14" s="64"/>
      <c r="C14" s="59">
        <f ca="1">INDIRECT("'所見'!B"&amp;通知票!$Q$5+$B$2)</f>
        <v>0</v>
      </c>
    </row>
  </sheetData>
  <mergeCells count="2">
    <mergeCell ref="A1:B1"/>
    <mergeCell ref="B12:C12"/>
  </mergeCells>
  <phoneticPr fontId="1"/>
  <conditionalFormatting sqref="C14 C5:C11">
    <cfRule type="cellIs" dxfId="12"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2"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Y188"/>
  <sheetViews>
    <sheetView workbookViewId="0">
      <selection sqref="A1:XFD1048576"/>
    </sheetView>
  </sheetViews>
  <sheetFormatPr defaultRowHeight="13.5"/>
  <cols>
    <col min="1" max="1" width="13.5" style="74" customWidth="1"/>
    <col min="2" max="2" width="79.125" style="74" customWidth="1"/>
    <col min="3" max="3" width="9.375" style="74" customWidth="1"/>
    <col min="4" max="23" width="4.125" style="74" customWidth="1"/>
    <col min="24" max="16384" width="9" style="74"/>
  </cols>
  <sheetData>
    <row r="1" spans="1:25" ht="85.5" customHeight="1">
      <c r="A1" s="72" t="str">
        <f ca="1">MID(CELL("filename",A1),FIND("[",CELL("filename",A1))+1,3)</f>
        <v>２－３</v>
      </c>
      <c r="B1" s="34" t="str">
        <f ca="1">RIGHT(CELL("filename",B1),LEN(CELL("filename",B1))-FIND("]",CELL("filename",B1)))</f>
        <v>国語</v>
      </c>
      <c r="C1" s="35" t="s">
        <v>26</v>
      </c>
      <c r="D1" s="36" t="str">
        <f>A15</f>
        <v>奥山 大雅</v>
      </c>
      <c r="E1" s="36" t="str">
        <f>A16</f>
        <v>兼村 祐希</v>
      </c>
      <c r="F1" s="36" t="str">
        <f>A17</f>
        <v>熊谷 百桜</v>
      </c>
      <c r="G1" s="36" t="str">
        <f>A18</f>
        <v>小原 幸典</v>
      </c>
      <c r="H1" s="36" t="str">
        <f>A19</f>
        <v>清水 清豪</v>
      </c>
      <c r="I1" s="36" t="str">
        <f>A20</f>
        <v>鈴木 理子</v>
      </c>
      <c r="J1" s="36" t="str">
        <f>A21</f>
        <v>徳田 安須嘉</v>
      </c>
      <c r="K1" s="36" t="str">
        <f>A22</f>
        <v>松尾 怜奈</v>
      </c>
      <c r="L1" s="36" t="str">
        <f>A23</f>
        <v>丸茂 彰仁</v>
      </c>
      <c r="M1" s="36" t="str">
        <f>A24</f>
        <v>御子柴 希美</v>
      </c>
      <c r="N1" s="36" t="str">
        <f>A25</f>
        <v>峯村 梨奈</v>
      </c>
      <c r="O1" s="36" t="str">
        <f>A26</f>
        <v>百瀬 友紀</v>
      </c>
      <c r="P1" s="36" t="str">
        <f>A27</f>
        <v>矢崎 優希菜</v>
      </c>
      <c r="Q1" s="36" t="str">
        <f>A28</f>
        <v>山本 侑輝</v>
      </c>
      <c r="R1" s="36">
        <f>A29</f>
        <v>0</v>
      </c>
      <c r="S1" s="36">
        <f>A30</f>
        <v>0</v>
      </c>
      <c r="T1" s="36">
        <f>A31</f>
        <v>0</v>
      </c>
      <c r="U1" s="36">
        <f>A32</f>
        <v>0</v>
      </c>
      <c r="V1" s="36">
        <f>A33</f>
        <v>0</v>
      </c>
      <c r="W1" s="36">
        <f>A34</f>
        <v>0</v>
      </c>
      <c r="X1" s="73"/>
    </row>
    <row r="2" spans="1:25" ht="22.5" customHeight="1">
      <c r="A2" s="158" t="s">
        <v>160</v>
      </c>
      <c r="B2" s="83" t="s">
        <v>64</v>
      </c>
      <c r="C2" s="38" t="s">
        <v>27</v>
      </c>
      <c r="D2" s="71" t="s">
        <v>161</v>
      </c>
      <c r="E2" s="71" t="s">
        <v>161</v>
      </c>
      <c r="F2" s="71" t="s">
        <v>161</v>
      </c>
      <c r="G2" s="71" t="s">
        <v>161</v>
      </c>
      <c r="H2" s="71" t="s">
        <v>161</v>
      </c>
      <c r="I2" s="71" t="s">
        <v>161</v>
      </c>
      <c r="J2" s="71" t="s">
        <v>161</v>
      </c>
      <c r="K2" s="71" t="s">
        <v>161</v>
      </c>
      <c r="L2" s="71" t="s">
        <v>161</v>
      </c>
      <c r="M2" s="71" t="s">
        <v>161</v>
      </c>
      <c r="N2" s="71" t="s">
        <v>161</v>
      </c>
      <c r="O2" s="71" t="s">
        <v>162</v>
      </c>
      <c r="P2" s="71" t="s">
        <v>161</v>
      </c>
      <c r="Q2" s="71" t="s">
        <v>163</v>
      </c>
      <c r="R2" s="71"/>
      <c r="S2" s="71"/>
      <c r="T2" s="71"/>
      <c r="U2" s="71"/>
      <c r="V2" s="71"/>
      <c r="W2" s="71"/>
      <c r="X2" s="75" t="s">
        <v>161</v>
      </c>
      <c r="Y2" s="75">
        <v>1</v>
      </c>
    </row>
    <row r="3" spans="1:25" ht="22.5" customHeight="1">
      <c r="A3" s="159"/>
      <c r="B3" s="83" t="s">
        <v>65</v>
      </c>
      <c r="C3" s="38" t="s">
        <v>27</v>
      </c>
      <c r="D3" s="71" t="s">
        <v>161</v>
      </c>
      <c r="E3" s="71" t="s">
        <v>161</v>
      </c>
      <c r="F3" s="71" t="s">
        <v>161</v>
      </c>
      <c r="G3" s="71" t="s">
        <v>163</v>
      </c>
      <c r="H3" s="71" t="s">
        <v>162</v>
      </c>
      <c r="I3" s="71" t="s">
        <v>161</v>
      </c>
      <c r="J3" s="71" t="s">
        <v>161</v>
      </c>
      <c r="K3" s="71" t="s">
        <v>161</v>
      </c>
      <c r="L3" s="71" t="s">
        <v>163</v>
      </c>
      <c r="M3" s="71" t="s">
        <v>161</v>
      </c>
      <c r="N3" s="71" t="s">
        <v>161</v>
      </c>
      <c r="O3" s="71" t="s">
        <v>163</v>
      </c>
      <c r="P3" s="71" t="s">
        <v>161</v>
      </c>
      <c r="Q3" s="71" t="s">
        <v>164</v>
      </c>
      <c r="R3" s="71"/>
      <c r="S3" s="71"/>
      <c r="T3" s="71"/>
      <c r="U3" s="71"/>
      <c r="V3" s="71"/>
      <c r="W3" s="71"/>
      <c r="X3" s="75" t="s">
        <v>162</v>
      </c>
      <c r="Y3" s="75">
        <v>2</v>
      </c>
    </row>
    <row r="4" spans="1:25" ht="22.5" customHeight="1">
      <c r="A4" s="159"/>
      <c r="B4" s="83" t="s">
        <v>66</v>
      </c>
      <c r="C4" s="38" t="s">
        <v>27</v>
      </c>
      <c r="D4" s="71" t="s">
        <v>161</v>
      </c>
      <c r="E4" s="71" t="s">
        <v>161</v>
      </c>
      <c r="F4" s="71" t="s">
        <v>162</v>
      </c>
      <c r="G4" s="71" t="s">
        <v>163</v>
      </c>
      <c r="H4" s="71" t="s">
        <v>162</v>
      </c>
      <c r="I4" s="71" t="s">
        <v>161</v>
      </c>
      <c r="J4" s="71" t="s">
        <v>165</v>
      </c>
      <c r="K4" s="71" t="s">
        <v>163</v>
      </c>
      <c r="L4" s="71" t="s">
        <v>161</v>
      </c>
      <c r="M4" s="71" t="s">
        <v>163</v>
      </c>
      <c r="N4" s="71" t="s">
        <v>163</v>
      </c>
      <c r="O4" s="71" t="s">
        <v>164</v>
      </c>
      <c r="P4" s="71" t="s">
        <v>163</v>
      </c>
      <c r="Q4" s="71" t="s">
        <v>161</v>
      </c>
      <c r="R4" s="71"/>
      <c r="S4" s="71"/>
      <c r="T4" s="71"/>
      <c r="U4" s="71"/>
      <c r="V4" s="71"/>
      <c r="W4" s="71"/>
      <c r="X4" s="75" t="s">
        <v>165</v>
      </c>
      <c r="Y4" s="75">
        <v>3</v>
      </c>
    </row>
    <row r="5" spans="1:25" ht="22.5" customHeight="1">
      <c r="A5" s="159"/>
      <c r="B5" s="83" t="s">
        <v>76</v>
      </c>
      <c r="C5" s="38" t="s">
        <v>27</v>
      </c>
      <c r="D5" s="71" t="s">
        <v>161</v>
      </c>
      <c r="E5" s="71" t="s">
        <v>161</v>
      </c>
      <c r="F5" s="71" t="s">
        <v>163</v>
      </c>
      <c r="G5" s="71" t="s">
        <v>163</v>
      </c>
      <c r="H5" s="71" t="s">
        <v>164</v>
      </c>
      <c r="I5" s="71" t="s">
        <v>163</v>
      </c>
      <c r="J5" s="71" t="s">
        <v>161</v>
      </c>
      <c r="K5" s="71" t="s">
        <v>161</v>
      </c>
      <c r="L5" s="71" t="s">
        <v>161</v>
      </c>
      <c r="M5" s="71" t="s">
        <v>163</v>
      </c>
      <c r="N5" s="71" t="s">
        <v>163</v>
      </c>
      <c r="O5" s="71" t="s">
        <v>161</v>
      </c>
      <c r="P5" s="71" t="s">
        <v>161</v>
      </c>
      <c r="Q5" s="71" t="s">
        <v>162</v>
      </c>
      <c r="R5" s="71"/>
      <c r="S5" s="71"/>
      <c r="T5" s="71"/>
      <c r="U5" s="71"/>
      <c r="V5" s="71"/>
      <c r="W5" s="71"/>
      <c r="X5" s="75" t="s">
        <v>166</v>
      </c>
      <c r="Y5" s="75">
        <v>4</v>
      </c>
    </row>
    <row r="6" spans="1:25" ht="22.5" customHeight="1">
      <c r="A6" s="159"/>
      <c r="B6" s="83" t="s">
        <v>67</v>
      </c>
      <c r="C6" s="38" t="s">
        <v>27</v>
      </c>
      <c r="D6" s="71" t="s">
        <v>161</v>
      </c>
      <c r="E6" s="71" t="s">
        <v>161</v>
      </c>
      <c r="F6" s="71" t="s">
        <v>163</v>
      </c>
      <c r="G6" s="71" t="s">
        <v>163</v>
      </c>
      <c r="H6" s="71" t="s">
        <v>163</v>
      </c>
      <c r="I6" s="71" t="s">
        <v>161</v>
      </c>
      <c r="J6" s="71" t="s">
        <v>164</v>
      </c>
      <c r="K6" s="71" t="s">
        <v>163</v>
      </c>
      <c r="L6" s="71" t="s">
        <v>161</v>
      </c>
      <c r="M6" s="71" t="s">
        <v>163</v>
      </c>
      <c r="N6" s="71" t="s">
        <v>161</v>
      </c>
      <c r="O6" s="71" t="s">
        <v>163</v>
      </c>
      <c r="P6" s="71" t="s">
        <v>161</v>
      </c>
      <c r="Q6" s="71" t="s">
        <v>161</v>
      </c>
      <c r="R6" s="71"/>
      <c r="S6" s="71"/>
      <c r="T6" s="71"/>
      <c r="U6" s="71"/>
      <c r="V6" s="71"/>
      <c r="W6" s="71"/>
      <c r="X6" s="75"/>
      <c r="Y6" s="75">
        <v>5</v>
      </c>
    </row>
    <row r="7" spans="1:25" ht="22.5" customHeight="1">
      <c r="A7" s="159"/>
      <c r="B7" s="83" t="s">
        <v>68</v>
      </c>
      <c r="C7" s="38" t="s">
        <v>27</v>
      </c>
      <c r="D7" s="71" t="s">
        <v>161</v>
      </c>
      <c r="E7" s="71" t="s">
        <v>161</v>
      </c>
      <c r="F7" s="71" t="s">
        <v>163</v>
      </c>
      <c r="G7" s="71" t="s">
        <v>161</v>
      </c>
      <c r="H7" s="71" t="s">
        <v>161</v>
      </c>
      <c r="I7" s="71" t="s">
        <v>161</v>
      </c>
      <c r="J7" s="71" t="s">
        <v>163</v>
      </c>
      <c r="K7" s="71" t="s">
        <v>161</v>
      </c>
      <c r="L7" s="71" t="s">
        <v>163</v>
      </c>
      <c r="M7" s="71" t="s">
        <v>163</v>
      </c>
      <c r="N7" s="71" t="s">
        <v>163</v>
      </c>
      <c r="O7" s="71" t="s">
        <v>163</v>
      </c>
      <c r="P7" s="71" t="s">
        <v>161</v>
      </c>
      <c r="Q7" s="71" t="s">
        <v>163</v>
      </c>
      <c r="R7" s="71"/>
      <c r="S7" s="71"/>
      <c r="T7" s="71"/>
      <c r="U7" s="71"/>
      <c r="V7" s="71"/>
      <c r="W7" s="71"/>
      <c r="X7" s="75"/>
      <c r="Y7" s="75" t="s">
        <v>166</v>
      </c>
    </row>
    <row r="8" spans="1:25" ht="22.5" customHeight="1">
      <c r="A8" s="159"/>
      <c r="B8" s="83" t="s">
        <v>69</v>
      </c>
      <c r="C8" s="38" t="s">
        <v>27</v>
      </c>
      <c r="D8" s="71" t="s">
        <v>162</v>
      </c>
      <c r="E8" s="71" t="s">
        <v>163</v>
      </c>
      <c r="F8" s="71" t="s">
        <v>163</v>
      </c>
      <c r="G8" s="71" t="s">
        <v>163</v>
      </c>
      <c r="H8" s="71" t="s">
        <v>163</v>
      </c>
      <c r="I8" s="71" t="s">
        <v>163</v>
      </c>
      <c r="J8" s="71" t="s">
        <v>163</v>
      </c>
      <c r="K8" s="71" t="s">
        <v>163</v>
      </c>
      <c r="L8" s="71" t="s">
        <v>163</v>
      </c>
      <c r="M8" s="71" t="s">
        <v>163</v>
      </c>
      <c r="N8" s="71" t="s">
        <v>163</v>
      </c>
      <c r="O8" s="71" t="s">
        <v>162</v>
      </c>
      <c r="P8" s="71" t="s">
        <v>163</v>
      </c>
      <c r="Q8" s="71" t="s">
        <v>163</v>
      </c>
      <c r="R8" s="71"/>
      <c r="S8" s="71"/>
      <c r="T8" s="71"/>
      <c r="U8" s="71"/>
      <c r="V8" s="71"/>
      <c r="W8" s="71"/>
    </row>
    <row r="9" spans="1:25" ht="22.5" customHeight="1">
      <c r="A9" s="159"/>
      <c r="B9" s="83" t="s">
        <v>77</v>
      </c>
      <c r="C9" s="38" t="s">
        <v>27</v>
      </c>
      <c r="D9" s="71" t="s">
        <v>163</v>
      </c>
      <c r="E9" s="71" t="s">
        <v>163</v>
      </c>
      <c r="F9" s="71" t="s">
        <v>161</v>
      </c>
      <c r="G9" s="71" t="s">
        <v>161</v>
      </c>
      <c r="H9" s="71" t="s">
        <v>161</v>
      </c>
      <c r="I9" s="71" t="s">
        <v>163</v>
      </c>
      <c r="J9" s="71" t="s">
        <v>163</v>
      </c>
      <c r="K9" s="71" t="s">
        <v>163</v>
      </c>
      <c r="L9" s="71" t="s">
        <v>163</v>
      </c>
      <c r="M9" s="71" t="s">
        <v>162</v>
      </c>
      <c r="N9" s="71" t="s">
        <v>163</v>
      </c>
      <c r="O9" s="71" t="s">
        <v>163</v>
      </c>
      <c r="P9" s="71" t="s">
        <v>163</v>
      </c>
      <c r="Q9" s="71" t="s">
        <v>161</v>
      </c>
      <c r="R9" s="71"/>
      <c r="S9" s="71"/>
      <c r="T9" s="71"/>
      <c r="U9" s="71"/>
      <c r="V9" s="71"/>
      <c r="W9" s="71"/>
    </row>
    <row r="10" spans="1:25" ht="22.5" customHeight="1">
      <c r="A10" s="159"/>
      <c r="B10" s="41" t="s">
        <v>78</v>
      </c>
      <c r="C10" s="38" t="s">
        <v>27</v>
      </c>
      <c r="D10" s="71" t="s">
        <v>163</v>
      </c>
      <c r="E10" s="71" t="s">
        <v>161</v>
      </c>
      <c r="F10" s="71" t="s">
        <v>163</v>
      </c>
      <c r="G10" s="71" t="s">
        <v>163</v>
      </c>
      <c r="H10" s="71" t="s">
        <v>162</v>
      </c>
      <c r="I10" s="71" t="s">
        <v>163</v>
      </c>
      <c r="J10" s="71" t="s">
        <v>163</v>
      </c>
      <c r="K10" s="71" t="s">
        <v>163</v>
      </c>
      <c r="L10" s="71" t="s">
        <v>163</v>
      </c>
      <c r="M10" s="71" t="s">
        <v>161</v>
      </c>
      <c r="N10" s="71" t="s">
        <v>163</v>
      </c>
      <c r="O10" s="71" t="s">
        <v>161</v>
      </c>
      <c r="P10" s="71" t="s">
        <v>161</v>
      </c>
      <c r="Q10" s="71" t="s">
        <v>161</v>
      </c>
      <c r="R10" s="71"/>
      <c r="S10" s="71"/>
      <c r="T10" s="71"/>
      <c r="U10" s="71"/>
      <c r="V10" s="71"/>
      <c r="W10" s="71"/>
    </row>
    <row r="11" spans="1:25" ht="22.5" customHeight="1">
      <c r="A11" s="159"/>
      <c r="B11" s="41"/>
      <c r="C11" s="38" t="s">
        <v>27</v>
      </c>
      <c r="D11" s="71"/>
      <c r="E11" s="71"/>
      <c r="F11" s="71"/>
      <c r="G11" s="71"/>
      <c r="H11" s="71"/>
      <c r="I11" s="71"/>
      <c r="J11" s="71"/>
      <c r="K11" s="71"/>
      <c r="L11" s="71"/>
      <c r="M11" s="71"/>
      <c r="N11" s="71"/>
      <c r="O11" s="71"/>
      <c r="P11" s="71"/>
      <c r="Q11" s="71"/>
      <c r="R11" s="71"/>
      <c r="S11" s="71"/>
      <c r="T11" s="71"/>
      <c r="U11" s="71"/>
      <c r="V11" s="71"/>
      <c r="W11" s="71"/>
    </row>
    <row r="12" spans="1:25" ht="30" customHeight="1">
      <c r="A12" s="160"/>
      <c r="B12" s="42"/>
      <c r="C12" s="43" t="s">
        <v>28</v>
      </c>
      <c r="D12" s="71">
        <v>5</v>
      </c>
      <c r="E12" s="71">
        <v>5</v>
      </c>
      <c r="F12" s="71">
        <v>5</v>
      </c>
      <c r="G12" s="71">
        <v>5</v>
      </c>
      <c r="H12" s="71">
        <v>4</v>
      </c>
      <c r="I12" s="71">
        <v>5</v>
      </c>
      <c r="J12" s="71">
        <v>4</v>
      </c>
      <c r="K12" s="71">
        <v>5</v>
      </c>
      <c r="L12" s="71">
        <v>5</v>
      </c>
      <c r="M12" s="71">
        <v>5</v>
      </c>
      <c r="N12" s="71">
        <v>5</v>
      </c>
      <c r="O12" s="71">
        <v>4</v>
      </c>
      <c r="P12" s="71">
        <v>5</v>
      </c>
      <c r="Q12" s="71">
        <v>5</v>
      </c>
      <c r="R12" s="71"/>
      <c r="S12" s="71"/>
      <c r="T12" s="71"/>
      <c r="U12" s="71"/>
      <c r="V12" s="71"/>
      <c r="W12" s="71"/>
    </row>
    <row r="13" spans="1:25" ht="26.25" customHeight="1">
      <c r="A13" s="76"/>
      <c r="B13" s="76"/>
      <c r="C13" s="68" t="s">
        <v>57</v>
      </c>
      <c r="D13" s="77"/>
      <c r="E13" s="77"/>
      <c r="F13" s="77"/>
      <c r="G13" s="77"/>
      <c r="H13" s="77"/>
      <c r="I13" s="77"/>
      <c r="J13" s="77"/>
      <c r="K13" s="77"/>
      <c r="L13" s="77"/>
      <c r="M13" s="77"/>
      <c r="N13" s="77"/>
      <c r="O13" s="77"/>
      <c r="P13" s="77"/>
      <c r="Q13" s="77"/>
      <c r="R13" s="77"/>
      <c r="S13" s="77"/>
      <c r="T13" s="77"/>
      <c r="U13" s="77"/>
      <c r="V13" s="77"/>
      <c r="W13" s="77"/>
    </row>
    <row r="14" spans="1:25" ht="22.5" customHeight="1">
      <c r="A14" s="45" t="s">
        <v>29</v>
      </c>
      <c r="B14" s="161" t="s">
        <v>30</v>
      </c>
      <c r="C14" s="162"/>
      <c r="D14" s="162"/>
      <c r="E14" s="162"/>
      <c r="F14" s="162"/>
      <c r="G14" s="162"/>
      <c r="H14" s="162"/>
      <c r="I14" s="162"/>
      <c r="J14" s="162"/>
      <c r="K14" s="162"/>
      <c r="L14" s="162"/>
      <c r="M14" s="162"/>
      <c r="N14" s="162"/>
      <c r="O14" s="162"/>
      <c r="P14" s="162"/>
      <c r="Q14" s="162"/>
      <c r="R14" s="162"/>
      <c r="S14" s="162"/>
      <c r="T14" s="162"/>
      <c r="U14" s="162"/>
      <c r="V14" s="162"/>
      <c r="W14" s="163"/>
    </row>
    <row r="15" spans="1:25" ht="59.25" customHeight="1">
      <c r="A15" s="78" t="s">
        <v>79</v>
      </c>
      <c r="B15" s="155"/>
      <c r="C15" s="156"/>
      <c r="D15" s="156"/>
      <c r="E15" s="156"/>
      <c r="F15" s="156"/>
      <c r="G15" s="156"/>
      <c r="H15" s="156"/>
      <c r="I15" s="156"/>
      <c r="J15" s="156"/>
      <c r="K15" s="156"/>
      <c r="L15" s="156"/>
      <c r="M15" s="156"/>
      <c r="N15" s="156"/>
      <c r="O15" s="156"/>
      <c r="P15" s="156"/>
      <c r="Q15" s="156"/>
      <c r="R15" s="156"/>
      <c r="S15" s="156"/>
      <c r="T15" s="156"/>
      <c r="U15" s="156"/>
      <c r="V15" s="156"/>
      <c r="W15" s="157"/>
    </row>
    <row r="16" spans="1:25" ht="59.25" customHeight="1">
      <c r="A16" s="78" t="s">
        <v>80</v>
      </c>
      <c r="B16" s="155"/>
      <c r="C16" s="156"/>
      <c r="D16" s="156"/>
      <c r="E16" s="156"/>
      <c r="F16" s="156"/>
      <c r="G16" s="156"/>
      <c r="H16" s="156"/>
      <c r="I16" s="156"/>
      <c r="J16" s="156"/>
      <c r="K16" s="156"/>
      <c r="L16" s="156"/>
      <c r="M16" s="156"/>
      <c r="N16" s="156"/>
      <c r="O16" s="156"/>
      <c r="P16" s="156"/>
      <c r="Q16" s="156"/>
      <c r="R16" s="156"/>
      <c r="S16" s="156"/>
      <c r="T16" s="156"/>
      <c r="U16" s="156"/>
      <c r="V16" s="156"/>
      <c r="W16" s="157"/>
    </row>
    <row r="17" spans="1:23" ht="59.25" customHeight="1">
      <c r="A17" s="78" t="s">
        <v>81</v>
      </c>
      <c r="B17" s="155"/>
      <c r="C17" s="156"/>
      <c r="D17" s="156"/>
      <c r="E17" s="156"/>
      <c r="F17" s="156"/>
      <c r="G17" s="156"/>
      <c r="H17" s="156"/>
      <c r="I17" s="156"/>
      <c r="J17" s="156"/>
      <c r="K17" s="156"/>
      <c r="L17" s="156"/>
      <c r="M17" s="156"/>
      <c r="N17" s="156"/>
      <c r="O17" s="156"/>
      <c r="P17" s="156"/>
      <c r="Q17" s="156"/>
      <c r="R17" s="156"/>
      <c r="S17" s="156"/>
      <c r="T17" s="156"/>
      <c r="U17" s="156"/>
      <c r="V17" s="156"/>
      <c r="W17" s="157"/>
    </row>
    <row r="18" spans="1:23" ht="59.25" customHeight="1">
      <c r="A18" s="78" t="s">
        <v>82</v>
      </c>
      <c r="B18" s="155"/>
      <c r="C18" s="156"/>
      <c r="D18" s="156"/>
      <c r="E18" s="156"/>
      <c r="F18" s="156"/>
      <c r="G18" s="156"/>
      <c r="H18" s="156"/>
      <c r="I18" s="156"/>
      <c r="J18" s="156"/>
      <c r="K18" s="156"/>
      <c r="L18" s="156"/>
      <c r="M18" s="156"/>
      <c r="N18" s="156"/>
      <c r="O18" s="156"/>
      <c r="P18" s="156"/>
      <c r="Q18" s="156"/>
      <c r="R18" s="156"/>
      <c r="S18" s="156"/>
      <c r="T18" s="156"/>
      <c r="U18" s="156"/>
      <c r="V18" s="156"/>
      <c r="W18" s="157"/>
    </row>
    <row r="19" spans="1:23" ht="59.25" customHeight="1">
      <c r="A19" s="78" t="s">
        <v>83</v>
      </c>
      <c r="B19" s="155"/>
      <c r="C19" s="156"/>
      <c r="D19" s="156"/>
      <c r="E19" s="156"/>
      <c r="F19" s="156"/>
      <c r="G19" s="156"/>
      <c r="H19" s="156"/>
      <c r="I19" s="156"/>
      <c r="J19" s="156"/>
      <c r="K19" s="156"/>
      <c r="L19" s="156"/>
      <c r="M19" s="156"/>
      <c r="N19" s="156"/>
      <c r="O19" s="156"/>
      <c r="P19" s="156"/>
      <c r="Q19" s="156"/>
      <c r="R19" s="156"/>
      <c r="S19" s="156"/>
      <c r="T19" s="156"/>
      <c r="U19" s="156"/>
      <c r="V19" s="156"/>
      <c r="W19" s="157"/>
    </row>
    <row r="20" spans="1:23" ht="59.25" customHeight="1">
      <c r="A20" s="78" t="s">
        <v>84</v>
      </c>
      <c r="B20" s="155"/>
      <c r="C20" s="156"/>
      <c r="D20" s="156"/>
      <c r="E20" s="156"/>
      <c r="F20" s="156"/>
      <c r="G20" s="156"/>
      <c r="H20" s="156"/>
      <c r="I20" s="156"/>
      <c r="J20" s="156"/>
      <c r="K20" s="156"/>
      <c r="L20" s="156"/>
      <c r="M20" s="156"/>
      <c r="N20" s="156"/>
      <c r="O20" s="156"/>
      <c r="P20" s="156"/>
      <c r="Q20" s="156"/>
      <c r="R20" s="156"/>
      <c r="S20" s="156"/>
      <c r="T20" s="156"/>
      <c r="U20" s="156"/>
      <c r="V20" s="156"/>
      <c r="W20" s="157"/>
    </row>
    <row r="21" spans="1:23" ht="59.25" customHeight="1">
      <c r="A21" s="78" t="s">
        <v>85</v>
      </c>
      <c r="B21" s="155"/>
      <c r="C21" s="156"/>
      <c r="D21" s="156"/>
      <c r="E21" s="156"/>
      <c r="F21" s="156"/>
      <c r="G21" s="156"/>
      <c r="H21" s="156"/>
      <c r="I21" s="156"/>
      <c r="J21" s="156"/>
      <c r="K21" s="156"/>
      <c r="L21" s="156"/>
      <c r="M21" s="156"/>
      <c r="N21" s="156"/>
      <c r="O21" s="156"/>
      <c r="P21" s="156"/>
      <c r="Q21" s="156"/>
      <c r="R21" s="156"/>
      <c r="S21" s="156"/>
      <c r="T21" s="156"/>
      <c r="U21" s="156"/>
      <c r="V21" s="156"/>
      <c r="W21" s="157"/>
    </row>
    <row r="22" spans="1:23" ht="59.25" customHeight="1">
      <c r="A22" s="78" t="s">
        <v>86</v>
      </c>
      <c r="B22" s="155"/>
      <c r="C22" s="156"/>
      <c r="D22" s="156"/>
      <c r="E22" s="156"/>
      <c r="F22" s="156"/>
      <c r="G22" s="156"/>
      <c r="H22" s="156"/>
      <c r="I22" s="156"/>
      <c r="J22" s="156"/>
      <c r="K22" s="156"/>
      <c r="L22" s="156"/>
      <c r="M22" s="156"/>
      <c r="N22" s="156"/>
      <c r="O22" s="156"/>
      <c r="P22" s="156"/>
      <c r="Q22" s="156"/>
      <c r="R22" s="156"/>
      <c r="S22" s="156"/>
      <c r="T22" s="156"/>
      <c r="U22" s="156"/>
      <c r="V22" s="156"/>
      <c r="W22" s="157"/>
    </row>
    <row r="23" spans="1:23" ht="59.25" customHeight="1">
      <c r="A23" s="78" t="s">
        <v>87</v>
      </c>
      <c r="B23" s="155"/>
      <c r="C23" s="156"/>
      <c r="D23" s="156"/>
      <c r="E23" s="156"/>
      <c r="F23" s="156"/>
      <c r="G23" s="156"/>
      <c r="H23" s="156"/>
      <c r="I23" s="156"/>
      <c r="J23" s="156"/>
      <c r="K23" s="156"/>
      <c r="L23" s="156"/>
      <c r="M23" s="156"/>
      <c r="N23" s="156"/>
      <c r="O23" s="156"/>
      <c r="P23" s="156"/>
      <c r="Q23" s="156"/>
      <c r="R23" s="156"/>
      <c r="S23" s="156"/>
      <c r="T23" s="156"/>
      <c r="U23" s="156"/>
      <c r="V23" s="156"/>
      <c r="W23" s="157"/>
    </row>
    <row r="24" spans="1:23" ht="59.25" customHeight="1">
      <c r="A24" s="78" t="s">
        <v>88</v>
      </c>
      <c r="B24" s="155"/>
      <c r="C24" s="156"/>
      <c r="D24" s="156"/>
      <c r="E24" s="156"/>
      <c r="F24" s="156"/>
      <c r="G24" s="156"/>
      <c r="H24" s="156"/>
      <c r="I24" s="156"/>
      <c r="J24" s="156"/>
      <c r="K24" s="156"/>
      <c r="L24" s="156"/>
      <c r="M24" s="156"/>
      <c r="N24" s="156"/>
      <c r="O24" s="156"/>
      <c r="P24" s="156"/>
      <c r="Q24" s="156"/>
      <c r="R24" s="156"/>
      <c r="S24" s="156"/>
      <c r="T24" s="156"/>
      <c r="U24" s="156"/>
      <c r="V24" s="156"/>
      <c r="W24" s="157"/>
    </row>
    <row r="25" spans="1:23" ht="59.25" customHeight="1">
      <c r="A25" s="78" t="s">
        <v>89</v>
      </c>
      <c r="B25" s="155"/>
      <c r="C25" s="156"/>
      <c r="D25" s="156"/>
      <c r="E25" s="156"/>
      <c r="F25" s="156"/>
      <c r="G25" s="156"/>
      <c r="H25" s="156"/>
      <c r="I25" s="156"/>
      <c r="J25" s="156"/>
      <c r="K25" s="156"/>
      <c r="L25" s="156"/>
      <c r="M25" s="156"/>
      <c r="N25" s="156"/>
      <c r="O25" s="156"/>
      <c r="P25" s="156"/>
      <c r="Q25" s="156"/>
      <c r="R25" s="156"/>
      <c r="S25" s="156"/>
      <c r="T25" s="156"/>
      <c r="U25" s="156"/>
      <c r="V25" s="156"/>
      <c r="W25" s="157"/>
    </row>
    <row r="26" spans="1:23" ht="59.25" customHeight="1">
      <c r="A26" s="78" t="s">
        <v>90</v>
      </c>
      <c r="B26" s="155"/>
      <c r="C26" s="156"/>
      <c r="D26" s="156"/>
      <c r="E26" s="156"/>
      <c r="F26" s="156"/>
      <c r="G26" s="156"/>
      <c r="H26" s="156"/>
      <c r="I26" s="156"/>
      <c r="J26" s="156"/>
      <c r="K26" s="156"/>
      <c r="L26" s="156"/>
      <c r="M26" s="156"/>
      <c r="N26" s="156"/>
      <c r="O26" s="156"/>
      <c r="P26" s="156"/>
      <c r="Q26" s="156"/>
      <c r="R26" s="156"/>
      <c r="S26" s="156"/>
      <c r="T26" s="156"/>
      <c r="U26" s="156"/>
      <c r="V26" s="156"/>
      <c r="W26" s="157"/>
    </row>
    <row r="27" spans="1:23" ht="59.25" customHeight="1">
      <c r="A27" s="78" t="s">
        <v>91</v>
      </c>
      <c r="B27" s="155"/>
      <c r="C27" s="156"/>
      <c r="D27" s="156"/>
      <c r="E27" s="156"/>
      <c r="F27" s="156"/>
      <c r="G27" s="156"/>
      <c r="H27" s="156"/>
      <c r="I27" s="156"/>
      <c r="J27" s="156"/>
      <c r="K27" s="156"/>
      <c r="L27" s="156"/>
      <c r="M27" s="156"/>
      <c r="N27" s="156"/>
      <c r="O27" s="156"/>
      <c r="P27" s="156"/>
      <c r="Q27" s="156"/>
      <c r="R27" s="156"/>
      <c r="S27" s="156"/>
      <c r="T27" s="156"/>
      <c r="U27" s="156"/>
      <c r="V27" s="156"/>
      <c r="W27" s="157"/>
    </row>
    <row r="28" spans="1:23" ht="59.25" customHeight="1">
      <c r="A28" s="78" t="s">
        <v>92</v>
      </c>
      <c r="B28" s="155"/>
      <c r="C28" s="156"/>
      <c r="D28" s="156"/>
      <c r="E28" s="156"/>
      <c r="F28" s="156"/>
      <c r="G28" s="156"/>
      <c r="H28" s="156"/>
      <c r="I28" s="156"/>
      <c r="J28" s="156"/>
      <c r="K28" s="156"/>
      <c r="L28" s="156"/>
      <c r="M28" s="156"/>
      <c r="N28" s="156"/>
      <c r="O28" s="156"/>
      <c r="P28" s="156"/>
      <c r="Q28" s="156"/>
      <c r="R28" s="156"/>
      <c r="S28" s="156"/>
      <c r="T28" s="156"/>
      <c r="U28" s="156"/>
      <c r="V28" s="156"/>
      <c r="W28" s="157"/>
    </row>
    <row r="29" spans="1:23" ht="59.25" customHeight="1">
      <c r="A29" s="78"/>
      <c r="B29" s="155"/>
      <c r="C29" s="156"/>
      <c r="D29" s="156"/>
      <c r="E29" s="156"/>
      <c r="F29" s="156"/>
      <c r="G29" s="156"/>
      <c r="H29" s="156"/>
      <c r="I29" s="156"/>
      <c r="J29" s="156"/>
      <c r="K29" s="156"/>
      <c r="L29" s="156"/>
      <c r="M29" s="156"/>
      <c r="N29" s="156"/>
      <c r="O29" s="156"/>
      <c r="P29" s="156"/>
      <c r="Q29" s="156"/>
      <c r="R29" s="156"/>
      <c r="S29" s="156"/>
      <c r="T29" s="156"/>
      <c r="U29" s="156"/>
      <c r="V29" s="156"/>
      <c r="W29" s="157"/>
    </row>
    <row r="30" spans="1:23" ht="59.25" customHeight="1">
      <c r="A30" s="78"/>
      <c r="B30" s="155"/>
      <c r="C30" s="156"/>
      <c r="D30" s="156"/>
      <c r="E30" s="156"/>
      <c r="F30" s="156"/>
      <c r="G30" s="156"/>
      <c r="H30" s="156"/>
      <c r="I30" s="156"/>
      <c r="J30" s="156"/>
      <c r="K30" s="156"/>
      <c r="L30" s="156"/>
      <c r="M30" s="156"/>
      <c r="N30" s="156"/>
      <c r="O30" s="156"/>
      <c r="P30" s="156"/>
      <c r="Q30" s="156"/>
      <c r="R30" s="156"/>
      <c r="S30" s="156"/>
      <c r="T30" s="156"/>
      <c r="U30" s="156"/>
      <c r="V30" s="156"/>
      <c r="W30" s="157"/>
    </row>
    <row r="31" spans="1:23" ht="59.25" customHeight="1">
      <c r="A31" s="78"/>
      <c r="B31" s="155"/>
      <c r="C31" s="156"/>
      <c r="D31" s="156"/>
      <c r="E31" s="156"/>
      <c r="F31" s="156"/>
      <c r="G31" s="156"/>
      <c r="H31" s="156"/>
      <c r="I31" s="156"/>
      <c r="J31" s="156"/>
      <c r="K31" s="156"/>
      <c r="L31" s="156"/>
      <c r="M31" s="156"/>
      <c r="N31" s="156"/>
      <c r="O31" s="156"/>
      <c r="P31" s="156"/>
      <c r="Q31" s="156"/>
      <c r="R31" s="156"/>
      <c r="S31" s="156"/>
      <c r="T31" s="156"/>
      <c r="U31" s="156"/>
      <c r="V31" s="156"/>
      <c r="W31" s="157"/>
    </row>
    <row r="32" spans="1:23" ht="59.25" customHeight="1">
      <c r="A32" s="78"/>
      <c r="B32" s="155"/>
      <c r="C32" s="156"/>
      <c r="D32" s="156"/>
      <c r="E32" s="156"/>
      <c r="F32" s="156"/>
      <c r="G32" s="156"/>
      <c r="H32" s="156"/>
      <c r="I32" s="156"/>
      <c r="J32" s="156"/>
      <c r="K32" s="156"/>
      <c r="L32" s="156"/>
      <c r="M32" s="156"/>
      <c r="N32" s="156"/>
      <c r="O32" s="156"/>
      <c r="P32" s="156"/>
      <c r="Q32" s="156"/>
      <c r="R32" s="156"/>
      <c r="S32" s="156"/>
      <c r="T32" s="156"/>
      <c r="U32" s="156"/>
      <c r="V32" s="156"/>
      <c r="W32" s="157"/>
    </row>
    <row r="33" spans="1:23" ht="59.25" customHeight="1">
      <c r="A33" s="78"/>
      <c r="B33" s="155"/>
      <c r="C33" s="156"/>
      <c r="D33" s="156"/>
      <c r="E33" s="156"/>
      <c r="F33" s="156"/>
      <c r="G33" s="156"/>
      <c r="H33" s="156"/>
      <c r="I33" s="156"/>
      <c r="J33" s="156"/>
      <c r="K33" s="156"/>
      <c r="L33" s="156"/>
      <c r="M33" s="156"/>
      <c r="N33" s="156"/>
      <c r="O33" s="156"/>
      <c r="P33" s="156"/>
      <c r="Q33" s="156"/>
      <c r="R33" s="156"/>
      <c r="S33" s="156"/>
      <c r="T33" s="156"/>
      <c r="U33" s="156"/>
      <c r="V33" s="156"/>
      <c r="W33" s="157"/>
    </row>
    <row r="34" spans="1:23" ht="59.25" customHeight="1">
      <c r="A34" s="78"/>
      <c r="B34" s="155"/>
      <c r="C34" s="156"/>
      <c r="D34" s="156"/>
      <c r="E34" s="156"/>
      <c r="F34" s="156"/>
      <c r="G34" s="156"/>
      <c r="H34" s="156"/>
      <c r="I34" s="156"/>
      <c r="J34" s="156"/>
      <c r="K34" s="156"/>
      <c r="L34" s="156"/>
      <c r="M34" s="156"/>
      <c r="N34" s="156"/>
      <c r="O34" s="156"/>
      <c r="P34" s="156"/>
      <c r="Q34" s="156"/>
      <c r="R34" s="156"/>
      <c r="S34" s="156"/>
      <c r="T34" s="156"/>
      <c r="U34" s="156"/>
      <c r="V34" s="156"/>
      <c r="W34" s="157"/>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Y188"/>
  <sheetViews>
    <sheetView workbookViewId="0">
      <selection sqref="A1:XFD1048576"/>
    </sheetView>
  </sheetViews>
  <sheetFormatPr defaultRowHeight="13.5"/>
  <cols>
    <col min="1" max="1" width="13.5" style="74" customWidth="1"/>
    <col min="2" max="2" width="79.125" style="74" customWidth="1"/>
    <col min="3" max="3" width="9.375" style="74" customWidth="1"/>
    <col min="4" max="23" width="4.125" style="74" customWidth="1"/>
    <col min="24" max="16384" width="9" style="74"/>
  </cols>
  <sheetData>
    <row r="1" spans="1:25" ht="85.5" customHeight="1">
      <c r="A1" s="72" t="str">
        <f ca="1">MID(CELL("filename",A1),FIND("[",CELL("filename",A1))+1,3)</f>
        <v>２－３</v>
      </c>
      <c r="B1" s="34" t="str">
        <f ca="1">RIGHT(CELL("filename",B1),LEN(CELL("filename",B1))-FIND("]",CELL("filename",B1)))</f>
        <v>算数</v>
      </c>
      <c r="C1" s="35" t="s">
        <v>26</v>
      </c>
      <c r="D1" s="36" t="str">
        <f>A15</f>
        <v>奥山 大雅</v>
      </c>
      <c r="E1" s="36" t="str">
        <f>A16</f>
        <v>兼村 祐希</v>
      </c>
      <c r="F1" s="36" t="str">
        <f>A17</f>
        <v>熊谷 百桜</v>
      </c>
      <c r="G1" s="36" t="str">
        <f>A18</f>
        <v>小原 幸典</v>
      </c>
      <c r="H1" s="36" t="str">
        <f>A19</f>
        <v>清水 清豪</v>
      </c>
      <c r="I1" s="36" t="str">
        <f>A20</f>
        <v>鈴木 理子</v>
      </c>
      <c r="J1" s="36" t="str">
        <f>A21</f>
        <v>徳田 安須嘉</v>
      </c>
      <c r="K1" s="36" t="str">
        <f>A22</f>
        <v>松尾 怜奈</v>
      </c>
      <c r="L1" s="36" t="str">
        <f>A23</f>
        <v>丸茂 彰仁</v>
      </c>
      <c r="M1" s="36" t="str">
        <f>A24</f>
        <v>御子柴 希美</v>
      </c>
      <c r="N1" s="36" t="str">
        <f>A25</f>
        <v>峯村 梨奈</v>
      </c>
      <c r="O1" s="36" t="str">
        <f>A26</f>
        <v>百瀬 友紀</v>
      </c>
      <c r="P1" s="36" t="str">
        <f>A27</f>
        <v>矢崎 優希菜</v>
      </c>
      <c r="Q1" s="36" t="str">
        <f>A28</f>
        <v>山本 侑輝</v>
      </c>
      <c r="R1" s="36">
        <f>A29</f>
        <v>0</v>
      </c>
      <c r="S1" s="36">
        <f>A30</f>
        <v>0</v>
      </c>
      <c r="T1" s="36">
        <f>A31</f>
        <v>0</v>
      </c>
      <c r="U1" s="36">
        <f>A32</f>
        <v>0</v>
      </c>
      <c r="V1" s="36">
        <f>A33</f>
        <v>0</v>
      </c>
      <c r="W1" s="36">
        <f>A34</f>
        <v>0</v>
      </c>
      <c r="X1" s="73"/>
    </row>
    <row r="2" spans="1:25" ht="22.5" customHeight="1">
      <c r="A2" s="158" t="s">
        <v>167</v>
      </c>
      <c r="B2" s="41" t="s">
        <v>62</v>
      </c>
      <c r="C2" s="38" t="s">
        <v>27</v>
      </c>
      <c r="D2" s="71" t="s">
        <v>168</v>
      </c>
      <c r="E2" s="71" t="s">
        <v>168</v>
      </c>
      <c r="F2" s="71" t="s">
        <v>168</v>
      </c>
      <c r="G2" s="71" t="s">
        <v>168</v>
      </c>
      <c r="H2" s="71" t="s">
        <v>168</v>
      </c>
      <c r="I2" s="71" t="s">
        <v>168</v>
      </c>
      <c r="J2" s="71" t="s">
        <v>168</v>
      </c>
      <c r="K2" s="71" t="s">
        <v>168</v>
      </c>
      <c r="L2" s="71" t="s">
        <v>168</v>
      </c>
      <c r="M2" s="71" t="s">
        <v>168</v>
      </c>
      <c r="N2" s="71" t="s">
        <v>163</v>
      </c>
      <c r="O2" s="71" t="s">
        <v>168</v>
      </c>
      <c r="P2" s="71" t="s">
        <v>168</v>
      </c>
      <c r="Q2" s="71" t="s">
        <v>168</v>
      </c>
      <c r="R2" s="71"/>
      <c r="S2" s="71"/>
      <c r="T2" s="71"/>
      <c r="U2" s="71"/>
      <c r="V2" s="71"/>
      <c r="W2" s="71"/>
      <c r="X2" s="75" t="s">
        <v>163</v>
      </c>
      <c r="Y2" s="75">
        <v>1</v>
      </c>
    </row>
    <row r="3" spans="1:25" ht="22.5" customHeight="1">
      <c r="A3" s="159"/>
      <c r="B3" s="41" t="s">
        <v>58</v>
      </c>
      <c r="C3" s="38" t="s">
        <v>27</v>
      </c>
      <c r="D3" s="71" t="s">
        <v>168</v>
      </c>
      <c r="E3" s="71" t="s">
        <v>168</v>
      </c>
      <c r="F3" s="71" t="s">
        <v>168</v>
      </c>
      <c r="G3" s="71" t="s">
        <v>168</v>
      </c>
      <c r="H3" s="71" t="s">
        <v>168</v>
      </c>
      <c r="I3" s="71" t="s">
        <v>163</v>
      </c>
      <c r="J3" s="71" t="s">
        <v>168</v>
      </c>
      <c r="K3" s="71" t="s">
        <v>168</v>
      </c>
      <c r="L3" s="71" t="s">
        <v>168</v>
      </c>
      <c r="M3" s="71" t="s">
        <v>168</v>
      </c>
      <c r="N3" s="71" t="s">
        <v>163</v>
      </c>
      <c r="O3" s="71" t="s">
        <v>168</v>
      </c>
      <c r="P3" s="71" t="s">
        <v>168</v>
      </c>
      <c r="Q3" s="71" t="s">
        <v>163</v>
      </c>
      <c r="R3" s="71"/>
      <c r="S3" s="71"/>
      <c r="T3" s="71"/>
      <c r="U3" s="71"/>
      <c r="V3" s="71"/>
      <c r="W3" s="71"/>
      <c r="X3" s="75" t="s">
        <v>162</v>
      </c>
      <c r="Y3" s="75">
        <v>2</v>
      </c>
    </row>
    <row r="4" spans="1:25" ht="22.5" customHeight="1">
      <c r="A4" s="159"/>
      <c r="B4" s="41" t="s">
        <v>59</v>
      </c>
      <c r="C4" s="38" t="s">
        <v>27</v>
      </c>
      <c r="D4" s="71" t="s">
        <v>168</v>
      </c>
      <c r="E4" s="71" t="s">
        <v>163</v>
      </c>
      <c r="F4" s="71" t="s">
        <v>168</v>
      </c>
      <c r="G4" s="71" t="s">
        <v>163</v>
      </c>
      <c r="H4" s="71" t="s">
        <v>163</v>
      </c>
      <c r="I4" s="71" t="s">
        <v>163</v>
      </c>
      <c r="J4" s="71" t="s">
        <v>168</v>
      </c>
      <c r="K4" s="71" t="s">
        <v>163</v>
      </c>
      <c r="L4" s="71" t="s">
        <v>163</v>
      </c>
      <c r="M4" s="71" t="s">
        <v>168</v>
      </c>
      <c r="N4" s="71" t="s">
        <v>168</v>
      </c>
      <c r="O4" s="71" t="s">
        <v>168</v>
      </c>
      <c r="P4" s="71" t="s">
        <v>163</v>
      </c>
      <c r="Q4" s="71" t="s">
        <v>168</v>
      </c>
      <c r="R4" s="71"/>
      <c r="S4" s="71"/>
      <c r="T4" s="71"/>
      <c r="U4" s="71"/>
      <c r="V4" s="71"/>
      <c r="W4" s="71"/>
      <c r="X4" s="75" t="s">
        <v>165</v>
      </c>
      <c r="Y4" s="75">
        <v>3</v>
      </c>
    </row>
    <row r="5" spans="1:25" ht="22.5" customHeight="1">
      <c r="A5" s="159"/>
      <c r="B5" s="41" t="s">
        <v>60</v>
      </c>
      <c r="C5" s="38" t="s">
        <v>27</v>
      </c>
      <c r="D5" s="71" t="s">
        <v>163</v>
      </c>
      <c r="E5" s="71" t="s">
        <v>168</v>
      </c>
      <c r="F5" s="71" t="s">
        <v>168</v>
      </c>
      <c r="G5" s="71" t="s">
        <v>168</v>
      </c>
      <c r="H5" s="71" t="s">
        <v>168</v>
      </c>
      <c r="I5" s="71" t="s">
        <v>168</v>
      </c>
      <c r="J5" s="71" t="s">
        <v>163</v>
      </c>
      <c r="K5" s="71" t="s">
        <v>168</v>
      </c>
      <c r="L5" s="71" t="s">
        <v>168</v>
      </c>
      <c r="M5" s="71" t="s">
        <v>163</v>
      </c>
      <c r="N5" s="71" t="s">
        <v>163</v>
      </c>
      <c r="O5" s="71" t="s">
        <v>163</v>
      </c>
      <c r="P5" s="71" t="s">
        <v>163</v>
      </c>
      <c r="Q5" s="71" t="s">
        <v>163</v>
      </c>
      <c r="R5" s="71"/>
      <c r="S5" s="71"/>
      <c r="T5" s="71"/>
      <c r="U5" s="71"/>
      <c r="V5" s="71"/>
      <c r="W5" s="71"/>
      <c r="X5" s="75" t="s">
        <v>166</v>
      </c>
      <c r="Y5" s="75">
        <v>4</v>
      </c>
    </row>
    <row r="6" spans="1:25" ht="22.5" customHeight="1">
      <c r="A6" s="159"/>
      <c r="B6" s="41" t="s">
        <v>93</v>
      </c>
      <c r="C6" s="38" t="s">
        <v>27</v>
      </c>
      <c r="D6" s="71" t="s">
        <v>163</v>
      </c>
      <c r="E6" s="71" t="s">
        <v>163</v>
      </c>
      <c r="F6" s="71" t="s">
        <v>168</v>
      </c>
      <c r="G6" s="71" t="s">
        <v>168</v>
      </c>
      <c r="H6" s="71" t="s">
        <v>169</v>
      </c>
      <c r="I6" s="71" t="s">
        <v>168</v>
      </c>
      <c r="J6" s="71" t="s">
        <v>163</v>
      </c>
      <c r="K6" s="71" t="s">
        <v>163</v>
      </c>
      <c r="L6" s="71" t="s">
        <v>163</v>
      </c>
      <c r="M6" s="71" t="s">
        <v>168</v>
      </c>
      <c r="N6" s="71" t="s">
        <v>163</v>
      </c>
      <c r="O6" s="71" t="s">
        <v>162</v>
      </c>
      <c r="P6" s="71" t="s">
        <v>163</v>
      </c>
      <c r="Q6" s="71" t="s">
        <v>163</v>
      </c>
      <c r="R6" s="71"/>
      <c r="S6" s="71"/>
      <c r="T6" s="71"/>
      <c r="U6" s="71"/>
      <c r="V6" s="71"/>
      <c r="W6" s="71"/>
      <c r="X6" s="75"/>
      <c r="Y6" s="75">
        <v>5</v>
      </c>
    </row>
    <row r="7" spans="1:25" ht="22.5" customHeight="1">
      <c r="A7" s="159"/>
      <c r="B7" s="41" t="s">
        <v>170</v>
      </c>
      <c r="C7" s="38" t="s">
        <v>27</v>
      </c>
      <c r="D7" s="71" t="s">
        <v>163</v>
      </c>
      <c r="E7" s="71" t="s">
        <v>163</v>
      </c>
      <c r="F7" s="71" t="s">
        <v>163</v>
      </c>
      <c r="G7" s="71" t="s">
        <v>163</v>
      </c>
      <c r="H7" s="71" t="s">
        <v>162</v>
      </c>
      <c r="I7" s="71" t="s">
        <v>168</v>
      </c>
      <c r="J7" s="71" t="s">
        <v>162</v>
      </c>
      <c r="K7" s="71" t="s">
        <v>163</v>
      </c>
      <c r="L7" s="71" t="s">
        <v>163</v>
      </c>
      <c r="M7" s="71" t="s">
        <v>168</v>
      </c>
      <c r="N7" s="71" t="s">
        <v>163</v>
      </c>
      <c r="O7" s="71" t="s">
        <v>162</v>
      </c>
      <c r="P7" s="71" t="s">
        <v>163</v>
      </c>
      <c r="Q7" s="71" t="s">
        <v>163</v>
      </c>
      <c r="R7" s="71"/>
      <c r="S7" s="71"/>
      <c r="T7" s="71"/>
      <c r="U7" s="71"/>
      <c r="V7" s="71"/>
      <c r="W7" s="71"/>
      <c r="X7" s="75"/>
      <c r="Y7" s="75" t="s">
        <v>166</v>
      </c>
    </row>
    <row r="8" spans="1:25" ht="22.5" customHeight="1">
      <c r="A8" s="159"/>
      <c r="B8" s="41" t="s">
        <v>63</v>
      </c>
      <c r="C8" s="38" t="s">
        <v>27</v>
      </c>
      <c r="D8" s="71" t="s">
        <v>168</v>
      </c>
      <c r="E8" s="71" t="s">
        <v>163</v>
      </c>
      <c r="F8" s="71" t="s">
        <v>163</v>
      </c>
      <c r="G8" s="71" t="s">
        <v>163</v>
      </c>
      <c r="H8" s="71" t="s">
        <v>162</v>
      </c>
      <c r="I8" s="71" t="s">
        <v>163</v>
      </c>
      <c r="J8" s="71" t="s">
        <v>163</v>
      </c>
      <c r="K8" s="71" t="s">
        <v>163</v>
      </c>
      <c r="L8" s="71" t="s">
        <v>163</v>
      </c>
      <c r="M8" s="71" t="s">
        <v>163</v>
      </c>
      <c r="N8" s="71" t="s">
        <v>163</v>
      </c>
      <c r="O8" s="71" t="s">
        <v>163</v>
      </c>
      <c r="P8" s="71" t="s">
        <v>163</v>
      </c>
      <c r="Q8" s="71" t="s">
        <v>163</v>
      </c>
      <c r="R8" s="71"/>
      <c r="S8" s="71"/>
      <c r="T8" s="71"/>
      <c r="U8" s="71"/>
      <c r="V8" s="71"/>
      <c r="W8" s="71"/>
    </row>
    <row r="9" spans="1:25" ht="22.5" customHeight="1">
      <c r="A9" s="159"/>
      <c r="B9" s="41"/>
      <c r="C9" s="38" t="s">
        <v>27</v>
      </c>
      <c r="D9" s="71"/>
      <c r="E9" s="71"/>
      <c r="F9" s="71"/>
      <c r="G9" s="71"/>
      <c r="H9" s="71"/>
      <c r="I9" s="71"/>
      <c r="J9" s="71"/>
      <c r="K9" s="71"/>
      <c r="L9" s="71"/>
      <c r="M9" s="71"/>
      <c r="N9" s="71"/>
      <c r="O9" s="71"/>
      <c r="P9" s="71"/>
      <c r="Q9" s="71"/>
      <c r="R9" s="71"/>
      <c r="S9" s="71"/>
      <c r="T9" s="71"/>
      <c r="U9" s="71"/>
      <c r="V9" s="71"/>
      <c r="W9" s="71"/>
    </row>
    <row r="10" spans="1:25" ht="22.5" customHeight="1">
      <c r="A10" s="159"/>
      <c r="B10" s="41"/>
      <c r="C10" s="38" t="s">
        <v>27</v>
      </c>
      <c r="D10" s="71"/>
      <c r="E10" s="71"/>
      <c r="F10" s="71"/>
      <c r="G10" s="71"/>
      <c r="H10" s="71"/>
      <c r="I10" s="71"/>
      <c r="J10" s="71"/>
      <c r="K10" s="71"/>
      <c r="L10" s="71"/>
      <c r="M10" s="71"/>
      <c r="N10" s="71"/>
      <c r="O10" s="71"/>
      <c r="P10" s="71"/>
      <c r="Q10" s="71"/>
      <c r="R10" s="71"/>
      <c r="S10" s="71"/>
      <c r="T10" s="71"/>
      <c r="U10" s="71"/>
      <c r="V10" s="71"/>
      <c r="W10" s="71"/>
    </row>
    <row r="11" spans="1:25" ht="22.5" customHeight="1">
      <c r="A11" s="159"/>
      <c r="B11" s="41"/>
      <c r="C11" s="38" t="s">
        <v>27</v>
      </c>
      <c r="D11" s="71"/>
      <c r="E11" s="71"/>
      <c r="F11" s="71"/>
      <c r="G11" s="71"/>
      <c r="H11" s="71"/>
      <c r="I11" s="71"/>
      <c r="J11" s="71"/>
      <c r="K11" s="71"/>
      <c r="L11" s="71"/>
      <c r="M11" s="71"/>
      <c r="N11" s="71"/>
      <c r="O11" s="71"/>
      <c r="P11" s="71"/>
      <c r="Q11" s="71"/>
      <c r="R11" s="71"/>
      <c r="S11" s="71"/>
      <c r="T11" s="71"/>
      <c r="U11" s="71"/>
      <c r="V11" s="71"/>
      <c r="W11" s="71"/>
    </row>
    <row r="12" spans="1:25" ht="30" customHeight="1">
      <c r="A12" s="160"/>
      <c r="B12" s="42"/>
      <c r="C12" s="43" t="s">
        <v>28</v>
      </c>
      <c r="D12" s="77">
        <v>5</v>
      </c>
      <c r="E12" s="77">
        <v>5</v>
      </c>
      <c r="F12" s="77">
        <v>5</v>
      </c>
      <c r="G12" s="77">
        <v>5</v>
      </c>
      <c r="H12" s="77">
        <v>4</v>
      </c>
      <c r="I12" s="77">
        <v>5</v>
      </c>
      <c r="J12" s="77">
        <v>5</v>
      </c>
      <c r="K12" s="77">
        <v>5</v>
      </c>
      <c r="L12" s="77">
        <v>5</v>
      </c>
      <c r="M12" s="77">
        <v>5</v>
      </c>
      <c r="N12" s="77">
        <v>5</v>
      </c>
      <c r="O12" s="77">
        <v>4</v>
      </c>
      <c r="P12" s="77">
        <v>5</v>
      </c>
      <c r="Q12" s="77">
        <v>5</v>
      </c>
      <c r="R12" s="71"/>
      <c r="S12" s="71"/>
      <c r="T12" s="71"/>
      <c r="U12" s="71"/>
      <c r="V12" s="71"/>
      <c r="W12" s="71"/>
    </row>
    <row r="13" spans="1:25" ht="26.25" customHeight="1">
      <c r="A13" s="76"/>
      <c r="B13" s="76"/>
      <c r="C13" s="68" t="s">
        <v>57</v>
      </c>
      <c r="D13" s="77"/>
      <c r="E13" s="77"/>
      <c r="F13" s="77"/>
      <c r="G13" s="77"/>
      <c r="H13" s="77"/>
      <c r="I13" s="77"/>
      <c r="J13" s="77"/>
      <c r="K13" s="77"/>
      <c r="L13" s="77"/>
      <c r="M13" s="77"/>
      <c r="N13" s="77"/>
      <c r="O13" s="77"/>
      <c r="P13" s="77"/>
      <c r="Q13" s="77"/>
      <c r="R13" s="77"/>
      <c r="S13" s="77"/>
      <c r="T13" s="77"/>
      <c r="U13" s="77"/>
      <c r="V13" s="77"/>
      <c r="W13" s="77"/>
    </row>
    <row r="14" spans="1:25" ht="22.5" customHeight="1">
      <c r="A14" s="45" t="s">
        <v>29</v>
      </c>
      <c r="B14" s="161" t="s">
        <v>30</v>
      </c>
      <c r="C14" s="162"/>
      <c r="D14" s="162"/>
      <c r="E14" s="162"/>
      <c r="F14" s="162"/>
      <c r="G14" s="162"/>
      <c r="H14" s="162"/>
      <c r="I14" s="162"/>
      <c r="J14" s="162"/>
      <c r="K14" s="162"/>
      <c r="L14" s="162"/>
      <c r="M14" s="162"/>
      <c r="N14" s="162"/>
      <c r="O14" s="162"/>
      <c r="P14" s="162"/>
      <c r="Q14" s="162"/>
      <c r="R14" s="162"/>
      <c r="S14" s="162"/>
      <c r="T14" s="162"/>
      <c r="U14" s="162"/>
      <c r="V14" s="162"/>
      <c r="W14" s="163"/>
    </row>
    <row r="15" spans="1:25" ht="59.25" customHeight="1">
      <c r="A15" s="78" t="s">
        <v>79</v>
      </c>
      <c r="B15" s="155"/>
      <c r="C15" s="156"/>
      <c r="D15" s="156"/>
      <c r="E15" s="156"/>
      <c r="F15" s="156"/>
      <c r="G15" s="156"/>
      <c r="H15" s="156"/>
      <c r="I15" s="156"/>
      <c r="J15" s="156"/>
      <c r="K15" s="156"/>
      <c r="L15" s="156"/>
      <c r="M15" s="156"/>
      <c r="N15" s="156"/>
      <c r="O15" s="156"/>
      <c r="P15" s="156"/>
      <c r="Q15" s="156"/>
      <c r="R15" s="156"/>
      <c r="S15" s="156"/>
      <c r="T15" s="156"/>
      <c r="U15" s="156"/>
      <c r="V15" s="156"/>
      <c r="W15" s="157"/>
    </row>
    <row r="16" spans="1:25" ht="59.25" customHeight="1">
      <c r="A16" s="78" t="s">
        <v>80</v>
      </c>
      <c r="B16" s="155"/>
      <c r="C16" s="156"/>
      <c r="D16" s="156"/>
      <c r="E16" s="156"/>
      <c r="F16" s="156"/>
      <c r="G16" s="156"/>
      <c r="H16" s="156"/>
      <c r="I16" s="156"/>
      <c r="J16" s="156"/>
      <c r="K16" s="156"/>
      <c r="L16" s="156"/>
      <c r="M16" s="156"/>
      <c r="N16" s="156"/>
      <c r="O16" s="156"/>
      <c r="P16" s="156"/>
      <c r="Q16" s="156"/>
      <c r="R16" s="156"/>
      <c r="S16" s="156"/>
      <c r="T16" s="156"/>
      <c r="U16" s="156"/>
      <c r="V16" s="156"/>
      <c r="W16" s="157"/>
    </row>
    <row r="17" spans="1:23" ht="59.25" customHeight="1">
      <c r="A17" s="78" t="s">
        <v>81</v>
      </c>
      <c r="B17" s="155"/>
      <c r="C17" s="156"/>
      <c r="D17" s="156"/>
      <c r="E17" s="156"/>
      <c r="F17" s="156"/>
      <c r="G17" s="156"/>
      <c r="H17" s="156"/>
      <c r="I17" s="156"/>
      <c r="J17" s="156"/>
      <c r="K17" s="156"/>
      <c r="L17" s="156"/>
      <c r="M17" s="156"/>
      <c r="N17" s="156"/>
      <c r="O17" s="156"/>
      <c r="P17" s="156"/>
      <c r="Q17" s="156"/>
      <c r="R17" s="156"/>
      <c r="S17" s="156"/>
      <c r="T17" s="156"/>
      <c r="U17" s="156"/>
      <c r="V17" s="156"/>
      <c r="W17" s="157"/>
    </row>
    <row r="18" spans="1:23" ht="59.25" customHeight="1">
      <c r="A18" s="78" t="s">
        <v>82</v>
      </c>
      <c r="B18" s="155"/>
      <c r="C18" s="156"/>
      <c r="D18" s="156"/>
      <c r="E18" s="156"/>
      <c r="F18" s="156"/>
      <c r="G18" s="156"/>
      <c r="H18" s="156"/>
      <c r="I18" s="156"/>
      <c r="J18" s="156"/>
      <c r="K18" s="156"/>
      <c r="L18" s="156"/>
      <c r="M18" s="156"/>
      <c r="N18" s="156"/>
      <c r="O18" s="156"/>
      <c r="P18" s="156"/>
      <c r="Q18" s="156"/>
      <c r="R18" s="156"/>
      <c r="S18" s="156"/>
      <c r="T18" s="156"/>
      <c r="U18" s="156"/>
      <c r="V18" s="156"/>
      <c r="W18" s="157"/>
    </row>
    <row r="19" spans="1:23" ht="59.25" customHeight="1">
      <c r="A19" s="78" t="s">
        <v>83</v>
      </c>
      <c r="B19" s="155"/>
      <c r="C19" s="156"/>
      <c r="D19" s="156"/>
      <c r="E19" s="156"/>
      <c r="F19" s="156"/>
      <c r="G19" s="156"/>
      <c r="H19" s="156"/>
      <c r="I19" s="156"/>
      <c r="J19" s="156"/>
      <c r="K19" s="156"/>
      <c r="L19" s="156"/>
      <c r="M19" s="156"/>
      <c r="N19" s="156"/>
      <c r="O19" s="156"/>
      <c r="P19" s="156"/>
      <c r="Q19" s="156"/>
      <c r="R19" s="156"/>
      <c r="S19" s="156"/>
      <c r="T19" s="156"/>
      <c r="U19" s="156"/>
      <c r="V19" s="156"/>
      <c r="W19" s="157"/>
    </row>
    <row r="20" spans="1:23" ht="59.25" customHeight="1">
      <c r="A20" s="78" t="s">
        <v>84</v>
      </c>
      <c r="B20" s="155"/>
      <c r="C20" s="156"/>
      <c r="D20" s="156"/>
      <c r="E20" s="156"/>
      <c r="F20" s="156"/>
      <c r="G20" s="156"/>
      <c r="H20" s="156"/>
      <c r="I20" s="156"/>
      <c r="J20" s="156"/>
      <c r="K20" s="156"/>
      <c r="L20" s="156"/>
      <c r="M20" s="156"/>
      <c r="N20" s="156"/>
      <c r="O20" s="156"/>
      <c r="P20" s="156"/>
      <c r="Q20" s="156"/>
      <c r="R20" s="156"/>
      <c r="S20" s="156"/>
      <c r="T20" s="156"/>
      <c r="U20" s="156"/>
      <c r="V20" s="156"/>
      <c r="W20" s="157"/>
    </row>
    <row r="21" spans="1:23" ht="59.25" customHeight="1">
      <c r="A21" s="78" t="s">
        <v>85</v>
      </c>
      <c r="B21" s="155"/>
      <c r="C21" s="156"/>
      <c r="D21" s="156"/>
      <c r="E21" s="156"/>
      <c r="F21" s="156"/>
      <c r="G21" s="156"/>
      <c r="H21" s="156"/>
      <c r="I21" s="156"/>
      <c r="J21" s="156"/>
      <c r="K21" s="156"/>
      <c r="L21" s="156"/>
      <c r="M21" s="156"/>
      <c r="N21" s="156"/>
      <c r="O21" s="156"/>
      <c r="P21" s="156"/>
      <c r="Q21" s="156"/>
      <c r="R21" s="156"/>
      <c r="S21" s="156"/>
      <c r="T21" s="156"/>
      <c r="U21" s="156"/>
      <c r="V21" s="156"/>
      <c r="W21" s="157"/>
    </row>
    <row r="22" spans="1:23" ht="59.25" customHeight="1">
      <c r="A22" s="78" t="s">
        <v>86</v>
      </c>
      <c r="B22" s="155"/>
      <c r="C22" s="156"/>
      <c r="D22" s="156"/>
      <c r="E22" s="156"/>
      <c r="F22" s="156"/>
      <c r="G22" s="156"/>
      <c r="H22" s="156"/>
      <c r="I22" s="156"/>
      <c r="J22" s="156"/>
      <c r="K22" s="156"/>
      <c r="L22" s="156"/>
      <c r="M22" s="156"/>
      <c r="N22" s="156"/>
      <c r="O22" s="156"/>
      <c r="P22" s="156"/>
      <c r="Q22" s="156"/>
      <c r="R22" s="156"/>
      <c r="S22" s="156"/>
      <c r="T22" s="156"/>
      <c r="U22" s="156"/>
      <c r="V22" s="156"/>
      <c r="W22" s="157"/>
    </row>
    <row r="23" spans="1:23" ht="59.25" customHeight="1">
      <c r="A23" s="78" t="s">
        <v>87</v>
      </c>
      <c r="B23" s="155"/>
      <c r="C23" s="156"/>
      <c r="D23" s="156"/>
      <c r="E23" s="156"/>
      <c r="F23" s="156"/>
      <c r="G23" s="156"/>
      <c r="H23" s="156"/>
      <c r="I23" s="156"/>
      <c r="J23" s="156"/>
      <c r="K23" s="156"/>
      <c r="L23" s="156"/>
      <c r="M23" s="156"/>
      <c r="N23" s="156"/>
      <c r="O23" s="156"/>
      <c r="P23" s="156"/>
      <c r="Q23" s="156"/>
      <c r="R23" s="156"/>
      <c r="S23" s="156"/>
      <c r="T23" s="156"/>
      <c r="U23" s="156"/>
      <c r="V23" s="156"/>
      <c r="W23" s="157"/>
    </row>
    <row r="24" spans="1:23" ht="59.25" customHeight="1">
      <c r="A24" s="78" t="s">
        <v>88</v>
      </c>
      <c r="B24" s="155"/>
      <c r="C24" s="156"/>
      <c r="D24" s="156"/>
      <c r="E24" s="156"/>
      <c r="F24" s="156"/>
      <c r="G24" s="156"/>
      <c r="H24" s="156"/>
      <c r="I24" s="156"/>
      <c r="J24" s="156"/>
      <c r="K24" s="156"/>
      <c r="L24" s="156"/>
      <c r="M24" s="156"/>
      <c r="N24" s="156"/>
      <c r="O24" s="156"/>
      <c r="P24" s="156"/>
      <c r="Q24" s="156"/>
      <c r="R24" s="156"/>
      <c r="S24" s="156"/>
      <c r="T24" s="156"/>
      <c r="U24" s="156"/>
      <c r="V24" s="156"/>
      <c r="W24" s="157"/>
    </row>
    <row r="25" spans="1:23" ht="59.25" customHeight="1">
      <c r="A25" s="78" t="s">
        <v>89</v>
      </c>
      <c r="B25" s="155"/>
      <c r="C25" s="156"/>
      <c r="D25" s="156"/>
      <c r="E25" s="156"/>
      <c r="F25" s="156"/>
      <c r="G25" s="156"/>
      <c r="H25" s="156"/>
      <c r="I25" s="156"/>
      <c r="J25" s="156"/>
      <c r="K25" s="156"/>
      <c r="L25" s="156"/>
      <c r="M25" s="156"/>
      <c r="N25" s="156"/>
      <c r="O25" s="156"/>
      <c r="P25" s="156"/>
      <c r="Q25" s="156"/>
      <c r="R25" s="156"/>
      <c r="S25" s="156"/>
      <c r="T25" s="156"/>
      <c r="U25" s="156"/>
      <c r="V25" s="156"/>
      <c r="W25" s="157"/>
    </row>
    <row r="26" spans="1:23" ht="59.25" customHeight="1">
      <c r="A26" s="78" t="s">
        <v>90</v>
      </c>
      <c r="B26" s="155"/>
      <c r="C26" s="156"/>
      <c r="D26" s="156"/>
      <c r="E26" s="156"/>
      <c r="F26" s="156"/>
      <c r="G26" s="156"/>
      <c r="H26" s="156"/>
      <c r="I26" s="156"/>
      <c r="J26" s="156"/>
      <c r="K26" s="156"/>
      <c r="L26" s="156"/>
      <c r="M26" s="156"/>
      <c r="N26" s="156"/>
      <c r="O26" s="156"/>
      <c r="P26" s="156"/>
      <c r="Q26" s="156"/>
      <c r="R26" s="156"/>
      <c r="S26" s="156"/>
      <c r="T26" s="156"/>
      <c r="U26" s="156"/>
      <c r="V26" s="156"/>
      <c r="W26" s="157"/>
    </row>
    <row r="27" spans="1:23" ht="59.25" customHeight="1">
      <c r="A27" s="78" t="s">
        <v>91</v>
      </c>
      <c r="B27" s="155"/>
      <c r="C27" s="156"/>
      <c r="D27" s="156"/>
      <c r="E27" s="156"/>
      <c r="F27" s="156"/>
      <c r="G27" s="156"/>
      <c r="H27" s="156"/>
      <c r="I27" s="156"/>
      <c r="J27" s="156"/>
      <c r="K27" s="156"/>
      <c r="L27" s="156"/>
      <c r="M27" s="156"/>
      <c r="N27" s="156"/>
      <c r="O27" s="156"/>
      <c r="P27" s="156"/>
      <c r="Q27" s="156"/>
      <c r="R27" s="156"/>
      <c r="S27" s="156"/>
      <c r="T27" s="156"/>
      <c r="U27" s="156"/>
      <c r="V27" s="156"/>
      <c r="W27" s="157"/>
    </row>
    <row r="28" spans="1:23" ht="59.25" customHeight="1">
      <c r="A28" s="78" t="s">
        <v>92</v>
      </c>
      <c r="B28" s="155"/>
      <c r="C28" s="156"/>
      <c r="D28" s="156"/>
      <c r="E28" s="156"/>
      <c r="F28" s="156"/>
      <c r="G28" s="156"/>
      <c r="H28" s="156"/>
      <c r="I28" s="156"/>
      <c r="J28" s="156"/>
      <c r="K28" s="156"/>
      <c r="L28" s="156"/>
      <c r="M28" s="156"/>
      <c r="N28" s="156"/>
      <c r="O28" s="156"/>
      <c r="P28" s="156"/>
      <c r="Q28" s="156"/>
      <c r="R28" s="156"/>
      <c r="S28" s="156"/>
      <c r="T28" s="156"/>
      <c r="U28" s="156"/>
      <c r="V28" s="156"/>
      <c r="W28" s="157"/>
    </row>
    <row r="29" spans="1:23" ht="59.25" customHeight="1">
      <c r="A29" s="78"/>
      <c r="B29" s="155"/>
      <c r="C29" s="156"/>
      <c r="D29" s="156"/>
      <c r="E29" s="156"/>
      <c r="F29" s="156"/>
      <c r="G29" s="156"/>
      <c r="H29" s="156"/>
      <c r="I29" s="156"/>
      <c r="J29" s="156"/>
      <c r="K29" s="156"/>
      <c r="L29" s="156"/>
      <c r="M29" s="156"/>
      <c r="N29" s="156"/>
      <c r="O29" s="156"/>
      <c r="P29" s="156"/>
      <c r="Q29" s="156"/>
      <c r="R29" s="156"/>
      <c r="S29" s="156"/>
      <c r="T29" s="156"/>
      <c r="U29" s="156"/>
      <c r="V29" s="156"/>
      <c r="W29" s="157"/>
    </row>
    <row r="30" spans="1:23" ht="59.25" customHeight="1">
      <c r="A30" s="78"/>
      <c r="B30" s="155"/>
      <c r="C30" s="156"/>
      <c r="D30" s="156"/>
      <c r="E30" s="156"/>
      <c r="F30" s="156"/>
      <c r="G30" s="156"/>
      <c r="H30" s="156"/>
      <c r="I30" s="156"/>
      <c r="J30" s="156"/>
      <c r="K30" s="156"/>
      <c r="L30" s="156"/>
      <c r="M30" s="156"/>
      <c r="N30" s="156"/>
      <c r="O30" s="156"/>
      <c r="P30" s="156"/>
      <c r="Q30" s="156"/>
      <c r="R30" s="156"/>
      <c r="S30" s="156"/>
      <c r="T30" s="156"/>
      <c r="U30" s="156"/>
      <c r="V30" s="156"/>
      <c r="W30" s="157"/>
    </row>
    <row r="31" spans="1:23" ht="59.25" customHeight="1">
      <c r="A31" s="78"/>
      <c r="B31" s="155"/>
      <c r="C31" s="156"/>
      <c r="D31" s="156"/>
      <c r="E31" s="156"/>
      <c r="F31" s="156"/>
      <c r="G31" s="156"/>
      <c r="H31" s="156"/>
      <c r="I31" s="156"/>
      <c r="J31" s="156"/>
      <c r="K31" s="156"/>
      <c r="L31" s="156"/>
      <c r="M31" s="156"/>
      <c r="N31" s="156"/>
      <c r="O31" s="156"/>
      <c r="P31" s="156"/>
      <c r="Q31" s="156"/>
      <c r="R31" s="156"/>
      <c r="S31" s="156"/>
      <c r="T31" s="156"/>
      <c r="U31" s="156"/>
      <c r="V31" s="156"/>
      <c r="W31" s="157"/>
    </row>
    <row r="32" spans="1:23" ht="59.25" customHeight="1">
      <c r="A32" s="78"/>
      <c r="B32" s="155"/>
      <c r="C32" s="156"/>
      <c r="D32" s="156"/>
      <c r="E32" s="156"/>
      <c r="F32" s="156"/>
      <c r="G32" s="156"/>
      <c r="H32" s="156"/>
      <c r="I32" s="156"/>
      <c r="J32" s="156"/>
      <c r="K32" s="156"/>
      <c r="L32" s="156"/>
      <c r="M32" s="156"/>
      <c r="N32" s="156"/>
      <c r="O32" s="156"/>
      <c r="P32" s="156"/>
      <c r="Q32" s="156"/>
      <c r="R32" s="156"/>
      <c r="S32" s="156"/>
      <c r="T32" s="156"/>
      <c r="U32" s="156"/>
      <c r="V32" s="156"/>
      <c r="W32" s="157"/>
    </row>
    <row r="33" spans="1:23" ht="59.25" customHeight="1">
      <c r="A33" s="78"/>
      <c r="B33" s="155"/>
      <c r="C33" s="156"/>
      <c r="D33" s="156"/>
      <c r="E33" s="156"/>
      <c r="F33" s="156"/>
      <c r="G33" s="156"/>
      <c r="H33" s="156"/>
      <c r="I33" s="156"/>
      <c r="J33" s="156"/>
      <c r="K33" s="156"/>
      <c r="L33" s="156"/>
      <c r="M33" s="156"/>
      <c r="N33" s="156"/>
      <c r="O33" s="156"/>
      <c r="P33" s="156"/>
      <c r="Q33" s="156"/>
      <c r="R33" s="156"/>
      <c r="S33" s="156"/>
      <c r="T33" s="156"/>
      <c r="U33" s="156"/>
      <c r="V33" s="156"/>
      <c r="W33" s="157"/>
    </row>
    <row r="34" spans="1:23" ht="59.25" customHeight="1">
      <c r="A34" s="78"/>
      <c r="B34" s="155"/>
      <c r="C34" s="156"/>
      <c r="D34" s="156"/>
      <c r="E34" s="156"/>
      <c r="F34" s="156"/>
      <c r="G34" s="156"/>
      <c r="H34" s="156"/>
      <c r="I34" s="156"/>
      <c r="J34" s="156"/>
      <c r="K34" s="156"/>
      <c r="L34" s="156"/>
      <c r="M34" s="156"/>
      <c r="N34" s="156"/>
      <c r="O34" s="156"/>
      <c r="P34" s="156"/>
      <c r="Q34" s="156"/>
      <c r="R34" s="156"/>
      <c r="S34" s="156"/>
      <c r="T34" s="156"/>
      <c r="U34" s="156"/>
      <c r="V34" s="156"/>
      <c r="W34" s="157"/>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D2:W5 D9:W11 R6:W8 D7:Q8">
      <formula1>$X$2:$X$5</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 type="list" allowBlank="1" showDropDown="1" showInputMessage="1" showErrorMessage="1" sqref="D12:W12">
      <formula1>$Y$2:$Y$7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Y188"/>
  <sheetViews>
    <sheetView workbookViewId="0">
      <selection sqref="A1:XFD1048576"/>
    </sheetView>
  </sheetViews>
  <sheetFormatPr defaultRowHeight="13.5"/>
  <cols>
    <col min="1" max="1" width="13.5" style="74" customWidth="1"/>
    <col min="2" max="2" width="79.125" style="74" customWidth="1"/>
    <col min="3" max="3" width="9.375" style="74" customWidth="1"/>
    <col min="4" max="23" width="4.125" style="74" customWidth="1"/>
    <col min="24" max="16384" width="9" style="74"/>
  </cols>
  <sheetData>
    <row r="1" spans="1:25" ht="85.5" customHeight="1">
      <c r="A1" s="72" t="str">
        <f ca="1">MID(CELL("filename",A1),FIND("[",CELL("filename",A1))+1,3)</f>
        <v>２－３</v>
      </c>
      <c r="B1" s="34" t="str">
        <f ca="1">RIGHT(CELL("filename",B1),LEN(CELL("filename",B1))-FIND("]",CELL("filename",B1)))</f>
        <v>生活</v>
      </c>
      <c r="C1" s="35" t="s">
        <v>26</v>
      </c>
      <c r="D1" s="36" t="str">
        <f>A15</f>
        <v>奥山 大雅</v>
      </c>
      <c r="E1" s="36" t="str">
        <f>A16</f>
        <v>兼村 祐希</v>
      </c>
      <c r="F1" s="36" t="str">
        <f>A17</f>
        <v>熊谷 百桜</v>
      </c>
      <c r="G1" s="36" t="str">
        <f>A18</f>
        <v>小原 幸典</v>
      </c>
      <c r="H1" s="36" t="str">
        <f>A19</f>
        <v>清水 清豪</v>
      </c>
      <c r="I1" s="36" t="str">
        <f>A20</f>
        <v>鈴木 理子</v>
      </c>
      <c r="J1" s="36" t="str">
        <f>A21</f>
        <v>徳田 安須嘉</v>
      </c>
      <c r="K1" s="36" t="str">
        <f>A22</f>
        <v>松尾 怜奈</v>
      </c>
      <c r="L1" s="36" t="str">
        <f>A23</f>
        <v>丸茂 彰仁</v>
      </c>
      <c r="M1" s="36" t="str">
        <f>A24</f>
        <v>御子柴 希美</v>
      </c>
      <c r="N1" s="36" t="str">
        <f>A25</f>
        <v>峯村 梨奈</v>
      </c>
      <c r="O1" s="36" t="str">
        <f>A26</f>
        <v>百瀬 友紀</v>
      </c>
      <c r="P1" s="36" t="str">
        <f>A27</f>
        <v>矢崎 優希菜</v>
      </c>
      <c r="Q1" s="36" t="str">
        <f>A28</f>
        <v>山本 侑輝</v>
      </c>
      <c r="R1" s="36">
        <f>A29</f>
        <v>0</v>
      </c>
      <c r="S1" s="36">
        <f>A30</f>
        <v>0</v>
      </c>
      <c r="T1" s="36">
        <f>A31</f>
        <v>0</v>
      </c>
      <c r="U1" s="36">
        <f>A32</f>
        <v>0</v>
      </c>
      <c r="V1" s="36">
        <f>A33</f>
        <v>0</v>
      </c>
      <c r="W1" s="36">
        <f>A34</f>
        <v>0</v>
      </c>
      <c r="X1" s="73"/>
    </row>
    <row r="2" spans="1:25" ht="22.5" customHeight="1">
      <c r="A2" s="158" t="s">
        <v>171</v>
      </c>
      <c r="B2" s="41" t="s">
        <v>71</v>
      </c>
      <c r="C2" s="38" t="s">
        <v>27</v>
      </c>
      <c r="D2" s="71" t="s">
        <v>172</v>
      </c>
      <c r="E2" s="71" t="s">
        <v>172</v>
      </c>
      <c r="F2" s="71" t="s">
        <v>172</v>
      </c>
      <c r="G2" s="71" t="s">
        <v>172</v>
      </c>
      <c r="H2" s="71" t="s">
        <v>172</v>
      </c>
      <c r="I2" s="71" t="s">
        <v>172</v>
      </c>
      <c r="J2" s="71" t="s">
        <v>172</v>
      </c>
      <c r="K2" s="71" t="s">
        <v>172</v>
      </c>
      <c r="L2" s="71" t="s">
        <v>172</v>
      </c>
      <c r="M2" s="71" t="s">
        <v>172</v>
      </c>
      <c r="N2" s="71" t="s">
        <v>172</v>
      </c>
      <c r="O2" s="71" t="s">
        <v>172</v>
      </c>
      <c r="P2" s="71" t="s">
        <v>172</v>
      </c>
      <c r="Q2" s="71" t="s">
        <v>172</v>
      </c>
      <c r="R2" s="71"/>
      <c r="S2" s="71"/>
      <c r="T2" s="71"/>
      <c r="U2" s="71"/>
      <c r="V2" s="71"/>
      <c r="W2" s="71"/>
      <c r="X2" s="75" t="s">
        <v>172</v>
      </c>
      <c r="Y2" s="75">
        <v>1</v>
      </c>
    </row>
    <row r="3" spans="1:25" ht="22.5" customHeight="1">
      <c r="A3" s="159"/>
      <c r="B3" s="41" t="s">
        <v>94</v>
      </c>
      <c r="C3" s="38" t="s">
        <v>27</v>
      </c>
      <c r="D3" s="71" t="s">
        <v>172</v>
      </c>
      <c r="E3" s="71" t="s">
        <v>172</v>
      </c>
      <c r="F3" s="71" t="s">
        <v>172</v>
      </c>
      <c r="G3" s="71" t="s">
        <v>172</v>
      </c>
      <c r="H3" s="71" t="s">
        <v>173</v>
      </c>
      <c r="I3" s="71" t="s">
        <v>172</v>
      </c>
      <c r="J3" s="71" t="s">
        <v>172</v>
      </c>
      <c r="K3" s="71" t="s">
        <v>172</v>
      </c>
      <c r="L3" s="71" t="s">
        <v>172</v>
      </c>
      <c r="M3" s="71" t="s">
        <v>172</v>
      </c>
      <c r="N3" s="71" t="s">
        <v>172</v>
      </c>
      <c r="O3" s="71" t="s">
        <v>172</v>
      </c>
      <c r="P3" s="71" t="s">
        <v>172</v>
      </c>
      <c r="Q3" s="71" t="s">
        <v>172</v>
      </c>
      <c r="R3" s="71"/>
      <c r="S3" s="71"/>
      <c r="T3" s="71"/>
      <c r="U3" s="71"/>
      <c r="V3" s="71"/>
      <c r="W3" s="71"/>
      <c r="X3" s="75" t="s">
        <v>173</v>
      </c>
      <c r="Y3" s="75">
        <v>2</v>
      </c>
    </row>
    <row r="4" spans="1:25" ht="22.5" customHeight="1">
      <c r="A4" s="159"/>
      <c r="B4" s="41" t="s">
        <v>72</v>
      </c>
      <c r="C4" s="38" t="s">
        <v>27</v>
      </c>
      <c r="D4" s="71" t="s">
        <v>172</v>
      </c>
      <c r="E4" s="71" t="s">
        <v>172</v>
      </c>
      <c r="F4" s="71" t="s">
        <v>172</v>
      </c>
      <c r="G4" s="71" t="s">
        <v>172</v>
      </c>
      <c r="H4" s="71" t="s">
        <v>172</v>
      </c>
      <c r="I4" s="71" t="s">
        <v>173</v>
      </c>
      <c r="J4" s="71" t="s">
        <v>172</v>
      </c>
      <c r="K4" s="71" t="s">
        <v>173</v>
      </c>
      <c r="L4" s="71" t="s">
        <v>172</v>
      </c>
      <c r="M4" s="71" t="s">
        <v>172</v>
      </c>
      <c r="N4" s="71" t="s">
        <v>172</v>
      </c>
      <c r="O4" s="71" t="s">
        <v>173</v>
      </c>
      <c r="P4" s="71" t="s">
        <v>172</v>
      </c>
      <c r="Q4" s="71" t="s">
        <v>173</v>
      </c>
      <c r="R4" s="71"/>
      <c r="S4" s="71"/>
      <c r="T4" s="71"/>
      <c r="U4" s="71"/>
      <c r="V4" s="71"/>
      <c r="W4" s="71"/>
      <c r="X4" s="75" t="s">
        <v>174</v>
      </c>
      <c r="Y4" s="75">
        <v>3</v>
      </c>
    </row>
    <row r="5" spans="1:25" ht="22.5" customHeight="1">
      <c r="A5" s="159"/>
      <c r="B5" s="41" t="s">
        <v>73</v>
      </c>
      <c r="C5" s="38" t="s">
        <v>27</v>
      </c>
      <c r="D5" s="71" t="s">
        <v>172</v>
      </c>
      <c r="E5" s="71" t="s">
        <v>172</v>
      </c>
      <c r="F5" s="71" t="s">
        <v>172</v>
      </c>
      <c r="G5" s="71" t="s">
        <v>172</v>
      </c>
      <c r="H5" s="71" t="s">
        <v>172</v>
      </c>
      <c r="I5" s="71" t="s">
        <v>172</v>
      </c>
      <c r="J5" s="71" t="s">
        <v>172</v>
      </c>
      <c r="K5" s="71" t="s">
        <v>172</v>
      </c>
      <c r="L5" s="71" t="s">
        <v>172</v>
      </c>
      <c r="M5" s="71" t="s">
        <v>172</v>
      </c>
      <c r="N5" s="71" t="s">
        <v>172</v>
      </c>
      <c r="O5" s="71" t="s">
        <v>163</v>
      </c>
      <c r="P5" s="71" t="s">
        <v>163</v>
      </c>
      <c r="Q5" s="71" t="s">
        <v>163</v>
      </c>
      <c r="R5" s="71"/>
      <c r="S5" s="71"/>
      <c r="T5" s="71"/>
      <c r="U5" s="71"/>
      <c r="V5" s="71"/>
      <c r="W5" s="71"/>
      <c r="X5" s="75" t="s">
        <v>166</v>
      </c>
      <c r="Y5" s="75">
        <v>4</v>
      </c>
    </row>
    <row r="6" spans="1:25" ht="22.5" customHeight="1">
      <c r="A6" s="159"/>
      <c r="B6" s="41"/>
      <c r="C6" s="38" t="s">
        <v>27</v>
      </c>
      <c r="D6" s="71"/>
      <c r="E6" s="71"/>
      <c r="F6" s="71"/>
      <c r="G6" s="71"/>
      <c r="H6" s="71"/>
      <c r="I6" s="71"/>
      <c r="J6" s="71"/>
      <c r="K6" s="71"/>
      <c r="L6" s="71"/>
      <c r="M6" s="71"/>
      <c r="N6" s="71"/>
      <c r="O6" s="71"/>
      <c r="P6" s="71"/>
      <c r="Q6" s="71"/>
      <c r="R6" s="71"/>
      <c r="S6" s="71"/>
      <c r="T6" s="71"/>
      <c r="U6" s="71"/>
      <c r="V6" s="71"/>
      <c r="W6" s="71"/>
      <c r="X6" s="75"/>
      <c r="Y6" s="75">
        <v>5</v>
      </c>
    </row>
    <row r="7" spans="1:25" ht="22.5" customHeight="1">
      <c r="A7" s="159"/>
      <c r="B7" s="41"/>
      <c r="C7" s="38" t="s">
        <v>27</v>
      </c>
      <c r="D7" s="71"/>
      <c r="E7" s="71"/>
      <c r="F7" s="71"/>
      <c r="G7" s="71"/>
      <c r="H7" s="71"/>
      <c r="I7" s="71"/>
      <c r="J7" s="71"/>
      <c r="K7" s="71"/>
      <c r="L7" s="71"/>
      <c r="M7" s="71"/>
      <c r="N7" s="71"/>
      <c r="O7" s="71"/>
      <c r="P7" s="71"/>
      <c r="Q7" s="71"/>
      <c r="R7" s="71"/>
      <c r="S7" s="71"/>
      <c r="T7" s="71"/>
      <c r="U7" s="71"/>
      <c r="V7" s="71"/>
      <c r="W7" s="71"/>
      <c r="X7" s="75"/>
      <c r="Y7" s="75" t="s">
        <v>166</v>
      </c>
    </row>
    <row r="8" spans="1:25" ht="22.5" customHeight="1">
      <c r="A8" s="159"/>
      <c r="B8" s="41"/>
      <c r="C8" s="38" t="s">
        <v>27</v>
      </c>
      <c r="D8" s="71"/>
      <c r="E8" s="71"/>
      <c r="F8" s="71"/>
      <c r="G8" s="71"/>
      <c r="H8" s="71"/>
      <c r="I8" s="71"/>
      <c r="J8" s="71"/>
      <c r="K8" s="71"/>
      <c r="L8" s="71"/>
      <c r="M8" s="71"/>
      <c r="N8" s="71"/>
      <c r="O8" s="71"/>
      <c r="P8" s="71"/>
      <c r="Q8" s="71"/>
      <c r="R8" s="71"/>
      <c r="S8" s="71"/>
      <c r="T8" s="71"/>
      <c r="U8" s="71"/>
      <c r="V8" s="71"/>
      <c r="W8" s="71"/>
    </row>
    <row r="9" spans="1:25" ht="22.5" customHeight="1">
      <c r="A9" s="159"/>
      <c r="B9" s="41"/>
      <c r="C9" s="38" t="s">
        <v>27</v>
      </c>
      <c r="D9" s="71"/>
      <c r="E9" s="71"/>
      <c r="F9" s="71"/>
      <c r="G9" s="71"/>
      <c r="H9" s="71"/>
      <c r="I9" s="71"/>
      <c r="J9" s="71"/>
      <c r="K9" s="71"/>
      <c r="L9" s="71"/>
      <c r="M9" s="71"/>
      <c r="N9" s="71"/>
      <c r="O9" s="71"/>
      <c r="P9" s="71"/>
      <c r="Q9" s="71"/>
      <c r="R9" s="71"/>
      <c r="S9" s="71"/>
      <c r="T9" s="71"/>
      <c r="U9" s="71"/>
      <c r="V9" s="71"/>
      <c r="W9" s="71"/>
    </row>
    <row r="10" spans="1:25" ht="22.5" customHeight="1">
      <c r="A10" s="159"/>
      <c r="B10" s="41"/>
      <c r="C10" s="38" t="s">
        <v>27</v>
      </c>
      <c r="D10" s="71"/>
      <c r="E10" s="71"/>
      <c r="F10" s="71"/>
      <c r="G10" s="71"/>
      <c r="H10" s="71"/>
      <c r="I10" s="71"/>
      <c r="J10" s="71"/>
      <c r="K10" s="71"/>
      <c r="L10" s="71"/>
      <c r="M10" s="71"/>
      <c r="N10" s="71"/>
      <c r="O10" s="71"/>
      <c r="P10" s="71"/>
      <c r="Q10" s="71"/>
      <c r="R10" s="71"/>
      <c r="S10" s="71"/>
      <c r="T10" s="71"/>
      <c r="U10" s="71"/>
      <c r="V10" s="71"/>
      <c r="W10" s="71"/>
    </row>
    <row r="11" spans="1:25" ht="22.5" customHeight="1">
      <c r="A11" s="159"/>
      <c r="B11" s="41"/>
      <c r="C11" s="38" t="s">
        <v>27</v>
      </c>
      <c r="D11" s="71"/>
      <c r="E11" s="71"/>
      <c r="F11" s="71"/>
      <c r="G11" s="71"/>
      <c r="H11" s="71"/>
      <c r="I11" s="71"/>
      <c r="J11" s="71"/>
      <c r="K11" s="71"/>
      <c r="L11" s="71"/>
      <c r="M11" s="71"/>
      <c r="N11" s="71"/>
      <c r="O11" s="71"/>
      <c r="P11" s="71"/>
      <c r="Q11" s="71"/>
      <c r="R11" s="71"/>
      <c r="S11" s="71"/>
      <c r="T11" s="71"/>
      <c r="U11" s="71"/>
      <c r="V11" s="71"/>
      <c r="W11" s="71"/>
    </row>
    <row r="12" spans="1:25" ht="30" customHeight="1">
      <c r="A12" s="160"/>
      <c r="B12" s="42"/>
      <c r="C12" s="43" t="s">
        <v>28</v>
      </c>
      <c r="D12" s="71">
        <v>5</v>
      </c>
      <c r="E12" s="71">
        <v>5</v>
      </c>
      <c r="F12" s="71">
        <v>5</v>
      </c>
      <c r="G12" s="71">
        <v>5</v>
      </c>
      <c r="H12" s="71">
        <v>4</v>
      </c>
      <c r="I12" s="71">
        <v>4</v>
      </c>
      <c r="J12" s="71">
        <v>5</v>
      </c>
      <c r="K12" s="71">
        <v>4</v>
      </c>
      <c r="L12" s="71">
        <v>5</v>
      </c>
      <c r="M12" s="71">
        <v>5</v>
      </c>
      <c r="N12" s="71">
        <v>5</v>
      </c>
      <c r="O12" s="71">
        <v>4</v>
      </c>
      <c r="P12" s="71">
        <v>5</v>
      </c>
      <c r="Q12" s="71">
        <v>4</v>
      </c>
      <c r="R12" s="71"/>
      <c r="S12" s="71"/>
      <c r="T12" s="71"/>
      <c r="U12" s="71"/>
      <c r="V12" s="71"/>
      <c r="W12" s="71"/>
    </row>
    <row r="13" spans="1:25" ht="26.25" customHeight="1">
      <c r="A13" s="76"/>
      <c r="B13" s="76"/>
      <c r="C13" s="68" t="s">
        <v>57</v>
      </c>
      <c r="D13" s="77"/>
      <c r="E13" s="77"/>
      <c r="F13" s="77"/>
      <c r="G13" s="77"/>
      <c r="H13" s="77"/>
      <c r="I13" s="77"/>
      <c r="J13" s="77"/>
      <c r="K13" s="77"/>
      <c r="L13" s="77"/>
      <c r="M13" s="77"/>
      <c r="N13" s="77"/>
      <c r="O13" s="77"/>
      <c r="P13" s="77"/>
      <c r="Q13" s="77"/>
      <c r="R13" s="77"/>
      <c r="S13" s="77"/>
      <c r="T13" s="77"/>
      <c r="U13" s="77"/>
      <c r="V13" s="77"/>
      <c r="W13" s="77"/>
    </row>
    <row r="14" spans="1:25" ht="22.5" customHeight="1">
      <c r="A14" s="45" t="s">
        <v>29</v>
      </c>
      <c r="B14" s="161" t="s">
        <v>30</v>
      </c>
      <c r="C14" s="162"/>
      <c r="D14" s="162"/>
      <c r="E14" s="162"/>
      <c r="F14" s="162"/>
      <c r="G14" s="162"/>
      <c r="H14" s="162"/>
      <c r="I14" s="162"/>
      <c r="J14" s="162"/>
      <c r="K14" s="162"/>
      <c r="L14" s="162"/>
      <c r="M14" s="162"/>
      <c r="N14" s="162"/>
      <c r="O14" s="162"/>
      <c r="P14" s="162"/>
      <c r="Q14" s="162"/>
      <c r="R14" s="162"/>
      <c r="S14" s="162"/>
      <c r="T14" s="162"/>
      <c r="U14" s="162"/>
      <c r="V14" s="162"/>
      <c r="W14" s="163"/>
    </row>
    <row r="15" spans="1:25" ht="59.25" customHeight="1">
      <c r="A15" s="78" t="s">
        <v>79</v>
      </c>
      <c r="B15" s="155" t="s">
        <v>95</v>
      </c>
      <c r="C15" s="156"/>
      <c r="D15" s="156"/>
      <c r="E15" s="156"/>
      <c r="F15" s="156"/>
      <c r="G15" s="156"/>
      <c r="H15" s="156"/>
      <c r="I15" s="156"/>
      <c r="J15" s="156"/>
      <c r="K15" s="156"/>
      <c r="L15" s="156"/>
      <c r="M15" s="156"/>
      <c r="N15" s="156"/>
      <c r="O15" s="156"/>
      <c r="P15" s="156"/>
      <c r="Q15" s="156"/>
      <c r="R15" s="156"/>
      <c r="S15" s="156"/>
      <c r="T15" s="156"/>
      <c r="U15" s="156"/>
      <c r="V15" s="156"/>
      <c r="W15" s="157"/>
    </row>
    <row r="16" spans="1:25" ht="59.25" customHeight="1">
      <c r="A16" s="78" t="s">
        <v>80</v>
      </c>
      <c r="B16" s="155"/>
      <c r="C16" s="156"/>
      <c r="D16" s="156"/>
      <c r="E16" s="156"/>
      <c r="F16" s="156"/>
      <c r="G16" s="156"/>
      <c r="H16" s="156"/>
      <c r="I16" s="156"/>
      <c r="J16" s="156"/>
      <c r="K16" s="156"/>
      <c r="L16" s="156"/>
      <c r="M16" s="156"/>
      <c r="N16" s="156"/>
      <c r="O16" s="156"/>
      <c r="P16" s="156"/>
      <c r="Q16" s="156"/>
      <c r="R16" s="156"/>
      <c r="S16" s="156"/>
      <c r="T16" s="156"/>
      <c r="U16" s="156"/>
      <c r="V16" s="156"/>
      <c r="W16" s="157"/>
    </row>
    <row r="17" spans="1:23" ht="59.25" customHeight="1">
      <c r="A17" s="78" t="s">
        <v>81</v>
      </c>
      <c r="B17" s="155"/>
      <c r="C17" s="156"/>
      <c r="D17" s="156"/>
      <c r="E17" s="156"/>
      <c r="F17" s="156"/>
      <c r="G17" s="156"/>
      <c r="H17" s="156"/>
      <c r="I17" s="156"/>
      <c r="J17" s="156"/>
      <c r="K17" s="156"/>
      <c r="L17" s="156"/>
      <c r="M17" s="156"/>
      <c r="N17" s="156"/>
      <c r="O17" s="156"/>
      <c r="P17" s="156"/>
      <c r="Q17" s="156"/>
      <c r="R17" s="156"/>
      <c r="S17" s="156"/>
      <c r="T17" s="156"/>
      <c r="U17" s="156"/>
      <c r="V17" s="156"/>
      <c r="W17" s="157"/>
    </row>
    <row r="18" spans="1:23" ht="59.25" customHeight="1">
      <c r="A18" s="78" t="s">
        <v>82</v>
      </c>
      <c r="B18" s="155"/>
      <c r="C18" s="156"/>
      <c r="D18" s="156"/>
      <c r="E18" s="156"/>
      <c r="F18" s="156"/>
      <c r="G18" s="156"/>
      <c r="H18" s="156"/>
      <c r="I18" s="156"/>
      <c r="J18" s="156"/>
      <c r="K18" s="156"/>
      <c r="L18" s="156"/>
      <c r="M18" s="156"/>
      <c r="N18" s="156"/>
      <c r="O18" s="156"/>
      <c r="P18" s="156"/>
      <c r="Q18" s="156"/>
      <c r="R18" s="156"/>
      <c r="S18" s="156"/>
      <c r="T18" s="156"/>
      <c r="U18" s="156"/>
      <c r="V18" s="156"/>
      <c r="W18" s="157"/>
    </row>
    <row r="19" spans="1:23" ht="59.25" customHeight="1">
      <c r="A19" s="78" t="s">
        <v>83</v>
      </c>
      <c r="B19" s="155" t="s">
        <v>96</v>
      </c>
      <c r="C19" s="156"/>
      <c r="D19" s="156"/>
      <c r="E19" s="156"/>
      <c r="F19" s="156"/>
      <c r="G19" s="156"/>
      <c r="H19" s="156"/>
      <c r="I19" s="156"/>
      <c r="J19" s="156"/>
      <c r="K19" s="156"/>
      <c r="L19" s="156"/>
      <c r="M19" s="156"/>
      <c r="N19" s="156"/>
      <c r="O19" s="156"/>
      <c r="P19" s="156"/>
      <c r="Q19" s="156"/>
      <c r="R19" s="156"/>
      <c r="S19" s="156"/>
      <c r="T19" s="156"/>
      <c r="U19" s="156"/>
      <c r="V19" s="156"/>
      <c r="W19" s="157"/>
    </row>
    <row r="20" spans="1:23" ht="59.25" customHeight="1">
      <c r="A20" s="78" t="s">
        <v>84</v>
      </c>
      <c r="B20" s="155" t="s">
        <v>97</v>
      </c>
      <c r="C20" s="156"/>
      <c r="D20" s="156"/>
      <c r="E20" s="156"/>
      <c r="F20" s="156"/>
      <c r="G20" s="156"/>
      <c r="H20" s="156"/>
      <c r="I20" s="156"/>
      <c r="J20" s="156"/>
      <c r="K20" s="156"/>
      <c r="L20" s="156"/>
      <c r="M20" s="156"/>
      <c r="N20" s="156"/>
      <c r="O20" s="156"/>
      <c r="P20" s="156"/>
      <c r="Q20" s="156"/>
      <c r="R20" s="156"/>
      <c r="S20" s="156"/>
      <c r="T20" s="156"/>
      <c r="U20" s="156"/>
      <c r="V20" s="156"/>
      <c r="W20" s="157"/>
    </row>
    <row r="21" spans="1:23" ht="59.25" customHeight="1">
      <c r="A21" s="78" t="s">
        <v>85</v>
      </c>
      <c r="B21" s="155"/>
      <c r="C21" s="156"/>
      <c r="D21" s="156"/>
      <c r="E21" s="156"/>
      <c r="F21" s="156"/>
      <c r="G21" s="156"/>
      <c r="H21" s="156"/>
      <c r="I21" s="156"/>
      <c r="J21" s="156"/>
      <c r="K21" s="156"/>
      <c r="L21" s="156"/>
      <c r="M21" s="156"/>
      <c r="N21" s="156"/>
      <c r="O21" s="156"/>
      <c r="P21" s="156"/>
      <c r="Q21" s="156"/>
      <c r="R21" s="156"/>
      <c r="S21" s="156"/>
      <c r="T21" s="156"/>
      <c r="U21" s="156"/>
      <c r="V21" s="156"/>
      <c r="W21" s="157"/>
    </row>
    <row r="22" spans="1:23" ht="59.25" customHeight="1">
      <c r="A22" s="78" t="s">
        <v>86</v>
      </c>
      <c r="B22" s="155" t="s">
        <v>98</v>
      </c>
      <c r="C22" s="156"/>
      <c r="D22" s="156"/>
      <c r="E22" s="156"/>
      <c r="F22" s="156"/>
      <c r="G22" s="156"/>
      <c r="H22" s="156"/>
      <c r="I22" s="156"/>
      <c r="J22" s="156"/>
      <c r="K22" s="156"/>
      <c r="L22" s="156"/>
      <c r="M22" s="156"/>
      <c r="N22" s="156"/>
      <c r="O22" s="156"/>
      <c r="P22" s="156"/>
      <c r="Q22" s="156"/>
      <c r="R22" s="156"/>
      <c r="S22" s="156"/>
      <c r="T22" s="156"/>
      <c r="U22" s="156"/>
      <c r="V22" s="156"/>
      <c r="W22" s="157"/>
    </row>
    <row r="23" spans="1:23" ht="59.25" customHeight="1">
      <c r="A23" s="78" t="s">
        <v>87</v>
      </c>
      <c r="B23" s="155"/>
      <c r="C23" s="156"/>
      <c r="D23" s="156"/>
      <c r="E23" s="156"/>
      <c r="F23" s="156"/>
      <c r="G23" s="156"/>
      <c r="H23" s="156"/>
      <c r="I23" s="156"/>
      <c r="J23" s="156"/>
      <c r="K23" s="156"/>
      <c r="L23" s="156"/>
      <c r="M23" s="156"/>
      <c r="N23" s="156"/>
      <c r="O23" s="156"/>
      <c r="P23" s="156"/>
      <c r="Q23" s="156"/>
      <c r="R23" s="156"/>
      <c r="S23" s="156"/>
      <c r="T23" s="156"/>
      <c r="U23" s="156"/>
      <c r="V23" s="156"/>
      <c r="W23" s="157"/>
    </row>
    <row r="24" spans="1:23" ht="59.25" customHeight="1">
      <c r="A24" s="78" t="s">
        <v>88</v>
      </c>
      <c r="B24" s="155" t="s">
        <v>99</v>
      </c>
      <c r="C24" s="156"/>
      <c r="D24" s="156"/>
      <c r="E24" s="156"/>
      <c r="F24" s="156"/>
      <c r="G24" s="156"/>
      <c r="H24" s="156"/>
      <c r="I24" s="156"/>
      <c r="J24" s="156"/>
      <c r="K24" s="156"/>
      <c r="L24" s="156"/>
      <c r="M24" s="156"/>
      <c r="N24" s="156"/>
      <c r="O24" s="156"/>
      <c r="P24" s="156"/>
      <c r="Q24" s="156"/>
      <c r="R24" s="156"/>
      <c r="S24" s="156"/>
      <c r="T24" s="156"/>
      <c r="U24" s="156"/>
      <c r="V24" s="156"/>
      <c r="W24" s="157"/>
    </row>
    <row r="25" spans="1:23" ht="59.25" customHeight="1">
      <c r="A25" s="78" t="s">
        <v>89</v>
      </c>
      <c r="B25" s="155" t="s">
        <v>100</v>
      </c>
      <c r="C25" s="156"/>
      <c r="D25" s="156"/>
      <c r="E25" s="156"/>
      <c r="F25" s="156"/>
      <c r="G25" s="156"/>
      <c r="H25" s="156"/>
      <c r="I25" s="156"/>
      <c r="J25" s="156"/>
      <c r="K25" s="156"/>
      <c r="L25" s="156"/>
      <c r="M25" s="156"/>
      <c r="N25" s="156"/>
      <c r="O25" s="156"/>
      <c r="P25" s="156"/>
      <c r="Q25" s="156"/>
      <c r="R25" s="156"/>
      <c r="S25" s="156"/>
      <c r="T25" s="156"/>
      <c r="U25" s="156"/>
      <c r="V25" s="156"/>
      <c r="W25" s="157"/>
    </row>
    <row r="26" spans="1:23" ht="59.25" customHeight="1">
      <c r="A26" s="78" t="s">
        <v>90</v>
      </c>
      <c r="B26" s="155" t="s">
        <v>101</v>
      </c>
      <c r="C26" s="156"/>
      <c r="D26" s="156"/>
      <c r="E26" s="156"/>
      <c r="F26" s="156"/>
      <c r="G26" s="156"/>
      <c r="H26" s="156"/>
      <c r="I26" s="156"/>
      <c r="J26" s="156"/>
      <c r="K26" s="156"/>
      <c r="L26" s="156"/>
      <c r="M26" s="156"/>
      <c r="N26" s="156"/>
      <c r="O26" s="156"/>
      <c r="P26" s="156"/>
      <c r="Q26" s="156"/>
      <c r="R26" s="156"/>
      <c r="S26" s="156"/>
      <c r="T26" s="156"/>
      <c r="U26" s="156"/>
      <c r="V26" s="156"/>
      <c r="W26" s="157"/>
    </row>
    <row r="27" spans="1:23" ht="59.25" customHeight="1">
      <c r="A27" s="78" t="s">
        <v>91</v>
      </c>
      <c r="B27" s="155" t="s">
        <v>100</v>
      </c>
      <c r="C27" s="156"/>
      <c r="D27" s="156"/>
      <c r="E27" s="156"/>
      <c r="F27" s="156"/>
      <c r="G27" s="156"/>
      <c r="H27" s="156"/>
      <c r="I27" s="156"/>
      <c r="J27" s="156"/>
      <c r="K27" s="156"/>
      <c r="L27" s="156"/>
      <c r="M27" s="156"/>
      <c r="N27" s="156"/>
      <c r="O27" s="156"/>
      <c r="P27" s="156"/>
      <c r="Q27" s="156"/>
      <c r="R27" s="156"/>
      <c r="S27" s="156"/>
      <c r="T27" s="156"/>
      <c r="U27" s="156"/>
      <c r="V27" s="156"/>
      <c r="W27" s="157"/>
    </row>
    <row r="28" spans="1:23" ht="59.25" customHeight="1">
      <c r="A28" s="78" t="s">
        <v>92</v>
      </c>
      <c r="B28" s="155" t="s">
        <v>97</v>
      </c>
      <c r="C28" s="156"/>
      <c r="D28" s="156"/>
      <c r="E28" s="156"/>
      <c r="F28" s="156"/>
      <c r="G28" s="156"/>
      <c r="H28" s="156"/>
      <c r="I28" s="156"/>
      <c r="J28" s="156"/>
      <c r="K28" s="156"/>
      <c r="L28" s="156"/>
      <c r="M28" s="156"/>
      <c r="N28" s="156"/>
      <c r="O28" s="156"/>
      <c r="P28" s="156"/>
      <c r="Q28" s="156"/>
      <c r="R28" s="156"/>
      <c r="S28" s="156"/>
      <c r="T28" s="156"/>
      <c r="U28" s="156"/>
      <c r="V28" s="156"/>
      <c r="W28" s="157"/>
    </row>
    <row r="29" spans="1:23" ht="59.25" customHeight="1">
      <c r="A29" s="78"/>
      <c r="B29" s="155"/>
      <c r="C29" s="156"/>
      <c r="D29" s="156"/>
      <c r="E29" s="156"/>
      <c r="F29" s="156"/>
      <c r="G29" s="156"/>
      <c r="H29" s="156"/>
      <c r="I29" s="156"/>
      <c r="J29" s="156"/>
      <c r="K29" s="156"/>
      <c r="L29" s="156"/>
      <c r="M29" s="156"/>
      <c r="N29" s="156"/>
      <c r="O29" s="156"/>
      <c r="P29" s="156"/>
      <c r="Q29" s="156"/>
      <c r="R29" s="156"/>
      <c r="S29" s="156"/>
      <c r="T29" s="156"/>
      <c r="U29" s="156"/>
      <c r="V29" s="156"/>
      <c r="W29" s="157"/>
    </row>
    <row r="30" spans="1:23" ht="59.25" customHeight="1">
      <c r="A30" s="78"/>
      <c r="B30" s="155"/>
      <c r="C30" s="156"/>
      <c r="D30" s="156"/>
      <c r="E30" s="156"/>
      <c r="F30" s="156"/>
      <c r="G30" s="156"/>
      <c r="H30" s="156"/>
      <c r="I30" s="156"/>
      <c r="J30" s="156"/>
      <c r="K30" s="156"/>
      <c r="L30" s="156"/>
      <c r="M30" s="156"/>
      <c r="N30" s="156"/>
      <c r="O30" s="156"/>
      <c r="P30" s="156"/>
      <c r="Q30" s="156"/>
      <c r="R30" s="156"/>
      <c r="S30" s="156"/>
      <c r="T30" s="156"/>
      <c r="U30" s="156"/>
      <c r="V30" s="156"/>
      <c r="W30" s="157"/>
    </row>
    <row r="31" spans="1:23" ht="59.25" customHeight="1">
      <c r="A31" s="78"/>
      <c r="B31" s="155"/>
      <c r="C31" s="156"/>
      <c r="D31" s="156"/>
      <c r="E31" s="156"/>
      <c r="F31" s="156"/>
      <c r="G31" s="156"/>
      <c r="H31" s="156"/>
      <c r="I31" s="156"/>
      <c r="J31" s="156"/>
      <c r="K31" s="156"/>
      <c r="L31" s="156"/>
      <c r="M31" s="156"/>
      <c r="N31" s="156"/>
      <c r="O31" s="156"/>
      <c r="P31" s="156"/>
      <c r="Q31" s="156"/>
      <c r="R31" s="156"/>
      <c r="S31" s="156"/>
      <c r="T31" s="156"/>
      <c r="U31" s="156"/>
      <c r="V31" s="156"/>
      <c r="W31" s="157"/>
    </row>
    <row r="32" spans="1:23" ht="59.25" customHeight="1">
      <c r="A32" s="78"/>
      <c r="B32" s="155"/>
      <c r="C32" s="156"/>
      <c r="D32" s="156"/>
      <c r="E32" s="156"/>
      <c r="F32" s="156"/>
      <c r="G32" s="156"/>
      <c r="H32" s="156"/>
      <c r="I32" s="156"/>
      <c r="J32" s="156"/>
      <c r="K32" s="156"/>
      <c r="L32" s="156"/>
      <c r="M32" s="156"/>
      <c r="N32" s="156"/>
      <c r="O32" s="156"/>
      <c r="P32" s="156"/>
      <c r="Q32" s="156"/>
      <c r="R32" s="156"/>
      <c r="S32" s="156"/>
      <c r="T32" s="156"/>
      <c r="U32" s="156"/>
      <c r="V32" s="156"/>
      <c r="W32" s="157"/>
    </row>
    <row r="33" spans="1:23" ht="59.25" customHeight="1">
      <c r="A33" s="78"/>
      <c r="B33" s="155"/>
      <c r="C33" s="156"/>
      <c r="D33" s="156"/>
      <c r="E33" s="156"/>
      <c r="F33" s="156"/>
      <c r="G33" s="156"/>
      <c r="H33" s="156"/>
      <c r="I33" s="156"/>
      <c r="J33" s="156"/>
      <c r="K33" s="156"/>
      <c r="L33" s="156"/>
      <c r="M33" s="156"/>
      <c r="N33" s="156"/>
      <c r="O33" s="156"/>
      <c r="P33" s="156"/>
      <c r="Q33" s="156"/>
      <c r="R33" s="156"/>
      <c r="S33" s="156"/>
      <c r="T33" s="156"/>
      <c r="U33" s="156"/>
      <c r="V33" s="156"/>
      <c r="W33" s="157"/>
    </row>
    <row r="34" spans="1:23" ht="59.25" customHeight="1">
      <c r="A34" s="78"/>
      <c r="B34" s="155"/>
      <c r="C34" s="156"/>
      <c r="D34" s="156"/>
      <c r="E34" s="156"/>
      <c r="F34" s="156"/>
      <c r="G34" s="156"/>
      <c r="H34" s="156"/>
      <c r="I34" s="156"/>
      <c r="J34" s="156"/>
      <c r="K34" s="156"/>
      <c r="L34" s="156"/>
      <c r="M34" s="156"/>
      <c r="N34" s="156"/>
      <c r="O34" s="156"/>
      <c r="P34" s="156"/>
      <c r="Q34" s="156"/>
      <c r="R34" s="156"/>
      <c r="S34" s="156"/>
      <c r="T34" s="156"/>
      <c r="U34" s="156"/>
      <c r="V34" s="156"/>
      <c r="W34" s="157"/>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Y188"/>
  <sheetViews>
    <sheetView workbookViewId="0">
      <selection sqref="A1:XFD1048576"/>
    </sheetView>
  </sheetViews>
  <sheetFormatPr defaultRowHeight="13.5"/>
  <cols>
    <col min="1" max="1" width="13.5" style="74" customWidth="1"/>
    <col min="2" max="2" width="79.125" style="74" customWidth="1"/>
    <col min="3" max="3" width="9.375" style="74" customWidth="1"/>
    <col min="4" max="23" width="4.125" style="74" customWidth="1"/>
    <col min="24" max="16384" width="9" style="74"/>
  </cols>
  <sheetData>
    <row r="1" spans="1:25" ht="85.5" customHeight="1">
      <c r="A1" s="72" t="str">
        <f ca="1">MID(CELL("filename",A1),FIND("[",CELL("filename",A1))+1,3)</f>
        <v>２－３</v>
      </c>
      <c r="B1" s="34" t="str">
        <f ca="1">RIGHT(CELL("filename",B1),LEN(CELL("filename",B1))-FIND("]",CELL("filename",B1)))</f>
        <v>英語</v>
      </c>
      <c r="C1" s="35" t="s">
        <v>26</v>
      </c>
      <c r="D1" s="36" t="str">
        <f>A15</f>
        <v>奥山 大雅</v>
      </c>
      <c r="E1" s="36" t="str">
        <f>A16</f>
        <v>兼村 祐希</v>
      </c>
      <c r="F1" s="36" t="str">
        <f>A17</f>
        <v>熊谷 百桜</v>
      </c>
      <c r="G1" s="36" t="str">
        <f>A18</f>
        <v>小原 幸典</v>
      </c>
      <c r="H1" s="36" t="str">
        <f>A19</f>
        <v>清水 清豪</v>
      </c>
      <c r="I1" s="36" t="str">
        <f>A20</f>
        <v>鈴木 理子</v>
      </c>
      <c r="J1" s="36" t="str">
        <f>A21</f>
        <v>徳田 安須嘉</v>
      </c>
      <c r="K1" s="36" t="str">
        <f>A22</f>
        <v>松尾 怜奈</v>
      </c>
      <c r="L1" s="36" t="str">
        <f>A23</f>
        <v>丸茂 彰仁</v>
      </c>
      <c r="M1" s="36" t="str">
        <f>A24</f>
        <v>御子柴 希美</v>
      </c>
      <c r="N1" s="36" t="str">
        <f>A25</f>
        <v>峯村 梨奈</v>
      </c>
      <c r="O1" s="36" t="str">
        <f>A26</f>
        <v>百瀬 友紀</v>
      </c>
      <c r="P1" s="36" t="str">
        <f>A27</f>
        <v>矢崎 優希菜</v>
      </c>
      <c r="Q1" s="36" t="str">
        <f>A28</f>
        <v>山本 侑輝</v>
      </c>
      <c r="R1" s="36">
        <f>A29</f>
        <v>0</v>
      </c>
      <c r="S1" s="36">
        <f>A30</f>
        <v>0</v>
      </c>
      <c r="T1" s="36">
        <f>A31</f>
        <v>0</v>
      </c>
      <c r="U1" s="36">
        <f>A32</f>
        <v>0</v>
      </c>
      <c r="V1" s="36">
        <f>A33</f>
        <v>0</v>
      </c>
      <c r="W1" s="36">
        <f>A34</f>
        <v>0</v>
      </c>
      <c r="X1" s="73"/>
    </row>
    <row r="2" spans="1:25" ht="22.5" customHeight="1">
      <c r="A2" s="158" t="s">
        <v>175</v>
      </c>
      <c r="B2" s="41" t="s">
        <v>47</v>
      </c>
      <c r="C2" s="38" t="s">
        <v>27</v>
      </c>
      <c r="D2" s="71" t="s">
        <v>176</v>
      </c>
      <c r="E2" s="71" t="s">
        <v>176</v>
      </c>
      <c r="F2" s="71" t="s">
        <v>176</v>
      </c>
      <c r="G2" s="71" t="s">
        <v>176</v>
      </c>
      <c r="H2" s="71" t="s">
        <v>176</v>
      </c>
      <c r="I2" s="71" t="s">
        <v>176</v>
      </c>
      <c r="J2" s="71" t="s">
        <v>176</v>
      </c>
      <c r="K2" s="71" t="s">
        <v>176</v>
      </c>
      <c r="L2" s="71" t="s">
        <v>176</v>
      </c>
      <c r="M2" s="71" t="s">
        <v>176</v>
      </c>
      <c r="N2" s="71" t="s">
        <v>163</v>
      </c>
      <c r="O2" s="71" t="s">
        <v>176</v>
      </c>
      <c r="P2" s="71" t="s">
        <v>176</v>
      </c>
      <c r="Q2" s="71" t="s">
        <v>176</v>
      </c>
      <c r="R2" s="71"/>
      <c r="S2" s="71"/>
      <c r="T2" s="71"/>
      <c r="U2" s="71"/>
      <c r="V2" s="71"/>
      <c r="W2" s="71"/>
      <c r="X2" s="75" t="s">
        <v>176</v>
      </c>
      <c r="Y2" s="75">
        <v>1</v>
      </c>
    </row>
    <row r="3" spans="1:25" ht="22.5" customHeight="1">
      <c r="A3" s="159"/>
      <c r="B3" s="41" t="s">
        <v>102</v>
      </c>
      <c r="C3" s="38" t="s">
        <v>27</v>
      </c>
      <c r="D3" s="71" t="s">
        <v>176</v>
      </c>
      <c r="E3" s="71" t="s">
        <v>163</v>
      </c>
      <c r="F3" s="71" t="s">
        <v>163</v>
      </c>
      <c r="G3" s="71" t="s">
        <v>163</v>
      </c>
      <c r="H3" s="71" t="s">
        <v>162</v>
      </c>
      <c r="I3" s="71" t="s">
        <v>176</v>
      </c>
      <c r="J3" s="71" t="s">
        <v>163</v>
      </c>
      <c r="K3" s="71" t="s">
        <v>163</v>
      </c>
      <c r="L3" s="71" t="s">
        <v>163</v>
      </c>
      <c r="M3" s="71" t="s">
        <v>177</v>
      </c>
      <c r="N3" s="71" t="s">
        <v>176</v>
      </c>
      <c r="O3" s="71" t="s">
        <v>163</v>
      </c>
      <c r="P3" s="71" t="s">
        <v>176</v>
      </c>
      <c r="Q3" s="71" t="s">
        <v>163</v>
      </c>
      <c r="R3" s="71"/>
      <c r="S3" s="71"/>
      <c r="T3" s="71"/>
      <c r="U3" s="71"/>
      <c r="V3" s="71"/>
      <c r="W3" s="71"/>
      <c r="X3" s="75" t="s">
        <v>177</v>
      </c>
      <c r="Y3" s="75">
        <v>2</v>
      </c>
    </row>
    <row r="4" spans="1:25" ht="22.5" customHeight="1">
      <c r="A4" s="159"/>
      <c r="B4" s="41" t="s">
        <v>61</v>
      </c>
      <c r="C4" s="38" t="s">
        <v>27</v>
      </c>
      <c r="D4" s="71" t="s">
        <v>163</v>
      </c>
      <c r="E4" s="71" t="s">
        <v>176</v>
      </c>
      <c r="F4" s="71" t="s">
        <v>176</v>
      </c>
      <c r="G4" s="71" t="s">
        <v>176</v>
      </c>
      <c r="H4" s="71" t="s">
        <v>163</v>
      </c>
      <c r="I4" s="71" t="s">
        <v>163</v>
      </c>
      <c r="J4" s="71" t="s">
        <v>163</v>
      </c>
      <c r="K4" s="71" t="s">
        <v>176</v>
      </c>
      <c r="L4" s="71" t="s">
        <v>176</v>
      </c>
      <c r="M4" s="71" t="s">
        <v>162</v>
      </c>
      <c r="N4" s="71" t="s">
        <v>176</v>
      </c>
      <c r="O4" s="71" t="s">
        <v>163</v>
      </c>
      <c r="P4" s="71" t="s">
        <v>163</v>
      </c>
      <c r="Q4" s="71" t="s">
        <v>176</v>
      </c>
      <c r="R4" s="71"/>
      <c r="S4" s="71"/>
      <c r="T4" s="71"/>
      <c r="U4" s="71"/>
      <c r="V4" s="71"/>
      <c r="W4" s="71"/>
      <c r="X4" s="75" t="s">
        <v>165</v>
      </c>
      <c r="Y4" s="75">
        <v>3</v>
      </c>
    </row>
    <row r="5" spans="1:25" ht="22.5" customHeight="1">
      <c r="A5" s="159"/>
      <c r="B5" s="41" t="s">
        <v>48</v>
      </c>
      <c r="C5" s="38" t="s">
        <v>27</v>
      </c>
      <c r="D5" s="71" t="s">
        <v>163</v>
      </c>
      <c r="E5" s="71" t="s">
        <v>176</v>
      </c>
      <c r="F5" s="71" t="s">
        <v>176</v>
      </c>
      <c r="G5" s="71" t="s">
        <v>176</v>
      </c>
      <c r="H5" s="71" t="s">
        <v>163</v>
      </c>
      <c r="I5" s="71" t="s">
        <v>163</v>
      </c>
      <c r="J5" s="71" t="s">
        <v>163</v>
      </c>
      <c r="K5" s="71" t="s">
        <v>163</v>
      </c>
      <c r="L5" s="71" t="s">
        <v>163</v>
      </c>
      <c r="M5" s="71" t="s">
        <v>163</v>
      </c>
      <c r="N5" s="71" t="s">
        <v>176</v>
      </c>
      <c r="O5" s="71" t="s">
        <v>176</v>
      </c>
      <c r="P5" s="71" t="s">
        <v>176</v>
      </c>
      <c r="Q5" s="71" t="s">
        <v>176</v>
      </c>
      <c r="R5" s="71"/>
      <c r="S5" s="71"/>
      <c r="T5" s="71"/>
      <c r="U5" s="71"/>
      <c r="V5" s="71"/>
      <c r="W5" s="71"/>
      <c r="X5" s="75" t="s">
        <v>166</v>
      </c>
      <c r="Y5" s="75">
        <v>4</v>
      </c>
    </row>
    <row r="6" spans="1:25" ht="22.5" customHeight="1">
      <c r="A6" s="159"/>
      <c r="B6" s="41" t="s">
        <v>49</v>
      </c>
      <c r="C6" s="38" t="s">
        <v>27</v>
      </c>
      <c r="D6" s="71" t="s">
        <v>163</v>
      </c>
      <c r="E6" s="71" t="s">
        <v>176</v>
      </c>
      <c r="F6" s="71" t="s">
        <v>176</v>
      </c>
      <c r="G6" s="71" t="s">
        <v>176</v>
      </c>
      <c r="H6" s="71" t="s">
        <v>163</v>
      </c>
      <c r="I6" s="71" t="s">
        <v>163</v>
      </c>
      <c r="J6" s="71" t="s">
        <v>163</v>
      </c>
      <c r="K6" s="71" t="s">
        <v>163</v>
      </c>
      <c r="L6" s="71" t="s">
        <v>163</v>
      </c>
      <c r="M6" s="71" t="s">
        <v>162</v>
      </c>
      <c r="N6" s="71" t="s">
        <v>163</v>
      </c>
      <c r="O6" s="71" t="s">
        <v>163</v>
      </c>
      <c r="P6" s="71" t="s">
        <v>176</v>
      </c>
      <c r="Q6" s="71" t="s">
        <v>163</v>
      </c>
      <c r="R6" s="71"/>
      <c r="S6" s="71"/>
      <c r="T6" s="71"/>
      <c r="U6" s="71"/>
      <c r="V6" s="71"/>
      <c r="W6" s="71"/>
      <c r="X6" s="75"/>
      <c r="Y6" s="75">
        <v>5</v>
      </c>
    </row>
    <row r="7" spans="1:25" ht="22.5" customHeight="1">
      <c r="A7" s="159"/>
      <c r="B7" s="41"/>
      <c r="C7" s="38" t="s">
        <v>27</v>
      </c>
      <c r="D7" s="71"/>
      <c r="E7" s="71"/>
      <c r="F7" s="71"/>
      <c r="G7" s="71"/>
      <c r="H7" s="71"/>
      <c r="I7" s="71"/>
      <c r="J7" s="71"/>
      <c r="K7" s="71"/>
      <c r="L7" s="71"/>
      <c r="M7" s="71"/>
      <c r="N7" s="71"/>
      <c r="O7" s="71"/>
      <c r="P7" s="71"/>
      <c r="Q7" s="71"/>
      <c r="R7" s="71"/>
      <c r="S7" s="71"/>
      <c r="T7" s="71"/>
      <c r="U7" s="71"/>
      <c r="V7" s="71"/>
      <c r="W7" s="71"/>
      <c r="X7" s="75"/>
      <c r="Y7" s="75" t="s">
        <v>166</v>
      </c>
    </row>
    <row r="8" spans="1:25" ht="22.5" customHeight="1">
      <c r="A8" s="159"/>
      <c r="B8" s="41"/>
      <c r="C8" s="38" t="s">
        <v>27</v>
      </c>
      <c r="D8" s="71"/>
      <c r="E8" s="71"/>
      <c r="F8" s="71"/>
      <c r="G8" s="71"/>
      <c r="H8" s="71"/>
      <c r="I8" s="71"/>
      <c r="J8" s="71"/>
      <c r="K8" s="71"/>
      <c r="L8" s="71"/>
      <c r="M8" s="71"/>
      <c r="N8" s="71"/>
      <c r="O8" s="71"/>
      <c r="P8" s="71"/>
      <c r="Q8" s="71"/>
      <c r="R8" s="71"/>
      <c r="S8" s="71"/>
      <c r="T8" s="71"/>
      <c r="U8" s="71"/>
      <c r="V8" s="71"/>
      <c r="W8" s="71"/>
    </row>
    <row r="9" spans="1:25" ht="22.5" customHeight="1">
      <c r="A9" s="159"/>
      <c r="B9" s="41"/>
      <c r="C9" s="38" t="s">
        <v>27</v>
      </c>
      <c r="D9" s="71"/>
      <c r="E9" s="71"/>
      <c r="F9" s="71"/>
      <c r="G9" s="71"/>
      <c r="H9" s="71"/>
      <c r="I9" s="71"/>
      <c r="J9" s="71"/>
      <c r="K9" s="71"/>
      <c r="L9" s="71"/>
      <c r="M9" s="71"/>
      <c r="N9" s="71"/>
      <c r="O9" s="71"/>
      <c r="P9" s="71"/>
      <c r="Q9" s="71"/>
      <c r="R9" s="71"/>
      <c r="S9" s="71"/>
      <c r="T9" s="71"/>
      <c r="U9" s="71"/>
      <c r="V9" s="71"/>
      <c r="W9" s="71"/>
    </row>
    <row r="10" spans="1:25" ht="22.5" customHeight="1">
      <c r="A10" s="159"/>
      <c r="B10" s="41"/>
      <c r="C10" s="38" t="s">
        <v>27</v>
      </c>
      <c r="D10" s="71"/>
      <c r="E10" s="71"/>
      <c r="F10" s="71"/>
      <c r="G10" s="71"/>
      <c r="H10" s="71"/>
      <c r="I10" s="71"/>
      <c r="J10" s="71"/>
      <c r="K10" s="71"/>
      <c r="L10" s="71"/>
      <c r="M10" s="71"/>
      <c r="N10" s="71"/>
      <c r="O10" s="71"/>
      <c r="P10" s="71"/>
      <c r="Q10" s="71"/>
      <c r="R10" s="71"/>
      <c r="S10" s="71"/>
      <c r="T10" s="71"/>
      <c r="U10" s="71"/>
      <c r="V10" s="71"/>
      <c r="W10" s="71"/>
    </row>
    <row r="11" spans="1:25" ht="22.5" customHeight="1">
      <c r="A11" s="159"/>
      <c r="B11" s="41"/>
      <c r="C11" s="38" t="s">
        <v>27</v>
      </c>
      <c r="D11" s="71"/>
      <c r="E11" s="71"/>
      <c r="F11" s="71"/>
      <c r="G11" s="71"/>
      <c r="H11" s="71"/>
      <c r="I11" s="71"/>
      <c r="J11" s="71"/>
      <c r="K11" s="71"/>
      <c r="L11" s="71"/>
      <c r="M11" s="71"/>
      <c r="N11" s="71"/>
      <c r="O11" s="71"/>
      <c r="P11" s="71"/>
      <c r="Q11" s="71"/>
      <c r="R11" s="71"/>
      <c r="S11" s="71"/>
      <c r="T11" s="71"/>
      <c r="U11" s="71"/>
      <c r="V11" s="71"/>
      <c r="W11" s="71"/>
    </row>
    <row r="12" spans="1:25" ht="30" customHeight="1">
      <c r="A12" s="160"/>
      <c r="B12" s="42"/>
      <c r="C12" s="43" t="s">
        <v>28</v>
      </c>
      <c r="D12" s="71">
        <v>5</v>
      </c>
      <c r="E12" s="71">
        <v>5</v>
      </c>
      <c r="F12" s="71">
        <v>5</v>
      </c>
      <c r="G12" s="71">
        <v>5</v>
      </c>
      <c r="H12" s="71">
        <v>5</v>
      </c>
      <c r="I12" s="71">
        <v>5</v>
      </c>
      <c r="J12" s="71">
        <v>5</v>
      </c>
      <c r="K12" s="71">
        <v>5</v>
      </c>
      <c r="L12" s="71">
        <v>5</v>
      </c>
      <c r="M12" s="71">
        <v>4</v>
      </c>
      <c r="N12" s="71">
        <v>5</v>
      </c>
      <c r="O12" s="71">
        <v>5</v>
      </c>
      <c r="P12" s="71">
        <v>5</v>
      </c>
      <c r="Q12" s="71">
        <v>5</v>
      </c>
      <c r="R12" s="71"/>
      <c r="S12" s="71"/>
      <c r="T12" s="71"/>
      <c r="U12" s="71"/>
      <c r="V12" s="71"/>
      <c r="W12" s="71"/>
    </row>
    <row r="13" spans="1:25" ht="26.25" customHeight="1">
      <c r="A13" s="76"/>
      <c r="B13" s="76"/>
      <c r="C13" s="68" t="s">
        <v>57</v>
      </c>
      <c r="D13" s="77"/>
      <c r="E13" s="77"/>
      <c r="F13" s="77"/>
      <c r="G13" s="77"/>
      <c r="H13" s="77"/>
      <c r="I13" s="77"/>
      <c r="J13" s="77"/>
      <c r="K13" s="77"/>
      <c r="L13" s="77"/>
      <c r="M13" s="77"/>
      <c r="N13" s="77"/>
      <c r="O13" s="77"/>
      <c r="P13" s="77"/>
      <c r="Q13" s="77"/>
      <c r="R13" s="77"/>
      <c r="S13" s="77"/>
      <c r="T13" s="77"/>
      <c r="U13" s="77"/>
      <c r="V13" s="77"/>
      <c r="W13" s="77"/>
    </row>
    <row r="14" spans="1:25" ht="22.5" customHeight="1">
      <c r="A14" s="45" t="s">
        <v>29</v>
      </c>
      <c r="B14" s="161" t="s">
        <v>30</v>
      </c>
      <c r="C14" s="162"/>
      <c r="D14" s="162"/>
      <c r="E14" s="162"/>
      <c r="F14" s="162"/>
      <c r="G14" s="162"/>
      <c r="H14" s="162"/>
      <c r="I14" s="162"/>
      <c r="J14" s="162"/>
      <c r="K14" s="162"/>
      <c r="L14" s="162"/>
      <c r="M14" s="162"/>
      <c r="N14" s="162"/>
      <c r="O14" s="162"/>
      <c r="P14" s="162"/>
      <c r="Q14" s="162"/>
      <c r="R14" s="162"/>
      <c r="S14" s="162"/>
      <c r="T14" s="162"/>
      <c r="U14" s="162"/>
      <c r="V14" s="162"/>
      <c r="W14" s="163"/>
    </row>
    <row r="15" spans="1:25" ht="59.25" customHeight="1">
      <c r="A15" s="78" t="s">
        <v>79</v>
      </c>
      <c r="B15" s="155"/>
      <c r="C15" s="156"/>
      <c r="D15" s="156"/>
      <c r="E15" s="156"/>
      <c r="F15" s="156"/>
      <c r="G15" s="156"/>
      <c r="H15" s="156"/>
      <c r="I15" s="156"/>
      <c r="J15" s="156"/>
      <c r="K15" s="156"/>
      <c r="L15" s="156"/>
      <c r="M15" s="156"/>
      <c r="N15" s="156"/>
      <c r="O15" s="156"/>
      <c r="P15" s="156"/>
      <c r="Q15" s="156"/>
      <c r="R15" s="156"/>
      <c r="S15" s="156"/>
      <c r="T15" s="156"/>
      <c r="U15" s="156"/>
      <c r="V15" s="156"/>
      <c r="W15" s="157"/>
    </row>
    <row r="16" spans="1:25" ht="59.25" customHeight="1">
      <c r="A16" s="78" t="s">
        <v>80</v>
      </c>
      <c r="B16" s="155"/>
      <c r="C16" s="156"/>
      <c r="D16" s="156"/>
      <c r="E16" s="156"/>
      <c r="F16" s="156"/>
      <c r="G16" s="156"/>
      <c r="H16" s="156"/>
      <c r="I16" s="156"/>
      <c r="J16" s="156"/>
      <c r="K16" s="156"/>
      <c r="L16" s="156"/>
      <c r="M16" s="156"/>
      <c r="N16" s="156"/>
      <c r="O16" s="156"/>
      <c r="P16" s="156"/>
      <c r="Q16" s="156"/>
      <c r="R16" s="156"/>
      <c r="S16" s="156"/>
      <c r="T16" s="156"/>
      <c r="U16" s="156"/>
      <c r="V16" s="156"/>
      <c r="W16" s="157"/>
    </row>
    <row r="17" spans="1:23" ht="59.25" customHeight="1">
      <c r="A17" s="78" t="s">
        <v>81</v>
      </c>
      <c r="B17" s="155"/>
      <c r="C17" s="156"/>
      <c r="D17" s="156"/>
      <c r="E17" s="156"/>
      <c r="F17" s="156"/>
      <c r="G17" s="156"/>
      <c r="H17" s="156"/>
      <c r="I17" s="156"/>
      <c r="J17" s="156"/>
      <c r="K17" s="156"/>
      <c r="L17" s="156"/>
      <c r="M17" s="156"/>
      <c r="N17" s="156"/>
      <c r="O17" s="156"/>
      <c r="P17" s="156"/>
      <c r="Q17" s="156"/>
      <c r="R17" s="156"/>
      <c r="S17" s="156"/>
      <c r="T17" s="156"/>
      <c r="U17" s="156"/>
      <c r="V17" s="156"/>
      <c r="W17" s="157"/>
    </row>
    <row r="18" spans="1:23" ht="59.25" customHeight="1">
      <c r="A18" s="78" t="s">
        <v>82</v>
      </c>
      <c r="B18" s="155"/>
      <c r="C18" s="156"/>
      <c r="D18" s="156"/>
      <c r="E18" s="156"/>
      <c r="F18" s="156"/>
      <c r="G18" s="156"/>
      <c r="H18" s="156"/>
      <c r="I18" s="156"/>
      <c r="J18" s="156"/>
      <c r="K18" s="156"/>
      <c r="L18" s="156"/>
      <c r="M18" s="156"/>
      <c r="N18" s="156"/>
      <c r="O18" s="156"/>
      <c r="P18" s="156"/>
      <c r="Q18" s="156"/>
      <c r="R18" s="156"/>
      <c r="S18" s="156"/>
      <c r="T18" s="156"/>
      <c r="U18" s="156"/>
      <c r="V18" s="156"/>
      <c r="W18" s="157"/>
    </row>
    <row r="19" spans="1:23" ht="59.25" customHeight="1">
      <c r="A19" s="78" t="s">
        <v>83</v>
      </c>
      <c r="B19" s="155"/>
      <c r="C19" s="156"/>
      <c r="D19" s="156"/>
      <c r="E19" s="156"/>
      <c r="F19" s="156"/>
      <c r="G19" s="156"/>
      <c r="H19" s="156"/>
      <c r="I19" s="156"/>
      <c r="J19" s="156"/>
      <c r="K19" s="156"/>
      <c r="L19" s="156"/>
      <c r="M19" s="156"/>
      <c r="N19" s="156"/>
      <c r="O19" s="156"/>
      <c r="P19" s="156"/>
      <c r="Q19" s="156"/>
      <c r="R19" s="156"/>
      <c r="S19" s="156"/>
      <c r="T19" s="156"/>
      <c r="U19" s="156"/>
      <c r="V19" s="156"/>
      <c r="W19" s="157"/>
    </row>
    <row r="20" spans="1:23" ht="59.25" customHeight="1">
      <c r="A20" s="78" t="s">
        <v>84</v>
      </c>
      <c r="B20" s="155"/>
      <c r="C20" s="156"/>
      <c r="D20" s="156"/>
      <c r="E20" s="156"/>
      <c r="F20" s="156"/>
      <c r="G20" s="156"/>
      <c r="H20" s="156"/>
      <c r="I20" s="156"/>
      <c r="J20" s="156"/>
      <c r="K20" s="156"/>
      <c r="L20" s="156"/>
      <c r="M20" s="156"/>
      <c r="N20" s="156"/>
      <c r="O20" s="156"/>
      <c r="P20" s="156"/>
      <c r="Q20" s="156"/>
      <c r="R20" s="156"/>
      <c r="S20" s="156"/>
      <c r="T20" s="156"/>
      <c r="U20" s="156"/>
      <c r="V20" s="156"/>
      <c r="W20" s="157"/>
    </row>
    <row r="21" spans="1:23" ht="59.25" customHeight="1">
      <c r="A21" s="78" t="s">
        <v>85</v>
      </c>
      <c r="B21" s="155"/>
      <c r="C21" s="156"/>
      <c r="D21" s="156"/>
      <c r="E21" s="156"/>
      <c r="F21" s="156"/>
      <c r="G21" s="156"/>
      <c r="H21" s="156"/>
      <c r="I21" s="156"/>
      <c r="J21" s="156"/>
      <c r="K21" s="156"/>
      <c r="L21" s="156"/>
      <c r="M21" s="156"/>
      <c r="N21" s="156"/>
      <c r="O21" s="156"/>
      <c r="P21" s="156"/>
      <c r="Q21" s="156"/>
      <c r="R21" s="156"/>
      <c r="S21" s="156"/>
      <c r="T21" s="156"/>
      <c r="U21" s="156"/>
      <c r="V21" s="156"/>
      <c r="W21" s="157"/>
    </row>
    <row r="22" spans="1:23" ht="59.25" customHeight="1">
      <c r="A22" s="78" t="s">
        <v>86</v>
      </c>
      <c r="B22" s="155"/>
      <c r="C22" s="156"/>
      <c r="D22" s="156"/>
      <c r="E22" s="156"/>
      <c r="F22" s="156"/>
      <c r="G22" s="156"/>
      <c r="H22" s="156"/>
      <c r="I22" s="156"/>
      <c r="J22" s="156"/>
      <c r="K22" s="156"/>
      <c r="L22" s="156"/>
      <c r="M22" s="156"/>
      <c r="N22" s="156"/>
      <c r="O22" s="156"/>
      <c r="P22" s="156"/>
      <c r="Q22" s="156"/>
      <c r="R22" s="156"/>
      <c r="S22" s="156"/>
      <c r="T22" s="156"/>
      <c r="U22" s="156"/>
      <c r="V22" s="156"/>
      <c r="W22" s="157"/>
    </row>
    <row r="23" spans="1:23" ht="59.25" customHeight="1">
      <c r="A23" s="78" t="s">
        <v>87</v>
      </c>
      <c r="B23" s="155"/>
      <c r="C23" s="156"/>
      <c r="D23" s="156"/>
      <c r="E23" s="156"/>
      <c r="F23" s="156"/>
      <c r="G23" s="156"/>
      <c r="H23" s="156"/>
      <c r="I23" s="156"/>
      <c r="J23" s="156"/>
      <c r="K23" s="156"/>
      <c r="L23" s="156"/>
      <c r="M23" s="156"/>
      <c r="N23" s="156"/>
      <c r="O23" s="156"/>
      <c r="P23" s="156"/>
      <c r="Q23" s="156"/>
      <c r="R23" s="156"/>
      <c r="S23" s="156"/>
      <c r="T23" s="156"/>
      <c r="U23" s="156"/>
      <c r="V23" s="156"/>
      <c r="W23" s="157"/>
    </row>
    <row r="24" spans="1:23" ht="59.25" customHeight="1">
      <c r="A24" s="78" t="s">
        <v>88</v>
      </c>
      <c r="B24" s="155"/>
      <c r="C24" s="156"/>
      <c r="D24" s="156"/>
      <c r="E24" s="156"/>
      <c r="F24" s="156"/>
      <c r="G24" s="156"/>
      <c r="H24" s="156"/>
      <c r="I24" s="156"/>
      <c r="J24" s="156"/>
      <c r="K24" s="156"/>
      <c r="L24" s="156"/>
      <c r="M24" s="156"/>
      <c r="N24" s="156"/>
      <c r="O24" s="156"/>
      <c r="P24" s="156"/>
      <c r="Q24" s="156"/>
      <c r="R24" s="156"/>
      <c r="S24" s="156"/>
      <c r="T24" s="156"/>
      <c r="U24" s="156"/>
      <c r="V24" s="156"/>
      <c r="W24" s="157"/>
    </row>
    <row r="25" spans="1:23" ht="59.25" customHeight="1">
      <c r="A25" s="78" t="s">
        <v>89</v>
      </c>
      <c r="B25" s="155"/>
      <c r="C25" s="156"/>
      <c r="D25" s="156"/>
      <c r="E25" s="156"/>
      <c r="F25" s="156"/>
      <c r="G25" s="156"/>
      <c r="H25" s="156"/>
      <c r="I25" s="156"/>
      <c r="J25" s="156"/>
      <c r="K25" s="156"/>
      <c r="L25" s="156"/>
      <c r="M25" s="156"/>
      <c r="N25" s="156"/>
      <c r="O25" s="156"/>
      <c r="P25" s="156"/>
      <c r="Q25" s="156"/>
      <c r="R25" s="156"/>
      <c r="S25" s="156"/>
      <c r="T25" s="156"/>
      <c r="U25" s="156"/>
      <c r="V25" s="156"/>
      <c r="W25" s="157"/>
    </row>
    <row r="26" spans="1:23" ht="59.25" customHeight="1">
      <c r="A26" s="78" t="s">
        <v>90</v>
      </c>
      <c r="B26" s="155"/>
      <c r="C26" s="156"/>
      <c r="D26" s="156"/>
      <c r="E26" s="156"/>
      <c r="F26" s="156"/>
      <c r="G26" s="156"/>
      <c r="H26" s="156"/>
      <c r="I26" s="156"/>
      <c r="J26" s="156"/>
      <c r="K26" s="156"/>
      <c r="L26" s="156"/>
      <c r="M26" s="156"/>
      <c r="N26" s="156"/>
      <c r="O26" s="156"/>
      <c r="P26" s="156"/>
      <c r="Q26" s="156"/>
      <c r="R26" s="156"/>
      <c r="S26" s="156"/>
      <c r="T26" s="156"/>
      <c r="U26" s="156"/>
      <c r="V26" s="156"/>
      <c r="W26" s="157"/>
    </row>
    <row r="27" spans="1:23" ht="59.25" customHeight="1">
      <c r="A27" s="78" t="s">
        <v>91</v>
      </c>
      <c r="B27" s="155"/>
      <c r="C27" s="156"/>
      <c r="D27" s="156"/>
      <c r="E27" s="156"/>
      <c r="F27" s="156"/>
      <c r="G27" s="156"/>
      <c r="H27" s="156"/>
      <c r="I27" s="156"/>
      <c r="J27" s="156"/>
      <c r="K27" s="156"/>
      <c r="L27" s="156"/>
      <c r="M27" s="156"/>
      <c r="N27" s="156"/>
      <c r="O27" s="156"/>
      <c r="P27" s="156"/>
      <c r="Q27" s="156"/>
      <c r="R27" s="156"/>
      <c r="S27" s="156"/>
      <c r="T27" s="156"/>
      <c r="U27" s="156"/>
      <c r="V27" s="156"/>
      <c r="W27" s="157"/>
    </row>
    <row r="28" spans="1:23" ht="59.25" customHeight="1">
      <c r="A28" s="78" t="s">
        <v>92</v>
      </c>
      <c r="B28" s="155"/>
      <c r="C28" s="156"/>
      <c r="D28" s="156"/>
      <c r="E28" s="156"/>
      <c r="F28" s="156"/>
      <c r="G28" s="156"/>
      <c r="H28" s="156"/>
      <c r="I28" s="156"/>
      <c r="J28" s="156"/>
      <c r="K28" s="156"/>
      <c r="L28" s="156"/>
      <c r="M28" s="156"/>
      <c r="N28" s="156"/>
      <c r="O28" s="156"/>
      <c r="P28" s="156"/>
      <c r="Q28" s="156"/>
      <c r="R28" s="156"/>
      <c r="S28" s="156"/>
      <c r="T28" s="156"/>
      <c r="U28" s="156"/>
      <c r="V28" s="156"/>
      <c r="W28" s="157"/>
    </row>
    <row r="29" spans="1:23" ht="59.25" customHeight="1">
      <c r="A29" s="78"/>
      <c r="B29" s="155"/>
      <c r="C29" s="156"/>
      <c r="D29" s="156"/>
      <c r="E29" s="156"/>
      <c r="F29" s="156"/>
      <c r="G29" s="156"/>
      <c r="H29" s="156"/>
      <c r="I29" s="156"/>
      <c r="J29" s="156"/>
      <c r="K29" s="156"/>
      <c r="L29" s="156"/>
      <c r="M29" s="156"/>
      <c r="N29" s="156"/>
      <c r="O29" s="156"/>
      <c r="P29" s="156"/>
      <c r="Q29" s="156"/>
      <c r="R29" s="156"/>
      <c r="S29" s="156"/>
      <c r="T29" s="156"/>
      <c r="U29" s="156"/>
      <c r="V29" s="156"/>
      <c r="W29" s="157"/>
    </row>
    <row r="30" spans="1:23" ht="59.25" customHeight="1">
      <c r="A30" s="78"/>
      <c r="B30" s="155"/>
      <c r="C30" s="156"/>
      <c r="D30" s="156"/>
      <c r="E30" s="156"/>
      <c r="F30" s="156"/>
      <c r="G30" s="156"/>
      <c r="H30" s="156"/>
      <c r="I30" s="156"/>
      <c r="J30" s="156"/>
      <c r="K30" s="156"/>
      <c r="L30" s="156"/>
      <c r="M30" s="156"/>
      <c r="N30" s="156"/>
      <c r="O30" s="156"/>
      <c r="P30" s="156"/>
      <c r="Q30" s="156"/>
      <c r="R30" s="156"/>
      <c r="S30" s="156"/>
      <c r="T30" s="156"/>
      <c r="U30" s="156"/>
      <c r="V30" s="156"/>
      <c r="W30" s="157"/>
    </row>
    <row r="31" spans="1:23" ht="59.25" customHeight="1">
      <c r="A31" s="78"/>
      <c r="B31" s="155"/>
      <c r="C31" s="156"/>
      <c r="D31" s="156"/>
      <c r="E31" s="156"/>
      <c r="F31" s="156"/>
      <c r="G31" s="156"/>
      <c r="H31" s="156"/>
      <c r="I31" s="156"/>
      <c r="J31" s="156"/>
      <c r="K31" s="156"/>
      <c r="L31" s="156"/>
      <c r="M31" s="156"/>
      <c r="N31" s="156"/>
      <c r="O31" s="156"/>
      <c r="P31" s="156"/>
      <c r="Q31" s="156"/>
      <c r="R31" s="156"/>
      <c r="S31" s="156"/>
      <c r="T31" s="156"/>
      <c r="U31" s="156"/>
      <c r="V31" s="156"/>
      <c r="W31" s="157"/>
    </row>
    <row r="32" spans="1:23" ht="59.25" customHeight="1">
      <c r="A32" s="78"/>
      <c r="B32" s="155"/>
      <c r="C32" s="156"/>
      <c r="D32" s="156"/>
      <c r="E32" s="156"/>
      <c r="F32" s="156"/>
      <c r="G32" s="156"/>
      <c r="H32" s="156"/>
      <c r="I32" s="156"/>
      <c r="J32" s="156"/>
      <c r="K32" s="156"/>
      <c r="L32" s="156"/>
      <c r="M32" s="156"/>
      <c r="N32" s="156"/>
      <c r="O32" s="156"/>
      <c r="P32" s="156"/>
      <c r="Q32" s="156"/>
      <c r="R32" s="156"/>
      <c r="S32" s="156"/>
      <c r="T32" s="156"/>
      <c r="U32" s="156"/>
      <c r="V32" s="156"/>
      <c r="W32" s="157"/>
    </row>
    <row r="33" spans="1:23" ht="59.25" customHeight="1">
      <c r="A33" s="78"/>
      <c r="B33" s="155"/>
      <c r="C33" s="156"/>
      <c r="D33" s="156"/>
      <c r="E33" s="156"/>
      <c r="F33" s="156"/>
      <c r="G33" s="156"/>
      <c r="H33" s="156"/>
      <c r="I33" s="156"/>
      <c r="J33" s="156"/>
      <c r="K33" s="156"/>
      <c r="L33" s="156"/>
      <c r="M33" s="156"/>
      <c r="N33" s="156"/>
      <c r="O33" s="156"/>
      <c r="P33" s="156"/>
      <c r="Q33" s="156"/>
      <c r="R33" s="156"/>
      <c r="S33" s="156"/>
      <c r="T33" s="156"/>
      <c r="U33" s="156"/>
      <c r="V33" s="156"/>
      <c r="W33" s="157"/>
    </row>
    <row r="34" spans="1:23" ht="59.25" customHeight="1">
      <c r="A34" s="78"/>
      <c r="B34" s="155"/>
      <c r="C34" s="156"/>
      <c r="D34" s="156"/>
      <c r="E34" s="156"/>
      <c r="F34" s="156"/>
      <c r="G34" s="156"/>
      <c r="H34" s="156"/>
      <c r="I34" s="156"/>
      <c r="J34" s="156"/>
      <c r="K34" s="156"/>
      <c r="L34" s="156"/>
      <c r="M34" s="156"/>
      <c r="N34" s="156"/>
      <c r="O34" s="156"/>
      <c r="P34" s="156"/>
      <c r="Q34" s="156"/>
      <c r="R34" s="156"/>
      <c r="S34" s="156"/>
      <c r="T34" s="156"/>
      <c r="U34" s="156"/>
      <c r="V34" s="156"/>
      <c r="W34" s="157"/>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２－３</v>
      </c>
      <c r="B1" s="34" t="str">
        <f ca="1">RIGHT(CELL("filename",B1),LEN(CELL("filename",B1))-FIND("]",CELL("filename",B1)))</f>
        <v>音楽</v>
      </c>
      <c r="C1" s="35" t="s">
        <v>26</v>
      </c>
      <c r="D1" s="36" t="str">
        <f>A15</f>
        <v>奥山 大雅</v>
      </c>
      <c r="E1" s="36" t="str">
        <f>A16</f>
        <v>兼村 祐希</v>
      </c>
      <c r="F1" s="36" t="str">
        <f>A17</f>
        <v>熊谷 百桜</v>
      </c>
      <c r="G1" s="36" t="str">
        <f>A18</f>
        <v>小原 幸典</v>
      </c>
      <c r="H1" s="36" t="str">
        <f>A19</f>
        <v>清水 清豪</v>
      </c>
      <c r="I1" s="36" t="str">
        <f>A20</f>
        <v>鈴木 理子</v>
      </c>
      <c r="J1" s="36" t="str">
        <f>A21</f>
        <v>徳田 安須嘉</v>
      </c>
      <c r="K1" s="36" t="str">
        <f>A22</f>
        <v>松尾 怜奈</v>
      </c>
      <c r="L1" s="36" t="str">
        <f>A23</f>
        <v>丸茂 彰仁</v>
      </c>
      <c r="M1" s="36" t="str">
        <f>A24</f>
        <v>御子柴 希美</v>
      </c>
      <c r="N1" s="36" t="str">
        <f>A25</f>
        <v>峯村 梨奈</v>
      </c>
      <c r="O1" s="36" t="str">
        <f>A26</f>
        <v>百瀬 友紀</v>
      </c>
      <c r="P1" s="36" t="str">
        <f>A27</f>
        <v>矢崎 優希菜</v>
      </c>
      <c r="Q1" s="36" t="str">
        <f>A28</f>
        <v>山本 侑輝</v>
      </c>
      <c r="R1" s="36">
        <f>A29</f>
        <v>0</v>
      </c>
      <c r="S1" s="36">
        <f>A30</f>
        <v>0</v>
      </c>
      <c r="T1" s="36">
        <f>A31</f>
        <v>0</v>
      </c>
      <c r="U1" s="36">
        <f>A32</f>
        <v>0</v>
      </c>
      <c r="V1" s="36">
        <f>A33</f>
        <v>0</v>
      </c>
      <c r="W1" s="36">
        <f>A34</f>
        <v>0</v>
      </c>
      <c r="X1" s="37"/>
    </row>
    <row r="2" spans="1:25" ht="22.5" customHeight="1">
      <c r="A2" s="158" t="s">
        <v>178</v>
      </c>
      <c r="B2" s="41" t="s">
        <v>103</v>
      </c>
      <c r="C2" s="38" t="s">
        <v>27</v>
      </c>
      <c r="D2" s="39" t="s">
        <v>179</v>
      </c>
      <c r="E2" s="39" t="s">
        <v>179</v>
      </c>
      <c r="F2" s="39" t="s">
        <v>179</v>
      </c>
      <c r="G2" s="39" t="s">
        <v>179</v>
      </c>
      <c r="H2" s="39" t="s">
        <v>179</v>
      </c>
      <c r="I2" s="39" t="s">
        <v>179</v>
      </c>
      <c r="J2" s="39" t="s">
        <v>179</v>
      </c>
      <c r="K2" s="39" t="s">
        <v>179</v>
      </c>
      <c r="L2" s="39" t="s">
        <v>179</v>
      </c>
      <c r="M2" s="39" t="s">
        <v>179</v>
      </c>
      <c r="N2" s="39" t="s">
        <v>179</v>
      </c>
      <c r="O2" s="39" t="s">
        <v>179</v>
      </c>
      <c r="P2" s="39" t="s">
        <v>179</v>
      </c>
      <c r="Q2" s="39" t="s">
        <v>179</v>
      </c>
      <c r="R2" s="39"/>
      <c r="S2" s="39"/>
      <c r="T2" s="39"/>
      <c r="U2" s="39"/>
      <c r="V2" s="39"/>
      <c r="W2" s="39"/>
      <c r="X2" s="40" t="s">
        <v>163</v>
      </c>
      <c r="Y2" s="40">
        <v>1</v>
      </c>
    </row>
    <row r="3" spans="1:25" ht="22.5" customHeight="1">
      <c r="A3" s="159"/>
      <c r="B3" s="41" t="s">
        <v>104</v>
      </c>
      <c r="C3" s="38" t="s">
        <v>27</v>
      </c>
      <c r="D3" s="39" t="s">
        <v>179</v>
      </c>
      <c r="E3" s="39" t="s">
        <v>179</v>
      </c>
      <c r="F3" s="39" t="s">
        <v>179</v>
      </c>
      <c r="G3" s="39" t="s">
        <v>179</v>
      </c>
      <c r="H3" s="39" t="s">
        <v>163</v>
      </c>
      <c r="I3" s="39" t="s">
        <v>179</v>
      </c>
      <c r="J3" s="39" t="s">
        <v>179</v>
      </c>
      <c r="K3" s="39" t="s">
        <v>163</v>
      </c>
      <c r="L3" s="39" t="s">
        <v>163</v>
      </c>
      <c r="M3" s="39" t="s">
        <v>163</v>
      </c>
      <c r="N3" s="39" t="s">
        <v>163</v>
      </c>
      <c r="O3" s="39" t="s">
        <v>163</v>
      </c>
      <c r="P3" s="39" t="s">
        <v>163</v>
      </c>
      <c r="Q3" s="39" t="s">
        <v>163</v>
      </c>
      <c r="R3" s="39"/>
      <c r="S3" s="39"/>
      <c r="T3" s="39"/>
      <c r="U3" s="39"/>
      <c r="V3" s="39"/>
      <c r="W3" s="39"/>
      <c r="X3" s="40" t="s">
        <v>162</v>
      </c>
      <c r="Y3" s="40">
        <v>2</v>
      </c>
    </row>
    <row r="4" spans="1:25" ht="22.5" customHeight="1">
      <c r="A4" s="159"/>
      <c r="B4" s="41" t="s">
        <v>105</v>
      </c>
      <c r="C4" s="38" t="s">
        <v>27</v>
      </c>
      <c r="D4" s="39" t="s">
        <v>163</v>
      </c>
      <c r="E4" s="39" t="s">
        <v>163</v>
      </c>
      <c r="F4" s="39" t="s">
        <v>163</v>
      </c>
      <c r="G4" s="39" t="s">
        <v>163</v>
      </c>
      <c r="H4" s="39" t="s">
        <v>163</v>
      </c>
      <c r="I4" s="39" t="s">
        <v>163</v>
      </c>
      <c r="J4" s="39" t="s">
        <v>163</v>
      </c>
      <c r="K4" s="39" t="s">
        <v>163</v>
      </c>
      <c r="L4" s="39" t="s">
        <v>163</v>
      </c>
      <c r="M4" s="39" t="s">
        <v>163</v>
      </c>
      <c r="N4" s="39" t="s">
        <v>163</v>
      </c>
      <c r="O4" s="39" t="s">
        <v>162</v>
      </c>
      <c r="P4" s="39" t="s">
        <v>163</v>
      </c>
      <c r="Q4" s="39" t="s">
        <v>163</v>
      </c>
      <c r="R4" s="39"/>
      <c r="S4" s="39"/>
      <c r="T4" s="39"/>
      <c r="U4" s="39"/>
      <c r="V4" s="39"/>
      <c r="W4" s="39"/>
      <c r="X4" s="40" t="s">
        <v>165</v>
      </c>
      <c r="Y4" s="40">
        <v>3</v>
      </c>
    </row>
    <row r="5" spans="1:25" ht="22.5" customHeight="1">
      <c r="A5" s="159"/>
      <c r="B5" s="41" t="s">
        <v>106</v>
      </c>
      <c r="C5" s="38" t="s">
        <v>27</v>
      </c>
      <c r="D5" s="39" t="s">
        <v>163</v>
      </c>
      <c r="E5" s="39" t="s">
        <v>163</v>
      </c>
      <c r="F5" s="39" t="s">
        <v>163</v>
      </c>
      <c r="G5" s="39" t="s">
        <v>163</v>
      </c>
      <c r="H5" s="39" t="s">
        <v>163</v>
      </c>
      <c r="I5" s="39" t="s">
        <v>163</v>
      </c>
      <c r="J5" s="39" t="s">
        <v>163</v>
      </c>
      <c r="K5" s="39" t="s">
        <v>163</v>
      </c>
      <c r="L5" s="39" t="s">
        <v>163</v>
      </c>
      <c r="M5" s="39" t="s">
        <v>163</v>
      </c>
      <c r="N5" s="39" t="s">
        <v>163</v>
      </c>
      <c r="O5" s="39" t="s">
        <v>163</v>
      </c>
      <c r="P5" s="39" t="s">
        <v>163</v>
      </c>
      <c r="Q5" s="39" t="s">
        <v>163</v>
      </c>
      <c r="R5" s="39"/>
      <c r="S5" s="39"/>
      <c r="T5" s="39"/>
      <c r="U5" s="39"/>
      <c r="V5" s="39"/>
      <c r="W5" s="39"/>
      <c r="X5" s="40" t="s">
        <v>166</v>
      </c>
      <c r="Y5" s="40">
        <v>4</v>
      </c>
    </row>
    <row r="6" spans="1:25" ht="22.5" customHeight="1">
      <c r="A6" s="159"/>
      <c r="B6" s="41"/>
      <c r="C6" s="38" t="s">
        <v>27</v>
      </c>
      <c r="D6" s="39"/>
      <c r="E6" s="39"/>
      <c r="F6" s="39"/>
      <c r="G6" s="39"/>
      <c r="H6" s="39"/>
      <c r="I6" s="39"/>
      <c r="J6" s="39"/>
      <c r="K6" s="39"/>
      <c r="L6" s="39"/>
      <c r="M6" s="39"/>
      <c r="N6" s="39"/>
      <c r="O6" s="39"/>
      <c r="P6" s="39"/>
      <c r="Q6" s="39"/>
      <c r="R6" s="39"/>
      <c r="S6" s="39"/>
      <c r="T6" s="39"/>
      <c r="U6" s="39"/>
      <c r="V6" s="39"/>
      <c r="W6" s="39"/>
      <c r="X6" s="40"/>
      <c r="Y6" s="40">
        <v>5</v>
      </c>
    </row>
    <row r="7" spans="1:25" ht="22.5" customHeight="1">
      <c r="A7" s="159"/>
      <c r="B7" s="41"/>
      <c r="C7" s="38" t="s">
        <v>27</v>
      </c>
      <c r="D7" s="39"/>
      <c r="E7" s="39"/>
      <c r="F7" s="39"/>
      <c r="G7" s="39"/>
      <c r="H7" s="39"/>
      <c r="I7" s="39"/>
      <c r="J7" s="39"/>
      <c r="K7" s="39"/>
      <c r="L7" s="39"/>
      <c r="M7" s="39"/>
      <c r="N7" s="39"/>
      <c r="O7" s="39"/>
      <c r="P7" s="39"/>
      <c r="Q7" s="39"/>
      <c r="R7" s="39"/>
      <c r="S7" s="39"/>
      <c r="T7" s="39"/>
      <c r="U7" s="39"/>
      <c r="V7" s="39"/>
      <c r="W7" s="39"/>
      <c r="X7" s="40"/>
      <c r="Y7" s="40" t="s">
        <v>166</v>
      </c>
    </row>
    <row r="8" spans="1:25" ht="22.5" customHeight="1">
      <c r="A8" s="159"/>
      <c r="B8" s="41"/>
      <c r="C8" s="38" t="s">
        <v>27</v>
      </c>
      <c r="D8" s="39"/>
      <c r="E8" s="39"/>
      <c r="F8" s="39"/>
      <c r="G8" s="39"/>
      <c r="H8" s="39"/>
      <c r="I8" s="39"/>
      <c r="J8" s="39"/>
      <c r="K8" s="39"/>
      <c r="L8" s="39"/>
      <c r="M8" s="39"/>
      <c r="N8" s="39"/>
      <c r="O8" s="39"/>
      <c r="P8" s="39"/>
      <c r="Q8" s="39"/>
      <c r="R8" s="39"/>
      <c r="S8" s="39"/>
      <c r="T8" s="39"/>
      <c r="U8" s="39"/>
      <c r="V8" s="39"/>
      <c r="W8" s="39"/>
    </row>
    <row r="9" spans="1:25" ht="22.5" customHeight="1">
      <c r="A9" s="159"/>
      <c r="B9" s="41"/>
      <c r="C9" s="38" t="s">
        <v>27</v>
      </c>
      <c r="D9" s="39"/>
      <c r="E9" s="39"/>
      <c r="F9" s="39"/>
      <c r="G9" s="39"/>
      <c r="H9" s="39"/>
      <c r="I9" s="39"/>
      <c r="J9" s="39"/>
      <c r="K9" s="39"/>
      <c r="L9" s="39"/>
      <c r="M9" s="39"/>
      <c r="N9" s="39"/>
      <c r="O9" s="39"/>
      <c r="P9" s="39"/>
      <c r="Q9" s="39"/>
      <c r="R9" s="39"/>
      <c r="S9" s="39"/>
      <c r="T9" s="39"/>
      <c r="U9" s="39"/>
      <c r="V9" s="39"/>
      <c r="W9" s="39"/>
    </row>
    <row r="10" spans="1:25" ht="22.5" customHeight="1">
      <c r="A10" s="159"/>
      <c r="B10" s="41"/>
      <c r="C10" s="38" t="s">
        <v>27</v>
      </c>
      <c r="D10" s="39"/>
      <c r="E10" s="39"/>
      <c r="F10" s="39"/>
      <c r="G10" s="39"/>
      <c r="H10" s="39"/>
      <c r="I10" s="39"/>
      <c r="J10" s="39"/>
      <c r="K10" s="39"/>
      <c r="L10" s="39"/>
      <c r="M10" s="39"/>
      <c r="N10" s="39"/>
      <c r="O10" s="39"/>
      <c r="P10" s="39"/>
      <c r="Q10" s="39"/>
      <c r="R10" s="39"/>
      <c r="S10" s="39"/>
      <c r="T10" s="39"/>
      <c r="U10" s="39"/>
      <c r="V10" s="39"/>
      <c r="W10" s="39"/>
    </row>
    <row r="11" spans="1:25" ht="22.5" customHeight="1">
      <c r="A11" s="159"/>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60"/>
      <c r="B12" s="42"/>
      <c r="C12" s="43" t="s">
        <v>28</v>
      </c>
      <c r="D12" s="39">
        <v>5</v>
      </c>
      <c r="E12" s="39">
        <v>5</v>
      </c>
      <c r="F12" s="39">
        <v>5</v>
      </c>
      <c r="G12" s="39">
        <v>5</v>
      </c>
      <c r="H12" s="39">
        <v>5</v>
      </c>
      <c r="I12" s="39">
        <v>5</v>
      </c>
      <c r="J12" s="39">
        <v>5</v>
      </c>
      <c r="K12" s="39">
        <v>5</v>
      </c>
      <c r="L12" s="39">
        <v>5</v>
      </c>
      <c r="M12" s="39">
        <v>5</v>
      </c>
      <c r="N12" s="39">
        <v>5</v>
      </c>
      <c r="O12" s="39">
        <v>4</v>
      </c>
      <c r="P12" s="39">
        <v>5</v>
      </c>
      <c r="Q12" s="39">
        <v>5</v>
      </c>
      <c r="R12" s="39"/>
      <c r="S12" s="39"/>
      <c r="T12" s="39"/>
      <c r="U12" s="39"/>
      <c r="V12" s="39"/>
      <c r="W12" s="39"/>
    </row>
    <row r="13" spans="1:25" ht="26.25" customHeight="1">
      <c r="A13" s="44"/>
      <c r="B13" s="44"/>
      <c r="C13" s="68" t="s">
        <v>57</v>
      </c>
      <c r="D13" s="69"/>
      <c r="E13" s="69"/>
      <c r="F13" s="69"/>
      <c r="G13" s="69"/>
      <c r="H13" s="69"/>
      <c r="I13" s="69"/>
      <c r="J13" s="69"/>
      <c r="K13" s="69"/>
      <c r="L13" s="69"/>
      <c r="M13" s="69"/>
      <c r="N13" s="69"/>
      <c r="O13" s="69"/>
      <c r="P13" s="69"/>
      <c r="Q13" s="69"/>
      <c r="R13" s="69"/>
      <c r="S13" s="69"/>
      <c r="T13" s="69"/>
      <c r="U13" s="69"/>
      <c r="V13" s="69"/>
      <c r="W13" s="69"/>
    </row>
    <row r="14" spans="1:25" ht="22.5" customHeight="1">
      <c r="A14" s="45" t="s">
        <v>29</v>
      </c>
      <c r="B14" s="167" t="s">
        <v>30</v>
      </c>
      <c r="C14" s="168"/>
      <c r="D14" s="168"/>
      <c r="E14" s="168"/>
      <c r="F14" s="168"/>
      <c r="G14" s="168"/>
      <c r="H14" s="168"/>
      <c r="I14" s="168"/>
      <c r="J14" s="168"/>
      <c r="K14" s="168"/>
      <c r="L14" s="168"/>
      <c r="M14" s="168"/>
      <c r="N14" s="168"/>
      <c r="O14" s="168"/>
      <c r="P14" s="168"/>
      <c r="Q14" s="168"/>
      <c r="R14" s="168"/>
      <c r="S14" s="168"/>
      <c r="T14" s="168"/>
      <c r="U14" s="168"/>
      <c r="V14" s="168"/>
      <c r="W14" s="169"/>
    </row>
    <row r="15" spans="1:25" ht="59.25" customHeight="1">
      <c r="A15" s="46" t="s">
        <v>142</v>
      </c>
      <c r="B15" s="164"/>
      <c r="C15" s="165"/>
      <c r="D15" s="165"/>
      <c r="E15" s="165"/>
      <c r="F15" s="165"/>
      <c r="G15" s="165"/>
      <c r="H15" s="165"/>
      <c r="I15" s="165"/>
      <c r="J15" s="165"/>
      <c r="K15" s="165"/>
      <c r="L15" s="165"/>
      <c r="M15" s="165"/>
      <c r="N15" s="165"/>
      <c r="O15" s="165"/>
      <c r="P15" s="165"/>
      <c r="Q15" s="165"/>
      <c r="R15" s="165"/>
      <c r="S15" s="165"/>
      <c r="T15" s="165"/>
      <c r="U15" s="165"/>
      <c r="V15" s="165"/>
      <c r="W15" s="166"/>
    </row>
    <row r="16" spans="1:25" ht="59.25" customHeight="1">
      <c r="A16" s="46" t="s">
        <v>80</v>
      </c>
      <c r="B16" s="164"/>
      <c r="C16" s="165"/>
      <c r="D16" s="165"/>
      <c r="E16" s="165"/>
      <c r="F16" s="165"/>
      <c r="G16" s="165"/>
      <c r="H16" s="165"/>
      <c r="I16" s="165"/>
      <c r="J16" s="165"/>
      <c r="K16" s="165"/>
      <c r="L16" s="165"/>
      <c r="M16" s="165"/>
      <c r="N16" s="165"/>
      <c r="O16" s="165"/>
      <c r="P16" s="165"/>
      <c r="Q16" s="165"/>
      <c r="R16" s="165"/>
      <c r="S16" s="165"/>
      <c r="T16" s="165"/>
      <c r="U16" s="165"/>
      <c r="V16" s="165"/>
      <c r="W16" s="166"/>
    </row>
    <row r="17" spans="1:23" ht="59.25" customHeight="1">
      <c r="A17" s="46" t="s">
        <v>81</v>
      </c>
      <c r="B17" s="164"/>
      <c r="C17" s="165"/>
      <c r="D17" s="165"/>
      <c r="E17" s="165"/>
      <c r="F17" s="165"/>
      <c r="G17" s="165"/>
      <c r="H17" s="165"/>
      <c r="I17" s="165"/>
      <c r="J17" s="165"/>
      <c r="K17" s="165"/>
      <c r="L17" s="165"/>
      <c r="M17" s="165"/>
      <c r="N17" s="165"/>
      <c r="O17" s="165"/>
      <c r="P17" s="165"/>
      <c r="Q17" s="165"/>
      <c r="R17" s="165"/>
      <c r="S17" s="165"/>
      <c r="T17" s="165"/>
      <c r="U17" s="165"/>
      <c r="V17" s="165"/>
      <c r="W17" s="166"/>
    </row>
    <row r="18" spans="1:23" ht="59.25" customHeight="1">
      <c r="A18" s="46" t="s">
        <v>82</v>
      </c>
      <c r="B18" s="164"/>
      <c r="C18" s="165"/>
      <c r="D18" s="165"/>
      <c r="E18" s="165"/>
      <c r="F18" s="165"/>
      <c r="G18" s="165"/>
      <c r="H18" s="165"/>
      <c r="I18" s="165"/>
      <c r="J18" s="165"/>
      <c r="K18" s="165"/>
      <c r="L18" s="165"/>
      <c r="M18" s="165"/>
      <c r="N18" s="165"/>
      <c r="O18" s="165"/>
      <c r="P18" s="165"/>
      <c r="Q18" s="165"/>
      <c r="R18" s="165"/>
      <c r="S18" s="165"/>
      <c r="T18" s="165"/>
      <c r="U18" s="165"/>
      <c r="V18" s="165"/>
      <c r="W18" s="166"/>
    </row>
    <row r="19" spans="1:23" ht="59.25" customHeight="1">
      <c r="A19" s="46" t="s">
        <v>83</v>
      </c>
      <c r="B19" s="164" t="s">
        <v>107</v>
      </c>
      <c r="C19" s="165"/>
      <c r="D19" s="165"/>
      <c r="E19" s="165"/>
      <c r="F19" s="165"/>
      <c r="G19" s="165"/>
      <c r="H19" s="165"/>
      <c r="I19" s="165"/>
      <c r="J19" s="165"/>
      <c r="K19" s="165"/>
      <c r="L19" s="165"/>
      <c r="M19" s="165"/>
      <c r="N19" s="165"/>
      <c r="O19" s="165"/>
      <c r="P19" s="165"/>
      <c r="Q19" s="165"/>
      <c r="R19" s="165"/>
      <c r="S19" s="165"/>
      <c r="T19" s="165"/>
      <c r="U19" s="165"/>
      <c r="V19" s="165"/>
      <c r="W19" s="166"/>
    </row>
    <row r="20" spans="1:23" ht="59.25" customHeight="1">
      <c r="A20" s="46" t="s">
        <v>84</v>
      </c>
      <c r="B20" s="164"/>
      <c r="C20" s="165"/>
      <c r="D20" s="165"/>
      <c r="E20" s="165"/>
      <c r="F20" s="165"/>
      <c r="G20" s="165"/>
      <c r="H20" s="165"/>
      <c r="I20" s="165"/>
      <c r="J20" s="165"/>
      <c r="K20" s="165"/>
      <c r="L20" s="165"/>
      <c r="M20" s="165"/>
      <c r="N20" s="165"/>
      <c r="O20" s="165"/>
      <c r="P20" s="165"/>
      <c r="Q20" s="165"/>
      <c r="R20" s="165"/>
      <c r="S20" s="165"/>
      <c r="T20" s="165"/>
      <c r="U20" s="165"/>
      <c r="V20" s="165"/>
      <c r="W20" s="166"/>
    </row>
    <row r="21" spans="1:23" ht="59.25" customHeight="1">
      <c r="A21" s="46" t="s">
        <v>85</v>
      </c>
      <c r="B21" s="164"/>
      <c r="C21" s="165"/>
      <c r="D21" s="165"/>
      <c r="E21" s="165"/>
      <c r="F21" s="165"/>
      <c r="G21" s="165"/>
      <c r="H21" s="165"/>
      <c r="I21" s="165"/>
      <c r="J21" s="165"/>
      <c r="K21" s="165"/>
      <c r="L21" s="165"/>
      <c r="M21" s="165"/>
      <c r="N21" s="165"/>
      <c r="O21" s="165"/>
      <c r="P21" s="165"/>
      <c r="Q21" s="165"/>
      <c r="R21" s="165"/>
      <c r="S21" s="165"/>
      <c r="T21" s="165"/>
      <c r="U21" s="165"/>
      <c r="V21" s="165"/>
      <c r="W21" s="166"/>
    </row>
    <row r="22" spans="1:23" ht="59.25" customHeight="1">
      <c r="A22" s="46" t="s">
        <v>86</v>
      </c>
      <c r="B22" s="164"/>
      <c r="C22" s="165"/>
      <c r="D22" s="165"/>
      <c r="E22" s="165"/>
      <c r="F22" s="165"/>
      <c r="G22" s="165"/>
      <c r="H22" s="165"/>
      <c r="I22" s="165"/>
      <c r="J22" s="165"/>
      <c r="K22" s="165"/>
      <c r="L22" s="165"/>
      <c r="M22" s="165"/>
      <c r="N22" s="165"/>
      <c r="O22" s="165"/>
      <c r="P22" s="165"/>
      <c r="Q22" s="165"/>
      <c r="R22" s="165"/>
      <c r="S22" s="165"/>
      <c r="T22" s="165"/>
      <c r="U22" s="165"/>
      <c r="V22" s="165"/>
      <c r="W22" s="166"/>
    </row>
    <row r="23" spans="1:23" ht="59.25" customHeight="1">
      <c r="A23" s="46" t="s">
        <v>87</v>
      </c>
      <c r="B23" s="164"/>
      <c r="C23" s="165"/>
      <c r="D23" s="165"/>
      <c r="E23" s="165"/>
      <c r="F23" s="165"/>
      <c r="G23" s="165"/>
      <c r="H23" s="165"/>
      <c r="I23" s="165"/>
      <c r="J23" s="165"/>
      <c r="K23" s="165"/>
      <c r="L23" s="165"/>
      <c r="M23" s="165"/>
      <c r="N23" s="165"/>
      <c r="O23" s="165"/>
      <c r="P23" s="165"/>
      <c r="Q23" s="165"/>
      <c r="R23" s="165"/>
      <c r="S23" s="165"/>
      <c r="T23" s="165"/>
      <c r="U23" s="165"/>
      <c r="V23" s="165"/>
      <c r="W23" s="166"/>
    </row>
    <row r="24" spans="1:23" ht="59.25" customHeight="1">
      <c r="A24" s="46" t="s">
        <v>88</v>
      </c>
      <c r="B24" s="164"/>
      <c r="C24" s="165"/>
      <c r="D24" s="165"/>
      <c r="E24" s="165"/>
      <c r="F24" s="165"/>
      <c r="G24" s="165"/>
      <c r="H24" s="165"/>
      <c r="I24" s="165"/>
      <c r="J24" s="165"/>
      <c r="K24" s="165"/>
      <c r="L24" s="165"/>
      <c r="M24" s="165"/>
      <c r="N24" s="165"/>
      <c r="O24" s="165"/>
      <c r="P24" s="165"/>
      <c r="Q24" s="165"/>
      <c r="R24" s="165"/>
      <c r="S24" s="165"/>
      <c r="T24" s="165"/>
      <c r="U24" s="165"/>
      <c r="V24" s="165"/>
      <c r="W24" s="166"/>
    </row>
    <row r="25" spans="1:23" ht="59.25" customHeight="1">
      <c r="A25" s="46" t="s">
        <v>89</v>
      </c>
      <c r="B25" s="164"/>
      <c r="C25" s="165"/>
      <c r="D25" s="165"/>
      <c r="E25" s="165"/>
      <c r="F25" s="165"/>
      <c r="G25" s="165"/>
      <c r="H25" s="165"/>
      <c r="I25" s="165"/>
      <c r="J25" s="165"/>
      <c r="K25" s="165"/>
      <c r="L25" s="165"/>
      <c r="M25" s="165"/>
      <c r="N25" s="165"/>
      <c r="O25" s="165"/>
      <c r="P25" s="165"/>
      <c r="Q25" s="165"/>
      <c r="R25" s="165"/>
      <c r="S25" s="165"/>
      <c r="T25" s="165"/>
      <c r="U25" s="165"/>
      <c r="V25" s="165"/>
      <c r="W25" s="166"/>
    </row>
    <row r="26" spans="1:23" ht="59.25" customHeight="1">
      <c r="A26" s="46" t="s">
        <v>90</v>
      </c>
      <c r="B26" s="164" t="s">
        <v>108</v>
      </c>
      <c r="C26" s="165"/>
      <c r="D26" s="165"/>
      <c r="E26" s="165"/>
      <c r="F26" s="165"/>
      <c r="G26" s="165"/>
      <c r="H26" s="165"/>
      <c r="I26" s="165"/>
      <c r="J26" s="165"/>
      <c r="K26" s="165"/>
      <c r="L26" s="165"/>
      <c r="M26" s="165"/>
      <c r="N26" s="165"/>
      <c r="O26" s="165"/>
      <c r="P26" s="165"/>
      <c r="Q26" s="165"/>
      <c r="R26" s="165"/>
      <c r="S26" s="165"/>
      <c r="T26" s="165"/>
      <c r="U26" s="165"/>
      <c r="V26" s="165"/>
      <c r="W26" s="166"/>
    </row>
    <row r="27" spans="1:23" ht="59.25" customHeight="1">
      <c r="A27" s="46" t="s">
        <v>91</v>
      </c>
      <c r="B27" s="164"/>
      <c r="C27" s="165"/>
      <c r="D27" s="165"/>
      <c r="E27" s="165"/>
      <c r="F27" s="165"/>
      <c r="G27" s="165"/>
      <c r="H27" s="165"/>
      <c r="I27" s="165"/>
      <c r="J27" s="165"/>
      <c r="K27" s="165"/>
      <c r="L27" s="165"/>
      <c r="M27" s="165"/>
      <c r="N27" s="165"/>
      <c r="O27" s="165"/>
      <c r="P27" s="165"/>
      <c r="Q27" s="165"/>
      <c r="R27" s="165"/>
      <c r="S27" s="165"/>
      <c r="T27" s="165"/>
      <c r="U27" s="165"/>
      <c r="V27" s="165"/>
      <c r="W27" s="166"/>
    </row>
    <row r="28" spans="1:23" ht="59.25" customHeight="1">
      <c r="A28" s="46" t="s">
        <v>92</v>
      </c>
      <c r="B28" s="164"/>
      <c r="C28" s="165"/>
      <c r="D28" s="165"/>
      <c r="E28" s="165"/>
      <c r="F28" s="165"/>
      <c r="G28" s="165"/>
      <c r="H28" s="165"/>
      <c r="I28" s="165"/>
      <c r="J28" s="165"/>
      <c r="K28" s="165"/>
      <c r="L28" s="165"/>
      <c r="M28" s="165"/>
      <c r="N28" s="165"/>
      <c r="O28" s="165"/>
      <c r="P28" s="165"/>
      <c r="Q28" s="165"/>
      <c r="R28" s="165"/>
      <c r="S28" s="165"/>
      <c r="T28" s="165"/>
      <c r="U28" s="165"/>
      <c r="V28" s="165"/>
      <c r="W28" s="166"/>
    </row>
    <row r="29" spans="1:23" ht="59.25" customHeight="1">
      <c r="A29" s="46"/>
      <c r="B29" s="164"/>
      <c r="C29" s="165"/>
      <c r="D29" s="165"/>
      <c r="E29" s="165"/>
      <c r="F29" s="165"/>
      <c r="G29" s="165"/>
      <c r="H29" s="165"/>
      <c r="I29" s="165"/>
      <c r="J29" s="165"/>
      <c r="K29" s="165"/>
      <c r="L29" s="165"/>
      <c r="M29" s="165"/>
      <c r="N29" s="165"/>
      <c r="O29" s="165"/>
      <c r="P29" s="165"/>
      <c r="Q29" s="165"/>
      <c r="R29" s="165"/>
      <c r="S29" s="165"/>
      <c r="T29" s="165"/>
      <c r="U29" s="165"/>
      <c r="V29" s="165"/>
      <c r="W29" s="166"/>
    </row>
    <row r="30" spans="1:23" ht="59.25" customHeight="1">
      <c r="A30" s="46"/>
      <c r="B30" s="164"/>
      <c r="C30" s="165"/>
      <c r="D30" s="165"/>
      <c r="E30" s="165"/>
      <c r="F30" s="165"/>
      <c r="G30" s="165"/>
      <c r="H30" s="165"/>
      <c r="I30" s="165"/>
      <c r="J30" s="165"/>
      <c r="K30" s="165"/>
      <c r="L30" s="165"/>
      <c r="M30" s="165"/>
      <c r="N30" s="165"/>
      <c r="O30" s="165"/>
      <c r="P30" s="165"/>
      <c r="Q30" s="165"/>
      <c r="R30" s="165"/>
      <c r="S30" s="165"/>
      <c r="T30" s="165"/>
      <c r="U30" s="165"/>
      <c r="V30" s="165"/>
      <c r="W30" s="166"/>
    </row>
    <row r="31" spans="1:23" ht="59.25" customHeight="1">
      <c r="A31" s="46"/>
      <c r="B31" s="164"/>
      <c r="C31" s="165"/>
      <c r="D31" s="165"/>
      <c r="E31" s="165"/>
      <c r="F31" s="165"/>
      <c r="G31" s="165"/>
      <c r="H31" s="165"/>
      <c r="I31" s="165"/>
      <c r="J31" s="165"/>
      <c r="K31" s="165"/>
      <c r="L31" s="165"/>
      <c r="M31" s="165"/>
      <c r="N31" s="165"/>
      <c r="O31" s="165"/>
      <c r="P31" s="165"/>
      <c r="Q31" s="165"/>
      <c r="R31" s="165"/>
      <c r="S31" s="165"/>
      <c r="T31" s="165"/>
      <c r="U31" s="165"/>
      <c r="V31" s="165"/>
      <c r="W31" s="166"/>
    </row>
    <row r="32" spans="1:23" ht="59.25" customHeight="1">
      <c r="A32" s="46"/>
      <c r="B32" s="164"/>
      <c r="C32" s="165"/>
      <c r="D32" s="165"/>
      <c r="E32" s="165"/>
      <c r="F32" s="165"/>
      <c r="G32" s="165"/>
      <c r="H32" s="165"/>
      <c r="I32" s="165"/>
      <c r="J32" s="165"/>
      <c r="K32" s="165"/>
      <c r="L32" s="165"/>
      <c r="M32" s="165"/>
      <c r="N32" s="165"/>
      <c r="O32" s="165"/>
      <c r="P32" s="165"/>
      <c r="Q32" s="165"/>
      <c r="R32" s="165"/>
      <c r="S32" s="165"/>
      <c r="T32" s="165"/>
      <c r="U32" s="165"/>
      <c r="V32" s="165"/>
      <c r="W32" s="166"/>
    </row>
    <row r="33" spans="1:23" ht="59.25" customHeight="1">
      <c r="A33" s="46"/>
      <c r="B33" s="164"/>
      <c r="C33" s="165"/>
      <c r="D33" s="165"/>
      <c r="E33" s="165"/>
      <c r="F33" s="165"/>
      <c r="G33" s="165"/>
      <c r="H33" s="165"/>
      <c r="I33" s="165"/>
      <c r="J33" s="165"/>
      <c r="K33" s="165"/>
      <c r="L33" s="165"/>
      <c r="M33" s="165"/>
      <c r="N33" s="165"/>
      <c r="O33" s="165"/>
      <c r="P33" s="165"/>
      <c r="Q33" s="165"/>
      <c r="R33" s="165"/>
      <c r="S33" s="165"/>
      <c r="T33" s="165"/>
      <c r="U33" s="165"/>
      <c r="V33" s="165"/>
      <c r="W33" s="166"/>
    </row>
    <row r="34" spans="1:23" ht="59.25" customHeight="1">
      <c r="A34" s="46"/>
      <c r="B34" s="164"/>
      <c r="C34" s="165"/>
      <c r="D34" s="165"/>
      <c r="E34" s="165"/>
      <c r="F34" s="165"/>
      <c r="G34" s="165"/>
      <c r="H34" s="165"/>
      <c r="I34" s="165"/>
      <c r="J34" s="165"/>
      <c r="K34" s="165"/>
      <c r="L34" s="165"/>
      <c r="M34" s="165"/>
      <c r="N34" s="165"/>
      <c r="O34" s="165"/>
      <c r="P34" s="165"/>
      <c r="Q34" s="165"/>
      <c r="R34" s="165"/>
      <c r="S34" s="165"/>
      <c r="T34" s="165"/>
      <c r="U34" s="165"/>
      <c r="V34" s="165"/>
      <c r="W34" s="166"/>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２－３</v>
      </c>
      <c r="B1" s="34" t="str">
        <f ca="1">RIGHT(CELL("filename",B1),LEN(CELL("filename",B1))-FIND("]",CELL("filename",B1)))</f>
        <v>図工</v>
      </c>
      <c r="C1" s="35" t="s">
        <v>26</v>
      </c>
      <c r="D1" s="36" t="str">
        <f>A15</f>
        <v>奥山 大雅</v>
      </c>
      <c r="E1" s="36" t="str">
        <f>A16</f>
        <v>兼村 祐希</v>
      </c>
      <c r="F1" s="36" t="str">
        <f>A17</f>
        <v>熊谷 百桜</v>
      </c>
      <c r="G1" s="36" t="str">
        <f>A18</f>
        <v>小原 幸典</v>
      </c>
      <c r="H1" s="36" t="str">
        <f>A19</f>
        <v>清水 清豪</v>
      </c>
      <c r="I1" s="36" t="str">
        <f>A20</f>
        <v>鈴木 理子</v>
      </c>
      <c r="J1" s="36" t="str">
        <f>A21</f>
        <v>徳田 安須嘉</v>
      </c>
      <c r="K1" s="36" t="str">
        <f>A22</f>
        <v>松尾 怜奈</v>
      </c>
      <c r="L1" s="36" t="str">
        <f>A23</f>
        <v>丸茂 彰仁</v>
      </c>
      <c r="M1" s="36" t="str">
        <f>A24</f>
        <v>御子柴 希美</v>
      </c>
      <c r="N1" s="36" t="str">
        <f>A25</f>
        <v>峯村 梨奈</v>
      </c>
      <c r="O1" s="36" t="str">
        <f>A26</f>
        <v>百瀬 友紀</v>
      </c>
      <c r="P1" s="36" t="str">
        <f>A27</f>
        <v>矢崎 優希菜</v>
      </c>
      <c r="Q1" s="36" t="str">
        <f>A28</f>
        <v>山本 侑輝</v>
      </c>
      <c r="R1" s="36">
        <f>A29</f>
        <v>0</v>
      </c>
      <c r="S1" s="36">
        <f>A30</f>
        <v>0</v>
      </c>
      <c r="T1" s="36">
        <f>A31</f>
        <v>0</v>
      </c>
      <c r="U1" s="36">
        <f>A32</f>
        <v>0</v>
      </c>
      <c r="V1" s="36">
        <f>A33</f>
        <v>0</v>
      </c>
      <c r="W1" s="36">
        <f>A34</f>
        <v>0</v>
      </c>
      <c r="X1" s="37"/>
    </row>
    <row r="2" spans="1:25" ht="22.5" customHeight="1">
      <c r="A2" s="158" t="s">
        <v>180</v>
      </c>
      <c r="B2" s="84" t="s">
        <v>181</v>
      </c>
      <c r="C2" s="38" t="s">
        <v>27</v>
      </c>
      <c r="D2" s="39" t="s">
        <v>182</v>
      </c>
      <c r="E2" s="39" t="s">
        <v>182</v>
      </c>
      <c r="F2" s="39" t="s">
        <v>182</v>
      </c>
      <c r="G2" s="39" t="s">
        <v>182</v>
      </c>
      <c r="H2" s="39" t="s">
        <v>182</v>
      </c>
      <c r="I2" s="39" t="s">
        <v>182</v>
      </c>
      <c r="J2" s="39" t="s">
        <v>182</v>
      </c>
      <c r="K2" s="39" t="s">
        <v>182</v>
      </c>
      <c r="L2" s="39" t="s">
        <v>163</v>
      </c>
      <c r="M2" s="39" t="s">
        <v>182</v>
      </c>
      <c r="N2" s="39" t="s">
        <v>182</v>
      </c>
      <c r="O2" s="39" t="s">
        <v>182</v>
      </c>
      <c r="P2" s="39" t="s">
        <v>163</v>
      </c>
      <c r="Q2" s="39" t="s">
        <v>163</v>
      </c>
      <c r="R2" s="39"/>
      <c r="S2" s="39"/>
      <c r="T2" s="39"/>
      <c r="U2" s="39"/>
      <c r="V2" s="39"/>
      <c r="W2" s="39"/>
      <c r="X2" s="40" t="s">
        <v>182</v>
      </c>
      <c r="Y2" s="40">
        <v>1</v>
      </c>
    </row>
    <row r="3" spans="1:25" ht="22.5" customHeight="1">
      <c r="A3" s="159"/>
      <c r="B3" s="84" t="s">
        <v>183</v>
      </c>
      <c r="C3" s="38" t="s">
        <v>27</v>
      </c>
      <c r="D3" s="39" t="s">
        <v>182</v>
      </c>
      <c r="E3" s="39" t="s">
        <v>163</v>
      </c>
      <c r="F3" s="39" t="s">
        <v>182</v>
      </c>
      <c r="G3" s="39" t="s">
        <v>182</v>
      </c>
      <c r="H3" s="39" t="s">
        <v>182</v>
      </c>
      <c r="I3" s="39" t="s">
        <v>163</v>
      </c>
      <c r="J3" s="39" t="s">
        <v>182</v>
      </c>
      <c r="K3" s="39" t="s">
        <v>163</v>
      </c>
      <c r="L3" s="39" t="s">
        <v>163</v>
      </c>
      <c r="M3" s="39" t="s">
        <v>163</v>
      </c>
      <c r="N3" s="39" t="s">
        <v>182</v>
      </c>
      <c r="O3" s="39" t="s">
        <v>182</v>
      </c>
      <c r="P3" s="39" t="s">
        <v>163</v>
      </c>
      <c r="Q3" s="39" t="s">
        <v>163</v>
      </c>
      <c r="R3" s="39"/>
      <c r="S3" s="39"/>
      <c r="T3" s="39"/>
      <c r="U3" s="39"/>
      <c r="V3" s="39"/>
      <c r="W3" s="39"/>
      <c r="X3" s="40" t="s">
        <v>184</v>
      </c>
      <c r="Y3" s="40">
        <v>2</v>
      </c>
    </row>
    <row r="4" spans="1:25" ht="22.5" customHeight="1">
      <c r="A4" s="159"/>
      <c r="B4" s="84" t="s">
        <v>185</v>
      </c>
      <c r="C4" s="38" t="s">
        <v>27</v>
      </c>
      <c r="D4" s="39" t="s">
        <v>163</v>
      </c>
      <c r="E4" s="39" t="s">
        <v>182</v>
      </c>
      <c r="F4" s="39" t="s">
        <v>163</v>
      </c>
      <c r="G4" s="39" t="s">
        <v>182</v>
      </c>
      <c r="H4" s="39" t="s">
        <v>184</v>
      </c>
      <c r="I4" s="39" t="s">
        <v>184</v>
      </c>
      <c r="J4" s="39" t="s">
        <v>162</v>
      </c>
      <c r="K4" s="39" t="s">
        <v>182</v>
      </c>
      <c r="L4" s="39" t="s">
        <v>162</v>
      </c>
      <c r="M4" s="39" t="s">
        <v>182</v>
      </c>
      <c r="N4" s="39" t="s">
        <v>182</v>
      </c>
      <c r="O4" s="39" t="s">
        <v>182</v>
      </c>
      <c r="P4" s="39" t="s">
        <v>163</v>
      </c>
      <c r="Q4" s="39" t="s">
        <v>182</v>
      </c>
      <c r="R4" s="39"/>
      <c r="S4" s="39"/>
      <c r="T4" s="39"/>
      <c r="U4" s="39"/>
      <c r="V4" s="39"/>
      <c r="W4" s="39"/>
      <c r="X4" s="40" t="s">
        <v>165</v>
      </c>
      <c r="Y4" s="40">
        <v>3</v>
      </c>
    </row>
    <row r="5" spans="1:25" ht="22.5" customHeight="1">
      <c r="A5" s="159"/>
      <c r="B5" s="83" t="s">
        <v>186</v>
      </c>
      <c r="C5" s="38" t="s">
        <v>27</v>
      </c>
      <c r="D5" s="39" t="s">
        <v>163</v>
      </c>
      <c r="E5" s="39" t="s">
        <v>163</v>
      </c>
      <c r="F5" s="39" t="s">
        <v>184</v>
      </c>
      <c r="G5" s="39" t="s">
        <v>163</v>
      </c>
      <c r="H5" s="39" t="s">
        <v>163</v>
      </c>
      <c r="I5" s="39" t="s">
        <v>163</v>
      </c>
      <c r="J5" s="39" t="s">
        <v>182</v>
      </c>
      <c r="K5" s="39" t="s">
        <v>163</v>
      </c>
      <c r="L5" s="39" t="s">
        <v>163</v>
      </c>
      <c r="M5" s="39" t="s">
        <v>163</v>
      </c>
      <c r="N5" s="39" t="s">
        <v>163</v>
      </c>
      <c r="O5" s="39" t="s">
        <v>162</v>
      </c>
      <c r="P5" s="39" t="s">
        <v>163</v>
      </c>
      <c r="Q5" s="39" t="s">
        <v>162</v>
      </c>
      <c r="R5" s="39"/>
      <c r="S5" s="39"/>
      <c r="T5" s="39"/>
      <c r="U5" s="39"/>
      <c r="V5" s="39"/>
      <c r="W5" s="39"/>
      <c r="X5" s="40" t="s">
        <v>166</v>
      </c>
      <c r="Y5" s="40">
        <v>4</v>
      </c>
    </row>
    <row r="6" spans="1:25" ht="22.5" customHeight="1">
      <c r="A6" s="159"/>
      <c r="B6" s="41"/>
      <c r="C6" s="38" t="s">
        <v>27</v>
      </c>
      <c r="D6" s="39"/>
      <c r="E6" s="39"/>
      <c r="F6" s="39"/>
      <c r="G6" s="39"/>
      <c r="H6" s="39"/>
      <c r="I6" s="39"/>
      <c r="J6" s="39"/>
      <c r="K6" s="39"/>
      <c r="L6" s="39"/>
      <c r="M6" s="39"/>
      <c r="N6" s="39"/>
      <c r="O6" s="39"/>
      <c r="P6" s="39"/>
      <c r="Q6" s="39"/>
      <c r="R6" s="39"/>
      <c r="S6" s="39"/>
      <c r="T6" s="39"/>
      <c r="U6" s="39"/>
      <c r="V6" s="39"/>
      <c r="W6" s="39"/>
      <c r="X6" s="40"/>
      <c r="Y6" s="40">
        <v>5</v>
      </c>
    </row>
    <row r="7" spans="1:25" ht="22.5" customHeight="1">
      <c r="A7" s="159"/>
      <c r="B7" s="41"/>
      <c r="C7" s="38" t="s">
        <v>27</v>
      </c>
      <c r="D7" s="39"/>
      <c r="E7" s="39"/>
      <c r="F7" s="39"/>
      <c r="G7" s="39"/>
      <c r="H7" s="39"/>
      <c r="I7" s="39"/>
      <c r="J7" s="39"/>
      <c r="K7" s="39"/>
      <c r="L7" s="39"/>
      <c r="M7" s="39"/>
      <c r="N7" s="39"/>
      <c r="O7" s="39"/>
      <c r="P7" s="39"/>
      <c r="Q7" s="39"/>
      <c r="R7" s="39"/>
      <c r="S7" s="39"/>
      <c r="T7" s="39"/>
      <c r="U7" s="39"/>
      <c r="V7" s="39"/>
      <c r="W7" s="39"/>
      <c r="X7" s="40"/>
      <c r="Y7" s="40" t="s">
        <v>166</v>
      </c>
    </row>
    <row r="8" spans="1:25" ht="22.5" customHeight="1">
      <c r="A8" s="159"/>
      <c r="B8" s="41"/>
      <c r="C8" s="38" t="s">
        <v>27</v>
      </c>
      <c r="D8" s="39"/>
      <c r="E8" s="39"/>
      <c r="F8" s="39"/>
      <c r="G8" s="39"/>
      <c r="H8" s="39"/>
      <c r="I8" s="39"/>
      <c r="J8" s="39"/>
      <c r="K8" s="39"/>
      <c r="L8" s="39"/>
      <c r="M8" s="39"/>
      <c r="N8" s="39"/>
      <c r="O8" s="39"/>
      <c r="P8" s="39"/>
      <c r="Q8" s="39"/>
      <c r="R8" s="39"/>
      <c r="S8" s="39"/>
      <c r="T8" s="39"/>
      <c r="U8" s="39"/>
      <c r="V8" s="39"/>
      <c r="W8" s="39"/>
    </row>
    <row r="9" spans="1:25" ht="22.5" customHeight="1">
      <c r="A9" s="159"/>
      <c r="B9" s="41"/>
      <c r="C9" s="38" t="s">
        <v>27</v>
      </c>
      <c r="D9" s="39"/>
      <c r="E9" s="39"/>
      <c r="F9" s="39"/>
      <c r="G9" s="39"/>
      <c r="H9" s="39"/>
      <c r="I9" s="39"/>
      <c r="J9" s="39"/>
      <c r="K9" s="39"/>
      <c r="L9" s="39"/>
      <c r="M9" s="39"/>
      <c r="N9" s="39"/>
      <c r="O9" s="39"/>
      <c r="P9" s="39"/>
      <c r="Q9" s="39"/>
      <c r="R9" s="39"/>
      <c r="S9" s="39"/>
      <c r="T9" s="39"/>
      <c r="U9" s="39"/>
      <c r="V9" s="39"/>
      <c r="W9" s="39"/>
    </row>
    <row r="10" spans="1:25" ht="22.5" customHeight="1">
      <c r="A10" s="159"/>
      <c r="B10" s="41"/>
      <c r="C10" s="38" t="s">
        <v>27</v>
      </c>
      <c r="D10" s="39"/>
      <c r="E10" s="39"/>
      <c r="F10" s="39"/>
      <c r="G10" s="39"/>
      <c r="H10" s="39"/>
      <c r="I10" s="39"/>
      <c r="J10" s="39"/>
      <c r="K10" s="39"/>
      <c r="L10" s="39"/>
      <c r="M10" s="39"/>
      <c r="N10" s="39"/>
      <c r="O10" s="39"/>
      <c r="P10" s="39"/>
      <c r="Q10" s="39"/>
      <c r="R10" s="39"/>
      <c r="S10" s="39"/>
      <c r="T10" s="39"/>
      <c r="U10" s="39"/>
      <c r="V10" s="39"/>
      <c r="W10" s="39"/>
    </row>
    <row r="11" spans="1:25" ht="22.5" customHeight="1">
      <c r="A11" s="159"/>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60"/>
      <c r="B12" s="42"/>
      <c r="C12" s="43" t="s">
        <v>28</v>
      </c>
      <c r="D12" s="39">
        <v>5</v>
      </c>
      <c r="E12" s="39">
        <v>5</v>
      </c>
      <c r="F12" s="39">
        <v>4</v>
      </c>
      <c r="G12" s="39">
        <v>5</v>
      </c>
      <c r="H12" s="39">
        <v>4</v>
      </c>
      <c r="I12" s="39">
        <v>4</v>
      </c>
      <c r="J12" s="39">
        <v>4</v>
      </c>
      <c r="K12" s="39">
        <v>5</v>
      </c>
      <c r="L12" s="39">
        <v>4</v>
      </c>
      <c r="M12" s="39">
        <v>5</v>
      </c>
      <c r="N12" s="39">
        <v>5</v>
      </c>
      <c r="O12" s="39">
        <v>4</v>
      </c>
      <c r="P12" s="39">
        <v>5</v>
      </c>
      <c r="Q12" s="39">
        <v>4</v>
      </c>
      <c r="R12" s="39"/>
      <c r="S12" s="39"/>
      <c r="T12" s="39"/>
      <c r="U12" s="39"/>
      <c r="V12" s="39"/>
      <c r="W12" s="39"/>
    </row>
    <row r="13" spans="1:25" ht="26.25" customHeight="1">
      <c r="A13" s="44"/>
      <c r="B13" s="44"/>
      <c r="C13" s="68" t="s">
        <v>57</v>
      </c>
      <c r="D13" s="39"/>
      <c r="E13" s="39"/>
      <c r="F13" s="39"/>
      <c r="G13" s="39"/>
      <c r="H13" s="39"/>
      <c r="I13" s="39"/>
      <c r="J13" s="39"/>
      <c r="K13" s="39"/>
      <c r="L13" s="39"/>
      <c r="M13" s="39"/>
      <c r="N13" s="39"/>
      <c r="O13" s="39"/>
      <c r="P13" s="39"/>
      <c r="Q13" s="39"/>
      <c r="R13" s="69"/>
      <c r="S13" s="69"/>
      <c r="T13" s="69"/>
      <c r="U13" s="69"/>
      <c r="V13" s="69"/>
      <c r="W13" s="69"/>
    </row>
    <row r="14" spans="1:25" ht="22.5" customHeight="1">
      <c r="A14" s="45" t="s">
        <v>29</v>
      </c>
      <c r="B14" s="167" t="s">
        <v>30</v>
      </c>
      <c r="C14" s="168"/>
      <c r="D14" s="168"/>
      <c r="E14" s="168"/>
      <c r="F14" s="168"/>
      <c r="G14" s="168"/>
      <c r="H14" s="168"/>
      <c r="I14" s="168"/>
      <c r="J14" s="168"/>
      <c r="K14" s="168"/>
      <c r="L14" s="168"/>
      <c r="M14" s="168"/>
      <c r="N14" s="168"/>
      <c r="O14" s="168"/>
      <c r="P14" s="168"/>
      <c r="Q14" s="168"/>
      <c r="R14" s="168"/>
      <c r="S14" s="168"/>
      <c r="T14" s="168"/>
      <c r="U14" s="168"/>
      <c r="V14" s="168"/>
      <c r="W14" s="169"/>
    </row>
    <row r="15" spans="1:25" ht="59.25" customHeight="1">
      <c r="A15" s="46" t="s">
        <v>79</v>
      </c>
      <c r="B15" s="164" t="s">
        <v>187</v>
      </c>
      <c r="C15" s="165"/>
      <c r="D15" s="165"/>
      <c r="E15" s="165"/>
      <c r="F15" s="165"/>
      <c r="G15" s="165"/>
      <c r="H15" s="165"/>
      <c r="I15" s="165"/>
      <c r="J15" s="165"/>
      <c r="K15" s="165"/>
      <c r="L15" s="165"/>
      <c r="M15" s="165"/>
      <c r="N15" s="165"/>
      <c r="O15" s="165"/>
      <c r="P15" s="165"/>
      <c r="Q15" s="165"/>
      <c r="R15" s="165"/>
      <c r="S15" s="165"/>
      <c r="T15" s="165"/>
      <c r="U15" s="165"/>
      <c r="V15" s="165"/>
      <c r="W15" s="166"/>
    </row>
    <row r="16" spans="1:25" ht="59.25" customHeight="1">
      <c r="A16" s="46" t="s">
        <v>80</v>
      </c>
      <c r="B16" s="164" t="s">
        <v>188</v>
      </c>
      <c r="C16" s="165"/>
      <c r="D16" s="165"/>
      <c r="E16" s="165"/>
      <c r="F16" s="165"/>
      <c r="G16" s="165"/>
      <c r="H16" s="165"/>
      <c r="I16" s="165"/>
      <c r="J16" s="165"/>
      <c r="K16" s="165"/>
      <c r="L16" s="165"/>
      <c r="M16" s="165"/>
      <c r="N16" s="165"/>
      <c r="O16" s="165"/>
      <c r="P16" s="165"/>
      <c r="Q16" s="165"/>
      <c r="R16" s="165"/>
      <c r="S16" s="165"/>
      <c r="T16" s="165"/>
      <c r="U16" s="165"/>
      <c r="V16" s="165"/>
      <c r="W16" s="166"/>
    </row>
    <row r="17" spans="1:23" ht="59.25" customHeight="1">
      <c r="A17" s="46" t="s">
        <v>81</v>
      </c>
      <c r="B17" s="164" t="s">
        <v>189</v>
      </c>
      <c r="C17" s="165"/>
      <c r="D17" s="165"/>
      <c r="E17" s="165"/>
      <c r="F17" s="165"/>
      <c r="G17" s="165"/>
      <c r="H17" s="165"/>
      <c r="I17" s="165"/>
      <c r="J17" s="165"/>
      <c r="K17" s="165"/>
      <c r="L17" s="165"/>
      <c r="M17" s="165"/>
      <c r="N17" s="165"/>
      <c r="O17" s="165"/>
      <c r="P17" s="165"/>
      <c r="Q17" s="165"/>
      <c r="R17" s="165"/>
      <c r="S17" s="165"/>
      <c r="T17" s="165"/>
      <c r="U17" s="165"/>
      <c r="V17" s="165"/>
      <c r="W17" s="166"/>
    </row>
    <row r="18" spans="1:23" ht="59.25" customHeight="1">
      <c r="A18" s="46" t="s">
        <v>82</v>
      </c>
      <c r="B18" s="164" t="s">
        <v>190</v>
      </c>
      <c r="C18" s="165"/>
      <c r="D18" s="165"/>
      <c r="E18" s="165"/>
      <c r="F18" s="165"/>
      <c r="G18" s="165"/>
      <c r="H18" s="165"/>
      <c r="I18" s="165"/>
      <c r="J18" s="165"/>
      <c r="K18" s="165"/>
      <c r="L18" s="165"/>
      <c r="M18" s="165"/>
      <c r="N18" s="165"/>
      <c r="O18" s="165"/>
      <c r="P18" s="165"/>
      <c r="Q18" s="165"/>
      <c r="R18" s="165"/>
      <c r="S18" s="165"/>
      <c r="T18" s="165"/>
      <c r="U18" s="165"/>
      <c r="V18" s="165"/>
      <c r="W18" s="166"/>
    </row>
    <row r="19" spans="1:23" ht="59.25" customHeight="1">
      <c r="A19" s="46" t="s">
        <v>83</v>
      </c>
      <c r="B19" s="164" t="s">
        <v>191</v>
      </c>
      <c r="C19" s="165"/>
      <c r="D19" s="165"/>
      <c r="E19" s="165"/>
      <c r="F19" s="165"/>
      <c r="G19" s="165"/>
      <c r="H19" s="165"/>
      <c r="I19" s="165"/>
      <c r="J19" s="165"/>
      <c r="K19" s="165"/>
      <c r="L19" s="165"/>
      <c r="M19" s="165"/>
      <c r="N19" s="165"/>
      <c r="O19" s="165"/>
      <c r="P19" s="165"/>
      <c r="Q19" s="165"/>
      <c r="R19" s="165"/>
      <c r="S19" s="165"/>
      <c r="T19" s="165"/>
      <c r="U19" s="165"/>
      <c r="V19" s="165"/>
      <c r="W19" s="166"/>
    </row>
    <row r="20" spans="1:23" ht="59.25" customHeight="1">
      <c r="A20" s="46" t="s">
        <v>84</v>
      </c>
      <c r="B20" s="164" t="s">
        <v>192</v>
      </c>
      <c r="C20" s="165"/>
      <c r="D20" s="165"/>
      <c r="E20" s="165"/>
      <c r="F20" s="165"/>
      <c r="G20" s="165"/>
      <c r="H20" s="165"/>
      <c r="I20" s="165"/>
      <c r="J20" s="165"/>
      <c r="K20" s="165"/>
      <c r="L20" s="165"/>
      <c r="M20" s="165"/>
      <c r="N20" s="165"/>
      <c r="O20" s="165"/>
      <c r="P20" s="165"/>
      <c r="Q20" s="165"/>
      <c r="R20" s="165"/>
      <c r="S20" s="165"/>
      <c r="T20" s="165"/>
      <c r="U20" s="165"/>
      <c r="V20" s="165"/>
      <c r="W20" s="166"/>
    </row>
    <row r="21" spans="1:23" ht="59.25" customHeight="1">
      <c r="A21" s="46" t="s">
        <v>85</v>
      </c>
      <c r="B21" s="164" t="s">
        <v>193</v>
      </c>
      <c r="C21" s="165"/>
      <c r="D21" s="165"/>
      <c r="E21" s="165"/>
      <c r="F21" s="165"/>
      <c r="G21" s="165"/>
      <c r="H21" s="165"/>
      <c r="I21" s="165"/>
      <c r="J21" s="165"/>
      <c r="K21" s="165"/>
      <c r="L21" s="165"/>
      <c r="M21" s="165"/>
      <c r="N21" s="165"/>
      <c r="O21" s="165"/>
      <c r="P21" s="165"/>
      <c r="Q21" s="165"/>
      <c r="R21" s="165"/>
      <c r="S21" s="165"/>
      <c r="T21" s="165"/>
      <c r="U21" s="165"/>
      <c r="V21" s="165"/>
      <c r="W21" s="166"/>
    </row>
    <row r="22" spans="1:23" ht="59.25" customHeight="1">
      <c r="A22" s="46" t="s">
        <v>86</v>
      </c>
      <c r="B22" s="164" t="s">
        <v>194</v>
      </c>
      <c r="C22" s="165"/>
      <c r="D22" s="165"/>
      <c r="E22" s="165"/>
      <c r="F22" s="165"/>
      <c r="G22" s="165"/>
      <c r="H22" s="165"/>
      <c r="I22" s="165"/>
      <c r="J22" s="165"/>
      <c r="K22" s="165"/>
      <c r="L22" s="165"/>
      <c r="M22" s="165"/>
      <c r="N22" s="165"/>
      <c r="O22" s="165"/>
      <c r="P22" s="165"/>
      <c r="Q22" s="165"/>
      <c r="R22" s="165"/>
      <c r="S22" s="165"/>
      <c r="T22" s="165"/>
      <c r="U22" s="165"/>
      <c r="V22" s="165"/>
      <c r="W22" s="166"/>
    </row>
    <row r="23" spans="1:23" ht="59.25" customHeight="1">
      <c r="A23" s="46" t="s">
        <v>87</v>
      </c>
      <c r="B23" s="164" t="s">
        <v>195</v>
      </c>
      <c r="C23" s="165"/>
      <c r="D23" s="165"/>
      <c r="E23" s="165"/>
      <c r="F23" s="165"/>
      <c r="G23" s="165"/>
      <c r="H23" s="165"/>
      <c r="I23" s="165"/>
      <c r="J23" s="165"/>
      <c r="K23" s="165"/>
      <c r="L23" s="165"/>
      <c r="M23" s="165"/>
      <c r="N23" s="165"/>
      <c r="O23" s="165"/>
      <c r="P23" s="165"/>
      <c r="Q23" s="165"/>
      <c r="R23" s="165"/>
      <c r="S23" s="165"/>
      <c r="T23" s="165"/>
      <c r="U23" s="165"/>
      <c r="V23" s="165"/>
      <c r="W23" s="166"/>
    </row>
    <row r="24" spans="1:23" ht="59.25" customHeight="1">
      <c r="A24" s="46" t="s">
        <v>88</v>
      </c>
      <c r="B24" s="164" t="s">
        <v>196</v>
      </c>
      <c r="C24" s="165"/>
      <c r="D24" s="165"/>
      <c r="E24" s="165"/>
      <c r="F24" s="165"/>
      <c r="G24" s="165"/>
      <c r="H24" s="165"/>
      <c r="I24" s="165"/>
      <c r="J24" s="165"/>
      <c r="K24" s="165"/>
      <c r="L24" s="165"/>
      <c r="M24" s="165"/>
      <c r="N24" s="165"/>
      <c r="O24" s="165"/>
      <c r="P24" s="165"/>
      <c r="Q24" s="165"/>
      <c r="R24" s="165"/>
      <c r="S24" s="165"/>
      <c r="T24" s="165"/>
      <c r="U24" s="165"/>
      <c r="V24" s="165"/>
      <c r="W24" s="166"/>
    </row>
    <row r="25" spans="1:23" ht="59.25" customHeight="1">
      <c r="A25" s="46" t="s">
        <v>89</v>
      </c>
      <c r="B25" s="164" t="s">
        <v>197</v>
      </c>
      <c r="C25" s="165"/>
      <c r="D25" s="165"/>
      <c r="E25" s="165"/>
      <c r="F25" s="165"/>
      <c r="G25" s="165"/>
      <c r="H25" s="165"/>
      <c r="I25" s="165"/>
      <c r="J25" s="165"/>
      <c r="K25" s="165"/>
      <c r="L25" s="165"/>
      <c r="M25" s="165"/>
      <c r="N25" s="165"/>
      <c r="O25" s="165"/>
      <c r="P25" s="165"/>
      <c r="Q25" s="165"/>
      <c r="R25" s="165"/>
      <c r="S25" s="165"/>
      <c r="T25" s="165"/>
      <c r="U25" s="165"/>
      <c r="V25" s="165"/>
      <c r="W25" s="166"/>
    </row>
    <row r="26" spans="1:23" ht="59.25" customHeight="1">
      <c r="A26" s="46" t="s">
        <v>90</v>
      </c>
      <c r="B26" s="164" t="s">
        <v>198</v>
      </c>
      <c r="C26" s="165"/>
      <c r="D26" s="165"/>
      <c r="E26" s="165"/>
      <c r="F26" s="165"/>
      <c r="G26" s="165"/>
      <c r="H26" s="165"/>
      <c r="I26" s="165"/>
      <c r="J26" s="165"/>
      <c r="K26" s="165"/>
      <c r="L26" s="165"/>
      <c r="M26" s="165"/>
      <c r="N26" s="165"/>
      <c r="O26" s="165"/>
      <c r="P26" s="165"/>
      <c r="Q26" s="165"/>
      <c r="R26" s="165"/>
      <c r="S26" s="165"/>
      <c r="T26" s="165"/>
      <c r="U26" s="165"/>
      <c r="V26" s="165"/>
      <c r="W26" s="166"/>
    </row>
    <row r="27" spans="1:23" ht="59.25" customHeight="1">
      <c r="A27" s="46" t="s">
        <v>91</v>
      </c>
      <c r="B27" s="164" t="s">
        <v>199</v>
      </c>
      <c r="C27" s="165"/>
      <c r="D27" s="165"/>
      <c r="E27" s="165"/>
      <c r="F27" s="165"/>
      <c r="G27" s="165"/>
      <c r="H27" s="165"/>
      <c r="I27" s="165"/>
      <c r="J27" s="165"/>
      <c r="K27" s="165"/>
      <c r="L27" s="165"/>
      <c r="M27" s="165"/>
      <c r="N27" s="165"/>
      <c r="O27" s="165"/>
      <c r="P27" s="165"/>
      <c r="Q27" s="165"/>
      <c r="R27" s="165"/>
      <c r="S27" s="165"/>
      <c r="T27" s="165"/>
      <c r="U27" s="165"/>
      <c r="V27" s="165"/>
      <c r="W27" s="166"/>
    </row>
    <row r="28" spans="1:23" ht="59.25" customHeight="1">
      <c r="A28" s="46" t="s">
        <v>92</v>
      </c>
      <c r="B28" s="164" t="s">
        <v>200</v>
      </c>
      <c r="C28" s="165"/>
      <c r="D28" s="165"/>
      <c r="E28" s="165"/>
      <c r="F28" s="165"/>
      <c r="G28" s="165"/>
      <c r="H28" s="165"/>
      <c r="I28" s="165"/>
      <c r="J28" s="165"/>
      <c r="K28" s="165"/>
      <c r="L28" s="165"/>
      <c r="M28" s="165"/>
      <c r="N28" s="165"/>
      <c r="O28" s="165"/>
      <c r="P28" s="165"/>
      <c r="Q28" s="165"/>
      <c r="R28" s="165"/>
      <c r="S28" s="165"/>
      <c r="T28" s="165"/>
      <c r="U28" s="165"/>
      <c r="V28" s="165"/>
      <c r="W28" s="166"/>
    </row>
    <row r="29" spans="1:23" ht="59.25" customHeight="1">
      <c r="A29" s="46"/>
      <c r="B29" s="164"/>
      <c r="C29" s="165"/>
      <c r="D29" s="165"/>
      <c r="E29" s="165"/>
      <c r="F29" s="165"/>
      <c r="G29" s="165"/>
      <c r="H29" s="165"/>
      <c r="I29" s="165"/>
      <c r="J29" s="165"/>
      <c r="K29" s="165"/>
      <c r="L29" s="165"/>
      <c r="M29" s="165"/>
      <c r="N29" s="165"/>
      <c r="O29" s="165"/>
      <c r="P29" s="165"/>
      <c r="Q29" s="165"/>
      <c r="R29" s="165"/>
      <c r="S29" s="165"/>
      <c r="T29" s="165"/>
      <c r="U29" s="165"/>
      <c r="V29" s="165"/>
      <c r="W29" s="166"/>
    </row>
    <row r="30" spans="1:23" ht="59.25" customHeight="1">
      <c r="A30" s="46"/>
      <c r="B30" s="164"/>
      <c r="C30" s="165"/>
      <c r="D30" s="165"/>
      <c r="E30" s="165"/>
      <c r="F30" s="165"/>
      <c r="G30" s="165"/>
      <c r="H30" s="165"/>
      <c r="I30" s="165"/>
      <c r="J30" s="165"/>
      <c r="K30" s="165"/>
      <c r="L30" s="165"/>
      <c r="M30" s="165"/>
      <c r="N30" s="165"/>
      <c r="O30" s="165"/>
      <c r="P30" s="165"/>
      <c r="Q30" s="165"/>
      <c r="R30" s="165"/>
      <c r="S30" s="165"/>
      <c r="T30" s="165"/>
      <c r="U30" s="165"/>
      <c r="V30" s="165"/>
      <c r="W30" s="166"/>
    </row>
    <row r="31" spans="1:23" ht="59.25" customHeight="1">
      <c r="A31" s="46"/>
      <c r="B31" s="164"/>
      <c r="C31" s="165"/>
      <c r="D31" s="165"/>
      <c r="E31" s="165"/>
      <c r="F31" s="165"/>
      <c r="G31" s="165"/>
      <c r="H31" s="165"/>
      <c r="I31" s="165"/>
      <c r="J31" s="165"/>
      <c r="K31" s="165"/>
      <c r="L31" s="165"/>
      <c r="M31" s="165"/>
      <c r="N31" s="165"/>
      <c r="O31" s="165"/>
      <c r="P31" s="165"/>
      <c r="Q31" s="165"/>
      <c r="R31" s="165"/>
      <c r="S31" s="165"/>
      <c r="T31" s="165"/>
      <c r="U31" s="165"/>
      <c r="V31" s="165"/>
      <c r="W31" s="166"/>
    </row>
    <row r="32" spans="1:23" ht="59.25" customHeight="1">
      <c r="A32" s="46"/>
      <c r="B32" s="164"/>
      <c r="C32" s="165"/>
      <c r="D32" s="165"/>
      <c r="E32" s="165"/>
      <c r="F32" s="165"/>
      <c r="G32" s="165"/>
      <c r="H32" s="165"/>
      <c r="I32" s="165"/>
      <c r="J32" s="165"/>
      <c r="K32" s="165"/>
      <c r="L32" s="165"/>
      <c r="M32" s="165"/>
      <c r="N32" s="165"/>
      <c r="O32" s="165"/>
      <c r="P32" s="165"/>
      <c r="Q32" s="165"/>
      <c r="R32" s="165"/>
      <c r="S32" s="165"/>
      <c r="T32" s="165"/>
      <c r="U32" s="165"/>
      <c r="V32" s="165"/>
      <c r="W32" s="166"/>
    </row>
    <row r="33" spans="1:23" ht="59.25" customHeight="1">
      <c r="A33" s="46"/>
      <c r="B33" s="164"/>
      <c r="C33" s="165"/>
      <c r="D33" s="165"/>
      <c r="E33" s="165"/>
      <c r="F33" s="165"/>
      <c r="G33" s="165"/>
      <c r="H33" s="165"/>
      <c r="I33" s="165"/>
      <c r="J33" s="165"/>
      <c r="K33" s="165"/>
      <c r="L33" s="165"/>
      <c r="M33" s="165"/>
      <c r="N33" s="165"/>
      <c r="O33" s="165"/>
      <c r="P33" s="165"/>
      <c r="Q33" s="165"/>
      <c r="R33" s="165"/>
      <c r="S33" s="165"/>
      <c r="T33" s="165"/>
      <c r="U33" s="165"/>
      <c r="V33" s="165"/>
      <c r="W33" s="166"/>
    </row>
    <row r="34" spans="1:23" ht="59.25" customHeight="1">
      <c r="A34" s="46"/>
      <c r="B34" s="164"/>
      <c r="C34" s="165"/>
      <c r="D34" s="165"/>
      <c r="E34" s="165"/>
      <c r="F34" s="165"/>
      <c r="G34" s="165"/>
      <c r="H34" s="165"/>
      <c r="I34" s="165"/>
      <c r="J34" s="165"/>
      <c r="K34" s="165"/>
      <c r="L34" s="165"/>
      <c r="M34" s="165"/>
      <c r="N34" s="165"/>
      <c r="O34" s="165"/>
      <c r="P34" s="165"/>
      <c r="Q34" s="165"/>
      <c r="R34" s="165"/>
      <c r="S34" s="165"/>
      <c r="T34" s="165"/>
      <c r="U34" s="165"/>
      <c r="V34" s="165"/>
      <c r="W34" s="166"/>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4">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 type="list" allowBlank="1" showDropDown="1" showInputMessage="1" showErrorMessage="1" errorTitle="全角文字エラー" error="半角ABCを入れて下さい" sqref="V2:W11">
      <formula1>$X$2:$X$5</formula1>
    </dataValidation>
    <dataValidation type="list" allowBlank="1" showDropDown="1" showInputMessage="1" showErrorMessage="1" errorTitle="全角文字エラー" error="半角ABCを入れて下さい" sqref="D2:U11">
      <formula1>$X$2:$X$4</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２－３</v>
      </c>
      <c r="B1" s="34" t="str">
        <f ca="1">RIGHT(CELL("filename",B1),LEN(CELL("filename",B1))-FIND("]",CELL("filename",B1)))</f>
        <v>体育</v>
      </c>
      <c r="C1" s="35" t="s">
        <v>26</v>
      </c>
      <c r="D1" s="36" t="str">
        <f>A15</f>
        <v>奥山 大雅</v>
      </c>
      <c r="E1" s="36" t="str">
        <f>A16</f>
        <v>兼村 祐希</v>
      </c>
      <c r="F1" s="36" t="str">
        <f>A17</f>
        <v>熊谷 百桜</v>
      </c>
      <c r="G1" s="36" t="str">
        <f>A18</f>
        <v>小原 幸典</v>
      </c>
      <c r="H1" s="36" t="str">
        <f>A19</f>
        <v>清水 清豪</v>
      </c>
      <c r="I1" s="36" t="str">
        <f>A20</f>
        <v>鈴木 理子</v>
      </c>
      <c r="J1" s="36" t="str">
        <f>A21</f>
        <v>徳田 安須嘉</v>
      </c>
      <c r="K1" s="36" t="str">
        <f>A22</f>
        <v>松尾 怜奈</v>
      </c>
      <c r="L1" s="36" t="str">
        <f>A23</f>
        <v>丸茂 彰仁</v>
      </c>
      <c r="M1" s="36" t="str">
        <f>A24</f>
        <v>御子柴 希美</v>
      </c>
      <c r="N1" s="36" t="str">
        <f>A25</f>
        <v>峯村 梨奈</v>
      </c>
      <c r="O1" s="36" t="str">
        <f>A26</f>
        <v>百瀬 友紀</v>
      </c>
      <c r="P1" s="36" t="str">
        <f>A27</f>
        <v>矢崎 優希菜</v>
      </c>
      <c r="Q1" s="36" t="str">
        <f>A28</f>
        <v>山本 侑輝</v>
      </c>
      <c r="R1" s="36">
        <f>A29</f>
        <v>0</v>
      </c>
      <c r="S1" s="36">
        <f>A30</f>
        <v>0</v>
      </c>
      <c r="T1" s="36">
        <f>A31</f>
        <v>0</v>
      </c>
      <c r="U1" s="36">
        <f>A32</f>
        <v>0</v>
      </c>
      <c r="V1" s="36">
        <f>A33</f>
        <v>0</v>
      </c>
      <c r="W1" s="36">
        <f>A34</f>
        <v>0</v>
      </c>
      <c r="X1" s="37"/>
    </row>
    <row r="2" spans="1:25" ht="22.5" customHeight="1">
      <c r="A2" s="158" t="s">
        <v>201</v>
      </c>
      <c r="B2" s="85" t="s">
        <v>109</v>
      </c>
      <c r="C2" s="38" t="s">
        <v>27</v>
      </c>
      <c r="D2" s="39" t="s">
        <v>202</v>
      </c>
      <c r="E2" s="39" t="s">
        <v>202</v>
      </c>
      <c r="F2" s="39" t="s">
        <v>202</v>
      </c>
      <c r="G2" s="39" t="s">
        <v>203</v>
      </c>
      <c r="H2" s="39" t="s">
        <v>162</v>
      </c>
      <c r="I2" s="39" t="s">
        <v>203</v>
      </c>
      <c r="J2" s="39" t="s">
        <v>203</v>
      </c>
      <c r="K2" s="39" t="s">
        <v>203</v>
      </c>
      <c r="L2" s="39" t="s">
        <v>202</v>
      </c>
      <c r="M2" s="39" t="s">
        <v>202</v>
      </c>
      <c r="N2" s="39" t="s">
        <v>163</v>
      </c>
      <c r="O2" s="39" t="s">
        <v>202</v>
      </c>
      <c r="P2" s="39" t="s">
        <v>163</v>
      </c>
      <c r="Q2" s="39" t="s">
        <v>162</v>
      </c>
      <c r="R2" s="39"/>
      <c r="S2" s="39"/>
      <c r="T2" s="39"/>
      <c r="U2" s="39"/>
      <c r="V2" s="39"/>
      <c r="W2" s="39"/>
      <c r="X2" s="40" t="s">
        <v>163</v>
      </c>
      <c r="Y2" s="40">
        <v>1</v>
      </c>
    </row>
    <row r="3" spans="1:25" ht="22.5" customHeight="1">
      <c r="A3" s="159"/>
      <c r="B3" s="41" t="s">
        <v>110</v>
      </c>
      <c r="C3" s="38" t="s">
        <v>27</v>
      </c>
      <c r="D3" s="39" t="s">
        <v>202</v>
      </c>
      <c r="E3" s="39" t="s">
        <v>202</v>
      </c>
      <c r="F3" s="39" t="s">
        <v>204</v>
      </c>
      <c r="G3" s="39" t="s">
        <v>202</v>
      </c>
      <c r="H3" s="39" t="s">
        <v>202</v>
      </c>
      <c r="I3" s="39" t="s">
        <v>203</v>
      </c>
      <c r="J3" s="39" t="s">
        <v>162</v>
      </c>
      <c r="K3" s="39" t="s">
        <v>162</v>
      </c>
      <c r="L3" s="39" t="s">
        <v>162</v>
      </c>
      <c r="M3" s="39" t="s">
        <v>203</v>
      </c>
      <c r="N3" s="39" t="s">
        <v>202</v>
      </c>
      <c r="O3" s="39" t="s">
        <v>203</v>
      </c>
      <c r="P3" s="39" t="s">
        <v>162</v>
      </c>
      <c r="Q3" s="39" t="s">
        <v>202</v>
      </c>
      <c r="R3" s="39"/>
      <c r="S3" s="39"/>
      <c r="T3" s="39"/>
      <c r="U3" s="39"/>
      <c r="V3" s="39"/>
      <c r="W3" s="39"/>
      <c r="X3" s="40" t="s">
        <v>162</v>
      </c>
      <c r="Y3" s="40">
        <v>2</v>
      </c>
    </row>
    <row r="4" spans="1:25" ht="22.5" customHeight="1">
      <c r="A4" s="159"/>
      <c r="B4" s="41" t="s">
        <v>111</v>
      </c>
      <c r="C4" s="38" t="s">
        <v>27</v>
      </c>
      <c r="D4" s="39" t="s">
        <v>202</v>
      </c>
      <c r="E4" s="39" t="s">
        <v>163</v>
      </c>
      <c r="F4" s="39" t="s">
        <v>202</v>
      </c>
      <c r="G4" s="39" t="s">
        <v>202</v>
      </c>
      <c r="H4" s="39" t="s">
        <v>202</v>
      </c>
      <c r="I4" s="39" t="s">
        <v>203</v>
      </c>
      <c r="J4" s="39" t="s">
        <v>163</v>
      </c>
      <c r="K4" s="39" t="s">
        <v>163</v>
      </c>
      <c r="L4" s="39" t="s">
        <v>163</v>
      </c>
      <c r="M4" s="39" t="s">
        <v>162</v>
      </c>
      <c r="N4" s="39" t="s">
        <v>202</v>
      </c>
      <c r="O4" s="39" t="s">
        <v>162</v>
      </c>
      <c r="P4" s="39" t="s">
        <v>163</v>
      </c>
      <c r="Q4" s="39" t="s">
        <v>202</v>
      </c>
      <c r="R4" s="39"/>
      <c r="S4" s="39"/>
      <c r="T4" s="39"/>
      <c r="U4" s="39"/>
      <c r="V4" s="39"/>
      <c r="W4" s="39"/>
      <c r="X4" s="40" t="s">
        <v>204</v>
      </c>
      <c r="Y4" s="40">
        <v>3</v>
      </c>
    </row>
    <row r="5" spans="1:25" ht="22.5" customHeight="1">
      <c r="A5" s="159"/>
      <c r="B5" s="85" t="s">
        <v>205</v>
      </c>
      <c r="C5" s="38" t="s">
        <v>27</v>
      </c>
      <c r="D5" s="39" t="s">
        <v>163</v>
      </c>
      <c r="E5" s="39" t="s">
        <v>163</v>
      </c>
      <c r="F5" s="39" t="s">
        <v>202</v>
      </c>
      <c r="G5" s="39" t="s">
        <v>165</v>
      </c>
      <c r="H5" s="39" t="s">
        <v>162</v>
      </c>
      <c r="I5" s="39" t="s">
        <v>162</v>
      </c>
      <c r="J5" s="39" t="s">
        <v>165</v>
      </c>
      <c r="K5" s="39" t="s">
        <v>163</v>
      </c>
      <c r="L5" s="39" t="s">
        <v>202</v>
      </c>
      <c r="M5" s="39" t="s">
        <v>162</v>
      </c>
      <c r="N5" s="39" t="s">
        <v>203</v>
      </c>
      <c r="O5" s="39" t="s">
        <v>202</v>
      </c>
      <c r="P5" s="39" t="s">
        <v>202</v>
      </c>
      <c r="Q5" s="39" t="s">
        <v>162</v>
      </c>
      <c r="R5" s="39"/>
      <c r="S5" s="39"/>
      <c r="T5" s="39"/>
      <c r="U5" s="39"/>
      <c r="V5" s="39"/>
      <c r="W5" s="39"/>
      <c r="X5" s="40" t="s">
        <v>206</v>
      </c>
      <c r="Y5" s="40">
        <v>4</v>
      </c>
    </row>
    <row r="6" spans="1:25" ht="22.5" customHeight="1">
      <c r="A6" s="159"/>
      <c r="B6" s="41" t="s">
        <v>112</v>
      </c>
      <c r="C6" s="38" t="s">
        <v>27</v>
      </c>
      <c r="D6" s="39" t="s">
        <v>163</v>
      </c>
      <c r="E6" s="39" t="s">
        <v>162</v>
      </c>
      <c r="F6" s="39" t="s">
        <v>162</v>
      </c>
      <c r="G6" s="39" t="s">
        <v>202</v>
      </c>
      <c r="H6" s="39" t="s">
        <v>203</v>
      </c>
      <c r="I6" s="39" t="s">
        <v>162</v>
      </c>
      <c r="J6" s="39" t="s">
        <v>162</v>
      </c>
      <c r="K6" s="39" t="s">
        <v>202</v>
      </c>
      <c r="L6" s="39" t="s">
        <v>163</v>
      </c>
      <c r="M6" s="39" t="s">
        <v>162</v>
      </c>
      <c r="N6" s="39" t="s">
        <v>163</v>
      </c>
      <c r="O6" s="39" t="s">
        <v>202</v>
      </c>
      <c r="P6" s="39" t="s">
        <v>162</v>
      </c>
      <c r="Q6" s="39" t="s">
        <v>162</v>
      </c>
      <c r="R6" s="39"/>
      <c r="S6" s="39"/>
      <c r="T6" s="39"/>
      <c r="U6" s="39"/>
      <c r="V6" s="39"/>
      <c r="W6" s="39"/>
      <c r="X6" s="40"/>
      <c r="Y6" s="40">
        <v>5</v>
      </c>
    </row>
    <row r="7" spans="1:25" ht="22.5" customHeight="1">
      <c r="A7" s="159"/>
      <c r="B7" s="41"/>
      <c r="C7" s="38" t="s">
        <v>27</v>
      </c>
      <c r="D7" s="39"/>
      <c r="E7" s="39"/>
      <c r="F7" s="39"/>
      <c r="G7" s="39"/>
      <c r="H7" s="39"/>
      <c r="I7" s="39"/>
      <c r="J7" s="39"/>
      <c r="K7" s="39"/>
      <c r="L7" s="39"/>
      <c r="M7" s="39"/>
      <c r="N7" s="39"/>
      <c r="O7" s="39"/>
      <c r="P7" s="39"/>
      <c r="Q7" s="39"/>
      <c r="R7" s="39"/>
      <c r="S7" s="39"/>
      <c r="T7" s="39"/>
      <c r="U7" s="39"/>
      <c r="V7" s="39"/>
      <c r="W7" s="39"/>
      <c r="X7" s="40"/>
      <c r="Y7" s="40" t="s">
        <v>166</v>
      </c>
    </row>
    <row r="8" spans="1:25" ht="22.5" customHeight="1">
      <c r="A8" s="159"/>
      <c r="B8" s="41"/>
      <c r="C8" s="38" t="s">
        <v>27</v>
      </c>
      <c r="D8" s="39"/>
      <c r="E8" s="39"/>
      <c r="F8" s="39"/>
      <c r="G8" s="39"/>
      <c r="H8" s="39"/>
      <c r="I8" s="39"/>
      <c r="J8" s="39"/>
      <c r="K8" s="39"/>
      <c r="L8" s="39"/>
      <c r="M8" s="39"/>
      <c r="N8" s="39"/>
      <c r="O8" s="39"/>
      <c r="P8" s="39"/>
      <c r="Q8" s="39"/>
      <c r="R8" s="39"/>
      <c r="S8" s="39"/>
      <c r="T8" s="39"/>
      <c r="U8" s="39"/>
      <c r="V8" s="39"/>
      <c r="W8" s="39"/>
    </row>
    <row r="9" spans="1:25" ht="22.5" customHeight="1">
      <c r="A9" s="159"/>
      <c r="B9" s="41"/>
      <c r="C9" s="38" t="s">
        <v>27</v>
      </c>
      <c r="D9" s="39"/>
      <c r="E9" s="39"/>
      <c r="F9" s="39"/>
      <c r="G9" s="39"/>
      <c r="H9" s="39"/>
      <c r="I9" s="39"/>
      <c r="J9" s="39"/>
      <c r="K9" s="39"/>
      <c r="L9" s="39"/>
      <c r="M9" s="39"/>
      <c r="N9" s="39"/>
      <c r="O9" s="39"/>
      <c r="P9" s="39"/>
      <c r="Q9" s="39"/>
      <c r="R9" s="39"/>
      <c r="S9" s="39"/>
      <c r="T9" s="39"/>
      <c r="U9" s="39"/>
      <c r="V9" s="39"/>
      <c r="W9" s="39"/>
    </row>
    <row r="10" spans="1:25" ht="22.5" customHeight="1">
      <c r="A10" s="159"/>
      <c r="B10" s="41"/>
      <c r="C10" s="38" t="s">
        <v>27</v>
      </c>
      <c r="D10" s="39"/>
      <c r="E10" s="39"/>
      <c r="F10" s="39"/>
      <c r="G10" s="39"/>
      <c r="H10" s="39"/>
      <c r="I10" s="39"/>
      <c r="J10" s="39"/>
      <c r="K10" s="39"/>
      <c r="L10" s="39"/>
      <c r="M10" s="39"/>
      <c r="N10" s="39"/>
      <c r="O10" s="39"/>
      <c r="P10" s="39"/>
      <c r="Q10" s="39"/>
      <c r="R10" s="39"/>
      <c r="S10" s="39"/>
      <c r="T10" s="39"/>
      <c r="U10" s="39"/>
      <c r="V10" s="39"/>
      <c r="W10" s="39"/>
    </row>
    <row r="11" spans="1:25" ht="22.5" customHeight="1">
      <c r="A11" s="159"/>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60"/>
      <c r="B12" s="42"/>
      <c r="C12" s="43" t="s">
        <v>28</v>
      </c>
      <c r="D12" s="39">
        <v>5</v>
      </c>
      <c r="E12" s="39">
        <v>5</v>
      </c>
      <c r="F12" s="39">
        <v>4</v>
      </c>
      <c r="G12" s="39">
        <v>4</v>
      </c>
      <c r="H12" s="39">
        <v>4</v>
      </c>
      <c r="I12" s="39">
        <v>3</v>
      </c>
      <c r="J12" s="39">
        <v>3</v>
      </c>
      <c r="K12" s="39">
        <v>4</v>
      </c>
      <c r="L12" s="39">
        <v>5</v>
      </c>
      <c r="M12" s="39">
        <v>3</v>
      </c>
      <c r="N12" s="39">
        <v>5</v>
      </c>
      <c r="O12" s="39">
        <v>4</v>
      </c>
      <c r="P12" s="39">
        <v>4</v>
      </c>
      <c r="Q12" s="39">
        <v>4</v>
      </c>
      <c r="R12" s="39"/>
      <c r="S12" s="39"/>
      <c r="T12" s="39"/>
      <c r="U12" s="39"/>
      <c r="V12" s="39"/>
      <c r="W12" s="39"/>
    </row>
    <row r="13" spans="1:25" ht="26.25" customHeight="1">
      <c r="A13" s="44"/>
      <c r="B13" s="44"/>
      <c r="C13" s="68" t="s">
        <v>57</v>
      </c>
      <c r="D13" s="69"/>
      <c r="E13" s="69"/>
      <c r="F13" s="69"/>
      <c r="G13" s="69"/>
      <c r="H13" s="69"/>
      <c r="I13" s="69"/>
      <c r="J13" s="69"/>
      <c r="K13" s="69"/>
      <c r="L13" s="69"/>
      <c r="M13" s="69"/>
      <c r="N13" s="69"/>
      <c r="O13" s="69"/>
      <c r="P13" s="69"/>
      <c r="Q13" s="69"/>
      <c r="R13" s="69"/>
      <c r="S13" s="69"/>
      <c r="T13" s="69"/>
      <c r="U13" s="69"/>
      <c r="V13" s="69"/>
      <c r="W13" s="69"/>
    </row>
    <row r="14" spans="1:25" ht="22.5" customHeight="1">
      <c r="A14" s="45" t="s">
        <v>29</v>
      </c>
      <c r="B14" s="167" t="s">
        <v>30</v>
      </c>
      <c r="C14" s="168"/>
      <c r="D14" s="168"/>
      <c r="E14" s="168"/>
      <c r="F14" s="168"/>
      <c r="G14" s="168"/>
      <c r="H14" s="168"/>
      <c r="I14" s="168"/>
      <c r="J14" s="168"/>
      <c r="K14" s="168"/>
      <c r="L14" s="168"/>
      <c r="M14" s="168"/>
      <c r="N14" s="168"/>
      <c r="O14" s="168"/>
      <c r="P14" s="168"/>
      <c r="Q14" s="168"/>
      <c r="R14" s="168"/>
      <c r="S14" s="168"/>
      <c r="T14" s="168"/>
      <c r="U14" s="168"/>
      <c r="V14" s="168"/>
      <c r="W14" s="169"/>
    </row>
    <row r="15" spans="1:25" ht="59.25" customHeight="1">
      <c r="A15" s="46" t="s">
        <v>79</v>
      </c>
      <c r="B15" s="164"/>
      <c r="C15" s="165"/>
      <c r="D15" s="165"/>
      <c r="E15" s="165"/>
      <c r="F15" s="165"/>
      <c r="G15" s="165"/>
      <c r="H15" s="165"/>
      <c r="I15" s="165"/>
      <c r="J15" s="165"/>
      <c r="K15" s="165"/>
      <c r="L15" s="165"/>
      <c r="M15" s="165"/>
      <c r="N15" s="165"/>
      <c r="O15" s="165"/>
      <c r="P15" s="165"/>
      <c r="Q15" s="165"/>
      <c r="R15" s="165"/>
      <c r="S15" s="165"/>
      <c r="T15" s="165"/>
      <c r="U15" s="165"/>
      <c r="V15" s="165"/>
      <c r="W15" s="166"/>
    </row>
    <row r="16" spans="1:25" ht="59.25" customHeight="1">
      <c r="A16" s="46" t="s">
        <v>80</v>
      </c>
      <c r="B16" s="164"/>
      <c r="C16" s="165"/>
      <c r="D16" s="165"/>
      <c r="E16" s="165"/>
      <c r="F16" s="165"/>
      <c r="G16" s="165"/>
      <c r="H16" s="165"/>
      <c r="I16" s="165"/>
      <c r="J16" s="165"/>
      <c r="K16" s="165"/>
      <c r="L16" s="165"/>
      <c r="M16" s="165"/>
      <c r="N16" s="165"/>
      <c r="O16" s="165"/>
      <c r="P16" s="165"/>
      <c r="Q16" s="165"/>
      <c r="R16" s="165"/>
      <c r="S16" s="165"/>
      <c r="T16" s="165"/>
      <c r="U16" s="165"/>
      <c r="V16" s="165"/>
      <c r="W16" s="166"/>
    </row>
    <row r="17" spans="1:23" ht="59.25" customHeight="1">
      <c r="A17" s="46" t="s">
        <v>81</v>
      </c>
      <c r="B17" s="164" t="s">
        <v>113</v>
      </c>
      <c r="C17" s="165"/>
      <c r="D17" s="165"/>
      <c r="E17" s="165"/>
      <c r="F17" s="165"/>
      <c r="G17" s="165"/>
      <c r="H17" s="165"/>
      <c r="I17" s="165"/>
      <c r="J17" s="165"/>
      <c r="K17" s="165"/>
      <c r="L17" s="165"/>
      <c r="M17" s="165"/>
      <c r="N17" s="165"/>
      <c r="O17" s="165"/>
      <c r="P17" s="165"/>
      <c r="Q17" s="165"/>
      <c r="R17" s="165"/>
      <c r="S17" s="165"/>
      <c r="T17" s="165"/>
      <c r="U17" s="165"/>
      <c r="V17" s="165"/>
      <c r="W17" s="166"/>
    </row>
    <row r="18" spans="1:23" ht="59.25" customHeight="1">
      <c r="A18" s="46" t="s">
        <v>82</v>
      </c>
      <c r="B18" s="164" t="s">
        <v>114</v>
      </c>
      <c r="C18" s="165"/>
      <c r="D18" s="165"/>
      <c r="E18" s="165"/>
      <c r="F18" s="165"/>
      <c r="G18" s="165"/>
      <c r="H18" s="165"/>
      <c r="I18" s="165"/>
      <c r="J18" s="165"/>
      <c r="K18" s="165"/>
      <c r="L18" s="165"/>
      <c r="M18" s="165"/>
      <c r="N18" s="165"/>
      <c r="O18" s="165"/>
      <c r="P18" s="165"/>
      <c r="Q18" s="165"/>
      <c r="R18" s="165"/>
      <c r="S18" s="165"/>
      <c r="T18" s="165"/>
      <c r="U18" s="165"/>
      <c r="V18" s="165"/>
      <c r="W18" s="166"/>
    </row>
    <row r="19" spans="1:23" ht="59.25" customHeight="1">
      <c r="A19" s="46" t="s">
        <v>83</v>
      </c>
      <c r="B19" s="164"/>
      <c r="C19" s="165"/>
      <c r="D19" s="165"/>
      <c r="E19" s="165"/>
      <c r="F19" s="165"/>
      <c r="G19" s="165"/>
      <c r="H19" s="165"/>
      <c r="I19" s="165"/>
      <c r="J19" s="165"/>
      <c r="K19" s="165"/>
      <c r="L19" s="165"/>
      <c r="M19" s="165"/>
      <c r="N19" s="165"/>
      <c r="O19" s="165"/>
      <c r="P19" s="165"/>
      <c r="Q19" s="165"/>
      <c r="R19" s="165"/>
      <c r="S19" s="165"/>
      <c r="T19" s="165"/>
      <c r="U19" s="165"/>
      <c r="V19" s="165"/>
      <c r="W19" s="166"/>
    </row>
    <row r="20" spans="1:23" ht="59.25" customHeight="1">
      <c r="A20" s="46" t="s">
        <v>84</v>
      </c>
      <c r="B20" s="164"/>
      <c r="C20" s="165"/>
      <c r="D20" s="165"/>
      <c r="E20" s="165"/>
      <c r="F20" s="165"/>
      <c r="G20" s="165"/>
      <c r="H20" s="165"/>
      <c r="I20" s="165"/>
      <c r="J20" s="165"/>
      <c r="K20" s="165"/>
      <c r="L20" s="165"/>
      <c r="M20" s="165"/>
      <c r="N20" s="165"/>
      <c r="O20" s="165"/>
      <c r="P20" s="165"/>
      <c r="Q20" s="165"/>
      <c r="R20" s="165"/>
      <c r="S20" s="165"/>
      <c r="T20" s="165"/>
      <c r="U20" s="165"/>
      <c r="V20" s="165"/>
      <c r="W20" s="166"/>
    </row>
    <row r="21" spans="1:23" ht="59.25" customHeight="1">
      <c r="A21" s="46" t="s">
        <v>85</v>
      </c>
      <c r="B21" s="164" t="s">
        <v>115</v>
      </c>
      <c r="C21" s="165"/>
      <c r="D21" s="165"/>
      <c r="E21" s="165"/>
      <c r="F21" s="165"/>
      <c r="G21" s="165"/>
      <c r="H21" s="165"/>
      <c r="I21" s="165"/>
      <c r="J21" s="165"/>
      <c r="K21" s="165"/>
      <c r="L21" s="165"/>
      <c r="M21" s="165"/>
      <c r="N21" s="165"/>
      <c r="O21" s="165"/>
      <c r="P21" s="165"/>
      <c r="Q21" s="165"/>
      <c r="R21" s="165"/>
      <c r="S21" s="165"/>
      <c r="T21" s="165"/>
      <c r="U21" s="165"/>
      <c r="V21" s="165"/>
      <c r="W21" s="166"/>
    </row>
    <row r="22" spans="1:23" ht="59.25" customHeight="1">
      <c r="A22" s="46" t="s">
        <v>86</v>
      </c>
      <c r="B22" s="164"/>
      <c r="C22" s="165"/>
      <c r="D22" s="165"/>
      <c r="E22" s="165"/>
      <c r="F22" s="165"/>
      <c r="G22" s="165"/>
      <c r="H22" s="165"/>
      <c r="I22" s="165"/>
      <c r="J22" s="165"/>
      <c r="K22" s="165"/>
      <c r="L22" s="165"/>
      <c r="M22" s="165"/>
      <c r="N22" s="165"/>
      <c r="O22" s="165"/>
      <c r="P22" s="165"/>
      <c r="Q22" s="165"/>
      <c r="R22" s="165"/>
      <c r="S22" s="165"/>
      <c r="T22" s="165"/>
      <c r="U22" s="165"/>
      <c r="V22" s="165"/>
      <c r="W22" s="166"/>
    </row>
    <row r="23" spans="1:23" ht="59.25" customHeight="1">
      <c r="A23" s="46" t="s">
        <v>87</v>
      </c>
      <c r="B23" s="164"/>
      <c r="C23" s="165"/>
      <c r="D23" s="165"/>
      <c r="E23" s="165"/>
      <c r="F23" s="165"/>
      <c r="G23" s="165"/>
      <c r="H23" s="165"/>
      <c r="I23" s="165"/>
      <c r="J23" s="165"/>
      <c r="K23" s="165"/>
      <c r="L23" s="165"/>
      <c r="M23" s="165"/>
      <c r="N23" s="165"/>
      <c r="O23" s="165"/>
      <c r="P23" s="165"/>
      <c r="Q23" s="165"/>
      <c r="R23" s="165"/>
      <c r="S23" s="165"/>
      <c r="T23" s="165"/>
      <c r="U23" s="165"/>
      <c r="V23" s="165"/>
      <c r="W23" s="166"/>
    </row>
    <row r="24" spans="1:23" ht="59.25" customHeight="1">
      <c r="A24" s="46" t="s">
        <v>88</v>
      </c>
      <c r="B24" s="164"/>
      <c r="C24" s="165"/>
      <c r="D24" s="165"/>
      <c r="E24" s="165"/>
      <c r="F24" s="165"/>
      <c r="G24" s="165"/>
      <c r="H24" s="165"/>
      <c r="I24" s="165"/>
      <c r="J24" s="165"/>
      <c r="K24" s="165"/>
      <c r="L24" s="165"/>
      <c r="M24" s="165"/>
      <c r="N24" s="165"/>
      <c r="O24" s="165"/>
      <c r="P24" s="165"/>
      <c r="Q24" s="165"/>
      <c r="R24" s="165"/>
      <c r="S24" s="165"/>
      <c r="T24" s="165"/>
      <c r="U24" s="165"/>
      <c r="V24" s="165"/>
      <c r="W24" s="166"/>
    </row>
    <row r="25" spans="1:23" ht="59.25" customHeight="1">
      <c r="A25" s="46" t="s">
        <v>89</v>
      </c>
      <c r="B25" s="164"/>
      <c r="C25" s="165"/>
      <c r="D25" s="165"/>
      <c r="E25" s="165"/>
      <c r="F25" s="165"/>
      <c r="G25" s="165"/>
      <c r="H25" s="165"/>
      <c r="I25" s="165"/>
      <c r="J25" s="165"/>
      <c r="K25" s="165"/>
      <c r="L25" s="165"/>
      <c r="M25" s="165"/>
      <c r="N25" s="165"/>
      <c r="O25" s="165"/>
      <c r="P25" s="165"/>
      <c r="Q25" s="165"/>
      <c r="R25" s="165"/>
      <c r="S25" s="165"/>
      <c r="T25" s="165"/>
      <c r="U25" s="165"/>
      <c r="V25" s="165"/>
      <c r="W25" s="166"/>
    </row>
    <row r="26" spans="1:23" ht="59.25" customHeight="1">
      <c r="A26" s="46" t="s">
        <v>90</v>
      </c>
      <c r="B26" s="164"/>
      <c r="C26" s="165"/>
      <c r="D26" s="165"/>
      <c r="E26" s="165"/>
      <c r="F26" s="165"/>
      <c r="G26" s="165"/>
      <c r="H26" s="165"/>
      <c r="I26" s="165"/>
      <c r="J26" s="165"/>
      <c r="K26" s="165"/>
      <c r="L26" s="165"/>
      <c r="M26" s="165"/>
      <c r="N26" s="165"/>
      <c r="O26" s="165"/>
      <c r="P26" s="165"/>
      <c r="Q26" s="165"/>
      <c r="R26" s="165"/>
      <c r="S26" s="165"/>
      <c r="T26" s="165"/>
      <c r="U26" s="165"/>
      <c r="V26" s="165"/>
      <c r="W26" s="166"/>
    </row>
    <row r="27" spans="1:23" ht="59.25" customHeight="1">
      <c r="A27" s="46" t="s">
        <v>91</v>
      </c>
      <c r="B27" s="164"/>
      <c r="C27" s="165"/>
      <c r="D27" s="165"/>
      <c r="E27" s="165"/>
      <c r="F27" s="165"/>
      <c r="G27" s="165"/>
      <c r="H27" s="165"/>
      <c r="I27" s="165"/>
      <c r="J27" s="165"/>
      <c r="K27" s="165"/>
      <c r="L27" s="165"/>
      <c r="M27" s="165"/>
      <c r="N27" s="165"/>
      <c r="O27" s="165"/>
      <c r="P27" s="165"/>
      <c r="Q27" s="165"/>
      <c r="R27" s="165"/>
      <c r="S27" s="165"/>
      <c r="T27" s="165"/>
      <c r="U27" s="165"/>
      <c r="V27" s="165"/>
      <c r="W27" s="166"/>
    </row>
    <row r="28" spans="1:23" ht="59.25" customHeight="1">
      <c r="A28" s="46" t="s">
        <v>92</v>
      </c>
      <c r="B28" s="164"/>
      <c r="C28" s="165"/>
      <c r="D28" s="165"/>
      <c r="E28" s="165"/>
      <c r="F28" s="165"/>
      <c r="G28" s="165"/>
      <c r="H28" s="165"/>
      <c r="I28" s="165"/>
      <c r="J28" s="165"/>
      <c r="K28" s="165"/>
      <c r="L28" s="165"/>
      <c r="M28" s="165"/>
      <c r="N28" s="165"/>
      <c r="O28" s="165"/>
      <c r="P28" s="165"/>
      <c r="Q28" s="165"/>
      <c r="R28" s="165"/>
      <c r="S28" s="165"/>
      <c r="T28" s="165"/>
      <c r="U28" s="165"/>
      <c r="V28" s="165"/>
      <c r="W28" s="166"/>
    </row>
    <row r="29" spans="1:23" ht="59.25" customHeight="1">
      <c r="A29" s="46"/>
      <c r="B29" s="164"/>
      <c r="C29" s="165"/>
      <c r="D29" s="165"/>
      <c r="E29" s="165"/>
      <c r="F29" s="165"/>
      <c r="G29" s="165"/>
      <c r="H29" s="165"/>
      <c r="I29" s="165"/>
      <c r="J29" s="165"/>
      <c r="K29" s="165"/>
      <c r="L29" s="165"/>
      <c r="M29" s="165"/>
      <c r="N29" s="165"/>
      <c r="O29" s="165"/>
      <c r="P29" s="165"/>
      <c r="Q29" s="165"/>
      <c r="R29" s="165"/>
      <c r="S29" s="165"/>
      <c r="T29" s="165"/>
      <c r="U29" s="165"/>
      <c r="V29" s="165"/>
      <c r="W29" s="166"/>
    </row>
    <row r="30" spans="1:23" ht="59.25" customHeight="1">
      <c r="A30" s="46"/>
      <c r="B30" s="164"/>
      <c r="C30" s="165"/>
      <c r="D30" s="165"/>
      <c r="E30" s="165"/>
      <c r="F30" s="165"/>
      <c r="G30" s="165"/>
      <c r="H30" s="165"/>
      <c r="I30" s="165"/>
      <c r="J30" s="165"/>
      <c r="K30" s="165"/>
      <c r="L30" s="165"/>
      <c r="M30" s="165"/>
      <c r="N30" s="165"/>
      <c r="O30" s="165"/>
      <c r="P30" s="165"/>
      <c r="Q30" s="165"/>
      <c r="R30" s="165"/>
      <c r="S30" s="165"/>
      <c r="T30" s="165"/>
      <c r="U30" s="165"/>
      <c r="V30" s="165"/>
      <c r="W30" s="166"/>
    </row>
    <row r="31" spans="1:23" ht="59.25" customHeight="1">
      <c r="A31" s="46"/>
      <c r="B31" s="164"/>
      <c r="C31" s="165"/>
      <c r="D31" s="165"/>
      <c r="E31" s="165"/>
      <c r="F31" s="165"/>
      <c r="G31" s="165"/>
      <c r="H31" s="165"/>
      <c r="I31" s="165"/>
      <c r="J31" s="165"/>
      <c r="K31" s="165"/>
      <c r="L31" s="165"/>
      <c r="M31" s="165"/>
      <c r="N31" s="165"/>
      <c r="O31" s="165"/>
      <c r="P31" s="165"/>
      <c r="Q31" s="165"/>
      <c r="R31" s="165"/>
      <c r="S31" s="165"/>
      <c r="T31" s="165"/>
      <c r="U31" s="165"/>
      <c r="V31" s="165"/>
      <c r="W31" s="166"/>
    </row>
    <row r="32" spans="1:23" ht="59.25" customHeight="1">
      <c r="A32" s="46"/>
      <c r="B32" s="164"/>
      <c r="C32" s="165"/>
      <c r="D32" s="165"/>
      <c r="E32" s="165"/>
      <c r="F32" s="165"/>
      <c r="G32" s="165"/>
      <c r="H32" s="165"/>
      <c r="I32" s="165"/>
      <c r="J32" s="165"/>
      <c r="K32" s="165"/>
      <c r="L32" s="165"/>
      <c r="M32" s="165"/>
      <c r="N32" s="165"/>
      <c r="O32" s="165"/>
      <c r="P32" s="165"/>
      <c r="Q32" s="165"/>
      <c r="R32" s="165"/>
      <c r="S32" s="165"/>
      <c r="T32" s="165"/>
      <c r="U32" s="165"/>
      <c r="V32" s="165"/>
      <c r="W32" s="166"/>
    </row>
    <row r="33" spans="1:23" ht="59.25" customHeight="1">
      <c r="A33" s="46"/>
      <c r="B33" s="164"/>
      <c r="C33" s="165"/>
      <c r="D33" s="165"/>
      <c r="E33" s="165"/>
      <c r="F33" s="165"/>
      <c r="G33" s="165"/>
      <c r="H33" s="165"/>
      <c r="I33" s="165"/>
      <c r="J33" s="165"/>
      <c r="K33" s="165"/>
      <c r="L33" s="165"/>
      <c r="M33" s="165"/>
      <c r="N33" s="165"/>
      <c r="O33" s="165"/>
      <c r="P33" s="165"/>
      <c r="Q33" s="165"/>
      <c r="R33" s="165"/>
      <c r="S33" s="165"/>
      <c r="T33" s="165"/>
      <c r="U33" s="165"/>
      <c r="V33" s="165"/>
      <c r="W33" s="166"/>
    </row>
    <row r="34" spans="1:23" ht="59.25" customHeight="1">
      <c r="A34" s="46"/>
      <c r="B34" s="164"/>
      <c r="C34" s="165"/>
      <c r="D34" s="165"/>
      <c r="E34" s="165"/>
      <c r="F34" s="165"/>
      <c r="G34" s="165"/>
      <c r="H34" s="165"/>
      <c r="I34" s="165"/>
      <c r="J34" s="165"/>
      <c r="K34" s="165"/>
      <c r="L34" s="165"/>
      <c r="M34" s="165"/>
      <c r="N34" s="165"/>
      <c r="O34" s="165"/>
      <c r="P34" s="165"/>
      <c r="Q34" s="165"/>
      <c r="R34" s="165"/>
      <c r="S34" s="165"/>
      <c r="T34" s="165"/>
      <c r="U34" s="165"/>
      <c r="V34" s="165"/>
      <c r="W34" s="166"/>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6"/>
  <sheetViews>
    <sheetView workbookViewId="0">
      <selection sqref="A1:XFD1048576"/>
    </sheetView>
  </sheetViews>
  <sheetFormatPr defaultRowHeight="13.5"/>
  <cols>
    <col min="1" max="1" width="13.5" style="8" customWidth="1"/>
    <col min="2" max="2" width="147.75" style="8" customWidth="1"/>
    <col min="3" max="16384" width="9" style="8"/>
  </cols>
  <sheetData>
    <row r="1" spans="1:3" ht="27.75" customHeight="1">
      <c r="A1" s="33" t="str">
        <f ca="1">MID(CELL("filename",A1),FIND("[",CELL("filename",A1))+1,3)</f>
        <v>２－３</v>
      </c>
      <c r="B1" s="34" t="str">
        <f ca="1">RIGHT(CELL("filename",B1),LEN(CELL("filename",B1))-FIND("]",CELL("filename",B1)))</f>
        <v>道徳</v>
      </c>
      <c r="C1" s="86" t="s">
        <v>31</v>
      </c>
    </row>
    <row r="2" spans="1:3" ht="22.5" customHeight="1">
      <c r="A2" s="45" t="s">
        <v>29</v>
      </c>
      <c r="B2" s="87" t="s">
        <v>7</v>
      </c>
      <c r="C2" s="8" t="s">
        <v>207</v>
      </c>
    </row>
    <row r="3" spans="1:3" ht="59.25" customHeight="1">
      <c r="A3" s="46" t="s">
        <v>79</v>
      </c>
      <c r="B3" s="70" t="s">
        <v>116</v>
      </c>
      <c r="C3" s="8">
        <f>LEN(B3)</f>
        <v>156</v>
      </c>
    </row>
    <row r="4" spans="1:3" ht="59.25" customHeight="1">
      <c r="A4" s="46" t="s">
        <v>80</v>
      </c>
      <c r="B4" s="88" t="s">
        <v>117</v>
      </c>
      <c r="C4" s="8">
        <f t="shared" ref="C4:C22" si="0">LEN(B4)</f>
        <v>174</v>
      </c>
    </row>
    <row r="5" spans="1:3" ht="59.25" customHeight="1">
      <c r="A5" s="46" t="s">
        <v>81</v>
      </c>
      <c r="B5" s="70" t="s">
        <v>118</v>
      </c>
      <c r="C5" s="8">
        <f t="shared" si="0"/>
        <v>170</v>
      </c>
    </row>
    <row r="6" spans="1:3" ht="59.25" customHeight="1">
      <c r="A6" s="46" t="s">
        <v>82</v>
      </c>
      <c r="B6" s="70" t="s">
        <v>119</v>
      </c>
      <c r="C6" s="8">
        <f t="shared" si="0"/>
        <v>169</v>
      </c>
    </row>
    <row r="7" spans="1:3" ht="59.25" customHeight="1">
      <c r="A7" s="46" t="s">
        <v>83</v>
      </c>
      <c r="B7" s="88" t="s">
        <v>120</v>
      </c>
      <c r="C7" s="8">
        <f t="shared" si="0"/>
        <v>151</v>
      </c>
    </row>
    <row r="8" spans="1:3" ht="59.25" customHeight="1">
      <c r="A8" s="46" t="s">
        <v>84</v>
      </c>
      <c r="B8" s="88" t="s">
        <v>121</v>
      </c>
      <c r="C8" s="8">
        <f t="shared" si="0"/>
        <v>151</v>
      </c>
    </row>
    <row r="9" spans="1:3" ht="59.25" customHeight="1">
      <c r="A9" s="46" t="s">
        <v>85</v>
      </c>
      <c r="B9" s="70" t="s">
        <v>122</v>
      </c>
      <c r="C9" s="8">
        <f t="shared" si="0"/>
        <v>164</v>
      </c>
    </row>
    <row r="10" spans="1:3" ht="59.25" customHeight="1">
      <c r="A10" s="46" t="s">
        <v>86</v>
      </c>
      <c r="B10" s="70" t="s">
        <v>208</v>
      </c>
      <c r="C10" s="8">
        <f t="shared" si="0"/>
        <v>162</v>
      </c>
    </row>
    <row r="11" spans="1:3" ht="59.25" customHeight="1">
      <c r="A11" s="46" t="s">
        <v>87</v>
      </c>
      <c r="B11" s="88" t="s">
        <v>123</v>
      </c>
      <c r="C11" s="8">
        <f t="shared" si="0"/>
        <v>169</v>
      </c>
    </row>
    <row r="12" spans="1:3" ht="59.25" customHeight="1">
      <c r="A12" s="46" t="s">
        <v>88</v>
      </c>
      <c r="B12" s="70" t="s">
        <v>124</v>
      </c>
      <c r="C12" s="8">
        <f t="shared" si="0"/>
        <v>166</v>
      </c>
    </row>
    <row r="13" spans="1:3" ht="59.25" customHeight="1">
      <c r="A13" s="46" t="s">
        <v>89</v>
      </c>
      <c r="B13" s="70" t="s">
        <v>125</v>
      </c>
      <c r="C13" s="8">
        <f t="shared" si="0"/>
        <v>172</v>
      </c>
    </row>
    <row r="14" spans="1:3" ht="59.25" customHeight="1">
      <c r="A14" s="46" t="s">
        <v>90</v>
      </c>
      <c r="B14" s="88" t="s">
        <v>126</v>
      </c>
      <c r="C14" s="8">
        <f t="shared" si="0"/>
        <v>172</v>
      </c>
    </row>
    <row r="15" spans="1:3" ht="59.25" customHeight="1">
      <c r="A15" s="46" t="s">
        <v>91</v>
      </c>
      <c r="B15" s="88" t="s">
        <v>127</v>
      </c>
      <c r="C15" s="8">
        <f t="shared" si="0"/>
        <v>157</v>
      </c>
    </row>
    <row r="16" spans="1:3" ht="59.25" customHeight="1">
      <c r="A16" s="46" t="s">
        <v>92</v>
      </c>
      <c r="B16" s="88" t="s">
        <v>128</v>
      </c>
      <c r="C16" s="8">
        <f t="shared" si="0"/>
        <v>171</v>
      </c>
    </row>
    <row r="17" spans="1:3" ht="59.25" customHeight="1">
      <c r="A17" s="46"/>
      <c r="B17" s="89"/>
      <c r="C17" s="8">
        <f t="shared" si="0"/>
        <v>0</v>
      </c>
    </row>
    <row r="18" spans="1:3" ht="59.25" customHeight="1">
      <c r="A18" s="46"/>
      <c r="B18" s="89"/>
      <c r="C18" s="8">
        <f t="shared" si="0"/>
        <v>0</v>
      </c>
    </row>
    <row r="19" spans="1:3" ht="59.25" customHeight="1">
      <c r="A19" s="46"/>
      <c r="B19" s="89"/>
      <c r="C19" s="8">
        <f t="shared" si="0"/>
        <v>0</v>
      </c>
    </row>
    <row r="20" spans="1:3" ht="59.25" customHeight="1">
      <c r="A20" s="46"/>
      <c r="B20" s="89"/>
      <c r="C20" s="8">
        <f t="shared" si="0"/>
        <v>0</v>
      </c>
    </row>
    <row r="21" spans="1:3" ht="59.25" customHeight="1">
      <c r="A21" s="46"/>
      <c r="B21" s="89"/>
      <c r="C21" s="8">
        <f t="shared" si="0"/>
        <v>0</v>
      </c>
    </row>
    <row r="22" spans="1:3" ht="59.25" customHeight="1">
      <c r="A22" s="46"/>
      <c r="B22" s="89"/>
      <c r="C22" s="8">
        <f t="shared" si="0"/>
        <v>0</v>
      </c>
    </row>
    <row r="23" spans="1:3" ht="22.5" customHeight="1"/>
    <row r="24" spans="1:3" ht="22.5" customHeight="1"/>
    <row r="25" spans="1:3" ht="22.5" customHeight="1"/>
    <row r="26" spans="1:3" ht="22.5" customHeight="1"/>
    <row r="27" spans="1:3" ht="17.25" customHeight="1"/>
    <row r="28" spans="1:3" ht="17.25" customHeight="1"/>
    <row r="29" spans="1:3" ht="17.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sheetData>
  <phoneticPr fontId="1"/>
  <conditionalFormatting sqref="C3:C22">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X192"/>
  <sheetViews>
    <sheetView workbookViewId="0">
      <selection sqref="A1:XFD1048576"/>
    </sheetView>
  </sheetViews>
  <sheetFormatPr defaultRowHeight="13.5"/>
  <cols>
    <col min="1" max="1" width="13.5" style="74" customWidth="1"/>
    <col min="2" max="2" width="79.125" style="74" customWidth="1"/>
    <col min="3" max="3" width="9.375" style="74" customWidth="1"/>
    <col min="4" max="23" width="4.125" style="74" customWidth="1"/>
    <col min="24" max="24" width="6" style="74" customWidth="1"/>
    <col min="25" max="16384" width="9" style="74"/>
  </cols>
  <sheetData>
    <row r="1" spans="1:24" ht="85.5" customHeight="1">
      <c r="A1" s="47" t="str">
        <f ca="1">MID(CELL("filename",A1),FIND("[",CELL("filename",A1))+1,3)</f>
        <v>２－３</v>
      </c>
      <c r="B1" s="47" t="s">
        <v>32</v>
      </c>
      <c r="C1" s="48" t="s">
        <v>26</v>
      </c>
      <c r="D1" s="36" t="str">
        <f>A13</f>
        <v>奥山 大雅</v>
      </c>
      <c r="E1" s="36" t="str">
        <f>A14</f>
        <v>兼村 祐希</v>
      </c>
      <c r="F1" s="36" t="str">
        <f>A15</f>
        <v>熊谷 百桜</v>
      </c>
      <c r="G1" s="36" t="str">
        <f>A16</f>
        <v>小原 幸典</v>
      </c>
      <c r="H1" s="36" t="str">
        <f>A17</f>
        <v>清水 清豪</v>
      </c>
      <c r="I1" s="36" t="str">
        <f>A18</f>
        <v>鈴木 理子</v>
      </c>
      <c r="J1" s="36" t="str">
        <f>A19</f>
        <v>徳田 安須嘉</v>
      </c>
      <c r="K1" s="36" t="str">
        <f>A20</f>
        <v>松尾 怜奈</v>
      </c>
      <c r="L1" s="36" t="str">
        <f>A21</f>
        <v>丸茂 彰仁</v>
      </c>
      <c r="M1" s="36" t="str">
        <f>A22</f>
        <v>御子柴 希美</v>
      </c>
      <c r="N1" s="36" t="str">
        <f>A23</f>
        <v>峯村 梨奈</v>
      </c>
      <c r="O1" s="36" t="str">
        <f>A24</f>
        <v>百瀬 友紀</v>
      </c>
      <c r="P1" s="36" t="str">
        <f>A25</f>
        <v>矢崎 優希菜</v>
      </c>
      <c r="Q1" s="36" t="str">
        <f>A26</f>
        <v>山本 侑輝</v>
      </c>
      <c r="R1" s="36">
        <f>A27</f>
        <v>0</v>
      </c>
      <c r="S1" s="36">
        <f>A28</f>
        <v>0</v>
      </c>
      <c r="T1" s="36">
        <f>A29</f>
        <v>0</v>
      </c>
      <c r="U1" s="36">
        <f>A30</f>
        <v>0</v>
      </c>
      <c r="V1" s="36">
        <f>A31</f>
        <v>0</v>
      </c>
      <c r="W1" s="36">
        <f>A32</f>
        <v>0</v>
      </c>
      <c r="X1" s="73"/>
    </row>
    <row r="2" spans="1:24" ht="22.5" customHeight="1">
      <c r="A2" s="176" t="s">
        <v>33</v>
      </c>
      <c r="B2" s="83" t="s">
        <v>50</v>
      </c>
      <c r="C2" s="38" t="s">
        <v>27</v>
      </c>
      <c r="D2" s="71" t="s">
        <v>209</v>
      </c>
      <c r="E2" s="71" t="s">
        <v>209</v>
      </c>
      <c r="F2" s="71" t="s">
        <v>210</v>
      </c>
      <c r="G2" s="71" t="s">
        <v>211</v>
      </c>
      <c r="H2" s="71" t="s">
        <v>156</v>
      </c>
      <c r="I2" s="71" t="s">
        <v>157</v>
      </c>
      <c r="J2" s="71" t="s">
        <v>209</v>
      </c>
      <c r="K2" s="71" t="s">
        <v>210</v>
      </c>
      <c r="L2" s="71" t="s">
        <v>212</v>
      </c>
      <c r="M2" s="71" t="s">
        <v>157</v>
      </c>
      <c r="N2" s="71" t="s">
        <v>212</v>
      </c>
      <c r="O2" s="71" t="s">
        <v>212</v>
      </c>
      <c r="P2" s="71" t="s">
        <v>156</v>
      </c>
      <c r="Q2" s="71" t="s">
        <v>209</v>
      </c>
      <c r="R2" s="71"/>
      <c r="S2" s="71"/>
      <c r="T2" s="71"/>
      <c r="U2" s="71"/>
      <c r="V2" s="71"/>
      <c r="W2" s="71"/>
      <c r="X2" s="75" t="s">
        <v>163</v>
      </c>
    </row>
    <row r="3" spans="1:24" ht="22.5" customHeight="1">
      <c r="A3" s="177"/>
      <c r="B3" s="83" t="s">
        <v>129</v>
      </c>
      <c r="C3" s="38" t="s">
        <v>27</v>
      </c>
      <c r="D3" s="71" t="s">
        <v>212</v>
      </c>
      <c r="E3" s="71" t="s">
        <v>212</v>
      </c>
      <c r="F3" s="71" t="s">
        <v>211</v>
      </c>
      <c r="G3" s="71" t="s">
        <v>212</v>
      </c>
      <c r="H3" s="71" t="s">
        <v>212</v>
      </c>
      <c r="I3" s="71" t="s">
        <v>209</v>
      </c>
      <c r="J3" s="71" t="s">
        <v>211</v>
      </c>
      <c r="K3" s="71" t="s">
        <v>212</v>
      </c>
      <c r="L3" s="71" t="s">
        <v>211</v>
      </c>
      <c r="M3" s="71" t="s">
        <v>210</v>
      </c>
      <c r="N3" s="71" t="s">
        <v>209</v>
      </c>
      <c r="O3" s="71" t="s">
        <v>211</v>
      </c>
      <c r="P3" s="71" t="s">
        <v>209</v>
      </c>
      <c r="Q3" s="71" t="s">
        <v>212</v>
      </c>
      <c r="R3" s="71"/>
      <c r="S3" s="71"/>
      <c r="T3" s="71"/>
      <c r="U3" s="71"/>
      <c r="V3" s="71"/>
      <c r="W3" s="71"/>
      <c r="X3" s="75" t="s">
        <v>70</v>
      </c>
    </row>
    <row r="4" spans="1:24" ht="22.5" customHeight="1">
      <c r="A4" s="177"/>
      <c r="B4" s="83" t="s">
        <v>51</v>
      </c>
      <c r="C4" s="38" t="s">
        <v>27</v>
      </c>
      <c r="D4" s="71" t="s">
        <v>210</v>
      </c>
      <c r="E4" s="71" t="s">
        <v>210</v>
      </c>
      <c r="F4" s="71" t="s">
        <v>212</v>
      </c>
      <c r="G4" s="71" t="s">
        <v>209</v>
      </c>
      <c r="H4" s="71" t="s">
        <v>212</v>
      </c>
      <c r="I4" s="71" t="s">
        <v>212</v>
      </c>
      <c r="J4" s="71" t="s">
        <v>211</v>
      </c>
      <c r="K4" s="71" t="s">
        <v>212</v>
      </c>
      <c r="L4" s="71" t="s">
        <v>212</v>
      </c>
      <c r="M4" s="71" t="s">
        <v>212</v>
      </c>
      <c r="N4" s="71" t="s">
        <v>212</v>
      </c>
      <c r="O4" s="71" t="s">
        <v>212</v>
      </c>
      <c r="P4" s="71" t="s">
        <v>212</v>
      </c>
      <c r="Q4" s="71" t="s">
        <v>209</v>
      </c>
      <c r="R4" s="71"/>
      <c r="S4" s="71"/>
      <c r="T4" s="71"/>
      <c r="U4" s="71"/>
      <c r="V4" s="71"/>
      <c r="W4" s="71"/>
      <c r="X4" s="75" t="s">
        <v>165</v>
      </c>
    </row>
    <row r="5" spans="1:24" ht="22.5" customHeight="1">
      <c r="A5" s="177"/>
      <c r="B5" s="83" t="s">
        <v>52</v>
      </c>
      <c r="C5" s="38" t="s">
        <v>27</v>
      </c>
      <c r="D5" s="71" t="s">
        <v>212</v>
      </c>
      <c r="E5" s="71" t="s">
        <v>212</v>
      </c>
      <c r="F5" s="71" t="s">
        <v>212</v>
      </c>
      <c r="G5" s="71" t="s">
        <v>212</v>
      </c>
      <c r="H5" s="71" t="s">
        <v>212</v>
      </c>
      <c r="I5" s="71" t="s">
        <v>212</v>
      </c>
      <c r="J5" s="71" t="s">
        <v>212</v>
      </c>
      <c r="K5" s="71" t="s">
        <v>211</v>
      </c>
      <c r="L5" s="71" t="s">
        <v>212</v>
      </c>
      <c r="M5" s="71" t="s">
        <v>212</v>
      </c>
      <c r="N5" s="71" t="s">
        <v>156</v>
      </c>
      <c r="O5" s="71" t="s">
        <v>212</v>
      </c>
      <c r="P5" s="71" t="s">
        <v>212</v>
      </c>
      <c r="Q5" s="71" t="s">
        <v>212</v>
      </c>
      <c r="R5" s="71"/>
      <c r="S5" s="71"/>
      <c r="T5" s="71"/>
      <c r="U5" s="71"/>
      <c r="V5" s="71"/>
      <c r="W5" s="71"/>
      <c r="X5" s="75" t="s">
        <v>166</v>
      </c>
    </row>
    <row r="6" spans="1:24" ht="22.5" customHeight="1">
      <c r="A6" s="177"/>
      <c r="B6" s="83" t="s">
        <v>130</v>
      </c>
      <c r="C6" s="38" t="s">
        <v>27</v>
      </c>
      <c r="D6" s="71" t="s">
        <v>209</v>
      </c>
      <c r="E6" s="71" t="s">
        <v>212</v>
      </c>
      <c r="F6" s="71" t="s">
        <v>212</v>
      </c>
      <c r="G6" s="71" t="s">
        <v>212</v>
      </c>
      <c r="H6" s="71" t="s">
        <v>212</v>
      </c>
      <c r="I6" s="71" t="s">
        <v>212</v>
      </c>
      <c r="J6" s="71" t="s">
        <v>212</v>
      </c>
      <c r="K6" s="71" t="s">
        <v>212</v>
      </c>
      <c r="L6" s="71" t="s">
        <v>212</v>
      </c>
      <c r="M6" s="71" t="s">
        <v>212</v>
      </c>
      <c r="N6" s="71" t="s">
        <v>212</v>
      </c>
      <c r="O6" s="71" t="s">
        <v>212</v>
      </c>
      <c r="P6" s="71" t="s">
        <v>212</v>
      </c>
      <c r="Q6" s="71" t="s">
        <v>212</v>
      </c>
      <c r="R6" s="71"/>
      <c r="S6" s="71"/>
      <c r="T6" s="71"/>
      <c r="U6" s="71"/>
      <c r="V6" s="71"/>
      <c r="W6" s="71"/>
    </row>
    <row r="7" spans="1:24" ht="22.5" customHeight="1">
      <c r="A7" s="177"/>
      <c r="B7" s="83" t="s">
        <v>131</v>
      </c>
      <c r="C7" s="38" t="s">
        <v>27</v>
      </c>
      <c r="D7" s="71" t="s">
        <v>209</v>
      </c>
      <c r="E7" s="71" t="s">
        <v>212</v>
      </c>
      <c r="F7" s="71" t="s">
        <v>209</v>
      </c>
      <c r="G7" s="71" t="s">
        <v>211</v>
      </c>
      <c r="H7" s="71" t="s">
        <v>212</v>
      </c>
      <c r="I7" s="71" t="s">
        <v>212</v>
      </c>
      <c r="J7" s="71" t="s">
        <v>212</v>
      </c>
      <c r="K7" s="71" t="s">
        <v>209</v>
      </c>
      <c r="L7" s="71" t="s">
        <v>212</v>
      </c>
      <c r="M7" s="71" t="s">
        <v>212</v>
      </c>
      <c r="N7" s="71" t="s">
        <v>212</v>
      </c>
      <c r="O7" s="71" t="s">
        <v>212</v>
      </c>
      <c r="P7" s="71" t="s">
        <v>212</v>
      </c>
      <c r="Q7" s="71" t="s">
        <v>212</v>
      </c>
      <c r="R7" s="71"/>
      <c r="S7" s="71"/>
      <c r="T7" s="71"/>
      <c r="U7" s="71"/>
      <c r="V7" s="71"/>
      <c r="W7" s="71"/>
    </row>
    <row r="8" spans="1:24" ht="22.5" customHeight="1">
      <c r="A8" s="177"/>
      <c r="B8" s="83" t="s">
        <v>132</v>
      </c>
      <c r="C8" s="38" t="s">
        <v>27</v>
      </c>
      <c r="D8" s="71" t="s">
        <v>212</v>
      </c>
      <c r="E8" s="71" t="s">
        <v>212</v>
      </c>
      <c r="F8" s="71" t="s">
        <v>212</v>
      </c>
      <c r="G8" s="71" t="s">
        <v>212</v>
      </c>
      <c r="H8" s="71" t="s">
        <v>211</v>
      </c>
      <c r="I8" s="71" t="s">
        <v>212</v>
      </c>
      <c r="J8" s="71" t="s">
        <v>212</v>
      </c>
      <c r="K8" s="71" t="s">
        <v>212</v>
      </c>
      <c r="L8" s="71" t="s">
        <v>212</v>
      </c>
      <c r="M8" s="71" t="s">
        <v>211</v>
      </c>
      <c r="N8" s="71" t="s">
        <v>212</v>
      </c>
      <c r="O8" s="71" t="s">
        <v>211</v>
      </c>
      <c r="P8" s="71" t="s">
        <v>211</v>
      </c>
      <c r="Q8" s="71" t="s">
        <v>211</v>
      </c>
      <c r="R8" s="71"/>
      <c r="S8" s="71"/>
      <c r="T8" s="71"/>
      <c r="U8" s="71"/>
      <c r="V8" s="71"/>
      <c r="W8" s="71"/>
    </row>
    <row r="9" spans="1:24" ht="22.5" customHeight="1">
      <c r="A9" s="177"/>
      <c r="B9" s="83" t="s">
        <v>133</v>
      </c>
      <c r="C9" s="38" t="s">
        <v>27</v>
      </c>
      <c r="D9" s="71" t="s">
        <v>212</v>
      </c>
      <c r="E9" s="71" t="s">
        <v>212</v>
      </c>
      <c r="F9" s="71" t="s">
        <v>212</v>
      </c>
      <c r="G9" s="71" t="s">
        <v>212</v>
      </c>
      <c r="H9" s="71" t="s">
        <v>212</v>
      </c>
      <c r="I9" s="71" t="s">
        <v>212</v>
      </c>
      <c r="J9" s="71" t="s">
        <v>212</v>
      </c>
      <c r="K9" s="71" t="s">
        <v>212</v>
      </c>
      <c r="L9" s="71" t="s">
        <v>212</v>
      </c>
      <c r="M9" s="71" t="s">
        <v>212</v>
      </c>
      <c r="N9" s="71" t="s">
        <v>212</v>
      </c>
      <c r="O9" s="71" t="s">
        <v>212</v>
      </c>
      <c r="P9" s="71" t="s">
        <v>212</v>
      </c>
      <c r="Q9" s="71" t="s">
        <v>212</v>
      </c>
      <c r="R9" s="71"/>
      <c r="S9" s="71"/>
      <c r="T9" s="71"/>
      <c r="U9" s="71"/>
      <c r="V9" s="71"/>
      <c r="W9" s="71"/>
    </row>
    <row r="10" spans="1:24" ht="22.5" customHeight="1">
      <c r="A10" s="80"/>
      <c r="B10" s="83" t="s">
        <v>53</v>
      </c>
      <c r="C10" s="38" t="s">
        <v>27</v>
      </c>
      <c r="D10" s="71" t="s">
        <v>212</v>
      </c>
      <c r="E10" s="71" t="s">
        <v>212</v>
      </c>
      <c r="F10" s="71" t="s">
        <v>212</v>
      </c>
      <c r="G10" s="71" t="s">
        <v>212</v>
      </c>
      <c r="H10" s="71" t="s">
        <v>212</v>
      </c>
      <c r="I10" s="71" t="s">
        <v>212</v>
      </c>
      <c r="J10" s="71" t="s">
        <v>212</v>
      </c>
      <c r="K10" s="71" t="s">
        <v>212</v>
      </c>
      <c r="L10" s="71" t="s">
        <v>212</v>
      </c>
      <c r="M10" s="71" t="s">
        <v>212</v>
      </c>
      <c r="N10" s="71" t="s">
        <v>212</v>
      </c>
      <c r="O10" s="71" t="s">
        <v>212</v>
      </c>
      <c r="P10" s="71" t="s">
        <v>212</v>
      </c>
      <c r="Q10" s="71" t="s">
        <v>212</v>
      </c>
      <c r="R10" s="71"/>
      <c r="S10" s="71"/>
      <c r="T10" s="71"/>
      <c r="U10" s="71"/>
      <c r="V10" s="71"/>
      <c r="W10" s="71"/>
    </row>
    <row r="11" spans="1:24" ht="22.5" customHeight="1">
      <c r="A11" s="80"/>
      <c r="B11" s="83" t="s">
        <v>54</v>
      </c>
      <c r="C11" s="38" t="s">
        <v>27</v>
      </c>
      <c r="D11" s="71" t="s">
        <v>212</v>
      </c>
      <c r="E11" s="71" t="s">
        <v>212</v>
      </c>
      <c r="F11" s="71" t="s">
        <v>212</v>
      </c>
      <c r="G11" s="71" t="s">
        <v>211</v>
      </c>
      <c r="H11" s="71" t="s">
        <v>212</v>
      </c>
      <c r="I11" s="71" t="s">
        <v>212</v>
      </c>
      <c r="J11" s="71" t="s">
        <v>211</v>
      </c>
      <c r="K11" s="71" t="s">
        <v>212</v>
      </c>
      <c r="L11" s="71" t="s">
        <v>212</v>
      </c>
      <c r="M11" s="71" t="s">
        <v>212</v>
      </c>
      <c r="N11" s="71" t="s">
        <v>209</v>
      </c>
      <c r="O11" s="71" t="s">
        <v>212</v>
      </c>
      <c r="P11" s="71" t="s">
        <v>209</v>
      </c>
      <c r="Q11" s="71" t="s">
        <v>212</v>
      </c>
      <c r="R11" s="71"/>
      <c r="S11" s="71"/>
      <c r="T11" s="71"/>
      <c r="U11" s="71"/>
      <c r="V11" s="71"/>
      <c r="W11" s="71"/>
    </row>
    <row r="12" spans="1:24" ht="22.5" customHeight="1">
      <c r="A12" s="178" t="s">
        <v>34</v>
      </c>
      <c r="B12" s="179"/>
      <c r="C12" s="179"/>
      <c r="D12" s="179"/>
      <c r="E12" s="179"/>
      <c r="F12" s="179"/>
      <c r="G12" s="179"/>
      <c r="H12" s="179"/>
      <c r="I12" s="179"/>
      <c r="J12" s="179"/>
      <c r="K12" s="179"/>
      <c r="L12" s="179"/>
      <c r="M12" s="179"/>
      <c r="N12" s="179"/>
      <c r="O12" s="179"/>
      <c r="P12" s="179"/>
      <c r="Q12" s="179"/>
      <c r="R12" s="179"/>
      <c r="S12" s="179"/>
      <c r="T12" s="179"/>
      <c r="U12" s="179"/>
      <c r="V12" s="179"/>
      <c r="W12" s="180"/>
    </row>
    <row r="13" spans="1:24" ht="22.5" customHeight="1">
      <c r="A13" s="81" t="s">
        <v>79</v>
      </c>
      <c r="B13" s="155" t="s">
        <v>56</v>
      </c>
      <c r="C13" s="156"/>
      <c r="D13" s="156"/>
      <c r="E13" s="156"/>
      <c r="F13" s="156"/>
      <c r="G13" s="156"/>
      <c r="H13" s="156"/>
      <c r="I13" s="156"/>
      <c r="J13" s="156"/>
      <c r="K13" s="156"/>
      <c r="L13" s="156"/>
      <c r="M13" s="156"/>
      <c r="N13" s="156"/>
      <c r="O13" s="156"/>
      <c r="P13" s="156"/>
      <c r="Q13" s="156"/>
      <c r="R13" s="156"/>
      <c r="S13" s="156"/>
      <c r="T13" s="156"/>
      <c r="U13" s="156"/>
      <c r="V13" s="156"/>
      <c r="W13" s="157"/>
    </row>
    <row r="14" spans="1:24" ht="22.5" customHeight="1">
      <c r="A14" s="81" t="s">
        <v>80</v>
      </c>
      <c r="B14" s="155" t="s">
        <v>134</v>
      </c>
      <c r="C14" s="156"/>
      <c r="D14" s="156"/>
      <c r="E14" s="156"/>
      <c r="F14" s="156"/>
      <c r="G14" s="156"/>
      <c r="H14" s="156"/>
      <c r="I14" s="156"/>
      <c r="J14" s="156"/>
      <c r="K14" s="156"/>
      <c r="L14" s="156"/>
      <c r="M14" s="156"/>
      <c r="N14" s="156"/>
      <c r="O14" s="156"/>
      <c r="P14" s="156"/>
      <c r="Q14" s="156"/>
      <c r="R14" s="156"/>
      <c r="S14" s="156"/>
      <c r="T14" s="156"/>
      <c r="U14" s="156"/>
      <c r="V14" s="156"/>
      <c r="W14" s="157"/>
    </row>
    <row r="15" spans="1:24" ht="22.5" customHeight="1">
      <c r="A15" s="81" t="s">
        <v>81</v>
      </c>
      <c r="B15" s="155" t="s">
        <v>135</v>
      </c>
      <c r="C15" s="156"/>
      <c r="D15" s="156"/>
      <c r="E15" s="156"/>
      <c r="F15" s="156"/>
      <c r="G15" s="156"/>
      <c r="H15" s="156"/>
      <c r="I15" s="156"/>
      <c r="J15" s="156"/>
      <c r="K15" s="156"/>
      <c r="L15" s="156"/>
      <c r="M15" s="156"/>
      <c r="N15" s="156"/>
      <c r="O15" s="156"/>
      <c r="P15" s="156"/>
      <c r="Q15" s="156"/>
      <c r="R15" s="156"/>
      <c r="S15" s="156"/>
      <c r="T15" s="156"/>
      <c r="U15" s="156"/>
      <c r="V15" s="156"/>
      <c r="W15" s="157"/>
    </row>
    <row r="16" spans="1:24" ht="22.5" customHeight="1">
      <c r="A16" s="81" t="s">
        <v>82</v>
      </c>
      <c r="B16" s="155" t="s">
        <v>75</v>
      </c>
      <c r="C16" s="156"/>
      <c r="D16" s="156"/>
      <c r="E16" s="156"/>
      <c r="F16" s="156"/>
      <c r="G16" s="156"/>
      <c r="H16" s="156"/>
      <c r="I16" s="156"/>
      <c r="J16" s="156"/>
      <c r="K16" s="156"/>
      <c r="L16" s="156"/>
      <c r="M16" s="156"/>
      <c r="N16" s="156"/>
      <c r="O16" s="156"/>
      <c r="P16" s="156"/>
      <c r="Q16" s="156"/>
      <c r="R16" s="156"/>
      <c r="S16" s="156"/>
      <c r="T16" s="156"/>
      <c r="U16" s="156"/>
      <c r="V16" s="156"/>
      <c r="W16" s="157"/>
    </row>
    <row r="17" spans="1:24" ht="22.5" customHeight="1">
      <c r="A17" s="81" t="s">
        <v>83</v>
      </c>
      <c r="B17" s="155" t="s">
        <v>136</v>
      </c>
      <c r="C17" s="156"/>
      <c r="D17" s="156"/>
      <c r="E17" s="156"/>
      <c r="F17" s="156"/>
      <c r="G17" s="156"/>
      <c r="H17" s="156"/>
      <c r="I17" s="156"/>
      <c r="J17" s="156"/>
      <c r="K17" s="156"/>
      <c r="L17" s="156"/>
      <c r="M17" s="156"/>
      <c r="N17" s="156"/>
      <c r="O17" s="156"/>
      <c r="P17" s="156"/>
      <c r="Q17" s="156"/>
      <c r="R17" s="156"/>
      <c r="S17" s="156"/>
      <c r="T17" s="156"/>
      <c r="U17" s="156"/>
      <c r="V17" s="156"/>
      <c r="W17" s="157"/>
    </row>
    <row r="18" spans="1:24" ht="22.5" customHeight="1">
      <c r="A18" s="81" t="s">
        <v>84</v>
      </c>
      <c r="B18" s="155" t="s">
        <v>55</v>
      </c>
      <c r="C18" s="156"/>
      <c r="D18" s="156"/>
      <c r="E18" s="156"/>
      <c r="F18" s="156"/>
      <c r="G18" s="156"/>
      <c r="H18" s="156"/>
      <c r="I18" s="156"/>
      <c r="J18" s="156"/>
      <c r="K18" s="156"/>
      <c r="L18" s="156"/>
      <c r="M18" s="156"/>
      <c r="N18" s="156"/>
      <c r="O18" s="156"/>
      <c r="P18" s="156"/>
      <c r="Q18" s="156"/>
      <c r="R18" s="156"/>
      <c r="S18" s="156"/>
      <c r="T18" s="156"/>
      <c r="U18" s="156"/>
      <c r="V18" s="156"/>
      <c r="W18" s="157"/>
    </row>
    <row r="19" spans="1:24" ht="22.5" customHeight="1">
      <c r="A19" s="81" t="s">
        <v>85</v>
      </c>
      <c r="B19" s="155" t="s">
        <v>55</v>
      </c>
      <c r="C19" s="156"/>
      <c r="D19" s="156"/>
      <c r="E19" s="156"/>
      <c r="F19" s="156"/>
      <c r="G19" s="156"/>
      <c r="H19" s="156"/>
      <c r="I19" s="156"/>
      <c r="J19" s="156"/>
      <c r="K19" s="156"/>
      <c r="L19" s="156"/>
      <c r="M19" s="156"/>
      <c r="N19" s="156"/>
      <c r="O19" s="156"/>
      <c r="P19" s="156"/>
      <c r="Q19" s="156"/>
      <c r="R19" s="156"/>
      <c r="S19" s="156"/>
      <c r="T19" s="156"/>
      <c r="U19" s="156"/>
      <c r="V19" s="156"/>
      <c r="W19" s="157"/>
    </row>
    <row r="20" spans="1:24" ht="22.5" customHeight="1">
      <c r="A20" s="81" t="s">
        <v>86</v>
      </c>
      <c r="B20" s="155" t="s">
        <v>56</v>
      </c>
      <c r="C20" s="156"/>
      <c r="D20" s="156"/>
      <c r="E20" s="156"/>
      <c r="F20" s="156"/>
      <c r="G20" s="156"/>
      <c r="H20" s="156"/>
      <c r="I20" s="156"/>
      <c r="J20" s="156"/>
      <c r="K20" s="156"/>
      <c r="L20" s="156"/>
      <c r="M20" s="156"/>
      <c r="N20" s="156"/>
      <c r="O20" s="156"/>
      <c r="P20" s="156"/>
      <c r="Q20" s="156"/>
      <c r="R20" s="156"/>
      <c r="S20" s="156"/>
      <c r="T20" s="156"/>
      <c r="U20" s="156"/>
      <c r="V20" s="156"/>
      <c r="W20" s="157"/>
    </row>
    <row r="21" spans="1:24" ht="22.5" customHeight="1">
      <c r="A21" s="81" t="s">
        <v>87</v>
      </c>
      <c r="B21" s="155" t="s">
        <v>137</v>
      </c>
      <c r="C21" s="156"/>
      <c r="D21" s="156"/>
      <c r="E21" s="156"/>
      <c r="F21" s="156"/>
      <c r="G21" s="156"/>
      <c r="H21" s="156"/>
      <c r="I21" s="156"/>
      <c r="J21" s="156"/>
      <c r="K21" s="156"/>
      <c r="L21" s="156"/>
      <c r="M21" s="156"/>
      <c r="N21" s="156"/>
      <c r="O21" s="156"/>
      <c r="P21" s="156"/>
      <c r="Q21" s="156"/>
      <c r="R21" s="156"/>
      <c r="S21" s="156"/>
      <c r="T21" s="156"/>
      <c r="U21" s="156"/>
      <c r="V21" s="156"/>
      <c r="W21" s="157"/>
    </row>
    <row r="22" spans="1:24" ht="22.5" customHeight="1">
      <c r="A22" s="81" t="s">
        <v>88</v>
      </c>
      <c r="B22" s="155" t="s">
        <v>138</v>
      </c>
      <c r="C22" s="156"/>
      <c r="D22" s="156"/>
      <c r="E22" s="156"/>
      <c r="F22" s="156"/>
      <c r="G22" s="156"/>
      <c r="H22" s="156"/>
      <c r="I22" s="156"/>
      <c r="J22" s="156"/>
      <c r="K22" s="156"/>
      <c r="L22" s="156"/>
      <c r="M22" s="156"/>
      <c r="N22" s="156"/>
      <c r="O22" s="156"/>
      <c r="P22" s="156"/>
      <c r="Q22" s="156"/>
      <c r="R22" s="156"/>
      <c r="S22" s="156"/>
      <c r="T22" s="156"/>
      <c r="U22" s="156"/>
      <c r="V22" s="156"/>
      <c r="W22" s="157"/>
    </row>
    <row r="23" spans="1:24" ht="22.5" customHeight="1">
      <c r="A23" s="81" t="s">
        <v>89</v>
      </c>
      <c r="B23" s="155" t="s">
        <v>56</v>
      </c>
      <c r="C23" s="156"/>
      <c r="D23" s="156"/>
      <c r="E23" s="156"/>
      <c r="F23" s="156"/>
      <c r="G23" s="156"/>
      <c r="H23" s="156"/>
      <c r="I23" s="156"/>
      <c r="J23" s="156"/>
      <c r="K23" s="156"/>
      <c r="L23" s="156"/>
      <c r="M23" s="156"/>
      <c r="N23" s="156"/>
      <c r="O23" s="156"/>
      <c r="P23" s="156"/>
      <c r="Q23" s="156"/>
      <c r="R23" s="156"/>
      <c r="S23" s="156"/>
      <c r="T23" s="156"/>
      <c r="U23" s="156"/>
      <c r="V23" s="156"/>
      <c r="W23" s="157"/>
    </row>
    <row r="24" spans="1:24" ht="22.5" customHeight="1">
      <c r="A24" s="81" t="s">
        <v>90</v>
      </c>
      <c r="B24" s="155" t="s">
        <v>74</v>
      </c>
      <c r="C24" s="156"/>
      <c r="D24" s="156"/>
      <c r="E24" s="156"/>
      <c r="F24" s="156"/>
      <c r="G24" s="156"/>
      <c r="H24" s="156"/>
      <c r="I24" s="156"/>
      <c r="J24" s="156"/>
      <c r="K24" s="156"/>
      <c r="L24" s="156"/>
      <c r="M24" s="156"/>
      <c r="N24" s="156"/>
      <c r="O24" s="156"/>
      <c r="P24" s="156"/>
      <c r="Q24" s="156"/>
      <c r="R24" s="156"/>
      <c r="S24" s="156"/>
      <c r="T24" s="156"/>
      <c r="U24" s="156"/>
      <c r="V24" s="156"/>
      <c r="W24" s="157"/>
    </row>
    <row r="25" spans="1:24" ht="22.5" customHeight="1">
      <c r="A25" s="81" t="s">
        <v>91</v>
      </c>
      <c r="B25" s="155" t="s">
        <v>135</v>
      </c>
      <c r="C25" s="156"/>
      <c r="D25" s="156"/>
      <c r="E25" s="156"/>
      <c r="F25" s="156"/>
      <c r="G25" s="156"/>
      <c r="H25" s="156"/>
      <c r="I25" s="156"/>
      <c r="J25" s="156"/>
      <c r="K25" s="156"/>
      <c r="L25" s="156"/>
      <c r="M25" s="156"/>
      <c r="N25" s="156"/>
      <c r="O25" s="156"/>
      <c r="P25" s="156"/>
      <c r="Q25" s="156"/>
      <c r="R25" s="156"/>
      <c r="S25" s="156"/>
      <c r="T25" s="156"/>
      <c r="U25" s="156"/>
      <c r="V25" s="156"/>
      <c r="W25" s="157"/>
    </row>
    <row r="26" spans="1:24" ht="22.5" customHeight="1">
      <c r="A26" s="81" t="s">
        <v>92</v>
      </c>
      <c r="B26" s="155" t="s">
        <v>139</v>
      </c>
      <c r="C26" s="156"/>
      <c r="D26" s="156"/>
      <c r="E26" s="156"/>
      <c r="F26" s="156"/>
      <c r="G26" s="156"/>
      <c r="H26" s="156"/>
      <c r="I26" s="156"/>
      <c r="J26" s="156"/>
      <c r="K26" s="156"/>
      <c r="L26" s="156"/>
      <c r="M26" s="156"/>
      <c r="N26" s="156"/>
      <c r="O26" s="156"/>
      <c r="P26" s="156"/>
      <c r="Q26" s="156"/>
      <c r="R26" s="156"/>
      <c r="S26" s="156"/>
      <c r="T26" s="156"/>
      <c r="U26" s="156"/>
      <c r="V26" s="156"/>
      <c r="W26" s="157"/>
    </row>
    <row r="27" spans="1:24" ht="22.5" customHeight="1">
      <c r="A27" s="81"/>
      <c r="B27" s="155"/>
      <c r="C27" s="156"/>
      <c r="D27" s="156"/>
      <c r="E27" s="156"/>
      <c r="F27" s="156"/>
      <c r="G27" s="156"/>
      <c r="H27" s="156"/>
      <c r="I27" s="156"/>
      <c r="J27" s="156"/>
      <c r="K27" s="156"/>
      <c r="L27" s="156"/>
      <c r="M27" s="156"/>
      <c r="N27" s="156"/>
      <c r="O27" s="156"/>
      <c r="P27" s="156"/>
      <c r="Q27" s="156"/>
      <c r="R27" s="156"/>
      <c r="S27" s="156"/>
      <c r="T27" s="156"/>
      <c r="U27" s="156"/>
      <c r="V27" s="156"/>
      <c r="W27" s="157"/>
    </row>
    <row r="28" spans="1:24" ht="22.5" customHeight="1">
      <c r="A28" s="81"/>
      <c r="B28" s="155"/>
      <c r="C28" s="156"/>
      <c r="D28" s="156"/>
      <c r="E28" s="156"/>
      <c r="F28" s="156"/>
      <c r="G28" s="156"/>
      <c r="H28" s="156"/>
      <c r="I28" s="156"/>
      <c r="J28" s="156"/>
      <c r="K28" s="156"/>
      <c r="L28" s="156"/>
      <c r="M28" s="156"/>
      <c r="N28" s="156"/>
      <c r="O28" s="156"/>
      <c r="P28" s="156"/>
      <c r="Q28" s="156"/>
      <c r="R28" s="156"/>
      <c r="S28" s="156"/>
      <c r="T28" s="156"/>
      <c r="U28" s="156"/>
      <c r="V28" s="156"/>
      <c r="W28" s="157"/>
    </row>
    <row r="29" spans="1:24" ht="22.5" customHeight="1">
      <c r="A29" s="81"/>
      <c r="B29" s="155"/>
      <c r="C29" s="156"/>
      <c r="D29" s="156"/>
      <c r="E29" s="156"/>
      <c r="F29" s="156"/>
      <c r="G29" s="156"/>
      <c r="H29" s="156"/>
      <c r="I29" s="156"/>
      <c r="J29" s="156"/>
      <c r="K29" s="156"/>
      <c r="L29" s="156"/>
      <c r="M29" s="156"/>
      <c r="N29" s="156"/>
      <c r="O29" s="156"/>
      <c r="P29" s="156"/>
      <c r="Q29" s="156"/>
      <c r="R29" s="156"/>
      <c r="S29" s="156"/>
      <c r="T29" s="156"/>
      <c r="U29" s="156"/>
      <c r="V29" s="156"/>
      <c r="W29" s="157"/>
    </row>
    <row r="30" spans="1:24" ht="22.5" customHeight="1">
      <c r="A30" s="81"/>
      <c r="B30" s="155"/>
      <c r="C30" s="156"/>
      <c r="D30" s="156"/>
      <c r="E30" s="156"/>
      <c r="F30" s="156"/>
      <c r="G30" s="156"/>
      <c r="H30" s="156"/>
      <c r="I30" s="156"/>
      <c r="J30" s="156"/>
      <c r="K30" s="156"/>
      <c r="L30" s="156"/>
      <c r="M30" s="156"/>
      <c r="N30" s="156"/>
      <c r="O30" s="156"/>
      <c r="P30" s="156"/>
      <c r="Q30" s="156"/>
      <c r="R30" s="156"/>
      <c r="S30" s="156"/>
      <c r="T30" s="156"/>
      <c r="U30" s="156"/>
      <c r="V30" s="156"/>
      <c r="W30" s="157"/>
    </row>
    <row r="31" spans="1:24" ht="22.5" customHeight="1">
      <c r="A31" s="81"/>
      <c r="B31" s="155"/>
      <c r="C31" s="156"/>
      <c r="D31" s="156"/>
      <c r="E31" s="156"/>
      <c r="F31" s="156"/>
      <c r="G31" s="156"/>
      <c r="H31" s="156"/>
      <c r="I31" s="156"/>
      <c r="J31" s="156"/>
      <c r="K31" s="156"/>
      <c r="L31" s="156"/>
      <c r="M31" s="156"/>
      <c r="N31" s="156"/>
      <c r="O31" s="156"/>
      <c r="P31" s="156"/>
      <c r="Q31" s="156"/>
      <c r="R31" s="156"/>
      <c r="S31" s="156"/>
      <c r="T31" s="156"/>
      <c r="U31" s="156"/>
      <c r="V31" s="156"/>
      <c r="W31" s="157"/>
    </row>
    <row r="32" spans="1:24" ht="22.5" customHeight="1">
      <c r="A32" s="81"/>
      <c r="B32" s="155"/>
      <c r="C32" s="156"/>
      <c r="D32" s="156"/>
      <c r="E32" s="156"/>
      <c r="F32" s="156"/>
      <c r="G32" s="156"/>
      <c r="H32" s="156"/>
      <c r="I32" s="156"/>
      <c r="J32" s="156"/>
      <c r="K32" s="156"/>
      <c r="L32" s="156"/>
      <c r="M32" s="156"/>
      <c r="N32" s="156"/>
      <c r="O32" s="156"/>
      <c r="P32" s="156"/>
      <c r="Q32" s="156"/>
      <c r="R32" s="156"/>
      <c r="S32" s="156"/>
      <c r="T32" s="156"/>
      <c r="U32" s="156"/>
      <c r="V32" s="156"/>
      <c r="W32" s="157"/>
      <c r="X32" s="79" t="s">
        <v>31</v>
      </c>
    </row>
    <row r="33" spans="1:24" ht="22.5" customHeight="1">
      <c r="A33" s="173" t="s">
        <v>213</v>
      </c>
      <c r="B33" s="174"/>
      <c r="C33" s="174"/>
      <c r="D33" s="174"/>
      <c r="E33" s="174"/>
      <c r="F33" s="174"/>
      <c r="G33" s="174"/>
      <c r="H33" s="174"/>
      <c r="I33" s="174"/>
      <c r="J33" s="174"/>
      <c r="K33" s="174"/>
      <c r="L33" s="174"/>
      <c r="M33" s="174"/>
      <c r="N33" s="174"/>
      <c r="O33" s="174"/>
      <c r="P33" s="174"/>
      <c r="Q33" s="174"/>
      <c r="R33" s="174"/>
      <c r="S33" s="174"/>
      <c r="T33" s="174"/>
      <c r="U33" s="174"/>
      <c r="V33" s="174"/>
      <c r="W33" s="175"/>
      <c r="X33" s="74" t="s">
        <v>214</v>
      </c>
    </row>
    <row r="34" spans="1:24" ht="76.5" customHeight="1">
      <c r="A34" s="82" t="str">
        <f>A13</f>
        <v>奥山 大雅</v>
      </c>
      <c r="B34" s="170" t="s">
        <v>143</v>
      </c>
      <c r="C34" s="171"/>
      <c r="D34" s="171"/>
      <c r="E34" s="171"/>
      <c r="F34" s="171"/>
      <c r="G34" s="171"/>
      <c r="H34" s="171"/>
      <c r="I34" s="171"/>
      <c r="J34" s="171"/>
      <c r="K34" s="171"/>
      <c r="L34" s="171"/>
      <c r="M34" s="171"/>
      <c r="N34" s="171"/>
      <c r="O34" s="171"/>
      <c r="P34" s="171"/>
      <c r="Q34" s="171"/>
      <c r="R34" s="171"/>
      <c r="S34" s="171"/>
      <c r="T34" s="171"/>
      <c r="U34" s="171"/>
      <c r="V34" s="171"/>
      <c r="W34" s="172"/>
      <c r="X34" s="74">
        <f>LEN(B34)</f>
        <v>450</v>
      </c>
    </row>
    <row r="35" spans="1:24" ht="76.5" customHeight="1">
      <c r="A35" s="82" t="str">
        <f t="shared" ref="A35:A53" si="0">A14</f>
        <v>兼村 祐希</v>
      </c>
      <c r="B35" s="170" t="s">
        <v>144</v>
      </c>
      <c r="C35" s="171"/>
      <c r="D35" s="171"/>
      <c r="E35" s="171"/>
      <c r="F35" s="171"/>
      <c r="G35" s="171"/>
      <c r="H35" s="171"/>
      <c r="I35" s="171"/>
      <c r="J35" s="171"/>
      <c r="K35" s="171"/>
      <c r="L35" s="171"/>
      <c r="M35" s="171"/>
      <c r="N35" s="171"/>
      <c r="O35" s="171"/>
      <c r="P35" s="171"/>
      <c r="Q35" s="171"/>
      <c r="R35" s="171"/>
      <c r="S35" s="171"/>
      <c r="T35" s="171"/>
      <c r="U35" s="171"/>
      <c r="V35" s="171"/>
      <c r="W35" s="172"/>
      <c r="X35" s="74">
        <f t="shared" ref="X35:X53" si="1">LEN(B35)</f>
        <v>435</v>
      </c>
    </row>
    <row r="36" spans="1:24" ht="76.5" customHeight="1">
      <c r="A36" s="82" t="str">
        <f t="shared" si="0"/>
        <v>熊谷 百桜</v>
      </c>
      <c r="B36" s="170" t="s">
        <v>145</v>
      </c>
      <c r="C36" s="171"/>
      <c r="D36" s="171"/>
      <c r="E36" s="171"/>
      <c r="F36" s="171"/>
      <c r="G36" s="171"/>
      <c r="H36" s="171"/>
      <c r="I36" s="171"/>
      <c r="J36" s="171"/>
      <c r="K36" s="171"/>
      <c r="L36" s="171"/>
      <c r="M36" s="171"/>
      <c r="N36" s="171"/>
      <c r="O36" s="171"/>
      <c r="P36" s="171"/>
      <c r="Q36" s="171"/>
      <c r="R36" s="171"/>
      <c r="S36" s="171"/>
      <c r="T36" s="171"/>
      <c r="U36" s="171"/>
      <c r="V36" s="171"/>
      <c r="W36" s="172"/>
      <c r="X36" s="74">
        <f t="shared" si="1"/>
        <v>434</v>
      </c>
    </row>
    <row r="37" spans="1:24" ht="76.5" customHeight="1">
      <c r="A37" s="82" t="str">
        <f t="shared" si="0"/>
        <v>小原 幸典</v>
      </c>
      <c r="B37" s="170" t="s">
        <v>146</v>
      </c>
      <c r="C37" s="171"/>
      <c r="D37" s="171"/>
      <c r="E37" s="171"/>
      <c r="F37" s="171"/>
      <c r="G37" s="171"/>
      <c r="H37" s="171"/>
      <c r="I37" s="171"/>
      <c r="J37" s="171"/>
      <c r="K37" s="171"/>
      <c r="L37" s="171"/>
      <c r="M37" s="171"/>
      <c r="N37" s="171"/>
      <c r="O37" s="171"/>
      <c r="P37" s="171"/>
      <c r="Q37" s="171"/>
      <c r="R37" s="171"/>
      <c r="S37" s="171"/>
      <c r="T37" s="171"/>
      <c r="U37" s="171"/>
      <c r="V37" s="171"/>
      <c r="W37" s="172"/>
      <c r="X37" s="74">
        <f t="shared" si="1"/>
        <v>442</v>
      </c>
    </row>
    <row r="38" spans="1:24" ht="76.5" customHeight="1">
      <c r="A38" s="82" t="str">
        <f t="shared" si="0"/>
        <v>清水 清豪</v>
      </c>
      <c r="B38" s="170" t="s">
        <v>147</v>
      </c>
      <c r="C38" s="171"/>
      <c r="D38" s="171"/>
      <c r="E38" s="171"/>
      <c r="F38" s="171"/>
      <c r="G38" s="171"/>
      <c r="H38" s="171"/>
      <c r="I38" s="171"/>
      <c r="J38" s="171"/>
      <c r="K38" s="171"/>
      <c r="L38" s="171"/>
      <c r="M38" s="171"/>
      <c r="N38" s="171"/>
      <c r="O38" s="171"/>
      <c r="P38" s="171"/>
      <c r="Q38" s="171"/>
      <c r="R38" s="171"/>
      <c r="S38" s="171"/>
      <c r="T38" s="171"/>
      <c r="U38" s="171"/>
      <c r="V38" s="171"/>
      <c r="W38" s="172"/>
      <c r="X38" s="74">
        <f t="shared" si="1"/>
        <v>441</v>
      </c>
    </row>
    <row r="39" spans="1:24" ht="76.5" customHeight="1">
      <c r="A39" s="82" t="str">
        <f t="shared" si="0"/>
        <v>鈴木 理子</v>
      </c>
      <c r="B39" s="170" t="s">
        <v>215</v>
      </c>
      <c r="C39" s="171"/>
      <c r="D39" s="171"/>
      <c r="E39" s="171"/>
      <c r="F39" s="171"/>
      <c r="G39" s="171"/>
      <c r="H39" s="171"/>
      <c r="I39" s="171"/>
      <c r="J39" s="171"/>
      <c r="K39" s="171"/>
      <c r="L39" s="171"/>
      <c r="M39" s="171"/>
      <c r="N39" s="171"/>
      <c r="O39" s="171"/>
      <c r="P39" s="171"/>
      <c r="Q39" s="171"/>
      <c r="R39" s="171"/>
      <c r="S39" s="171"/>
      <c r="T39" s="171"/>
      <c r="U39" s="171"/>
      <c r="V39" s="171"/>
      <c r="W39" s="172"/>
      <c r="X39" s="74">
        <f t="shared" si="1"/>
        <v>440</v>
      </c>
    </row>
    <row r="40" spans="1:24" ht="76.5" customHeight="1">
      <c r="A40" s="82" t="str">
        <f t="shared" si="0"/>
        <v>徳田 安須嘉</v>
      </c>
      <c r="B40" s="170" t="s">
        <v>148</v>
      </c>
      <c r="C40" s="171"/>
      <c r="D40" s="171"/>
      <c r="E40" s="171"/>
      <c r="F40" s="171"/>
      <c r="G40" s="171"/>
      <c r="H40" s="171"/>
      <c r="I40" s="171"/>
      <c r="J40" s="171"/>
      <c r="K40" s="171"/>
      <c r="L40" s="171"/>
      <c r="M40" s="171"/>
      <c r="N40" s="171"/>
      <c r="O40" s="171"/>
      <c r="P40" s="171"/>
      <c r="Q40" s="171"/>
      <c r="R40" s="171"/>
      <c r="S40" s="171"/>
      <c r="T40" s="171"/>
      <c r="U40" s="171"/>
      <c r="V40" s="171"/>
      <c r="W40" s="172"/>
      <c r="X40" s="74">
        <f t="shared" si="1"/>
        <v>436</v>
      </c>
    </row>
    <row r="41" spans="1:24" ht="76.5" customHeight="1">
      <c r="A41" s="82" t="str">
        <f t="shared" si="0"/>
        <v>松尾 怜奈</v>
      </c>
      <c r="B41" s="170" t="s">
        <v>216</v>
      </c>
      <c r="C41" s="171"/>
      <c r="D41" s="171"/>
      <c r="E41" s="171"/>
      <c r="F41" s="171"/>
      <c r="G41" s="171"/>
      <c r="H41" s="171"/>
      <c r="I41" s="171"/>
      <c r="J41" s="171"/>
      <c r="K41" s="171"/>
      <c r="L41" s="171"/>
      <c r="M41" s="171"/>
      <c r="N41" s="171"/>
      <c r="O41" s="171"/>
      <c r="P41" s="171"/>
      <c r="Q41" s="171"/>
      <c r="R41" s="171"/>
      <c r="S41" s="171"/>
      <c r="T41" s="171"/>
      <c r="U41" s="171"/>
      <c r="V41" s="171"/>
      <c r="W41" s="172"/>
      <c r="X41" s="74">
        <f t="shared" si="1"/>
        <v>433</v>
      </c>
    </row>
    <row r="42" spans="1:24" ht="76.5" customHeight="1">
      <c r="A42" s="82" t="str">
        <f t="shared" si="0"/>
        <v>丸茂 彰仁</v>
      </c>
      <c r="B42" s="170" t="s">
        <v>149</v>
      </c>
      <c r="C42" s="171"/>
      <c r="D42" s="171"/>
      <c r="E42" s="171"/>
      <c r="F42" s="171"/>
      <c r="G42" s="171"/>
      <c r="H42" s="171"/>
      <c r="I42" s="171"/>
      <c r="J42" s="171"/>
      <c r="K42" s="171"/>
      <c r="L42" s="171"/>
      <c r="M42" s="171"/>
      <c r="N42" s="171"/>
      <c r="O42" s="171"/>
      <c r="P42" s="171"/>
      <c r="Q42" s="171"/>
      <c r="R42" s="171"/>
      <c r="S42" s="171"/>
      <c r="T42" s="171"/>
      <c r="U42" s="171"/>
      <c r="V42" s="171"/>
      <c r="W42" s="172"/>
      <c r="X42" s="74">
        <f t="shared" si="1"/>
        <v>410</v>
      </c>
    </row>
    <row r="43" spans="1:24" ht="76.5" customHeight="1">
      <c r="A43" s="82" t="str">
        <f t="shared" si="0"/>
        <v>御子柴 希美</v>
      </c>
      <c r="B43" s="170" t="s">
        <v>150</v>
      </c>
      <c r="C43" s="171"/>
      <c r="D43" s="171"/>
      <c r="E43" s="171"/>
      <c r="F43" s="171"/>
      <c r="G43" s="171"/>
      <c r="H43" s="171"/>
      <c r="I43" s="171"/>
      <c r="J43" s="171"/>
      <c r="K43" s="171"/>
      <c r="L43" s="171"/>
      <c r="M43" s="171"/>
      <c r="N43" s="171"/>
      <c r="O43" s="171"/>
      <c r="P43" s="171"/>
      <c r="Q43" s="171"/>
      <c r="R43" s="171"/>
      <c r="S43" s="171"/>
      <c r="T43" s="171"/>
      <c r="U43" s="171"/>
      <c r="V43" s="171"/>
      <c r="W43" s="172"/>
      <c r="X43" s="74">
        <f t="shared" si="1"/>
        <v>452</v>
      </c>
    </row>
    <row r="44" spans="1:24" ht="76.5" customHeight="1">
      <c r="A44" s="82" t="str">
        <f t="shared" si="0"/>
        <v>峯村 梨奈</v>
      </c>
      <c r="B44" s="170" t="s">
        <v>151</v>
      </c>
      <c r="C44" s="171"/>
      <c r="D44" s="171"/>
      <c r="E44" s="171"/>
      <c r="F44" s="171"/>
      <c r="G44" s="171"/>
      <c r="H44" s="171"/>
      <c r="I44" s="171"/>
      <c r="J44" s="171"/>
      <c r="K44" s="171"/>
      <c r="L44" s="171"/>
      <c r="M44" s="171"/>
      <c r="N44" s="171"/>
      <c r="O44" s="171"/>
      <c r="P44" s="171"/>
      <c r="Q44" s="171"/>
      <c r="R44" s="171"/>
      <c r="S44" s="171"/>
      <c r="T44" s="171"/>
      <c r="U44" s="171"/>
      <c r="V44" s="171"/>
      <c r="W44" s="172"/>
      <c r="X44" s="74">
        <f t="shared" si="1"/>
        <v>445</v>
      </c>
    </row>
    <row r="45" spans="1:24" ht="76.5" customHeight="1">
      <c r="A45" s="82" t="str">
        <f t="shared" si="0"/>
        <v>百瀬 友紀</v>
      </c>
      <c r="B45" s="170" t="s">
        <v>152</v>
      </c>
      <c r="C45" s="171"/>
      <c r="D45" s="171"/>
      <c r="E45" s="171"/>
      <c r="F45" s="171"/>
      <c r="G45" s="171"/>
      <c r="H45" s="171"/>
      <c r="I45" s="171"/>
      <c r="J45" s="171"/>
      <c r="K45" s="171"/>
      <c r="L45" s="171"/>
      <c r="M45" s="171"/>
      <c r="N45" s="171"/>
      <c r="O45" s="171"/>
      <c r="P45" s="171"/>
      <c r="Q45" s="171"/>
      <c r="R45" s="171"/>
      <c r="S45" s="171"/>
      <c r="T45" s="171"/>
      <c r="U45" s="171"/>
      <c r="V45" s="171"/>
      <c r="W45" s="172"/>
      <c r="X45" s="74">
        <f t="shared" si="1"/>
        <v>436</v>
      </c>
    </row>
    <row r="46" spans="1:24" ht="76.5" customHeight="1">
      <c r="A46" s="82" t="str">
        <f t="shared" si="0"/>
        <v>矢崎 優希菜</v>
      </c>
      <c r="B46" s="170" t="s">
        <v>153</v>
      </c>
      <c r="C46" s="171"/>
      <c r="D46" s="171"/>
      <c r="E46" s="171"/>
      <c r="F46" s="171"/>
      <c r="G46" s="171"/>
      <c r="H46" s="171"/>
      <c r="I46" s="171"/>
      <c r="J46" s="171"/>
      <c r="K46" s="171"/>
      <c r="L46" s="171"/>
      <c r="M46" s="171"/>
      <c r="N46" s="171"/>
      <c r="O46" s="171"/>
      <c r="P46" s="171"/>
      <c r="Q46" s="171"/>
      <c r="R46" s="171"/>
      <c r="S46" s="171"/>
      <c r="T46" s="171"/>
      <c r="U46" s="171"/>
      <c r="V46" s="171"/>
      <c r="W46" s="172"/>
      <c r="X46" s="74">
        <f t="shared" si="1"/>
        <v>444</v>
      </c>
    </row>
    <row r="47" spans="1:24" ht="76.5" customHeight="1">
      <c r="A47" s="82" t="str">
        <f t="shared" si="0"/>
        <v>山本 侑輝</v>
      </c>
      <c r="B47" s="170" t="s">
        <v>154</v>
      </c>
      <c r="C47" s="171"/>
      <c r="D47" s="171"/>
      <c r="E47" s="171"/>
      <c r="F47" s="171"/>
      <c r="G47" s="171"/>
      <c r="H47" s="171"/>
      <c r="I47" s="171"/>
      <c r="J47" s="171"/>
      <c r="K47" s="171"/>
      <c r="L47" s="171"/>
      <c r="M47" s="171"/>
      <c r="N47" s="171"/>
      <c r="O47" s="171"/>
      <c r="P47" s="171"/>
      <c r="Q47" s="171"/>
      <c r="R47" s="171"/>
      <c r="S47" s="171"/>
      <c r="T47" s="171"/>
      <c r="U47" s="171"/>
      <c r="V47" s="171"/>
      <c r="W47" s="172"/>
      <c r="X47" s="74">
        <f t="shared" si="1"/>
        <v>443</v>
      </c>
    </row>
    <row r="48" spans="1:24" ht="76.5" customHeight="1">
      <c r="A48" s="82">
        <f t="shared" si="0"/>
        <v>0</v>
      </c>
      <c r="B48" s="170"/>
      <c r="C48" s="171"/>
      <c r="D48" s="171"/>
      <c r="E48" s="171"/>
      <c r="F48" s="171"/>
      <c r="G48" s="171"/>
      <c r="H48" s="171"/>
      <c r="I48" s="171"/>
      <c r="J48" s="171"/>
      <c r="K48" s="171"/>
      <c r="L48" s="171"/>
      <c r="M48" s="171"/>
      <c r="N48" s="171"/>
      <c r="O48" s="171"/>
      <c r="P48" s="171"/>
      <c r="Q48" s="171"/>
      <c r="R48" s="171"/>
      <c r="S48" s="171"/>
      <c r="T48" s="171"/>
      <c r="U48" s="171"/>
      <c r="V48" s="171"/>
      <c r="W48" s="172"/>
      <c r="X48" s="74">
        <f t="shared" si="1"/>
        <v>0</v>
      </c>
    </row>
    <row r="49" spans="1:24" ht="76.5" customHeight="1">
      <c r="A49" s="82">
        <f t="shared" si="0"/>
        <v>0</v>
      </c>
      <c r="B49" s="170"/>
      <c r="C49" s="171"/>
      <c r="D49" s="171"/>
      <c r="E49" s="171"/>
      <c r="F49" s="171"/>
      <c r="G49" s="171"/>
      <c r="H49" s="171"/>
      <c r="I49" s="171"/>
      <c r="J49" s="171"/>
      <c r="K49" s="171"/>
      <c r="L49" s="171"/>
      <c r="M49" s="171"/>
      <c r="N49" s="171"/>
      <c r="O49" s="171"/>
      <c r="P49" s="171"/>
      <c r="Q49" s="171"/>
      <c r="R49" s="171"/>
      <c r="S49" s="171"/>
      <c r="T49" s="171"/>
      <c r="U49" s="171"/>
      <c r="V49" s="171"/>
      <c r="W49" s="172"/>
      <c r="X49" s="74">
        <f t="shared" si="1"/>
        <v>0</v>
      </c>
    </row>
    <row r="50" spans="1:24" ht="76.5" customHeight="1">
      <c r="A50" s="82">
        <f t="shared" si="0"/>
        <v>0</v>
      </c>
      <c r="B50" s="170"/>
      <c r="C50" s="171"/>
      <c r="D50" s="171"/>
      <c r="E50" s="171"/>
      <c r="F50" s="171"/>
      <c r="G50" s="171"/>
      <c r="H50" s="171"/>
      <c r="I50" s="171"/>
      <c r="J50" s="171"/>
      <c r="K50" s="171"/>
      <c r="L50" s="171"/>
      <c r="M50" s="171"/>
      <c r="N50" s="171"/>
      <c r="O50" s="171"/>
      <c r="P50" s="171"/>
      <c r="Q50" s="171"/>
      <c r="R50" s="171"/>
      <c r="S50" s="171"/>
      <c r="T50" s="171"/>
      <c r="U50" s="171"/>
      <c r="V50" s="171"/>
      <c r="W50" s="172"/>
      <c r="X50" s="74">
        <f t="shared" si="1"/>
        <v>0</v>
      </c>
    </row>
    <row r="51" spans="1:24" ht="76.5" customHeight="1">
      <c r="A51" s="82">
        <f t="shared" si="0"/>
        <v>0</v>
      </c>
      <c r="B51" s="170"/>
      <c r="C51" s="171"/>
      <c r="D51" s="171"/>
      <c r="E51" s="171"/>
      <c r="F51" s="171"/>
      <c r="G51" s="171"/>
      <c r="H51" s="171"/>
      <c r="I51" s="171"/>
      <c r="J51" s="171"/>
      <c r="K51" s="171"/>
      <c r="L51" s="171"/>
      <c r="M51" s="171"/>
      <c r="N51" s="171"/>
      <c r="O51" s="171"/>
      <c r="P51" s="171"/>
      <c r="Q51" s="171"/>
      <c r="R51" s="171"/>
      <c r="S51" s="171"/>
      <c r="T51" s="171"/>
      <c r="U51" s="171"/>
      <c r="V51" s="171"/>
      <c r="W51" s="172"/>
      <c r="X51" s="74">
        <f t="shared" si="1"/>
        <v>0</v>
      </c>
    </row>
    <row r="52" spans="1:24" ht="76.5" customHeight="1">
      <c r="A52" s="82">
        <f t="shared" si="0"/>
        <v>0</v>
      </c>
      <c r="B52" s="170"/>
      <c r="C52" s="171"/>
      <c r="D52" s="171"/>
      <c r="E52" s="171"/>
      <c r="F52" s="171"/>
      <c r="G52" s="171"/>
      <c r="H52" s="171"/>
      <c r="I52" s="171"/>
      <c r="J52" s="171"/>
      <c r="K52" s="171"/>
      <c r="L52" s="171"/>
      <c r="M52" s="171"/>
      <c r="N52" s="171"/>
      <c r="O52" s="171"/>
      <c r="P52" s="171"/>
      <c r="Q52" s="171"/>
      <c r="R52" s="171"/>
      <c r="S52" s="171"/>
      <c r="T52" s="171"/>
      <c r="U52" s="171"/>
      <c r="V52" s="171"/>
      <c r="W52" s="172"/>
      <c r="X52" s="74">
        <f t="shared" si="1"/>
        <v>0</v>
      </c>
    </row>
    <row r="53" spans="1:24" ht="76.5" customHeight="1">
      <c r="A53" s="82">
        <f t="shared" si="0"/>
        <v>0</v>
      </c>
      <c r="B53" s="170"/>
      <c r="C53" s="171"/>
      <c r="D53" s="171"/>
      <c r="E53" s="171"/>
      <c r="F53" s="171"/>
      <c r="G53" s="171"/>
      <c r="H53" s="171"/>
      <c r="I53" s="171"/>
      <c r="J53" s="171"/>
      <c r="K53" s="171"/>
      <c r="L53" s="171"/>
      <c r="M53" s="171"/>
      <c r="N53" s="171"/>
      <c r="O53" s="171"/>
      <c r="P53" s="171"/>
      <c r="Q53" s="171"/>
      <c r="R53" s="171"/>
      <c r="S53" s="171"/>
      <c r="T53" s="171"/>
      <c r="U53" s="171"/>
      <c r="V53" s="171"/>
      <c r="W53" s="172"/>
      <c r="X53" s="74">
        <f t="shared" si="1"/>
        <v>0</v>
      </c>
    </row>
    <row r="54" spans="1:24" ht="17.25" customHeight="1"/>
    <row r="55" spans="1:24" ht="17.25" customHeight="1"/>
    <row r="56" spans="1:24" ht="17.25" customHeight="1"/>
    <row r="57" spans="1:24" ht="17.25" customHeight="1"/>
    <row r="58" spans="1:24" ht="17.25" customHeight="1"/>
    <row r="59" spans="1:24" ht="17.25" customHeight="1"/>
    <row r="60" spans="1:24" ht="17.25" customHeight="1"/>
    <row r="61" spans="1:24" ht="17.25" customHeight="1"/>
    <row r="62" spans="1:24" ht="17.25" customHeight="1"/>
    <row r="63" spans="1:24" ht="17.25" customHeight="1"/>
    <row r="64" spans="1:2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sheetData>
  <mergeCells count="43">
    <mergeCell ref="B22:W22"/>
    <mergeCell ref="A2:A9"/>
    <mergeCell ref="A12:W12"/>
    <mergeCell ref="B13:W13"/>
    <mergeCell ref="B14:W14"/>
    <mergeCell ref="B15:W15"/>
    <mergeCell ref="B16:W16"/>
    <mergeCell ref="B17:W17"/>
    <mergeCell ref="B18:W18"/>
    <mergeCell ref="B19:W19"/>
    <mergeCell ref="B20:W20"/>
    <mergeCell ref="B21:W21"/>
    <mergeCell ref="B34:W34"/>
    <mergeCell ref="B23:W23"/>
    <mergeCell ref="B24:W24"/>
    <mergeCell ref="B25:W25"/>
    <mergeCell ref="B27:W27"/>
    <mergeCell ref="B28:W28"/>
    <mergeCell ref="B29:W29"/>
    <mergeCell ref="B30:W30"/>
    <mergeCell ref="B31:W31"/>
    <mergeCell ref="B32:W32"/>
    <mergeCell ref="A33:W33"/>
    <mergeCell ref="B26:W26"/>
    <mergeCell ref="B46:W46"/>
    <mergeCell ref="B35:W35"/>
    <mergeCell ref="B36:W36"/>
    <mergeCell ref="B37:W37"/>
    <mergeCell ref="B38:W38"/>
    <mergeCell ref="B39:W39"/>
    <mergeCell ref="B40:W40"/>
    <mergeCell ref="B41:W41"/>
    <mergeCell ref="B42:W42"/>
    <mergeCell ref="B43:W43"/>
    <mergeCell ref="B44:W44"/>
    <mergeCell ref="B45:W45"/>
    <mergeCell ref="B53:W53"/>
    <mergeCell ref="B47:W47"/>
    <mergeCell ref="B48:W48"/>
    <mergeCell ref="B49:W49"/>
    <mergeCell ref="B50:W50"/>
    <mergeCell ref="B51:W51"/>
    <mergeCell ref="B52:W52"/>
  </mergeCells>
  <phoneticPr fontId="1"/>
  <conditionalFormatting sqref="X34:X53">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allowBlank="1" showDropDown="1" showInputMessage="1" showErrorMessage="1" errorTitle="全角文字エラー" error="半角ABC-を入れて下さい" sqref="D2:W11">
      <formula1>$X$2:$X$5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X154"/>
  <sheetViews>
    <sheetView workbookViewId="0">
      <selection sqref="A1:XFD1048576"/>
    </sheetView>
  </sheetViews>
  <sheetFormatPr defaultRowHeight="13.5"/>
  <cols>
    <col min="1" max="1" width="13.5" style="8" customWidth="1"/>
    <col min="2" max="2" width="7.5" style="8" customWidth="1"/>
    <col min="3" max="3" width="9.375" style="8" customWidth="1"/>
    <col min="4" max="23" width="6.875" style="8" customWidth="1"/>
    <col min="24" max="16384" width="9" style="8"/>
  </cols>
  <sheetData>
    <row r="1" spans="1:24" ht="85.5" customHeight="1">
      <c r="A1" s="181" t="str">
        <f ca="1">MID(CELL("filename",A1),FIND("[",CELL("filename",A1))+1,3)</f>
        <v>２－３</v>
      </c>
      <c r="B1" s="182"/>
      <c r="C1" s="183"/>
      <c r="D1" s="36" t="str">
        <f>A10</f>
        <v>奥山 大雅</v>
      </c>
      <c r="E1" s="36" t="str">
        <f>A11</f>
        <v>兼村 祐希</v>
      </c>
      <c r="F1" s="36" t="str">
        <f>A12</f>
        <v>熊谷 百桜</v>
      </c>
      <c r="G1" s="36" t="str">
        <f>A13</f>
        <v>小原 幸典</v>
      </c>
      <c r="H1" s="36" t="str">
        <f>A14</f>
        <v>清水 清豪</v>
      </c>
      <c r="I1" s="36" t="str">
        <f>A15</f>
        <v>鈴木 理子</v>
      </c>
      <c r="J1" s="36" t="str">
        <f>A16</f>
        <v>徳田 安須嘉</v>
      </c>
      <c r="K1" s="36" t="str">
        <f>A17</f>
        <v>松尾 怜奈</v>
      </c>
      <c r="L1" s="36" t="str">
        <f>A18</f>
        <v>丸茂 彰仁</v>
      </c>
      <c r="M1" s="36" t="str">
        <f>A19</f>
        <v>御子柴 希美</v>
      </c>
      <c r="N1" s="36" t="str">
        <f>A20</f>
        <v>峯村 梨奈</v>
      </c>
      <c r="O1" s="36" t="str">
        <f>A21</f>
        <v>百瀬 友紀</v>
      </c>
      <c r="P1" s="36" t="str">
        <f>A22</f>
        <v>矢崎 優希菜</v>
      </c>
      <c r="Q1" s="36" t="str">
        <f>A23</f>
        <v>山本 侑輝</v>
      </c>
      <c r="R1" s="36">
        <f>A24</f>
        <v>0</v>
      </c>
      <c r="S1" s="36">
        <f>A25</f>
        <v>0</v>
      </c>
      <c r="T1" s="36">
        <f>A26</f>
        <v>0</v>
      </c>
      <c r="U1" s="36">
        <f>A27</f>
        <v>0</v>
      </c>
      <c r="V1" s="36">
        <f>A28</f>
        <v>0</v>
      </c>
      <c r="W1" s="36">
        <f>A29</f>
        <v>0</v>
      </c>
      <c r="X1" s="37"/>
    </row>
    <row r="2" spans="1:24" ht="22.5" customHeight="1">
      <c r="A2" s="184" t="s">
        <v>35</v>
      </c>
      <c r="B2" s="184"/>
      <c r="C2" s="184"/>
      <c r="D2" s="90">
        <v>70</v>
      </c>
      <c r="E2" s="90">
        <v>70</v>
      </c>
      <c r="F2" s="90">
        <v>70</v>
      </c>
      <c r="G2" s="90">
        <v>70</v>
      </c>
      <c r="H2" s="90">
        <v>70</v>
      </c>
      <c r="I2" s="90">
        <v>70</v>
      </c>
      <c r="J2" s="90">
        <v>70</v>
      </c>
      <c r="K2" s="90">
        <v>70</v>
      </c>
      <c r="L2" s="90">
        <v>70</v>
      </c>
      <c r="M2" s="90">
        <v>70</v>
      </c>
      <c r="N2" s="90">
        <v>70</v>
      </c>
      <c r="O2" s="90">
        <v>70</v>
      </c>
      <c r="P2" s="90">
        <v>70</v>
      </c>
      <c r="Q2" s="90">
        <v>70</v>
      </c>
      <c r="R2" s="90"/>
      <c r="S2" s="90"/>
      <c r="T2" s="90"/>
      <c r="U2" s="90"/>
      <c r="V2" s="90"/>
      <c r="W2" s="90"/>
    </row>
    <row r="3" spans="1:24" ht="22.5" customHeight="1">
      <c r="A3" s="184" t="s">
        <v>36</v>
      </c>
      <c r="B3" s="184"/>
      <c r="C3" s="184"/>
      <c r="D3" s="90">
        <v>4</v>
      </c>
      <c r="E3" s="90"/>
      <c r="F3" s="90">
        <v>3</v>
      </c>
      <c r="G3" s="90"/>
      <c r="H3" s="90"/>
      <c r="I3" s="90"/>
      <c r="J3" s="90"/>
      <c r="K3" s="90"/>
      <c r="L3" s="90"/>
      <c r="M3" s="90"/>
      <c r="N3" s="90"/>
      <c r="O3" s="90"/>
      <c r="P3" s="90"/>
      <c r="Q3" s="90"/>
      <c r="R3" s="90"/>
      <c r="S3" s="90"/>
      <c r="T3" s="90"/>
      <c r="U3" s="90"/>
      <c r="V3" s="90"/>
      <c r="W3" s="90"/>
    </row>
    <row r="4" spans="1:24" ht="22.5" customHeight="1">
      <c r="A4" s="184" t="s">
        <v>37</v>
      </c>
      <c r="B4" s="184"/>
      <c r="C4" s="184"/>
      <c r="D4" s="49">
        <f t="shared" ref="D4:W4" si="0">D2-D3</f>
        <v>66</v>
      </c>
      <c r="E4" s="49">
        <f t="shared" si="0"/>
        <v>70</v>
      </c>
      <c r="F4" s="49">
        <f t="shared" si="0"/>
        <v>67</v>
      </c>
      <c r="G4" s="49">
        <f t="shared" si="0"/>
        <v>70</v>
      </c>
      <c r="H4" s="49">
        <f t="shared" si="0"/>
        <v>70</v>
      </c>
      <c r="I4" s="49">
        <f t="shared" si="0"/>
        <v>70</v>
      </c>
      <c r="J4" s="49">
        <f t="shared" si="0"/>
        <v>70</v>
      </c>
      <c r="K4" s="49">
        <f t="shared" si="0"/>
        <v>70</v>
      </c>
      <c r="L4" s="49">
        <f t="shared" si="0"/>
        <v>70</v>
      </c>
      <c r="M4" s="49">
        <f t="shared" si="0"/>
        <v>70</v>
      </c>
      <c r="N4" s="49">
        <f t="shared" si="0"/>
        <v>70</v>
      </c>
      <c r="O4" s="49">
        <f t="shared" si="0"/>
        <v>70</v>
      </c>
      <c r="P4" s="49">
        <f t="shared" si="0"/>
        <v>70</v>
      </c>
      <c r="Q4" s="49">
        <f t="shared" si="0"/>
        <v>70</v>
      </c>
      <c r="R4" s="49">
        <f t="shared" si="0"/>
        <v>0</v>
      </c>
      <c r="S4" s="49">
        <f t="shared" si="0"/>
        <v>0</v>
      </c>
      <c r="T4" s="49">
        <f t="shared" si="0"/>
        <v>0</v>
      </c>
      <c r="U4" s="49">
        <f t="shared" si="0"/>
        <v>0</v>
      </c>
      <c r="V4" s="49">
        <f t="shared" si="0"/>
        <v>0</v>
      </c>
      <c r="W4" s="49">
        <f t="shared" si="0"/>
        <v>0</v>
      </c>
    </row>
    <row r="5" spans="1:24" ht="22.5" customHeight="1">
      <c r="A5" s="185" t="s">
        <v>217</v>
      </c>
      <c r="B5" s="186"/>
      <c r="C5" s="187"/>
      <c r="D5" s="49">
        <f t="shared" ref="D5:W5" si="1">D4-D6</f>
        <v>66</v>
      </c>
      <c r="E5" s="49">
        <f t="shared" si="1"/>
        <v>68</v>
      </c>
      <c r="F5" s="49">
        <f t="shared" si="1"/>
        <v>67</v>
      </c>
      <c r="G5" s="49">
        <f t="shared" si="1"/>
        <v>70</v>
      </c>
      <c r="H5" s="49">
        <f t="shared" si="1"/>
        <v>70</v>
      </c>
      <c r="I5" s="49">
        <f t="shared" si="1"/>
        <v>69</v>
      </c>
      <c r="J5" s="49">
        <f t="shared" si="1"/>
        <v>70</v>
      </c>
      <c r="K5" s="49">
        <f t="shared" si="1"/>
        <v>50</v>
      </c>
      <c r="L5" s="49">
        <f t="shared" si="1"/>
        <v>70</v>
      </c>
      <c r="M5" s="49">
        <f t="shared" si="1"/>
        <v>67</v>
      </c>
      <c r="N5" s="49">
        <f t="shared" si="1"/>
        <v>70</v>
      </c>
      <c r="O5" s="49">
        <f t="shared" si="1"/>
        <v>70</v>
      </c>
      <c r="P5" s="49">
        <f t="shared" si="1"/>
        <v>70</v>
      </c>
      <c r="Q5" s="49">
        <f t="shared" si="1"/>
        <v>70</v>
      </c>
      <c r="R5" s="49">
        <f t="shared" si="1"/>
        <v>0</v>
      </c>
      <c r="S5" s="49">
        <f t="shared" si="1"/>
        <v>0</v>
      </c>
      <c r="T5" s="49">
        <f t="shared" si="1"/>
        <v>0</v>
      </c>
      <c r="U5" s="49">
        <f t="shared" si="1"/>
        <v>0</v>
      </c>
      <c r="V5" s="49">
        <f t="shared" si="1"/>
        <v>0</v>
      </c>
      <c r="W5" s="49">
        <f t="shared" si="1"/>
        <v>0</v>
      </c>
    </row>
    <row r="6" spans="1:24" ht="22.5" customHeight="1">
      <c r="A6" s="188" t="s">
        <v>218</v>
      </c>
      <c r="B6" s="189"/>
      <c r="C6" s="190"/>
      <c r="D6" s="90"/>
      <c r="E6" s="90">
        <v>2</v>
      </c>
      <c r="F6" s="90"/>
      <c r="G6" s="90"/>
      <c r="H6" s="90"/>
      <c r="I6" s="90">
        <v>1</v>
      </c>
      <c r="J6" s="90"/>
      <c r="K6" s="90">
        <v>20</v>
      </c>
      <c r="L6" s="90"/>
      <c r="M6" s="90">
        <v>3</v>
      </c>
      <c r="N6" s="90"/>
      <c r="O6" s="90"/>
      <c r="P6" s="90"/>
      <c r="Q6" s="90"/>
      <c r="R6" s="90"/>
      <c r="S6" s="90"/>
      <c r="T6" s="90"/>
      <c r="U6" s="90"/>
      <c r="V6" s="90"/>
      <c r="W6" s="90"/>
    </row>
    <row r="7" spans="1:24" ht="22.5" customHeight="1">
      <c r="A7" s="184" t="s">
        <v>38</v>
      </c>
      <c r="B7" s="184"/>
      <c r="C7" s="184"/>
      <c r="D7" s="90"/>
      <c r="E7" s="90"/>
      <c r="F7" s="90">
        <v>4</v>
      </c>
      <c r="G7" s="90"/>
      <c r="H7" s="90"/>
      <c r="I7" s="90"/>
      <c r="J7" s="90"/>
      <c r="K7" s="90"/>
      <c r="L7" s="90"/>
      <c r="M7" s="90">
        <v>7</v>
      </c>
      <c r="N7" s="90"/>
      <c r="O7" s="90"/>
      <c r="P7" s="90"/>
      <c r="Q7" s="90"/>
      <c r="R7" s="90"/>
      <c r="S7" s="90"/>
      <c r="T7" s="90"/>
      <c r="U7" s="90"/>
      <c r="V7" s="90"/>
      <c r="W7" s="90"/>
    </row>
    <row r="8" spans="1:24" ht="22.5" customHeight="1">
      <c r="A8" s="184" t="s">
        <v>39</v>
      </c>
      <c r="B8" s="184"/>
      <c r="C8" s="184"/>
      <c r="D8" s="90"/>
      <c r="E8" s="90"/>
      <c r="F8" s="90">
        <v>2</v>
      </c>
      <c r="G8" s="90"/>
      <c r="H8" s="90"/>
      <c r="I8" s="90"/>
      <c r="J8" s="90"/>
      <c r="K8" s="90">
        <v>25</v>
      </c>
      <c r="L8" s="90"/>
      <c r="M8" s="90"/>
      <c r="N8" s="90"/>
      <c r="O8" s="90"/>
      <c r="P8" s="90"/>
      <c r="Q8" s="90"/>
      <c r="R8" s="90"/>
      <c r="S8" s="90"/>
      <c r="T8" s="90"/>
      <c r="U8" s="90"/>
      <c r="V8" s="90"/>
      <c r="W8" s="90"/>
    </row>
    <row r="9" spans="1:24" ht="22.5" customHeight="1">
      <c r="A9" s="178" t="s">
        <v>40</v>
      </c>
      <c r="B9" s="179"/>
      <c r="C9" s="179"/>
      <c r="D9" s="179"/>
      <c r="E9" s="179"/>
      <c r="F9" s="179"/>
      <c r="G9" s="179"/>
      <c r="H9" s="179"/>
      <c r="I9" s="179"/>
      <c r="J9" s="179"/>
      <c r="K9" s="179"/>
      <c r="L9" s="179"/>
      <c r="M9" s="179"/>
      <c r="N9" s="179"/>
      <c r="O9" s="179"/>
      <c r="P9" s="179"/>
      <c r="Q9" s="179"/>
      <c r="R9" s="179"/>
      <c r="S9" s="179"/>
      <c r="T9" s="179"/>
      <c r="U9" s="179"/>
      <c r="V9" s="179"/>
      <c r="W9" s="180"/>
    </row>
    <row r="10" spans="1:24" ht="22.5" customHeight="1">
      <c r="A10" s="91" t="s">
        <v>79</v>
      </c>
      <c r="B10" s="164" t="s">
        <v>158</v>
      </c>
      <c r="C10" s="165"/>
      <c r="D10" s="165"/>
      <c r="E10" s="165"/>
      <c r="F10" s="165"/>
      <c r="G10" s="165"/>
      <c r="H10" s="165"/>
      <c r="I10" s="165"/>
      <c r="J10" s="165"/>
      <c r="K10" s="165"/>
      <c r="L10" s="165"/>
      <c r="M10" s="165"/>
      <c r="N10" s="165"/>
      <c r="O10" s="165"/>
      <c r="P10" s="165"/>
      <c r="Q10" s="165"/>
      <c r="R10" s="165"/>
      <c r="S10" s="165"/>
      <c r="T10" s="165"/>
      <c r="U10" s="165"/>
      <c r="V10" s="165"/>
      <c r="W10" s="166"/>
    </row>
    <row r="11" spans="1:24" ht="22.5" customHeight="1">
      <c r="A11" s="91" t="s">
        <v>80</v>
      </c>
      <c r="B11" s="164" t="s">
        <v>140</v>
      </c>
      <c r="C11" s="165"/>
      <c r="D11" s="165"/>
      <c r="E11" s="165"/>
      <c r="F11" s="165"/>
      <c r="G11" s="165"/>
      <c r="H11" s="165"/>
      <c r="I11" s="165"/>
      <c r="J11" s="165"/>
      <c r="K11" s="165"/>
      <c r="L11" s="165"/>
      <c r="M11" s="165"/>
      <c r="N11" s="165"/>
      <c r="O11" s="165"/>
      <c r="P11" s="165"/>
      <c r="Q11" s="165"/>
      <c r="R11" s="165"/>
      <c r="S11" s="165"/>
      <c r="T11" s="165"/>
      <c r="U11" s="165"/>
      <c r="V11" s="165"/>
      <c r="W11" s="166"/>
    </row>
    <row r="12" spans="1:24" ht="22.5" customHeight="1">
      <c r="A12" s="91" t="s">
        <v>81</v>
      </c>
      <c r="B12" s="164" t="s">
        <v>141</v>
      </c>
      <c r="C12" s="165"/>
      <c r="D12" s="165"/>
      <c r="E12" s="165"/>
      <c r="F12" s="165"/>
      <c r="G12" s="165"/>
      <c r="H12" s="165"/>
      <c r="I12" s="165"/>
      <c r="J12" s="165"/>
      <c r="K12" s="165"/>
      <c r="L12" s="165"/>
      <c r="M12" s="165"/>
      <c r="N12" s="165"/>
      <c r="O12" s="165"/>
      <c r="P12" s="165"/>
      <c r="Q12" s="165"/>
      <c r="R12" s="165"/>
      <c r="S12" s="165"/>
      <c r="T12" s="165"/>
      <c r="U12" s="165"/>
      <c r="V12" s="165"/>
      <c r="W12" s="166"/>
    </row>
    <row r="13" spans="1:24" ht="22.5" customHeight="1">
      <c r="A13" s="91" t="s">
        <v>82</v>
      </c>
      <c r="B13" s="164"/>
      <c r="C13" s="165"/>
      <c r="D13" s="165"/>
      <c r="E13" s="165"/>
      <c r="F13" s="165"/>
      <c r="G13" s="165"/>
      <c r="H13" s="165"/>
      <c r="I13" s="165"/>
      <c r="J13" s="165"/>
      <c r="K13" s="165"/>
      <c r="L13" s="165"/>
      <c r="M13" s="165"/>
      <c r="N13" s="165"/>
      <c r="O13" s="165"/>
      <c r="P13" s="165"/>
      <c r="Q13" s="165"/>
      <c r="R13" s="165"/>
      <c r="S13" s="165"/>
      <c r="T13" s="165"/>
      <c r="U13" s="165"/>
      <c r="V13" s="165"/>
      <c r="W13" s="166"/>
    </row>
    <row r="14" spans="1:24" ht="22.5" customHeight="1">
      <c r="A14" s="91" t="s">
        <v>83</v>
      </c>
      <c r="B14" s="164"/>
      <c r="C14" s="165"/>
      <c r="D14" s="165"/>
      <c r="E14" s="165"/>
      <c r="F14" s="165"/>
      <c r="G14" s="165"/>
      <c r="H14" s="165"/>
      <c r="I14" s="165"/>
      <c r="J14" s="165"/>
      <c r="K14" s="165"/>
      <c r="L14" s="165"/>
      <c r="M14" s="165"/>
      <c r="N14" s="165"/>
      <c r="O14" s="165"/>
      <c r="P14" s="165"/>
      <c r="Q14" s="165"/>
      <c r="R14" s="165"/>
      <c r="S14" s="165"/>
      <c r="T14" s="165"/>
      <c r="U14" s="165"/>
      <c r="V14" s="165"/>
      <c r="W14" s="166"/>
    </row>
    <row r="15" spans="1:24" ht="22.5" customHeight="1">
      <c r="A15" s="91" t="s">
        <v>84</v>
      </c>
      <c r="B15" s="164" t="s">
        <v>219</v>
      </c>
      <c r="C15" s="165"/>
      <c r="D15" s="165"/>
      <c r="E15" s="165"/>
      <c r="F15" s="165"/>
      <c r="G15" s="165"/>
      <c r="H15" s="165"/>
      <c r="I15" s="165"/>
      <c r="J15" s="165"/>
      <c r="K15" s="165"/>
      <c r="L15" s="165"/>
      <c r="M15" s="165"/>
      <c r="N15" s="165"/>
      <c r="O15" s="165"/>
      <c r="P15" s="165"/>
      <c r="Q15" s="165"/>
      <c r="R15" s="165"/>
      <c r="S15" s="165"/>
      <c r="T15" s="165"/>
      <c r="U15" s="165"/>
      <c r="V15" s="165"/>
      <c r="W15" s="166"/>
    </row>
    <row r="16" spans="1:24" ht="22.5" customHeight="1">
      <c r="A16" s="91" t="s">
        <v>85</v>
      </c>
      <c r="B16" s="164"/>
      <c r="C16" s="165"/>
      <c r="D16" s="165"/>
      <c r="E16" s="165"/>
      <c r="F16" s="165"/>
      <c r="G16" s="165"/>
      <c r="H16" s="165"/>
      <c r="I16" s="165"/>
      <c r="J16" s="165"/>
      <c r="K16" s="165"/>
      <c r="L16" s="165"/>
      <c r="M16" s="165"/>
      <c r="N16" s="165"/>
      <c r="O16" s="165"/>
      <c r="P16" s="165"/>
      <c r="Q16" s="165"/>
      <c r="R16" s="165"/>
      <c r="S16" s="165"/>
      <c r="T16" s="165"/>
      <c r="U16" s="165"/>
      <c r="V16" s="165"/>
      <c r="W16" s="166"/>
    </row>
    <row r="17" spans="1:23" ht="22.5" customHeight="1">
      <c r="A17" s="91" t="s">
        <v>86</v>
      </c>
      <c r="B17" s="164" t="s">
        <v>159</v>
      </c>
      <c r="C17" s="165"/>
      <c r="D17" s="165"/>
      <c r="E17" s="165"/>
      <c r="F17" s="165"/>
      <c r="G17" s="165"/>
      <c r="H17" s="165"/>
      <c r="I17" s="165"/>
      <c r="J17" s="165"/>
      <c r="K17" s="165"/>
      <c r="L17" s="165"/>
      <c r="M17" s="165"/>
      <c r="N17" s="165"/>
      <c r="O17" s="165"/>
      <c r="P17" s="165"/>
      <c r="Q17" s="165"/>
      <c r="R17" s="165"/>
      <c r="S17" s="165"/>
      <c r="T17" s="165"/>
      <c r="U17" s="165"/>
      <c r="V17" s="165"/>
      <c r="W17" s="166"/>
    </row>
    <row r="18" spans="1:23" ht="22.5" customHeight="1">
      <c r="A18" s="91" t="s">
        <v>87</v>
      </c>
      <c r="B18" s="164"/>
      <c r="C18" s="165"/>
      <c r="D18" s="165"/>
      <c r="E18" s="165"/>
      <c r="F18" s="165"/>
      <c r="G18" s="165"/>
      <c r="H18" s="165"/>
      <c r="I18" s="165"/>
      <c r="J18" s="165"/>
      <c r="K18" s="165"/>
      <c r="L18" s="165"/>
      <c r="M18" s="165"/>
      <c r="N18" s="165"/>
      <c r="O18" s="165"/>
      <c r="P18" s="165"/>
      <c r="Q18" s="165"/>
      <c r="R18" s="165"/>
      <c r="S18" s="165"/>
      <c r="T18" s="165"/>
      <c r="U18" s="165"/>
      <c r="V18" s="165"/>
      <c r="W18" s="166"/>
    </row>
    <row r="19" spans="1:23" ht="22.5" customHeight="1">
      <c r="A19" s="91" t="s">
        <v>88</v>
      </c>
      <c r="B19" s="164" t="s">
        <v>155</v>
      </c>
      <c r="C19" s="165"/>
      <c r="D19" s="165"/>
      <c r="E19" s="165"/>
      <c r="F19" s="165"/>
      <c r="G19" s="165"/>
      <c r="H19" s="165"/>
      <c r="I19" s="165"/>
      <c r="J19" s="165"/>
      <c r="K19" s="165"/>
      <c r="L19" s="165"/>
      <c r="M19" s="165"/>
      <c r="N19" s="165"/>
      <c r="O19" s="165"/>
      <c r="P19" s="165"/>
      <c r="Q19" s="165"/>
      <c r="R19" s="165"/>
      <c r="S19" s="165"/>
      <c r="T19" s="165"/>
      <c r="U19" s="165"/>
      <c r="V19" s="165"/>
      <c r="W19" s="166"/>
    </row>
    <row r="20" spans="1:23" ht="22.5" customHeight="1">
      <c r="A20" s="91" t="s">
        <v>89</v>
      </c>
      <c r="B20" s="164"/>
      <c r="C20" s="165"/>
      <c r="D20" s="165"/>
      <c r="E20" s="165"/>
      <c r="F20" s="165"/>
      <c r="G20" s="165"/>
      <c r="H20" s="165"/>
      <c r="I20" s="165"/>
      <c r="J20" s="165"/>
      <c r="K20" s="165"/>
      <c r="L20" s="165"/>
      <c r="M20" s="165"/>
      <c r="N20" s="165"/>
      <c r="O20" s="165"/>
      <c r="P20" s="165"/>
      <c r="Q20" s="165"/>
      <c r="R20" s="165"/>
      <c r="S20" s="165"/>
      <c r="T20" s="165"/>
      <c r="U20" s="165"/>
      <c r="V20" s="165"/>
      <c r="W20" s="166"/>
    </row>
    <row r="21" spans="1:23" ht="22.5" customHeight="1">
      <c r="A21" s="91" t="s">
        <v>90</v>
      </c>
      <c r="B21" s="164"/>
      <c r="C21" s="165"/>
      <c r="D21" s="165"/>
      <c r="E21" s="165"/>
      <c r="F21" s="165"/>
      <c r="G21" s="165"/>
      <c r="H21" s="165"/>
      <c r="I21" s="165"/>
      <c r="J21" s="165"/>
      <c r="K21" s="165"/>
      <c r="L21" s="165"/>
      <c r="M21" s="165"/>
      <c r="N21" s="165"/>
      <c r="O21" s="165"/>
      <c r="P21" s="165"/>
      <c r="Q21" s="165"/>
      <c r="R21" s="165"/>
      <c r="S21" s="165"/>
      <c r="T21" s="165"/>
      <c r="U21" s="165"/>
      <c r="V21" s="165"/>
      <c r="W21" s="166"/>
    </row>
    <row r="22" spans="1:23" ht="22.5" customHeight="1">
      <c r="A22" s="91" t="s">
        <v>91</v>
      </c>
      <c r="B22" s="164"/>
      <c r="C22" s="165"/>
      <c r="D22" s="165"/>
      <c r="E22" s="165"/>
      <c r="F22" s="165"/>
      <c r="G22" s="165"/>
      <c r="H22" s="165"/>
      <c r="I22" s="165"/>
      <c r="J22" s="165"/>
      <c r="K22" s="165"/>
      <c r="L22" s="165"/>
      <c r="M22" s="165"/>
      <c r="N22" s="165"/>
      <c r="O22" s="165"/>
      <c r="P22" s="165"/>
      <c r="Q22" s="165"/>
      <c r="R22" s="165"/>
      <c r="S22" s="165"/>
      <c r="T22" s="165"/>
      <c r="U22" s="165"/>
      <c r="V22" s="165"/>
      <c r="W22" s="166"/>
    </row>
    <row r="23" spans="1:23" ht="22.5" customHeight="1">
      <c r="A23" s="91" t="s">
        <v>92</v>
      </c>
      <c r="B23" s="164"/>
      <c r="C23" s="165"/>
      <c r="D23" s="165"/>
      <c r="E23" s="165"/>
      <c r="F23" s="165"/>
      <c r="G23" s="165"/>
      <c r="H23" s="165"/>
      <c r="I23" s="165"/>
      <c r="J23" s="165"/>
      <c r="K23" s="165"/>
      <c r="L23" s="165"/>
      <c r="M23" s="165"/>
      <c r="N23" s="165"/>
      <c r="O23" s="165"/>
      <c r="P23" s="165"/>
      <c r="Q23" s="165"/>
      <c r="R23" s="165"/>
      <c r="S23" s="165"/>
      <c r="T23" s="165"/>
      <c r="U23" s="165"/>
      <c r="V23" s="165"/>
      <c r="W23" s="166"/>
    </row>
    <row r="24" spans="1:23" ht="22.5" customHeight="1">
      <c r="A24" s="91"/>
      <c r="B24" s="164"/>
      <c r="C24" s="165"/>
      <c r="D24" s="165"/>
      <c r="E24" s="165"/>
      <c r="F24" s="165"/>
      <c r="G24" s="165"/>
      <c r="H24" s="165"/>
      <c r="I24" s="165"/>
      <c r="J24" s="165"/>
      <c r="K24" s="165"/>
      <c r="L24" s="165"/>
      <c r="M24" s="165"/>
      <c r="N24" s="165"/>
      <c r="O24" s="165"/>
      <c r="P24" s="165"/>
      <c r="Q24" s="165"/>
      <c r="R24" s="165"/>
      <c r="S24" s="165"/>
      <c r="T24" s="165"/>
      <c r="U24" s="165"/>
      <c r="V24" s="165"/>
      <c r="W24" s="166"/>
    </row>
    <row r="25" spans="1:23" ht="22.5" customHeight="1">
      <c r="A25" s="91"/>
      <c r="B25" s="164"/>
      <c r="C25" s="165"/>
      <c r="D25" s="165"/>
      <c r="E25" s="165"/>
      <c r="F25" s="165"/>
      <c r="G25" s="165"/>
      <c r="H25" s="165"/>
      <c r="I25" s="165"/>
      <c r="J25" s="165"/>
      <c r="K25" s="165"/>
      <c r="L25" s="165"/>
      <c r="M25" s="165"/>
      <c r="N25" s="165"/>
      <c r="O25" s="165"/>
      <c r="P25" s="165"/>
      <c r="Q25" s="165"/>
      <c r="R25" s="165"/>
      <c r="S25" s="165"/>
      <c r="T25" s="165"/>
      <c r="U25" s="165"/>
      <c r="V25" s="165"/>
      <c r="W25" s="166"/>
    </row>
    <row r="26" spans="1:23" ht="22.5" customHeight="1">
      <c r="A26" s="91"/>
      <c r="B26" s="164"/>
      <c r="C26" s="165"/>
      <c r="D26" s="165"/>
      <c r="E26" s="165"/>
      <c r="F26" s="165"/>
      <c r="G26" s="165"/>
      <c r="H26" s="165"/>
      <c r="I26" s="165"/>
      <c r="J26" s="165"/>
      <c r="K26" s="165"/>
      <c r="L26" s="165"/>
      <c r="M26" s="165"/>
      <c r="N26" s="165"/>
      <c r="O26" s="165"/>
      <c r="P26" s="165"/>
      <c r="Q26" s="165"/>
      <c r="R26" s="165"/>
      <c r="S26" s="165"/>
      <c r="T26" s="165"/>
      <c r="U26" s="165"/>
      <c r="V26" s="165"/>
      <c r="W26" s="166"/>
    </row>
    <row r="27" spans="1:23" ht="22.5" customHeight="1">
      <c r="A27" s="91"/>
      <c r="B27" s="164"/>
      <c r="C27" s="165"/>
      <c r="D27" s="165"/>
      <c r="E27" s="165"/>
      <c r="F27" s="165"/>
      <c r="G27" s="165"/>
      <c r="H27" s="165"/>
      <c r="I27" s="165"/>
      <c r="J27" s="165"/>
      <c r="K27" s="165"/>
      <c r="L27" s="165"/>
      <c r="M27" s="165"/>
      <c r="N27" s="165"/>
      <c r="O27" s="165"/>
      <c r="P27" s="165"/>
      <c r="Q27" s="165"/>
      <c r="R27" s="165"/>
      <c r="S27" s="165"/>
      <c r="T27" s="165"/>
      <c r="U27" s="165"/>
      <c r="V27" s="165"/>
      <c r="W27" s="166"/>
    </row>
    <row r="28" spans="1:23" ht="22.5" customHeight="1">
      <c r="A28" s="91"/>
      <c r="B28" s="164"/>
      <c r="C28" s="165"/>
      <c r="D28" s="165"/>
      <c r="E28" s="165"/>
      <c r="F28" s="165"/>
      <c r="G28" s="165"/>
      <c r="H28" s="165"/>
      <c r="I28" s="165"/>
      <c r="J28" s="165"/>
      <c r="K28" s="165"/>
      <c r="L28" s="165"/>
      <c r="M28" s="165"/>
      <c r="N28" s="165"/>
      <c r="O28" s="165"/>
      <c r="P28" s="165"/>
      <c r="Q28" s="165"/>
      <c r="R28" s="165"/>
      <c r="S28" s="165"/>
      <c r="T28" s="165"/>
      <c r="U28" s="165"/>
      <c r="V28" s="165"/>
      <c r="W28" s="166"/>
    </row>
    <row r="29" spans="1:23" ht="22.5" customHeight="1">
      <c r="A29" s="91"/>
      <c r="B29" s="164"/>
      <c r="C29" s="165"/>
      <c r="D29" s="165"/>
      <c r="E29" s="165"/>
      <c r="F29" s="165"/>
      <c r="G29" s="165"/>
      <c r="H29" s="165"/>
      <c r="I29" s="165"/>
      <c r="J29" s="165"/>
      <c r="K29" s="165"/>
      <c r="L29" s="165"/>
      <c r="M29" s="165"/>
      <c r="N29" s="165"/>
      <c r="O29" s="165"/>
      <c r="P29" s="165"/>
      <c r="Q29" s="165"/>
      <c r="R29" s="165"/>
      <c r="S29" s="165"/>
      <c r="T29" s="165"/>
      <c r="U29" s="165"/>
      <c r="V29" s="165"/>
      <c r="W29" s="166"/>
    </row>
    <row r="30" spans="1:23" ht="17.25" customHeight="1"/>
    <row r="31" spans="1:23" ht="17.25" customHeight="1"/>
    <row r="32" spans="1:2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sheetData>
  <mergeCells count="29">
    <mergeCell ref="B12:W12"/>
    <mergeCell ref="A1:C1"/>
    <mergeCell ref="A2:C2"/>
    <mergeCell ref="A3:C3"/>
    <mergeCell ref="A4:C4"/>
    <mergeCell ref="A5:C5"/>
    <mergeCell ref="A6:C6"/>
    <mergeCell ref="A7:C7"/>
    <mergeCell ref="A8:C8"/>
    <mergeCell ref="A9:W9"/>
    <mergeCell ref="B10:W10"/>
    <mergeCell ref="B11:W11"/>
    <mergeCell ref="B24:W24"/>
    <mergeCell ref="B13:W13"/>
    <mergeCell ref="B14:W14"/>
    <mergeCell ref="B15:W15"/>
    <mergeCell ref="B16:W16"/>
    <mergeCell ref="B17:W17"/>
    <mergeCell ref="B18:W18"/>
    <mergeCell ref="B19:W19"/>
    <mergeCell ref="B20:W20"/>
    <mergeCell ref="B21:W21"/>
    <mergeCell ref="B22:W22"/>
    <mergeCell ref="B23:W23"/>
    <mergeCell ref="B25:W25"/>
    <mergeCell ref="B26:W26"/>
    <mergeCell ref="B27:W27"/>
    <mergeCell ref="B28:W28"/>
    <mergeCell ref="B29:W29"/>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6</vt:i4>
      </vt:variant>
    </vt:vector>
  </HeadingPairs>
  <TitlesOfParts>
    <vt:vector size="18" baseType="lpstr">
      <vt:lpstr>通知票</vt:lpstr>
      <vt:lpstr>所見集</vt:lpstr>
      <vt:lpstr>国語</vt:lpstr>
      <vt:lpstr>算数</vt:lpstr>
      <vt:lpstr>生活</vt:lpstr>
      <vt:lpstr>英語</vt:lpstr>
      <vt:lpstr>音楽</vt:lpstr>
      <vt:lpstr>図工</vt:lpstr>
      <vt:lpstr>体育</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2024-07-16T03:35:30Z</cp:lastPrinted>
  <dcterms:created xsi:type="dcterms:W3CDTF">2005-07-21T09:07:06Z</dcterms:created>
  <dcterms:modified xsi:type="dcterms:W3CDTF">2024-07-16T03:36:31Z</dcterms:modified>
</cp:coreProperties>
</file>