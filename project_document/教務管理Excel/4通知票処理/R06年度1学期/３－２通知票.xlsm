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215" yWindow="0" windowWidth="11715" windowHeight="12675"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道徳" sheetId="43" r:id="rId11"/>
    <sheet name="所見" sheetId="44" r:id="rId12"/>
    <sheet name="出欠" sheetId="45" r:id="rId13"/>
  </sheets>
  <definedNames>
    <definedName name="_xlnm.Print_Area" localSheetId="1">所見集!$A$1:$C$15</definedName>
    <definedName name="_xlnm.Print_Area" localSheetId="0">通知票!$A$1:$I$93</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Y5" i="45" l="1"/>
  <c r="U5" i="45"/>
  <c r="R5" i="45"/>
  <c r="Q5" i="45"/>
  <c r="M5" i="45"/>
  <c r="J5" i="45"/>
  <c r="I5" i="45"/>
  <c r="E5" i="45"/>
  <c r="Y4" i="45"/>
  <c r="X4" i="45"/>
  <c r="X5" i="45" s="1"/>
  <c r="W4" i="45"/>
  <c r="W5" i="45" s="1"/>
  <c r="V4" i="45"/>
  <c r="V5" i="45" s="1"/>
  <c r="U4" i="45"/>
  <c r="T4" i="45"/>
  <c r="T5" i="45" s="1"/>
  <c r="S4" i="45"/>
  <c r="S5" i="45" s="1"/>
  <c r="R4" i="45"/>
  <c r="Q4" i="45"/>
  <c r="P4" i="45"/>
  <c r="P5" i="45" s="1"/>
  <c r="O4" i="45"/>
  <c r="O5" i="45" s="1"/>
  <c r="N4" i="45"/>
  <c r="N5" i="45" s="1"/>
  <c r="M4" i="45"/>
  <c r="L4" i="45"/>
  <c r="L5" i="45" s="1"/>
  <c r="K4" i="45"/>
  <c r="K5" i="45" s="1"/>
  <c r="J4" i="45"/>
  <c r="I4" i="45"/>
  <c r="H4" i="45"/>
  <c r="H5" i="45" s="1"/>
  <c r="G4" i="45"/>
  <c r="G5" i="45" s="1"/>
  <c r="F4" i="45"/>
  <c r="F5" i="45" s="1"/>
  <c r="E4" i="45"/>
  <c r="D4" i="45"/>
  <c r="D5" i="45" s="1"/>
  <c r="Y1" i="45"/>
  <c r="X1" i="45"/>
  <c r="W1" i="45"/>
  <c r="V1" i="45"/>
  <c r="U1" i="45"/>
  <c r="T1" i="45"/>
  <c r="S1" i="45"/>
  <c r="R1" i="45"/>
  <c r="Q1" i="45"/>
  <c r="P1" i="45"/>
  <c r="O1" i="45"/>
  <c r="N1" i="45"/>
  <c r="M1" i="45"/>
  <c r="L1" i="45"/>
  <c r="K1" i="45"/>
  <c r="J1" i="45"/>
  <c r="I1" i="45"/>
  <c r="H1" i="45"/>
  <c r="G1" i="45"/>
  <c r="F1" i="45"/>
  <c r="E1" i="45"/>
  <c r="D1" i="45"/>
  <c r="A1" i="45"/>
  <c r="Z57" i="44" l="1"/>
  <c r="A57" i="44"/>
  <c r="Z56" i="44"/>
  <c r="A56" i="44"/>
  <c r="Z55" i="44"/>
  <c r="A55" i="44"/>
  <c r="Z54" i="44"/>
  <c r="A54" i="44"/>
  <c r="Z53" i="44"/>
  <c r="A53" i="44"/>
  <c r="Z52" i="44"/>
  <c r="A52" i="44"/>
  <c r="Z51" i="44"/>
  <c r="A51" i="44"/>
  <c r="Z50" i="44"/>
  <c r="A50" i="44"/>
  <c r="Z49" i="44"/>
  <c r="A49" i="44"/>
  <c r="Z48" i="44"/>
  <c r="A48" i="44"/>
  <c r="Z47" i="44"/>
  <c r="A47" i="44"/>
  <c r="Z46" i="44"/>
  <c r="A46" i="44"/>
  <c r="Z45" i="44"/>
  <c r="A45" i="44"/>
  <c r="Z44" i="44"/>
  <c r="A44" i="44"/>
  <c r="Z43" i="44"/>
  <c r="A43" i="44"/>
  <c r="Z42" i="44"/>
  <c r="A42" i="44"/>
  <c r="Z41" i="44"/>
  <c r="A41" i="44"/>
  <c r="Z40" i="44"/>
  <c r="A40" i="44"/>
  <c r="Z39" i="44"/>
  <c r="A39" i="44"/>
  <c r="Z38" i="44"/>
  <c r="A38" i="44"/>
  <c r="Z37" i="44"/>
  <c r="A37" i="44"/>
  <c r="Z36" i="44"/>
  <c r="A36" i="44"/>
  <c r="Y1" i="44"/>
  <c r="X1" i="44"/>
  <c r="W1" i="44"/>
  <c r="V1" i="44"/>
  <c r="U1" i="44"/>
  <c r="T1" i="44"/>
  <c r="S1" i="44"/>
  <c r="R1" i="44"/>
  <c r="Q1" i="44"/>
  <c r="P1" i="44"/>
  <c r="O1" i="44"/>
  <c r="N1" i="44"/>
  <c r="M1" i="44"/>
  <c r="L1" i="44"/>
  <c r="K1" i="44"/>
  <c r="J1" i="44"/>
  <c r="I1" i="44"/>
  <c r="H1" i="44"/>
  <c r="G1" i="44"/>
  <c r="F1" i="44"/>
  <c r="E1" i="44"/>
  <c r="D1" i="44"/>
  <c r="A1" i="44"/>
  <c r="C24" i="43" l="1"/>
  <c r="C23" i="43"/>
  <c r="C22" i="43"/>
  <c r="C21" i="43"/>
  <c r="C20" i="43"/>
  <c r="C19" i="43"/>
  <c r="C18" i="43"/>
  <c r="C17" i="43"/>
  <c r="C16" i="43"/>
  <c r="C15" i="43"/>
  <c r="C14" i="43"/>
  <c r="C13" i="43"/>
  <c r="C12" i="43"/>
  <c r="C11" i="43"/>
  <c r="C10" i="43"/>
  <c r="C9" i="43"/>
  <c r="C8" i="43"/>
  <c r="C7" i="43"/>
  <c r="C6" i="43"/>
  <c r="C5" i="43"/>
  <c r="C4" i="43"/>
  <c r="C3" i="43"/>
  <c r="B1" i="43"/>
  <c r="A1" i="43"/>
  <c r="Y1" i="42" l="1"/>
  <c r="X1" i="42"/>
  <c r="W1" i="42"/>
  <c r="V1" i="42"/>
  <c r="U1" i="42"/>
  <c r="T1" i="42"/>
  <c r="S1" i="42"/>
  <c r="R1" i="42"/>
  <c r="Q1" i="42"/>
  <c r="P1" i="42"/>
  <c r="O1" i="42"/>
  <c r="N1" i="42"/>
  <c r="M1" i="42"/>
  <c r="L1" i="42"/>
  <c r="K1" i="42"/>
  <c r="J1" i="42"/>
  <c r="I1" i="42"/>
  <c r="H1" i="42"/>
  <c r="G1" i="42"/>
  <c r="F1" i="42"/>
  <c r="E1" i="42"/>
  <c r="D1" i="42"/>
  <c r="B1" i="42"/>
  <c r="A1" i="42"/>
  <c r="Y1" i="41" l="1"/>
  <c r="X1" i="41"/>
  <c r="W1" i="41"/>
  <c r="V1" i="41"/>
  <c r="U1" i="41"/>
  <c r="T1" i="41"/>
  <c r="S1" i="41"/>
  <c r="R1" i="41"/>
  <c r="Q1" i="41"/>
  <c r="P1" i="41"/>
  <c r="O1" i="41"/>
  <c r="N1" i="41"/>
  <c r="M1" i="41"/>
  <c r="L1" i="41"/>
  <c r="K1" i="41"/>
  <c r="J1" i="41"/>
  <c r="I1" i="41"/>
  <c r="H1" i="41"/>
  <c r="G1" i="41"/>
  <c r="F1" i="41"/>
  <c r="E1" i="41"/>
  <c r="D1" i="41"/>
  <c r="B1" i="41"/>
  <c r="A1" i="41"/>
  <c r="Y1" i="40" l="1"/>
  <c r="X1" i="40"/>
  <c r="W1" i="40"/>
  <c r="V1" i="40"/>
  <c r="U1" i="40"/>
  <c r="T1" i="40"/>
  <c r="S1" i="40"/>
  <c r="R1" i="40"/>
  <c r="Q1" i="40"/>
  <c r="P1" i="40"/>
  <c r="O1" i="40"/>
  <c r="N1" i="40"/>
  <c r="M1" i="40"/>
  <c r="L1" i="40"/>
  <c r="K1" i="40"/>
  <c r="J1" i="40"/>
  <c r="I1" i="40"/>
  <c r="H1" i="40"/>
  <c r="G1" i="40"/>
  <c r="F1" i="40"/>
  <c r="E1" i="40"/>
  <c r="D1" i="40"/>
  <c r="B1" i="40"/>
  <c r="A1" i="40"/>
  <c r="Y1" i="39" l="1"/>
  <c r="X1" i="39"/>
  <c r="W1" i="39"/>
  <c r="V1" i="39"/>
  <c r="U1" i="39"/>
  <c r="T1" i="39"/>
  <c r="S1" i="39"/>
  <c r="R1" i="39"/>
  <c r="Q1" i="39"/>
  <c r="P1" i="39"/>
  <c r="O1" i="39"/>
  <c r="N1" i="39"/>
  <c r="M1" i="39"/>
  <c r="L1" i="39"/>
  <c r="K1" i="39"/>
  <c r="J1" i="39"/>
  <c r="I1" i="39"/>
  <c r="H1" i="39"/>
  <c r="G1" i="39"/>
  <c r="F1" i="39"/>
  <c r="E1" i="39"/>
  <c r="D1" i="39"/>
  <c r="B1" i="39"/>
  <c r="A1" i="39"/>
  <c r="Y1" i="47" l="1"/>
  <c r="X1" i="47"/>
  <c r="W1" i="47"/>
  <c r="V1" i="47"/>
  <c r="U1" i="47"/>
  <c r="T1" i="47"/>
  <c r="S1" i="47"/>
  <c r="R1" i="47"/>
  <c r="Q1" i="47"/>
  <c r="P1" i="47"/>
  <c r="O1" i="47"/>
  <c r="N1" i="47"/>
  <c r="M1" i="47"/>
  <c r="L1" i="47"/>
  <c r="K1" i="47"/>
  <c r="J1" i="47"/>
  <c r="I1" i="47"/>
  <c r="H1" i="47"/>
  <c r="G1" i="47"/>
  <c r="F1" i="47"/>
  <c r="E1" i="47"/>
  <c r="D1" i="47"/>
  <c r="B1" i="47"/>
  <c r="A1" i="47"/>
  <c r="Y1" i="38" l="1"/>
  <c r="X1" i="38"/>
  <c r="W1" i="38"/>
  <c r="V1" i="38"/>
  <c r="U1" i="38"/>
  <c r="T1" i="38"/>
  <c r="S1" i="38"/>
  <c r="R1" i="38"/>
  <c r="Q1" i="38"/>
  <c r="P1" i="38"/>
  <c r="O1" i="38"/>
  <c r="N1" i="38"/>
  <c r="M1" i="38"/>
  <c r="L1" i="38"/>
  <c r="K1" i="38"/>
  <c r="J1" i="38"/>
  <c r="I1" i="38"/>
  <c r="H1" i="38"/>
  <c r="G1" i="38"/>
  <c r="F1" i="38"/>
  <c r="E1" i="38"/>
  <c r="D1" i="38"/>
  <c r="B1" i="38"/>
  <c r="A1" i="38"/>
  <c r="Y1" i="37" l="1"/>
  <c r="X1" i="37"/>
  <c r="W1" i="37"/>
  <c r="V1" i="37"/>
  <c r="U1" i="37"/>
  <c r="T1" i="37"/>
  <c r="S1" i="37"/>
  <c r="R1" i="37"/>
  <c r="Q1" i="37"/>
  <c r="P1" i="37"/>
  <c r="O1" i="37"/>
  <c r="N1" i="37"/>
  <c r="M1" i="37"/>
  <c r="L1" i="37"/>
  <c r="K1" i="37"/>
  <c r="J1" i="37"/>
  <c r="I1" i="37"/>
  <c r="H1" i="37"/>
  <c r="G1" i="37"/>
  <c r="F1" i="37"/>
  <c r="E1" i="37"/>
  <c r="D1" i="37"/>
  <c r="B1" i="37"/>
  <c r="A1" i="37"/>
  <c r="Y1" i="36" l="1"/>
  <c r="X1" i="36"/>
  <c r="W1" i="36"/>
  <c r="V1" i="36"/>
  <c r="U1" i="36"/>
  <c r="T1" i="36"/>
  <c r="S1" i="36"/>
  <c r="R1" i="36"/>
  <c r="Q1" i="36"/>
  <c r="P1" i="36"/>
  <c r="O1" i="36"/>
  <c r="N1" i="36"/>
  <c r="M1" i="36"/>
  <c r="L1" i="36"/>
  <c r="K1" i="36"/>
  <c r="J1" i="36"/>
  <c r="I1" i="36"/>
  <c r="H1" i="36"/>
  <c r="G1" i="36"/>
  <c r="F1" i="36"/>
  <c r="E1" i="36"/>
  <c r="D1" i="36"/>
  <c r="B1" i="36"/>
  <c r="A1" i="36"/>
  <c r="L85" i="1" l="1"/>
  <c r="L19" i="1"/>
  <c r="A1" i="1" l="1"/>
  <c r="P6" i="1"/>
  <c r="P13" i="1"/>
  <c r="P21" i="1"/>
  <c r="P25" i="1"/>
  <c r="P27" i="1"/>
  <c r="P7" i="1"/>
  <c r="B93" i="1"/>
  <c r="P20" i="1"/>
  <c r="P22" i="1"/>
  <c r="P18" i="1"/>
  <c r="P24" i="1"/>
  <c r="P28" i="1"/>
  <c r="P29" i="1"/>
  <c r="P10" i="1"/>
  <c r="P11" i="1"/>
  <c r="P12" i="1"/>
  <c r="P19" i="1"/>
  <c r="P9" i="1"/>
  <c r="P30" i="1"/>
  <c r="P17" i="1"/>
  <c r="C15" i="46"/>
  <c r="P23" i="1"/>
  <c r="G2" i="1"/>
  <c r="P15" i="1"/>
  <c r="P16" i="1"/>
  <c r="P8" i="1"/>
  <c r="P26" i="1"/>
  <c r="P14" i="1"/>
  <c r="B6" i="46" l="1"/>
  <c r="C6" i="46"/>
  <c r="B8" i="46" l="1"/>
  <c r="C8" i="46"/>
  <c r="C7" i="46"/>
  <c r="G76" i="1" l="1"/>
  <c r="B76" i="1"/>
  <c r="G75" i="1"/>
  <c r="B75" i="1"/>
  <c r="G74" i="1"/>
  <c r="B74" i="1"/>
  <c r="G73" i="1"/>
  <c r="B73" i="1"/>
  <c r="G72" i="1"/>
  <c r="B72" i="1"/>
  <c r="G71" i="1"/>
  <c r="B71" i="1"/>
  <c r="G69" i="1"/>
  <c r="B69" i="1"/>
  <c r="G68" i="1"/>
  <c r="B68" i="1"/>
  <c r="G67" i="1"/>
  <c r="B67" i="1"/>
  <c r="G66" i="1"/>
  <c r="B66" i="1"/>
  <c r="G65" i="1"/>
  <c r="B65" i="1"/>
  <c r="G63" i="1"/>
  <c r="B63" i="1"/>
  <c r="G62" i="1"/>
  <c r="B62" i="1"/>
  <c r="G61" i="1"/>
  <c r="B61" i="1"/>
  <c r="G60" i="1"/>
  <c r="B60" i="1"/>
  <c r="G59" i="1"/>
  <c r="B59" i="1"/>
  <c r="G58" i="1"/>
  <c r="B58" i="1"/>
  <c r="G57" i="1"/>
  <c r="B57" i="1"/>
  <c r="H36" i="1"/>
  <c r="G44" i="1"/>
  <c r="B44" i="1"/>
  <c r="G43" i="1"/>
  <c r="B43" i="1"/>
  <c r="G42" i="1"/>
  <c r="B42" i="1"/>
  <c r="G41" i="1"/>
  <c r="B41" i="1"/>
  <c r="G40" i="1"/>
  <c r="B40" i="1"/>
  <c r="G39" i="1"/>
  <c r="B39" i="1"/>
  <c r="G38" i="1"/>
  <c r="B38" i="1"/>
  <c r="G37" i="1"/>
  <c r="B37" i="1"/>
  <c r="G36" i="1"/>
  <c r="B36" i="1"/>
  <c r="B26" i="1"/>
  <c r="G35" i="1"/>
  <c r="B35" i="1"/>
  <c r="G34" i="1"/>
  <c r="B34" i="1"/>
  <c r="G33" i="1"/>
  <c r="B33" i="1"/>
  <c r="G32" i="1"/>
  <c r="B32" i="1"/>
  <c r="G31" i="1"/>
  <c r="B31" i="1"/>
  <c r="G30" i="1"/>
  <c r="B30" i="1"/>
  <c r="G29" i="1"/>
  <c r="B29" i="1"/>
  <c r="G28" i="1"/>
  <c r="B28" i="1"/>
  <c r="G27" i="1"/>
  <c r="B27" i="1"/>
  <c r="C1" i="1" l="1"/>
  <c r="B12" i="46" l="1"/>
  <c r="B11" i="46"/>
  <c r="B10" i="46"/>
  <c r="B9" i="46"/>
  <c r="B7" i="46"/>
  <c r="B5" i="46"/>
  <c r="A1" i="46"/>
  <c r="C12" i="46"/>
  <c r="C2" i="46"/>
  <c r="B13" i="46"/>
  <c r="C10" i="46"/>
  <c r="C11" i="46"/>
  <c r="C5" i="46"/>
  <c r="C9" i="46"/>
  <c r="C1" i="46" l="1"/>
  <c r="H70" i="1" l="1"/>
  <c r="G70" i="1"/>
  <c r="H64" i="1"/>
  <c r="G64" i="1"/>
  <c r="H56" i="1"/>
  <c r="G56" i="1"/>
  <c r="G53" i="1"/>
  <c r="G52" i="1"/>
  <c r="G51" i="1"/>
  <c r="G50" i="1"/>
  <c r="G49" i="1"/>
  <c r="G48" i="1"/>
  <c r="G47" i="1"/>
  <c r="G46" i="1"/>
  <c r="H45" i="1"/>
  <c r="G45" i="1"/>
  <c r="H26" i="1"/>
  <c r="G26" i="1"/>
  <c r="G25" i="1"/>
  <c r="G24" i="1"/>
  <c r="G23" i="1"/>
  <c r="G22" i="1"/>
  <c r="G21" i="1"/>
  <c r="G20" i="1"/>
  <c r="G19" i="1"/>
  <c r="G18" i="1"/>
  <c r="G17" i="1"/>
  <c r="H16" i="1"/>
  <c r="G16" i="1"/>
  <c r="I86" i="1"/>
  <c r="I85" i="1"/>
  <c r="I84" i="1"/>
  <c r="I83" i="1"/>
  <c r="I82" i="1"/>
  <c r="I81" i="1"/>
  <c r="I80" i="1"/>
  <c r="D89" i="1"/>
  <c r="D88" i="1"/>
  <c r="D87" i="1"/>
  <c r="D86" i="1"/>
  <c r="D85" i="1"/>
  <c r="D84" i="1"/>
  <c r="D83" i="1"/>
  <c r="D82" i="1"/>
  <c r="D81" i="1"/>
  <c r="D80" i="1"/>
  <c r="H6" i="1"/>
  <c r="G15" i="1"/>
  <c r="G14" i="1"/>
  <c r="G13" i="1"/>
  <c r="G12" i="1"/>
  <c r="G11" i="1"/>
  <c r="G10" i="1"/>
  <c r="G9" i="1"/>
  <c r="G8" i="1"/>
  <c r="G7" i="1"/>
  <c r="G6" i="1"/>
  <c r="F87" i="1"/>
  <c r="B77" i="1"/>
  <c r="C91" i="1"/>
  <c r="A89" i="1" l="1"/>
  <c r="A88" i="1"/>
  <c r="A87" i="1"/>
  <c r="A86" i="1"/>
  <c r="A85" i="1"/>
  <c r="A84" i="1"/>
  <c r="A83" i="1"/>
  <c r="A82" i="1"/>
  <c r="A81" i="1"/>
  <c r="A80" i="1"/>
  <c r="B70" i="1"/>
  <c r="B64" i="1"/>
  <c r="B56" i="1"/>
  <c r="B53" i="1"/>
  <c r="B52" i="1"/>
  <c r="B51" i="1"/>
  <c r="B50" i="1"/>
  <c r="B49" i="1"/>
  <c r="B48" i="1"/>
  <c r="B47" i="1"/>
  <c r="B46" i="1"/>
  <c r="B45"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<sst xmlns="http://schemas.openxmlformats.org/spreadsheetml/2006/main" count="2224" uniqueCount="335">
  <si>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</si>
  <si>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</si>
  <si>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</si>
  <si>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</si>
  <si>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</si>
  <si>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</si>
  <si>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</si>
  <si>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</si>
  <si>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</si>
  <si>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</si>
  <si>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</si>
  <si>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</si>
  <si>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</si>
  <si>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</si>
  <si>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</si>
  <si>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</si>
  <si>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</si>
  <si>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</si>
  <si>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</si>
  <si>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</si>
  <si>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</si>
  <si>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</si>
  <si>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</si>
  <si>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</si>
  <si>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</si>
  <si>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</si>
  <si>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</si>
  <si>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</si>
  <si>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</si>
  <si>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</si>
  <si>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</si>
  <si>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</si>
  <si>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</si>
  <si>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</si>
  <si>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</si>
  <si>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</si>
  <si>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</si>
  <si>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</si>
  <si>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</si>
  <si>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</si>
  <si>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</si>
  <si>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</si>
  <si>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</si>
  <si>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</si>
  <si>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</si>
  <si>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英語学習に楽しみを感じ、意欲的に学習に励むことができる</t>
  </si>
  <si>
    <t>単語の発音を予想して読むことができる</t>
  </si>
  <si>
    <t>単語の音を聞いて、つづりを予想して書くことができる</t>
  </si>
  <si>
    <t>B</t>
  </si>
  <si>
    <t>A</t>
  </si>
  <si>
    <t>理科</t>
    <rPh sb="0" eb="2">
      <t>リカ</t>
    </rPh>
    <phoneticPr fontId="1"/>
  </si>
  <si>
    <t>社会</t>
    <rPh sb="0" eb="2">
      <t>シャカイ</t>
    </rPh>
    <phoneticPr fontId="1"/>
  </si>
  <si>
    <t>国語に関心を持ち、進んで読んだり、書いたり、理解したりしている</t>
  </si>
  <si>
    <t>中心となる語や文をとらえ、段落の関係や事実、意見との関係を考えて読むことができる</t>
  </si>
  <si>
    <t>身の回りにあるもの（名詞）、日常生活の動作（動詞）、人や物を説明する言葉（形容詞）を習得することができる</t>
  </si>
  <si>
    <t>登場人物の気持ちや場面の変化、情景を想像して読むことができる</t>
  </si>
  <si>
    <t>学習した漢字を読み書きし、理解することができる</t>
  </si>
  <si>
    <r>
      <t xml:space="preserve">学年
</t>
    </r>
    <r>
      <rPr>
        <sz val="9"/>
        <rFont val="ＭＳ Ｐ明朝"/>
        <family val="1"/>
        <charset val="128"/>
      </rPr>
      <t>(3学期)</t>
    </r>
    <rPh sb="5" eb="7">
      <t>ガッキ</t>
    </rPh>
    <phoneticPr fontId="1"/>
  </si>
  <si>
    <t>算数に関心を持ち、進んで新しい単元の習得をしたり、問題を解いたりすることができる</t>
  </si>
  <si>
    <t>かけ算の決まりを使って１０や０のかけ算の仕組みを理解し、計算することができる</t>
  </si>
  <si>
    <t>時刻や時間を計算によって求めたり、秒の単位を理解したりすることができる</t>
  </si>
  <si>
    <t>わり算の意味を理解し、式に表したり計算したりすることができる</t>
  </si>
  <si>
    <t>実験や観察などを工夫して行い、丁寧に観察したり発表したりすることができる</t>
  </si>
  <si>
    <t>登場人物や場面の様子を考えて内容がわかるように音読ができる</t>
  </si>
  <si>
    <t>話の中心に気を付けて聞き、質問をすることができる</t>
  </si>
  <si>
    <t>自分の考えとその理由や登場人物の行動や気持ちをまとめて書くことができる</t>
  </si>
  <si>
    <t>国語辞典の使い方や漢字の音訓、こそあど言葉を正しく理解することができる</t>
  </si>
  <si>
    <t>正しい姿勢と鉛筆の持ち方で、丁寧な字を書くことができる</t>
  </si>
  <si>
    <t>身近な生き物に興味を持ち、観察の仕方や記録の仕方について理解することができる</t>
  </si>
  <si>
    <t>様々な植物の種子の発芽や育ち方を理解することができる</t>
  </si>
  <si>
    <t>英語で会話をしたり、友だちとスキットをしたりすることができる</t>
  </si>
  <si>
    <t>元気でさわやかなあいさつ返事を、自分から進んですることができる</t>
  </si>
  <si>
    <t>時間やきまりを守り、けじめをつけて、規則正しい生活をすることができる</t>
  </si>
  <si>
    <t>自分の物を大切にし、身の回りやロッカーの整理整頓をすることができる</t>
  </si>
  <si>
    <t>心身の健康に気をつけ、運動する習慣を身につけ、元気に生活することができる</t>
  </si>
  <si>
    <t>自らの目標に向かって最後までやり通すことができる</t>
  </si>
  <si>
    <t>当番の仕事や係活動など、やるべきことを責任持って行うことができる</t>
  </si>
  <si>
    <t>よりよい生活を送るために、考えたり工夫したりして生活することができる</t>
  </si>
  <si>
    <t>相手の気持ちや立場を理解して、だれに対しても仲良く支え合うことができる</t>
  </si>
  <si>
    <t>自然を愛し、生命について考え、大切にすることができる</t>
  </si>
  <si>
    <t>働くことを進んで行い、最後まで一生懸命やることができる</t>
  </si>
  <si>
    <t>A</t>
    <phoneticPr fontId="1"/>
  </si>
  <si>
    <t>この項目は適宜変更して下さい。
※注意※
ただし、項目数は１０個まで。仮に少ない場合も行の削除は絶対に行わないで下さい。</t>
    <phoneticPr fontId="1"/>
  </si>
  <si>
    <t>B</t>
    <phoneticPr fontId="1"/>
  </si>
  <si>
    <t>秋岡 万璃</t>
  </si>
  <si>
    <t>池田 一郎</t>
  </si>
  <si>
    <t>石田 圭</t>
  </si>
  <si>
    <t>伊藤 和花</t>
  </si>
  <si>
    <t>太谷 峰光</t>
  </si>
  <si>
    <t>大西 優</t>
  </si>
  <si>
    <t>帶川 瑛士</t>
  </si>
  <si>
    <t>川本 新</t>
  </si>
  <si>
    <t>後藤 真伸</t>
  </si>
  <si>
    <t>須田 愛菜</t>
  </si>
  <si>
    <t>髙橋 杏</t>
  </si>
  <si>
    <t>田中 雫</t>
  </si>
  <si>
    <t>辻󠄀 琉良</t>
  </si>
  <si>
    <t>長澤 悠真</t>
  </si>
  <si>
    <t>西川 由里子</t>
  </si>
  <si>
    <t>濱本 大翔</t>
  </si>
  <si>
    <t>林 もろみ</t>
  </si>
  <si>
    <t>松井 晴南</t>
  </si>
  <si>
    <t>松山 瑛大</t>
  </si>
  <si>
    <t>山口 澪</t>
  </si>
  <si>
    <t>吉村 高連</t>
  </si>
  <si>
    <t>３けたや４けたの数のたし算・ひき算を、筆算を使って計算することができる</t>
    <rPh sb="16" eb="17">
      <t>サン</t>
    </rPh>
    <phoneticPr fontId="18"/>
  </si>
  <si>
    <t>・自分の分かることを進んで発言しようとすることができる。また、自分の考えを言葉で表現し、ノートに書くことができた。・「かけ算」の単元では、かけ算のきまりを使った学習内容を確実に自分のものにすることができた。・「時刻と時間のもとめ方」の単元では、分と秒との単位換算での間違いが見られた。また、「たし算とひき算の筆算」の単元では、繰り下がりのあるひき算での間違いが見られたので確実にできるように復習したい。・特に５月の下旬頃から、宿題をやってこなかったり、答え合わせをしてこなかったりしたことが何度かあった。宿題で、適当な答えを書いてしまっていた時もあったが、学校でのやり直しでは、きちんとできていた。宿題を連続してできていないということはないが、毎日しっかりとできるようにしたい。・文字が丁寧に書けないことがあった。特に６の書き方に気をつけたい。</t>
    <rPh sb="31" eb="33">
      <t>ジブン</t>
    </rPh>
    <rPh sb="34" eb="35">
      <t>カンガ</t>
    </rPh>
    <rPh sb="37" eb="39">
      <t>コトバ</t>
    </rPh>
    <rPh sb="40" eb="42">
      <t>ヒョウゲン</t>
    </rPh>
    <rPh sb="48" eb="49">
      <t>カ</t>
    </rPh>
    <rPh sb="148" eb="149">
      <t>ザン</t>
    </rPh>
    <rPh sb="152" eb="153">
      <t>サン</t>
    </rPh>
    <rPh sb="154" eb="156">
      <t>ヒッサン</t>
    </rPh>
    <rPh sb="158" eb="160">
      <t>タンゲン</t>
    </rPh>
    <rPh sb="163" eb="164">
      <t>ク</t>
    </rPh>
    <rPh sb="165" eb="166">
      <t>サ</t>
    </rPh>
    <rPh sb="173" eb="174">
      <t>サン</t>
    </rPh>
    <rPh sb="176" eb="178">
      <t>マチガ</t>
    </rPh>
    <rPh sb="180" eb="181">
      <t>ミ</t>
    </rPh>
    <rPh sb="186" eb="188">
      <t>カクジツ</t>
    </rPh>
    <rPh sb="195" eb="197">
      <t>フクシュウ</t>
    </rPh>
    <rPh sb="202" eb="203">
      <t>トク</t>
    </rPh>
    <rPh sb="205" eb="206">
      <t>ツキ</t>
    </rPh>
    <rPh sb="207" eb="209">
      <t>ゲジュン</t>
    </rPh>
    <rPh sb="209" eb="210">
      <t>コロ</t>
    </rPh>
    <rPh sb="213" eb="215">
      <t>シュクダイ</t>
    </rPh>
    <rPh sb="226" eb="227">
      <t>コタ</t>
    </rPh>
    <rPh sb="228" eb="229">
      <t>ア</t>
    </rPh>
    <rPh sb="245" eb="247">
      <t>ナンド</t>
    </rPh>
    <rPh sb="252" eb="254">
      <t>シュクダイ</t>
    </rPh>
    <rPh sb="256" eb="258">
      <t>テキトウ</t>
    </rPh>
    <rPh sb="259" eb="260">
      <t>コタ</t>
    </rPh>
    <rPh sb="262" eb="263">
      <t>カ</t>
    </rPh>
    <rPh sb="271" eb="272">
      <t>トキ</t>
    </rPh>
    <rPh sb="278" eb="280">
      <t>ガッコウ</t>
    </rPh>
    <rPh sb="284" eb="285">
      <t>ナオ</t>
    </rPh>
    <rPh sb="299" eb="301">
      <t>シュクダイ</t>
    </rPh>
    <rPh sb="302" eb="304">
      <t>レンゾク</t>
    </rPh>
    <rPh sb="322" eb="324">
      <t>マイニチ</t>
    </rPh>
    <phoneticPr fontId="1"/>
  </si>
  <si>
    <t>・自分の分かることを積極的に発言しようとすることができた。すぐに理解できない様子も見られたが、一生懸命に取り組もうとすることができた。・「わり算」の単元では、４２÷６＝８、２４÷３＝９などの間違いが見られたので、もう一度かけ算の確認をし、わり算に結びつけられるように復習したい。・「かけ算」の単元では、かけ算のきまりを使った学習内容を確実に自分のものにすることができた。・テキストに間違いがあった時のやり直しがなかなかできないことが多く、声を掛けないとやり直しの部分がたまってしまいがちであったので、言われなくても自分から取り組んでいくようにしたい。・数字を丁寧に書けないことが多い。特に、０を書く時に、しっかりとつながらないままになってしまいがちなので、気をつけたい。また、ノートをしっかりと書けていない様子が見られるので、２学期は、後から自分が見ても分かりやすいノートにしていきたい。</t>
    <rPh sb="32" eb="34">
      <t>リカイ</t>
    </rPh>
    <rPh sb="38" eb="40">
      <t>ヨウス</t>
    </rPh>
    <rPh sb="41" eb="42">
      <t>ミ</t>
    </rPh>
    <rPh sb="47" eb="51">
      <t>イッショウケンメイ</t>
    </rPh>
    <rPh sb="52" eb="53">
      <t>ト</t>
    </rPh>
    <rPh sb="54" eb="55">
      <t>ク</t>
    </rPh>
    <rPh sb="114" eb="116">
      <t>カクニン</t>
    </rPh>
    <rPh sb="153" eb="154">
      <t>ザン</t>
    </rPh>
    <rPh sb="159" eb="160">
      <t>ツカ</t>
    </rPh>
    <rPh sb="250" eb="251">
      <t>イ</t>
    </rPh>
    <rPh sb="257" eb="259">
      <t>ジブン</t>
    </rPh>
    <rPh sb="261" eb="262">
      <t>ト</t>
    </rPh>
    <rPh sb="263" eb="264">
      <t>ク</t>
    </rPh>
    <rPh sb="276" eb="278">
      <t>スウジ</t>
    </rPh>
    <rPh sb="279" eb="281">
      <t>テイネイ</t>
    </rPh>
    <rPh sb="282" eb="283">
      <t>カ</t>
    </rPh>
    <rPh sb="289" eb="290">
      <t>オオ</t>
    </rPh>
    <rPh sb="292" eb="293">
      <t>トク</t>
    </rPh>
    <rPh sb="297" eb="298">
      <t>カ</t>
    </rPh>
    <rPh sb="299" eb="300">
      <t>トキ</t>
    </rPh>
    <rPh sb="328" eb="329">
      <t>キ</t>
    </rPh>
    <rPh sb="347" eb="348">
      <t>カ</t>
    </rPh>
    <rPh sb="353" eb="355">
      <t>ヨウス</t>
    </rPh>
    <rPh sb="356" eb="357">
      <t>ミ</t>
    </rPh>
    <rPh sb="364" eb="366">
      <t>ガッキ</t>
    </rPh>
    <rPh sb="368" eb="369">
      <t>アト</t>
    </rPh>
    <rPh sb="371" eb="373">
      <t>ジブン</t>
    </rPh>
    <rPh sb="374" eb="375">
      <t>ミ</t>
    </rPh>
    <rPh sb="377" eb="378">
      <t>ワ</t>
    </rPh>
    <phoneticPr fontId="1"/>
  </si>
  <si>
    <t>・授業中、黒板をよく見て、「あっ。」と自分で気づく様子がしばしば見られた。これからも、自分で考え自分で気づこうとする姿勢を大切にしたい。・「時刻と時間のもとめ方」では、計算で答えを求める時に、式は正しくできているのに、計算間違いをしてしまうことがあったので、計算を確実にできるようにしたい。・ノートの書き方をしっかりとできていないところがあるので、２学期は、後から自分が見ても分かりやすいノートにできるように心がけていきたい。</t>
    <rPh sb="1" eb="4">
      <t>ジュギョウナカ</t>
    </rPh>
    <rPh sb="5" eb="7">
      <t>コクバン</t>
    </rPh>
    <rPh sb="10" eb="11">
      <t>ミ</t>
    </rPh>
    <rPh sb="19" eb="21">
      <t>ジブン</t>
    </rPh>
    <rPh sb="22" eb="23">
      <t>キ</t>
    </rPh>
    <rPh sb="25" eb="27">
      <t>ヨウス</t>
    </rPh>
    <rPh sb="32" eb="33">
      <t>ミ</t>
    </rPh>
    <rPh sb="70" eb="72">
      <t>ジコク</t>
    </rPh>
    <rPh sb="73" eb="75">
      <t>ジカン</t>
    </rPh>
    <rPh sb="79" eb="80">
      <t>カタ</t>
    </rPh>
    <rPh sb="84" eb="86">
      <t>ケイサン</t>
    </rPh>
    <rPh sb="87" eb="88">
      <t>コタ</t>
    </rPh>
    <rPh sb="90" eb="91">
      <t>モト</t>
    </rPh>
    <rPh sb="93" eb="94">
      <t>トキ</t>
    </rPh>
    <rPh sb="96" eb="97">
      <t>シキ</t>
    </rPh>
    <rPh sb="98" eb="99">
      <t>タダ</t>
    </rPh>
    <rPh sb="109" eb="111">
      <t>ケイサン</t>
    </rPh>
    <rPh sb="111" eb="113">
      <t>マチガ</t>
    </rPh>
    <rPh sb="129" eb="131">
      <t>ケイサン</t>
    </rPh>
    <rPh sb="132" eb="134">
      <t>カクジツ</t>
    </rPh>
    <rPh sb="204" eb="205">
      <t>ココロ</t>
    </rPh>
    <phoneticPr fontId="1"/>
  </si>
  <si>
    <t>・新しい問題に対しても、自分の考えが持てた時には、積極的に発言することができた。・「時刻と時間のもとめ方」の単元で、筆算を使って答えを求める時、「時」から「分」に繰り下げる際の間違いがあった。「１時間＝６０分」をしっかりと覚えて、繰り下げをする時の間違いをなくしていきたい。・休み時間の個別学習でも、焦らず最後までしっかりと取り組むことができた。また、言われなくても、テキストの間違いをすぐにやり直して再提出する姿が見られた。</t>
    <rPh sb="4" eb="6">
      <t>モンダイ</t>
    </rPh>
    <rPh sb="7" eb="8">
      <t>タイ</t>
    </rPh>
    <rPh sb="12" eb="14">
      <t>ジブン</t>
    </rPh>
    <rPh sb="15" eb="16">
      <t>カンガ</t>
    </rPh>
    <rPh sb="18" eb="19">
      <t>モ</t>
    </rPh>
    <rPh sb="21" eb="22">
      <t>トキ</t>
    </rPh>
    <rPh sb="25" eb="28">
      <t>セッキョクテキ</t>
    </rPh>
    <rPh sb="29" eb="31">
      <t>ハツゲン</t>
    </rPh>
    <rPh sb="42" eb="44">
      <t>ジコク</t>
    </rPh>
    <rPh sb="45" eb="47">
      <t>ジカン</t>
    </rPh>
    <rPh sb="51" eb="52">
      <t>カタ</t>
    </rPh>
    <rPh sb="54" eb="56">
      <t>タンゲン</t>
    </rPh>
    <rPh sb="58" eb="60">
      <t>ヒッサン</t>
    </rPh>
    <rPh sb="61" eb="62">
      <t>ツカ</t>
    </rPh>
    <rPh sb="64" eb="65">
      <t>コタ</t>
    </rPh>
    <rPh sb="67" eb="68">
      <t>モト</t>
    </rPh>
    <rPh sb="70" eb="71">
      <t>トキ</t>
    </rPh>
    <rPh sb="73" eb="74">
      <t>ジ</t>
    </rPh>
    <rPh sb="78" eb="79">
      <t>フン</t>
    </rPh>
    <rPh sb="81" eb="82">
      <t>ク</t>
    </rPh>
    <rPh sb="83" eb="84">
      <t>サ</t>
    </rPh>
    <rPh sb="86" eb="87">
      <t>サイ</t>
    </rPh>
    <rPh sb="88" eb="90">
      <t>マチガ</t>
    </rPh>
    <rPh sb="98" eb="100">
      <t>ジカン</t>
    </rPh>
    <rPh sb="103" eb="104">
      <t>フン</t>
    </rPh>
    <rPh sb="111" eb="112">
      <t>オボ</t>
    </rPh>
    <rPh sb="115" eb="116">
      <t>ク</t>
    </rPh>
    <rPh sb="117" eb="118">
      <t>サ</t>
    </rPh>
    <rPh sb="122" eb="123">
      <t>トキ</t>
    </rPh>
    <rPh sb="124" eb="126">
      <t>マチガ</t>
    </rPh>
    <rPh sb="138" eb="139">
      <t>ヤス</t>
    </rPh>
    <rPh sb="140" eb="142">
      <t>ジカン</t>
    </rPh>
    <rPh sb="143" eb="145">
      <t>コベツ</t>
    </rPh>
    <rPh sb="145" eb="147">
      <t>ガクシュウ</t>
    </rPh>
    <rPh sb="150" eb="151">
      <t>アセ</t>
    </rPh>
    <rPh sb="153" eb="155">
      <t>サイゴ</t>
    </rPh>
    <rPh sb="162" eb="163">
      <t>ト</t>
    </rPh>
    <rPh sb="164" eb="165">
      <t>ク</t>
    </rPh>
    <rPh sb="176" eb="177">
      <t>イ</t>
    </rPh>
    <rPh sb="189" eb="191">
      <t>マチガ</t>
    </rPh>
    <rPh sb="198" eb="199">
      <t>ナオ</t>
    </rPh>
    <rPh sb="201" eb="204">
      <t>サイテイシュツ</t>
    </rPh>
    <rPh sb="206" eb="207">
      <t>スガタ</t>
    </rPh>
    <rPh sb="208" eb="209">
      <t>ミ</t>
    </rPh>
    <phoneticPr fontId="1"/>
  </si>
  <si>
    <t>・学習内容をよく理解し、課題も素早くやり終えることができた。授業中の発言も多い。ノートに自分の考えをしっかりと書いたり、気をつけることを自分なりに工夫して書いたりしていた。筆算をした後には、言われなくてもいつでも「たしかめ」をする姿があり、宿題の時でも、「たしかめ」ができていたことは、すばらしかった。数字を丁寧に書けないことが多く、自分の書いた文字を読み間違えて結果的に問題の答えを間違えてしまうようなミスがあった。自分の力をいつでも発揮するためにも、数字を丁寧に書くことを心がけたい。</t>
    <rPh sb="1" eb="5">
      <t>ガクシュウナイヨウ</t>
    </rPh>
    <rPh sb="8" eb="10">
      <t>リカイ</t>
    </rPh>
    <rPh sb="12" eb="14">
      <t>カダイ</t>
    </rPh>
    <rPh sb="15" eb="17">
      <t>スバヤ</t>
    </rPh>
    <rPh sb="20" eb="21">
      <t>オ</t>
    </rPh>
    <rPh sb="30" eb="33">
      <t>ジュギョウナカ</t>
    </rPh>
    <rPh sb="34" eb="36">
      <t>ハツゲン</t>
    </rPh>
    <rPh sb="37" eb="38">
      <t>オオ</t>
    </rPh>
    <rPh sb="44" eb="46">
      <t>ジブン</t>
    </rPh>
    <rPh sb="47" eb="48">
      <t>カンガ</t>
    </rPh>
    <rPh sb="55" eb="56">
      <t>カ</t>
    </rPh>
    <rPh sb="60" eb="61">
      <t>キ</t>
    </rPh>
    <rPh sb="68" eb="70">
      <t>ジブン</t>
    </rPh>
    <rPh sb="73" eb="75">
      <t>クフウ</t>
    </rPh>
    <rPh sb="77" eb="78">
      <t>カ</t>
    </rPh>
    <rPh sb="86" eb="88">
      <t>ヒッサン</t>
    </rPh>
    <rPh sb="91" eb="92">
      <t>アト</t>
    </rPh>
    <rPh sb="95" eb="96">
      <t>イ</t>
    </rPh>
    <rPh sb="115" eb="116">
      <t>スガタ</t>
    </rPh>
    <rPh sb="120" eb="122">
      <t>シュクダイ</t>
    </rPh>
    <rPh sb="123" eb="124">
      <t>トキ</t>
    </rPh>
    <rPh sb="151" eb="153">
      <t>スウジ</t>
    </rPh>
    <rPh sb="154" eb="156">
      <t>テイネイ</t>
    </rPh>
    <rPh sb="157" eb="158">
      <t>カ</t>
    </rPh>
    <rPh sb="164" eb="165">
      <t>オオ</t>
    </rPh>
    <rPh sb="167" eb="169">
      <t>ジブン</t>
    </rPh>
    <rPh sb="170" eb="171">
      <t>カ</t>
    </rPh>
    <rPh sb="173" eb="175">
      <t>モジ</t>
    </rPh>
    <rPh sb="176" eb="177">
      <t>ヨ</t>
    </rPh>
    <rPh sb="178" eb="180">
      <t>マチガ</t>
    </rPh>
    <rPh sb="182" eb="185">
      <t>ケッカテキ</t>
    </rPh>
    <rPh sb="186" eb="188">
      <t>モンダイ</t>
    </rPh>
    <rPh sb="189" eb="190">
      <t>コタ</t>
    </rPh>
    <rPh sb="192" eb="194">
      <t>マチガ</t>
    </rPh>
    <rPh sb="209" eb="211">
      <t>ジブン</t>
    </rPh>
    <rPh sb="212" eb="213">
      <t>チカラ</t>
    </rPh>
    <rPh sb="218" eb="220">
      <t>ハッキ</t>
    </rPh>
    <rPh sb="227" eb="229">
      <t>スウジ</t>
    </rPh>
    <rPh sb="230" eb="232">
      <t>テイネイ</t>
    </rPh>
    <rPh sb="233" eb="234">
      <t>カ</t>
    </rPh>
    <rPh sb="238" eb="239">
      <t>ココロ</t>
    </rPh>
    <phoneticPr fontId="1"/>
  </si>
  <si>
    <t>・学習内容をよく理解し、テストでも満点をとれることが多かった。ノートも丁寧に分かりやすく書くことができた。</t>
    <rPh sb="1" eb="5">
      <t>ガクシュウナイヨウ</t>
    </rPh>
    <rPh sb="8" eb="10">
      <t>リカイ</t>
    </rPh>
    <rPh sb="17" eb="19">
      <t>マンテン</t>
    </rPh>
    <rPh sb="26" eb="27">
      <t>オオ</t>
    </rPh>
    <rPh sb="35" eb="37">
      <t>テイネイ</t>
    </rPh>
    <rPh sb="38" eb="39">
      <t>ワ</t>
    </rPh>
    <rPh sb="44" eb="45">
      <t>カ</t>
    </rPh>
    <phoneticPr fontId="1"/>
  </si>
  <si>
    <t>・学習内容をよく理解できている。「時刻と時間のもとめ方」の単元では、〇時間前の時刻をもとめる時に、引き算で答えを出すべきところを、たし算をしてしまうことがあった。問題を解いたら、見直しをするようにして、ミスなくできるようにしたい。・宿題の答え合わせをしていないことがしばしばあったので、問題を解いたら、すぐに答え合わせをして自分のやり方の振り返りができるようにしたい。</t>
    <rPh sb="1" eb="3">
      <t>ガクシュウ</t>
    </rPh>
    <rPh sb="3" eb="5">
      <t>ナイヨウ</t>
    </rPh>
    <rPh sb="8" eb="10">
      <t>リカイ</t>
    </rPh>
    <rPh sb="17" eb="19">
      <t>ジコク</t>
    </rPh>
    <rPh sb="20" eb="22">
      <t>ジカン</t>
    </rPh>
    <rPh sb="26" eb="27">
      <t>カタ</t>
    </rPh>
    <rPh sb="29" eb="31">
      <t>タンゲン</t>
    </rPh>
    <rPh sb="35" eb="38">
      <t>ジカンマエ</t>
    </rPh>
    <rPh sb="39" eb="41">
      <t>ジコク</t>
    </rPh>
    <rPh sb="46" eb="47">
      <t>トキ</t>
    </rPh>
    <rPh sb="49" eb="50">
      <t>ヒ</t>
    </rPh>
    <rPh sb="51" eb="52">
      <t>ザン</t>
    </rPh>
    <rPh sb="53" eb="54">
      <t>コタ</t>
    </rPh>
    <rPh sb="56" eb="57">
      <t>ダ</t>
    </rPh>
    <rPh sb="67" eb="68">
      <t>ザン</t>
    </rPh>
    <rPh sb="81" eb="83">
      <t>モンダイ</t>
    </rPh>
    <rPh sb="84" eb="85">
      <t>ト</t>
    </rPh>
    <rPh sb="89" eb="91">
      <t>ミナオ</t>
    </rPh>
    <rPh sb="116" eb="118">
      <t>シュクダイ</t>
    </rPh>
    <rPh sb="119" eb="120">
      <t>コタ</t>
    </rPh>
    <rPh sb="121" eb="122">
      <t>ア</t>
    </rPh>
    <rPh sb="143" eb="145">
      <t>モンダイ</t>
    </rPh>
    <rPh sb="146" eb="147">
      <t>ト</t>
    </rPh>
    <rPh sb="154" eb="155">
      <t>コタ</t>
    </rPh>
    <rPh sb="156" eb="157">
      <t>ア</t>
    </rPh>
    <rPh sb="162" eb="164">
      <t>ジブン</t>
    </rPh>
    <rPh sb="167" eb="168">
      <t>カタ</t>
    </rPh>
    <rPh sb="169" eb="170">
      <t>フ</t>
    </rPh>
    <rPh sb="171" eb="172">
      <t>カエ</t>
    </rPh>
    <phoneticPr fontId="1"/>
  </si>
  <si>
    <t>・算数係として、授業の片付けや皆から提出されたテキストを所定の場所に運ぶことなど、自分の仕事としてしっかりと行うことができた。・「かけ算」の単元では、かけ算のきまりを使った学習内容を確実に自分のものにすることができた。・「時刻と時間のもとめ方」の単元では、時間を求める問題で、答えに「午前」「午後」をつけている様子があったが、学習を進める中で時刻と時間の表現の仕方の違いが分かったようである。・「たし算とひき算の筆算」では、３６５＋４７２の答えがだいたいどれくらいになるかを８００くらいと進んで発言し、そう考えた理由も説明することができた。発言は多くないが、指名されて答える時には、正確に言えることが多い。</t>
    <rPh sb="1" eb="3">
      <t>サンスウ</t>
    </rPh>
    <rPh sb="3" eb="4">
      <t>カカリ</t>
    </rPh>
    <rPh sb="8" eb="10">
      <t>ジュギョウ</t>
    </rPh>
    <rPh sb="11" eb="13">
      <t>カタヅ</t>
    </rPh>
    <rPh sb="15" eb="16">
      <t>ミナ</t>
    </rPh>
    <rPh sb="18" eb="20">
      <t>テイシュツ</t>
    </rPh>
    <rPh sb="28" eb="30">
      <t>ショテイ</t>
    </rPh>
    <rPh sb="31" eb="33">
      <t>バショ</t>
    </rPh>
    <rPh sb="34" eb="35">
      <t>ハコ</t>
    </rPh>
    <rPh sb="41" eb="43">
      <t>ジブン</t>
    </rPh>
    <rPh sb="44" eb="46">
      <t>シゴト</t>
    </rPh>
    <rPh sb="54" eb="55">
      <t>オコナ</t>
    </rPh>
    <rPh sb="111" eb="113">
      <t>ジコク</t>
    </rPh>
    <rPh sb="114" eb="116">
      <t>ジカン</t>
    </rPh>
    <rPh sb="120" eb="121">
      <t>カタ</t>
    </rPh>
    <rPh sb="123" eb="125">
      <t>タンゲン</t>
    </rPh>
    <rPh sb="138" eb="139">
      <t>コタ</t>
    </rPh>
    <rPh sb="200" eb="201">
      <t>サン</t>
    </rPh>
    <rPh sb="204" eb="205">
      <t>サン</t>
    </rPh>
    <rPh sb="206" eb="208">
      <t>ヒッサン</t>
    </rPh>
    <rPh sb="220" eb="221">
      <t>コタ</t>
    </rPh>
    <rPh sb="244" eb="245">
      <t>スス</t>
    </rPh>
    <rPh sb="247" eb="249">
      <t>ハツゲン</t>
    </rPh>
    <rPh sb="253" eb="254">
      <t>カンガ</t>
    </rPh>
    <rPh sb="256" eb="258">
      <t>リユウ</t>
    </rPh>
    <rPh sb="259" eb="261">
      <t>セツメイ</t>
    </rPh>
    <phoneticPr fontId="1"/>
  </si>
  <si>
    <t>・学習内容をよく理解できている。特に、「たし算とひき算の筆算」の単元では、単元のまとめの５枚のテストですべて満点を得ることができた。授業中に必要のないおしゃべりをしてしまう様子がやや見られたので、気をつけたい。「時刻と時間のもとめ方」の単元では、時刻をもとめる問題で、「午前」「午後」をつけ忘れて減点になってしまうことがあったので、気をつけたい。</t>
    <rPh sb="1" eb="5">
      <t>ガクシュウナイヨウ</t>
    </rPh>
    <rPh sb="8" eb="10">
      <t>リカイ</t>
    </rPh>
    <rPh sb="16" eb="17">
      <t>トク</t>
    </rPh>
    <rPh sb="22" eb="23">
      <t>サン</t>
    </rPh>
    <rPh sb="26" eb="27">
      <t>サン</t>
    </rPh>
    <rPh sb="28" eb="30">
      <t>ヒッサン</t>
    </rPh>
    <rPh sb="32" eb="34">
      <t>タンゲン</t>
    </rPh>
    <rPh sb="37" eb="39">
      <t>タンゲン</t>
    </rPh>
    <rPh sb="45" eb="46">
      <t>マイ</t>
    </rPh>
    <rPh sb="54" eb="56">
      <t>マンテン</t>
    </rPh>
    <rPh sb="57" eb="58">
      <t>エ</t>
    </rPh>
    <rPh sb="66" eb="69">
      <t>ジュギョウナカ</t>
    </rPh>
    <rPh sb="70" eb="72">
      <t>ヒツヨウ</t>
    </rPh>
    <rPh sb="86" eb="88">
      <t>ヨウス</t>
    </rPh>
    <rPh sb="91" eb="92">
      <t>ミ</t>
    </rPh>
    <rPh sb="98" eb="99">
      <t>キ</t>
    </rPh>
    <rPh sb="106" eb="108">
      <t>ジコク</t>
    </rPh>
    <rPh sb="109" eb="111">
      <t>ジカン</t>
    </rPh>
    <rPh sb="115" eb="116">
      <t>カタ</t>
    </rPh>
    <rPh sb="118" eb="120">
      <t>タンゲン</t>
    </rPh>
    <rPh sb="123" eb="125">
      <t>ジコク</t>
    </rPh>
    <rPh sb="130" eb="132">
      <t>モンダイ</t>
    </rPh>
    <rPh sb="135" eb="137">
      <t>ゴゼン</t>
    </rPh>
    <rPh sb="139" eb="141">
      <t>ゴゴ</t>
    </rPh>
    <rPh sb="145" eb="146">
      <t>ワス</t>
    </rPh>
    <rPh sb="148" eb="150">
      <t>ゲンテン</t>
    </rPh>
    <rPh sb="166" eb="167">
      <t>キ</t>
    </rPh>
    <phoneticPr fontId="1"/>
  </si>
  <si>
    <t>・「時刻と時間のもとめ方」の単元では、最終的に答えを書く時に、３分７０秒のままで、４分１０秒に直さず間違いになってしまうようなことがあったので、「１分＝６０秒」をしっかりと意識して、単位換算をしていくようにしたい。・授業中、自分の分かることを挙手して進んで発言することができた。黒板を見て、よく話を聞いていて　「あっ。」と自分から気づく様子も見られる。これからも、自分で考え自分で気づこうとする姿勢を大切にしたい。</t>
    <rPh sb="2" eb="4">
      <t>ジコク</t>
    </rPh>
    <rPh sb="5" eb="7">
      <t>ジカン</t>
    </rPh>
    <rPh sb="11" eb="12">
      <t>カタ</t>
    </rPh>
    <rPh sb="14" eb="16">
      <t>タンゲン</t>
    </rPh>
    <rPh sb="19" eb="22">
      <t>サイシュウテキ</t>
    </rPh>
    <rPh sb="23" eb="24">
      <t>コタ</t>
    </rPh>
    <rPh sb="26" eb="27">
      <t>カ</t>
    </rPh>
    <rPh sb="28" eb="29">
      <t>トキ</t>
    </rPh>
    <rPh sb="32" eb="33">
      <t>フン</t>
    </rPh>
    <rPh sb="35" eb="36">
      <t>ビョウ</t>
    </rPh>
    <rPh sb="42" eb="43">
      <t>フン</t>
    </rPh>
    <rPh sb="45" eb="46">
      <t>ビョウ</t>
    </rPh>
    <rPh sb="47" eb="48">
      <t>ナオ</t>
    </rPh>
    <rPh sb="50" eb="52">
      <t>マチガ</t>
    </rPh>
    <rPh sb="74" eb="75">
      <t>フン</t>
    </rPh>
    <rPh sb="78" eb="79">
      <t>ビョウ</t>
    </rPh>
    <rPh sb="86" eb="88">
      <t>イシキ</t>
    </rPh>
    <rPh sb="91" eb="93">
      <t>タンイ</t>
    </rPh>
    <rPh sb="93" eb="95">
      <t>カンサン</t>
    </rPh>
    <rPh sb="108" eb="111">
      <t>ジュギョウナカ</t>
    </rPh>
    <rPh sb="112" eb="114">
      <t>ジブン</t>
    </rPh>
    <rPh sb="115" eb="116">
      <t>ワ</t>
    </rPh>
    <rPh sb="121" eb="123">
      <t>キョシュ</t>
    </rPh>
    <rPh sb="125" eb="126">
      <t>スス</t>
    </rPh>
    <rPh sb="128" eb="130">
      <t>ハツゲン</t>
    </rPh>
    <rPh sb="139" eb="141">
      <t>コクバン</t>
    </rPh>
    <rPh sb="142" eb="143">
      <t>ミ</t>
    </rPh>
    <rPh sb="147" eb="148">
      <t>ハナシ</t>
    </rPh>
    <rPh sb="149" eb="150">
      <t>キ</t>
    </rPh>
    <rPh sb="161" eb="163">
      <t>ジブン</t>
    </rPh>
    <rPh sb="165" eb="166">
      <t>キ</t>
    </rPh>
    <rPh sb="168" eb="170">
      <t>ヨウス</t>
    </rPh>
    <rPh sb="171" eb="172">
      <t>ミ</t>
    </rPh>
    <rPh sb="182" eb="184">
      <t>ジブン</t>
    </rPh>
    <rPh sb="185" eb="186">
      <t>カンガ</t>
    </rPh>
    <rPh sb="187" eb="189">
      <t>ジブン</t>
    </rPh>
    <rPh sb="197" eb="199">
      <t>シセイ</t>
    </rPh>
    <rPh sb="200" eb="202">
      <t>タイセツ</t>
    </rPh>
    <phoneticPr fontId="1"/>
  </si>
  <si>
    <t>・学習内容をよく理解できている。・ノートをとても丁寧に分かりやすく書けていた。・「重なりに注目して」の単元では、友達の考えの間違いについて、どこが違うのかを分かりやすく説明し、その友達を納得させることができた。</t>
    <rPh sb="1" eb="5">
      <t>ガクシュウナイヨウ</t>
    </rPh>
    <rPh sb="8" eb="10">
      <t>リカイ</t>
    </rPh>
    <rPh sb="24" eb="26">
      <t>テイネイ</t>
    </rPh>
    <rPh sb="27" eb="28">
      <t>ワ</t>
    </rPh>
    <rPh sb="33" eb="34">
      <t>カ</t>
    </rPh>
    <rPh sb="41" eb="42">
      <t>カサ</t>
    </rPh>
    <rPh sb="45" eb="47">
      <t>チュウモク</t>
    </rPh>
    <rPh sb="51" eb="53">
      <t>タンゲン</t>
    </rPh>
    <rPh sb="56" eb="58">
      <t>トモダチ</t>
    </rPh>
    <rPh sb="59" eb="60">
      <t>カンガ</t>
    </rPh>
    <rPh sb="62" eb="64">
      <t>マチガ</t>
    </rPh>
    <rPh sb="73" eb="74">
      <t>チガ</t>
    </rPh>
    <rPh sb="78" eb="79">
      <t>ワ</t>
    </rPh>
    <rPh sb="84" eb="86">
      <t>セツメイ</t>
    </rPh>
    <rPh sb="90" eb="92">
      <t>トモダチ</t>
    </rPh>
    <rPh sb="93" eb="95">
      <t>ナットク</t>
    </rPh>
    <phoneticPr fontId="1"/>
  </si>
  <si>
    <t>・「時刻と時間のもとめ方」の単元では、初めの式だけではなく、単位換算をした式も書き、よりミスなくできるようにしていた。自分から挙手して発言することは少ないが、話をよく聞いて学習内容を確実に自分のものとすることができた。特に、「たし算とひき算の筆算」の単元では、単元のまとめの５枚のテストですべて満点を得ることができた。</t>
    <rPh sb="2" eb="4">
      <t>ジコク</t>
    </rPh>
    <rPh sb="5" eb="7">
      <t>ジカン</t>
    </rPh>
    <rPh sb="11" eb="12">
      <t>カタ</t>
    </rPh>
    <rPh sb="14" eb="16">
      <t>タンゲン</t>
    </rPh>
    <rPh sb="19" eb="20">
      <t>ハジ</t>
    </rPh>
    <rPh sb="22" eb="23">
      <t>シキ</t>
    </rPh>
    <rPh sb="30" eb="32">
      <t>タンイ</t>
    </rPh>
    <rPh sb="32" eb="34">
      <t>カンサン</t>
    </rPh>
    <rPh sb="37" eb="38">
      <t>シキ</t>
    </rPh>
    <rPh sb="39" eb="40">
      <t>カ</t>
    </rPh>
    <rPh sb="59" eb="61">
      <t>ジブン</t>
    </rPh>
    <rPh sb="63" eb="65">
      <t>キョシュ</t>
    </rPh>
    <rPh sb="67" eb="69">
      <t>ハツゲン</t>
    </rPh>
    <rPh sb="74" eb="75">
      <t>スク</t>
    </rPh>
    <rPh sb="79" eb="80">
      <t>ハナシ</t>
    </rPh>
    <rPh sb="83" eb="84">
      <t>キ</t>
    </rPh>
    <rPh sb="86" eb="90">
      <t>ガクシュウナイヨウ</t>
    </rPh>
    <rPh sb="91" eb="93">
      <t>カクジツ</t>
    </rPh>
    <rPh sb="94" eb="96">
      <t>ジブン</t>
    </rPh>
    <phoneticPr fontId="1"/>
  </si>
  <si>
    <t>・授業中、他のことに意識が向いていて、なかなか集中できない様子が見られるので、今やることにしっかりと取り組めるようにしたい。ノートも書くべきことを書けなかったり、丁寧にかけなかったりしているが、一度、とてもしっかりと書くことができた時があった。しっかりとできる力を持っているので、その力を発揮できるようにしたい。学期終盤には、自分から取り組む姿も見られるようになってきたので、2学期は、その姿をさらに増やしていきたい。・「時刻と時間のもとめ方」の単元では、単位換算による間違いがあった。また、「たし算とひき算の筆算」では、繰り下がりのあるひき算での間違いがあったので、復習し、確実にしたい。答えの写し間違いや明らかに計算ミスと思われることで減点になっていることもあったので、集中した取り組みで、力を発揮したい。「わり算」の単元では、まとめのテストで２枚とも満点を得ることができ、学習内容を確実に自分のものにすることができた。</t>
    <rPh sb="1" eb="4">
      <t>ジュギョウナカ</t>
    </rPh>
    <rPh sb="5" eb="6">
      <t>タ</t>
    </rPh>
    <rPh sb="10" eb="12">
      <t>イシキ</t>
    </rPh>
    <rPh sb="13" eb="14">
      <t>ム</t>
    </rPh>
    <rPh sb="23" eb="25">
      <t>シュウチュウ</t>
    </rPh>
    <rPh sb="29" eb="31">
      <t>ヨウス</t>
    </rPh>
    <rPh sb="32" eb="33">
      <t>ミ</t>
    </rPh>
    <rPh sb="39" eb="40">
      <t>イマ</t>
    </rPh>
    <rPh sb="50" eb="51">
      <t>ト</t>
    </rPh>
    <rPh sb="52" eb="53">
      <t>ク</t>
    </rPh>
    <rPh sb="66" eb="67">
      <t>カ</t>
    </rPh>
    <rPh sb="73" eb="74">
      <t>カ</t>
    </rPh>
    <rPh sb="81" eb="83">
      <t>テイネイ</t>
    </rPh>
    <rPh sb="97" eb="99">
      <t>イチド</t>
    </rPh>
    <rPh sb="108" eb="109">
      <t>カ</t>
    </rPh>
    <rPh sb="116" eb="117">
      <t>トキ</t>
    </rPh>
    <rPh sb="130" eb="131">
      <t>チカラ</t>
    </rPh>
    <rPh sb="132" eb="133">
      <t>モ</t>
    </rPh>
    <rPh sb="142" eb="143">
      <t>チカラ</t>
    </rPh>
    <rPh sb="144" eb="146">
      <t>ハッキ</t>
    </rPh>
    <rPh sb="156" eb="160">
      <t>ガッキシュウバン</t>
    </rPh>
    <rPh sb="163" eb="165">
      <t>ジブン</t>
    </rPh>
    <rPh sb="167" eb="168">
      <t>ト</t>
    </rPh>
    <rPh sb="169" eb="170">
      <t>ク</t>
    </rPh>
    <rPh sb="171" eb="172">
      <t>スガタ</t>
    </rPh>
    <rPh sb="173" eb="174">
      <t>ミ</t>
    </rPh>
    <rPh sb="189" eb="191">
      <t>ガッキ</t>
    </rPh>
    <rPh sb="195" eb="196">
      <t>スガタ</t>
    </rPh>
    <rPh sb="200" eb="201">
      <t>フ</t>
    </rPh>
    <rPh sb="249" eb="250">
      <t>サン</t>
    </rPh>
    <rPh sb="253" eb="254">
      <t>サン</t>
    </rPh>
    <rPh sb="255" eb="257">
      <t>ヒッサン</t>
    </rPh>
    <rPh sb="261" eb="262">
      <t>ク</t>
    </rPh>
    <rPh sb="263" eb="264">
      <t>サ</t>
    </rPh>
    <rPh sb="271" eb="272">
      <t>サン</t>
    </rPh>
    <rPh sb="274" eb="276">
      <t>マチガ</t>
    </rPh>
    <rPh sb="284" eb="286">
      <t>フクシュウ</t>
    </rPh>
    <rPh sb="295" eb="296">
      <t>コタ</t>
    </rPh>
    <rPh sb="298" eb="299">
      <t>ウツ</t>
    </rPh>
    <rPh sb="300" eb="302">
      <t>マチガ</t>
    </rPh>
    <rPh sb="304" eb="305">
      <t>アキ</t>
    </rPh>
    <rPh sb="308" eb="310">
      <t>ケイサン</t>
    </rPh>
    <rPh sb="313" eb="314">
      <t>オモ</t>
    </rPh>
    <rPh sb="320" eb="322">
      <t>ゲンテン</t>
    </rPh>
    <rPh sb="337" eb="339">
      <t>シュウチュウ</t>
    </rPh>
    <rPh sb="341" eb="342">
      <t>ト</t>
    </rPh>
    <rPh sb="343" eb="344">
      <t>ク</t>
    </rPh>
    <rPh sb="347" eb="348">
      <t>チカラ</t>
    </rPh>
    <rPh sb="349" eb="351">
      <t>ハッキ</t>
    </rPh>
    <rPh sb="358" eb="359">
      <t>サン</t>
    </rPh>
    <rPh sb="361" eb="363">
      <t>タンゲン</t>
    </rPh>
    <rPh sb="375" eb="376">
      <t>マイ</t>
    </rPh>
    <rPh sb="378" eb="380">
      <t>マンテン</t>
    </rPh>
    <rPh sb="381" eb="382">
      <t>エ</t>
    </rPh>
    <rPh sb="389" eb="393">
      <t>ガクシュウナイヨウ</t>
    </rPh>
    <rPh sb="394" eb="396">
      <t>カクジツ</t>
    </rPh>
    <rPh sb="397" eb="399">
      <t>ジブン</t>
    </rPh>
    <phoneticPr fontId="1"/>
  </si>
  <si>
    <t>・授業中、なかなか集中して学習に取り組めず、課題を始めるのが遅くなって時間内に終わり切らないことがあった。ノートもその時間の書き始めはしっかりと書けていても途中から適当になってしまうことがあった。個別学習では、しっかりと問題を解き、最後まで取り組むことができたので、授業中も、気持ちを向けて最後まで集中して取り組みたい。学期終盤には、自分から挙手をして発言するなど、集中した取り組みが見られるようになってきたので、続けていきたい。授業開始時には、すぐに姿勢を正して、前を向いて、話を聞こうとする姿が何度も見られた。・テキストに間違いがあった時の直しがなかなかできないことが多く、声を掛けないと直しの部分がたまってしまいがちであった。・「時刻と時間のもとめ方」の単元では、時間を求める問題で、先の時刻から、後の時刻を引いてしまったり、時間の違いを求める問題で、短い方の時間から長い方の時間を引いしまったりすることがあったので、時刻の前後を意識したり、どちらの時間が長いのかを意識して問題に取り組めるように復習したい。</t>
    <rPh sb="249" eb="251">
      <t>ナンド</t>
    </rPh>
    <rPh sb="263" eb="265">
      <t>マチガ</t>
    </rPh>
    <rPh sb="270" eb="271">
      <t>トキ</t>
    </rPh>
    <rPh sb="272" eb="273">
      <t>ナオ</t>
    </rPh>
    <rPh sb="286" eb="287">
      <t>オオ</t>
    </rPh>
    <rPh sb="289" eb="290">
      <t>コエ</t>
    </rPh>
    <rPh sb="291" eb="292">
      <t>カ</t>
    </rPh>
    <rPh sb="296" eb="297">
      <t>ナオ</t>
    </rPh>
    <rPh sb="299" eb="301">
      <t>ブブン</t>
    </rPh>
    <rPh sb="318" eb="320">
      <t>ジコク</t>
    </rPh>
    <rPh sb="321" eb="323">
      <t>ジカン</t>
    </rPh>
    <rPh sb="327" eb="328">
      <t>カタ</t>
    </rPh>
    <rPh sb="330" eb="332">
      <t>タンゲン</t>
    </rPh>
    <rPh sb="335" eb="337">
      <t>ジカン</t>
    </rPh>
    <rPh sb="338" eb="339">
      <t>モト</t>
    </rPh>
    <rPh sb="341" eb="343">
      <t>モンダイ</t>
    </rPh>
    <rPh sb="345" eb="346">
      <t>サキ</t>
    </rPh>
    <rPh sb="347" eb="349">
      <t>ジコク</t>
    </rPh>
    <rPh sb="352" eb="353">
      <t>アト</t>
    </rPh>
    <rPh sb="354" eb="356">
      <t>ジコク</t>
    </rPh>
    <rPh sb="357" eb="358">
      <t>ヒ</t>
    </rPh>
    <rPh sb="366" eb="368">
      <t>ジカン</t>
    </rPh>
    <rPh sb="369" eb="370">
      <t>チガ</t>
    </rPh>
    <rPh sb="372" eb="373">
      <t>モト</t>
    </rPh>
    <rPh sb="375" eb="377">
      <t>モンダイ</t>
    </rPh>
    <rPh sb="379" eb="380">
      <t>ミジカ</t>
    </rPh>
    <rPh sb="381" eb="382">
      <t>ホウ</t>
    </rPh>
    <rPh sb="383" eb="385">
      <t>ジカン</t>
    </rPh>
    <rPh sb="387" eb="388">
      <t>ナガ</t>
    </rPh>
    <rPh sb="389" eb="390">
      <t>ホウ</t>
    </rPh>
    <rPh sb="391" eb="393">
      <t>ジカン</t>
    </rPh>
    <rPh sb="394" eb="395">
      <t>ヒ</t>
    </rPh>
    <rPh sb="412" eb="414">
      <t>ジコク</t>
    </rPh>
    <rPh sb="415" eb="417">
      <t>ゼンゴ</t>
    </rPh>
    <rPh sb="418" eb="420">
      <t>イシキ</t>
    </rPh>
    <rPh sb="428" eb="430">
      <t>ジカン</t>
    </rPh>
    <rPh sb="431" eb="432">
      <t>ナガ</t>
    </rPh>
    <rPh sb="436" eb="438">
      <t>イシキ</t>
    </rPh>
    <rPh sb="440" eb="442">
      <t>モンダイ</t>
    </rPh>
    <rPh sb="443" eb="444">
      <t>ト</t>
    </rPh>
    <rPh sb="445" eb="446">
      <t>ク</t>
    </rPh>
    <rPh sb="451" eb="453">
      <t>フクシュウ</t>
    </rPh>
    <phoneticPr fontId="1"/>
  </si>
  <si>
    <t>・授業開始の時には、すぐに姿勢を正して前を向き、話を聞こうすることができ、心構えを持って授業に取り組むことができた。・「時刻と時間のもとめ方」の単元では、筆算を使って計算で答えを求めるやり方を、初めのうちは、あまり理解できずにいたが、しっかりと話を聞いて理解し、正確に求めることができるようになってきた。さらに、確実にできるように、夏休み中に復習したい。・学期終盤には、進んで発言をする様子が多く見られるようになってきた。</t>
    <rPh sb="1" eb="5">
      <t>ジュギョウカイシ</t>
    </rPh>
    <rPh sb="6" eb="7">
      <t>トキ</t>
    </rPh>
    <rPh sb="13" eb="15">
      <t>シセイ</t>
    </rPh>
    <rPh sb="16" eb="17">
      <t>タダ</t>
    </rPh>
    <rPh sb="19" eb="20">
      <t>マエ</t>
    </rPh>
    <rPh sb="21" eb="22">
      <t>ム</t>
    </rPh>
    <rPh sb="24" eb="25">
      <t>ハナシ</t>
    </rPh>
    <rPh sb="26" eb="27">
      <t>キ</t>
    </rPh>
    <rPh sb="37" eb="39">
      <t>ココロガマ</t>
    </rPh>
    <rPh sb="41" eb="42">
      <t>モ</t>
    </rPh>
    <rPh sb="44" eb="46">
      <t>ジュギョウ</t>
    </rPh>
    <rPh sb="47" eb="48">
      <t>ト</t>
    </rPh>
    <rPh sb="49" eb="50">
      <t>ク</t>
    </rPh>
    <rPh sb="60" eb="62">
      <t>ジコク</t>
    </rPh>
    <rPh sb="63" eb="65">
      <t>ジカン</t>
    </rPh>
    <rPh sb="69" eb="70">
      <t>カタ</t>
    </rPh>
    <rPh sb="72" eb="74">
      <t>タンゲン</t>
    </rPh>
    <rPh sb="77" eb="79">
      <t>ヒッサン</t>
    </rPh>
    <rPh sb="80" eb="81">
      <t>ツカ</t>
    </rPh>
    <rPh sb="83" eb="85">
      <t>ケイサン</t>
    </rPh>
    <rPh sb="86" eb="87">
      <t>コタ</t>
    </rPh>
    <rPh sb="89" eb="90">
      <t>モト</t>
    </rPh>
    <rPh sb="94" eb="95">
      <t>カタ</t>
    </rPh>
    <rPh sb="97" eb="98">
      <t>ハジ</t>
    </rPh>
    <rPh sb="107" eb="109">
      <t>リカイ</t>
    </rPh>
    <rPh sb="122" eb="123">
      <t>ハナシ</t>
    </rPh>
    <rPh sb="124" eb="125">
      <t>キ</t>
    </rPh>
    <rPh sb="127" eb="129">
      <t>リカイ</t>
    </rPh>
    <rPh sb="131" eb="133">
      <t>セイカク</t>
    </rPh>
    <rPh sb="134" eb="135">
      <t>モト</t>
    </rPh>
    <rPh sb="156" eb="158">
      <t>カクジツ</t>
    </rPh>
    <rPh sb="166" eb="168">
      <t>ナツヤス</t>
    </rPh>
    <rPh sb="169" eb="170">
      <t>ナカ</t>
    </rPh>
    <rPh sb="171" eb="173">
      <t>フクシュウ</t>
    </rPh>
    <rPh sb="178" eb="180">
      <t>ガッキ</t>
    </rPh>
    <rPh sb="180" eb="182">
      <t>シュウバン</t>
    </rPh>
    <rPh sb="185" eb="186">
      <t>スス</t>
    </rPh>
    <rPh sb="188" eb="190">
      <t>ハツゲン</t>
    </rPh>
    <rPh sb="193" eb="195">
      <t>ヨウス</t>
    </rPh>
    <rPh sb="196" eb="197">
      <t>オオ</t>
    </rPh>
    <rPh sb="198" eb="199">
      <t>ミ</t>
    </rPh>
    <phoneticPr fontId="1"/>
  </si>
  <si>
    <t>・「たし算とひき算の筆算」の単元では、単元のまとめの５枚のテストですべて満点を得ることができた。・「時刻と時間のもとめ方」の単元では、時間を聞かれている問題で、「〇時〇分」と答えてしまいがちであった。学習を進める中で時刻と時間の表し方の違いを理解できるようになったが、復習し、より確実にしておきたい。・授業中に必要のないおしゃべりをしてしまう様子がやや見られたので、気をつけたい。・授業中、自分の考えを進んで発言することができた。</t>
    <rPh sb="50" eb="52">
      <t>ジコク</t>
    </rPh>
    <rPh sb="53" eb="55">
      <t>ジカン</t>
    </rPh>
    <rPh sb="59" eb="60">
      <t>カタ</t>
    </rPh>
    <rPh sb="62" eb="64">
      <t>タンゲン</t>
    </rPh>
    <rPh sb="67" eb="69">
      <t>ジカン</t>
    </rPh>
    <rPh sb="70" eb="71">
      <t>キ</t>
    </rPh>
    <rPh sb="76" eb="78">
      <t>モンダイ</t>
    </rPh>
    <rPh sb="82" eb="83">
      <t>ジ</t>
    </rPh>
    <rPh sb="84" eb="85">
      <t>フン</t>
    </rPh>
    <rPh sb="87" eb="88">
      <t>コタ</t>
    </rPh>
    <rPh sb="100" eb="102">
      <t>ガクシュウ</t>
    </rPh>
    <rPh sb="103" eb="104">
      <t>スス</t>
    </rPh>
    <rPh sb="106" eb="107">
      <t>ナカ</t>
    </rPh>
    <rPh sb="108" eb="110">
      <t>ジコク</t>
    </rPh>
    <rPh sb="111" eb="113">
      <t>ジカン</t>
    </rPh>
    <rPh sb="121" eb="123">
      <t>リカイ</t>
    </rPh>
    <rPh sb="134" eb="136">
      <t>フクシュウ</t>
    </rPh>
    <rPh sb="140" eb="142">
      <t>カクジツ</t>
    </rPh>
    <rPh sb="191" eb="194">
      <t>ジュギョウナカ</t>
    </rPh>
    <rPh sb="195" eb="197">
      <t>ジブン</t>
    </rPh>
    <rPh sb="198" eb="199">
      <t>カンガ</t>
    </rPh>
    <rPh sb="201" eb="202">
      <t>スス</t>
    </rPh>
    <rPh sb="204" eb="206">
      <t>ハツゲン</t>
    </rPh>
    <phoneticPr fontId="1"/>
  </si>
  <si>
    <t>・「時刻と時間のもとめ方」の単元では、秒と分との単位換算での間違いや、筆算を使って時間を求める時に引く数と引かれる数を混同して計算してしまう間違いがあったので、より確実に自分のものにできるように復習したい。・「わり算」の単元では、「４２÷６＝８」「２４÷３＝４」などの間違いが見られた。もう一度かけ算の復習をし、わり算に結びつけられるようにしたい。・「かけ算」の単元では、かけ算のきまりを使った学習内容を確実に自分のものにすることができた。・自分の分かることは進んで発言することができた。・学期後半、ノートをしっかりと書けない時があったので、２学期は、後から自分が見ても分かりやすいノートが書けるようにしたい。</t>
    <rPh sb="2" eb="4">
      <t>ジコク</t>
    </rPh>
    <rPh sb="5" eb="7">
      <t>ジカン</t>
    </rPh>
    <rPh sb="11" eb="12">
      <t>カタ</t>
    </rPh>
    <rPh sb="14" eb="16">
      <t>タンゲン</t>
    </rPh>
    <rPh sb="19" eb="20">
      <t>ビョウ</t>
    </rPh>
    <rPh sb="21" eb="22">
      <t>フン</t>
    </rPh>
    <rPh sb="24" eb="28">
      <t>タンイカンサン</t>
    </rPh>
    <rPh sb="30" eb="32">
      <t>マチガ</t>
    </rPh>
    <rPh sb="35" eb="37">
      <t>ヒッサン</t>
    </rPh>
    <rPh sb="38" eb="39">
      <t>ツカ</t>
    </rPh>
    <rPh sb="41" eb="43">
      <t>ジカン</t>
    </rPh>
    <rPh sb="44" eb="45">
      <t>モト</t>
    </rPh>
    <rPh sb="47" eb="48">
      <t>トキ</t>
    </rPh>
    <rPh sb="49" eb="50">
      <t>ヒ</t>
    </rPh>
    <rPh sb="51" eb="52">
      <t>カズ</t>
    </rPh>
    <rPh sb="53" eb="54">
      <t>ヒ</t>
    </rPh>
    <rPh sb="57" eb="58">
      <t>カズ</t>
    </rPh>
    <rPh sb="59" eb="61">
      <t>コンドウ</t>
    </rPh>
    <rPh sb="63" eb="65">
      <t>ケイサン</t>
    </rPh>
    <rPh sb="70" eb="72">
      <t>マチガ</t>
    </rPh>
    <rPh sb="82" eb="84">
      <t>カクジツ</t>
    </rPh>
    <rPh sb="85" eb="87">
      <t>ジブン</t>
    </rPh>
    <rPh sb="97" eb="99">
      <t>フクシュウ</t>
    </rPh>
    <rPh sb="107" eb="108">
      <t>サン</t>
    </rPh>
    <rPh sb="110" eb="112">
      <t>タンゲン</t>
    </rPh>
    <rPh sb="134" eb="136">
      <t>マチガ</t>
    </rPh>
    <rPh sb="138" eb="139">
      <t>ミ</t>
    </rPh>
    <rPh sb="145" eb="147">
      <t>イチド</t>
    </rPh>
    <rPh sb="149" eb="150">
      <t>ザン</t>
    </rPh>
    <rPh sb="151" eb="153">
      <t>フクシュウ</t>
    </rPh>
    <rPh sb="158" eb="159">
      <t>サン</t>
    </rPh>
    <rPh sb="221" eb="223">
      <t>ジブン</t>
    </rPh>
    <rPh sb="224" eb="225">
      <t>ワ</t>
    </rPh>
    <rPh sb="230" eb="231">
      <t>スス</t>
    </rPh>
    <rPh sb="233" eb="235">
      <t>ハツゲン</t>
    </rPh>
    <rPh sb="245" eb="247">
      <t>ガッキ</t>
    </rPh>
    <rPh sb="247" eb="249">
      <t>コウハン</t>
    </rPh>
    <rPh sb="259" eb="260">
      <t>カ</t>
    </rPh>
    <rPh sb="263" eb="264">
      <t>トキ</t>
    </rPh>
    <rPh sb="295" eb="296">
      <t>カ</t>
    </rPh>
    <phoneticPr fontId="1"/>
  </si>
  <si>
    <t>・授業開始の時には、すぐに姿勢を正して前を向き、話を聞こうすることができ、心構えを持って授業に取り組むことができた。・学習内容をよく理解し、ノートも丁寧に分かりやすく書くことができた。テストでも、しっかりと式や筆算を書き、確実に解いていこうという姿勢がある。・授業中の発言も多い。</t>
    <rPh sb="59" eb="63">
      <t>ガクシュウナイヨウ</t>
    </rPh>
    <rPh sb="66" eb="68">
      <t>リカイ</t>
    </rPh>
    <rPh sb="74" eb="76">
      <t>テイネイ</t>
    </rPh>
    <rPh sb="77" eb="78">
      <t>ワ</t>
    </rPh>
    <rPh sb="83" eb="84">
      <t>カ</t>
    </rPh>
    <rPh sb="103" eb="104">
      <t>シキ</t>
    </rPh>
    <rPh sb="105" eb="107">
      <t>ヒッサン</t>
    </rPh>
    <rPh sb="108" eb="109">
      <t>カ</t>
    </rPh>
    <rPh sb="111" eb="113">
      <t>カクジツ</t>
    </rPh>
    <rPh sb="114" eb="115">
      <t>ト</t>
    </rPh>
    <rPh sb="123" eb="125">
      <t>シセイ</t>
    </rPh>
    <rPh sb="130" eb="133">
      <t>ジュギョウナカ</t>
    </rPh>
    <rPh sb="134" eb="136">
      <t>ハツゲン</t>
    </rPh>
    <rPh sb="137" eb="138">
      <t>オオ</t>
    </rPh>
    <phoneticPr fontId="1"/>
  </si>
  <si>
    <t>・自分の分かることは、進んで挙手をして発言することができた。特に、「重なりに注目して」の単元の問題では、クラスで一番に挙手して発言する姿が見られた。休み時間の個別の学習にも一生懸命に取り組むことができた。・数字を丁寧に書けないことがある。そのために、自分の書いた数字を読み間違えて結果的に問題の答えを正確に出せないことがあった。また、筆算では、正確に答えを出せているのに、解答欄に書く時に写し間違えたり、文章問題においてよく読まなかったための間違いがあったりしたので、落ち着いて取り組むことを心がけたい。・「時刻と時間のもとめ方」の単元では、「午前」「午後」のつけ間違いや、つけ忘れがあった。また、「〇時間〇分前の時刻」や「〇時間〇分後の時刻」を求める問題での間違いがあったので、夏休み中に復習したい。・「たし算とひき算の筆算」の単元では、筆算で、位をそろえて書かなかったための間違いや一桁の計算をまちがてしまう計算ミスがあった。</t>
    <rPh sb="1" eb="3">
      <t>ジブン</t>
    </rPh>
    <rPh sb="4" eb="5">
      <t>ワ</t>
    </rPh>
    <rPh sb="11" eb="12">
      <t>スス</t>
    </rPh>
    <rPh sb="14" eb="16">
      <t>キョシュ</t>
    </rPh>
    <rPh sb="19" eb="21">
      <t>ハツゲン</t>
    </rPh>
    <rPh sb="30" eb="31">
      <t>トク</t>
    </rPh>
    <rPh sb="59" eb="61">
      <t>キョシュ</t>
    </rPh>
    <rPh sb="67" eb="68">
      <t>スガタ</t>
    </rPh>
    <rPh sb="69" eb="70">
      <t>ミ</t>
    </rPh>
    <rPh sb="74" eb="75">
      <t>ヤス</t>
    </rPh>
    <rPh sb="76" eb="78">
      <t>ジカン</t>
    </rPh>
    <rPh sb="79" eb="81">
      <t>コベツ</t>
    </rPh>
    <rPh sb="82" eb="84">
      <t>ガクシュウ</t>
    </rPh>
    <rPh sb="86" eb="90">
      <t>イッショウケンメイ</t>
    </rPh>
    <rPh sb="91" eb="92">
      <t>ト</t>
    </rPh>
    <rPh sb="93" eb="94">
      <t>ク</t>
    </rPh>
    <rPh sb="103" eb="105">
      <t>スウジ</t>
    </rPh>
    <rPh sb="106" eb="108">
      <t>テイネイ</t>
    </rPh>
    <rPh sb="109" eb="110">
      <t>カ</t>
    </rPh>
    <rPh sb="125" eb="127">
      <t>ジブン</t>
    </rPh>
    <rPh sb="128" eb="129">
      <t>カ</t>
    </rPh>
    <rPh sb="131" eb="132">
      <t>スウ</t>
    </rPh>
    <rPh sb="132" eb="133">
      <t>ジ</t>
    </rPh>
    <rPh sb="134" eb="135">
      <t>ヨ</t>
    </rPh>
    <rPh sb="136" eb="138">
      <t>マチガ</t>
    </rPh>
    <rPh sb="140" eb="143">
      <t>ケッカテキ</t>
    </rPh>
    <rPh sb="144" eb="146">
      <t>モンダイ</t>
    </rPh>
    <rPh sb="147" eb="148">
      <t>コタ</t>
    </rPh>
    <rPh sb="150" eb="152">
      <t>セイカク</t>
    </rPh>
    <rPh sb="153" eb="154">
      <t>ダ</t>
    </rPh>
    <rPh sb="167" eb="169">
      <t>ヒッサン</t>
    </rPh>
    <rPh sb="172" eb="174">
      <t>セイカク</t>
    </rPh>
    <rPh sb="175" eb="176">
      <t>コタ</t>
    </rPh>
    <rPh sb="178" eb="179">
      <t>ダ</t>
    </rPh>
    <rPh sb="186" eb="189">
      <t>カイトウラン</t>
    </rPh>
    <rPh sb="190" eb="191">
      <t>カ</t>
    </rPh>
    <rPh sb="192" eb="193">
      <t>トキ</t>
    </rPh>
    <rPh sb="194" eb="195">
      <t>ウツ</t>
    </rPh>
    <rPh sb="196" eb="198">
      <t>マチガ</t>
    </rPh>
    <rPh sb="234" eb="235">
      <t>オ</t>
    </rPh>
    <rPh sb="236" eb="237">
      <t>ツ</t>
    </rPh>
    <rPh sb="239" eb="240">
      <t>ト</t>
    </rPh>
    <rPh sb="241" eb="242">
      <t>ク</t>
    </rPh>
    <rPh sb="246" eb="247">
      <t>ココロ</t>
    </rPh>
    <rPh sb="254" eb="256">
      <t>ジコク</t>
    </rPh>
    <rPh sb="257" eb="259">
      <t>ジカン</t>
    </rPh>
    <rPh sb="263" eb="264">
      <t>カタ</t>
    </rPh>
    <rPh sb="266" eb="268">
      <t>タンゲン</t>
    </rPh>
    <rPh sb="272" eb="274">
      <t>ゴゼン</t>
    </rPh>
    <rPh sb="276" eb="278">
      <t>ゴゴ</t>
    </rPh>
    <rPh sb="282" eb="284">
      <t>マチガ</t>
    </rPh>
    <rPh sb="289" eb="290">
      <t>ワス</t>
    </rPh>
    <rPh sb="304" eb="305">
      <t>フン</t>
    </rPh>
    <rPh sb="313" eb="315">
      <t>ジカン</t>
    </rPh>
    <rPh sb="316" eb="317">
      <t>フン</t>
    </rPh>
    <rPh sb="317" eb="318">
      <t>アト</t>
    </rPh>
    <rPh sb="319" eb="321">
      <t>ジコク</t>
    </rPh>
    <rPh sb="323" eb="324">
      <t>モト</t>
    </rPh>
    <rPh sb="326" eb="328">
      <t>モンダイ</t>
    </rPh>
    <rPh sb="330" eb="332">
      <t>マチガ</t>
    </rPh>
    <rPh sb="340" eb="342">
      <t>ナツヤス</t>
    </rPh>
    <rPh sb="343" eb="344">
      <t>ナカ</t>
    </rPh>
    <rPh sb="345" eb="347">
      <t>フクシュウ</t>
    </rPh>
    <rPh sb="355" eb="356">
      <t>サン</t>
    </rPh>
    <rPh sb="359" eb="360">
      <t>サン</t>
    </rPh>
    <rPh sb="361" eb="363">
      <t>ヒッサン</t>
    </rPh>
    <rPh sb="365" eb="367">
      <t>タンゲン</t>
    </rPh>
    <rPh sb="370" eb="372">
      <t>ヒッサン</t>
    </rPh>
    <rPh sb="374" eb="375">
      <t>クライ</t>
    </rPh>
    <rPh sb="380" eb="381">
      <t>カ</t>
    </rPh>
    <rPh sb="389" eb="391">
      <t>マチガ</t>
    </rPh>
    <rPh sb="393" eb="395">
      <t>ヒトケタ</t>
    </rPh>
    <rPh sb="396" eb="398">
      <t>ケイサン</t>
    </rPh>
    <rPh sb="406" eb="408">
      <t>ケイサン</t>
    </rPh>
    <phoneticPr fontId="1"/>
  </si>
  <si>
    <t>・学習内容をとてもよく理解し、確実に自分のものとすることができた。１学期に行ったワーク、新演習のまとめのテストで、すべて満点を得ることができた。・学習内容に関係したことを、「じゃあ、これは、どうなのかな。」と、進んで考え、知識が広がったり結びついたりする様子が見られた。・ノートを丁寧な字でとても分かりやすく書いていた。・授業中の発言も多い。・宿題をしてないことや、答え合わせをしてないことが何度かあったので気をつけたい。</t>
    <rPh sb="1" eb="5">
      <t>ガクシュウナイヨウ</t>
    </rPh>
    <rPh sb="11" eb="13">
      <t>リカイ</t>
    </rPh>
    <rPh sb="15" eb="17">
      <t>カクジツ</t>
    </rPh>
    <rPh sb="18" eb="20">
      <t>ジブン</t>
    </rPh>
    <rPh sb="34" eb="36">
      <t>ガッキ</t>
    </rPh>
    <rPh sb="37" eb="38">
      <t>オコナ</t>
    </rPh>
    <rPh sb="44" eb="47">
      <t>シンエンシュウ</t>
    </rPh>
    <rPh sb="60" eb="62">
      <t>マンテン</t>
    </rPh>
    <rPh sb="63" eb="64">
      <t>エ</t>
    </rPh>
    <rPh sb="73" eb="77">
      <t>ガクシュウナイヨウ</t>
    </rPh>
    <rPh sb="78" eb="80">
      <t>カンケイ</t>
    </rPh>
    <rPh sb="105" eb="106">
      <t>スス</t>
    </rPh>
    <rPh sb="108" eb="109">
      <t>カンガ</t>
    </rPh>
    <rPh sb="111" eb="113">
      <t>チシキ</t>
    </rPh>
    <rPh sb="114" eb="115">
      <t>ヒロ</t>
    </rPh>
    <rPh sb="119" eb="120">
      <t>ムス</t>
    </rPh>
    <rPh sb="127" eb="129">
      <t>ヨウス</t>
    </rPh>
    <rPh sb="130" eb="131">
      <t>ミ</t>
    </rPh>
    <rPh sb="140" eb="142">
      <t>テイネイ</t>
    </rPh>
    <rPh sb="143" eb="144">
      <t>ジ</t>
    </rPh>
    <rPh sb="148" eb="149">
      <t>ワ</t>
    </rPh>
    <rPh sb="154" eb="155">
      <t>カ</t>
    </rPh>
    <rPh sb="172" eb="174">
      <t>シュクダイ</t>
    </rPh>
    <rPh sb="183" eb="184">
      <t>コタ</t>
    </rPh>
    <rPh sb="185" eb="186">
      <t>ア</t>
    </rPh>
    <rPh sb="196" eb="198">
      <t>ナンド</t>
    </rPh>
    <rPh sb="204" eb="205">
      <t>キ</t>
    </rPh>
    <phoneticPr fontId="1"/>
  </si>
  <si>
    <t>・数字を丁寧に書けないことがある。式や筆算を書く時に、数字の写し間違いをしてしまうこともあった。学期終盤の「たし算とひき算の筆算」のテストでは、しっかりと筆算を書き、言われなくても、自分から「たしかめ」まで、きちんと行うことができていたので、そんな落ち着いて丁寧な取り組みをいつも心がけたい。・「たし算とひき算の筆算」では、初め１０００から３位数を引くやり方を誤解していたが、話をしっかりと聞いてやり方を理解することができた。</t>
    <rPh sb="3" eb="4">
      <t>カ</t>
    </rPh>
    <rPh sb="6" eb="7">
      <t>カ</t>
    </rPh>
    <rPh sb="48" eb="50">
      <t>ガッキ</t>
    </rPh>
    <rPh sb="50" eb="52">
      <t>シュウバン</t>
    </rPh>
    <rPh sb="93" eb="94">
      <t>サン</t>
    </rPh>
    <rPh sb="97" eb="98">
      <t>サン</t>
    </rPh>
    <rPh sb="99" eb="101">
      <t>ヒッサン</t>
    </rPh>
    <rPh sb="114" eb="116">
      <t>ヒッサン</t>
    </rPh>
    <rPh sb="117" eb="118">
      <t>カ</t>
    </rPh>
    <rPh sb="120" eb="121">
      <t>イ</t>
    </rPh>
    <rPh sb="128" eb="130">
      <t>ジブン</t>
    </rPh>
    <rPh sb="145" eb="146">
      <t>オコナ</t>
    </rPh>
    <rPh sb="161" eb="162">
      <t>オ</t>
    </rPh>
    <rPh sb="163" eb="164">
      <t>ツ</t>
    </rPh>
    <rPh sb="166" eb="168">
      <t>テイネイ</t>
    </rPh>
    <rPh sb="169" eb="170">
      <t>ト</t>
    </rPh>
    <rPh sb="171" eb="172">
      <t>ク</t>
    </rPh>
    <rPh sb="177" eb="178">
      <t>ココロ</t>
    </rPh>
    <rPh sb="187" eb="188">
      <t>サン</t>
    </rPh>
    <rPh sb="191" eb="192">
      <t>サン</t>
    </rPh>
    <rPh sb="193" eb="195">
      <t>ヒッサン</t>
    </rPh>
    <rPh sb="199" eb="200">
      <t>ハジ</t>
    </rPh>
    <rPh sb="208" eb="210">
      <t>イスウ</t>
    </rPh>
    <rPh sb="211" eb="212">
      <t>ヒカタゴカイハナキカタリカイ</t>
    </rPh>
    <phoneticPr fontId="1"/>
  </si>
  <si>
    <t>単元テストのとき、問題が何を要求しているか、読み切れず間違えているようです。諦めずに頑張ってほしいです。</t>
    <rPh sb="0" eb="2">
      <t>タンゲン</t>
    </rPh>
    <rPh sb="9" eb="11">
      <t>モンダイ</t>
    </rPh>
    <rPh sb="12" eb="13">
      <t>ナニ</t>
    </rPh>
    <rPh sb="14" eb="16">
      <t>ヨウキュウ</t>
    </rPh>
    <rPh sb="22" eb="23">
      <t>ヨ</t>
    </rPh>
    <rPh sb="24" eb="25">
      <t>キ</t>
    </rPh>
    <rPh sb="27" eb="29">
      <t>マチガ</t>
    </rPh>
    <rPh sb="38" eb="39">
      <t>アキラ</t>
    </rPh>
    <rPh sb="42" eb="44">
      <t>ガンバ</t>
    </rPh>
    <phoneticPr fontId="1"/>
  </si>
  <si>
    <t>いろいろなことに興味を持っています。とてもいいのですが、今やることを忘れてしまします。今後は、観察記録やノートを書くことにも慣れていきましょう。</t>
    <rPh sb="8" eb="10">
      <t>キョウミ</t>
    </rPh>
    <rPh sb="11" eb="12">
      <t>モ</t>
    </rPh>
    <rPh sb="28" eb="29">
      <t>イマ</t>
    </rPh>
    <rPh sb="34" eb="35">
      <t>ワス</t>
    </rPh>
    <rPh sb="43" eb="45">
      <t>コンゴ</t>
    </rPh>
    <rPh sb="47" eb="49">
      <t>カンサツ</t>
    </rPh>
    <rPh sb="49" eb="51">
      <t>キロク</t>
    </rPh>
    <rPh sb="56" eb="57">
      <t>カ</t>
    </rPh>
    <rPh sb="62" eb="63">
      <t>ナ</t>
    </rPh>
    <phoneticPr fontId="1"/>
  </si>
  <si>
    <t>身近な地域に興味を持ち、意欲的に見たり聞いたり調べたりすることができる</t>
  </si>
  <si>
    <t>地図記号や方角について理解し、地図を読み取ることができる</t>
  </si>
  <si>
    <t>身近な地域の様子を調べ、場所による様子の違いを考えることができる</t>
  </si>
  <si>
    <t>地図を読み取ったり、写真を見たりしながら、松本市の特徴や様子を考えることができる</t>
  </si>
  <si>
    <t>意欲的に学んでいます。</t>
    <rPh sb="0" eb="3">
      <t>イヨクテキ</t>
    </rPh>
    <rPh sb="4" eb="5">
      <t>マナ</t>
    </rPh>
    <phoneticPr fontId="1"/>
  </si>
  <si>
    <t>松本市の振り返りで「松本についてもっと調べたい。社会の授業をやって良かった。」と感想を書いており、前向きさが伝わります。地図記号や方位、地図の決まりの復習を夏休みで行っていくとよい。</t>
    <rPh sb="0" eb="3">
      <t>マツモトシ</t>
    </rPh>
    <rPh sb="4" eb="5">
      <t>フ</t>
    </rPh>
    <rPh sb="6" eb="7">
      <t>カエ</t>
    </rPh>
    <rPh sb="10" eb="12">
      <t>マツモト</t>
    </rPh>
    <rPh sb="19" eb="20">
      <t>シラ</t>
    </rPh>
    <rPh sb="24" eb="26">
      <t>シャカイ</t>
    </rPh>
    <rPh sb="27" eb="29">
      <t>ジュギョウ</t>
    </rPh>
    <rPh sb="33" eb="34">
      <t>ヨ</t>
    </rPh>
    <rPh sb="40" eb="42">
      <t>カンソウ</t>
    </rPh>
    <rPh sb="43" eb="44">
      <t>カ</t>
    </rPh>
    <rPh sb="49" eb="51">
      <t>マエム</t>
    </rPh>
    <rPh sb="54" eb="55">
      <t>ツタ</t>
    </rPh>
    <rPh sb="60" eb="64">
      <t>チズキゴウ</t>
    </rPh>
    <rPh sb="65" eb="67">
      <t>ホウイ</t>
    </rPh>
    <rPh sb="68" eb="70">
      <t>チズ</t>
    </rPh>
    <rPh sb="71" eb="72">
      <t>キ</t>
    </rPh>
    <rPh sb="75" eb="77">
      <t>フクシュウ</t>
    </rPh>
    <rPh sb="78" eb="80">
      <t>ナツヤス</t>
    </rPh>
    <rPh sb="82" eb="83">
      <t>オコナ</t>
    </rPh>
    <phoneticPr fontId="1"/>
  </si>
  <si>
    <t>社会係として、意欲的に役割を行うことができました。地図記号・方位・地図の約束のテストが満点でした。</t>
    <rPh sb="0" eb="3">
      <t>シャカイカカリ</t>
    </rPh>
    <rPh sb="7" eb="10">
      <t>イヨクテキ</t>
    </rPh>
    <rPh sb="11" eb="13">
      <t>ヤクワリ</t>
    </rPh>
    <rPh sb="14" eb="15">
      <t>オコナ</t>
    </rPh>
    <rPh sb="25" eb="29">
      <t>チズキゴウ</t>
    </rPh>
    <rPh sb="30" eb="32">
      <t>ホウイ</t>
    </rPh>
    <rPh sb="33" eb="35">
      <t>チズ</t>
    </rPh>
    <rPh sb="36" eb="38">
      <t>ヤクソク</t>
    </rPh>
    <rPh sb="43" eb="45">
      <t>マンテン</t>
    </rPh>
    <phoneticPr fontId="1"/>
  </si>
  <si>
    <t>気づいたことを発言できるようになってきました。</t>
    <rPh sb="0" eb="1">
      <t>キ</t>
    </rPh>
    <rPh sb="7" eb="9">
      <t>ハツゲン</t>
    </rPh>
    <phoneticPr fontId="1"/>
  </si>
  <si>
    <t>宿題への取り組みができなかった。知識はあるので、もったいない。</t>
    <rPh sb="0" eb="2">
      <t>シュクダイ</t>
    </rPh>
    <rPh sb="4" eb="5">
      <t>ト</t>
    </rPh>
    <rPh sb="6" eb="7">
      <t>ク</t>
    </rPh>
    <rPh sb="16" eb="18">
      <t>チシキ</t>
    </rPh>
    <phoneticPr fontId="1"/>
  </si>
  <si>
    <t>丁寧な字でノートをまとめ、発言も積極的に頑張りました。地図記号・方位・地図の約束のテストが満点でした。</t>
    <rPh sb="0" eb="2">
      <t>テイネイ</t>
    </rPh>
    <rPh sb="3" eb="4">
      <t>ジ</t>
    </rPh>
    <rPh sb="13" eb="15">
      <t>ハツゲン</t>
    </rPh>
    <rPh sb="16" eb="19">
      <t>セッキョクテキ</t>
    </rPh>
    <rPh sb="20" eb="22">
      <t>ガンバ</t>
    </rPh>
    <phoneticPr fontId="1"/>
  </si>
  <si>
    <t>ノートへ記述することができない。したがって、知識が身についていかない。テストの点がそこにつながってしまっている。地図記号や方位、地図の決まりの復習を夏休みで行っていくとよい。</t>
    <rPh sb="4" eb="6">
      <t>キジュツ</t>
    </rPh>
    <rPh sb="22" eb="24">
      <t>チシキ</t>
    </rPh>
    <rPh sb="25" eb="26">
      <t>ミ</t>
    </rPh>
    <rPh sb="39" eb="40">
      <t>テン</t>
    </rPh>
    <phoneticPr fontId="1"/>
  </si>
  <si>
    <t>松本市の土地の使われ方について、何行にもわたってノートに気づいたことをまとめることができた。ノートに分かりやすい絵を書き、内容を深めることができた。</t>
    <rPh sb="0" eb="3">
      <t>マツモトシ</t>
    </rPh>
    <rPh sb="4" eb="6">
      <t>トチ</t>
    </rPh>
    <rPh sb="7" eb="8">
      <t>ツカ</t>
    </rPh>
    <rPh sb="10" eb="11">
      <t>カタ</t>
    </rPh>
    <rPh sb="16" eb="18">
      <t>ナンギョウ</t>
    </rPh>
    <rPh sb="28" eb="29">
      <t>キ</t>
    </rPh>
    <rPh sb="50" eb="51">
      <t>ワ</t>
    </rPh>
    <rPh sb="56" eb="57">
      <t>エ</t>
    </rPh>
    <rPh sb="58" eb="59">
      <t>カ</t>
    </rPh>
    <rPh sb="61" eb="63">
      <t>ナイヨウ</t>
    </rPh>
    <rPh sb="64" eb="65">
      <t>フカ</t>
    </rPh>
    <phoneticPr fontId="1"/>
  </si>
  <si>
    <t>授業中の集中力にやや課題があったが、最近は意識できている。それに伴って、発言にも積極性が出てきている。地図記号・方位の復習を夏休みで行っていくとよい。</t>
    <rPh sb="0" eb="3">
      <t>ジュギョウチュウ</t>
    </rPh>
    <rPh sb="4" eb="7">
      <t>シュウチュウリョク</t>
    </rPh>
    <rPh sb="10" eb="12">
      <t>カダイ</t>
    </rPh>
    <rPh sb="18" eb="20">
      <t>サイキン</t>
    </rPh>
    <rPh sb="21" eb="23">
      <t>イシキ</t>
    </rPh>
    <rPh sb="32" eb="33">
      <t>トモナ</t>
    </rPh>
    <rPh sb="36" eb="38">
      <t>ハツゲン</t>
    </rPh>
    <rPh sb="40" eb="43">
      <t>セッキョクセイ</t>
    </rPh>
    <rPh sb="44" eb="45">
      <t>デ</t>
    </rPh>
    <rPh sb="51" eb="55">
      <t>チズキゴウ</t>
    </rPh>
    <rPh sb="56" eb="58">
      <t>ホウイ</t>
    </rPh>
    <phoneticPr fontId="1"/>
  </si>
  <si>
    <t>積極的に授業に取り組み、発言を多くできた。</t>
    <rPh sb="0" eb="2">
      <t>セッキョク</t>
    </rPh>
    <rPh sb="2" eb="10">
      <t>テキニジュギョウニトリク</t>
    </rPh>
    <rPh sb="12" eb="14">
      <t>ハツゲン</t>
    </rPh>
    <rPh sb="15" eb="16">
      <t>オオ</t>
    </rPh>
    <phoneticPr fontId="1"/>
  </si>
  <si>
    <t>集中した授業への取り組みが素晴らしいです。地図記号・方位・地図の約束のテストが満点でした。</t>
    <rPh sb="0" eb="2">
      <t>シュウチュウ</t>
    </rPh>
    <rPh sb="4" eb="6">
      <t>ジュギョウ</t>
    </rPh>
    <rPh sb="8" eb="9">
      <t>ト</t>
    </rPh>
    <rPh sb="10" eb="11">
      <t>ク</t>
    </rPh>
    <rPh sb="13" eb="15">
      <t>スバ</t>
    </rPh>
    <phoneticPr fontId="1"/>
  </si>
  <si>
    <t>まちたんけんについて細かく記述できていた。</t>
    <rPh sb="10" eb="11">
      <t>コマ</t>
    </rPh>
    <rPh sb="13" eb="15">
      <t>キジュツ</t>
    </rPh>
    <phoneticPr fontId="1"/>
  </si>
  <si>
    <t>発言が意欲的で、積極的に授業に参加した。松本市について、様子を丁寧にまとめることができた。</t>
    <rPh sb="0" eb="2">
      <t>ハツゲン</t>
    </rPh>
    <rPh sb="3" eb="6">
      <t>イヨクテキ</t>
    </rPh>
    <rPh sb="8" eb="10">
      <t>セッキョク</t>
    </rPh>
    <rPh sb="10" eb="17">
      <t>テキニジュギョウニサンカ</t>
    </rPh>
    <rPh sb="20" eb="23">
      <t>マツモトシ</t>
    </rPh>
    <rPh sb="28" eb="30">
      <t>ヨウス</t>
    </rPh>
    <rPh sb="31" eb="33">
      <t>テイネイ</t>
    </rPh>
    <phoneticPr fontId="1"/>
  </si>
  <si>
    <t>発言を積極的に頑張りました。</t>
    <rPh sb="0" eb="2">
      <t>ハツゲン</t>
    </rPh>
    <rPh sb="3" eb="6">
      <t>セッキョクテキ</t>
    </rPh>
    <rPh sb="7" eb="9">
      <t>ガンバ</t>
    </rPh>
    <phoneticPr fontId="1"/>
  </si>
  <si>
    <t>音や音楽に関心を持ち、進んで音楽表現や鑑賞の活動に取り組むことができる</t>
    <rPh sb="0" eb="1">
      <t>オト</t>
    </rPh>
    <rPh sb="2" eb="4">
      <t>オンガク</t>
    </rPh>
    <rPh sb="5" eb="7">
      <t>カンシン</t>
    </rPh>
    <rPh sb="8" eb="9">
      <t>モ</t>
    </rPh>
    <rPh sb="11" eb="12">
      <t>スス</t>
    </rPh>
    <rPh sb="14" eb="18">
      <t>オンガクヒョウゲン</t>
    </rPh>
    <rPh sb="19" eb="21">
      <t>カンショウ</t>
    </rPh>
    <rPh sb="22" eb="24">
      <t>カツドウ</t>
    </rPh>
    <rPh sb="25" eb="26">
      <t>ト</t>
    </rPh>
    <rPh sb="27" eb="28">
      <t>ク</t>
    </rPh>
    <phoneticPr fontId="1"/>
  </si>
  <si>
    <t>曲想や歌詞の内容にふさわしい表現を工夫して歌うことができる</t>
    <rPh sb="0" eb="2">
      <t>キョクソウ</t>
    </rPh>
    <rPh sb="3" eb="5">
      <t>カシ</t>
    </rPh>
    <rPh sb="6" eb="8">
      <t>ナイヨウ</t>
    </rPh>
    <rPh sb="14" eb="16">
      <t>ヒョウゲン</t>
    </rPh>
    <rPh sb="17" eb="19">
      <t>クフウ</t>
    </rPh>
    <rPh sb="21" eb="22">
      <t>ウタ</t>
    </rPh>
    <phoneticPr fontId="1"/>
  </si>
  <si>
    <t>姿勢や構え方、息の強さ、タンギングに気をつけて、鍵盤ハーモニカやリコーダーを演奏することができる</t>
    <rPh sb="0" eb="2">
      <t>シセイ</t>
    </rPh>
    <rPh sb="3" eb="4">
      <t>カマ</t>
    </rPh>
    <rPh sb="5" eb="6">
      <t>カタ</t>
    </rPh>
    <rPh sb="7" eb="8">
      <t>イキ</t>
    </rPh>
    <rPh sb="9" eb="10">
      <t>ツヨ</t>
    </rPh>
    <rPh sb="18" eb="19">
      <t>キ</t>
    </rPh>
    <rPh sb="24" eb="26">
      <t>ケンバン</t>
    </rPh>
    <rPh sb="38" eb="40">
      <t>エンソウ</t>
    </rPh>
    <phoneticPr fontId="1"/>
  </si>
  <si>
    <t>様子を思い浮かべたり、楽器の持つ特徴を感じ取りながら楽曲を聴くことができる</t>
    <rPh sb="0" eb="2">
      <t>ヨウス</t>
    </rPh>
    <rPh sb="3" eb="4">
      <t>オモ</t>
    </rPh>
    <rPh sb="5" eb="6">
      <t>ウ</t>
    </rPh>
    <rPh sb="11" eb="13">
      <t>ガッキ</t>
    </rPh>
    <rPh sb="14" eb="15">
      <t>モ</t>
    </rPh>
    <rPh sb="16" eb="18">
      <t>トクチョウ</t>
    </rPh>
    <rPh sb="19" eb="20">
      <t>カン</t>
    </rPh>
    <rPh sb="21" eb="22">
      <t>ト</t>
    </rPh>
    <rPh sb="26" eb="28">
      <t>ガッキョク</t>
    </rPh>
    <rPh sb="29" eb="30">
      <t>キ</t>
    </rPh>
    <phoneticPr fontId="1"/>
  </si>
  <si>
    <t>運動の行い方を工夫するとともに、考えたことを他者に伝えることができる</t>
    <rPh sb="0" eb="2">
      <t>ウンドウ</t>
    </rPh>
    <rPh sb="3" eb="4">
      <t>オコナ</t>
    </rPh>
    <rPh sb="5" eb="6">
      <t>カタ</t>
    </rPh>
    <rPh sb="7" eb="9">
      <t>クフウ</t>
    </rPh>
    <rPh sb="16" eb="17">
      <t>カンガ</t>
    </rPh>
    <rPh sb="22" eb="24">
      <t>タシャ</t>
    </rPh>
    <rPh sb="25" eb="26">
      <t>ツタ</t>
    </rPh>
    <phoneticPr fontId="1"/>
  </si>
  <si>
    <t>決まりを守り、誰とでも仲良く意欲的に運動ができる</t>
    <rPh sb="0" eb="1">
      <t>キ</t>
    </rPh>
    <rPh sb="4" eb="5">
      <t>マモ</t>
    </rPh>
    <rPh sb="7" eb="8">
      <t>ダレ</t>
    </rPh>
    <rPh sb="11" eb="13">
      <t>ナカヨ</t>
    </rPh>
    <rPh sb="14" eb="17">
      <t>イヨクテキ</t>
    </rPh>
    <rPh sb="18" eb="20">
      <t>ウンドウ</t>
    </rPh>
    <phoneticPr fontId="1"/>
  </si>
  <si>
    <t>全身を使って、力強く走ることができる（短距離走）</t>
    <rPh sb="0" eb="2">
      <t>ゼンシン</t>
    </rPh>
    <rPh sb="3" eb="4">
      <t>ツカ</t>
    </rPh>
    <rPh sb="7" eb="9">
      <t>チカラツヨ</t>
    </rPh>
    <rPh sb="10" eb="11">
      <t>ハシ</t>
    </rPh>
    <rPh sb="19" eb="23">
      <t>タンキョリソウ</t>
    </rPh>
    <phoneticPr fontId="1"/>
  </si>
  <si>
    <t>バトンの受け渡しがスムーズにできる（リレー）</t>
    <rPh sb="4" eb="5">
      <t>ウ</t>
    </rPh>
    <rPh sb="6" eb="7">
      <t>ワタ</t>
    </rPh>
    <phoneticPr fontId="1"/>
  </si>
  <si>
    <t>短い助走から力強く踏み切って跳ぶことができる（走り幅跳び）</t>
    <rPh sb="0" eb="1">
      <t>ミジカ</t>
    </rPh>
    <rPh sb="2" eb="4">
      <t>ジョソウ</t>
    </rPh>
    <rPh sb="6" eb="8">
      <t>チカラツヨ</t>
    </rPh>
    <rPh sb="9" eb="10">
      <t>フ</t>
    </rPh>
    <rPh sb="11" eb="12">
      <t>キ</t>
    </rPh>
    <rPh sb="14" eb="15">
      <t>ト</t>
    </rPh>
    <rPh sb="23" eb="24">
      <t>ハシ</t>
    </rPh>
    <rPh sb="25" eb="27">
      <t>ハバト</t>
    </rPh>
    <phoneticPr fontId="1"/>
  </si>
  <si>
    <t>ほぼ毎時間、授業の集合や整列時、話を聞く時など静かにする場面で周囲の友達にわざわざ話し掛けています。注意をされると、すぐに直せますがなかなか持続しません。２学期は、まず落ち着いて授業を受けられるように自分でも意識してみましょう。</t>
    <rPh sb="2" eb="5">
      <t>マイジカン</t>
    </rPh>
    <rPh sb="6" eb="8">
      <t>ジュギョウ</t>
    </rPh>
    <rPh sb="14" eb="15">
      <t>ジ</t>
    </rPh>
    <rPh sb="16" eb="17">
      <t>ハナシ</t>
    </rPh>
    <rPh sb="18" eb="19">
      <t>キ</t>
    </rPh>
    <rPh sb="20" eb="21">
      <t>トキ</t>
    </rPh>
    <rPh sb="23" eb="24">
      <t>シズ</t>
    </rPh>
    <rPh sb="28" eb="30">
      <t>バメン</t>
    </rPh>
    <rPh sb="31" eb="33">
      <t>シュウイ</t>
    </rPh>
    <rPh sb="34" eb="36">
      <t>トモダチ</t>
    </rPh>
    <rPh sb="41" eb="42">
      <t>ハナ</t>
    </rPh>
    <rPh sb="43" eb="44">
      <t>カ</t>
    </rPh>
    <rPh sb="50" eb="52">
      <t>チュウイ</t>
    </rPh>
    <rPh sb="61" eb="62">
      <t>ナオ</t>
    </rPh>
    <rPh sb="70" eb="72">
      <t>ジゾク</t>
    </rPh>
    <rPh sb="78" eb="80">
      <t>ガッキ</t>
    </rPh>
    <rPh sb="84" eb="85">
      <t>オ</t>
    </rPh>
    <rPh sb="86" eb="87">
      <t>ツ</t>
    </rPh>
    <rPh sb="89" eb="91">
      <t>ジュギョウ</t>
    </rPh>
    <rPh sb="92" eb="93">
      <t>ウ</t>
    </rPh>
    <rPh sb="100" eb="102">
      <t>ジブン</t>
    </rPh>
    <rPh sb="104" eb="106">
      <t>イシキ</t>
    </rPh>
    <phoneticPr fontId="1"/>
  </si>
  <si>
    <t>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人の気持ちをよく考えたり、人に対しての言い方をよく考えていきたい」と考えを深めることができました。今後も、学んだことを日常生活に生かしていける姿を期待しています。</t>
    <rPh sb="137" eb="138">
      <t>カンガ</t>
    </rPh>
    <rPh sb="140" eb="141">
      <t>フカ</t>
    </rPh>
    <phoneticPr fontId="19"/>
  </si>
  <si>
    <t>自分の考えをもち、発言したり、ワークシートに記述したりできました。サッカーが得意でない道夫にいらいらし、声をかけなくなってしまった登場人物の姿を通して、誰に対しても分け隔てなく接するにはどんな気持ちが必要か考えました。公正、公平な態度で接しようとする心情を育てる「道夫とぼく」という題材では、自分の気持ちを伝えるときは「相手がうなずけるように伝える。」と振り返りました。一郎くんの優しさが光りました。</t>
    <rPh sb="146" eb="148">
      <t>ジブン</t>
    </rPh>
    <rPh sb="149" eb="151">
      <t>キモ</t>
    </rPh>
    <rPh sb="153" eb="154">
      <t>ツタ</t>
    </rPh>
    <rPh sb="177" eb="178">
      <t>フ</t>
    </rPh>
    <rPh sb="179" eb="180">
      <t>カエ</t>
    </rPh>
    <rPh sb="190" eb="191">
      <t>ヤサ</t>
    </rPh>
    <rPh sb="194" eb="195">
      <t>ヒカ</t>
    </rPh>
    <phoneticPr fontId="19"/>
  </si>
  <si>
    <t>自分の考えをもつことができました。サッカーが得意でない道夫にいらいらし、声をかけなくなってしまった登場人物の姿を通して、誰に対しても分け隔てなく接するにはどんな気持ちが必要か考えました。公正・公平な態度で接しようとする心情を育てる「道夫とぼく」という題材では、「弱点があっても仲間外れにしない。」と振り返り、公正・公平であるよさに気付きました。今後も学んだことを生かす圭くんの姿を期待しています。</t>
    <rPh sb="149" eb="150">
      <t>フ</t>
    </rPh>
    <rPh sb="151" eb="152">
      <t>カエ</t>
    </rPh>
    <rPh sb="157" eb="159">
      <t>コウヘイ</t>
    </rPh>
    <rPh sb="165" eb="167">
      <t>キヅ</t>
    </rPh>
    <rPh sb="184" eb="185">
      <t>ケイ</t>
    </rPh>
    <phoneticPr fontId="19"/>
  </si>
  <si>
    <r>
      <rPr>
        <sz val="9"/>
        <color indexed="8"/>
        <rFont val="ＭＳ Ｐゴシック"/>
        <family val="3"/>
        <charset val="128"/>
      </rPr>
      <t>サッカーが得意でない道夫にいらいらし、声をかけなくなってしまった登場人物の姿を通して、誰に対しても分け隔てなく接するにはどんな気持ちが必要か考え、公正、公平な態度で接しようとする心情を育てる「道夫とぼく」という題材では、自分だったら「</t>
    </r>
    <r>
      <rPr>
        <sz val="9"/>
        <color indexed="8"/>
        <rFont val="ＭＳ ゴシック"/>
        <family val="3"/>
        <charset val="128"/>
      </rPr>
      <t>弱点があっても仲間外れにしない。</t>
    </r>
    <r>
      <rPr>
        <sz val="9"/>
        <color indexed="8"/>
        <rFont val="ＭＳ Ｐゴシック"/>
        <family val="3"/>
        <charset val="128"/>
      </rPr>
      <t>」ということに気をつけたいと振り返りで記述できました。今後も周りに気づかいのできる和花さんの良さを発揮することを期待しています。</t>
    </r>
    <rPh sb="110" eb="112">
      <t>ジブン</t>
    </rPh>
    <rPh sb="140" eb="141">
      <t>キ</t>
    </rPh>
    <rPh sb="174" eb="176">
      <t>ワカ</t>
    </rPh>
    <phoneticPr fontId="19"/>
  </si>
  <si>
    <t>サッカーが得意でない道夫にいらいらし、声をかけなくなってしまった登場人物の姿を通して、誰に対しても分け隔てなく接するにはどんな気持ちが必要か考えました。公正、公平な態度で接しようとする心情を育てる「道夫とぼく」という題材では、人と分け隔てなく接するには「人が嫌そうな話はしないことが大切。」と振り返りで記述できました。今後も周りがよく見えている峰光くんの良さを発揮することを期待しています。</t>
    <rPh sb="113" eb="114">
      <t>ヒト</t>
    </rPh>
    <rPh sb="115" eb="116">
      <t>ワ</t>
    </rPh>
    <rPh sb="117" eb="118">
      <t>ヘダ</t>
    </rPh>
    <rPh sb="121" eb="122">
      <t>セッ</t>
    </rPh>
    <rPh sb="141" eb="143">
      <t>タイセツ</t>
    </rPh>
    <rPh sb="167" eb="168">
      <t>ミ</t>
    </rPh>
    <rPh sb="172" eb="174">
      <t>ミネミツ</t>
    </rPh>
    <phoneticPr fontId="19"/>
  </si>
  <si>
    <t>自分の考えをもち、発言したり、ワークシートに記述したりでき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自分の意見と相手の意見についてもう一回しっかり考えること」を大切にしたいと振り返りに記述することができました。</t>
    <rPh sb="166" eb="168">
      <t>タイセツ</t>
    </rPh>
    <rPh sb="173" eb="174">
      <t>フ</t>
    </rPh>
    <rPh sb="175" eb="176">
      <t>カエ</t>
    </rPh>
    <rPh sb="178" eb="180">
      <t>キジュツ</t>
    </rPh>
    <phoneticPr fontId="19"/>
  </si>
  <si>
    <r>
      <rPr>
        <sz val="9"/>
        <color indexed="63"/>
        <rFont val="ＭＳ Ｐゴシック"/>
        <family val="3"/>
        <charset val="128"/>
      </rPr>
      <t>「友だち屋」を始めたキツネが「本当の友だち」と言われて喜び、商売をやめる姿を通して、友だちとはどんな人かを考え、友だちと互いに理解し合い、信頼し合い、助け合おうとする心情を育てる「友だち屋」という題材では、自分にとって友達とは「</t>
    </r>
    <r>
      <rPr>
        <sz val="9"/>
        <color indexed="63"/>
        <rFont val="ＭＳ ゴシック"/>
        <family val="3"/>
        <charset val="128"/>
      </rPr>
      <t>一緒にいて心から楽しめる人。」と振り返りました。周りの人と上手に関わることのできる瑛士くんの良さを生かして今後も活躍することを期待しています。</t>
    </r>
    <rPh sb="103" eb="105">
      <t>ジブン</t>
    </rPh>
    <rPh sb="109" eb="111">
      <t>トモダチ</t>
    </rPh>
    <rPh sb="130" eb="131">
      <t>フ</t>
    </rPh>
    <rPh sb="132" eb="133">
      <t>カエ</t>
    </rPh>
    <rPh sb="155" eb="157">
      <t>エイジ</t>
    </rPh>
    <phoneticPr fontId="19"/>
  </si>
  <si>
    <t>友だちの「きらきらカード」を読み、自分も書きたいと思う登場人物の姿を通して、より良いクラスにするためにできることを考えさせ、みんなで協力し合って楽しい学級をつくろうとする実践意欲を育てる「きらきらカード」という題材では、「みんなの良いところを見つけたい」と多くのキラキラカード書いていました。今後も新くんが学んだことを日常生活に生かし、日々の成長につなげる姿を期待しています。</t>
    <rPh sb="149" eb="150">
      <t>アラ</t>
    </rPh>
    <phoneticPr fontId="19"/>
  </si>
  <si>
    <t xml:space="preserve"> 
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相手がうなずけるように伝えることを大切にしたい」と振り返りに記述することができました。今後も学んだことを日常生活に生かし、日々の成長につなげる姿を期待しています。</t>
    <rPh sb="119" eb="120">
      <t>ツタ</t>
    </rPh>
    <phoneticPr fontId="19"/>
  </si>
  <si>
    <t>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意見が分かれたら時間で区切りをつけたり、自分の考えをわかりやすく伝える。」ということを大切にしたいと記述しました。今後も学んだことを日常生活に生かし、日々の成長につなげる姿を期待しています。</t>
    <rPh sb="103" eb="105">
      <t>イケン</t>
    </rPh>
    <rPh sb="106" eb="107">
      <t>ワ</t>
    </rPh>
    <rPh sb="111" eb="113">
      <t>ジカン</t>
    </rPh>
    <rPh sb="114" eb="116">
      <t>クギ</t>
    </rPh>
    <rPh sb="123" eb="125">
      <t>ジブン</t>
    </rPh>
    <rPh sb="126" eb="127">
      <t>カンガ</t>
    </rPh>
    <rPh sb="135" eb="136">
      <t>ツタ</t>
    </rPh>
    <phoneticPr fontId="19"/>
  </si>
  <si>
    <t>「友だち屋」を始めたキツネが「本当の友だち」と言われて喜び、商売をやめる姿を通して、友だちとはどんな人かを考え、友だちと互いに理解し合い、信頼し合い、助け合おうとする心情を育てる「友だち屋」という題材では、自分にとって友達とは「一緒に遊んだとき、心から楽しめる人。」と振り返りました。周りの人と上手に関わることのできる杏さんの良さを生かして今後も活躍することを期待しています。</t>
    <rPh sb="159" eb="160">
      <t>アン</t>
    </rPh>
    <phoneticPr fontId="19"/>
  </si>
  <si>
    <t>どの題材でも登場人物の考えに共感して考えをまとめることができました。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自分から謝った時のことを「謝る前はモヤモヤしていたけれど、謝ったらモヤモヤがなくなってきました。」と振り返りました。</t>
    <rPh sb="142" eb="144">
      <t>ジブン</t>
    </rPh>
    <rPh sb="146" eb="147">
      <t>アヤマ</t>
    </rPh>
    <rPh sb="149" eb="150">
      <t>トキ</t>
    </rPh>
    <rPh sb="192" eb="193">
      <t>フ</t>
    </rPh>
    <rPh sb="194" eb="195">
      <t>カエ</t>
    </rPh>
    <phoneticPr fontId="19"/>
  </si>
  <si>
    <t>友だちの「きらきらカード」を読み、自分も書きたいと思う登場人物の姿を通して、より良いクラスにするためにできることを考えさせ、みんなで協力し合って楽しい学級をつくろうとする実践意欲を育てる「きらきらカード」という題材では、「みんなの良いところを見つけてあげたい」と多くのキラキラカード書いていました。今後も琉良くんが学んだことを日常生活に生かし、日々の成長につなげる姿を期待しています。</t>
    <rPh sb="152" eb="153">
      <t>リュウ</t>
    </rPh>
    <rPh sb="153" eb="154">
      <t>ヨ</t>
    </rPh>
    <phoneticPr fontId="19"/>
  </si>
  <si>
    <t>サッカーが得意でない道夫にいらいらし、声をかけなくなってしまった登場人物の姿を通して、誰に対しても分け隔てなく接するにはどんな気持ちが必要か考えました。公正、公平な態度で接しようとする心情を育てる「道夫とぼく」という題材では、人と分け隔てなく接するには「相手の気持ちを考える。優しくする。」と振り返りで記述できました。今後も悠真くんの優しさが発揮されることを期待しています。</t>
    <rPh sb="162" eb="164">
      <t>ユウマ</t>
    </rPh>
    <rPh sb="167" eb="168">
      <t>ヤサ</t>
    </rPh>
    <phoneticPr fontId="19"/>
  </si>
  <si>
    <t>どの題材でも登場人物の考えに共感して考えをまとめることができました。友だちの「きらきらカード」を読み、自分も書きたいと思う登場人物の姿を通して、より良いクラスにするためにできることを考えさせ、みんなで協力し合って楽しい学級をつくろうとする実践意欲を育てる「きらきらカード」という題材では、「みんなの良い所を見つけたい」と多くのキラキラカードを書いていました。瑛大くんの優しさを活かして欲しいです。</t>
    <rPh sb="149" eb="150">
      <t>ヨ</t>
    </rPh>
    <rPh sb="151" eb="152">
      <t>トコロ</t>
    </rPh>
    <rPh sb="153" eb="154">
      <t>ミ</t>
    </rPh>
    <rPh sb="160" eb="161">
      <t>オオ</t>
    </rPh>
    <rPh sb="171" eb="172">
      <t>カ</t>
    </rPh>
    <rPh sb="179" eb="181">
      <t>エイタ</t>
    </rPh>
    <rPh sb="184" eb="185">
      <t>ヤサ</t>
    </rPh>
    <rPh sb="188" eb="189">
      <t>イ</t>
    </rPh>
    <rPh sb="192" eb="193">
      <t>ホ</t>
    </rPh>
    <phoneticPr fontId="19"/>
  </si>
  <si>
    <t>サッカーが得意でない道夫にいらいらし、声をかけなくなってしまった登場人物の姿を通して、誰に対しても分け隔てなく接するにはどんな気持ちが必要か考え、公正、公平な態度で接しようとする心情を育てる「道夫とぼく」という題材では、人と分け隔てなく接する為に大切なことは「相手のことを考える」と振り返りで記述できました。今後も周りがよく見えている高連くんの良さが発揮されることを期待しています。</t>
    <rPh sb="121" eb="122">
      <t>タメ</t>
    </rPh>
    <rPh sb="123" eb="125">
      <t>タイセツ</t>
    </rPh>
    <rPh sb="167" eb="169">
      <t>コウレン</t>
    </rPh>
    <phoneticPr fontId="19"/>
  </si>
  <si>
    <t>黒板係</t>
    <rPh sb="0" eb="3">
      <t>コクバンカカリ</t>
    </rPh>
    <phoneticPr fontId="1"/>
  </si>
  <si>
    <t>音読・EE係</t>
    <rPh sb="0" eb="2">
      <t>オンドク</t>
    </rPh>
    <rPh sb="5" eb="6">
      <t>カカリ</t>
    </rPh>
    <phoneticPr fontId="1"/>
  </si>
  <si>
    <t>名札係</t>
    <rPh sb="0" eb="3">
      <t>ナフダカカリ</t>
    </rPh>
    <phoneticPr fontId="1"/>
  </si>
  <si>
    <t>プリント係</t>
    <rPh sb="4" eb="5">
      <t>カカリ</t>
    </rPh>
    <phoneticPr fontId="1"/>
  </si>
  <si>
    <t>体育祭赤組リーダー、社会係</t>
    <rPh sb="0" eb="3">
      <t>タイイクサイ</t>
    </rPh>
    <rPh sb="3" eb="5">
      <t>アカグミ</t>
    </rPh>
    <rPh sb="10" eb="13">
      <t>シャカイカカリ</t>
    </rPh>
    <phoneticPr fontId="1"/>
  </si>
  <si>
    <t>掲示係</t>
    <rPh sb="0" eb="3">
      <t>ケイジカカリ</t>
    </rPh>
    <phoneticPr fontId="1"/>
  </si>
  <si>
    <t>国語係</t>
    <rPh sb="0" eb="3">
      <t>コクゴカカリ</t>
    </rPh>
    <phoneticPr fontId="1"/>
  </si>
  <si>
    <t>算数係</t>
    <rPh sb="0" eb="3">
      <t>サンスウカカリ</t>
    </rPh>
    <phoneticPr fontId="1"/>
  </si>
  <si>
    <t>配り係</t>
    <rPh sb="0" eb="3">
      <t>クバリカカリ</t>
    </rPh>
    <phoneticPr fontId="1"/>
  </si>
  <si>
    <t>体育祭赤組リーダー、体育係</t>
    <rPh sb="0" eb="3">
      <t>タイイクサイ</t>
    </rPh>
    <rPh sb="3" eb="5">
      <t>アカグミ</t>
    </rPh>
    <rPh sb="10" eb="13">
      <t>タイイクカカリ</t>
    </rPh>
    <phoneticPr fontId="1"/>
  </si>
  <si>
    <t>体育祭白組リーダー、漢字係</t>
    <rPh sb="0" eb="3">
      <t>タイイクサイ</t>
    </rPh>
    <rPh sb="3" eb="5">
      <t>シログミ</t>
    </rPh>
    <rPh sb="10" eb="13">
      <t>カンジカカリ</t>
    </rPh>
    <phoneticPr fontId="1"/>
  </si>
  <si>
    <t>整列係</t>
    <rPh sb="0" eb="3">
      <t>セイレツカカリ</t>
    </rPh>
    <phoneticPr fontId="1"/>
  </si>
  <si>
    <t>図工係</t>
    <rPh sb="0" eb="3">
      <t>ズコウカカリ</t>
    </rPh>
    <phoneticPr fontId="1"/>
  </si>
  <si>
    <t>体育祭白組リーダー、プリント係</t>
    <rPh sb="14" eb="15">
      <t>カカリ</t>
    </rPh>
    <phoneticPr fontId="1"/>
  </si>
  <si>
    <t>音楽係</t>
    <rPh sb="0" eb="3">
      <t>オンガクカカリ</t>
    </rPh>
    <phoneticPr fontId="1"/>
  </si>
  <si>
    <t>時刻係</t>
    <rPh sb="0" eb="3">
      <t>ジコクカカリ</t>
    </rPh>
    <phoneticPr fontId="1"/>
  </si>
  <si>
    <t>教科お助け係</t>
    <rPh sb="0" eb="2">
      <t>キョウカ</t>
    </rPh>
    <rPh sb="3" eb="4">
      <t>タス</t>
    </rPh>
    <rPh sb="5" eb="6">
      <t>カカリ</t>
    </rPh>
    <phoneticPr fontId="1"/>
  </si>
  <si>
    <t>理科係</t>
    <rPh sb="0" eb="3">
      <t>リカカカリ</t>
    </rPh>
    <phoneticPr fontId="1"/>
  </si>
  <si>
    <t>整列係</t>
    <rPh sb="0" eb="2">
      <t>セイレツ</t>
    </rPh>
    <rPh sb="2" eb="3">
      <t>カカリ</t>
    </rPh>
    <phoneticPr fontId="1"/>
  </si>
  <si>
    <t>毎日元気に明るく学校生活を過ごすことができました。発言はそれほど多くはないですが、自信がある時には考えを全体に伝えようとしている姿が見られます。1学期の目標を学年目標になぞらえて、「もくもくと集中する」と定めました。その目標の実現のために、「めあて、まとめ、振り返りをしっかりしたい」と決め、社会科では、その目標の通り、松本市について学んだことを意識して、ノートに丁寧に自分の考えをまとめることができました。振り返りの力がついてきたように思います。クラスで取り組んでいる「キラリ」の活動で、友だちの良い所を発見する力に優れています。清掃に一生懸命取り組む姿が見られ、自分や周りの環境を整えようとしています。学習はもちろん、学校生活全般において、確実に取り組むことで、力が伸びていくように思います。2学期以降も、一つ一つのやるべきことを丁寧に確実に行い、万璃さんの力が様々な場面で発揮されることを期待しています。</t>
  </si>
  <si>
    <t>４月に転入してきて、慣れるまで時間がかかると思いましたが、持ち前の明るさであっという間に周りと打ち解け、元気に毎日を過ごすことができました。１学期の生活目標を「分からないことがあったら、周りをよく見る」と定めました。前向きで粘り強い性格で、苦手としている国語でも積極的に挙手する姿はとても素敵でした。算数科では、文章問題がすぐには理解できない様子も見られましたが、持ち前の粘り強さで一生懸命に取り組んでいました。図画工作科において発想がとてもユニークです。造形活動はとても楽しいようで、積極的に取り組む姿が見られています。【きゅうこんちゃん　お花がさいたよ！】では、ポテトチップの空き容器に自分の好きな絵をデザインして、植木鉢をつくりました。クラスで取り組んでいる「キラリ」の活動では、友だちの良い所をいくつも発見し、クラスの雰囲気を明るくしました。朝の会のあいさつ練習では、笑顔ではっきりと発声できます。一郎くんのおかげで、クラスが気持ちよく一日のスタートを切ることができました。</t>
    <rPh sb="80" eb="81">
      <t>ワ</t>
    </rPh>
    <phoneticPr fontId="1"/>
  </si>
  <si>
    <t>４月に転入してきて、慣れるまで時間がかかると思いましたが、持ち前の明るさであっという間に周りと打ち解け、元気に毎日を過ごすことができました。1学期の生活目標を「わからないことがあったら、周りをよく見る」と定めました。図画工作科において発想がとてもユニークです。造形活動はとても楽しいようで、積極的に取り組む姿が見られています。【きゅうこんちゃん　お花がさいたよ！】では、ポテトチップの空き容器に自分の好きな絵をデザインして、植木鉢をつくりました。前向きで粘り強い性格で、苦手としている国語でも積極的に挙手する姿はとても素敵でした。算数科では、文章問題がすぐには理解できない様子も見られましたが、持ち前の粘り強さで一生懸命に取り組んでいました。クラスで取り組んでいる「キラリ」の活動では、友だちの良い所をいくつも発見し、クラスの雰囲気を明るくしました。朝の会のあいさつ練習では、笑顔ではっきりと発声できます。一郎くんのおかげで、クラスが気持ちよく一日のスタートを切ることができました。</t>
  </si>
  <si>
    <t>１学期の目標を「勉強で間違えたところを復習する」としました。図画工作科では、細かい作品をたくさんつくっています。つくりたいものをしっかりと表現することができます。表現の幅がとても広がりました。３年生になり、とても手先が器用になったと感じます。算数では、授業中に黒板をよく見て、問題の解き方に自分で気づく様子がしばしば見られました。これからも、自分で考え自分で気づこうとする姿勢を大切にしてほしいと思います。朝の会のあいさつ練習では、笑顔ではっきりと発声できます。圭くんのおかげで、クラスが気持ちよく一日のスタートを切ることができました。係は名札係となり、名札の付け忘れや戻し忘れがないかチェックし、朝の会・帰りの会と活躍しました。学期終盤では、教師の言葉に対して「そうなんだ」「なるほどね」と相づちを打つなど、よく話を聴いていました。友達を笑わせることが好きな圭くんですが、授業中や給食中にふざけてしまう時がありました。時と場合を考えられると、メリハリのあるユニークなリーダーになれそうです。</t>
    <rPh sb="138" eb="140">
      <t>モンダイ</t>
    </rPh>
    <rPh sb="301" eb="302">
      <t>カイ</t>
    </rPh>
    <rPh sb="303" eb="304">
      <t>カエ</t>
    </rPh>
    <rPh sb="306" eb="307">
      <t>カイ</t>
    </rPh>
    <phoneticPr fontId="1"/>
  </si>
  <si>
    <t>１学期の目標を「勉強で間違えたところを復習する」としました。３年生になり、とても手先が器用になったと感じます。図画工作科では、細かい作品をたくさんつくっています。つくりたいものをしっかりと表現することができます。表現の幅がとても広がりました。算数では、授業中に黒板をよく見て、解き方を自分で気づく様子がしばしば見られました。これからも、自分で考え自分で気づこうとする姿勢を大切にしてほしいと思います。朝の会のあいさつ練習では、笑顔ではっきりと発声できます。圭くんのおかげで、クラスが気持ちよく一日のスタートを切ることができました。</t>
  </si>
  <si>
    <t>１学期の目標を「勉強を一生懸命頑張りたい」と定めました。図画工作科の【きゅうこんちゃん　お花がさいたよ！】では、桜の木を咲かせていました。優しい作品をつくっています。テープを留める、糊を塗る、筆圧を入れて塗る、細かい部分をはさみで切るなどの基礎的な技能面のレベルを上げると、作品の完成度も高くなると感じています。算数では新しい問題に対しても、自分の考えが持てた時には、積極的に発言することができました。社会科の松本市の学習では、振り返りで「松本についてもっと調べたい。社会の授業をやって良かった。」と感想を書いており、前向きさが伝わります。地図記号や方位、地図の決まりの復習を夏休みで行っていくとよいでしょう。クラスで取り組んでいる「キラリ」の活動では、ほぼ毎日手伝いや良い行動をして、キラリ獲得に貢献しました。苦手な給食を頑張って完食するなど、将来の目標をもつことで、和花さんの中でも意識が変わり始めていることを感じるので、２学期の更なる成長に期待しています。</t>
    <rPh sb="201" eb="204">
      <t>シャカイカ</t>
    </rPh>
    <rPh sb="209" eb="211">
      <t>ガクシュウ</t>
    </rPh>
    <rPh sb="356" eb="358">
      <t>ニガテ</t>
    </rPh>
    <rPh sb="359" eb="361">
      <t>キュウショク</t>
    </rPh>
    <rPh sb="373" eb="375">
      <t>ショウライ</t>
    </rPh>
    <rPh sb="376" eb="378">
      <t>モクヒョウ</t>
    </rPh>
    <rPh sb="407" eb="408">
      <t>カン</t>
    </rPh>
    <phoneticPr fontId="1"/>
  </si>
  <si>
    <t>1学期の目標を「勉強を一生懸命頑張りたい」と定めました。図画工作科の【きゅうこんちゃん　お花がさいたよ！】では、桜の木を咲かせていました。優しい作品をつくっています。テープを留める、糊を塗る、筆圧を入れて塗る、細かい部分をはさみで切るなどの基礎的な技能面のレベルを上げると、作品の完成度も高くなると感じています。算数では新しい問題に対しても、自分の考えが持てた時には、積極的に発言することができました。クラスで取り組んでいる「キラリ」の活動では、ほぼ毎日手伝いや良い行動をして、キラリ獲得に貢献しました。「アイドルになりたい」と公言する勇気がとても素敵です。その反面、給食の様子を見ていると、キレのあるダンスや踊りながら歌う体力を付けるにはもう少し努力が必要だと感じます。麺類や丼物などの一品であれば頑張って完食するなど、和花さんの中でも意識が変わり始めていることを含め、2学期の更なる成長に期待しています。</t>
  </si>
  <si>
    <t>１学期の目標「姿勢を正して勉強をどんどん進めていきたい」と定めました。国語科では、漢字を丁寧に書くことが習慣付いています。その結果が、学期末の漢字テスト満点という形で実を結びました。図画工作科では、楽しく造形活動に取り組んでいます。発想もユニークです。【たまごからポンッ！】では、玉子の殻をカラフルに塗り、スキーをしている人を表現できました。係は社会係となり、社会の宿題の提出チェックなどをして、社会担当の小林先生からも働きぶりを認められていました。体育祭では、赤組の学年リーダーとして、整列の指示などリーダーとしての役割を十分に発揮できました。よく気付き、教師や他の係の手伝いを積極的にするなど、クラスに欠かせない存在です。あと数ヶ月でⅠ期生の最高学年になることを考えると、姿勢の維持や、主に体育の授業で友達にちょっかいを出してしまうといった課題の克服に今から取り組んでいきたいところです。今後の峰光くんの成長に期待しています。</t>
    <rPh sb="163" eb="165">
      <t>ヒョウゲン</t>
    </rPh>
    <phoneticPr fontId="1"/>
  </si>
  <si>
    <t>1学期の目標「姿勢を正して勉強をどんどん進めていきたい」と定めました。国語科では、漢字を丁寧に書くことが習慣付いています。その結果が、学期末の漢字テスト満点という形で実を結びました。図画工作科では、楽しく造形活動に取り組んでいます。発想もユニークです。【たまごからポンッ！】では、玉子の殻をカラフルに塗り、スキーをしている人を生まれさせていました。係は社会係となり、社会の宿題の提出チェックなどをして、社会担当の小林先生からも働きぶりを認められていました。体育祭では、赤組の学年リーダーとして、整列の指示などリーダーとしての役割を十分に発揮できました。よく気付き、教師や他の係の手伝いを積極的にするなど、クラスに欠かせない存在です。あと数ヶ月で１期生の最高学年になることを考えると、姿勢の維持や、主に体育の授業で友達にちょっかいを出してしまうといった課題の克服に今から取り組んでいきたいところです。今後の峰光くんの成長に期待しています。</t>
  </si>
  <si>
    <t>1学期の目標を「先生の話すことをしっかり聞いて、授業に集中する」と定めました。発想がとても豊かです。技能力のレベルもとても高く、国語科では、漢字を丁寧に書くことが習慣付いています。その結果が、学期末の漢字テスト満点という形で実を結びました。図画工作科では、自分が納得のいく作品をしっかりとつくり上げることができます。【きゅうこんちゃん　お花がさいたよ！】では、植木鉢に水を張り、蓮の花を浮かべていました。算数科では、学習内容をよく理解し、テストでも満点をとることが多くありました。また、ノートも丁寧に分かりやすく書くことができました。体育科では、走り幅跳びにおいて助走から踏み切りまでをリズムよく合わせることができ、学年全員の前で手本を披露しました。給食では、よくご飯をおかわりして体力向上に繋げました。よく物事を考えてから発言するので、男女に限らずクラスメイトから信用されています。今後、優くんがどんなタイプのリーダーに成長していくのかとても楽しみです。</t>
  </si>
  <si>
    <t>1年の目標を「友達に優しくしたり、勉強をたくさん頑張りたい」と定めました。国語科の遠足の作文では、「怪我をした人に優しくしていた西中先生のように、僕も優しい人になりたい」と振り返りました。算数科では、学習内容をよく理解できています。宿題の答え合わせをしていないことがしばしばあったので、問題を解いたら、すぐに答え合わせをして自分のやり方の振り返りができるようにしましょう。図画工作科の【色と形のもよう遊び～不思議な動物～】では、合わせ絵の模様の紙を合体させて、楽しい動物をつくっていました。また、【マイキャラ・フィギュア】では、火星に住む宇宙人をつくっていました。授業の最後に時間が余ることが多く見られます。もう一工夫を考えるなどの挑戦ができると、作品もレベルアップするのではないかと考えています。昼休みと放課後は鬼ごっこやサッカーに積極的に参加し、体力向上に努めました。優しい性格なので、男女に限らずクラスメイトから信用されています。今後も瑛士くんの更なる成長に期待しています。</t>
  </si>
  <si>
    <t>１年間の目標を「笑顔でやること、思ったことをやる」ことと定めました。算数科の「かけ算」の単元では、かけ算のきまりを使った学習内容を確実に自分のものにすることができました。図画工作科では、コアラなど可愛らしい動物がモチーフになることが多く見られます。陶芸のオリジナルプレートでも、皿の中に動物の絵を描いていました。【マイキャラ・フィギュア】では、コアラが布団の中で寝ている場面をつくっていました。クラスで取り組んでいる「キラリ」の活動では、ほぼ毎日手伝いや良い行動をして、キラリ獲得に貢献しました。係は算数係として、授業の片付けや皆から提出されたテキストを所定の場所に運ぶことなど、自分の仕事としてしっかりと行うことができました。一度指導されたことに対して、どうしたら同じ失敗をしないかを考えることができます。教師との約束を一学期間守ったところに成長を感じました。２学期も新くんの良さを生かして、学校生活を充実させてほしいと期待しています。</t>
    <rPh sb="361" eb="365">
      <t>イチガッキカン</t>
    </rPh>
    <phoneticPr fontId="1"/>
  </si>
  <si>
    <t>1年間の目標を笑顔でやると思ったことをやることと定めました。図画工作科では、コアラなど可愛らしい動物がモチーフになることが多く見られます。陶芸のオリジナルプレートでも、皿の中に動物の絵を描いていました。【マイキャラ・フィギュア】では、コアラが布団の中で寝ている場面をつくっていました。</t>
  </si>
  <si>
    <t>1年間の目標を「新しいことに挑戦する」と定め3年生から始まった理科や社会では積極的に学習に取り組んでいました。算数科では、学習内容をよく理解しています。特に「たし算とひき算の筆算」の単元では、単元のまとめの５枚のテストですべて満点を得ることができました。係は配り係となり、昼休みに外遊びに行く前に係の仕事をするなど、やりたいこととやるべきことの優先順位に気付きました。体育祭リハーサルでは、短距離走で学年1位になるなど身体能力の高さを見せました。活発で負けず嫌いな真伸くんに、来年こそは体育祭本番での捲土重来を期待しています。朝の会のあいさつ練習では、笑顔ではっきりと発声できます。真伸くんのおかげで、クラスが気持ちよく一日のスタートを切ることができました。生活や授業において自分の考えを進んで発言することができます。その反面、授業中に必要のないおしゃべりをしてしまうところに改善の余地があります。真伸くんの影響力を良い方向で活かすことを期待しています。</t>
  </si>
  <si>
    <t>1学期の目標を宿題や授業、自主勉強をきちんと頑張ってやると定めました。図画工作科では、材料の使い方を工夫したり、色の組み合わせ方を考えたりすることがとても得意です。かなり高いレベルで作品をつくり上げることができます。【きゅうこんちゃん　お花がさいたよ！】でも、いくつか種類の異なる花を美しくつくり上げていました。体育祭では、赤組の学年リーダーとして、整列の指示などリーダーとしての役割を十分に発揮できました。</t>
  </si>
  <si>
    <t>1年間の目標を「場の空気を読んでやって良いことと、悪いことをしっかり区別する」と定めました。国語科では、漢字を丁寧に書くことが習慣付いています。その結果が、学期末の漢字テスト満点という形で実を結びました。図画工作科において、発想がとても豊かです。また楽しいことをイメージすることができます。どの作品でも、自分が工夫したところをたくさん説明しに来てくれました。【きゅうこんちゃん　お花がさいたよ！】では、花びらの形や並べ方を工夫していました。色使いがいつも鮮やかです。体育祭では、白組の学年リーダーとして、整列の指示などリーダーとしての役割を十分に発揮できました。朝の会のあいさつ練習では、笑顔ではっきりと発声できます。杏さんのおかげで、クラスが気持ちよく一日のスタートを切ることができました。よく物事を考えてから発言するので、クラスメイトから信用されています。今後、杏さんがどんなタイプのリーダーに成長していくのか、これからがとても楽しみです。</t>
  </si>
  <si>
    <t>1年間の目標を「先生の話を聞くときは、先生の目を見て良い姿勢で聞く」と定めました。図画工作科においては、いつも可愛らしい作品を仕上げています。つくりたいものがしっかりと決まっているのはとても素晴らしいのですが、友達の作品を鑑賞し、ヒントを得るなど、さらに表現の幅を広げていってほしいと思っています。算数科では、自分から挙手して発言こそ少ないものの、話をよく聞いて学習内容を確実に自分のものとすることができました。特に、「たし算とひき算の筆算」の単元では、単元のまとめの５枚のテストですべて満点を得ることができました。国語科では、漢字の学習に熱心に取り組みました。漢字スキル書いてある例文以外の言葉や文を自分で調べて書いたり、音読みと訓読みをそれぞれカタカナとひらがなに分けて例文に読み仮名をふったりして、漢字を覚える為に自分なりの工夫をしている所がとっても素敵でした。クラスで取り組んでいる「キラリ」の活動では、ほぼ毎日手伝いや良い行動をして、キラリ獲得に貢献しました。雫さんの更なる成長に期待です。</t>
  </si>
  <si>
    <t>１学期の目標を「勉強に集中する」と定めました。国語科の遠足の作文では、手作りのスプーンを友達に「うまいね」と褒められたことが嬉しかったと振り返りました。理科では、いろいろなことに興味を持ち、積極的に授業に参加しています。図画工作科においては自分なりにテーマがあるようで、１学期はどの題材もそれに沿って作品をつくっていました。ダイナミックにつくり上げることが得意で、画面から大きくはみ出す作品が多く見られました。係は図工係となり、授業で使う準備物をホワイトボードに書いたり、朝の会でみんなに教室を出発する時間を知らせてくれました。給食では積極的におかわりして、体力向上に努めました。授業が始まってから集中するまでに時間がかかったり、身の周りの整理整頓に課題はありますが、元気で明るいところが琉良くんの良さです。２学期以降も琉良くんの持ち前の明るさ、学習や学校生活の様々な場面で活躍する姿を期待しています。</t>
    <rPh sb="317" eb="318">
      <t>マワ</t>
    </rPh>
    <phoneticPr fontId="1"/>
  </si>
  <si>
    <t>１学期の目標を「勉強に集中する」と定めました。国語科の遠足の作文では、手作りのスプーンを友達に「うまいね」と褒められたことが嬉しかったと振り返りました。理科では、いろいろなことに興味を持ち、積極的に授業に参加しています。図画工作科においては自分なりにテーマがあるようで、１学期はどの題材もそれに沿って作品をつくっていました。ダイナミックにつくり上げることが得意で、画面から大きくはみ出す作品が多く見られました。係は図工係となり、授業で使う準備物をホワイトボードに書いたり、朝の会でみんなに教室を出発する時間を知らせてくれました。給食では積極的におかわりして、体力向上に努めました。授業が始まってから集中するまでに時間がかかったり、身のまわりの整理整頓に課題はありますが、元気で明るいところが琉良くんの良さです。２学期以降も琉良くんの持ち前の明るさ、学習や学校生活の様々な場面で活躍する姿を期待しています。</t>
  </si>
  <si>
    <t>１学期の目標を「友達と仲良くする。先生の話をよく聞く。」と定めました。国語科の遠足の作文では、イワナを自分の手で捕まえられなかったことを悔しがりながらも「今度はこだまの森でキャンプがしたい」と振り返りました。図画工作科【きゅうこんちゃん　お花がさいたよ！】では、現実の花にはない色や素材を組み合わせて、ユニークな花を完成させました。茎は青、葉は金色の波段ボール、水色の花びら、その上から緑のカラーセロファンを貼って透けさせていました。体育祭では、白組の学年リーダーとして、整列の指示などリーダーとしての役割を十分に発揮できました。係はプリント係となり、係のメンバーと声を掛け合いながら確実にプリントを教室まで届けてくれました。朝の会のあいさつ練習では、笑顔ではっきりと発声できます。悠真くんのおかげで、クラスが気持ちよく一日のスタートを切ることができました。今後の悠真くんのさらなる成長に期待しています。</t>
  </si>
  <si>
    <t>１年間の目標を「やるべきことをきちんとやる。黙々と勉強する。」と定めました。図画工作科ではとても丁寧に作品をつくることができます。【きゅうこんちゃん　お花がさいたよ！】では、きつく巻いた花の茎に、カールをかけた花びらを丁寧に並べて貼っていました。植木鉢の箱も、おしゃれに飾っていました。算数科の「時刻と時間のもとめ方」の単元では、筆算を使って計算で答えを求めるやり方に序盤は苦戦しましたが、しっかりと話を聞いて理解し、正確に求めることができるようになりました。また、学期終盤には、進んで発言をする様子が多く見られるようになってきたところに成長を感じました。体育祭では、短距離走で学年1位になり運動能力の高さを発揮しました。クラスで取り組んでいる「キラリ」の活動では、ほぼ毎日手伝いや良い行動をして、キラリ獲得に貢献しました。朝読書までの時間で提出物チェックの手伝いをしてくれたり、ロッカーを常に整頓された状態を保つ等、クラスの手本となる存在です。</t>
  </si>
  <si>
    <t>１学期の目標を「ふざけたりせず、教室を走らない人になりたい」と定めました。算数科の「たし算とひき算の筆算」の単元では、単元のまとめの５枚のテストですべて満点を取る等、学力の定着を示しました。図画工作科では、ドラゴンなどの怪獣がテーマになることが多いです。棘のギザギザした部分や、翼の模様などをつくるときに難易度が高く、時間がかかりますが、時間内にはしっかりと完成させることができます。各教科において授業中、自分の考えを進んで発言することができます。その反面、授業中に必要のないおしゃべりをしてしまう様子がやや見られたので、教師や友達の発表や意見にヒントが隠されていることに気付かせたいと思います。朝の会のあいさつ練習では、笑顔ではっきりと発声できます。大翔くんのおかげで、クラスが気持ちよく一日のスタートを切ることができました。クラスで取り組んでいる「キラリ」の活動では、お手伝いや良い行動を積極的に行い、学級から認められていました。今後、大翔くんの影響力が良い面で多く表われることを期待しています。</t>
  </si>
  <si>
    <t>1年間の目標を「宿題をてきぱきやったり、朝の準備をきっちり、素早くできる3年生になりたい」と定めました。算数科の「かけ算」の単元では、かけ算のきまりを使った学習内容を確実に自分のものにすることができました。また、自分の分かることは進んで発言することができました。図画工作科では、どの題材でも面白さを見つけることができます。【色と形のもよう遊び～不思議な動物～】でも、色々な角度から偶然できた模様を楽しみ、それを組み合わせてユニークな動物をつくることができました。クラスで取り組んでいる「キラリ」の活動では、友だちの良い所を数多く発見していたことで、友達から認められていました。優しい雰囲気の絵を描くことができでき、校長先生から、「絵本作家になってほしいなぁ」と期待されています。周りがよく見えていて、状況に応じてクラスの為に発言できます。授業中騒がしくなった際には、「先生の話を聞こう」と全体に声を掛ける姿に頼もしさを感じました。優しく、責任感のあるもろみさんの成長に期待しています。</t>
  </si>
  <si>
    <t>1年間の目標を「1年生と2年生の見本になりたい」と定めました。学習面では、授業開始の時にすぐに姿勢を正して前を向き、話を聞くことができます。算数科では、学習内容をよく理解し、ノートも丁寧に分かりやすく書くことができました。テストでも、しっかりと式や筆算を書き、確実に解いていこうという姿勢が素晴らしいです。授業中の発言も多く、積極的に授業に参加しました。図画工作科では、。陶芸のオリジナルプレートでは、うさぎを型どった皿に仕上げていました。いつも付けや掃除を率先して取り組む姿はとても素晴らしいので、是非続けてほしいです。クラスで取り組んでいる「キラリ」の活動では、ほぼ毎日手伝いや良い行動をして、キラリ獲得に貢献しました。体育祭リハーサルでは、短距離走で学年1位になるなど身体能力の高さを見せました。負けず嫌いで、地道にコツコツ積み重ねていくタイプの晴南さん、来年こそは体育祭本番での捲土重来を期待しています。</t>
  </si>
  <si>
    <t>1学期の目標を「声がけをたくさんできる人になりたい」と定めました。図画工作科では、恐竜などの牙がある動物が好きで、よくつくっています。陶芸のオリジナルプレートでは恐竜の絵を、【マイキャラ・フィギュア】では羽のあるドラゴンをつくっていました。算数科では、自分の分かることは進んで挙手をして発言することができました。特に、「重なりに注目して」の単元の問題では、クラスで一番に挙手して発言する姿を見せました。クラスで取り組んでいる「キラリ」の活動では、ほぼ毎日手伝いや良い行動をして、キラリ獲得に貢献しました。教師の話をよく聞き、学級を引っ張っていく発言ができます。昼休みや放課後にみんなで遊ぶ時間をどうしたら増やせるかを真剣に考えたり、給食準備や帰りの準備の際に「しゃべらずやろう。しゃべると遅くなるよ。」とクラス全体に声を掛ける姿にリーダーとしての素質を感じました。瑛大くんの更なる成長を期待しています。</t>
  </si>
  <si>
    <t>４月に転入してきて、慣れるまで時間がかかると思いましたが、持ち前の明るさであっという間に周りと打ち解け、元気に毎日を過ごすことができました。1学期の目標を「姿勢を正して、先生の話をきちんと聞く。友達の意見に耳を傾け、受け入れる。」と定めました。図画工作科では大胆に製作をしています。どんどん取り組む意欲が素晴らしいのです。しかし、台紙の紙からかなりはみ出している、時間がオーバーしても作品をいくつかつくることを企画している、などもう少し見通しをもつとじっくりと製作に臨めると思います。算数科では、学習内容に関係したことを、「じゃあ、これは、どうなのかな。」と、進んで考え、知識が広がったり結びついたりする様子が見られました。今後も澪さんの積極性が様々な場面で発揮されることを期待しています。困ったことや悩みがあったらすぐに相談することができ、ストレスを貯めないように生活しています。クラスで取り組んでいる「キラリ」の活動では、ほぼ毎日手伝いや善行をして、キラリ獲得に貢献しました。</t>
  </si>
  <si>
    <t>１学期の目標を「先生の顔を見て話を聞く」と定めました。教師の話を頷きながら聞き、理解している様子が見て取れました。図画工作科では、自分の思いや感じたことをとても大切にしながら製作しています。【きゅうこんちゃん　お花がさいたよ！】では、ガムテープの芯を花に見立ててつくっていました。算数科では、学期終盤の「たし算とひき算の筆算」のテストでは、しっかりと筆算を書き、自分から「たしかめ」まで、きちんと行うことができました。今後も落ち着いた集中力の中で、引き続き丁寧な取り組みを期待しています。国語科の遠足の作文では、コロナ禍の幼稚園時代は遠足にいけなかったことに対し、「普通に遠足に行けることはありがたいと思う」と振り返りました。周りがよく見えていて、状況に応じてクラスの為に発言できます。授業中騒がしくなった際には、「先生の話を聞こう」であったり、教室移動の際は、「右側を歩こう」等、全体に声を掛ける姿に頼もしさを感じます。優しく、責任感のある高連くんの成長に期待しています。</t>
    <rPh sb="217" eb="220">
      <t>シュウチュウリョク</t>
    </rPh>
    <rPh sb="221" eb="222">
      <t>ナカ</t>
    </rPh>
    <rPh sb="224" eb="225">
      <t>ヒ</t>
    </rPh>
    <rPh sb="226" eb="227">
      <t>ツヅ</t>
    </rPh>
    <phoneticPr fontId="1"/>
  </si>
  <si>
    <t>1学期の目標を「先生の顔を見て話を聞く」と定めました。教師の話を頷きながら聞き、理解している様子が見て取れました。図画工作科では、自分の思いや感じたことをとても大切にしながら製作しています。【きゅうこんちゃん　お花がさいたよ！】では、ガムテープの芯を花に見立ててつくっていました。算数科では、学期終盤の「たし算とひき算の筆算」のテストでは、しっかりと筆算を書き、自分から「たしかめ」まで、きちんと行うことができました。今後も落ち着いて丁寧な取り組みを期待しています。国語科の遠足の作文では、コロナ禍の幼稚園時代は遠足にいけなかったことに対し、「普通に遠足に行けることはありがたいと思う」と振り返りました。周りがよく見えていて、状況に応じてクラスの為に発言できます。授業中騒がしくなった際には、「先生の話を聞こう」であったり、教室移動の際は、「右側を歩こう」等、全体に声を掛ける姿に頼もしさを感じます。優しく、責任感のある高連くんの成長に期待しています。</t>
  </si>
  <si>
    <t>忌引4（祖父葬儀4）欠席2（体調不良2）遅刻2（体調不良2）</t>
    <rPh sb="0" eb="2">
      <t>キビ</t>
    </rPh>
    <rPh sb="4" eb="8">
      <t>ソフソウギ</t>
    </rPh>
    <rPh sb="10" eb="12">
      <t>ケッセキ</t>
    </rPh>
    <rPh sb="14" eb="18">
      <t>タイチョウフリョウ</t>
    </rPh>
    <rPh sb="20" eb="22">
      <t>チコク</t>
    </rPh>
    <rPh sb="24" eb="28">
      <t>タイチョウフリョウ</t>
    </rPh>
    <phoneticPr fontId="1"/>
  </si>
  <si>
    <t>欠席1（家事都合1）</t>
    <rPh sb="0" eb="2">
      <t>ケッセキ</t>
    </rPh>
    <rPh sb="4" eb="8">
      <t>カジツゴウ</t>
    </rPh>
    <phoneticPr fontId="1"/>
  </si>
  <si>
    <t>欠席6（体調不良1、入院1、かぜ1、体調管理3）遅刻2（家事都合1、通院1）</t>
    <rPh sb="0" eb="2">
      <t>ケッセキ</t>
    </rPh>
    <rPh sb="4" eb="8">
      <t>タイチョウフリョウ</t>
    </rPh>
    <rPh sb="10" eb="12">
      <t>ニュウイン</t>
    </rPh>
    <rPh sb="18" eb="22">
      <t>タイチョウカンリ</t>
    </rPh>
    <rPh sb="24" eb="26">
      <t>チコク</t>
    </rPh>
    <rPh sb="28" eb="32">
      <t>カジツゴウ</t>
    </rPh>
    <rPh sb="34" eb="36">
      <t>ツウイン</t>
    </rPh>
    <phoneticPr fontId="1"/>
  </si>
  <si>
    <t>欠席2（体調不良1、家事都合1）</t>
    <rPh sb="4" eb="8">
      <t>タイチョウフリョウ</t>
    </rPh>
    <rPh sb="10" eb="14">
      <t>カジツゴウ</t>
    </rPh>
    <phoneticPr fontId="1"/>
  </si>
  <si>
    <t>早退1（家事都合1）</t>
    <rPh sb="0" eb="2">
      <t>ソウタイ</t>
    </rPh>
    <rPh sb="4" eb="8">
      <t>カジツゴウ</t>
    </rPh>
    <phoneticPr fontId="1"/>
  </si>
  <si>
    <t>欠席2（体調不良2）</t>
    <rPh sb="4" eb="8">
      <t>タイチョウフリョウ</t>
    </rPh>
    <phoneticPr fontId="1"/>
  </si>
  <si>
    <t>遅刻5（体調不良5）</t>
    <rPh sb="0" eb="2">
      <t>チコク</t>
    </rPh>
    <rPh sb="4" eb="8">
      <t>タイチョウフリョウ</t>
    </rPh>
    <phoneticPr fontId="1"/>
  </si>
  <si>
    <t>欠席6（体調不良1、家事都合5）</t>
    <rPh sb="0" eb="2">
      <t>ケッセキ</t>
    </rPh>
    <rPh sb="4" eb="8">
      <t>タイチョウフリョウ</t>
    </rPh>
    <rPh sb="10" eb="14">
      <t>カジツゴウ</t>
    </rPh>
    <phoneticPr fontId="1"/>
  </si>
  <si>
    <t>出席停止3（コロナウイルス感染症3）早退1（発熱1）</t>
    <rPh sb="0" eb="4">
      <t>シュッセキテイシ</t>
    </rPh>
    <rPh sb="13" eb="16">
      <t>カンセンショウ</t>
    </rPh>
    <rPh sb="18" eb="20">
      <t>ソウタイ</t>
    </rPh>
    <rPh sb="22" eb="24">
      <t>ハツネツ</t>
    </rPh>
    <phoneticPr fontId="1"/>
  </si>
  <si>
    <t>欠席1（家事都合1）遅刻1（家事都合1）</t>
    <rPh sb="0" eb="2">
      <t>ケッセキ</t>
    </rPh>
    <rPh sb="4" eb="8">
      <t>カジツゴウ</t>
    </rPh>
    <rPh sb="10" eb="12">
      <t>チコク</t>
    </rPh>
    <rPh sb="14" eb="18">
      <t>カジツゴウ</t>
    </rPh>
    <phoneticPr fontId="1"/>
  </si>
  <si>
    <t>出席停止4（コロナウイルス感染症4）欠席2（体調不良2）遅刻1（通院1）</t>
    <rPh sb="0" eb="4">
      <t>シュッセキテイシ</t>
    </rPh>
    <rPh sb="13" eb="16">
      <t>カンセンショウ</t>
    </rPh>
    <rPh sb="18" eb="20">
      <t>ケッセキ</t>
    </rPh>
    <rPh sb="22" eb="26">
      <t>タイチョウフリョウ</t>
    </rPh>
    <rPh sb="28" eb="30">
      <t>チコク</t>
    </rPh>
    <rPh sb="32" eb="34">
      <t>ツウイン</t>
    </rPh>
    <phoneticPr fontId="1"/>
  </si>
  <si>
    <t>欠席1（家事都合1）早退1（体調不良1）</t>
    <rPh sb="0" eb="2">
      <t>ケッセキ</t>
    </rPh>
    <rPh sb="4" eb="8">
      <t>カジツゴウ</t>
    </rPh>
    <rPh sb="10" eb="12">
      <t>ソウタイ</t>
    </rPh>
    <rPh sb="14" eb="18">
      <t>タイチョウフリョウ</t>
    </rPh>
    <phoneticPr fontId="1"/>
  </si>
  <si>
    <t>C</t>
  </si>
  <si>
    <t>身のまわりの自然の中での出来事や現象について関心を持ち、疑問を解決することができる</t>
    <phoneticPr fontId="1"/>
  </si>
  <si>
    <t>C</t>
    <phoneticPr fontId="1"/>
  </si>
  <si>
    <t>-</t>
    <phoneticPr fontId="1"/>
  </si>
  <si>
    <t>どの題材でも題材の登場人物の考えに共感して自分の考えをまとめることができました。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自分から謝った時のことを「謝った後は心がスッキリ晴れた気がしました。」と振り返りました。</t>
    <phoneticPr fontId="1"/>
  </si>
  <si>
    <t>どの題材でも登場人物の考えに共感して自分の考えをまとめることができました。どの題材でも積極的に発言する姿が見られました。「友だち屋」を始めたキツネが「本当の友だち」と言われて喜び、商売をやめる姿を通して、友だちとはどんな人かを考え、友だちと互いに理解し合い、信頼し合い、助け合おうとする心情を育てる「友だち屋」という題材では、自分にとって友達とは「自分も楽しくできるような人。」と振り返りました。</t>
    <phoneticPr fontId="1"/>
  </si>
  <si>
    <t>どの題材でも積極的に発言する姿が見られ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相手の理由を聞いて話をする。言い方に気をつけて気持ちと理由を伝える。自分と違う意見を受け入れる。」ということを大切にしたいと振り返りに記述しました。</t>
    <phoneticPr fontId="1"/>
  </si>
  <si>
    <t>出席停止2（溶連菌感染症2）欠席5（体調不良5）遅刻3（体調不良1、家事都合1、腹痛1）早退2（体調不良2）</t>
    <rPh sb="0" eb="4">
      <t>シュッセキテイシ</t>
    </rPh>
    <rPh sb="6" eb="9">
      <t>ヨウレンキン</t>
    </rPh>
    <rPh sb="9" eb="12">
      <t>カンセンショウ</t>
    </rPh>
    <rPh sb="14" eb="16">
      <t>ケッセキ</t>
    </rPh>
    <rPh sb="18" eb="22">
      <t>タイチョウフリョウ</t>
    </rPh>
    <rPh sb="24" eb="26">
      <t>チコク</t>
    </rPh>
    <rPh sb="28" eb="32">
      <t>タイチョウフリョウ</t>
    </rPh>
    <rPh sb="34" eb="38">
      <t>カジツゴウ</t>
    </rPh>
    <rPh sb="40" eb="42">
      <t>フクツウ</t>
    </rPh>
    <rPh sb="44" eb="46">
      <t>ソウタイ</t>
    </rPh>
    <rPh sb="48" eb="52">
      <t>タイチョウフリョウ</t>
    </rPh>
    <phoneticPr fontId="1"/>
  </si>
  <si>
    <t>この項目は適宜変更して下さい。
※注意※
ただし、項目数は１０個まで。仮に少ない場合も行の削除は絶対に行わないで下さい。</t>
    <phoneticPr fontId="1"/>
  </si>
  <si>
    <t>B</t>
    <phoneticPr fontId="1"/>
  </si>
  <si>
    <t>A</t>
    <phoneticPr fontId="1"/>
  </si>
  <si>
    <t>A</t>
    <phoneticPr fontId="1"/>
  </si>
  <si>
    <t>A</t>
    <phoneticPr fontId="1"/>
  </si>
  <si>
    <t>B</t>
    <phoneticPr fontId="1"/>
  </si>
  <si>
    <t>C</t>
    <phoneticPr fontId="1"/>
  </si>
  <si>
    <t>B</t>
    <phoneticPr fontId="1"/>
  </si>
  <si>
    <t>C</t>
    <phoneticPr fontId="1"/>
  </si>
  <si>
    <t>-</t>
    <phoneticPr fontId="1"/>
  </si>
  <si>
    <t>B</t>
    <phoneticPr fontId="1"/>
  </si>
  <si>
    <t>A</t>
    <phoneticPr fontId="1"/>
  </si>
  <si>
    <t>A</t>
    <phoneticPr fontId="1"/>
  </si>
  <si>
    <t>この項目は適宜変更して下さい。
※注意※
ただし、項目数は１０個まで。仮に少ない場合も行の削除は絶対に行わないで下さい。</t>
    <phoneticPr fontId="1"/>
  </si>
  <si>
    <t>A</t>
    <phoneticPr fontId="1"/>
  </si>
  <si>
    <t>昆虫の育ち方やチョウのからだのつくりを理解することができる</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</si>
  <si>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</si>
  <si>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</si>
  <si>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</si>
  <si>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</si>
  <si>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</si>
  <si>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松本市について、様子を丁寧にまとめることができた。</t>
    <phoneticPr fontId="1"/>
  </si>
  <si>
    <t>地図記号・方位・地図の約束のテストが満点でした。</t>
    <phoneticPr fontId="1"/>
  </si>
  <si>
    <t>松本市について、様子を丁寧にまとめることができた。</t>
    <phoneticPr fontId="1"/>
  </si>
  <si>
    <t>A</t>
    <phoneticPr fontId="1"/>
  </si>
  <si>
    <t>B</t>
    <phoneticPr fontId="1"/>
  </si>
  <si>
    <t>A</t>
    <phoneticPr fontId="1"/>
  </si>
  <si>
    <t>A</t>
    <phoneticPr fontId="1"/>
  </si>
  <si>
    <t>C</t>
    <phoneticPr fontId="1"/>
  </si>
  <si>
    <t>A</t>
    <phoneticPr fontId="1"/>
  </si>
  <si>
    <t>-</t>
    <phoneticPr fontId="1"/>
  </si>
  <si>
    <t>C</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</si>
  <si>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</si>
  <si>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</si>
  <si>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</si>
  <si>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</si>
  <si>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</si>
  <si>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</si>
  <si>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</si>
  <si>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</si>
  <si>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</si>
  <si>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豊かな発想を持ち自由に表現することができる</t>
    <phoneticPr fontId="1"/>
  </si>
  <si>
    <t>B</t>
    <phoneticPr fontId="1"/>
  </si>
  <si>
    <t>つくりたいもののイメージを持ち、それに向かって制作することができる</t>
    <phoneticPr fontId="1"/>
  </si>
  <si>
    <t>自分や友達の作品から良さや面白さ、美しさを感じとることができる</t>
    <phoneticPr fontId="1"/>
  </si>
  <si>
    <t>材料を細々と使って、器用に製作することができます。【きゅうこんちゃん　お花がさいたよ！】では、球根と同じ色合いの花を咲かせていました。</t>
    <phoneticPr fontId="1"/>
  </si>
  <si>
    <t>発想がとてもユニークです。造形活動はとても楽しいようで、積極的に取り組む姿が見られています。【きゅうこんちゃん　お花がさいたよ！】では、ポテトチップの空き容器に自分の好きな絵をデザインして、植木鉢をつくりました。</t>
    <phoneticPr fontId="1"/>
  </si>
  <si>
    <t>３年生になり、とても手先が器用になったと感じます。細かい作品をたくさんつくっています。つくりたいものをしっかりと表現することができます。表現の幅がとても広がりました。</t>
    <phoneticPr fontId="1"/>
  </si>
  <si>
    <t>【きゅうこんちゃん　お花がさいたよ！】では、桜の木を咲かせていました。優しい作品をつくっています。テープを留める、糊を塗る、筆圧を入れて塗る、細かい部分をはさみで切るなどの基礎的な技能面のレベルを上げると、作品の完成度も高くなると感じています。</t>
    <phoneticPr fontId="1"/>
  </si>
  <si>
    <t>楽しく造形活動に取り組んでいます。発想もユニークです。【たまごからポンッ！】では、玉子の殻をカラフルに塗り、スキーをしている人を生まれさせていました。</t>
    <phoneticPr fontId="1"/>
  </si>
  <si>
    <t>発想がとても豊かです。技能力のレベルもとても高く、自分が納得のいく作品をしっかりとつくり上げることができます。【きゅうこんちゃん　お花がさいたよ！】では、植木鉢に水を張り、蓮の花を浮かべていました。</t>
    <phoneticPr fontId="1"/>
  </si>
  <si>
    <t>【色と形のもよう遊び～不思議な動物～】では、合わせ絵の模様の紙を合体させて、楽しい動物をつくっていました【マイキャラ・フィギュア】では、火星に住む宇宙人をつくっていました。授業の最後に時間が余ることが多く見られます。もう一工夫を考えるなどの挑戦ができると、作品もレベルアップするのではないかと考えています。</t>
    <phoneticPr fontId="1"/>
  </si>
  <si>
    <t>コアラなど可愛らしい動物がモチーフになることが多く見られます。陶芸のオリジナルプレートでも、皿の中に動物の絵を描いていました。【マイキャラ・フィギュア】では、コアラが布団の中で寝ている場面をつくっていました。</t>
    <phoneticPr fontId="1"/>
  </si>
  <si>
    <t>陶芸では、ウーパールーパーを前から見た絵をしっかりと表現していました。粘土で文字も書いていました。生き物がテーマになることが多く、どの題材でも細かい絵をたくさん描いていました。</t>
    <phoneticPr fontId="1"/>
  </si>
  <si>
    <t>材料の使い方を工夫したり、色の組み合わせ方を考えたりすることがとても得意です。かなり高いレベルで作品をつくり上げることができます。【きゅうこんちゃん　お花がさいたよ！】でも、いくつか種類の異なる花を美しくつくり上げていました。</t>
    <phoneticPr fontId="1"/>
  </si>
  <si>
    <t>発想がとても豊かです。また楽しいことをイメージすることができます。どの作品でも、自分が工夫したところをたくさん説明しに来てくれました。【きゅうこんちゃん　お花がさいたよ！】では、花びらの形や並べ方を工夫していました。色使いがいつも鮮やかです。</t>
    <phoneticPr fontId="1"/>
  </si>
  <si>
    <t>いつも可愛らしい作品を仕上げています。つくりたいものがしっかりと決まっているのはとても素晴らしいのですが、友達の作品を鑑賞し、ヒントを得るなど、さらに表現の幅を広げていってほしいと思っています。</t>
    <phoneticPr fontId="1"/>
  </si>
  <si>
    <t>自分なりにテーマがあるようで、１学期はどの題材もそれに沿って作品をつくっていました。ダイナミックにつくり上げることが得意で、画面から大きくはみ出す作品が多く見られました。</t>
    <phoneticPr fontId="1"/>
  </si>
  <si>
    <t>【きゅうこんちゃん　お花がさいたよ！】では、現実の花にはない色や素材を組み合わせて、ユニークな花を完成させました。茎は青、葉は金色の波段ボール、水色の花びら、その上から緑のカラーセロファンを貼って透けさせていました。</t>
    <phoneticPr fontId="1"/>
  </si>
  <si>
    <t>とても丁寧に作品をつくることができます。【きゅうこんちゃん　お花がさいたよ！】では、きつく巻いた花の茎に、カールをかけた花びらを丁寧に並べて貼っていました。植木鉢の箱も、おしゃれに飾っていました。２学期も、のびのびと、しかもレベルを上げながら進んでください。</t>
    <phoneticPr fontId="1"/>
  </si>
  <si>
    <t>ドラゴンなどの怪獣がテーマになることが多いです。棘のギザギザした部分や、翼の模様などをつくるときに難易度が高く、時間がかかっているようですが、時間内にはしっかりと完成させることができます。</t>
    <phoneticPr fontId="1"/>
  </si>
  <si>
    <t>どの題材でも、面白さを見つけることができます。【色と形のもよう遊び～不思議な動物～】でも、色々な角度から偶然できた模様を楽しみ、それを組み合わせてユニークな動物をつくることができました。【きゅうこんちゃん　お花がさいたよ！】では、目玉焼きの花を咲かせていました。</t>
    <phoneticPr fontId="1"/>
  </si>
  <si>
    <t>真剣に授業に取り組んでいます。陶芸のオリジナルプレートでは、うさぎを型どった皿に仕上げていました。いつも片付けや掃除を率先して取り組んでいます。素晴らしいので、続けてください。</t>
    <phoneticPr fontId="1"/>
  </si>
  <si>
    <t>恐竜などの牙がある動物が好きで、よくつくっています。陶芸のオリジナルプレートでは恐竜の絵を、【マイキャラ・フィギュア】では羽のあるドラゴンをつくっていました。ただこれから先は、限りある材料や時間の中で、大きく複雑なもの以外の選択もできるようになってもらいたいと願っています。</t>
    <phoneticPr fontId="1"/>
  </si>
  <si>
    <t>大胆に製作をしています。どんどん取り組む意欲が素晴らしいのです。しかし、台紙の紙からかなりはみ出している、時間がオーバーしても作品をいくつかつくることを企画している、などもう少し見通しをもつとじっくりと製作に臨めると思います。</t>
    <phoneticPr fontId="1"/>
  </si>
  <si>
    <t>自分の思いや感じたことをとても大切にしながら製作しています。【きゅうこんちゃん　お花がさいたよ！】では、ガムテープの芯を花に見立ててつくっていました。</t>
    <phoneticPr fontId="1"/>
  </si>
  <si>
    <t>この項目は適宜変更して下さい。
※注意※
ただし、項目数は１０個まで。仮に少ない場合も行の削除は絶対に行わないで下さい。</t>
    <phoneticPr fontId="1"/>
  </si>
  <si>
    <t>A</t>
    <phoneticPr fontId="1"/>
  </si>
  <si>
    <t>B</t>
    <phoneticPr fontId="1"/>
  </si>
  <si>
    <t>150～200</t>
    <phoneticPr fontId="10" type="Hiragana" alignment="distributed"/>
  </si>
  <si>
    <t>どの題材でも発言する姿が見られました。「友だち屋」を始めたキツネが「本当の友だち」と言われて喜び、商売をやめる姿を通して、友だちとはどんな人かを考え、友だちと互いに理解し合い、信頼し合い、助け合おうとする心情を育てる「友だち屋」という題材では、自分にとって友達とは「自分のことを考えてくれる人。友達を大事にする人。」と振り返りました。今後も学んだことを日常生活に生かす姿を期待しています。</t>
    <phoneticPr fontId="1"/>
  </si>
  <si>
    <t>どの題材でも積極的に発言する姿が見られました。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自分から謝った時のことを「モヤモヤしていた気持ちがすっきりした。少し安心した気持ちが楽になった。」と振り返りました。</t>
    <phoneticPr fontId="1"/>
  </si>
  <si>
    <t>A</t>
    <phoneticPr fontId="1"/>
  </si>
  <si>
    <t>-</t>
    <phoneticPr fontId="1"/>
  </si>
  <si>
    <t>総合所見</t>
    <phoneticPr fontId="1"/>
  </si>
  <si>
    <t>400～450</t>
    <phoneticPr fontId="10" type="Hiragana" alignment="distributed"/>
  </si>
  <si>
    <t>毎日元気に明るく学校生活を過ごすことができました。発言はそれほど多くはないですが、自信がある時には考えを全体に伝えようとしている姿が見られます。１学期の目標を学年目標になぞらえて、「もくもくと集中する」と定めました。その目標の実現のために、「めあて、まとめ、振り返りをしっかりしたい」と決め、社会科では、その目標の通り、松本市について学んだことを意識して、ノートに丁寧に自分の考えをまとめることができました。振り返りの力がついてきたように思います。クラスで取り組んでいる「キラリ」の活動で、友だちの良い所を発見する力に優れています。清掃に一生懸命取り組む姿が見られ、自分や周りの環境を整えようとしています。学習はもちろん、学校生活全般において、確実に取り組むことで、力が伸びていくように思います。２学期以降も、一つ一つのやるべきことを丁寧に確実に行い、万璃さんの力が様々な場面で発揮されることを期待しています。</t>
    <phoneticPr fontId="1"/>
  </si>
  <si>
    <t>１学期の目標を「先生の話すことをしっかり聞いて、授業に集中する」と定めました。発想がとても豊かです。技能力のレベルもとても高く、国語科では、漢字を丁寧に書くことが習慣付いています。その結果が、学期末の漢字テスト満点という形で実を結びました。図画工作科では、自分が納得のいく作品をしっかりとつくり上げることができます。【きゅうこんちゃん　お花がさいたよ！】では、植木鉢に水を張り、蓮の花を浮かべていました。算数科では、学習内容をよく理解し、テストでも満点をとることが多くありました。また、ノートも丁寧に分かりやすく書くことができました。体育科では、走り幅跳びにおいて助走から踏み切りまでをリズムよく合わせることができ、学年全員の前で手本を披露しました。給食では、よくご飯をおかわりして体力向上に繋げました。よく物事を考えてから発言するので、男女に限らずクラスメイトから信用されています。今後、優くんがどんなタイプのリーダーに成長していくのかとても楽しみです。</t>
    <phoneticPr fontId="1"/>
  </si>
  <si>
    <t>１年の目標を「友達に優しくしたり、勉強をたくさん頑張りたい」と定めました。国語科の遠足の作文では、「怪我をした人に優しくしていた西中先生のように、僕も優しい人になりたい」と振り返りました。算数科では、学習内容をよく理解できています。宿題の答え合わせをしていないことがしばしばあったので、問題を解いたら、すぐに答え合わせをして自分のやり方の振り返りができるようにしましょう。図画工作科の【色と形のもよう遊び～不思議な動物～】では、合わせ絵の模様の紙を合体させて、楽しい動物をつくっていました。また、【マイキャラ・フィギュア】では、火星に住む宇宙人をつくっていました。授業の最後に時間が余ることが多く見られます。もう一工夫を考えるなどの挑戦ができると、作品もレベルアップするのではないかと考えています。昼休みと放課後は鬼ごっこやサッカーに積極的に参加し、体力向上に努めました。優しい性格なので、男女に限らずクラスメイトから信用されています。今後も瑛士くんの更なる成長に期待しています。</t>
    <phoneticPr fontId="1"/>
  </si>
  <si>
    <t>１年間の目標を「新しいことに挑戦する」と定め、３年生から始まった理科や社会では積極的に学習に取り組んでいました。算数科では、学習内容をよく理解しています。特に「たし算とひき算の筆算」の単元では、単元のまとめの５枚のテストですべて満点を得ることができました。係は配り係となり、昼休みに外遊びに行く前に係の仕事をするなど、やりたいこととやるべきことの優先順位に気付きました。体育祭リハーサルでは、短距離走で学年１位になるときがあるなど身体能力の高さを見せました。活発で負けず嫌いな真伸くんに、来年こそは体育祭本番での捲土重来を期待しています。朝の会のあいさつ練習では、笑顔ではっきりと発声できます。真伸くんのおかげで、クラスが気持ちよく一日のスタートを切ることができました。生活や授業において自分の考えを進んで発言することができます。その反面、授業中に必要のないおしゃべりをしてしまうところに改善の余地があります。真伸くんの影響力を良い方向で活かすことを期待しています。</t>
    <phoneticPr fontId="1"/>
  </si>
  <si>
    <t>１学期の目標を「宿題や授業、自主勉強をきちんと頑張ってやる」と定めました。算数科では授業中、自分の分かることを挙手して進んで発言することができました。黒板を見て、よく話を聞いていて自分から気づく様子も見られました。これからも、自分で考え自分で気づこうとする姿勢を続けてほしいと思います。図画工作科では、材料の使い方を工夫したり、色の組み合わせ方を考えたりすることがとても得意です。かなり高いレベルで作品をつくり上げることができました。【きゅうこんちゃん　お花がさいたよ！】でも、いくつか種類の異なる花を美しくつくり上げていました。係は体育係となり、クラスのみんなに授業開始に間に合うように移動するよう声を掛けてくれました。体育祭では、赤組の学年リーダーとして、整列の指示などリーダーとしての役割を十分に発揮できました。休み時間はピアノを弾いたり、サッカーや鬼ごっこで体を動かしたりと、多才で人気者の愛菜さんの周りには友達が集まっています。影響力のある愛菜さんの更なる成長に期待しています。</t>
    <phoneticPr fontId="1"/>
  </si>
  <si>
    <t>１年間の目標を「場の空気を読んでやって良いことと、悪いことをしっかり区別する」と定めました。国語科では、漢字を丁寧に書くことが習慣付いています。その結果が、学期末の漢字テスト満点という形で実を結びました。図画工作科において、発想がとても豊かです。また楽しいことをイメージすることができます。どの作品でも、自分が工夫したところをたくさん説明しに来てくれました。【きゅうこんちゃん　お花がさいたよ！】では、花びらの形や並べ方を工夫していました。色使いがいつも鮮やかです。体育祭では、白組の学年リーダーとして、整列の指示などリーダーとしての役割を十分に発揮できました。朝の会のあいさつ練習では、笑顔ではっきりと発声できます。杏さんのおかげで、クラスが気持ちよく一日のスタートを切ることができました。よく物事を考えてから発言するので、クラスメイトから信用されています。今後、杏さんがどんなタイプのリーダーに成長していくのか、これからがとても楽しみです。</t>
    <phoneticPr fontId="1"/>
  </si>
  <si>
    <t>１年間の目標を「先生の話を聞くときは、先生の目を見て良い姿勢で聞く」と定めました。図画工作科においては、いつも可愛らしい作品を仕上げています。つくりたいものがしっかりと決まっているのはとても素晴らしいのですが、友達の作品を鑑賞し、ヒントを得るなど、さらに表現の幅を広げていってほしいと思っています。算数科では、自分から挙手して発言こそ少ないものの、話をよく聞いて学習内容を確実に自分のものとすることができました。特に、「たし算とひき算の筆算」の単元では、単元のまとめの５枚のテストですべて満点を得ることができました。国語科では、漢字の学習に熱心に取り組みました。漢字スキルに書いてある例文以外の言葉や文を自分で調べて書いたり、音読みと訓読みをそれぞれカタカナとひらがなに分けて例文に読み仮名をふったりして、漢字を覚える為に自分なりの工夫をしている所がとても素敵でした。クラスで取り組んでいる「キラリ」の活動では、ほぼ毎日手伝いや良い行動をして、キラリ獲得に貢献しました。雫さんの更なる成長に期待です。</t>
    <phoneticPr fontId="1"/>
  </si>
  <si>
    <t>１年間の目標を「やるべきことをきちんとやる。黙々と勉強する。」と定めました。図画工作科ではとても丁寧に作品をつくることができます。【きゅうこんちゃん　お花がさいたよ！】では、きつく巻いた花の茎に、カールをかけた花びらを丁寧に並べて貼っていました。植木鉢の箱も、おしゃれに飾っていました。算数科の「時刻と時間のもとめ方」の単元では、筆算を使って計算で答えを求めるやり方に序盤は苦戦しましたが、しっかりと話を聞いて理解し、正確に求めることができるようになりました。また、学期終盤には、進んで発言をする様子が多く見られるようになってきたところに成長を感じました。体育祭では、短距離走で学年1位になり運動能力の高さを発揮しました。クラスで取り組んでいる「キラリ」の活動では、ほぼ毎日手伝いや良い行動をして、キラリ獲得に貢献しました。朝読書までの時間で提出物チェックの手伝いをしてくれたり、ロッカーを常に整頓された状態を保つ等、クラスの手本となる存在です。</t>
    <phoneticPr fontId="1"/>
  </si>
  <si>
    <t>１学期の目標を「ふざけたりせず、教室を走らない人になりたい」と定めました。算数科の「たし算とひき算の筆算」の単元では、単元のまとめの５枚のテストですべて満点を取る等、学力の定着を示しました。図画工作科では、ドラゴンなどの怪獣がテーマになることが多いです。棘のギザギザした部分や、翼の模様などをつくるときに難易度が高く、時間がかかりますが、時間内にはしっかりと完成させることができます。各教科において授業中、自分の考えを進んで発言することができます。その反面、授業中に必要のないおしゃべりをしてしまう様子がやや見られたので、教師や友達の発表や意見にヒントが隠されていることに気付かせたいと思います。朝の会のあいさつ練習では、笑顔ではっきりと発声できます。大翔くんのおかげで、クラスが気持ちよく一日のスタートを切ることができました。クラスで取り組んでいる「キラリ」の活動では、お手伝いや良い行動を積極的に行い、学級から認められていました。今後、大翔くんの影響力が良い面で多く表れることを期待しています。</t>
    <phoneticPr fontId="1"/>
  </si>
  <si>
    <t>１年間の目標を「宿題をてきぱきやったり、朝の準備をきっちり、素早くできる３年生になりたい」と定めました。算数科の「かけ算」の単元では、かけ算のきまりを使った学習内容を確実に自分のものにすることができました。また、自分の分かることは進んで発言することができました。図画工作科では、どの題材でも面白さを見つけることができます。【色と形のもよう遊び～不思議な動物～】でも、色々な角度から偶然できた模様を楽しみ、それを組み合わせてユニークな動物をつくることができました。クラスで取り組んでいる「キラリ」の活動では、友だちの良い所を数多く発見していたことで、友達から認められていました。優しい雰囲気の絵を描くことができでき、校長先生から、「絵本作家になってほしいなぁ」と期待されています。周りがよく見えていて、状況に応じてクラスの為に発言できます。授業中騒がしくなった際には、「先生の話を聞こう」と全体に声を掛ける姿に頼もしさを感じました。優しく、責任感のあるもろみさんの成長に期待しています。</t>
    <phoneticPr fontId="1"/>
  </si>
  <si>
    <t>１年間の目標を「１年生と２年生の見本になりたい」と定めました。学習面では、授業開始の時にすぐに姿勢を正して前を向き、話を聞くことができます。算数科では、学習内容をよく理解し、ノートも丁寧に分かりやすく書くことができました。テストでも、しっかりと式や筆算を書き、確実に解いていこうという姿勢が素晴らしいです。授業中の発言も多く、積極的に授業に参加しました。図画工作科の陶芸のオリジナルプレートでは、うさぎを型どった皿に仕上げていました。いつも付けや掃除を率先して取り組む姿はとても素晴らしいので、是非続けてほしいです。クラスで取り組んでいる「キラリ」の活動では、ほぼ毎日手伝いや良い行動をして、キラリ獲得に貢献しました。体育祭リハーサルでは、短距離走で学年1位になることもあるなど身体能力の高さを見せました。負けず嫌いで、地道にコツコツ積み重ねていくタイプの晴南さん、来年こそは体育祭本番での捲土重来を期待しています。</t>
    <phoneticPr fontId="1"/>
  </si>
  <si>
    <t>１学期の目標を「声がけをたくさんできる人になりたい」と定めました。図画工作科では、恐竜などの牙がある動物が好きで、よくつくっています。陶芸のオリジナルプレートでは恐竜の絵を、【マイキャラ・フィギュア】では羽のあるドラゴンをつくっていました。算数科では、自分の分かることは進んで挙手をして発言することができました。特に、「重なりに注目して」の単元の問題では、クラスで一番に挙手して発言する姿を見せました。クラスで取り組んでいる「キラリ」の活動では、ほぼ毎日手伝いや良い行動をして、キラリ獲得に貢献しました。教師の話をよく聞き、学級を引っ張っていく発言ができます。昼休みや放課後にみんなで遊ぶ時間をどうしたら増やせるかを真剣に考えたり、給食準備や帰りの準備の際に「しゃべらずやろう。しゃべると遅くなるよ。」とクラス全体に声を掛ける姿にリーダーとしての素質を感じました。瑛大くんの更なる成長を期待しています。</t>
    <phoneticPr fontId="1"/>
  </si>
  <si>
    <t>４月に転入してきて、慣れるまで時間がかかると思いましたが、持ち前の明るさであっという間に周りと打ち解け、元気に毎日を過ごすことができました。１学期の目標を「姿勢を正して、先生の話をきちんと聞く。友達の意見に耳を傾け、受け入れる。」と定めました。図画工作科では大胆に製作をしています。どんどん取り組む意欲が素晴らしいのです。しかし、台紙の紙からかなりはみ出している、時間がオーバーしても作品をいくつかつくることを企画している、などもう少し見通しをもつとじっくりと製作に臨めると思います。算数科では、学習内容に関係したことを、「じゃあ、これは、どうなのかな。」と、進んで考え、知識が広がったり結びついたりする様子が見られました。今後も澪さんの積極性が様々な場面で発揮されることを期待しています。困ったことや悩みがあったらすぐに相談することができ、ストレスを貯めないように生活しています。クラスで取り組んでいる「キラリ」の活動では、ほぼ毎日手伝いや善行をして、キラリ獲得に貢献しました。</t>
    <phoneticPr fontId="1"/>
  </si>
  <si>
    <t xml:space="preserve"> 出席日数（自動計算）</t>
    <phoneticPr fontId="1"/>
  </si>
  <si>
    <t xml:space="preserve"> 欠席日数</t>
    <phoneticPr fontId="1"/>
  </si>
  <si>
    <t>欠席1（かぜ1）</t>
    <phoneticPr fontId="1"/>
  </si>
  <si>
    <t>欠席7（家事都合2、体調不良5）遅刻3（家事都合1、体調不良2）早退1（頭痛1）</t>
    <rPh sb="0" eb="2">
      <t>ケッセキ</t>
    </rPh>
    <rPh sb="4" eb="8">
      <t>カジツゴウ</t>
    </rPh>
    <rPh sb="10" eb="14">
      <t>タイチョウフリョウ</t>
    </rPh>
    <rPh sb="16" eb="18">
      <t>チコク</t>
    </rPh>
    <rPh sb="20" eb="24">
      <t>カジツゴウ</t>
    </rPh>
    <rPh sb="26" eb="30">
      <t>タイチョウフリョウ</t>
    </rPh>
    <rPh sb="32" eb="34">
      <t>ソウタイ</t>
    </rPh>
    <rPh sb="36" eb="38">
      <t>ズツウ</t>
    </rPh>
    <phoneticPr fontId="1"/>
  </si>
  <si>
    <t>欠席5（体調不良5）遅刻4（体調不良1、足痛1、通院2）早退2（体調不良2）</t>
    <rPh sb="0" eb="2">
      <t>ケッセキ</t>
    </rPh>
    <rPh sb="4" eb="8">
      <t>タイチョウフリョウ</t>
    </rPh>
    <rPh sb="10" eb="12">
      <t>チコク</t>
    </rPh>
    <rPh sb="14" eb="18">
      <t>タイチョウフリョウ</t>
    </rPh>
    <rPh sb="20" eb="22">
      <t>アシツウ</t>
    </rPh>
    <rPh sb="24" eb="26">
      <t>ツウイン</t>
    </rPh>
    <rPh sb="28" eb="30">
      <t>ソウタイ</t>
    </rPh>
    <rPh sb="32" eb="36">
      <t>タイチョウフリョウ</t>
    </rPh>
    <phoneticPr fontId="1"/>
  </si>
  <si>
    <t>欠席5（体調不良5）遅刻1（通院1）早退1（家事都合1）</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</si>
</sst>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name val="ＭＳ Ｐゴシック"/>
      <family val="3"/>
      <charset val="128"/>
    </font>
    <font>
      <sz val="11"/>
      <color indexed="52"/>
      <name val="ＭＳ Ｐゴシック"/>
      <family val="3"/>
      <charset val="128"/>
    </font>
    <font>
      <sz val="11"/>
      <color indexed="8"/>
      <name val="ＭＳ Ｐゴシック"/>
      <family val="3"/>
      <charset val="128"/>
    </font>
    <font>
      <sz val="9"/>
      <color indexed="8"/>
      <name val="ＭＳ Ｐ明朝"/>
      <family val="3"/>
      <charset val="128"/>
    </font>
    <font>
      <sz val="9"/>
      <color indexed="8"/>
      <name val="ＭＳ Ｐゴシック"/>
      <family val="3"/>
      <charset val="128"/>
    </font>
    <font>
      <sz val="9"/>
      <color indexed="8"/>
      <name val="ＭＳ ゴシック"/>
      <family val="3"/>
      <charset val="128"/>
    </font>
    <font>
      <sz val="9"/>
      <color indexed="63"/>
      <name val="ＭＳ Ｐ明朝"/>
      <family val="3"/>
      <charset val="128"/>
    </font>
    <font>
      <sz val="9"/>
      <color indexed="63"/>
      <name val="ＭＳ Ｐゴシック"/>
      <family val="3"/>
      <charset val="128"/>
    </font>
    <font>
      <sz val="9"/>
      <color indexed="63"/>
      <name val="ＭＳ ゴシック"/>
      <family val="3"/>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2">
    <xf numFmtId="0" fontId="0" fillId="0" borderId="0">
      <alignment vertical="center"/>
    </xf>
    <xf numFmtId="0" fontId="17" fillId="0" borderId="0">
      <alignment vertical="center"/>
    </xf>
  </cellStyleXfs>
  <cellXfs count="194">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11" fillId="7" borderId="14" xfId="0" applyNumberFormat="1" applyFont="1" applyFill="1" applyBorder="1" applyAlignment="1">
      <alignment horizontal="center" vertical="center"/>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2" fillId="0" borderId="14" xfId="0" applyFont="1" applyBorder="1" applyAlignment="1" applyProtection="1">
      <alignment horizontal="center" vertical="center"/>
      <protection locked="0"/>
    </xf>
    <xf numFmtId="0" fontId="3" fillId="0" borderId="0" xfId="0" applyFont="1" applyFill="1" applyProtection="1">
      <alignment vertical="center"/>
      <protection locked="0"/>
    </xf>
    <xf numFmtId="0" fontId="15" fillId="0" borderId="14" xfId="0" applyFont="1" applyBorder="1" applyProtection="1">
      <alignment vertical="center"/>
      <protection locked="0"/>
    </xf>
    <xf numFmtId="0" fontId="9" fillId="0" borderId="0" xfId="0" applyFont="1" applyFill="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pplyProtection="1">
      <alignment vertical="center"/>
    </xf>
    <xf numFmtId="0" fontId="3" fillId="3" borderId="14" xfId="0" applyFont="1" applyFill="1" applyBorder="1" applyAlignment="1">
      <alignment vertical="top" textRotation="255" shrinkToFit="1"/>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3" fillId="0" borderId="31" xfId="0" applyFont="1" applyBorder="1" applyAlignment="1">
      <alignment horizontal="left" vertical="center" wrapText="1"/>
    </xf>
    <xf numFmtId="0" fontId="3" fillId="0" borderId="14" xfId="0" applyFont="1" applyBorder="1" applyAlignment="1" applyProtection="1">
      <alignment horizontal="center" vertical="center"/>
      <protection locked="0"/>
    </xf>
    <xf numFmtId="0" fontId="2" fillId="3" borderId="14" xfId="0" applyFont="1" applyFill="1" applyBorder="1" applyProtection="1">
      <alignment vertical="center"/>
      <protection locked="0"/>
    </xf>
    <xf numFmtId="0" fontId="15" fillId="0" borderId="14" xfId="0" applyFont="1" applyBorder="1" applyAlignment="1" applyProtection="1">
      <alignment vertical="center" shrinkToFit="1"/>
      <protection locked="0"/>
    </xf>
    <xf numFmtId="0" fontId="0" fillId="0" borderId="14" xfId="0" applyBorder="1" applyProtection="1">
      <alignment vertical="center"/>
      <protection locked="0"/>
    </xf>
    <xf numFmtId="0" fontId="3" fillId="0" borderId="30" xfId="0" applyFont="1" applyBorder="1" applyAlignment="1" applyProtection="1">
      <alignment vertical="center" wrapText="1" shrinkToFit="1"/>
      <protection locked="0"/>
    </xf>
    <xf numFmtId="0" fontId="3" fillId="0" borderId="14" xfId="0" applyNumberFormat="1" applyFont="1" applyFill="1" applyBorder="1" applyAlignment="1" applyProtection="1">
      <alignment horizontal="left" vertical="center" wrapText="1"/>
      <protection locked="0"/>
    </xf>
    <xf numFmtId="0" fontId="20" fillId="0" borderId="14" xfId="0" applyNumberFormat="1" applyFont="1" applyFill="1" applyBorder="1" applyAlignment="1" applyProtection="1">
      <alignment horizontal="left" vertical="center" wrapText="1"/>
      <protection locked="0"/>
    </xf>
    <xf numFmtId="0" fontId="23" fillId="0" borderId="14" xfId="0" applyNumberFormat="1" applyFont="1" applyFill="1" applyBorder="1" applyAlignment="1" applyProtection="1">
      <alignment horizontal="left" vertical="center" wrapText="1"/>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2">
    <cellStyle name="標準" xfId="0" builtinId="0"/>
    <cellStyle name="標準 2" xfId="1"/>
  </cellStyles>
  <dxfs count="19">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3"/>
  <sheetViews>
    <sheetView tabSelected="1" view="pageBreakPreview" zoomScaleNormal="85" zoomScaleSheetLayoutView="100" workbookViewId="0">
      <selection activeCell="L10" sqref="L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24" t="str">
        <f ca="1">MID(CELL("filename",A1),FIND("[",CELL("filename",A1))+1,3)</f>
        <v>３－２</v>
      </c>
      <c r="B1" s="124"/>
      <c r="C1" s="125" t="str">
        <f ca="1">RIGHT(LEFT(CELL("filename",A1),FIND("[",CELL("filename",A1))-2),3)</f>
        <v>1学期</v>
      </c>
      <c r="D1" s="125"/>
      <c r="E1" s="125"/>
      <c r="F1" s="125"/>
      <c r="G1" s="125"/>
      <c r="H1" s="5"/>
      <c r="I1" s="5"/>
    </row>
    <row r="2" spans="1:17" ht="18.75" customHeight="1">
      <c r="A2" s="2" t="s">
        <v>18</v>
      </c>
      <c r="B2" s="1">
        <v>11</v>
      </c>
      <c r="F2" s="4" t="s">
        <v>17</v>
      </c>
      <c r="G2" s="126" t="str">
        <f ca="1">INDIRECT("'所見'!A"&amp;12+$B$2)</f>
        <v>髙橋 杏</v>
      </c>
      <c r="H2" s="126"/>
      <c r="I2" s="126"/>
    </row>
    <row r="3" spans="1:17" ht="12" customHeight="1">
      <c r="C3" s="9"/>
      <c r="D3" s="9"/>
      <c r="E3" s="9"/>
      <c r="F3" s="9"/>
      <c r="G3" s="9"/>
      <c r="H3" s="9"/>
      <c r="I3" s="9"/>
    </row>
    <row r="4" spans="1:17" ht="18.75" customHeight="1">
      <c r="A4" s="100" t="s">
        <v>19</v>
      </c>
      <c r="B4" s="101"/>
      <c r="C4" s="101"/>
      <c r="D4" s="101"/>
      <c r="E4" s="101"/>
      <c r="F4" s="101"/>
      <c r="G4" s="101"/>
      <c r="H4" s="101"/>
      <c r="I4" s="102"/>
    </row>
    <row r="5" spans="1:17" ht="18.75" customHeight="1">
      <c r="A5" s="19" t="s">
        <v>4</v>
      </c>
      <c r="B5" s="109" t="s">
        <v>5</v>
      </c>
      <c r="C5" s="109"/>
      <c r="D5" s="109"/>
      <c r="E5" s="109"/>
      <c r="F5" s="109"/>
      <c r="G5" s="20" t="s">
        <v>6</v>
      </c>
      <c r="H5" s="109" t="s">
        <v>7</v>
      </c>
      <c r="I5" s="110"/>
      <c r="Q5" s="79">
        <v>35</v>
      </c>
    </row>
    <row r="6" spans="1:17" ht="18.75" customHeight="1" thickBot="1">
      <c r="A6" s="127" t="s">
        <v>8</v>
      </c>
      <c r="B6" s="103" t="str">
        <f>国語!B2</f>
        <v>国語に関心を持ち、進んで読んだり、書いたり、理解したりしている</v>
      </c>
      <c r="C6" s="104"/>
      <c r="D6" s="104"/>
      <c r="E6" s="104"/>
      <c r="F6" s="105"/>
      <c r="G6" s="21" t="str">
        <f ca="1">OFFSET(国語!C2,0,$B$2)</f>
        <v>A</v>
      </c>
      <c r="H6" s="113">
        <f ca="1">OFFSET(国語!C12,0,$B$2)</f>
        <v>5</v>
      </c>
      <c r="I6" s="114"/>
      <c r="O6" s="8">
        <v>1</v>
      </c>
      <c r="P6" s="58" t="str">
        <f ca="1">INDIRECT("'出欠'!A"&amp;9+O6)</f>
        <v>秋岡 万璃</v>
      </c>
    </row>
    <row r="7" spans="1:17" ht="18.75" customHeight="1" thickBot="1">
      <c r="A7" s="128"/>
      <c r="B7" s="106" t="str">
        <f>国語!B3</f>
        <v>登場人物や場面の様子を考えて内容がわかるように音読ができる</v>
      </c>
      <c r="C7" s="107"/>
      <c r="D7" s="107"/>
      <c r="E7" s="107"/>
      <c r="F7" s="108"/>
      <c r="G7" s="17" t="str">
        <f ca="1">OFFSET(国語!C3,0,$B$2)</f>
        <v>A</v>
      </c>
      <c r="H7" s="115"/>
      <c r="I7" s="116"/>
      <c r="K7" s="95" t="s">
        <v>40</v>
      </c>
      <c r="L7" s="96"/>
      <c r="O7" s="8">
        <v>2</v>
      </c>
      <c r="P7" s="58" t="str">
        <f t="shared" ref="P7:P30" ca="1" si="0">INDIRECT("'出欠'!A"&amp;9+O7)</f>
        <v>池田 一郎</v>
      </c>
    </row>
    <row r="8" spans="1:17" ht="18.75" customHeight="1" thickBot="1">
      <c r="A8" s="128"/>
      <c r="B8" s="106" t="str">
        <f>国語!B4</f>
        <v>話の中心に気を付けて聞き、質問をすることができる</v>
      </c>
      <c r="C8" s="107"/>
      <c r="D8" s="107"/>
      <c r="E8" s="107"/>
      <c r="F8" s="108"/>
      <c r="G8" s="17" t="str">
        <f ca="1">OFFSET(国語!C4,0,$B$2)</f>
        <v>A</v>
      </c>
      <c r="H8" s="115"/>
      <c r="I8" s="116"/>
      <c r="K8" s="57" t="s">
        <v>41</v>
      </c>
      <c r="L8" s="57" t="s">
        <v>42</v>
      </c>
      <c r="O8" s="8">
        <v>3</v>
      </c>
      <c r="P8" s="58" t="str">
        <f t="shared" ca="1" si="0"/>
        <v>石田 圭</v>
      </c>
    </row>
    <row r="9" spans="1:17" ht="18.75" customHeight="1" thickBot="1">
      <c r="A9" s="128"/>
      <c r="B9" s="106" t="str">
        <f>国語!B5</f>
        <v>自分の考えとその理由や登場人物の行動や気持ちをまとめて書くことができる</v>
      </c>
      <c r="C9" s="107"/>
      <c r="D9" s="107"/>
      <c r="E9" s="107"/>
      <c r="F9" s="108"/>
      <c r="G9" s="17" t="str">
        <f ca="1">OFFSET(国語!C5,0,$B$2)</f>
        <v>A</v>
      </c>
      <c r="H9" s="115"/>
      <c r="I9" s="116"/>
      <c r="K9" s="56">
        <v>9</v>
      </c>
      <c r="L9" s="56">
        <v>10</v>
      </c>
      <c r="O9" s="8">
        <v>4</v>
      </c>
      <c r="P9" s="58" t="str">
        <f t="shared" ca="1" si="0"/>
        <v>伊藤 和花</v>
      </c>
    </row>
    <row r="10" spans="1:17" ht="18.75" customHeight="1">
      <c r="A10" s="128"/>
      <c r="B10" s="106" t="str">
        <f>国語!B6</f>
        <v>登場人物の気持ちや場面の変化、情景を想像して読むことができる</v>
      </c>
      <c r="C10" s="107"/>
      <c r="D10" s="107"/>
      <c r="E10" s="107"/>
      <c r="F10" s="108"/>
      <c r="G10" s="17" t="str">
        <f ca="1">OFFSET(国語!C6,0,$B$2)</f>
        <v>A</v>
      </c>
      <c r="H10" s="115"/>
      <c r="I10" s="116"/>
      <c r="O10" s="8">
        <v>5</v>
      </c>
      <c r="P10" s="58" t="str">
        <f t="shared" ca="1" si="0"/>
        <v>太谷 峰光</v>
      </c>
    </row>
    <row r="11" spans="1:17" ht="18.75" customHeight="1">
      <c r="A11" s="128"/>
      <c r="B11" s="106" t="str">
        <f>国語!B7</f>
        <v>中心となる語や文をとらえ、段落の関係や事実、意見との関係を考えて読むことができる</v>
      </c>
      <c r="C11" s="107"/>
      <c r="D11" s="107"/>
      <c r="E11" s="107"/>
      <c r="F11" s="108"/>
      <c r="G11" s="17" t="str">
        <f ca="1">OFFSET(国語!C7,0,$B$2)</f>
        <v>A</v>
      </c>
      <c r="H11" s="115"/>
      <c r="I11" s="116"/>
      <c r="O11" s="8">
        <v>6</v>
      </c>
      <c r="P11" s="58" t="str">
        <f t="shared" ca="1" si="0"/>
        <v>大西 優</v>
      </c>
    </row>
    <row r="12" spans="1:17" ht="18.75" customHeight="1">
      <c r="A12" s="128"/>
      <c r="B12" s="106" t="str">
        <f>国語!B8</f>
        <v>国語辞典の使い方や漢字の音訓、こそあど言葉を正しく理解することができる</v>
      </c>
      <c r="C12" s="107"/>
      <c r="D12" s="107"/>
      <c r="E12" s="107"/>
      <c r="F12" s="108"/>
      <c r="G12" s="17" t="str">
        <f ca="1">OFFSET(国語!C8,0,$B$2)</f>
        <v>A</v>
      </c>
      <c r="H12" s="115"/>
      <c r="I12" s="116"/>
      <c r="O12" s="8">
        <v>7</v>
      </c>
      <c r="P12" s="58" t="str">
        <f t="shared" ca="1" si="0"/>
        <v>帶川 瑛士</v>
      </c>
    </row>
    <row r="13" spans="1:17" ht="18.75" customHeight="1">
      <c r="A13" s="128"/>
      <c r="B13" s="106" t="str">
        <f>国語!B9</f>
        <v>学習した漢字を読み書きし、理解することができる</v>
      </c>
      <c r="C13" s="107"/>
      <c r="D13" s="107"/>
      <c r="E13" s="107"/>
      <c r="F13" s="108"/>
      <c r="G13" s="17" t="str">
        <f ca="1">OFFSET(国語!C9,0,$B$2)</f>
        <v>A</v>
      </c>
      <c r="H13" s="115"/>
      <c r="I13" s="116"/>
      <c r="O13" s="8">
        <v>8</v>
      </c>
      <c r="P13" s="58" t="str">
        <f t="shared" ca="1" si="0"/>
        <v>川本 新</v>
      </c>
    </row>
    <row r="14" spans="1:17" ht="18.75" customHeight="1">
      <c r="A14" s="128"/>
      <c r="B14" s="106" t="str">
        <f>国語!B10</f>
        <v>正しい姿勢と鉛筆の持ち方で、丁寧な字を書くことができる</v>
      </c>
      <c r="C14" s="107"/>
      <c r="D14" s="107"/>
      <c r="E14" s="107"/>
      <c r="F14" s="108"/>
      <c r="G14" s="17" t="str">
        <f ca="1">OFFSET(国語!C10,0,$B$2)</f>
        <v>A</v>
      </c>
      <c r="H14" s="115"/>
      <c r="I14" s="116"/>
      <c r="O14" s="8">
        <v>9</v>
      </c>
      <c r="P14" s="58" t="str">
        <f t="shared" ca="1" si="0"/>
        <v>後藤 真伸</v>
      </c>
    </row>
    <row r="15" spans="1:17" ht="18.75" customHeight="1">
      <c r="A15" s="129"/>
      <c r="B15" s="106">
        <f>国語!B11</f>
        <v>0</v>
      </c>
      <c r="C15" s="107"/>
      <c r="D15" s="107"/>
      <c r="E15" s="107"/>
      <c r="F15" s="108"/>
      <c r="G15" s="18">
        <f ca="1">OFFSET(国語!C11,0,$B$2)</f>
        <v>0</v>
      </c>
      <c r="H15" s="115"/>
      <c r="I15" s="116"/>
      <c r="O15" s="8">
        <v>10</v>
      </c>
      <c r="P15" s="58" t="str">
        <f t="shared" ca="1" si="0"/>
        <v>須田 愛菜</v>
      </c>
    </row>
    <row r="16" spans="1:17" ht="18.75" customHeight="1">
      <c r="A16" s="127" t="s">
        <v>0</v>
      </c>
      <c r="B16" s="103" t="str">
        <f>算数!B2</f>
        <v>算数に関心を持ち、進んで新しい単元の習得をしたり、問題を解いたりすることができる</v>
      </c>
      <c r="C16" s="104"/>
      <c r="D16" s="104"/>
      <c r="E16" s="104"/>
      <c r="F16" s="105"/>
      <c r="G16" s="21" t="str">
        <f ca="1">OFFSET(算数!C2,0,$B$2)</f>
        <v>A</v>
      </c>
      <c r="H16" s="113">
        <f ca="1">OFFSET(算数!C12,0,$B$2)</f>
        <v>5</v>
      </c>
      <c r="I16" s="114"/>
      <c r="O16" s="8">
        <v>11</v>
      </c>
      <c r="P16" s="58" t="str">
        <f t="shared" ca="1" si="0"/>
        <v>髙橋 杏</v>
      </c>
    </row>
    <row r="17" spans="1:16" ht="18.75" customHeight="1">
      <c r="A17" s="128"/>
      <c r="B17" s="106" t="str">
        <f>算数!B3</f>
        <v>かけ算の決まりを使って１０や０のかけ算の仕組みを理解し、計算することができる</v>
      </c>
      <c r="C17" s="107"/>
      <c r="D17" s="107"/>
      <c r="E17" s="107"/>
      <c r="F17" s="108"/>
      <c r="G17" s="17" t="str">
        <f ca="1">OFFSET(算数!C3,0,$B$2)</f>
        <v>A</v>
      </c>
      <c r="H17" s="115"/>
      <c r="I17" s="116"/>
      <c r="L17" s="30"/>
      <c r="M17" s="30"/>
      <c r="O17" s="8">
        <v>12</v>
      </c>
      <c r="P17" s="58" t="str">
        <f t="shared" ca="1" si="0"/>
        <v>田中 雫</v>
      </c>
    </row>
    <row r="18" spans="1:16" ht="18.75" customHeight="1">
      <c r="A18" s="128"/>
      <c r="B18" s="106" t="str">
        <f>算数!B4</f>
        <v>時刻や時間を計算によって求めたり、秒の単位を理解したりすることができる</v>
      </c>
      <c r="C18" s="107"/>
      <c r="D18" s="107"/>
      <c r="E18" s="107"/>
      <c r="F18" s="108"/>
      <c r="G18" s="17" t="str">
        <f ca="1">OFFSET(算数!C4,0,$B$2)</f>
        <v>A</v>
      </c>
      <c r="H18" s="115"/>
      <c r="I18" s="116"/>
      <c r="L18" s="30"/>
      <c r="M18" s="30"/>
      <c r="O18" s="8">
        <v>13</v>
      </c>
      <c r="P18" s="58" t="str">
        <f t="shared" ca="1" si="0"/>
        <v>辻󠄀 琉良</v>
      </c>
    </row>
    <row r="19" spans="1:16" ht="18.75" customHeight="1">
      <c r="A19" s="128"/>
      <c r="B19" s="106" t="str">
        <f>算数!B5</f>
        <v>わり算の意味を理解し、式に表したり計算したりすることができる</v>
      </c>
      <c r="C19" s="107"/>
      <c r="D19" s="107"/>
      <c r="E19" s="107"/>
      <c r="F19" s="108"/>
      <c r="G19" s="17" t="str">
        <f ca="1">OFFSET(算数!C5,0,$B$2)</f>
        <v>A</v>
      </c>
      <c r="H19" s="115"/>
      <c r="I19" s="116"/>
      <c r="L19" s="80">
        <f>番号</f>
        <v>11</v>
      </c>
      <c r="M19" s="30"/>
      <c r="O19" s="8">
        <v>14</v>
      </c>
      <c r="P19" s="58" t="str">
        <f t="shared" ca="1" si="0"/>
        <v>長澤 悠真</v>
      </c>
    </row>
    <row r="20" spans="1:16" ht="18.75" customHeight="1">
      <c r="A20" s="128"/>
      <c r="B20" s="106" t="str">
        <f>算数!B6</f>
        <v>３けたや４けたの数のたし算・ひき算を、筆算を使って計算することができる</v>
      </c>
      <c r="C20" s="107"/>
      <c r="D20" s="107"/>
      <c r="E20" s="107"/>
      <c r="F20" s="108"/>
      <c r="G20" s="17" t="str">
        <f ca="1">OFFSET(算数!C6,0,$B$2)</f>
        <v>A</v>
      </c>
      <c r="H20" s="115"/>
      <c r="I20" s="116"/>
      <c r="L20" s="30"/>
      <c r="M20" s="30"/>
      <c r="O20" s="8">
        <v>15</v>
      </c>
      <c r="P20" s="58" t="str">
        <f t="shared" ca="1" si="0"/>
        <v>西川 由里子</v>
      </c>
    </row>
    <row r="21" spans="1:16" ht="18.75" customHeight="1">
      <c r="A21" s="128"/>
      <c r="B21" s="106">
        <f>算数!B7</f>
        <v>0</v>
      </c>
      <c r="C21" s="107"/>
      <c r="D21" s="107"/>
      <c r="E21" s="107"/>
      <c r="F21" s="108"/>
      <c r="G21" s="17">
        <f ca="1">OFFSET(算数!C7,0,$B$2)</f>
        <v>0</v>
      </c>
      <c r="H21" s="115"/>
      <c r="I21" s="116"/>
      <c r="O21" s="8">
        <v>16</v>
      </c>
      <c r="P21" s="58" t="str">
        <f t="shared" ca="1" si="0"/>
        <v>濱本 大翔</v>
      </c>
    </row>
    <row r="22" spans="1:16" ht="18.75" customHeight="1">
      <c r="A22" s="128"/>
      <c r="B22" s="106">
        <f>算数!B8</f>
        <v>0</v>
      </c>
      <c r="C22" s="107"/>
      <c r="D22" s="107"/>
      <c r="E22" s="107"/>
      <c r="F22" s="108"/>
      <c r="G22" s="17">
        <f ca="1">OFFSET(算数!C8,0,$B$2)</f>
        <v>0</v>
      </c>
      <c r="H22" s="115"/>
      <c r="I22" s="116"/>
      <c r="O22" s="8">
        <v>17</v>
      </c>
      <c r="P22" s="58" t="str">
        <f t="shared" ca="1" si="0"/>
        <v>林 もろみ</v>
      </c>
    </row>
    <row r="23" spans="1:16" ht="18.75" customHeight="1">
      <c r="A23" s="128"/>
      <c r="B23" s="106">
        <f>算数!B9</f>
        <v>0</v>
      </c>
      <c r="C23" s="107"/>
      <c r="D23" s="107"/>
      <c r="E23" s="107"/>
      <c r="F23" s="108"/>
      <c r="G23" s="17">
        <f ca="1">OFFSET(算数!C9,0,$B$2)</f>
        <v>0</v>
      </c>
      <c r="H23" s="115"/>
      <c r="I23" s="116"/>
      <c r="O23" s="8">
        <v>18</v>
      </c>
      <c r="P23" s="58" t="str">
        <f t="shared" ca="1" si="0"/>
        <v>松井 晴南</v>
      </c>
    </row>
    <row r="24" spans="1:16" ht="18.75" customHeight="1">
      <c r="A24" s="128"/>
      <c r="B24" s="106">
        <f>算数!B10</f>
        <v>0</v>
      </c>
      <c r="C24" s="107"/>
      <c r="D24" s="107"/>
      <c r="E24" s="107"/>
      <c r="F24" s="108"/>
      <c r="G24" s="17">
        <f ca="1">OFFSET(算数!C10,0,$B$2)</f>
        <v>0</v>
      </c>
      <c r="H24" s="115"/>
      <c r="I24" s="116"/>
      <c r="O24" s="8">
        <v>19</v>
      </c>
      <c r="P24" s="58" t="str">
        <f t="shared" ca="1" si="0"/>
        <v>松山 瑛大</v>
      </c>
    </row>
    <row r="25" spans="1:16" ht="18.75" customHeight="1">
      <c r="A25" s="129"/>
      <c r="B25" s="106">
        <f>算数!B11</f>
        <v>0</v>
      </c>
      <c r="C25" s="107"/>
      <c r="D25" s="107"/>
      <c r="E25" s="107"/>
      <c r="F25" s="108"/>
      <c r="G25" s="18">
        <f ca="1">OFFSET(算数!C11,0,$B$2)</f>
        <v>0</v>
      </c>
      <c r="H25" s="115"/>
      <c r="I25" s="116"/>
      <c r="O25" s="8">
        <v>20</v>
      </c>
      <c r="P25" s="58" t="str">
        <f t="shared" ca="1" si="0"/>
        <v>山口 澪</v>
      </c>
    </row>
    <row r="26" spans="1:16" ht="18.75" customHeight="1">
      <c r="A26" s="127" t="s">
        <v>50</v>
      </c>
      <c r="B26" s="103" t="str">
        <f>理科!B2</f>
        <v>身のまわりの自然の中での出来事や現象について関心を持ち、疑問を解決することができる</v>
      </c>
      <c r="C26" s="104"/>
      <c r="D26" s="104"/>
      <c r="E26" s="104"/>
      <c r="F26" s="105"/>
      <c r="G26" s="21" t="str">
        <f ca="1">OFFSET(理科!C2,0,$B$2)</f>
        <v>A</v>
      </c>
      <c r="H26" s="113">
        <f ca="1">OFFSET(理科!C12,0,$B$2)</f>
        <v>5</v>
      </c>
      <c r="I26" s="114"/>
      <c r="O26" s="8">
        <v>21</v>
      </c>
      <c r="P26" s="58" t="str">
        <f t="shared" ca="1" si="0"/>
        <v>吉村 高連</v>
      </c>
    </row>
    <row r="27" spans="1:16" ht="18.75" customHeight="1">
      <c r="A27" s="128"/>
      <c r="B27" s="106" t="str">
        <f>理科!B3</f>
        <v>実験や観察などを工夫して行い、丁寧に観察したり発表したりすることができる</v>
      </c>
      <c r="C27" s="107"/>
      <c r="D27" s="107"/>
      <c r="E27" s="107"/>
      <c r="F27" s="108"/>
      <c r="G27" s="17" t="str">
        <f ca="1">OFFSET(理科!C3,0,$B$2)</f>
        <v>A</v>
      </c>
      <c r="H27" s="115"/>
      <c r="I27" s="116"/>
      <c r="O27" s="8">
        <v>22</v>
      </c>
      <c r="P27" s="58">
        <f t="shared" ca="1" si="0"/>
        <v>0</v>
      </c>
    </row>
    <row r="28" spans="1:16" ht="18.75" customHeight="1">
      <c r="A28" s="128"/>
      <c r="B28" s="106" t="str">
        <f>理科!B4</f>
        <v>身近な生き物に興味を持ち、観察の仕方や記録の仕方について理解することができる</v>
      </c>
      <c r="C28" s="107"/>
      <c r="D28" s="107"/>
      <c r="E28" s="107"/>
      <c r="F28" s="108"/>
      <c r="G28" s="17" t="str">
        <f ca="1">OFFSET(理科!C4,0,$B$2)</f>
        <v>A</v>
      </c>
      <c r="H28" s="115"/>
      <c r="I28" s="116"/>
      <c r="O28" s="8">
        <v>23</v>
      </c>
      <c r="P28" s="58">
        <f t="shared" ca="1" si="0"/>
        <v>0</v>
      </c>
    </row>
    <row r="29" spans="1:16" ht="18.75" customHeight="1">
      <c r="A29" s="128"/>
      <c r="B29" s="106" t="str">
        <f>理科!B5</f>
        <v>様々な植物の種子の発芽や育ち方を理解することができる</v>
      </c>
      <c r="C29" s="107"/>
      <c r="D29" s="107"/>
      <c r="E29" s="107"/>
      <c r="F29" s="108"/>
      <c r="G29" s="17" t="str">
        <f ca="1">OFFSET(理科!C5,0,$B$2)</f>
        <v>A</v>
      </c>
      <c r="H29" s="115"/>
      <c r="I29" s="116"/>
      <c r="O29" s="8">
        <v>24</v>
      </c>
      <c r="P29" s="58">
        <f t="shared" ca="1" si="0"/>
        <v>0</v>
      </c>
    </row>
    <row r="30" spans="1:16" ht="18.75" customHeight="1">
      <c r="A30" s="128"/>
      <c r="B30" s="106" t="str">
        <f>理科!B6</f>
        <v>昆虫の育ち方やチョウのからだのつくりを理解することができる</v>
      </c>
      <c r="C30" s="107"/>
      <c r="D30" s="107"/>
      <c r="E30" s="107"/>
      <c r="F30" s="108"/>
      <c r="G30" s="17" t="str">
        <f ca="1">OFFSET(理科!C6,0,$B$2)</f>
        <v>A</v>
      </c>
      <c r="H30" s="115"/>
      <c r="I30" s="116"/>
      <c r="O30" s="8">
        <v>25</v>
      </c>
      <c r="P30" s="58">
        <f t="shared" ca="1" si="0"/>
        <v>0</v>
      </c>
    </row>
    <row r="31" spans="1:16" ht="18.75" customHeight="1">
      <c r="A31" s="128"/>
      <c r="B31" s="106">
        <f>理科!B7</f>
        <v>0</v>
      </c>
      <c r="C31" s="107"/>
      <c r="D31" s="107"/>
      <c r="E31" s="107"/>
      <c r="F31" s="108"/>
      <c r="G31" s="17">
        <f ca="1">OFFSET(理科!C7,0,$B$2)</f>
        <v>0</v>
      </c>
      <c r="H31" s="115"/>
      <c r="I31" s="116"/>
    </row>
    <row r="32" spans="1:16" ht="18.75" customHeight="1">
      <c r="A32" s="128"/>
      <c r="B32" s="106">
        <f>理科!B8</f>
        <v>0</v>
      </c>
      <c r="C32" s="107"/>
      <c r="D32" s="107"/>
      <c r="E32" s="107"/>
      <c r="F32" s="108"/>
      <c r="G32" s="17">
        <f ca="1">OFFSET(理科!C8,0,$B$2)</f>
        <v>0</v>
      </c>
      <c r="H32" s="115"/>
      <c r="I32" s="116"/>
    </row>
    <row r="33" spans="1:9" ht="18.75" customHeight="1">
      <c r="A33" s="128"/>
      <c r="B33" s="106">
        <f>理科!B9</f>
        <v>0</v>
      </c>
      <c r="C33" s="107"/>
      <c r="D33" s="107"/>
      <c r="E33" s="107"/>
      <c r="F33" s="108"/>
      <c r="G33" s="17">
        <f ca="1">OFFSET(理科!C9,0,$B$2)</f>
        <v>0</v>
      </c>
      <c r="H33" s="115"/>
      <c r="I33" s="116"/>
    </row>
    <row r="34" spans="1:9" ht="18.75" customHeight="1">
      <c r="A34" s="128"/>
      <c r="B34" s="106">
        <f>理科!B10</f>
        <v>0</v>
      </c>
      <c r="C34" s="107"/>
      <c r="D34" s="107"/>
      <c r="E34" s="107"/>
      <c r="F34" s="108"/>
      <c r="G34" s="17">
        <f ca="1">OFFSET(理科!C10,0,$B$2)</f>
        <v>0</v>
      </c>
      <c r="H34" s="115"/>
      <c r="I34" s="116"/>
    </row>
    <row r="35" spans="1:9" ht="18.75" customHeight="1">
      <c r="A35" s="129"/>
      <c r="B35" s="106">
        <f>理科!B11</f>
        <v>0</v>
      </c>
      <c r="C35" s="107"/>
      <c r="D35" s="107"/>
      <c r="E35" s="107"/>
      <c r="F35" s="108"/>
      <c r="G35" s="18">
        <f ca="1">OFFSET(理科!C11,0,$B$2)</f>
        <v>0</v>
      </c>
      <c r="H35" s="115"/>
      <c r="I35" s="116"/>
    </row>
    <row r="36" spans="1:9" ht="18.75" customHeight="1">
      <c r="A36" s="127" t="s">
        <v>51</v>
      </c>
      <c r="B36" s="103" t="str">
        <f>社会!B2</f>
        <v>身近な地域に興味を持ち、意欲的に見たり聞いたり調べたりすることができる</v>
      </c>
      <c r="C36" s="104"/>
      <c r="D36" s="104"/>
      <c r="E36" s="104"/>
      <c r="F36" s="105"/>
      <c r="G36" s="21" t="str">
        <f ca="1">OFFSET(社会!C2,0,$B$2)</f>
        <v>A</v>
      </c>
      <c r="H36" s="113">
        <f ca="1">OFFSET(社会!C12,0,$B$2)</f>
        <v>5</v>
      </c>
      <c r="I36" s="114"/>
    </row>
    <row r="37" spans="1:9" ht="18.75" customHeight="1">
      <c r="A37" s="128"/>
      <c r="B37" s="106" t="str">
        <f>社会!B3</f>
        <v>地図記号や方角について理解し、地図を読み取ることができる</v>
      </c>
      <c r="C37" s="107"/>
      <c r="D37" s="107"/>
      <c r="E37" s="107"/>
      <c r="F37" s="108"/>
      <c r="G37" s="17" t="str">
        <f ca="1">OFFSET(社会!C3,0,$B$2)</f>
        <v>A</v>
      </c>
      <c r="H37" s="115"/>
      <c r="I37" s="116"/>
    </row>
    <row r="38" spans="1:9" ht="18.75" customHeight="1">
      <c r="A38" s="128"/>
      <c r="B38" s="106" t="str">
        <f>社会!B4</f>
        <v>身近な地域の様子を調べ、場所による様子の違いを考えることができる</v>
      </c>
      <c r="C38" s="107"/>
      <c r="D38" s="107"/>
      <c r="E38" s="107"/>
      <c r="F38" s="108"/>
      <c r="G38" s="17" t="str">
        <f ca="1">OFFSET(社会!C4,0,$B$2)</f>
        <v>A</v>
      </c>
      <c r="H38" s="115"/>
      <c r="I38" s="116"/>
    </row>
    <row r="39" spans="1:9" ht="18.75" customHeight="1">
      <c r="A39" s="128"/>
      <c r="B39" s="106" t="str">
        <f>社会!B5</f>
        <v>地図を読み取ったり、写真を見たりしながら、松本市の特徴や様子を考えることができる</v>
      </c>
      <c r="C39" s="107"/>
      <c r="D39" s="107"/>
      <c r="E39" s="107"/>
      <c r="F39" s="108"/>
      <c r="G39" s="17" t="str">
        <f ca="1">OFFSET(社会!C5,0,$B$2)</f>
        <v>A</v>
      </c>
      <c r="H39" s="115"/>
      <c r="I39" s="116"/>
    </row>
    <row r="40" spans="1:9" ht="18.75" customHeight="1">
      <c r="A40" s="128"/>
      <c r="B40" s="106">
        <f>社会!B6</f>
        <v>0</v>
      </c>
      <c r="C40" s="107"/>
      <c r="D40" s="107"/>
      <c r="E40" s="107"/>
      <c r="F40" s="108"/>
      <c r="G40" s="17">
        <f ca="1">OFFSET(社会!C6,0,$B$2)</f>
        <v>0</v>
      </c>
      <c r="H40" s="115"/>
      <c r="I40" s="116"/>
    </row>
    <row r="41" spans="1:9" ht="18.75" customHeight="1">
      <c r="A41" s="128"/>
      <c r="B41" s="106">
        <f>社会!B7</f>
        <v>0</v>
      </c>
      <c r="C41" s="107"/>
      <c r="D41" s="107"/>
      <c r="E41" s="107"/>
      <c r="F41" s="108"/>
      <c r="G41" s="17">
        <f ca="1">OFFSET(社会!C7,0,$B$2)</f>
        <v>0</v>
      </c>
      <c r="H41" s="115"/>
      <c r="I41" s="116"/>
    </row>
    <row r="42" spans="1:9" ht="18.75" customHeight="1">
      <c r="A42" s="128"/>
      <c r="B42" s="106">
        <f>社会!B8</f>
        <v>0</v>
      </c>
      <c r="C42" s="107"/>
      <c r="D42" s="107"/>
      <c r="E42" s="107"/>
      <c r="F42" s="108"/>
      <c r="G42" s="17">
        <f ca="1">OFFSET(社会!C8,0,$B$2)</f>
        <v>0</v>
      </c>
      <c r="H42" s="115"/>
      <c r="I42" s="116"/>
    </row>
    <row r="43" spans="1:9" ht="18.75" customHeight="1">
      <c r="A43" s="128"/>
      <c r="B43" s="106">
        <f>社会!B9</f>
        <v>0</v>
      </c>
      <c r="C43" s="107"/>
      <c r="D43" s="107"/>
      <c r="E43" s="107"/>
      <c r="F43" s="108"/>
      <c r="G43" s="17">
        <f ca="1">OFFSET(社会!C9,0,$B$2)</f>
        <v>0</v>
      </c>
      <c r="H43" s="115"/>
      <c r="I43" s="116"/>
    </row>
    <row r="44" spans="1:9" ht="18.75" customHeight="1">
      <c r="A44" s="129"/>
      <c r="B44" s="106">
        <f>社会!B10</f>
        <v>0</v>
      </c>
      <c r="C44" s="107"/>
      <c r="D44" s="107"/>
      <c r="E44" s="107"/>
      <c r="F44" s="108"/>
      <c r="G44" s="18">
        <f ca="1">OFFSET(社会!C10,0,$B$2)</f>
        <v>0</v>
      </c>
      <c r="H44" s="115"/>
      <c r="I44" s="116"/>
    </row>
    <row r="45" spans="1:9" ht="18.75" customHeight="1">
      <c r="A45" s="127" t="s">
        <v>9</v>
      </c>
      <c r="B45" s="103" t="str">
        <f>英語!B2</f>
        <v>英語学習に楽しみを感じ、意欲的に学習に励むことができる</v>
      </c>
      <c r="C45" s="104"/>
      <c r="D45" s="104"/>
      <c r="E45" s="104"/>
      <c r="F45" s="105"/>
      <c r="G45" s="21" t="str">
        <f ca="1">OFFSET(英語!C2,0,$B$2)</f>
        <v>A</v>
      </c>
      <c r="H45" s="113">
        <f ca="1">OFFSET(英語!C12,0,$B$2)</f>
        <v>5</v>
      </c>
      <c r="I45" s="114"/>
    </row>
    <row r="46" spans="1:9" ht="18.75" customHeight="1">
      <c r="A46" s="128"/>
      <c r="B46" s="106" t="str">
        <f>英語!B3</f>
        <v>英語で会話をしたり、友だちとスキットをしたりすることができる</v>
      </c>
      <c r="C46" s="107"/>
      <c r="D46" s="107"/>
      <c r="E46" s="107"/>
      <c r="F46" s="108"/>
      <c r="G46" s="17" t="str">
        <f ca="1">OFFSET(英語!C3,0,$B$2)</f>
        <v>A</v>
      </c>
      <c r="H46" s="115"/>
      <c r="I46" s="116"/>
    </row>
    <row r="47" spans="1:9" ht="18.75" customHeight="1">
      <c r="A47" s="128"/>
      <c r="B47" s="106" t="str">
        <f>英語!B4</f>
        <v>身の回りにあるもの（名詞）、日常生活の動作（動詞）、人や物を説明する言葉（形容詞）を習得することができる</v>
      </c>
      <c r="C47" s="107"/>
      <c r="D47" s="107"/>
      <c r="E47" s="107"/>
      <c r="F47" s="108"/>
      <c r="G47" s="17" t="str">
        <f ca="1">OFFSET(英語!C4,0,$B$2)</f>
        <v>A</v>
      </c>
      <c r="H47" s="115"/>
      <c r="I47" s="116"/>
    </row>
    <row r="48" spans="1:9" ht="18.75" customHeight="1">
      <c r="A48" s="128"/>
      <c r="B48" s="106" t="str">
        <f>英語!B5</f>
        <v>単語の発音を予想して読むことができる</v>
      </c>
      <c r="C48" s="107"/>
      <c r="D48" s="107"/>
      <c r="E48" s="107"/>
      <c r="F48" s="108"/>
      <c r="G48" s="17" t="str">
        <f ca="1">OFFSET(英語!C5,0,$B$2)</f>
        <v>A</v>
      </c>
      <c r="H48" s="115"/>
      <c r="I48" s="116"/>
    </row>
    <row r="49" spans="1:9" ht="18.75" customHeight="1">
      <c r="A49" s="128"/>
      <c r="B49" s="106" t="str">
        <f>英語!B6</f>
        <v>単語の音を聞いて、つづりを予想して書くことができる</v>
      </c>
      <c r="C49" s="107"/>
      <c r="D49" s="107"/>
      <c r="E49" s="107"/>
      <c r="F49" s="108"/>
      <c r="G49" s="17" t="str">
        <f ca="1">OFFSET(英語!C6,0,$B$2)</f>
        <v>A</v>
      </c>
      <c r="H49" s="115"/>
      <c r="I49" s="116"/>
    </row>
    <row r="50" spans="1:9" ht="18.75" customHeight="1">
      <c r="A50" s="128"/>
      <c r="B50" s="106">
        <f>英語!B7</f>
        <v>0</v>
      </c>
      <c r="C50" s="107"/>
      <c r="D50" s="107"/>
      <c r="E50" s="107"/>
      <c r="F50" s="108"/>
      <c r="G50" s="17">
        <f ca="1">OFFSET(英語!C7,0,$B$2)</f>
        <v>0</v>
      </c>
      <c r="H50" s="115"/>
      <c r="I50" s="116"/>
    </row>
    <row r="51" spans="1:9" ht="18.75" customHeight="1">
      <c r="A51" s="128"/>
      <c r="B51" s="106">
        <f>英語!B8</f>
        <v>0</v>
      </c>
      <c r="C51" s="107"/>
      <c r="D51" s="107"/>
      <c r="E51" s="107"/>
      <c r="F51" s="108"/>
      <c r="G51" s="17">
        <f ca="1">OFFSET(英語!C8,0,$B$2)</f>
        <v>0</v>
      </c>
      <c r="H51" s="115"/>
      <c r="I51" s="116"/>
    </row>
    <row r="52" spans="1:9" ht="18.75" customHeight="1">
      <c r="A52" s="128"/>
      <c r="B52" s="106">
        <f>英語!B9</f>
        <v>0</v>
      </c>
      <c r="C52" s="107"/>
      <c r="D52" s="107"/>
      <c r="E52" s="107"/>
      <c r="F52" s="108"/>
      <c r="G52" s="17">
        <f ca="1">OFFSET(英語!C9,0,$B$2)</f>
        <v>0</v>
      </c>
      <c r="H52" s="115"/>
      <c r="I52" s="116"/>
    </row>
    <row r="53" spans="1:9" ht="18.75" customHeight="1">
      <c r="A53" s="129"/>
      <c r="B53" s="106">
        <f>英語!B10</f>
        <v>0</v>
      </c>
      <c r="C53" s="107"/>
      <c r="D53" s="107"/>
      <c r="E53" s="107"/>
      <c r="F53" s="108"/>
      <c r="G53" s="18">
        <f ca="1">OFFSET(英語!C10,0,$B$2)</f>
        <v>0</v>
      </c>
      <c r="H53" s="115"/>
      <c r="I53" s="116"/>
    </row>
    <row r="54" spans="1:9" ht="18.75" customHeight="1">
      <c r="A54" s="6"/>
      <c r="B54" s="31"/>
      <c r="C54" s="10"/>
      <c r="D54" s="10"/>
      <c r="E54" s="10"/>
      <c r="F54" s="10"/>
      <c r="G54" s="6"/>
      <c r="H54" s="7"/>
      <c r="I54" s="7"/>
    </row>
    <row r="55" spans="1:9" ht="18.75" customHeight="1">
      <c r="A55" s="1"/>
      <c r="B55" s="32"/>
      <c r="C55" s="11"/>
      <c r="D55" s="11"/>
      <c r="E55" s="11"/>
      <c r="F55" s="11"/>
      <c r="G55" s="1"/>
      <c r="H55" s="3"/>
      <c r="I55" s="3"/>
    </row>
    <row r="56" spans="1:9" ht="18.75" customHeight="1">
      <c r="A56" s="127" t="s">
        <v>3</v>
      </c>
      <c r="B56" s="103" t="str">
        <f>音楽!B2</f>
        <v>音や音楽に関心を持ち、進んで音楽表現や鑑賞の活動に取り組むことができる</v>
      </c>
      <c r="C56" s="104"/>
      <c r="D56" s="104"/>
      <c r="E56" s="104"/>
      <c r="F56" s="105"/>
      <c r="G56" s="21" t="str">
        <f ca="1">OFFSET(音楽!C2,0,$B$2)</f>
        <v>A</v>
      </c>
      <c r="H56" s="113">
        <f ca="1">OFFSET(音楽!C12,0,$B$2)</f>
        <v>5</v>
      </c>
      <c r="I56" s="114"/>
    </row>
    <row r="57" spans="1:9" ht="18.75" customHeight="1">
      <c r="A57" s="128"/>
      <c r="B57" s="106" t="str">
        <f>音楽!B3</f>
        <v>曲想や歌詞の内容にふさわしい表現を工夫して歌うことができる</v>
      </c>
      <c r="C57" s="107"/>
      <c r="D57" s="107"/>
      <c r="E57" s="107"/>
      <c r="F57" s="108"/>
      <c r="G57" s="17" t="str">
        <f ca="1">OFFSET(音楽!C3,0,$B$2)</f>
        <v>A</v>
      </c>
      <c r="H57" s="115"/>
      <c r="I57" s="116"/>
    </row>
    <row r="58" spans="1:9" ht="18.75" customHeight="1">
      <c r="A58" s="128"/>
      <c r="B58" s="106" t="str">
        <f>音楽!B4</f>
        <v>姿勢や構え方、息の強さ、タンギングに気をつけて、鍵盤ハーモニカやリコーダーを演奏することができる</v>
      </c>
      <c r="C58" s="107"/>
      <c r="D58" s="107"/>
      <c r="E58" s="107"/>
      <c r="F58" s="108"/>
      <c r="G58" s="17" t="str">
        <f ca="1">OFFSET(音楽!C4,0,$B$2)</f>
        <v>A</v>
      </c>
      <c r="H58" s="115"/>
      <c r="I58" s="116"/>
    </row>
    <row r="59" spans="1:9" ht="18.75" customHeight="1">
      <c r="A59" s="128"/>
      <c r="B59" s="106" t="str">
        <f>音楽!B5</f>
        <v>様子を思い浮かべたり、楽器の持つ特徴を感じ取りながら楽曲を聴くことができる</v>
      </c>
      <c r="C59" s="107"/>
      <c r="D59" s="107"/>
      <c r="E59" s="107"/>
      <c r="F59" s="108"/>
      <c r="G59" s="17" t="str">
        <f ca="1">OFFSET(音楽!C5,0,$B$2)</f>
        <v>A</v>
      </c>
      <c r="H59" s="115"/>
      <c r="I59" s="116"/>
    </row>
    <row r="60" spans="1:9" ht="18.75" customHeight="1">
      <c r="A60" s="128"/>
      <c r="B60" s="106">
        <f>音楽!B6</f>
        <v>0</v>
      </c>
      <c r="C60" s="107"/>
      <c r="D60" s="107"/>
      <c r="E60" s="107"/>
      <c r="F60" s="108"/>
      <c r="G60" s="17">
        <f ca="1">OFFSET(音楽!C6,0,$B$2)</f>
        <v>0</v>
      </c>
      <c r="H60" s="115"/>
      <c r="I60" s="116"/>
    </row>
    <row r="61" spans="1:9" ht="18.75" customHeight="1">
      <c r="A61" s="128"/>
      <c r="B61" s="106">
        <f>音楽!B7</f>
        <v>0</v>
      </c>
      <c r="C61" s="107"/>
      <c r="D61" s="107"/>
      <c r="E61" s="107"/>
      <c r="F61" s="108"/>
      <c r="G61" s="17">
        <f ca="1">OFFSET(音楽!C7,0,$B$2)</f>
        <v>0</v>
      </c>
      <c r="H61" s="115"/>
      <c r="I61" s="116"/>
    </row>
    <row r="62" spans="1:9" ht="18.75" customHeight="1">
      <c r="A62" s="128"/>
      <c r="B62" s="106">
        <f>音楽!B8</f>
        <v>0</v>
      </c>
      <c r="C62" s="107"/>
      <c r="D62" s="107"/>
      <c r="E62" s="107"/>
      <c r="F62" s="108"/>
      <c r="G62" s="17">
        <f ca="1">OFFSET(音楽!C8,0,$B$2)</f>
        <v>0</v>
      </c>
      <c r="H62" s="115"/>
      <c r="I62" s="116"/>
    </row>
    <row r="63" spans="1:9" ht="18.75" customHeight="1">
      <c r="A63" s="129"/>
      <c r="B63" s="106">
        <f>音楽!B9</f>
        <v>0</v>
      </c>
      <c r="C63" s="107"/>
      <c r="D63" s="107"/>
      <c r="E63" s="107"/>
      <c r="F63" s="108"/>
      <c r="G63" s="18">
        <f ca="1">OFFSET(音楽!C9,0,$B$2)</f>
        <v>0</v>
      </c>
      <c r="H63" s="115"/>
      <c r="I63" s="116"/>
    </row>
    <row r="64" spans="1:9" ht="18.75" customHeight="1">
      <c r="A64" s="127" t="s">
        <v>1</v>
      </c>
      <c r="B64" s="103" t="str">
        <f>図工!B2</f>
        <v>図工への関心を持ち、楽しく制作に取り組んでいる</v>
      </c>
      <c r="C64" s="104"/>
      <c r="D64" s="104"/>
      <c r="E64" s="104"/>
      <c r="F64" s="105"/>
      <c r="G64" s="21" t="str">
        <f ca="1">OFFSET(図工!C2,0,$B$2)</f>
        <v>A</v>
      </c>
      <c r="H64" s="113">
        <f ca="1">OFFSET(図工!C12,0,$B$2)</f>
        <v>5</v>
      </c>
      <c r="I64" s="114"/>
    </row>
    <row r="65" spans="1:14" ht="18.75" customHeight="1">
      <c r="A65" s="128"/>
      <c r="B65" s="106" t="str">
        <f>図工!B3</f>
        <v>豊かな発想を持ち自由に表現することができる</v>
      </c>
      <c r="C65" s="107"/>
      <c r="D65" s="107"/>
      <c r="E65" s="107"/>
      <c r="F65" s="108"/>
      <c r="G65" s="17" t="str">
        <f ca="1">OFFSET(図工!C3,0,$B$2)</f>
        <v>A</v>
      </c>
      <c r="H65" s="115"/>
      <c r="I65" s="116"/>
    </row>
    <row r="66" spans="1:14" ht="18.75" customHeight="1">
      <c r="A66" s="128"/>
      <c r="B66" s="106" t="str">
        <f>図工!B4</f>
        <v>つくりたいもののイメージを持ち、それに向かって制作することができる</v>
      </c>
      <c r="C66" s="107"/>
      <c r="D66" s="107"/>
      <c r="E66" s="107"/>
      <c r="F66" s="108"/>
      <c r="G66" s="17" t="str">
        <f ca="1">OFFSET(図工!C4,0,$B$2)</f>
        <v>A</v>
      </c>
      <c r="H66" s="115"/>
      <c r="I66" s="116"/>
    </row>
    <row r="67" spans="1:14" ht="18.75" customHeight="1">
      <c r="A67" s="128"/>
      <c r="B67" s="106" t="str">
        <f>図工!B5</f>
        <v>自分や友達の作品から良さや面白さ、美しさを感じとることができる</v>
      </c>
      <c r="C67" s="107"/>
      <c r="D67" s="107"/>
      <c r="E67" s="107"/>
      <c r="F67" s="108"/>
      <c r="G67" s="17" t="str">
        <f ca="1">OFFSET(図工!C5,0,$B$2)</f>
        <v>A</v>
      </c>
      <c r="H67" s="115"/>
      <c r="I67" s="116"/>
    </row>
    <row r="68" spans="1:14" ht="18.75" customHeight="1">
      <c r="A68" s="128"/>
      <c r="B68" s="106">
        <f>図工!B6</f>
        <v>0</v>
      </c>
      <c r="C68" s="107"/>
      <c r="D68" s="107"/>
      <c r="E68" s="107"/>
      <c r="F68" s="108"/>
      <c r="G68" s="17">
        <f ca="1">OFFSET(図工!C6,0,$B$2)</f>
        <v>0</v>
      </c>
      <c r="H68" s="115"/>
      <c r="I68" s="116"/>
    </row>
    <row r="69" spans="1:14" ht="18.75" customHeight="1">
      <c r="A69" s="129"/>
      <c r="B69" s="106">
        <f>図工!B7</f>
        <v>0</v>
      </c>
      <c r="C69" s="107"/>
      <c r="D69" s="107"/>
      <c r="E69" s="107"/>
      <c r="F69" s="108"/>
      <c r="G69" s="18">
        <f ca="1">OFFSET(図工!C7,0,$B$2)</f>
        <v>0</v>
      </c>
      <c r="H69" s="115"/>
      <c r="I69" s="116"/>
    </row>
    <row r="70" spans="1:14" ht="18.75" customHeight="1">
      <c r="A70" s="127" t="s">
        <v>2</v>
      </c>
      <c r="B70" s="103" t="str">
        <f>体育!B2</f>
        <v>運動の行い方を工夫するとともに、考えたことを他者に伝えることができる</v>
      </c>
      <c r="C70" s="104"/>
      <c r="D70" s="104"/>
      <c r="E70" s="104"/>
      <c r="F70" s="105"/>
      <c r="G70" s="21" t="str">
        <f ca="1">OFFSET(体育!C2,0,$B$2)</f>
        <v>A</v>
      </c>
      <c r="H70" s="113">
        <f ca="1">OFFSET(体育!C12,0,$B$2)</f>
        <v>5</v>
      </c>
      <c r="I70" s="114"/>
    </row>
    <row r="71" spans="1:14" ht="18.75" customHeight="1">
      <c r="A71" s="128"/>
      <c r="B71" s="106" t="str">
        <f>体育!B3</f>
        <v>決まりを守り、誰とでも仲良く意欲的に運動ができる</v>
      </c>
      <c r="C71" s="107"/>
      <c r="D71" s="107"/>
      <c r="E71" s="107"/>
      <c r="F71" s="108"/>
      <c r="G71" s="17" t="str">
        <f ca="1">OFFSET(体育!C3,0,$B$2)</f>
        <v>A</v>
      </c>
      <c r="H71" s="115"/>
      <c r="I71" s="116"/>
    </row>
    <row r="72" spans="1:14" ht="18.75" customHeight="1">
      <c r="A72" s="128"/>
      <c r="B72" s="106" t="str">
        <f>体育!B4</f>
        <v>全身を使って、力強く走ることができる（短距離走）</v>
      </c>
      <c r="C72" s="107"/>
      <c r="D72" s="107"/>
      <c r="E72" s="107"/>
      <c r="F72" s="108"/>
      <c r="G72" s="17" t="str">
        <f ca="1">OFFSET(体育!C4,0,$B$2)</f>
        <v>B</v>
      </c>
      <c r="H72" s="115"/>
      <c r="I72" s="116"/>
    </row>
    <row r="73" spans="1:14" ht="18.75" customHeight="1">
      <c r="A73" s="128"/>
      <c r="B73" s="106" t="str">
        <f>体育!B5</f>
        <v>バトンの受け渡しがスムーズにできる（リレー）</v>
      </c>
      <c r="C73" s="107"/>
      <c r="D73" s="107"/>
      <c r="E73" s="107"/>
      <c r="F73" s="108"/>
      <c r="G73" s="17" t="str">
        <f ca="1">OFFSET(体育!C5,0,$B$2)</f>
        <v>A</v>
      </c>
      <c r="H73" s="115"/>
      <c r="I73" s="116"/>
    </row>
    <row r="74" spans="1:14" ht="18.75" customHeight="1">
      <c r="A74" s="128"/>
      <c r="B74" s="106" t="str">
        <f>体育!B6</f>
        <v>短い助走から力強く踏み切って跳ぶことができる（走り幅跳び）</v>
      </c>
      <c r="C74" s="107"/>
      <c r="D74" s="107"/>
      <c r="E74" s="107"/>
      <c r="F74" s="108"/>
      <c r="G74" s="17" t="str">
        <f ca="1">OFFSET(体育!C6,0,$B$2)</f>
        <v>A</v>
      </c>
      <c r="H74" s="115"/>
      <c r="I74" s="116"/>
    </row>
    <row r="75" spans="1:14" ht="18.75" customHeight="1">
      <c r="A75" s="128"/>
      <c r="B75" s="106">
        <f>体育!B7</f>
        <v>0</v>
      </c>
      <c r="C75" s="107"/>
      <c r="D75" s="107"/>
      <c r="E75" s="107"/>
      <c r="F75" s="108"/>
      <c r="G75" s="17">
        <f ca="1">OFFSET(体育!C7,0,$B$2)</f>
        <v>0</v>
      </c>
      <c r="H75" s="115"/>
      <c r="I75" s="116"/>
    </row>
    <row r="76" spans="1:14" ht="18.75" customHeight="1">
      <c r="A76" s="129"/>
      <c r="B76" s="130">
        <f>体育!B8</f>
        <v>0</v>
      </c>
      <c r="C76" s="131"/>
      <c r="D76" s="131"/>
      <c r="E76" s="131"/>
      <c r="F76" s="132"/>
      <c r="G76" s="18">
        <f ca="1">OFFSET(体育!C8,0,$B$2)</f>
        <v>0</v>
      </c>
      <c r="H76" s="119"/>
      <c r="I76" s="120"/>
    </row>
    <row r="77" spans="1:14" ht="92.25" customHeight="1">
      <c r="A77" s="23" t="s">
        <v>24</v>
      </c>
      <c r="B77" s="117" t="str">
        <f ca="1">INDIRECT("'道徳'!B"&amp;2+$B$2)</f>
        <v>「友だち屋」を始めたキツネが「本当の友だち」と言われて喜び、商売をやめる姿を通して、友だちとはどんな人かを考え、友だちと互いに理解し合い、信頼し合い、助け合おうとする心情を育てる「友だち屋」という題材では、自分にとって友達とは「一緒に遊んだとき、心から楽しめる人。」と振り返りました。周りの人と上手に関わることのできる杏さんの良さを生かして今後も活躍することを期待しています。</v>
      </c>
      <c r="C77" s="117"/>
      <c r="D77" s="117"/>
      <c r="E77" s="117"/>
      <c r="F77" s="117"/>
      <c r="G77" s="117"/>
      <c r="H77" s="117"/>
      <c r="I77" s="118"/>
      <c r="L77" s="14"/>
      <c r="M77" s="12"/>
    </row>
    <row r="78" spans="1:14" ht="18.75" customHeight="1">
      <c r="D78" s="14"/>
      <c r="E78" s="12"/>
      <c r="L78" s="14"/>
      <c r="M78" s="30"/>
      <c r="N78" s="12"/>
    </row>
    <row r="79" spans="1:14" ht="18.75" customHeight="1">
      <c r="A79" s="100" t="s">
        <v>22</v>
      </c>
      <c r="B79" s="101"/>
      <c r="C79" s="101"/>
      <c r="D79" s="102"/>
      <c r="F79" s="100" t="s">
        <v>10</v>
      </c>
      <c r="G79" s="101"/>
      <c r="H79" s="101"/>
      <c r="I79" s="102"/>
      <c r="L79" s="30"/>
      <c r="M79" s="30"/>
      <c r="N79" s="30"/>
    </row>
    <row r="80" spans="1:14" ht="19.5" customHeight="1">
      <c r="A80" s="121" t="str">
        <f>所見!B2</f>
        <v>元気でさわやかなあいさつ返事を、自分から進んですることができる</v>
      </c>
      <c r="B80" s="122"/>
      <c r="C80" s="123"/>
      <c r="D80" s="27" t="str">
        <f ca="1">OFFSET(所見!C2,0,$B$2)</f>
        <v>A</v>
      </c>
      <c r="F80" s="133" t="s">
        <v>12</v>
      </c>
      <c r="G80" s="134"/>
      <c r="H80" s="134"/>
      <c r="I80" s="22">
        <f ca="1">OFFSET(出欠!C2,0,$B$2)</f>
        <v>76</v>
      </c>
      <c r="L80" s="30"/>
      <c r="M80" s="30"/>
      <c r="N80" s="30"/>
    </row>
    <row r="81" spans="1:14" ht="19.5" customHeight="1">
      <c r="A81" s="148" t="str">
        <f>所見!B3</f>
        <v>時間やきまりを守り、けじめをつけて、規則正しい生活をすることができる</v>
      </c>
      <c r="B81" s="149"/>
      <c r="C81" s="150"/>
      <c r="D81" s="13" t="str">
        <f ca="1">OFFSET(所見!C3,0,$B$2)</f>
        <v>A</v>
      </c>
      <c r="F81" s="111" t="s">
        <v>13</v>
      </c>
      <c r="G81" s="112"/>
      <c r="H81" s="112"/>
      <c r="I81" s="13">
        <f ca="1">OFFSET(出欠!C3,0,$B$2)</f>
        <v>0</v>
      </c>
      <c r="L81" s="30"/>
      <c r="M81" s="30"/>
      <c r="N81" s="30"/>
    </row>
    <row r="82" spans="1:14" ht="19.5" customHeight="1">
      <c r="A82" s="148" t="str">
        <f>所見!B4</f>
        <v>自分の物を大切にし、身の回りやロッカーの整理整頓をすることができる</v>
      </c>
      <c r="B82" s="149"/>
      <c r="C82" s="150"/>
      <c r="D82" s="13" t="str">
        <f ca="1">OFFSET(所見!C4,0,$B$2)</f>
        <v>A</v>
      </c>
      <c r="F82" s="154" t="s">
        <v>20</v>
      </c>
      <c r="G82" s="107"/>
      <c r="H82" s="108"/>
      <c r="I82" s="13">
        <f ca="1">OFFSET(出欠!C4,0,$B$2)</f>
        <v>76</v>
      </c>
      <c r="L82" s="30"/>
      <c r="M82" s="30"/>
      <c r="N82" s="30"/>
    </row>
    <row r="83" spans="1:14" ht="19.5" customHeight="1">
      <c r="A83" s="148" t="str">
        <f>所見!B5</f>
        <v>心身の健康に気をつけ、運動する習慣を身につけ、元気に生活することができる</v>
      </c>
      <c r="B83" s="149"/>
      <c r="C83" s="150"/>
      <c r="D83" s="13" t="str">
        <f ca="1">OFFSET(所見!C5,0,$B$2)</f>
        <v>A</v>
      </c>
      <c r="F83" s="111" t="s">
        <v>14</v>
      </c>
      <c r="G83" s="112"/>
      <c r="H83" s="112"/>
      <c r="I83" s="13">
        <f ca="1">OFFSET(出欠!C5,0,$B$2)</f>
        <v>74</v>
      </c>
      <c r="L83" s="30"/>
      <c r="M83" s="30"/>
      <c r="N83" s="30"/>
    </row>
    <row r="84" spans="1:14" ht="19.5" customHeight="1">
      <c r="A84" s="148" t="str">
        <f>所見!B6</f>
        <v>自らの目標に向かって最後までやり通すことができる</v>
      </c>
      <c r="B84" s="149"/>
      <c r="C84" s="150"/>
      <c r="D84" s="13" t="str">
        <f ca="1">OFFSET(所見!C6,0,$B$2)</f>
        <v>A</v>
      </c>
      <c r="F84" s="111" t="s">
        <v>21</v>
      </c>
      <c r="G84" s="112"/>
      <c r="H84" s="112"/>
      <c r="I84" s="13">
        <f ca="1">OFFSET(出欠!C6,0,$B$2)</f>
        <v>2</v>
      </c>
      <c r="L84" s="30"/>
      <c r="M84" s="30"/>
      <c r="N84" s="30"/>
    </row>
    <row r="85" spans="1:14" ht="19.5" customHeight="1">
      <c r="A85" s="148" t="str">
        <f>所見!B7</f>
        <v>当番の仕事や係活動など、やるべきことを責任持って行うことができる</v>
      </c>
      <c r="B85" s="149"/>
      <c r="C85" s="150"/>
      <c r="D85" s="13" t="str">
        <f ca="1">OFFSET(所見!C7,0,$B$2)</f>
        <v>A</v>
      </c>
      <c r="F85" s="111" t="s">
        <v>15</v>
      </c>
      <c r="G85" s="112"/>
      <c r="H85" s="112"/>
      <c r="I85" s="13">
        <f ca="1">OFFSET(出欠!C7,0,$B$2)</f>
        <v>0</v>
      </c>
      <c r="L85" s="80">
        <f>番号</f>
        <v>11</v>
      </c>
      <c r="M85" s="30"/>
      <c r="N85" s="30"/>
    </row>
    <row r="86" spans="1:14" ht="19.5" customHeight="1">
      <c r="A86" s="148" t="str">
        <f>所見!B8</f>
        <v>よりよい生活を送るために、考えたり工夫したりして生活することができる</v>
      </c>
      <c r="B86" s="149"/>
      <c r="C86" s="150"/>
      <c r="D86" s="13" t="str">
        <f ca="1">OFFSET(所見!C8,0,$B$2)</f>
        <v>A</v>
      </c>
      <c r="F86" s="111" t="s">
        <v>16</v>
      </c>
      <c r="G86" s="112"/>
      <c r="H86" s="112"/>
      <c r="I86" s="13">
        <f ca="1">OFFSET(出欠!C8,0,$B$2)</f>
        <v>0</v>
      </c>
      <c r="L86" s="30"/>
      <c r="M86" s="30"/>
      <c r="N86" s="30"/>
    </row>
    <row r="87" spans="1:14" ht="19.5" customHeight="1">
      <c r="A87" s="148" t="str">
        <f>所見!B9</f>
        <v>相手の気持ちや立場を理解して、だれに対しても仲良く支え合うことができる</v>
      </c>
      <c r="B87" s="149"/>
      <c r="C87" s="150"/>
      <c r="D87" s="15" t="str">
        <f ca="1">OFFSET(所見!C9,0,$B$2)</f>
        <v>A</v>
      </c>
      <c r="F87" s="139" t="str">
        <f ca="1">"備考： "&amp;INDIRECT("'出欠'!B"&amp;9+$B$2)</f>
        <v>備考： 欠席2（体調不良2）</v>
      </c>
      <c r="G87" s="140"/>
      <c r="H87" s="140"/>
      <c r="I87" s="141"/>
      <c r="L87" s="30"/>
      <c r="M87" s="30"/>
      <c r="N87" s="30"/>
    </row>
    <row r="88" spans="1:14" ht="19.5" customHeight="1">
      <c r="A88" s="148" t="str">
        <f>所見!B10</f>
        <v>自然を愛し、生命について考え、大切にすることができる</v>
      </c>
      <c r="B88" s="149"/>
      <c r="C88" s="150"/>
      <c r="D88" s="15" t="str">
        <f ca="1">OFFSET(所見!C10,0,$B$2)</f>
        <v>A</v>
      </c>
      <c r="F88" s="142"/>
      <c r="G88" s="143"/>
      <c r="H88" s="143"/>
      <c r="I88" s="144"/>
      <c r="L88" s="30"/>
      <c r="M88" s="30"/>
      <c r="N88" s="30"/>
    </row>
    <row r="89" spans="1:14" ht="19.5" customHeight="1">
      <c r="A89" s="151" t="str">
        <f>所見!B11</f>
        <v>働くことを進んで行い、最後まで一生懸命やることができる</v>
      </c>
      <c r="B89" s="152"/>
      <c r="C89" s="153"/>
      <c r="D89" s="16" t="str">
        <f ca="1">OFFSET(所見!C11,0,$B$2)</f>
        <v>A</v>
      </c>
      <c r="F89" s="145"/>
      <c r="G89" s="146"/>
      <c r="H89" s="146"/>
      <c r="I89" s="147"/>
      <c r="L89" s="30"/>
      <c r="M89" s="30"/>
      <c r="N89" s="25"/>
    </row>
    <row r="90" spans="1:14" ht="18.75" customHeight="1">
      <c r="A90" s="26"/>
      <c r="B90" s="28"/>
      <c r="C90" s="28"/>
      <c r="D90" s="29"/>
      <c r="F90" s="24"/>
      <c r="G90" s="24"/>
      <c r="H90" s="24"/>
      <c r="I90" s="24"/>
      <c r="L90" s="25"/>
      <c r="M90" s="25"/>
      <c r="N90" s="25"/>
    </row>
    <row r="91" spans="1:14" ht="39" customHeight="1">
      <c r="A91" s="135" t="s">
        <v>23</v>
      </c>
      <c r="B91" s="136"/>
      <c r="C91" s="137" t="str">
        <f ca="1">INDIRECT("'所見'!B"&amp;12+$B$2)</f>
        <v>体育祭白組リーダー、漢字係</v>
      </c>
      <c r="D91" s="137"/>
      <c r="E91" s="137"/>
      <c r="F91" s="137"/>
      <c r="G91" s="137"/>
      <c r="H91" s="137"/>
      <c r="I91" s="138"/>
      <c r="L91" s="25"/>
      <c r="M91" s="25"/>
    </row>
    <row r="92" spans="1:14" ht="18.75" customHeight="1">
      <c r="C92" s="14"/>
    </row>
    <row r="93" spans="1:14" ht="183" customHeight="1">
      <c r="A93" s="23" t="s">
        <v>11</v>
      </c>
      <c r="B93" s="97" t="str">
        <f ca="1">INDIRECT("'所見'!B"&amp;$Q$5+$B$2)</f>
        <v>１年間の目標を「場の空気を読んでやって良いことと、悪いことをしっかり区別する」と定めました。国語科では、漢字を丁寧に書くことが習慣付いています。その結果が、学期末の漢字テスト満点という形で実を結びました。図画工作科において、発想がとても豊かです。また楽しいことをイメージすることができます。どの作品でも、自分が工夫したところをたくさん説明しに来てくれました。【きゅうこんちゃん　お花がさいたよ！】では、花びらの形や並べ方を工夫していました。色使いがいつも鮮やかです。体育祭では、白組の学年リーダーとして、整列の指示などリーダーとしての役割を十分に発揮できました。朝の会のあいさつ練習では、笑顔ではっきりと発声できます。杏さんのおかげで、クラスが気持ちよく一日のスタートを切ることができました。よく物事を考えてから発言するので、クラスメイトから信用されています。今後、杏さんがどんなタイプのリーダーに成長していくのか、これからがとても楽しみです。</v>
      </c>
      <c r="C93" s="98"/>
      <c r="D93" s="98"/>
      <c r="E93" s="98"/>
      <c r="F93" s="98"/>
      <c r="G93" s="98"/>
      <c r="H93" s="98"/>
      <c r="I93" s="99"/>
    </row>
  </sheetData>
  <mergeCells count="116">
    <mergeCell ref="A36:A44"/>
    <mergeCell ref="B36:F36"/>
    <mergeCell ref="H36:I44"/>
    <mergeCell ref="B37:F37"/>
    <mergeCell ref="B38:F38"/>
    <mergeCell ref="B39:F39"/>
    <mergeCell ref="B40:F40"/>
    <mergeCell ref="B41:F41"/>
    <mergeCell ref="B42:F42"/>
    <mergeCell ref="B43:F43"/>
    <mergeCell ref="B44:F44"/>
    <mergeCell ref="A91:B91"/>
    <mergeCell ref="C91:I91"/>
    <mergeCell ref="F87:I89"/>
    <mergeCell ref="A87:C87"/>
    <mergeCell ref="A88:C88"/>
    <mergeCell ref="A89:C89"/>
    <mergeCell ref="A79:D79"/>
    <mergeCell ref="F82:H82"/>
    <mergeCell ref="F81:H81"/>
    <mergeCell ref="F85:H85"/>
    <mergeCell ref="F86:H86"/>
    <mergeCell ref="F79:I79"/>
    <mergeCell ref="F83:H83"/>
    <mergeCell ref="A81:C81"/>
    <mergeCell ref="A82:C82"/>
    <mergeCell ref="A83:C83"/>
    <mergeCell ref="A84:C84"/>
    <mergeCell ref="A85:C85"/>
    <mergeCell ref="A86:C86"/>
    <mergeCell ref="A56:A63"/>
    <mergeCell ref="B56:F56"/>
    <mergeCell ref="B57:F57"/>
    <mergeCell ref="B58:F58"/>
    <mergeCell ref="B59:F59"/>
    <mergeCell ref="B69:F69"/>
    <mergeCell ref="A64:A69"/>
    <mergeCell ref="B64:F64"/>
    <mergeCell ref="B65:F65"/>
    <mergeCell ref="B66:F66"/>
    <mergeCell ref="B68:F68"/>
    <mergeCell ref="B9:F9"/>
    <mergeCell ref="B10:F10"/>
    <mergeCell ref="B11:F11"/>
    <mergeCell ref="B12:F12"/>
    <mergeCell ref="B13:F13"/>
    <mergeCell ref="B67:F67"/>
    <mergeCell ref="B23:F23"/>
    <mergeCell ref="B16:F16"/>
    <mergeCell ref="B17:F17"/>
    <mergeCell ref="B18:F18"/>
    <mergeCell ref="B19:F19"/>
    <mergeCell ref="B20:F20"/>
    <mergeCell ref="B21:F21"/>
    <mergeCell ref="B22:F22"/>
    <mergeCell ref="B52:F52"/>
    <mergeCell ref="B24:F24"/>
    <mergeCell ref="B31:F31"/>
    <mergeCell ref="B32:F32"/>
    <mergeCell ref="B76:F76"/>
    <mergeCell ref="B70:F70"/>
    <mergeCell ref="B71:F71"/>
    <mergeCell ref="B72:F72"/>
    <mergeCell ref="F80:H80"/>
    <mergeCell ref="A70:A76"/>
    <mergeCell ref="B73:F73"/>
    <mergeCell ref="B74:F74"/>
    <mergeCell ref="B75:F75"/>
    <mergeCell ref="A1:B1"/>
    <mergeCell ref="C1:G1"/>
    <mergeCell ref="G2:I2"/>
    <mergeCell ref="H6:I15"/>
    <mergeCell ref="A6:A15"/>
    <mergeCell ref="B49:F49"/>
    <mergeCell ref="B50:F50"/>
    <mergeCell ref="H45:I53"/>
    <mergeCell ref="H16:I25"/>
    <mergeCell ref="H26:I35"/>
    <mergeCell ref="B14:F14"/>
    <mergeCell ref="B15:F15"/>
    <mergeCell ref="B25:F25"/>
    <mergeCell ref="A26:A35"/>
    <mergeCell ref="B26:F26"/>
    <mergeCell ref="B27:F27"/>
    <mergeCell ref="B28:F28"/>
    <mergeCell ref="B29:F29"/>
    <mergeCell ref="A45:A53"/>
    <mergeCell ref="B45:F45"/>
    <mergeCell ref="B46:F46"/>
    <mergeCell ref="B47:F47"/>
    <mergeCell ref="B48:F48"/>
    <mergeCell ref="A16:A25"/>
    <mergeCell ref="K7:L7"/>
    <mergeCell ref="B93:I93"/>
    <mergeCell ref="A4:I4"/>
    <mergeCell ref="B6:F6"/>
    <mergeCell ref="B7:F7"/>
    <mergeCell ref="B8:F8"/>
    <mergeCell ref="H5:I5"/>
    <mergeCell ref="F84:H84"/>
    <mergeCell ref="H64:I69"/>
    <mergeCell ref="H56:I63"/>
    <mergeCell ref="B34:F34"/>
    <mergeCell ref="B51:F51"/>
    <mergeCell ref="B62:F62"/>
    <mergeCell ref="B30:F30"/>
    <mergeCell ref="B33:F33"/>
    <mergeCell ref="B35:F35"/>
    <mergeCell ref="B53:F53"/>
    <mergeCell ref="B60:F60"/>
    <mergeCell ref="B61:F61"/>
    <mergeCell ref="B63:F63"/>
    <mergeCell ref="B5:F5"/>
    <mergeCell ref="B77:I77"/>
    <mergeCell ref="H70:I76"/>
    <mergeCell ref="A80:C80"/>
  </mergeCells>
  <phoneticPr fontId="1"/>
  <conditionalFormatting sqref="F87 B93 D80:D90 A80:A90 C91 B6:B30 C54:F55 G6:G30 L87:M91 N79:N90 G33:G35 B33:B35 B45:B53 B56:B77 G45:G76">
    <cfRule type="cellIs" dxfId="18" priority="5" stopIfTrue="1" operator="equal">
      <formula>0</formula>
    </cfRule>
  </conditionalFormatting>
  <conditionalFormatting sqref="G31:G32 B31:B32">
    <cfRule type="cellIs" dxfId="17" priority="4" stopIfTrue="1" operator="equal">
      <formula>0</formula>
    </cfRule>
  </conditionalFormatting>
  <conditionalFormatting sqref="B36:B44 G36:G44">
    <cfRule type="cellIs" dxfId="16" priority="3" stopIfTrue="1" operator="equal">
      <formula>0</formula>
    </cfRule>
  </conditionalFormatting>
  <conditionalFormatting sqref="L79:M86 M78">
    <cfRule type="cellIs" dxfId="15" priority="2" stopIfTrue="1" operator="equal">
      <formula>0</formula>
    </cfRule>
  </conditionalFormatting>
  <conditionalFormatting sqref="L17:M20">
    <cfRule type="cellIs" dxfId="14"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2" fitToHeight="2" orientation="portrait" horizontalDpi="300" verticalDpi="300" r:id="rId1"/>
  <headerFooter alignWithMargins="0"/>
  <rowBreaks count="1" manualBreakCount="1">
    <brk id="54"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5"/>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5" t="str">
        <f ca="1">通知票!A1</f>
        <v>３－２</v>
      </c>
      <c r="B1" s="124"/>
      <c r="C1" s="59" t="str">
        <f ca="1">通知票!C1</f>
        <v>1学期</v>
      </c>
    </row>
    <row r="2" spans="1:3" ht="18.75" customHeight="1">
      <c r="A2" s="60" t="s">
        <v>43</v>
      </c>
      <c r="B2" s="59">
        <v>22</v>
      </c>
      <c r="C2" s="71">
        <f ca="1">INDIRECT("'所見'!A"&amp;12+$B$2)</f>
        <v>0</v>
      </c>
    </row>
    <row r="3" spans="1:3" ht="12" customHeight="1">
      <c r="C3" s="9"/>
    </row>
    <row r="4" spans="1:3" ht="18.75" customHeight="1">
      <c r="A4" s="61" t="s">
        <v>4</v>
      </c>
      <c r="B4" s="62" t="s">
        <v>6</v>
      </c>
      <c r="C4" s="22" t="s">
        <v>44</v>
      </c>
    </row>
    <row r="5" spans="1:3" ht="67.5" customHeight="1">
      <c r="A5" s="63" t="s">
        <v>8</v>
      </c>
      <c r="B5" s="64">
        <f ca="1">OFFSET(国語!C12,0,$B$2)</f>
        <v>0</v>
      </c>
      <c r="C5" s="65">
        <f ca="1">INDIRECT("'国語'!B"&amp;14+$B$2)</f>
        <v>0</v>
      </c>
    </row>
    <row r="6" spans="1:3" ht="67.5" customHeight="1">
      <c r="A6" s="66" t="s">
        <v>0</v>
      </c>
      <c r="B6" s="67">
        <f ca="1">OFFSET(算数!C12,0,$B$2)</f>
        <v>0</v>
      </c>
      <c r="C6" s="68">
        <f ca="1">INDIRECT("'算数'!B"&amp;14+$B$2)</f>
        <v>0</v>
      </c>
    </row>
    <row r="7" spans="1:3" ht="67.5" customHeight="1">
      <c r="A7" s="63" t="s">
        <v>50</v>
      </c>
      <c r="B7" s="64">
        <f ca="1">OFFSET(理科!C12,0,$B$2)</f>
        <v>0</v>
      </c>
      <c r="C7" s="65">
        <f ca="1">INDIRECT("'理科'!B"&amp;14+$B$2)</f>
        <v>0</v>
      </c>
    </row>
    <row r="8" spans="1:3" ht="67.5" customHeight="1">
      <c r="A8" s="63" t="s">
        <v>51</v>
      </c>
      <c r="B8" s="64">
        <f ca="1">OFFSET(社会!C12,0,$B$2)</f>
        <v>0</v>
      </c>
      <c r="C8" s="65">
        <f ca="1">INDIRECT("'社会'!B"&amp;14+$B$2)</f>
        <v>0</v>
      </c>
    </row>
    <row r="9" spans="1:3" ht="67.5" customHeight="1">
      <c r="A9" s="66" t="s">
        <v>9</v>
      </c>
      <c r="B9" s="67">
        <f ca="1">OFFSET(英語!C12,0,$B$2)</f>
        <v>0</v>
      </c>
      <c r="C9" s="68">
        <f ca="1">INDIRECT("'英語'!B"&amp;14+$B$2)</f>
        <v>0</v>
      </c>
    </row>
    <row r="10" spans="1:3" ht="67.5" customHeight="1">
      <c r="A10" s="63" t="s">
        <v>3</v>
      </c>
      <c r="B10" s="64">
        <f ca="1">OFFSET(音楽!C12,0,$B$2)</f>
        <v>0</v>
      </c>
      <c r="C10" s="65">
        <f ca="1">INDIRECT("'音楽'!B"&amp;14+$B$2)</f>
        <v>0</v>
      </c>
    </row>
    <row r="11" spans="1:3" ht="67.5" customHeight="1">
      <c r="A11" s="66" t="s">
        <v>1</v>
      </c>
      <c r="B11" s="67">
        <f ca="1">OFFSET(図工!C12,0,$B$2)</f>
        <v>0</v>
      </c>
      <c r="C11" s="68">
        <f ca="1">INDIRECT("'図工'!B"&amp;14+$B$2)</f>
        <v>0</v>
      </c>
    </row>
    <row r="12" spans="1:3" ht="67.5" customHeight="1">
      <c r="A12" s="63" t="s">
        <v>2</v>
      </c>
      <c r="B12" s="64">
        <f ca="1">OFFSET(体育!C12,0,$B$2)</f>
        <v>0</v>
      </c>
      <c r="C12" s="65">
        <f ca="1">INDIRECT("'体育'!B"&amp;14+$B$2)</f>
        <v>0</v>
      </c>
    </row>
    <row r="13" spans="1:3" ht="67.5" customHeight="1">
      <c r="A13" s="63" t="s">
        <v>24</v>
      </c>
      <c r="B13" s="156">
        <f ca="1">INDIRECT("'道徳'!B"&amp;2+$B$2)</f>
        <v>0</v>
      </c>
      <c r="C13" s="157"/>
    </row>
    <row r="14" spans="1:3" ht="18.75" customHeight="1">
      <c r="C14" s="69"/>
    </row>
    <row r="15" spans="1:3" ht="210" customHeight="1">
      <c r="A15" s="23" t="s">
        <v>11</v>
      </c>
      <c r="B15" s="70"/>
      <c r="C15" s="65">
        <f ca="1">INDIRECT("'所見'!B"&amp;通知票!$Q$5+$B$2)</f>
        <v>0</v>
      </c>
    </row>
  </sheetData>
  <mergeCells count="2">
    <mergeCell ref="A1:B1"/>
    <mergeCell ref="B13:C13"/>
  </mergeCells>
  <phoneticPr fontId="1"/>
  <conditionalFormatting sqref="C15 C5:C7 C9:C12">
    <cfRule type="cellIs" dxfId="13" priority="2" stopIfTrue="1" operator="equal">
      <formula>0</formula>
    </cfRule>
  </conditionalFormatting>
  <conditionalFormatting sqref="C8">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国語</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240</v>
      </c>
      <c r="B2" s="41" t="s">
        <v>52</v>
      </c>
      <c r="C2" s="38" t="s">
        <v>26</v>
      </c>
      <c r="D2" s="39" t="s">
        <v>241</v>
      </c>
      <c r="E2" s="39" t="s">
        <v>241</v>
      </c>
      <c r="F2" s="39" t="s">
        <v>242</v>
      </c>
      <c r="G2" s="39" t="s">
        <v>243</v>
      </c>
      <c r="H2" s="39" t="s">
        <v>244</v>
      </c>
      <c r="I2" s="39" t="s">
        <v>242</v>
      </c>
      <c r="J2" s="39" t="s">
        <v>243</v>
      </c>
      <c r="K2" s="39" t="s">
        <v>243</v>
      </c>
      <c r="L2" s="39" t="s">
        <v>245</v>
      </c>
      <c r="M2" s="39" t="s">
        <v>241</v>
      </c>
      <c r="N2" s="39" t="s">
        <v>243</v>
      </c>
      <c r="O2" s="39" t="s">
        <v>242</v>
      </c>
      <c r="P2" s="39" t="s">
        <v>245</v>
      </c>
      <c r="Q2" s="39" t="s">
        <v>241</v>
      </c>
      <c r="R2" s="39" t="s">
        <v>243</v>
      </c>
      <c r="S2" s="39" t="s">
        <v>245</v>
      </c>
      <c r="T2" s="39" t="s">
        <v>243</v>
      </c>
      <c r="U2" s="39" t="s">
        <v>243</v>
      </c>
      <c r="V2" s="39" t="s">
        <v>245</v>
      </c>
      <c r="W2" s="39" t="s">
        <v>242</v>
      </c>
      <c r="X2" s="39" t="s">
        <v>242</v>
      </c>
      <c r="Y2" s="39"/>
      <c r="Z2" s="40" t="s">
        <v>244</v>
      </c>
      <c r="AA2" s="40">
        <v>1</v>
      </c>
    </row>
    <row r="3" spans="1:27" ht="22.5" customHeight="1">
      <c r="A3" s="159"/>
      <c r="B3" s="41" t="s">
        <v>63</v>
      </c>
      <c r="C3" s="38" t="s">
        <v>26</v>
      </c>
      <c r="D3" s="39" t="s">
        <v>244</v>
      </c>
      <c r="E3" s="39" t="s">
        <v>241</v>
      </c>
      <c r="F3" s="39" t="s">
        <v>242</v>
      </c>
      <c r="G3" s="39" t="s">
        <v>244</v>
      </c>
      <c r="H3" s="39" t="s">
        <v>244</v>
      </c>
      <c r="I3" s="39" t="s">
        <v>243</v>
      </c>
      <c r="J3" s="39" t="s">
        <v>244</v>
      </c>
      <c r="K3" s="39" t="s">
        <v>244</v>
      </c>
      <c r="L3" s="39" t="s">
        <v>245</v>
      </c>
      <c r="M3" s="39" t="s">
        <v>245</v>
      </c>
      <c r="N3" s="39" t="s">
        <v>242</v>
      </c>
      <c r="O3" s="39" t="s">
        <v>244</v>
      </c>
      <c r="P3" s="39" t="s">
        <v>246</v>
      </c>
      <c r="Q3" s="39" t="s">
        <v>245</v>
      </c>
      <c r="R3" s="39" t="s">
        <v>244</v>
      </c>
      <c r="S3" s="39" t="s">
        <v>244</v>
      </c>
      <c r="T3" s="39" t="s">
        <v>242</v>
      </c>
      <c r="U3" s="39" t="s">
        <v>242</v>
      </c>
      <c r="V3" s="39" t="s">
        <v>244</v>
      </c>
      <c r="W3" s="39" t="s">
        <v>244</v>
      </c>
      <c r="X3" s="39" t="s">
        <v>244</v>
      </c>
      <c r="Y3" s="39"/>
      <c r="Z3" s="40" t="s">
        <v>245</v>
      </c>
      <c r="AA3" s="40">
        <v>2</v>
      </c>
    </row>
    <row r="4" spans="1:27" ht="22.5" customHeight="1">
      <c r="A4" s="159"/>
      <c r="B4" s="41" t="s">
        <v>64</v>
      </c>
      <c r="C4" s="38" t="s">
        <v>26</v>
      </c>
      <c r="D4" s="39" t="s">
        <v>247</v>
      </c>
      <c r="E4" s="39" t="s">
        <v>245</v>
      </c>
      <c r="F4" s="39" t="s">
        <v>247</v>
      </c>
      <c r="G4" s="39" t="s">
        <v>244</v>
      </c>
      <c r="H4" s="39" t="s">
        <v>244</v>
      </c>
      <c r="I4" s="39" t="s">
        <v>243</v>
      </c>
      <c r="J4" s="39" t="s">
        <v>244</v>
      </c>
      <c r="K4" s="39" t="s">
        <v>244</v>
      </c>
      <c r="L4" s="39" t="s">
        <v>245</v>
      </c>
      <c r="M4" s="39" t="s">
        <v>244</v>
      </c>
      <c r="N4" s="39" t="s">
        <v>244</v>
      </c>
      <c r="O4" s="39" t="s">
        <v>243</v>
      </c>
      <c r="P4" s="39" t="s">
        <v>247</v>
      </c>
      <c r="Q4" s="39" t="s">
        <v>242</v>
      </c>
      <c r="R4" s="39" t="s">
        <v>244</v>
      </c>
      <c r="S4" s="39" t="s">
        <v>244</v>
      </c>
      <c r="T4" s="39" t="s">
        <v>244</v>
      </c>
      <c r="U4" s="39" t="s">
        <v>243</v>
      </c>
      <c r="V4" s="39" t="s">
        <v>244</v>
      </c>
      <c r="W4" s="39" t="s">
        <v>244</v>
      </c>
      <c r="X4" s="39" t="s">
        <v>243</v>
      </c>
      <c r="Y4" s="39"/>
      <c r="Z4" s="40" t="s">
        <v>248</v>
      </c>
      <c r="AA4" s="40">
        <v>3</v>
      </c>
    </row>
    <row r="5" spans="1:27" ht="22.5" customHeight="1">
      <c r="A5" s="159"/>
      <c r="B5" s="41" t="s">
        <v>65</v>
      </c>
      <c r="C5" s="38" t="s">
        <v>26</v>
      </c>
      <c r="D5" s="39" t="s">
        <v>244</v>
      </c>
      <c r="E5" s="39" t="s">
        <v>245</v>
      </c>
      <c r="F5" s="39" t="s">
        <v>245</v>
      </c>
      <c r="G5" s="39" t="s">
        <v>242</v>
      </c>
      <c r="H5" s="39" t="s">
        <v>243</v>
      </c>
      <c r="I5" s="39" t="s">
        <v>244</v>
      </c>
      <c r="J5" s="39" t="s">
        <v>245</v>
      </c>
      <c r="K5" s="39" t="s">
        <v>244</v>
      </c>
      <c r="L5" s="39" t="s">
        <v>245</v>
      </c>
      <c r="M5" s="39" t="s">
        <v>244</v>
      </c>
      <c r="N5" s="39" t="s">
        <v>243</v>
      </c>
      <c r="O5" s="39" t="s">
        <v>244</v>
      </c>
      <c r="P5" s="39" t="s">
        <v>245</v>
      </c>
      <c r="Q5" s="39" t="s">
        <v>245</v>
      </c>
      <c r="R5" s="39" t="s">
        <v>244</v>
      </c>
      <c r="S5" s="39" t="s">
        <v>244</v>
      </c>
      <c r="T5" s="39" t="s">
        <v>244</v>
      </c>
      <c r="U5" s="39" t="s">
        <v>242</v>
      </c>
      <c r="V5" s="39" t="s">
        <v>244</v>
      </c>
      <c r="W5" s="39" t="s">
        <v>244</v>
      </c>
      <c r="X5" s="39" t="s">
        <v>244</v>
      </c>
      <c r="Y5" s="39"/>
      <c r="Z5" s="40" t="s">
        <v>249</v>
      </c>
      <c r="AA5" s="40">
        <v>4</v>
      </c>
    </row>
    <row r="6" spans="1:27" ht="22.5" customHeight="1">
      <c r="A6" s="159"/>
      <c r="B6" s="41" t="s">
        <v>55</v>
      </c>
      <c r="C6" s="38" t="s">
        <v>26</v>
      </c>
      <c r="D6" s="39" t="s">
        <v>245</v>
      </c>
      <c r="E6" s="39" t="s">
        <v>247</v>
      </c>
      <c r="F6" s="39" t="s">
        <v>244</v>
      </c>
      <c r="G6" s="39" t="s">
        <v>245</v>
      </c>
      <c r="H6" s="39" t="s">
        <v>244</v>
      </c>
      <c r="I6" s="39" t="s">
        <v>244</v>
      </c>
      <c r="J6" s="39" t="s">
        <v>244</v>
      </c>
      <c r="K6" s="39" t="s">
        <v>244</v>
      </c>
      <c r="L6" s="39" t="s">
        <v>242</v>
      </c>
      <c r="M6" s="39" t="s">
        <v>244</v>
      </c>
      <c r="N6" s="39" t="s">
        <v>244</v>
      </c>
      <c r="O6" s="39" t="s">
        <v>244</v>
      </c>
      <c r="P6" s="39" t="s">
        <v>245</v>
      </c>
      <c r="Q6" s="39" t="s">
        <v>243</v>
      </c>
      <c r="R6" s="39" t="s">
        <v>244</v>
      </c>
      <c r="S6" s="39" t="s">
        <v>245</v>
      </c>
      <c r="T6" s="39" t="s">
        <v>245</v>
      </c>
      <c r="U6" s="39" t="s">
        <v>244</v>
      </c>
      <c r="V6" s="39" t="s">
        <v>245</v>
      </c>
      <c r="W6" s="39" t="s">
        <v>245</v>
      </c>
      <c r="X6" s="39" t="s">
        <v>244</v>
      </c>
      <c r="Y6" s="39"/>
      <c r="Z6" s="40"/>
      <c r="AA6" s="40">
        <v>5</v>
      </c>
    </row>
    <row r="7" spans="1:27" ht="22.5" customHeight="1">
      <c r="A7" s="159"/>
      <c r="B7" s="41" t="s">
        <v>53</v>
      </c>
      <c r="C7" s="38" t="s">
        <v>26</v>
      </c>
      <c r="D7" s="39" t="s">
        <v>244</v>
      </c>
      <c r="E7" s="39" t="s">
        <v>245</v>
      </c>
      <c r="F7" s="39" t="s">
        <v>244</v>
      </c>
      <c r="G7" s="39" t="s">
        <v>245</v>
      </c>
      <c r="H7" s="39" t="s">
        <v>244</v>
      </c>
      <c r="I7" s="39" t="s">
        <v>243</v>
      </c>
      <c r="J7" s="39" t="s">
        <v>244</v>
      </c>
      <c r="K7" s="39" t="s">
        <v>244</v>
      </c>
      <c r="L7" s="39" t="s">
        <v>244</v>
      </c>
      <c r="M7" s="39" t="s">
        <v>245</v>
      </c>
      <c r="N7" s="39" t="s">
        <v>244</v>
      </c>
      <c r="O7" s="39" t="s">
        <v>244</v>
      </c>
      <c r="P7" s="39" t="s">
        <v>245</v>
      </c>
      <c r="Q7" s="39" t="s">
        <v>244</v>
      </c>
      <c r="R7" s="39" t="s">
        <v>244</v>
      </c>
      <c r="S7" s="39" t="s">
        <v>244</v>
      </c>
      <c r="T7" s="39" t="s">
        <v>244</v>
      </c>
      <c r="U7" s="39" t="s">
        <v>244</v>
      </c>
      <c r="V7" s="39" t="s">
        <v>245</v>
      </c>
      <c r="W7" s="39" t="s">
        <v>244</v>
      </c>
      <c r="X7" s="39" t="s">
        <v>244</v>
      </c>
      <c r="Y7" s="39"/>
      <c r="Z7" s="40"/>
      <c r="AA7" s="40" t="s">
        <v>249</v>
      </c>
    </row>
    <row r="8" spans="1:27" ht="22.5" customHeight="1">
      <c r="A8" s="159"/>
      <c r="B8" s="41" t="s">
        <v>66</v>
      </c>
      <c r="C8" s="38" t="s">
        <v>26</v>
      </c>
      <c r="D8" s="39" t="s">
        <v>244</v>
      </c>
      <c r="E8" s="39" t="s">
        <v>245</v>
      </c>
      <c r="F8" s="39" t="s">
        <v>244</v>
      </c>
      <c r="G8" s="39" t="s">
        <v>245</v>
      </c>
      <c r="H8" s="39" t="s">
        <v>244</v>
      </c>
      <c r="I8" s="39" t="s">
        <v>244</v>
      </c>
      <c r="J8" s="39" t="s">
        <v>245</v>
      </c>
      <c r="K8" s="39" t="s">
        <v>244</v>
      </c>
      <c r="L8" s="39" t="s">
        <v>244</v>
      </c>
      <c r="M8" s="39" t="s">
        <v>244</v>
      </c>
      <c r="N8" s="39" t="s">
        <v>244</v>
      </c>
      <c r="O8" s="39" t="s">
        <v>244</v>
      </c>
      <c r="P8" s="39" t="s">
        <v>246</v>
      </c>
      <c r="Q8" s="39" t="s">
        <v>244</v>
      </c>
      <c r="R8" s="39" t="s">
        <v>244</v>
      </c>
      <c r="S8" s="39" t="s">
        <v>245</v>
      </c>
      <c r="T8" s="39" t="s">
        <v>244</v>
      </c>
      <c r="U8" s="39" t="s">
        <v>244</v>
      </c>
      <c r="V8" s="39" t="s">
        <v>245</v>
      </c>
      <c r="W8" s="39" t="s">
        <v>244</v>
      </c>
      <c r="X8" s="39" t="s">
        <v>244</v>
      </c>
      <c r="Y8" s="39"/>
    </row>
    <row r="9" spans="1:27" ht="22.5" customHeight="1">
      <c r="A9" s="159"/>
      <c r="B9" s="41" t="s">
        <v>56</v>
      </c>
      <c r="C9" s="38" t="s">
        <v>26</v>
      </c>
      <c r="D9" s="39" t="s">
        <v>245</v>
      </c>
      <c r="E9" s="39" t="s">
        <v>246</v>
      </c>
      <c r="F9" s="39" t="s">
        <v>244</v>
      </c>
      <c r="G9" s="39" t="s">
        <v>245</v>
      </c>
      <c r="H9" s="39" t="s">
        <v>245</v>
      </c>
      <c r="I9" s="39" t="s">
        <v>244</v>
      </c>
      <c r="J9" s="39" t="s">
        <v>245</v>
      </c>
      <c r="K9" s="39" t="s">
        <v>245</v>
      </c>
      <c r="L9" s="39" t="s">
        <v>245</v>
      </c>
      <c r="M9" s="39" t="s">
        <v>244</v>
      </c>
      <c r="N9" s="39" t="s">
        <v>244</v>
      </c>
      <c r="O9" s="39" t="s">
        <v>244</v>
      </c>
      <c r="P9" s="39" t="s">
        <v>246</v>
      </c>
      <c r="Q9" s="39" t="s">
        <v>245</v>
      </c>
      <c r="R9" s="39" t="s">
        <v>245</v>
      </c>
      <c r="S9" s="39" t="s">
        <v>246</v>
      </c>
      <c r="T9" s="39" t="s">
        <v>245</v>
      </c>
      <c r="U9" s="39" t="s">
        <v>244</v>
      </c>
      <c r="V9" s="39" t="s">
        <v>245</v>
      </c>
      <c r="W9" s="39" t="s">
        <v>244</v>
      </c>
      <c r="X9" s="39" t="s">
        <v>244</v>
      </c>
      <c r="Y9" s="39"/>
    </row>
    <row r="10" spans="1:27" ht="22.5" customHeight="1">
      <c r="A10" s="159"/>
      <c r="B10" s="41" t="s">
        <v>67</v>
      </c>
      <c r="C10" s="38" t="s">
        <v>26</v>
      </c>
      <c r="D10" s="39" t="s">
        <v>244</v>
      </c>
      <c r="E10" s="39" t="s">
        <v>245</v>
      </c>
      <c r="F10" s="39" t="s">
        <v>245</v>
      </c>
      <c r="G10" s="39" t="s">
        <v>245</v>
      </c>
      <c r="H10" s="39" t="s">
        <v>244</v>
      </c>
      <c r="I10" s="39" t="s">
        <v>244</v>
      </c>
      <c r="J10" s="39" t="s">
        <v>245</v>
      </c>
      <c r="K10" s="39" t="s">
        <v>245</v>
      </c>
      <c r="L10" s="39" t="s">
        <v>246</v>
      </c>
      <c r="M10" s="39" t="s">
        <v>245</v>
      </c>
      <c r="N10" s="39" t="s">
        <v>244</v>
      </c>
      <c r="O10" s="39" t="s">
        <v>244</v>
      </c>
      <c r="P10" s="39" t="s">
        <v>246</v>
      </c>
      <c r="Q10" s="39" t="s">
        <v>245</v>
      </c>
      <c r="R10" s="39" t="s">
        <v>244</v>
      </c>
      <c r="S10" s="39" t="s">
        <v>245</v>
      </c>
      <c r="T10" s="39" t="s">
        <v>244</v>
      </c>
      <c r="U10" s="39" t="s">
        <v>244</v>
      </c>
      <c r="V10" s="39" t="s">
        <v>245</v>
      </c>
      <c r="W10" s="39" t="s">
        <v>244</v>
      </c>
      <c r="X10" s="39" t="s">
        <v>245</v>
      </c>
      <c r="Y10" s="39"/>
    </row>
    <row r="11" spans="1:27" ht="22.5" customHeight="1">
      <c r="A11" s="159"/>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0"/>
      <c r="B12" s="42"/>
      <c r="C12" s="43" t="s">
        <v>27</v>
      </c>
      <c r="D12" s="39">
        <v>4</v>
      </c>
      <c r="E12" s="39">
        <v>2</v>
      </c>
      <c r="F12" s="39">
        <v>4</v>
      </c>
      <c r="G12" s="39">
        <v>4</v>
      </c>
      <c r="H12" s="39">
        <v>5</v>
      </c>
      <c r="I12" s="39">
        <v>5</v>
      </c>
      <c r="J12" s="39">
        <v>4</v>
      </c>
      <c r="K12" s="39">
        <v>5</v>
      </c>
      <c r="L12" s="39">
        <v>3</v>
      </c>
      <c r="M12" s="39">
        <v>4</v>
      </c>
      <c r="N12" s="39">
        <v>5</v>
      </c>
      <c r="O12" s="39">
        <v>5</v>
      </c>
      <c r="P12" s="39">
        <v>2</v>
      </c>
      <c r="Q12" s="39">
        <v>4</v>
      </c>
      <c r="R12" s="39">
        <v>5</v>
      </c>
      <c r="S12" s="39">
        <v>3</v>
      </c>
      <c r="T12" s="39">
        <v>5</v>
      </c>
      <c r="U12" s="39">
        <v>5</v>
      </c>
      <c r="V12" s="39">
        <v>3</v>
      </c>
      <c r="W12" s="39">
        <v>5</v>
      </c>
      <c r="X12" s="39">
        <v>5</v>
      </c>
      <c r="Y12" s="39"/>
    </row>
    <row r="13" spans="1:27" ht="26.25" customHeight="1">
      <c r="A13" s="44"/>
      <c r="B13" s="44"/>
      <c r="C13" s="81" t="s">
        <v>57</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4"/>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7" ht="59.25" customHeight="1">
      <c r="A16" s="46" t="s">
        <v>85</v>
      </c>
      <c r="B16" s="164"/>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59.25" customHeight="1">
      <c r="A17" s="46" t="s">
        <v>86</v>
      </c>
      <c r="B17" s="164"/>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59.25" customHeight="1">
      <c r="A18" s="46" t="s">
        <v>87</v>
      </c>
      <c r="B18" s="164"/>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59.25" customHeight="1">
      <c r="A19" s="46" t="s">
        <v>88</v>
      </c>
      <c r="B19" s="164"/>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59.25" customHeight="1">
      <c r="A20" s="46" t="s">
        <v>89</v>
      </c>
      <c r="B20" s="164"/>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59.25" customHeight="1">
      <c r="A21" s="46" t="s">
        <v>90</v>
      </c>
      <c r="B21" s="164"/>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59.25" customHeight="1">
      <c r="A22" s="46" t="s">
        <v>91</v>
      </c>
      <c r="B22" s="164"/>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59.25" customHeight="1">
      <c r="A23" s="46" t="s">
        <v>92</v>
      </c>
      <c r="B23" s="164"/>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59.25" customHeight="1">
      <c r="A24" s="46" t="s">
        <v>93</v>
      </c>
      <c r="B24" s="164"/>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59.25" customHeight="1">
      <c r="A25" s="46" t="s">
        <v>94</v>
      </c>
      <c r="B25" s="164"/>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59.25" customHeight="1">
      <c r="A26" s="46" t="s">
        <v>95</v>
      </c>
      <c r="B26" s="164"/>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59.25" customHeight="1">
      <c r="A27" s="46" t="s">
        <v>96</v>
      </c>
      <c r="B27" s="164"/>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59.25" customHeight="1">
      <c r="A28" s="46" t="s">
        <v>97</v>
      </c>
      <c r="B28" s="164"/>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59.25" customHeight="1">
      <c r="A29" s="46" t="s">
        <v>98</v>
      </c>
      <c r="B29" s="164"/>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59.25" customHeight="1">
      <c r="A30" s="46" t="s">
        <v>99</v>
      </c>
      <c r="B30" s="164"/>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59.25" customHeight="1">
      <c r="A31" s="46" t="s">
        <v>100</v>
      </c>
      <c r="B31" s="164"/>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59.25" customHeight="1">
      <c r="A32" s="46" t="s">
        <v>101</v>
      </c>
      <c r="B32" s="164"/>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5" ht="59.25" customHeight="1">
      <c r="A33" s="46" t="s">
        <v>102</v>
      </c>
      <c r="B33" s="164"/>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5" ht="59.25" customHeight="1">
      <c r="A34" s="46" t="s">
        <v>103</v>
      </c>
      <c r="B34" s="164"/>
      <c r="C34" s="165"/>
      <c r="D34" s="165"/>
      <c r="E34" s="165"/>
      <c r="F34" s="165"/>
      <c r="G34" s="165"/>
      <c r="H34" s="165"/>
      <c r="I34" s="165"/>
      <c r="J34" s="165"/>
      <c r="K34" s="165"/>
      <c r="L34" s="165"/>
      <c r="M34" s="165"/>
      <c r="N34" s="165"/>
      <c r="O34" s="165"/>
      <c r="P34" s="165"/>
      <c r="Q34" s="165"/>
      <c r="R34" s="165"/>
      <c r="S34" s="165"/>
      <c r="T34" s="165"/>
      <c r="U34" s="165"/>
      <c r="V34" s="165"/>
      <c r="W34" s="165"/>
      <c r="X34" s="165"/>
      <c r="Y34" s="166"/>
    </row>
    <row r="35" spans="1:25" ht="59.25" customHeight="1">
      <c r="A35" s="46" t="s">
        <v>104</v>
      </c>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6"/>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算数</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82</v>
      </c>
      <c r="B2" s="41" t="s">
        <v>58</v>
      </c>
      <c r="C2" s="38" t="s">
        <v>26</v>
      </c>
      <c r="D2" s="72" t="s">
        <v>250</v>
      </c>
      <c r="E2" s="72" t="s">
        <v>251</v>
      </c>
      <c r="F2" s="72" t="s">
        <v>251</v>
      </c>
      <c r="G2" s="72" t="s">
        <v>251</v>
      </c>
      <c r="H2" s="72" t="s">
        <v>251</v>
      </c>
      <c r="I2" s="72" t="s">
        <v>244</v>
      </c>
      <c r="J2" s="72" t="s">
        <v>244</v>
      </c>
      <c r="K2" s="72" t="s">
        <v>244</v>
      </c>
      <c r="L2" s="72" t="s">
        <v>244</v>
      </c>
      <c r="M2" s="72" t="s">
        <v>251</v>
      </c>
      <c r="N2" s="72" t="s">
        <v>244</v>
      </c>
      <c r="O2" s="72" t="s">
        <v>244</v>
      </c>
      <c r="P2" s="72" t="s">
        <v>245</v>
      </c>
      <c r="Q2" s="72" t="s">
        <v>245</v>
      </c>
      <c r="R2" s="72" t="s">
        <v>244</v>
      </c>
      <c r="S2" s="72" t="s">
        <v>244</v>
      </c>
      <c r="T2" s="72" t="s">
        <v>244</v>
      </c>
      <c r="U2" s="72" t="s">
        <v>251</v>
      </c>
      <c r="V2" s="72" t="s">
        <v>244</v>
      </c>
      <c r="W2" s="72" t="s">
        <v>244</v>
      </c>
      <c r="X2" s="72" t="s">
        <v>244</v>
      </c>
      <c r="Y2" s="39"/>
      <c r="Z2" s="40" t="s">
        <v>244</v>
      </c>
      <c r="AA2" s="40">
        <v>1</v>
      </c>
    </row>
    <row r="3" spans="1:27" ht="22.5" customHeight="1">
      <c r="A3" s="159"/>
      <c r="B3" s="41" t="s">
        <v>59</v>
      </c>
      <c r="C3" s="38" t="s">
        <v>26</v>
      </c>
      <c r="D3" s="72" t="s">
        <v>244</v>
      </c>
      <c r="E3" s="72" t="s">
        <v>251</v>
      </c>
      <c r="F3" s="72" t="s">
        <v>244</v>
      </c>
      <c r="G3" s="72" t="s">
        <v>244</v>
      </c>
      <c r="H3" s="72" t="s">
        <v>244</v>
      </c>
      <c r="I3" s="72" t="s">
        <v>251</v>
      </c>
      <c r="J3" s="72" t="s">
        <v>244</v>
      </c>
      <c r="K3" s="72" t="s">
        <v>244</v>
      </c>
      <c r="L3" s="72" t="s">
        <v>244</v>
      </c>
      <c r="M3" s="72" t="s">
        <v>244</v>
      </c>
      <c r="N3" s="72" t="s">
        <v>244</v>
      </c>
      <c r="O3" s="72" t="s">
        <v>244</v>
      </c>
      <c r="P3" s="72" t="s">
        <v>244</v>
      </c>
      <c r="Q3" s="72" t="s">
        <v>244</v>
      </c>
      <c r="R3" s="72" t="s">
        <v>244</v>
      </c>
      <c r="S3" s="72" t="s">
        <v>244</v>
      </c>
      <c r="T3" s="72" t="s">
        <v>244</v>
      </c>
      <c r="U3" s="72" t="s">
        <v>244</v>
      </c>
      <c r="V3" s="72" t="s">
        <v>244</v>
      </c>
      <c r="W3" s="72" t="s">
        <v>244</v>
      </c>
      <c r="X3" s="72" t="s">
        <v>244</v>
      </c>
      <c r="Y3" s="39"/>
      <c r="Z3" s="40" t="s">
        <v>245</v>
      </c>
      <c r="AA3" s="40">
        <v>2</v>
      </c>
    </row>
    <row r="4" spans="1:27" ht="22.5" customHeight="1">
      <c r="A4" s="159"/>
      <c r="B4" s="41" t="s">
        <v>60</v>
      </c>
      <c r="C4" s="38" t="s">
        <v>26</v>
      </c>
      <c r="D4" s="72" t="s">
        <v>244</v>
      </c>
      <c r="E4" s="72" t="s">
        <v>245</v>
      </c>
      <c r="F4" s="72" t="s">
        <v>244</v>
      </c>
      <c r="G4" s="72" t="s">
        <v>245</v>
      </c>
      <c r="H4" s="72" t="s">
        <v>244</v>
      </c>
      <c r="I4" s="72" t="s">
        <v>244</v>
      </c>
      <c r="J4" s="72" t="s">
        <v>244</v>
      </c>
      <c r="K4" s="72" t="s">
        <v>244</v>
      </c>
      <c r="L4" s="72" t="s">
        <v>244</v>
      </c>
      <c r="M4" s="72" t="s">
        <v>244</v>
      </c>
      <c r="N4" s="72" t="s">
        <v>244</v>
      </c>
      <c r="O4" s="72" t="s">
        <v>244</v>
      </c>
      <c r="P4" s="72" t="s">
        <v>245</v>
      </c>
      <c r="Q4" s="72" t="s">
        <v>245</v>
      </c>
      <c r="R4" s="72" t="s">
        <v>245</v>
      </c>
      <c r="S4" s="72" t="s">
        <v>245</v>
      </c>
      <c r="T4" s="72" t="s">
        <v>245</v>
      </c>
      <c r="U4" s="72" t="s">
        <v>244</v>
      </c>
      <c r="V4" s="72" t="s">
        <v>245</v>
      </c>
      <c r="W4" s="72" t="s">
        <v>244</v>
      </c>
      <c r="X4" s="72" t="s">
        <v>244</v>
      </c>
      <c r="Y4" s="39"/>
      <c r="Z4" s="40" t="s">
        <v>246</v>
      </c>
      <c r="AA4" s="40">
        <v>3</v>
      </c>
    </row>
    <row r="5" spans="1:27" ht="22.5" customHeight="1">
      <c r="A5" s="159"/>
      <c r="B5" s="41" t="s">
        <v>61</v>
      </c>
      <c r="C5" s="38" t="s">
        <v>26</v>
      </c>
      <c r="D5" s="72" t="s">
        <v>244</v>
      </c>
      <c r="E5" s="72" t="s">
        <v>245</v>
      </c>
      <c r="F5" s="72" t="s">
        <v>244</v>
      </c>
      <c r="G5" s="72" t="s">
        <v>244</v>
      </c>
      <c r="H5" s="72" t="s">
        <v>244</v>
      </c>
      <c r="I5" s="72" t="s">
        <v>244</v>
      </c>
      <c r="J5" s="72" t="s">
        <v>244</v>
      </c>
      <c r="K5" s="72" t="s">
        <v>244</v>
      </c>
      <c r="L5" s="72" t="s">
        <v>244</v>
      </c>
      <c r="M5" s="72" t="s">
        <v>244</v>
      </c>
      <c r="N5" s="72" t="s">
        <v>244</v>
      </c>
      <c r="O5" s="72" t="s">
        <v>244</v>
      </c>
      <c r="P5" s="72" t="s">
        <v>244</v>
      </c>
      <c r="Q5" s="72" t="s">
        <v>244</v>
      </c>
      <c r="R5" s="72" t="s">
        <v>244</v>
      </c>
      <c r="S5" s="72" t="s">
        <v>244</v>
      </c>
      <c r="T5" s="72" t="s">
        <v>245</v>
      </c>
      <c r="U5" s="72" t="s">
        <v>244</v>
      </c>
      <c r="V5" s="72" t="s">
        <v>244</v>
      </c>
      <c r="W5" s="72" t="s">
        <v>244</v>
      </c>
      <c r="X5" s="72" t="s">
        <v>244</v>
      </c>
      <c r="Y5" s="39"/>
      <c r="Z5" s="40" t="s">
        <v>249</v>
      </c>
      <c r="AA5" s="40">
        <v>4</v>
      </c>
    </row>
    <row r="6" spans="1:27" ht="22.5" customHeight="1">
      <c r="A6" s="159"/>
      <c r="B6" s="41" t="s">
        <v>105</v>
      </c>
      <c r="C6" s="38" t="s">
        <v>26</v>
      </c>
      <c r="D6" s="72" t="s">
        <v>245</v>
      </c>
      <c r="E6" s="72" t="s">
        <v>244</v>
      </c>
      <c r="F6" s="72" t="s">
        <v>252</v>
      </c>
      <c r="G6" s="72" t="s">
        <v>244</v>
      </c>
      <c r="H6" s="72" t="s">
        <v>244</v>
      </c>
      <c r="I6" s="72" t="s">
        <v>244</v>
      </c>
      <c r="J6" s="72" t="s">
        <v>244</v>
      </c>
      <c r="K6" s="72" t="s">
        <v>244</v>
      </c>
      <c r="L6" s="72" t="s">
        <v>244</v>
      </c>
      <c r="M6" s="72" t="s">
        <v>244</v>
      </c>
      <c r="N6" s="72" t="s">
        <v>244</v>
      </c>
      <c r="O6" s="72" t="s">
        <v>244</v>
      </c>
      <c r="P6" s="72" t="s">
        <v>245</v>
      </c>
      <c r="Q6" s="72" t="s">
        <v>245</v>
      </c>
      <c r="R6" s="72" t="s">
        <v>244</v>
      </c>
      <c r="S6" s="72" t="s">
        <v>244</v>
      </c>
      <c r="T6" s="72" t="s">
        <v>245</v>
      </c>
      <c r="U6" s="72" t="s">
        <v>244</v>
      </c>
      <c r="V6" s="72" t="s">
        <v>245</v>
      </c>
      <c r="W6" s="72" t="s">
        <v>244</v>
      </c>
      <c r="X6" s="72" t="s">
        <v>244</v>
      </c>
      <c r="Y6" s="39"/>
      <c r="Z6" s="40"/>
      <c r="AA6" s="40">
        <v>5</v>
      </c>
    </row>
    <row r="7" spans="1:27" ht="22.5" customHeight="1">
      <c r="A7" s="159"/>
      <c r="B7" s="41"/>
      <c r="C7" s="38" t="s">
        <v>26</v>
      </c>
      <c r="D7" s="72"/>
      <c r="E7" s="72"/>
      <c r="F7" s="72"/>
      <c r="G7" s="72"/>
      <c r="H7" s="72"/>
      <c r="I7" s="72"/>
      <c r="J7" s="72"/>
      <c r="K7" s="72"/>
      <c r="L7" s="72"/>
      <c r="M7" s="72"/>
      <c r="N7" s="72"/>
      <c r="O7" s="72"/>
      <c r="P7" s="72"/>
      <c r="Q7" s="72"/>
      <c r="R7" s="72"/>
      <c r="S7" s="72"/>
      <c r="T7" s="72"/>
      <c r="U7" s="72"/>
      <c r="V7" s="72"/>
      <c r="W7" s="72"/>
      <c r="X7" s="72"/>
      <c r="Y7" s="39"/>
      <c r="Z7" s="40"/>
      <c r="AA7" s="40" t="s">
        <v>249</v>
      </c>
    </row>
    <row r="8" spans="1:27" ht="22.5" customHeight="1">
      <c r="A8" s="159"/>
      <c r="B8" s="41"/>
      <c r="C8" s="38" t="s">
        <v>26</v>
      </c>
      <c r="D8" s="72"/>
      <c r="E8" s="72"/>
      <c r="F8" s="72"/>
      <c r="G8" s="72"/>
      <c r="H8" s="72"/>
      <c r="I8" s="72"/>
      <c r="J8" s="72"/>
      <c r="K8" s="72"/>
      <c r="L8" s="72"/>
      <c r="M8" s="72"/>
      <c r="N8" s="72"/>
      <c r="O8" s="72"/>
      <c r="P8" s="72"/>
      <c r="Q8" s="72"/>
      <c r="R8" s="72"/>
      <c r="S8" s="72"/>
      <c r="T8" s="72"/>
      <c r="U8" s="72"/>
      <c r="V8" s="72"/>
      <c r="W8" s="72"/>
      <c r="X8" s="72"/>
      <c r="Y8" s="39"/>
    </row>
    <row r="9" spans="1:27" ht="22.5" customHeight="1">
      <c r="A9" s="159"/>
      <c r="B9" s="41"/>
      <c r="C9" s="38" t="s">
        <v>26</v>
      </c>
      <c r="D9" s="72"/>
      <c r="E9" s="72"/>
      <c r="F9" s="72"/>
      <c r="G9" s="72"/>
      <c r="H9" s="72"/>
      <c r="I9" s="72"/>
      <c r="J9" s="72"/>
      <c r="K9" s="72"/>
      <c r="L9" s="72"/>
      <c r="M9" s="72"/>
      <c r="N9" s="72"/>
      <c r="O9" s="72"/>
      <c r="P9" s="72"/>
      <c r="Q9" s="72"/>
      <c r="R9" s="72"/>
      <c r="S9" s="72"/>
      <c r="T9" s="72"/>
      <c r="U9" s="72"/>
      <c r="V9" s="72"/>
      <c r="W9" s="72"/>
      <c r="X9" s="72"/>
      <c r="Y9" s="39"/>
    </row>
    <row r="10" spans="1:27" ht="22.5" customHeight="1">
      <c r="A10" s="159"/>
      <c r="B10" s="41"/>
      <c r="C10" s="38" t="s">
        <v>26</v>
      </c>
      <c r="D10" s="72"/>
      <c r="E10" s="72"/>
      <c r="F10" s="72"/>
      <c r="G10" s="72"/>
      <c r="H10" s="72"/>
      <c r="I10" s="72"/>
      <c r="J10" s="72"/>
      <c r="K10" s="72"/>
      <c r="L10" s="72"/>
      <c r="M10" s="72"/>
      <c r="N10" s="72"/>
      <c r="O10" s="72"/>
      <c r="P10" s="72"/>
      <c r="Q10" s="72"/>
      <c r="R10" s="72"/>
      <c r="S10" s="72"/>
      <c r="T10" s="72"/>
      <c r="U10" s="72"/>
      <c r="V10" s="72"/>
      <c r="W10" s="72"/>
      <c r="X10" s="72"/>
      <c r="Y10" s="39"/>
    </row>
    <row r="11" spans="1:27" ht="22.5" customHeight="1">
      <c r="A11" s="159"/>
      <c r="B11" s="41"/>
      <c r="C11" s="38" t="s">
        <v>26</v>
      </c>
      <c r="D11" s="72"/>
      <c r="E11" s="72"/>
      <c r="F11" s="72"/>
      <c r="G11" s="72"/>
      <c r="H11" s="72"/>
      <c r="I11" s="72"/>
      <c r="J11" s="72"/>
      <c r="K11" s="72"/>
      <c r="L11" s="72"/>
      <c r="M11" s="72"/>
      <c r="N11" s="72"/>
      <c r="O11" s="72"/>
      <c r="P11" s="72"/>
      <c r="Q11" s="72"/>
      <c r="R11" s="72"/>
      <c r="S11" s="72"/>
      <c r="T11" s="72"/>
      <c r="U11" s="72"/>
      <c r="V11" s="72"/>
      <c r="W11" s="72"/>
      <c r="X11" s="72"/>
      <c r="Y11" s="39"/>
    </row>
    <row r="12" spans="1:27" ht="30" customHeight="1">
      <c r="A12" s="160"/>
      <c r="B12" s="42"/>
      <c r="C12" s="43" t="s">
        <v>27</v>
      </c>
      <c r="D12" s="72">
        <v>4</v>
      </c>
      <c r="E12" s="72">
        <v>4</v>
      </c>
      <c r="F12" s="72">
        <v>5</v>
      </c>
      <c r="G12" s="72">
        <v>5</v>
      </c>
      <c r="H12" s="72">
        <v>5</v>
      </c>
      <c r="I12" s="72">
        <v>5</v>
      </c>
      <c r="J12" s="72">
        <v>5</v>
      </c>
      <c r="K12" s="72">
        <v>5</v>
      </c>
      <c r="L12" s="72">
        <v>5</v>
      </c>
      <c r="M12" s="72">
        <v>5</v>
      </c>
      <c r="N12" s="72">
        <v>5</v>
      </c>
      <c r="O12" s="72">
        <v>5</v>
      </c>
      <c r="P12" s="72">
        <v>4</v>
      </c>
      <c r="Q12" s="72">
        <v>4</v>
      </c>
      <c r="R12" s="72">
        <v>5</v>
      </c>
      <c r="S12" s="72">
        <v>5</v>
      </c>
      <c r="T12" s="72">
        <v>4</v>
      </c>
      <c r="U12" s="72">
        <v>5</v>
      </c>
      <c r="V12" s="72">
        <v>4</v>
      </c>
      <c r="W12" s="72">
        <v>5</v>
      </c>
      <c r="X12" s="72">
        <v>5</v>
      </c>
      <c r="Y12" s="39"/>
    </row>
    <row r="13" spans="1:27" ht="26.25" customHeight="1">
      <c r="A13" s="44"/>
      <c r="B13" s="44"/>
      <c r="C13" s="81" t="s">
        <v>57</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7" t="s">
        <v>106</v>
      </c>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46" t="s">
        <v>85</v>
      </c>
      <c r="B16" s="167" t="s">
        <v>107</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46" t="s">
        <v>86</v>
      </c>
      <c r="B17" s="167" t="s">
        <v>108</v>
      </c>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46" t="s">
        <v>87</v>
      </c>
      <c r="B18" s="167" t="s">
        <v>109</v>
      </c>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46" t="s">
        <v>88</v>
      </c>
      <c r="B19" s="167" t="s">
        <v>110</v>
      </c>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46" t="s">
        <v>89</v>
      </c>
      <c r="B20" s="167" t="s">
        <v>111</v>
      </c>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46" t="s">
        <v>90</v>
      </c>
      <c r="B21" s="167" t="s">
        <v>112</v>
      </c>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46" t="s">
        <v>91</v>
      </c>
      <c r="B22" s="167" t="s">
        <v>113</v>
      </c>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46" t="s">
        <v>92</v>
      </c>
      <c r="B23" s="167" t="s">
        <v>114</v>
      </c>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46" t="s">
        <v>93</v>
      </c>
      <c r="B24" s="167" t="s">
        <v>115</v>
      </c>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46" t="s">
        <v>94</v>
      </c>
      <c r="B25" s="167" t="s">
        <v>116</v>
      </c>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46" t="s">
        <v>95</v>
      </c>
      <c r="B26" s="167" t="s">
        <v>117</v>
      </c>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46" t="s">
        <v>96</v>
      </c>
      <c r="B27" s="167" t="s">
        <v>118</v>
      </c>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46" t="s">
        <v>97</v>
      </c>
      <c r="B28" s="167" t="s">
        <v>119</v>
      </c>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46" t="s">
        <v>98</v>
      </c>
      <c r="B29" s="167" t="s">
        <v>120</v>
      </c>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46" t="s">
        <v>99</v>
      </c>
      <c r="B30" s="167" t="s">
        <v>121</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100</v>
      </c>
      <c r="B31" s="167" t="s">
        <v>122</v>
      </c>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46" t="s">
        <v>101</v>
      </c>
      <c r="B32" s="167" t="s">
        <v>123</v>
      </c>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46" t="s">
        <v>102</v>
      </c>
      <c r="B33" s="167" t="s">
        <v>124</v>
      </c>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46" t="s">
        <v>103</v>
      </c>
      <c r="B34" s="167" t="s">
        <v>125</v>
      </c>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46" t="s">
        <v>104</v>
      </c>
      <c r="B35" s="167" t="s">
        <v>126</v>
      </c>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A190"/>
  <sheetViews>
    <sheetView workbookViewId="0">
      <selection sqref="A1:XFD1048576"/>
    </sheetView>
  </sheetViews>
  <sheetFormatPr defaultColWidth="8.875" defaultRowHeight="13.5"/>
  <cols>
    <col min="1" max="1" width="13.5" style="84" customWidth="1"/>
    <col min="2" max="2" width="79.125" style="84" customWidth="1"/>
    <col min="3" max="3" width="9.375" style="84" customWidth="1"/>
    <col min="4" max="25" width="4.125" style="84" customWidth="1"/>
    <col min="26" max="16384" width="8.875" style="84"/>
  </cols>
  <sheetData>
    <row r="1" spans="1:27" ht="85.5" customHeight="1">
      <c r="A1" s="82" t="str">
        <f ca="1">MID(CELL("filename",A1),FIND("[",CELL("filename",A1))+1,3)</f>
        <v>３－２</v>
      </c>
      <c r="B1" s="34" t="str">
        <f ca="1">RIGHT(CELL("filename",B1),LEN(CELL("filename",B1))-FIND("]",CELL("filename",B1)))</f>
        <v>理科</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83"/>
    </row>
    <row r="2" spans="1:27" ht="22.5" customHeight="1">
      <c r="A2" s="158" t="s">
        <v>253</v>
      </c>
      <c r="B2" s="41" t="s">
        <v>233</v>
      </c>
      <c r="C2" s="38" t="s">
        <v>26</v>
      </c>
      <c r="D2" s="72" t="s">
        <v>81</v>
      </c>
      <c r="E2" s="72" t="s">
        <v>254</v>
      </c>
      <c r="F2" s="72" t="s">
        <v>254</v>
      </c>
      <c r="G2" s="72" t="s">
        <v>254</v>
      </c>
      <c r="H2" s="72" t="s">
        <v>254</v>
      </c>
      <c r="I2" s="72" t="s">
        <v>244</v>
      </c>
      <c r="J2" s="72" t="s">
        <v>254</v>
      </c>
      <c r="K2" s="72" t="s">
        <v>244</v>
      </c>
      <c r="L2" s="72" t="s">
        <v>81</v>
      </c>
      <c r="M2" s="72" t="s">
        <v>244</v>
      </c>
      <c r="N2" s="72" t="s">
        <v>244</v>
      </c>
      <c r="O2" s="72" t="s">
        <v>244</v>
      </c>
      <c r="P2" s="72" t="s">
        <v>244</v>
      </c>
      <c r="Q2" s="72" t="s">
        <v>244</v>
      </c>
      <c r="R2" s="72" t="s">
        <v>244</v>
      </c>
      <c r="S2" s="72" t="s">
        <v>244</v>
      </c>
      <c r="T2" s="72" t="s">
        <v>81</v>
      </c>
      <c r="U2" s="72" t="s">
        <v>244</v>
      </c>
      <c r="V2" s="72" t="s">
        <v>244</v>
      </c>
      <c r="W2" s="72" t="s">
        <v>244</v>
      </c>
      <c r="X2" s="72" t="s">
        <v>244</v>
      </c>
      <c r="Y2" s="72"/>
      <c r="Z2" s="85" t="s">
        <v>244</v>
      </c>
      <c r="AA2" s="85">
        <v>1</v>
      </c>
    </row>
    <row r="3" spans="1:27" ht="22.5" customHeight="1">
      <c r="A3" s="159"/>
      <c r="B3" s="41" t="s">
        <v>62</v>
      </c>
      <c r="C3" s="38" t="s">
        <v>26</v>
      </c>
      <c r="D3" s="72" t="s">
        <v>254</v>
      </c>
      <c r="E3" s="72" t="s">
        <v>244</v>
      </c>
      <c r="F3" s="72" t="s">
        <v>244</v>
      </c>
      <c r="G3" s="72" t="s">
        <v>254</v>
      </c>
      <c r="H3" s="72" t="s">
        <v>244</v>
      </c>
      <c r="I3" s="72" t="s">
        <v>244</v>
      </c>
      <c r="J3" s="72" t="s">
        <v>244</v>
      </c>
      <c r="K3" s="72" t="s">
        <v>244</v>
      </c>
      <c r="L3" s="72" t="s">
        <v>244</v>
      </c>
      <c r="M3" s="72" t="s">
        <v>244</v>
      </c>
      <c r="N3" s="72" t="s">
        <v>244</v>
      </c>
      <c r="O3" s="72" t="s">
        <v>244</v>
      </c>
      <c r="P3" s="72" t="s">
        <v>244</v>
      </c>
      <c r="Q3" s="72" t="s">
        <v>244</v>
      </c>
      <c r="R3" s="72" t="s">
        <v>244</v>
      </c>
      <c r="S3" s="72" t="s">
        <v>244</v>
      </c>
      <c r="T3" s="72" t="s">
        <v>244</v>
      </c>
      <c r="U3" s="72" t="s">
        <v>244</v>
      </c>
      <c r="V3" s="72" t="s">
        <v>244</v>
      </c>
      <c r="W3" s="72" t="s">
        <v>244</v>
      </c>
      <c r="X3" s="72" t="s">
        <v>244</v>
      </c>
      <c r="Y3" s="72"/>
      <c r="Z3" s="85" t="s">
        <v>245</v>
      </c>
      <c r="AA3" s="85">
        <v>2</v>
      </c>
    </row>
    <row r="4" spans="1:27" ht="22.5" customHeight="1">
      <c r="A4" s="159"/>
      <c r="B4" s="41" t="s">
        <v>68</v>
      </c>
      <c r="C4" s="38" t="s">
        <v>26</v>
      </c>
      <c r="D4" s="72" t="s">
        <v>244</v>
      </c>
      <c r="E4" s="72" t="s">
        <v>244</v>
      </c>
      <c r="F4" s="72" t="s">
        <v>244</v>
      </c>
      <c r="G4" s="72" t="s">
        <v>244</v>
      </c>
      <c r="H4" s="72" t="s">
        <v>244</v>
      </c>
      <c r="I4" s="72" t="s">
        <v>244</v>
      </c>
      <c r="J4" s="72" t="s">
        <v>244</v>
      </c>
      <c r="K4" s="72" t="s">
        <v>244</v>
      </c>
      <c r="L4" s="72" t="s">
        <v>244</v>
      </c>
      <c r="M4" s="72" t="s">
        <v>244</v>
      </c>
      <c r="N4" s="72" t="s">
        <v>244</v>
      </c>
      <c r="O4" s="72" t="s">
        <v>244</v>
      </c>
      <c r="P4" s="72" t="s">
        <v>244</v>
      </c>
      <c r="Q4" s="72" t="s">
        <v>244</v>
      </c>
      <c r="R4" s="72" t="s">
        <v>244</v>
      </c>
      <c r="S4" s="72" t="s">
        <v>254</v>
      </c>
      <c r="T4" s="72" t="s">
        <v>254</v>
      </c>
      <c r="U4" s="72" t="s">
        <v>244</v>
      </c>
      <c r="V4" s="72" t="s">
        <v>254</v>
      </c>
      <c r="W4" s="72" t="s">
        <v>244</v>
      </c>
      <c r="X4" s="72" t="s">
        <v>244</v>
      </c>
      <c r="Y4" s="72"/>
      <c r="Z4" s="85" t="s">
        <v>246</v>
      </c>
      <c r="AA4" s="85">
        <v>3</v>
      </c>
    </row>
    <row r="5" spans="1:27" ht="22.5" customHeight="1">
      <c r="A5" s="159"/>
      <c r="B5" s="41" t="s">
        <v>69</v>
      </c>
      <c r="C5" s="38" t="s">
        <v>26</v>
      </c>
      <c r="D5" s="72" t="s">
        <v>244</v>
      </c>
      <c r="E5" s="72" t="s">
        <v>244</v>
      </c>
      <c r="F5" s="72" t="s">
        <v>244</v>
      </c>
      <c r="G5" s="72" t="s">
        <v>244</v>
      </c>
      <c r="H5" s="72" t="s">
        <v>244</v>
      </c>
      <c r="I5" s="72" t="s">
        <v>244</v>
      </c>
      <c r="J5" s="72" t="s">
        <v>244</v>
      </c>
      <c r="K5" s="72" t="s">
        <v>244</v>
      </c>
      <c r="L5" s="72" t="s">
        <v>244</v>
      </c>
      <c r="M5" s="72" t="s">
        <v>244</v>
      </c>
      <c r="N5" s="72" t="s">
        <v>244</v>
      </c>
      <c r="O5" s="72" t="s">
        <v>244</v>
      </c>
      <c r="P5" s="72" t="s">
        <v>244</v>
      </c>
      <c r="Q5" s="72" t="s">
        <v>244</v>
      </c>
      <c r="R5" s="72" t="s">
        <v>244</v>
      </c>
      <c r="S5" s="72" t="s">
        <v>244</v>
      </c>
      <c r="T5" s="72" t="s">
        <v>244</v>
      </c>
      <c r="U5" s="72" t="s">
        <v>254</v>
      </c>
      <c r="V5" s="72" t="s">
        <v>244</v>
      </c>
      <c r="W5" s="72" t="s">
        <v>244</v>
      </c>
      <c r="X5" s="72" t="s">
        <v>244</v>
      </c>
      <c r="Y5" s="72"/>
      <c r="Z5" s="85" t="s">
        <v>249</v>
      </c>
      <c r="AA5" s="85">
        <v>4</v>
      </c>
    </row>
    <row r="6" spans="1:27" ht="22.5" customHeight="1">
      <c r="A6" s="159"/>
      <c r="B6" s="41" t="s">
        <v>255</v>
      </c>
      <c r="C6" s="38" t="s">
        <v>26</v>
      </c>
      <c r="D6" s="72" t="s">
        <v>244</v>
      </c>
      <c r="E6" s="72" t="s">
        <v>245</v>
      </c>
      <c r="F6" s="72" t="s">
        <v>244</v>
      </c>
      <c r="G6" s="72" t="s">
        <v>245</v>
      </c>
      <c r="H6" s="72" t="s">
        <v>244</v>
      </c>
      <c r="I6" s="72" t="s">
        <v>244</v>
      </c>
      <c r="J6" s="72" t="s">
        <v>244</v>
      </c>
      <c r="K6" s="72" t="s">
        <v>244</v>
      </c>
      <c r="L6" s="72" t="s">
        <v>244</v>
      </c>
      <c r="M6" s="72" t="s">
        <v>245</v>
      </c>
      <c r="N6" s="72" t="s">
        <v>244</v>
      </c>
      <c r="O6" s="72" t="s">
        <v>244</v>
      </c>
      <c r="P6" s="72" t="s">
        <v>244</v>
      </c>
      <c r="Q6" s="72" t="s">
        <v>245</v>
      </c>
      <c r="R6" s="72" t="s">
        <v>244</v>
      </c>
      <c r="S6" s="72" t="s">
        <v>244</v>
      </c>
      <c r="T6" s="72" t="s">
        <v>244</v>
      </c>
      <c r="U6" s="72" t="s">
        <v>244</v>
      </c>
      <c r="V6" s="72" t="s">
        <v>244</v>
      </c>
      <c r="W6" s="72" t="s">
        <v>244</v>
      </c>
      <c r="X6" s="72" t="s">
        <v>244</v>
      </c>
      <c r="Y6" s="72"/>
      <c r="Z6" s="85"/>
      <c r="AA6" s="85">
        <v>5</v>
      </c>
    </row>
    <row r="7" spans="1:27" ht="22.5" customHeight="1">
      <c r="A7" s="159"/>
      <c r="B7" s="41"/>
      <c r="C7" s="38" t="s">
        <v>26</v>
      </c>
      <c r="D7" s="72"/>
      <c r="E7" s="72"/>
      <c r="F7" s="72"/>
      <c r="G7" s="72"/>
      <c r="H7" s="72"/>
      <c r="I7" s="72"/>
      <c r="J7" s="72"/>
      <c r="K7" s="72"/>
      <c r="L7" s="72"/>
      <c r="M7" s="72"/>
      <c r="N7" s="72"/>
      <c r="O7" s="72"/>
      <c r="P7" s="72"/>
      <c r="Q7" s="72"/>
      <c r="R7" s="72"/>
      <c r="S7" s="72"/>
      <c r="T7" s="72"/>
      <c r="U7" s="72"/>
      <c r="V7" s="72"/>
      <c r="W7" s="72"/>
      <c r="X7" s="72"/>
      <c r="Y7" s="72"/>
      <c r="Z7" s="85"/>
      <c r="AA7" s="85" t="s">
        <v>249</v>
      </c>
    </row>
    <row r="8" spans="1:27" ht="22.5" customHeight="1">
      <c r="A8" s="159"/>
      <c r="B8" s="41"/>
      <c r="C8" s="38" t="s">
        <v>26</v>
      </c>
      <c r="D8" s="72"/>
      <c r="E8" s="72"/>
      <c r="F8" s="72"/>
      <c r="G8" s="72"/>
      <c r="H8" s="72"/>
      <c r="I8" s="72"/>
      <c r="J8" s="72"/>
      <c r="K8" s="72"/>
      <c r="L8" s="72"/>
      <c r="M8" s="72"/>
      <c r="N8" s="72"/>
      <c r="O8" s="72"/>
      <c r="P8" s="72"/>
      <c r="Q8" s="72"/>
      <c r="R8" s="72"/>
      <c r="S8" s="72"/>
      <c r="T8" s="72"/>
      <c r="U8" s="72"/>
      <c r="V8" s="72"/>
      <c r="W8" s="72"/>
      <c r="X8" s="72"/>
      <c r="Y8" s="72"/>
    </row>
    <row r="9" spans="1:27" ht="22.5" customHeight="1">
      <c r="A9" s="159"/>
      <c r="B9" s="41"/>
      <c r="C9" s="38" t="s">
        <v>26</v>
      </c>
      <c r="D9" s="72"/>
      <c r="E9" s="72"/>
      <c r="F9" s="72"/>
      <c r="G9" s="72"/>
      <c r="H9" s="72"/>
      <c r="I9" s="72"/>
      <c r="J9" s="72"/>
      <c r="K9" s="72"/>
      <c r="L9" s="72"/>
      <c r="M9" s="72"/>
      <c r="N9" s="72"/>
      <c r="O9" s="72"/>
      <c r="P9" s="72"/>
      <c r="Q9" s="72"/>
      <c r="R9" s="72"/>
      <c r="S9" s="72"/>
      <c r="T9" s="72"/>
      <c r="U9" s="72"/>
      <c r="V9" s="72"/>
      <c r="W9" s="72"/>
      <c r="X9" s="72"/>
      <c r="Y9" s="72"/>
    </row>
    <row r="10" spans="1:27" ht="22.5" customHeight="1">
      <c r="A10" s="159"/>
      <c r="B10" s="41"/>
      <c r="C10" s="38" t="s">
        <v>26</v>
      </c>
      <c r="D10" s="72"/>
      <c r="E10" s="72"/>
      <c r="F10" s="72"/>
      <c r="G10" s="72"/>
      <c r="H10" s="72"/>
      <c r="I10" s="72"/>
      <c r="J10" s="72"/>
      <c r="K10" s="72"/>
      <c r="L10" s="72"/>
      <c r="M10" s="72"/>
      <c r="N10" s="72"/>
      <c r="O10" s="72"/>
      <c r="P10" s="72"/>
      <c r="Q10" s="72"/>
      <c r="R10" s="72"/>
      <c r="S10" s="72"/>
      <c r="T10" s="72"/>
      <c r="U10" s="72"/>
      <c r="V10" s="72"/>
      <c r="W10" s="72"/>
      <c r="X10" s="72"/>
      <c r="Y10" s="72"/>
    </row>
    <row r="11" spans="1:27" ht="22.5" customHeight="1">
      <c r="A11" s="159"/>
      <c r="B11" s="41"/>
      <c r="C11" s="38" t="s">
        <v>26</v>
      </c>
      <c r="D11" s="72"/>
      <c r="E11" s="72"/>
      <c r="F11" s="72"/>
      <c r="G11" s="72"/>
      <c r="H11" s="72"/>
      <c r="I11" s="72"/>
      <c r="J11" s="72"/>
      <c r="K11" s="72"/>
      <c r="L11" s="72"/>
      <c r="M11" s="72"/>
      <c r="N11" s="72"/>
      <c r="O11" s="72"/>
      <c r="P11" s="72"/>
      <c r="Q11" s="72"/>
      <c r="R11" s="72"/>
      <c r="S11" s="72"/>
      <c r="T11" s="72"/>
      <c r="U11" s="72"/>
      <c r="V11" s="72"/>
      <c r="W11" s="72"/>
      <c r="X11" s="72"/>
      <c r="Y11" s="72"/>
    </row>
    <row r="12" spans="1:27" ht="30" customHeight="1">
      <c r="A12" s="160"/>
      <c r="B12" s="42"/>
      <c r="C12" s="43" t="s">
        <v>27</v>
      </c>
      <c r="D12" s="72">
        <v>5</v>
      </c>
      <c r="E12" s="72">
        <v>5</v>
      </c>
      <c r="F12" s="72">
        <v>5</v>
      </c>
      <c r="G12" s="72">
        <v>5</v>
      </c>
      <c r="H12" s="72">
        <v>5</v>
      </c>
      <c r="I12" s="72">
        <v>5</v>
      </c>
      <c r="J12" s="72">
        <v>5</v>
      </c>
      <c r="K12" s="72">
        <v>5</v>
      </c>
      <c r="L12" s="72">
        <v>5</v>
      </c>
      <c r="M12" s="72">
        <v>5</v>
      </c>
      <c r="N12" s="72">
        <v>5</v>
      </c>
      <c r="O12" s="72">
        <v>5</v>
      </c>
      <c r="P12" s="72">
        <v>5</v>
      </c>
      <c r="Q12" s="72">
        <v>5</v>
      </c>
      <c r="R12" s="72">
        <v>5</v>
      </c>
      <c r="S12" s="72">
        <v>5</v>
      </c>
      <c r="T12" s="72">
        <v>5</v>
      </c>
      <c r="U12" s="72">
        <v>5</v>
      </c>
      <c r="V12" s="72">
        <v>5</v>
      </c>
      <c r="W12" s="72">
        <v>5</v>
      </c>
      <c r="X12" s="72">
        <v>5</v>
      </c>
      <c r="Y12" s="72"/>
    </row>
    <row r="13" spans="1:27" ht="26.25" customHeight="1">
      <c r="A13" s="86"/>
      <c r="B13" s="86"/>
      <c r="C13" s="81" t="s">
        <v>57</v>
      </c>
      <c r="D13" s="72"/>
      <c r="E13" s="72"/>
      <c r="F13" s="72"/>
      <c r="G13" s="72"/>
      <c r="H13" s="72"/>
      <c r="I13" s="72"/>
      <c r="J13" s="72"/>
      <c r="K13" s="72"/>
      <c r="L13" s="72"/>
      <c r="M13" s="72"/>
      <c r="N13" s="72"/>
      <c r="O13" s="72"/>
      <c r="P13" s="72"/>
      <c r="Q13" s="72"/>
      <c r="R13" s="72"/>
      <c r="S13" s="72"/>
      <c r="T13" s="72"/>
      <c r="U13" s="72"/>
      <c r="V13" s="72"/>
      <c r="W13" s="72"/>
      <c r="X13" s="87"/>
      <c r="Y13" s="87"/>
    </row>
    <row r="14" spans="1:27" ht="22.5" customHeight="1">
      <c r="A14" s="45" t="s">
        <v>28</v>
      </c>
      <c r="B14" s="170" t="s">
        <v>29</v>
      </c>
      <c r="C14" s="171"/>
      <c r="D14" s="171"/>
      <c r="E14" s="171"/>
      <c r="F14" s="171"/>
      <c r="G14" s="171"/>
      <c r="H14" s="171"/>
      <c r="I14" s="171"/>
      <c r="J14" s="171"/>
      <c r="K14" s="171"/>
      <c r="L14" s="171"/>
      <c r="M14" s="171"/>
      <c r="N14" s="171"/>
      <c r="O14" s="171"/>
      <c r="P14" s="171"/>
      <c r="Q14" s="171"/>
      <c r="R14" s="171"/>
      <c r="S14" s="171"/>
      <c r="T14" s="171"/>
      <c r="U14" s="171"/>
      <c r="V14" s="171"/>
      <c r="W14" s="171"/>
      <c r="X14" s="171"/>
      <c r="Y14" s="172"/>
    </row>
    <row r="15" spans="1:27" ht="59.25" customHeight="1">
      <c r="A15" s="88" t="s">
        <v>84</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88" t="s">
        <v>85</v>
      </c>
      <c r="B16" s="167" t="s">
        <v>127</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88" t="s">
        <v>86</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88" t="s">
        <v>87</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88" t="s">
        <v>88</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88" t="s">
        <v>89</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88" t="s">
        <v>90</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88" t="s">
        <v>91</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88" t="s">
        <v>92</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88" t="s">
        <v>93</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88" t="s">
        <v>94</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88" t="s">
        <v>95</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88" t="s">
        <v>96</v>
      </c>
      <c r="B27" s="167" t="s">
        <v>128</v>
      </c>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88" t="s">
        <v>97</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88" t="s">
        <v>98</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88" t="s">
        <v>99</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88" t="s">
        <v>100</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88" t="s">
        <v>101</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88" t="s">
        <v>102</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88" t="s">
        <v>103</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88" t="s">
        <v>104</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88"/>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3">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2">
      <formula1>$AA$2:$AA$7</formula1>
    </dataValidation>
    <dataValidation type="list" allowBlank="1" showDropDown="1" showInputMessage="1" showErrorMessage="1" errorTitle="文字エラー" error="半角数字1～5を入れて下さい。_x000a_文字列ではなく数値で入力して下さい。" sqref="D13:Y13">
      <formula1>$AA$2:$AA$7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A190"/>
  <sheetViews>
    <sheetView workbookViewId="0">
      <selection sqref="A1:XFD1048576"/>
    </sheetView>
  </sheetViews>
  <sheetFormatPr defaultColWidth="9" defaultRowHeight="13.5"/>
  <cols>
    <col min="1" max="1" width="13.5" style="84" customWidth="1"/>
    <col min="2" max="2" width="79.125" style="84" customWidth="1"/>
    <col min="3" max="3" width="9.375" style="84" customWidth="1"/>
    <col min="4" max="25" width="4.125" style="84" customWidth="1"/>
    <col min="26" max="16384" width="9" style="84"/>
  </cols>
  <sheetData>
    <row r="1" spans="1:27" ht="85.5" customHeight="1">
      <c r="A1" s="82" t="str">
        <f ca="1">MID(CELL("filename",A1),FIND("[",CELL("filename",A1))+1,3)</f>
        <v>３－２</v>
      </c>
      <c r="B1" s="34" t="str">
        <f ca="1">RIGHT(CELL("filename",B1),LEN(CELL("filename",B1))-FIND("]",CELL("filename",B1)))</f>
        <v>社会</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83"/>
    </row>
    <row r="2" spans="1:27" ht="22.5" customHeight="1">
      <c r="A2" s="158" t="s">
        <v>256</v>
      </c>
      <c r="B2" s="41" t="s">
        <v>129</v>
      </c>
      <c r="C2" s="38" t="s">
        <v>26</v>
      </c>
      <c r="D2" s="72" t="s">
        <v>257</v>
      </c>
      <c r="E2" s="72" t="s">
        <v>257</v>
      </c>
      <c r="F2" s="72" t="s">
        <v>258</v>
      </c>
      <c r="G2" s="72" t="s">
        <v>257</v>
      </c>
      <c r="H2" s="72" t="s">
        <v>244</v>
      </c>
      <c r="I2" s="72" t="s">
        <v>257</v>
      </c>
      <c r="J2" s="72" t="s">
        <v>258</v>
      </c>
      <c r="K2" s="72" t="s">
        <v>258</v>
      </c>
      <c r="L2" s="72" t="s">
        <v>258</v>
      </c>
      <c r="M2" s="72" t="s">
        <v>257</v>
      </c>
      <c r="N2" s="72" t="s">
        <v>244</v>
      </c>
      <c r="O2" s="72" t="s">
        <v>257</v>
      </c>
      <c r="P2" s="72" t="s">
        <v>258</v>
      </c>
      <c r="Q2" s="72" t="s">
        <v>257</v>
      </c>
      <c r="R2" s="72" t="s">
        <v>257</v>
      </c>
      <c r="S2" s="72" t="s">
        <v>245</v>
      </c>
      <c r="T2" s="72" t="s">
        <v>257</v>
      </c>
      <c r="U2" s="72" t="s">
        <v>244</v>
      </c>
      <c r="V2" s="72" t="s">
        <v>258</v>
      </c>
      <c r="W2" s="72" t="s">
        <v>244</v>
      </c>
      <c r="X2" s="72" t="s">
        <v>257</v>
      </c>
      <c r="Y2" s="72"/>
      <c r="Z2" s="85" t="s">
        <v>257</v>
      </c>
      <c r="AA2" s="85">
        <v>1</v>
      </c>
    </row>
    <row r="3" spans="1:27" ht="22.5" customHeight="1">
      <c r="A3" s="159"/>
      <c r="B3" s="41" t="s">
        <v>130</v>
      </c>
      <c r="C3" s="38" t="s">
        <v>26</v>
      </c>
      <c r="D3" s="72" t="s">
        <v>244</v>
      </c>
      <c r="E3" s="72" t="s">
        <v>246</v>
      </c>
      <c r="F3" s="72" t="s">
        <v>244</v>
      </c>
      <c r="G3" s="72" t="s">
        <v>259</v>
      </c>
      <c r="H3" s="72" t="s">
        <v>257</v>
      </c>
      <c r="I3" s="72" t="s">
        <v>244</v>
      </c>
      <c r="J3" s="72" t="s">
        <v>244</v>
      </c>
      <c r="K3" s="72" t="s">
        <v>244</v>
      </c>
      <c r="L3" s="72" t="s">
        <v>245</v>
      </c>
      <c r="M3" s="72" t="s">
        <v>245</v>
      </c>
      <c r="N3" s="72" t="s">
        <v>257</v>
      </c>
      <c r="O3" s="72" t="s">
        <v>244</v>
      </c>
      <c r="P3" s="72" t="s">
        <v>246</v>
      </c>
      <c r="Q3" s="72" t="s">
        <v>245</v>
      </c>
      <c r="R3" s="72" t="s">
        <v>244</v>
      </c>
      <c r="S3" s="72" t="s">
        <v>245</v>
      </c>
      <c r="T3" s="72" t="s">
        <v>244</v>
      </c>
      <c r="U3" s="72" t="s">
        <v>257</v>
      </c>
      <c r="V3" s="72" t="s">
        <v>245</v>
      </c>
      <c r="W3" s="72" t="s">
        <v>244</v>
      </c>
      <c r="X3" s="72" t="s">
        <v>244</v>
      </c>
      <c r="Y3" s="72"/>
      <c r="Z3" s="85" t="s">
        <v>245</v>
      </c>
      <c r="AA3" s="85">
        <v>2</v>
      </c>
    </row>
    <row r="4" spans="1:27" ht="22.5" customHeight="1">
      <c r="A4" s="159"/>
      <c r="B4" s="41" t="s">
        <v>131</v>
      </c>
      <c r="C4" s="38" t="s">
        <v>26</v>
      </c>
      <c r="D4" s="72" t="s">
        <v>244</v>
      </c>
      <c r="E4" s="72" t="s">
        <v>245</v>
      </c>
      <c r="F4" s="72" t="s">
        <v>245</v>
      </c>
      <c r="G4" s="72" t="s">
        <v>257</v>
      </c>
      <c r="H4" s="72" t="s">
        <v>245</v>
      </c>
      <c r="I4" s="72" t="s">
        <v>245</v>
      </c>
      <c r="J4" s="72" t="s">
        <v>244</v>
      </c>
      <c r="K4" s="72" t="s">
        <v>244</v>
      </c>
      <c r="L4" s="72" t="s">
        <v>258</v>
      </c>
      <c r="M4" s="72" t="s">
        <v>245</v>
      </c>
      <c r="N4" s="72" t="s">
        <v>244</v>
      </c>
      <c r="O4" s="72" t="s">
        <v>244</v>
      </c>
      <c r="P4" s="72" t="s">
        <v>245</v>
      </c>
      <c r="Q4" s="72" t="s">
        <v>258</v>
      </c>
      <c r="R4" s="72" t="s">
        <v>244</v>
      </c>
      <c r="S4" s="72" t="s">
        <v>245</v>
      </c>
      <c r="T4" s="72" t="s">
        <v>245</v>
      </c>
      <c r="U4" s="72" t="s">
        <v>244</v>
      </c>
      <c r="V4" s="72" t="s">
        <v>244</v>
      </c>
      <c r="W4" s="72" t="s">
        <v>244</v>
      </c>
      <c r="X4" s="72" t="s">
        <v>245</v>
      </c>
      <c r="Y4" s="72"/>
      <c r="Z4" s="85" t="s">
        <v>246</v>
      </c>
      <c r="AA4" s="85">
        <v>3</v>
      </c>
    </row>
    <row r="5" spans="1:27" ht="22.5" customHeight="1">
      <c r="A5" s="159"/>
      <c r="B5" s="41" t="s">
        <v>132</v>
      </c>
      <c r="C5" s="38" t="s">
        <v>26</v>
      </c>
      <c r="D5" s="72" t="s">
        <v>244</v>
      </c>
      <c r="E5" s="72" t="s">
        <v>245</v>
      </c>
      <c r="F5" s="72" t="s">
        <v>245</v>
      </c>
      <c r="G5" s="72" t="s">
        <v>244</v>
      </c>
      <c r="H5" s="72" t="s">
        <v>245</v>
      </c>
      <c r="I5" s="72" t="s">
        <v>244</v>
      </c>
      <c r="J5" s="72" t="s">
        <v>245</v>
      </c>
      <c r="K5" s="72" t="s">
        <v>245</v>
      </c>
      <c r="L5" s="72" t="s">
        <v>245</v>
      </c>
      <c r="M5" s="72" t="s">
        <v>244</v>
      </c>
      <c r="N5" s="72" t="s">
        <v>257</v>
      </c>
      <c r="O5" s="72" t="s">
        <v>244</v>
      </c>
      <c r="P5" s="72" t="s">
        <v>245</v>
      </c>
      <c r="Q5" s="72" t="s">
        <v>245</v>
      </c>
      <c r="R5" s="72" t="s">
        <v>244</v>
      </c>
      <c r="S5" s="72" t="s">
        <v>245</v>
      </c>
      <c r="T5" s="72" t="s">
        <v>244</v>
      </c>
      <c r="U5" s="72" t="s">
        <v>258</v>
      </c>
      <c r="V5" s="72" t="s">
        <v>257</v>
      </c>
      <c r="W5" s="72" t="s">
        <v>257</v>
      </c>
      <c r="X5" s="72" t="s">
        <v>258</v>
      </c>
      <c r="Y5" s="72"/>
      <c r="Z5" s="85" t="s">
        <v>260</v>
      </c>
      <c r="AA5" s="85">
        <v>4</v>
      </c>
    </row>
    <row r="6" spans="1:27" ht="22.5" customHeight="1">
      <c r="A6" s="159"/>
      <c r="B6" s="41"/>
      <c r="C6" s="38" t="s">
        <v>26</v>
      </c>
      <c r="D6" s="72"/>
      <c r="E6" s="72"/>
      <c r="F6" s="72"/>
      <c r="G6" s="72"/>
      <c r="H6" s="72"/>
      <c r="I6" s="72"/>
      <c r="J6" s="72"/>
      <c r="K6" s="72"/>
      <c r="L6" s="72"/>
      <c r="M6" s="72"/>
      <c r="N6" s="72"/>
      <c r="O6" s="72"/>
      <c r="P6" s="72"/>
      <c r="Q6" s="72"/>
      <c r="R6" s="72"/>
      <c r="S6" s="72"/>
      <c r="T6" s="72"/>
      <c r="U6" s="72"/>
      <c r="V6" s="72"/>
      <c r="W6" s="72"/>
      <c r="X6" s="72"/>
      <c r="Y6" s="72"/>
      <c r="Z6" s="85"/>
      <c r="AA6" s="85">
        <v>5</v>
      </c>
    </row>
    <row r="7" spans="1:27" ht="22.5" customHeight="1">
      <c r="A7" s="159"/>
      <c r="B7" s="41"/>
      <c r="C7" s="38" t="s">
        <v>26</v>
      </c>
      <c r="D7" s="72"/>
      <c r="E7" s="72"/>
      <c r="F7" s="72"/>
      <c r="G7" s="72"/>
      <c r="H7" s="72"/>
      <c r="I7" s="72"/>
      <c r="J7" s="72"/>
      <c r="K7" s="72"/>
      <c r="L7" s="72"/>
      <c r="M7" s="72"/>
      <c r="N7" s="72"/>
      <c r="O7" s="72"/>
      <c r="P7" s="72"/>
      <c r="Q7" s="72"/>
      <c r="R7" s="72"/>
      <c r="S7" s="72"/>
      <c r="T7" s="72"/>
      <c r="U7" s="72"/>
      <c r="V7" s="72"/>
      <c r="W7" s="72"/>
      <c r="X7" s="72"/>
      <c r="Y7" s="72"/>
      <c r="Z7" s="85"/>
      <c r="AA7" s="85" t="s">
        <v>260</v>
      </c>
    </row>
    <row r="8" spans="1:27" ht="22.5" customHeight="1">
      <c r="A8" s="159"/>
      <c r="B8" s="41"/>
      <c r="C8" s="38" t="s">
        <v>26</v>
      </c>
      <c r="D8" s="72"/>
      <c r="E8" s="72"/>
      <c r="F8" s="72"/>
      <c r="G8" s="72"/>
      <c r="H8" s="72"/>
      <c r="I8" s="72"/>
      <c r="J8" s="72"/>
      <c r="K8" s="72"/>
      <c r="L8" s="72"/>
      <c r="M8" s="72"/>
      <c r="N8" s="72"/>
      <c r="O8" s="72"/>
      <c r="P8" s="72"/>
      <c r="Q8" s="72"/>
      <c r="R8" s="72"/>
      <c r="S8" s="72"/>
      <c r="T8" s="72"/>
      <c r="U8" s="72"/>
      <c r="V8" s="72"/>
      <c r="W8" s="72"/>
      <c r="X8" s="72"/>
      <c r="Y8" s="72"/>
    </row>
    <row r="9" spans="1:27" ht="22.5" customHeight="1">
      <c r="A9" s="159"/>
      <c r="B9" s="41"/>
      <c r="C9" s="38" t="s">
        <v>26</v>
      </c>
      <c r="D9" s="72"/>
      <c r="E9" s="72"/>
      <c r="F9" s="72"/>
      <c r="G9" s="72"/>
      <c r="H9" s="72"/>
      <c r="I9" s="72"/>
      <c r="J9" s="72"/>
      <c r="K9" s="72"/>
      <c r="L9" s="72"/>
      <c r="M9" s="72"/>
      <c r="N9" s="72"/>
      <c r="O9" s="72"/>
      <c r="P9" s="72"/>
      <c r="Q9" s="72"/>
      <c r="R9" s="72"/>
      <c r="S9" s="72"/>
      <c r="T9" s="72"/>
      <c r="U9" s="72"/>
      <c r="V9" s="72"/>
      <c r="W9" s="72"/>
      <c r="X9" s="72"/>
      <c r="Y9" s="72"/>
    </row>
    <row r="10" spans="1:27" ht="22.5" customHeight="1">
      <c r="A10" s="159"/>
      <c r="B10" s="41"/>
      <c r="C10" s="38" t="s">
        <v>26</v>
      </c>
      <c r="D10" s="72"/>
      <c r="E10" s="72"/>
      <c r="F10" s="72"/>
      <c r="G10" s="72"/>
      <c r="H10" s="72"/>
      <c r="I10" s="72"/>
      <c r="J10" s="72"/>
      <c r="K10" s="72"/>
      <c r="L10" s="72"/>
      <c r="M10" s="72"/>
      <c r="N10" s="72"/>
      <c r="O10" s="72"/>
      <c r="P10" s="72"/>
      <c r="Q10" s="72"/>
      <c r="R10" s="72"/>
      <c r="S10" s="72"/>
      <c r="T10" s="72"/>
      <c r="U10" s="72"/>
      <c r="V10" s="72"/>
      <c r="W10" s="72"/>
      <c r="X10" s="72"/>
      <c r="Y10" s="72"/>
    </row>
    <row r="11" spans="1:27" ht="22.5" customHeight="1">
      <c r="A11" s="159"/>
      <c r="B11" s="41"/>
      <c r="C11" s="38" t="s">
        <v>26</v>
      </c>
      <c r="D11" s="72"/>
      <c r="E11" s="72"/>
      <c r="F11" s="72"/>
      <c r="G11" s="72"/>
      <c r="H11" s="72"/>
      <c r="I11" s="72"/>
      <c r="J11" s="72"/>
      <c r="K11" s="72"/>
      <c r="L11" s="72"/>
      <c r="M11" s="72"/>
      <c r="N11" s="72"/>
      <c r="O11" s="72"/>
      <c r="P11" s="72"/>
      <c r="Q11" s="72"/>
      <c r="R11" s="72"/>
      <c r="S11" s="72"/>
      <c r="T11" s="72"/>
      <c r="U11" s="72"/>
      <c r="V11" s="72"/>
      <c r="W11" s="72"/>
      <c r="X11" s="72"/>
      <c r="Y11" s="72"/>
    </row>
    <row r="12" spans="1:27" ht="30" customHeight="1">
      <c r="A12" s="160"/>
      <c r="B12" s="42"/>
      <c r="C12" s="43" t="s">
        <v>27</v>
      </c>
      <c r="D12" s="72">
        <v>5</v>
      </c>
      <c r="E12" s="72">
        <v>3</v>
      </c>
      <c r="F12" s="72">
        <v>3</v>
      </c>
      <c r="G12" s="72">
        <v>4</v>
      </c>
      <c r="H12" s="72">
        <v>4</v>
      </c>
      <c r="I12" s="72">
        <v>4</v>
      </c>
      <c r="J12" s="72">
        <v>4</v>
      </c>
      <c r="K12" s="72">
        <v>4</v>
      </c>
      <c r="L12" s="72">
        <v>3</v>
      </c>
      <c r="M12" s="72">
        <v>4</v>
      </c>
      <c r="N12" s="72">
        <v>5</v>
      </c>
      <c r="O12" s="72">
        <v>5</v>
      </c>
      <c r="P12" s="72">
        <v>2</v>
      </c>
      <c r="Q12" s="72">
        <v>3</v>
      </c>
      <c r="R12" s="72">
        <v>5</v>
      </c>
      <c r="S12" s="72">
        <v>3</v>
      </c>
      <c r="T12" s="72">
        <v>4</v>
      </c>
      <c r="U12" s="72">
        <v>4</v>
      </c>
      <c r="V12" s="72">
        <v>4</v>
      </c>
      <c r="W12" s="72">
        <v>5</v>
      </c>
      <c r="X12" s="72">
        <v>4</v>
      </c>
      <c r="Y12" s="72"/>
    </row>
    <row r="13" spans="1:27" ht="26.25" customHeight="1">
      <c r="A13" s="86"/>
      <c r="B13" s="86"/>
      <c r="C13" s="81" t="s">
        <v>57</v>
      </c>
      <c r="D13" s="72"/>
      <c r="E13" s="72"/>
      <c r="F13" s="72"/>
      <c r="G13" s="72"/>
      <c r="H13" s="72"/>
      <c r="I13" s="72"/>
      <c r="J13" s="72"/>
      <c r="K13" s="72"/>
      <c r="L13" s="72"/>
      <c r="M13" s="72"/>
      <c r="N13" s="72"/>
      <c r="O13" s="72"/>
      <c r="P13" s="72"/>
      <c r="Q13" s="72"/>
      <c r="R13" s="72"/>
      <c r="S13" s="72"/>
      <c r="T13" s="72"/>
      <c r="U13" s="72"/>
      <c r="V13" s="72"/>
      <c r="W13" s="72"/>
      <c r="X13" s="72"/>
      <c r="Y13" s="72"/>
    </row>
    <row r="14" spans="1:27" ht="22.5" customHeight="1">
      <c r="A14" s="45" t="s">
        <v>28</v>
      </c>
      <c r="B14" s="170" t="s">
        <v>29</v>
      </c>
      <c r="C14" s="171"/>
      <c r="D14" s="171"/>
      <c r="E14" s="171"/>
      <c r="F14" s="171"/>
      <c r="G14" s="171"/>
      <c r="H14" s="171"/>
      <c r="I14" s="171"/>
      <c r="J14" s="171"/>
      <c r="K14" s="171"/>
      <c r="L14" s="171"/>
      <c r="M14" s="171"/>
      <c r="N14" s="171"/>
      <c r="O14" s="171"/>
      <c r="P14" s="171"/>
      <c r="Q14" s="171"/>
      <c r="R14" s="171"/>
      <c r="S14" s="171"/>
      <c r="T14" s="171"/>
      <c r="U14" s="171"/>
      <c r="V14" s="171"/>
      <c r="W14" s="171"/>
      <c r="X14" s="171"/>
      <c r="Y14" s="172"/>
    </row>
    <row r="15" spans="1:27" ht="59.25" customHeight="1">
      <c r="A15" s="88" t="s">
        <v>84</v>
      </c>
      <c r="B15" s="167" t="s">
        <v>261</v>
      </c>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88" t="s">
        <v>85</v>
      </c>
      <c r="B16" s="167" t="s">
        <v>133</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88" t="s">
        <v>86</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88" t="s">
        <v>87</v>
      </c>
      <c r="B18" s="167" t="s">
        <v>134</v>
      </c>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88" t="s">
        <v>88</v>
      </c>
      <c r="B19" s="167" t="s">
        <v>135</v>
      </c>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88" t="s">
        <v>89</v>
      </c>
      <c r="B20" s="167" t="s">
        <v>262</v>
      </c>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88" t="s">
        <v>90</v>
      </c>
      <c r="B21" s="167" t="s">
        <v>136</v>
      </c>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88" t="s">
        <v>91</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88" t="s">
        <v>92</v>
      </c>
      <c r="B23" s="167" t="s">
        <v>137</v>
      </c>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88" t="s">
        <v>93</v>
      </c>
      <c r="B24" s="167" t="s">
        <v>263</v>
      </c>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88" t="s">
        <v>94</v>
      </c>
      <c r="B25" s="167" t="s">
        <v>138</v>
      </c>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88" t="s">
        <v>95</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88" t="s">
        <v>96</v>
      </c>
      <c r="B27" s="167" t="s">
        <v>139</v>
      </c>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88" t="s">
        <v>97</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88" t="s">
        <v>98</v>
      </c>
      <c r="B29" s="167" t="s">
        <v>140</v>
      </c>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88" t="s">
        <v>99</v>
      </c>
      <c r="B30" s="167" t="s">
        <v>141</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88" t="s">
        <v>100</v>
      </c>
      <c r="B31" s="167" t="s">
        <v>142</v>
      </c>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88" t="s">
        <v>101</v>
      </c>
      <c r="B32" s="167" t="s">
        <v>143</v>
      </c>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88" t="s">
        <v>102</v>
      </c>
      <c r="B33" s="167" t="s">
        <v>144</v>
      </c>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88" t="s">
        <v>103</v>
      </c>
      <c r="B34" s="167" t="s">
        <v>145</v>
      </c>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88" t="s">
        <v>104</v>
      </c>
      <c r="B35" s="167" t="s">
        <v>146</v>
      </c>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88"/>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6:Y36"/>
    <mergeCell ref="B24:Y24"/>
    <mergeCell ref="B25:Y25"/>
    <mergeCell ref="B26:Y26"/>
    <mergeCell ref="B27:Y27"/>
    <mergeCell ref="B28:Y28"/>
    <mergeCell ref="B29:Y29"/>
    <mergeCell ref="B31:Y31"/>
    <mergeCell ref="B32:Y32"/>
    <mergeCell ref="B33:Y33"/>
    <mergeCell ref="B34:Y34"/>
    <mergeCell ref="B35:Y35"/>
    <mergeCell ref="A2:A12"/>
    <mergeCell ref="B19:Y19"/>
    <mergeCell ref="B30:Y30"/>
    <mergeCell ref="B20:Y20"/>
    <mergeCell ref="B21:Y21"/>
    <mergeCell ref="B22:Y22"/>
    <mergeCell ref="B23:Y23"/>
    <mergeCell ref="B14:Y14"/>
    <mergeCell ref="B15:Y15"/>
    <mergeCell ref="B16:Y16"/>
    <mergeCell ref="B17:Y17"/>
    <mergeCell ref="B18:Y18"/>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英語</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82</v>
      </c>
      <c r="B2" s="41" t="s">
        <v>45</v>
      </c>
      <c r="C2" s="38" t="s">
        <v>26</v>
      </c>
      <c r="D2" s="39" t="s">
        <v>264</v>
      </c>
      <c r="E2" s="39" t="s">
        <v>83</v>
      </c>
      <c r="F2" s="39" t="s">
        <v>81</v>
      </c>
      <c r="G2" s="39" t="s">
        <v>49</v>
      </c>
      <c r="H2" s="39" t="s">
        <v>49</v>
      </c>
      <c r="I2" s="39" t="s">
        <v>49</v>
      </c>
      <c r="J2" s="39" t="s">
        <v>49</v>
      </c>
      <c r="K2" s="39" t="s">
        <v>49</v>
      </c>
      <c r="L2" s="39" t="s">
        <v>49</v>
      </c>
      <c r="M2" s="39" t="s">
        <v>49</v>
      </c>
      <c r="N2" s="39" t="s">
        <v>49</v>
      </c>
      <c r="O2" s="39" t="s">
        <v>49</v>
      </c>
      <c r="P2" s="39" t="s">
        <v>49</v>
      </c>
      <c r="Q2" s="39" t="s">
        <v>265</v>
      </c>
      <c r="R2" s="39" t="s">
        <v>49</v>
      </c>
      <c r="S2" s="39" t="s">
        <v>49</v>
      </c>
      <c r="T2" s="39" t="s">
        <v>49</v>
      </c>
      <c r="U2" s="39" t="s">
        <v>49</v>
      </c>
      <c r="V2" s="39" t="s">
        <v>49</v>
      </c>
      <c r="W2" s="39" t="s">
        <v>49</v>
      </c>
      <c r="X2" s="39" t="s">
        <v>49</v>
      </c>
      <c r="Y2" s="39"/>
      <c r="Z2" s="40" t="s">
        <v>266</v>
      </c>
      <c r="AA2" s="40">
        <v>1</v>
      </c>
    </row>
    <row r="3" spans="1:27" ht="22.5" customHeight="1">
      <c r="A3" s="159"/>
      <c r="B3" s="41" t="s">
        <v>70</v>
      </c>
      <c r="C3" s="38" t="s">
        <v>26</v>
      </c>
      <c r="D3" s="39" t="s">
        <v>81</v>
      </c>
      <c r="E3" s="39" t="s">
        <v>81</v>
      </c>
      <c r="F3" s="39" t="s">
        <v>49</v>
      </c>
      <c r="G3" s="39" t="s">
        <v>49</v>
      </c>
      <c r="H3" s="39" t="s">
        <v>49</v>
      </c>
      <c r="I3" s="39" t="s">
        <v>264</v>
      </c>
      <c r="J3" s="39" t="s">
        <v>264</v>
      </c>
      <c r="K3" s="39" t="s">
        <v>81</v>
      </c>
      <c r="L3" s="39" t="s">
        <v>81</v>
      </c>
      <c r="M3" s="39" t="s">
        <v>81</v>
      </c>
      <c r="N3" s="39" t="s">
        <v>267</v>
      </c>
      <c r="O3" s="39" t="s">
        <v>81</v>
      </c>
      <c r="P3" s="39" t="s">
        <v>81</v>
      </c>
      <c r="Q3" s="39" t="s">
        <v>267</v>
      </c>
      <c r="R3" s="39" t="s">
        <v>264</v>
      </c>
      <c r="S3" s="39" t="s">
        <v>81</v>
      </c>
      <c r="T3" s="39" t="s">
        <v>81</v>
      </c>
      <c r="U3" s="39" t="s">
        <v>81</v>
      </c>
      <c r="V3" s="39" t="s">
        <v>49</v>
      </c>
      <c r="W3" s="39" t="s">
        <v>49</v>
      </c>
      <c r="X3" s="39" t="s">
        <v>49</v>
      </c>
      <c r="Y3" s="39"/>
      <c r="Z3" s="40" t="s">
        <v>83</v>
      </c>
      <c r="AA3" s="40">
        <v>2</v>
      </c>
    </row>
    <row r="4" spans="1:27" ht="22.5" customHeight="1">
      <c r="A4" s="159"/>
      <c r="B4" s="41" t="s">
        <v>54</v>
      </c>
      <c r="C4" s="38" t="s">
        <v>26</v>
      </c>
      <c r="D4" s="39" t="s">
        <v>264</v>
      </c>
      <c r="E4" s="39" t="s">
        <v>49</v>
      </c>
      <c r="F4" s="39" t="s">
        <v>49</v>
      </c>
      <c r="G4" s="39" t="s">
        <v>49</v>
      </c>
      <c r="H4" s="39" t="s">
        <v>49</v>
      </c>
      <c r="I4" s="39" t="s">
        <v>266</v>
      </c>
      <c r="J4" s="39" t="s">
        <v>234</v>
      </c>
      <c r="K4" s="39" t="s">
        <v>264</v>
      </c>
      <c r="L4" s="39" t="s">
        <v>268</v>
      </c>
      <c r="M4" s="39" t="s">
        <v>81</v>
      </c>
      <c r="N4" s="39" t="s">
        <v>81</v>
      </c>
      <c r="O4" s="39" t="s">
        <v>264</v>
      </c>
      <c r="P4" s="39" t="s">
        <v>83</v>
      </c>
      <c r="Q4" s="39" t="s">
        <v>83</v>
      </c>
      <c r="R4" s="39" t="s">
        <v>234</v>
      </c>
      <c r="S4" s="39" t="s">
        <v>81</v>
      </c>
      <c r="T4" s="39" t="s">
        <v>83</v>
      </c>
      <c r="U4" s="39" t="s">
        <v>81</v>
      </c>
      <c r="V4" s="39" t="s">
        <v>49</v>
      </c>
      <c r="W4" s="39" t="s">
        <v>49</v>
      </c>
      <c r="X4" s="39" t="s">
        <v>49</v>
      </c>
      <c r="Y4" s="39"/>
      <c r="Z4" s="40" t="s">
        <v>268</v>
      </c>
      <c r="AA4" s="40">
        <v>3</v>
      </c>
    </row>
    <row r="5" spans="1:27" ht="22.5" customHeight="1">
      <c r="A5" s="159"/>
      <c r="B5" s="41" t="s">
        <v>46</v>
      </c>
      <c r="C5" s="38" t="s">
        <v>26</v>
      </c>
      <c r="D5" s="39" t="s">
        <v>81</v>
      </c>
      <c r="E5" s="39" t="s">
        <v>49</v>
      </c>
      <c r="F5" s="39" t="s">
        <v>49</v>
      </c>
      <c r="G5" s="39" t="s">
        <v>49</v>
      </c>
      <c r="H5" s="39" t="s">
        <v>49</v>
      </c>
      <c r="I5" s="39" t="s">
        <v>81</v>
      </c>
      <c r="J5" s="39" t="s">
        <v>81</v>
      </c>
      <c r="K5" s="39" t="s">
        <v>81</v>
      </c>
      <c r="L5" s="39" t="s">
        <v>269</v>
      </c>
      <c r="M5" s="39" t="s">
        <v>81</v>
      </c>
      <c r="N5" s="39" t="s">
        <v>267</v>
      </c>
      <c r="O5" s="39" t="s">
        <v>264</v>
      </c>
      <c r="P5" s="39" t="s">
        <v>268</v>
      </c>
      <c r="Q5" s="39" t="s">
        <v>81</v>
      </c>
      <c r="R5" s="39" t="s">
        <v>83</v>
      </c>
      <c r="S5" s="39" t="s">
        <v>81</v>
      </c>
      <c r="T5" s="39" t="s">
        <v>83</v>
      </c>
      <c r="U5" s="39" t="s">
        <v>81</v>
      </c>
      <c r="V5" s="39" t="s">
        <v>49</v>
      </c>
      <c r="W5" s="39" t="s">
        <v>49</v>
      </c>
      <c r="X5" s="39" t="s">
        <v>49</v>
      </c>
      <c r="Y5" s="39"/>
      <c r="Z5" s="40" t="s">
        <v>270</v>
      </c>
      <c r="AA5" s="40">
        <v>4</v>
      </c>
    </row>
    <row r="6" spans="1:27" ht="22.5" customHeight="1">
      <c r="A6" s="159"/>
      <c r="B6" s="41" t="s">
        <v>47</v>
      </c>
      <c r="C6" s="38" t="s">
        <v>26</v>
      </c>
      <c r="D6" s="39" t="s">
        <v>264</v>
      </c>
      <c r="E6" s="39" t="s">
        <v>49</v>
      </c>
      <c r="F6" s="39" t="s">
        <v>49</v>
      </c>
      <c r="G6" s="39" t="s">
        <v>49</v>
      </c>
      <c r="H6" s="39" t="s">
        <v>49</v>
      </c>
      <c r="I6" s="39" t="s">
        <v>81</v>
      </c>
      <c r="J6" s="39" t="s">
        <v>265</v>
      </c>
      <c r="K6" s="39" t="s">
        <v>81</v>
      </c>
      <c r="L6" s="39" t="s">
        <v>271</v>
      </c>
      <c r="M6" s="39" t="s">
        <v>264</v>
      </c>
      <c r="N6" s="39" t="s">
        <v>264</v>
      </c>
      <c r="O6" s="39" t="s">
        <v>81</v>
      </c>
      <c r="P6" s="39" t="s">
        <v>272</v>
      </c>
      <c r="Q6" s="39" t="s">
        <v>264</v>
      </c>
      <c r="R6" s="39" t="s">
        <v>265</v>
      </c>
      <c r="S6" s="39" t="s">
        <v>81</v>
      </c>
      <c r="T6" s="39" t="s">
        <v>266</v>
      </c>
      <c r="U6" s="39" t="s">
        <v>81</v>
      </c>
      <c r="V6" s="39" t="s">
        <v>49</v>
      </c>
      <c r="W6" s="39" t="s">
        <v>49</v>
      </c>
      <c r="X6" s="39" t="s">
        <v>49</v>
      </c>
      <c r="Y6" s="39"/>
      <c r="Z6" s="40"/>
      <c r="AA6" s="40">
        <v>5</v>
      </c>
    </row>
    <row r="7" spans="1:27" ht="22.5" customHeight="1">
      <c r="A7" s="159"/>
      <c r="B7" s="41"/>
      <c r="C7" s="38" t="s">
        <v>26</v>
      </c>
      <c r="D7" s="39"/>
      <c r="E7" s="39"/>
      <c r="F7" s="39"/>
      <c r="G7" s="39"/>
      <c r="H7" s="39"/>
      <c r="I7" s="39"/>
      <c r="J7" s="39"/>
      <c r="K7" s="39"/>
      <c r="L7" s="39"/>
      <c r="M7" s="39"/>
      <c r="N7" s="39"/>
      <c r="O7" s="39"/>
      <c r="P7" s="39"/>
      <c r="Q7" s="39"/>
      <c r="R7" s="39"/>
      <c r="S7" s="39"/>
      <c r="T7" s="39"/>
      <c r="U7" s="39"/>
      <c r="V7" s="39"/>
      <c r="W7" s="39"/>
      <c r="X7" s="39"/>
      <c r="Y7" s="39"/>
      <c r="Z7" s="40"/>
      <c r="AA7" s="40" t="s">
        <v>270</v>
      </c>
    </row>
    <row r="8" spans="1:27" ht="22.5" customHeight="1">
      <c r="A8" s="159"/>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9"/>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9"/>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9"/>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0"/>
      <c r="B12" s="42"/>
      <c r="C12" s="43" t="s">
        <v>27</v>
      </c>
      <c r="D12" s="39">
        <v>5</v>
      </c>
      <c r="E12" s="39">
        <v>5</v>
      </c>
      <c r="F12" s="39">
        <v>5</v>
      </c>
      <c r="G12" s="39">
        <v>5</v>
      </c>
      <c r="H12" s="39">
        <v>5</v>
      </c>
      <c r="I12" s="39">
        <v>5</v>
      </c>
      <c r="J12" s="39">
        <v>4</v>
      </c>
      <c r="K12" s="39">
        <v>5</v>
      </c>
      <c r="L12" s="39">
        <v>3</v>
      </c>
      <c r="M12" s="39">
        <v>5</v>
      </c>
      <c r="N12" s="39">
        <v>5</v>
      </c>
      <c r="O12" s="39">
        <v>5</v>
      </c>
      <c r="P12" s="39">
        <v>4</v>
      </c>
      <c r="Q12" s="39">
        <v>4</v>
      </c>
      <c r="R12" s="39">
        <v>3</v>
      </c>
      <c r="S12" s="39">
        <v>5</v>
      </c>
      <c r="T12" s="39">
        <v>4</v>
      </c>
      <c r="U12" s="39">
        <v>5</v>
      </c>
      <c r="V12" s="39">
        <v>5</v>
      </c>
      <c r="W12" s="39">
        <v>5</v>
      </c>
      <c r="X12" s="39">
        <v>5</v>
      </c>
      <c r="Y12" s="39"/>
    </row>
    <row r="13" spans="1:27" ht="26.25" customHeight="1">
      <c r="A13" s="44"/>
      <c r="B13" s="44"/>
      <c r="C13" s="81" t="s">
        <v>57</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4"/>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7" ht="59.25" customHeight="1">
      <c r="A16" s="46" t="s">
        <v>85</v>
      </c>
      <c r="B16" s="164"/>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59.25" customHeight="1">
      <c r="A17" s="46" t="s">
        <v>86</v>
      </c>
      <c r="B17" s="164"/>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59.25" customHeight="1">
      <c r="A18" s="46" t="s">
        <v>87</v>
      </c>
      <c r="B18" s="164"/>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59.25" customHeight="1">
      <c r="A19" s="46" t="s">
        <v>88</v>
      </c>
      <c r="B19" s="164"/>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59.25" customHeight="1">
      <c r="A20" s="46" t="s">
        <v>89</v>
      </c>
      <c r="B20" s="164"/>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59.25" customHeight="1">
      <c r="A21" s="46" t="s">
        <v>90</v>
      </c>
      <c r="B21" s="164"/>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59.25" customHeight="1">
      <c r="A22" s="46" t="s">
        <v>91</v>
      </c>
      <c r="B22" s="164"/>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59.25" customHeight="1">
      <c r="A23" s="46" t="s">
        <v>92</v>
      </c>
      <c r="B23" s="164"/>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59.25" customHeight="1">
      <c r="A24" s="46" t="s">
        <v>93</v>
      </c>
      <c r="B24" s="164"/>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59.25" customHeight="1">
      <c r="A25" s="46" t="s">
        <v>94</v>
      </c>
      <c r="B25" s="164"/>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59.25" customHeight="1">
      <c r="A26" s="46" t="s">
        <v>95</v>
      </c>
      <c r="B26" s="164"/>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59.25" customHeight="1">
      <c r="A27" s="46" t="s">
        <v>96</v>
      </c>
      <c r="B27" s="164"/>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59.25" customHeight="1">
      <c r="A28" s="46" t="s">
        <v>97</v>
      </c>
      <c r="B28" s="164"/>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59.25" customHeight="1">
      <c r="A29" s="46" t="s">
        <v>98</v>
      </c>
      <c r="B29" s="164"/>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59.25" customHeight="1">
      <c r="A30" s="46" t="s">
        <v>99</v>
      </c>
      <c r="B30" s="164"/>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59.25" customHeight="1">
      <c r="A31" s="46" t="s">
        <v>100</v>
      </c>
      <c r="B31" s="164"/>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59.25" customHeight="1">
      <c r="A32" s="46" t="s">
        <v>101</v>
      </c>
      <c r="B32" s="164"/>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5" ht="59.25" customHeight="1">
      <c r="A33" s="46" t="s">
        <v>102</v>
      </c>
      <c r="B33" s="164"/>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5" ht="59.25" customHeight="1">
      <c r="A34" s="46" t="s">
        <v>103</v>
      </c>
      <c r="B34" s="164"/>
      <c r="C34" s="165"/>
      <c r="D34" s="165"/>
      <c r="E34" s="165"/>
      <c r="F34" s="165"/>
      <c r="G34" s="165"/>
      <c r="H34" s="165"/>
      <c r="I34" s="165"/>
      <c r="J34" s="165"/>
      <c r="K34" s="165"/>
      <c r="L34" s="165"/>
      <c r="M34" s="165"/>
      <c r="N34" s="165"/>
      <c r="O34" s="165"/>
      <c r="P34" s="165"/>
      <c r="Q34" s="165"/>
      <c r="R34" s="165"/>
      <c r="S34" s="165"/>
      <c r="T34" s="165"/>
      <c r="U34" s="165"/>
      <c r="V34" s="165"/>
      <c r="W34" s="165"/>
      <c r="X34" s="165"/>
      <c r="Y34" s="166"/>
    </row>
    <row r="35" spans="1:25" ht="59.25" customHeight="1">
      <c r="A35" s="46" t="s">
        <v>104</v>
      </c>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6"/>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音楽</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273</v>
      </c>
      <c r="B2" s="90" t="s">
        <v>147</v>
      </c>
      <c r="C2" s="38" t="s">
        <v>26</v>
      </c>
      <c r="D2" s="39" t="s">
        <v>49</v>
      </c>
      <c r="E2" s="39" t="s">
        <v>49</v>
      </c>
      <c r="F2" s="39" t="s">
        <v>49</v>
      </c>
      <c r="G2" s="39" t="s">
        <v>49</v>
      </c>
      <c r="H2" s="39" t="s">
        <v>49</v>
      </c>
      <c r="I2" s="39" t="s">
        <v>49</v>
      </c>
      <c r="J2" s="39" t="s">
        <v>49</v>
      </c>
      <c r="K2" s="39" t="s">
        <v>49</v>
      </c>
      <c r="L2" s="39" t="s">
        <v>49</v>
      </c>
      <c r="M2" s="39" t="s">
        <v>49</v>
      </c>
      <c r="N2" s="39" t="s">
        <v>49</v>
      </c>
      <c r="O2" s="39" t="s">
        <v>49</v>
      </c>
      <c r="P2" s="39" t="s">
        <v>48</v>
      </c>
      <c r="Q2" s="39" t="s">
        <v>49</v>
      </c>
      <c r="R2" s="39" t="s">
        <v>49</v>
      </c>
      <c r="S2" s="39" t="s">
        <v>48</v>
      </c>
      <c r="T2" s="39" t="s">
        <v>49</v>
      </c>
      <c r="U2" s="39" t="s">
        <v>49</v>
      </c>
      <c r="V2" s="39" t="s">
        <v>49</v>
      </c>
      <c r="W2" s="39" t="s">
        <v>49</v>
      </c>
      <c r="X2" s="39" t="s">
        <v>49</v>
      </c>
      <c r="Y2" s="39"/>
      <c r="Z2" s="40" t="s">
        <v>274</v>
      </c>
      <c r="AA2" s="40">
        <v>1</v>
      </c>
    </row>
    <row r="3" spans="1:27" ht="22.5" customHeight="1">
      <c r="A3" s="159"/>
      <c r="B3" s="90" t="s">
        <v>148</v>
      </c>
      <c r="C3" s="38" t="s">
        <v>26</v>
      </c>
      <c r="D3" s="39" t="s">
        <v>49</v>
      </c>
      <c r="E3" s="39" t="s">
        <v>49</v>
      </c>
      <c r="F3" s="39" t="s">
        <v>49</v>
      </c>
      <c r="G3" s="39" t="s">
        <v>49</v>
      </c>
      <c r="H3" s="39" t="s">
        <v>49</v>
      </c>
      <c r="I3" s="39" t="s">
        <v>49</v>
      </c>
      <c r="J3" s="39" t="s">
        <v>49</v>
      </c>
      <c r="K3" s="39" t="s">
        <v>49</v>
      </c>
      <c r="L3" s="39" t="s">
        <v>49</v>
      </c>
      <c r="M3" s="39" t="s">
        <v>49</v>
      </c>
      <c r="N3" s="39" t="s">
        <v>49</v>
      </c>
      <c r="O3" s="39" t="s">
        <v>49</v>
      </c>
      <c r="P3" s="39" t="s">
        <v>49</v>
      </c>
      <c r="Q3" s="39" t="s">
        <v>49</v>
      </c>
      <c r="R3" s="39" t="s">
        <v>49</v>
      </c>
      <c r="S3" s="39" t="s">
        <v>49</v>
      </c>
      <c r="T3" s="39" t="s">
        <v>49</v>
      </c>
      <c r="U3" s="39" t="s">
        <v>49</v>
      </c>
      <c r="V3" s="39" t="s">
        <v>49</v>
      </c>
      <c r="W3" s="39" t="s">
        <v>49</v>
      </c>
      <c r="X3" s="39" t="s">
        <v>49</v>
      </c>
      <c r="Y3" s="39"/>
      <c r="Z3" s="40" t="s">
        <v>275</v>
      </c>
      <c r="AA3" s="40">
        <v>2</v>
      </c>
    </row>
    <row r="4" spans="1:27" ht="22.5" customHeight="1">
      <c r="A4" s="159"/>
      <c r="B4" s="90" t="s">
        <v>149</v>
      </c>
      <c r="C4" s="38" t="s">
        <v>26</v>
      </c>
      <c r="D4" s="39" t="s">
        <v>49</v>
      </c>
      <c r="E4" s="39" t="s">
        <v>48</v>
      </c>
      <c r="F4" s="39" t="s">
        <v>49</v>
      </c>
      <c r="G4" s="39" t="s">
        <v>49</v>
      </c>
      <c r="H4" s="39" t="s">
        <v>49</v>
      </c>
      <c r="I4" s="39" t="s">
        <v>49</v>
      </c>
      <c r="J4" s="39" t="s">
        <v>49</v>
      </c>
      <c r="K4" s="39" t="s">
        <v>49</v>
      </c>
      <c r="L4" s="39" t="s">
        <v>49</v>
      </c>
      <c r="M4" s="39" t="s">
        <v>49</v>
      </c>
      <c r="N4" s="39" t="s">
        <v>49</v>
      </c>
      <c r="O4" s="39" t="s">
        <v>49</v>
      </c>
      <c r="P4" s="39" t="s">
        <v>48</v>
      </c>
      <c r="Q4" s="39" t="s">
        <v>49</v>
      </c>
      <c r="R4" s="39" t="s">
        <v>49</v>
      </c>
      <c r="S4" s="39" t="s">
        <v>49</v>
      </c>
      <c r="T4" s="39" t="s">
        <v>49</v>
      </c>
      <c r="U4" s="39" t="s">
        <v>49</v>
      </c>
      <c r="V4" s="39" t="s">
        <v>49</v>
      </c>
      <c r="W4" s="39" t="s">
        <v>49</v>
      </c>
      <c r="X4" s="39" t="s">
        <v>49</v>
      </c>
      <c r="Y4" s="39"/>
      <c r="Z4" s="40" t="s">
        <v>276</v>
      </c>
      <c r="AA4" s="40">
        <v>3</v>
      </c>
    </row>
    <row r="5" spans="1:27" ht="22.5" customHeight="1">
      <c r="A5" s="159"/>
      <c r="B5" s="90" t="s">
        <v>150</v>
      </c>
      <c r="C5" s="38" t="s">
        <v>26</v>
      </c>
      <c r="D5" s="39" t="s">
        <v>49</v>
      </c>
      <c r="E5" s="39" t="s">
        <v>49</v>
      </c>
      <c r="F5" s="39" t="s">
        <v>49</v>
      </c>
      <c r="G5" s="39" t="s">
        <v>49</v>
      </c>
      <c r="H5" s="39" t="s">
        <v>49</v>
      </c>
      <c r="I5" s="39" t="s">
        <v>49</v>
      </c>
      <c r="J5" s="39" t="s">
        <v>49</v>
      </c>
      <c r="K5" s="39" t="s">
        <v>49</v>
      </c>
      <c r="L5" s="39" t="s">
        <v>49</v>
      </c>
      <c r="M5" s="39" t="s">
        <v>49</v>
      </c>
      <c r="N5" s="39" t="s">
        <v>49</v>
      </c>
      <c r="O5" s="39" t="s">
        <v>49</v>
      </c>
      <c r="P5" s="39" t="s">
        <v>49</v>
      </c>
      <c r="Q5" s="39" t="s">
        <v>49</v>
      </c>
      <c r="R5" s="39" t="s">
        <v>49</v>
      </c>
      <c r="S5" s="39" t="s">
        <v>49</v>
      </c>
      <c r="T5" s="39" t="s">
        <v>49</v>
      </c>
      <c r="U5" s="39" t="s">
        <v>49</v>
      </c>
      <c r="V5" s="39" t="s">
        <v>49</v>
      </c>
      <c r="W5" s="39" t="s">
        <v>49</v>
      </c>
      <c r="X5" s="39" t="s">
        <v>49</v>
      </c>
      <c r="Y5" s="39"/>
      <c r="Z5" s="40" t="s">
        <v>277</v>
      </c>
      <c r="AA5" s="40">
        <v>4</v>
      </c>
    </row>
    <row r="6" spans="1:27" ht="22.5" customHeight="1">
      <c r="A6" s="159"/>
      <c r="B6" s="41"/>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59"/>
      <c r="B7" s="41"/>
      <c r="C7" s="38" t="s">
        <v>26</v>
      </c>
      <c r="D7" s="39"/>
      <c r="E7" s="39"/>
      <c r="F7" s="39"/>
      <c r="G7" s="39"/>
      <c r="H7" s="39"/>
      <c r="I7" s="39"/>
      <c r="J7" s="39"/>
      <c r="K7" s="39"/>
      <c r="L7" s="39"/>
      <c r="M7" s="39"/>
      <c r="N7" s="39"/>
      <c r="O7" s="39"/>
      <c r="P7" s="39"/>
      <c r="Q7" s="39"/>
      <c r="R7" s="39"/>
      <c r="S7" s="39"/>
      <c r="T7" s="39"/>
      <c r="U7" s="39"/>
      <c r="V7" s="39"/>
      <c r="W7" s="39"/>
      <c r="X7" s="39"/>
      <c r="Y7" s="39"/>
      <c r="Z7" s="40"/>
      <c r="AA7" s="40" t="s">
        <v>235</v>
      </c>
    </row>
    <row r="8" spans="1:27" ht="22.5" customHeight="1">
      <c r="A8" s="159"/>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9"/>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9"/>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9"/>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0"/>
      <c r="B12" s="42"/>
      <c r="C12" s="43" t="s">
        <v>27</v>
      </c>
      <c r="D12" s="39">
        <v>5</v>
      </c>
      <c r="E12" s="39">
        <v>4</v>
      </c>
      <c r="F12" s="39">
        <v>5</v>
      </c>
      <c r="G12" s="39">
        <v>5</v>
      </c>
      <c r="H12" s="39">
        <v>5</v>
      </c>
      <c r="I12" s="39">
        <v>5</v>
      </c>
      <c r="J12" s="39">
        <v>5</v>
      </c>
      <c r="K12" s="39">
        <v>5</v>
      </c>
      <c r="L12" s="39">
        <v>5</v>
      </c>
      <c r="M12" s="39">
        <v>5</v>
      </c>
      <c r="N12" s="39">
        <v>5</v>
      </c>
      <c r="O12" s="39">
        <v>5</v>
      </c>
      <c r="P12" s="39">
        <v>4</v>
      </c>
      <c r="Q12" s="39">
        <v>5</v>
      </c>
      <c r="R12" s="39">
        <v>5</v>
      </c>
      <c r="S12" s="39">
        <v>4</v>
      </c>
      <c r="T12" s="39">
        <v>5</v>
      </c>
      <c r="U12" s="39">
        <v>5</v>
      </c>
      <c r="V12" s="39">
        <v>5</v>
      </c>
      <c r="W12" s="39">
        <v>5</v>
      </c>
      <c r="X12" s="39">
        <v>5</v>
      </c>
      <c r="Y12" s="39"/>
    </row>
    <row r="13" spans="1:27" ht="26.25" customHeight="1">
      <c r="A13" s="44"/>
      <c r="B13" s="44"/>
      <c r="C13" s="81" t="s">
        <v>57</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4"/>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7" ht="59.25" customHeight="1">
      <c r="A16" s="46" t="s">
        <v>85</v>
      </c>
      <c r="B16" s="164"/>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59.25" customHeight="1">
      <c r="A17" s="46" t="s">
        <v>86</v>
      </c>
      <c r="B17" s="164"/>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59.25" customHeight="1">
      <c r="A18" s="46" t="s">
        <v>87</v>
      </c>
      <c r="B18" s="164"/>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59.25" customHeight="1">
      <c r="A19" s="46" t="s">
        <v>88</v>
      </c>
      <c r="B19" s="164"/>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59.25" customHeight="1">
      <c r="A20" s="46" t="s">
        <v>89</v>
      </c>
      <c r="B20" s="164"/>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59.25" customHeight="1">
      <c r="A21" s="46" t="s">
        <v>90</v>
      </c>
      <c r="B21" s="164"/>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59.25" customHeight="1">
      <c r="A22" s="46" t="s">
        <v>91</v>
      </c>
      <c r="B22" s="164"/>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59.25" customHeight="1">
      <c r="A23" s="46" t="s">
        <v>92</v>
      </c>
      <c r="B23" s="164"/>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59.25" customHeight="1">
      <c r="A24" s="46" t="s">
        <v>93</v>
      </c>
      <c r="B24" s="164"/>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59.25" customHeight="1">
      <c r="A25" s="46" t="s">
        <v>94</v>
      </c>
      <c r="B25" s="164"/>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59.25" customHeight="1">
      <c r="A26" s="46" t="s">
        <v>95</v>
      </c>
      <c r="B26" s="164"/>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59.25" customHeight="1">
      <c r="A27" s="46" t="s">
        <v>96</v>
      </c>
      <c r="B27" s="164"/>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59.25" customHeight="1">
      <c r="A28" s="46" t="s">
        <v>97</v>
      </c>
      <c r="B28" s="164"/>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59.25" customHeight="1">
      <c r="A29" s="46" t="s">
        <v>98</v>
      </c>
      <c r="B29" s="164"/>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59.25" customHeight="1">
      <c r="A30" s="46" t="s">
        <v>99</v>
      </c>
      <c r="B30" s="164"/>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59.25" customHeight="1">
      <c r="A31" s="46" t="s">
        <v>100</v>
      </c>
      <c r="B31" s="164"/>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59.25" customHeight="1">
      <c r="A32" s="46" t="s">
        <v>101</v>
      </c>
      <c r="B32" s="164"/>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5" ht="59.25" customHeight="1">
      <c r="A33" s="46" t="s">
        <v>102</v>
      </c>
      <c r="B33" s="164"/>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5" ht="59.25" customHeight="1">
      <c r="A34" s="46" t="s">
        <v>103</v>
      </c>
      <c r="B34" s="164"/>
      <c r="C34" s="165"/>
      <c r="D34" s="165"/>
      <c r="E34" s="165"/>
      <c r="F34" s="165"/>
      <c r="G34" s="165"/>
      <c r="H34" s="165"/>
      <c r="I34" s="165"/>
      <c r="J34" s="165"/>
      <c r="K34" s="165"/>
      <c r="L34" s="165"/>
      <c r="M34" s="165"/>
      <c r="N34" s="165"/>
      <c r="O34" s="165"/>
      <c r="P34" s="165"/>
      <c r="Q34" s="165"/>
      <c r="R34" s="165"/>
      <c r="S34" s="165"/>
      <c r="T34" s="165"/>
      <c r="U34" s="165"/>
      <c r="V34" s="165"/>
      <c r="W34" s="165"/>
      <c r="X34" s="165"/>
      <c r="Y34" s="166"/>
    </row>
    <row r="35" spans="1:25" ht="59.25" customHeight="1">
      <c r="A35" s="46" t="s">
        <v>104</v>
      </c>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6"/>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図工</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278</v>
      </c>
      <c r="B2" s="91" t="s">
        <v>279</v>
      </c>
      <c r="C2" s="38" t="s">
        <v>26</v>
      </c>
      <c r="D2" s="39" t="s">
        <v>280</v>
      </c>
      <c r="E2" s="39" t="s">
        <v>280</v>
      </c>
      <c r="F2" s="39" t="s">
        <v>280</v>
      </c>
      <c r="G2" s="39" t="s">
        <v>280</v>
      </c>
      <c r="H2" s="39" t="s">
        <v>280</v>
      </c>
      <c r="I2" s="39" t="s">
        <v>280</v>
      </c>
      <c r="J2" s="39" t="s">
        <v>244</v>
      </c>
      <c r="K2" s="39" t="s">
        <v>280</v>
      </c>
      <c r="L2" s="39" t="s">
        <v>280</v>
      </c>
      <c r="M2" s="39" t="s">
        <v>244</v>
      </c>
      <c r="N2" s="39" t="s">
        <v>280</v>
      </c>
      <c r="O2" s="39" t="s">
        <v>280</v>
      </c>
      <c r="P2" s="39" t="s">
        <v>280</v>
      </c>
      <c r="Q2" s="39" t="s">
        <v>244</v>
      </c>
      <c r="R2" s="39" t="s">
        <v>244</v>
      </c>
      <c r="S2" s="39" t="s">
        <v>244</v>
      </c>
      <c r="T2" s="39" t="s">
        <v>280</v>
      </c>
      <c r="U2" s="39" t="s">
        <v>280</v>
      </c>
      <c r="V2" s="39" t="s">
        <v>244</v>
      </c>
      <c r="W2" s="39" t="s">
        <v>244</v>
      </c>
      <c r="X2" s="39" t="s">
        <v>280</v>
      </c>
      <c r="Y2" s="39"/>
      <c r="Z2" s="40" t="s">
        <v>280</v>
      </c>
      <c r="AA2" s="40">
        <v>1</v>
      </c>
    </row>
    <row r="3" spans="1:27" ht="22.5" customHeight="1">
      <c r="A3" s="159"/>
      <c r="B3" s="91" t="s">
        <v>281</v>
      </c>
      <c r="C3" s="38" t="s">
        <v>26</v>
      </c>
      <c r="D3" s="39" t="s">
        <v>282</v>
      </c>
      <c r="E3" s="39" t="s">
        <v>280</v>
      </c>
      <c r="F3" s="39" t="s">
        <v>280</v>
      </c>
      <c r="G3" s="39" t="s">
        <v>244</v>
      </c>
      <c r="H3" s="39" t="s">
        <v>245</v>
      </c>
      <c r="I3" s="39" t="s">
        <v>244</v>
      </c>
      <c r="J3" s="39" t="s">
        <v>245</v>
      </c>
      <c r="K3" s="39" t="s">
        <v>244</v>
      </c>
      <c r="L3" s="39" t="s">
        <v>244</v>
      </c>
      <c r="M3" s="39" t="s">
        <v>244</v>
      </c>
      <c r="N3" s="39" t="s">
        <v>280</v>
      </c>
      <c r="O3" s="39" t="s">
        <v>244</v>
      </c>
      <c r="P3" s="39" t="s">
        <v>280</v>
      </c>
      <c r="Q3" s="39" t="s">
        <v>280</v>
      </c>
      <c r="R3" s="39" t="s">
        <v>280</v>
      </c>
      <c r="S3" s="39" t="s">
        <v>280</v>
      </c>
      <c r="T3" s="39" t="s">
        <v>280</v>
      </c>
      <c r="U3" s="39" t="s">
        <v>244</v>
      </c>
      <c r="V3" s="39" t="s">
        <v>244</v>
      </c>
      <c r="W3" s="39" t="s">
        <v>244</v>
      </c>
      <c r="X3" s="39" t="s">
        <v>280</v>
      </c>
      <c r="Y3" s="39"/>
      <c r="Z3" s="40" t="s">
        <v>245</v>
      </c>
      <c r="AA3" s="40">
        <v>2</v>
      </c>
    </row>
    <row r="4" spans="1:27" ht="22.5" customHeight="1">
      <c r="A4" s="159"/>
      <c r="B4" s="91" t="s">
        <v>283</v>
      </c>
      <c r="C4" s="38" t="s">
        <v>26</v>
      </c>
      <c r="D4" s="39" t="s">
        <v>280</v>
      </c>
      <c r="E4" s="39" t="s">
        <v>282</v>
      </c>
      <c r="F4" s="39" t="s">
        <v>245</v>
      </c>
      <c r="G4" s="39" t="s">
        <v>245</v>
      </c>
      <c r="H4" s="39" t="s">
        <v>244</v>
      </c>
      <c r="I4" s="39" t="s">
        <v>244</v>
      </c>
      <c r="J4" s="39" t="s">
        <v>280</v>
      </c>
      <c r="K4" s="39" t="s">
        <v>245</v>
      </c>
      <c r="L4" s="39" t="s">
        <v>245</v>
      </c>
      <c r="M4" s="39" t="s">
        <v>244</v>
      </c>
      <c r="N4" s="39" t="s">
        <v>244</v>
      </c>
      <c r="O4" s="39" t="s">
        <v>245</v>
      </c>
      <c r="P4" s="39" t="s">
        <v>245</v>
      </c>
      <c r="Q4" s="39" t="s">
        <v>245</v>
      </c>
      <c r="R4" s="39" t="s">
        <v>244</v>
      </c>
      <c r="S4" s="39" t="s">
        <v>245</v>
      </c>
      <c r="T4" s="39" t="s">
        <v>244</v>
      </c>
      <c r="U4" s="39" t="s">
        <v>244</v>
      </c>
      <c r="V4" s="39" t="s">
        <v>245</v>
      </c>
      <c r="W4" s="39" t="s">
        <v>245</v>
      </c>
      <c r="X4" s="39" t="s">
        <v>244</v>
      </c>
      <c r="Y4" s="39"/>
      <c r="Z4" s="40" t="s">
        <v>246</v>
      </c>
      <c r="AA4" s="40">
        <v>3</v>
      </c>
    </row>
    <row r="5" spans="1:27" ht="22.5" customHeight="1">
      <c r="A5" s="159"/>
      <c r="B5" s="41" t="s">
        <v>284</v>
      </c>
      <c r="C5" s="38" t="s">
        <v>26</v>
      </c>
      <c r="D5" s="39" t="s">
        <v>244</v>
      </c>
      <c r="E5" s="39" t="s">
        <v>244</v>
      </c>
      <c r="F5" s="39" t="s">
        <v>244</v>
      </c>
      <c r="G5" s="39" t="s">
        <v>244</v>
      </c>
      <c r="H5" s="39" t="s">
        <v>244</v>
      </c>
      <c r="I5" s="39" t="s">
        <v>244</v>
      </c>
      <c r="J5" s="39" t="s">
        <v>244</v>
      </c>
      <c r="K5" s="39" t="s">
        <v>244</v>
      </c>
      <c r="L5" s="39" t="s">
        <v>244</v>
      </c>
      <c r="M5" s="39" t="s">
        <v>244</v>
      </c>
      <c r="N5" s="39" t="s">
        <v>244</v>
      </c>
      <c r="O5" s="39" t="s">
        <v>244</v>
      </c>
      <c r="P5" s="39" t="s">
        <v>244</v>
      </c>
      <c r="Q5" s="39" t="s">
        <v>244</v>
      </c>
      <c r="R5" s="39" t="s">
        <v>244</v>
      </c>
      <c r="S5" s="39" t="s">
        <v>244</v>
      </c>
      <c r="T5" s="39" t="s">
        <v>244</v>
      </c>
      <c r="U5" s="39" t="s">
        <v>244</v>
      </c>
      <c r="V5" s="39" t="s">
        <v>280</v>
      </c>
      <c r="W5" s="39" t="s">
        <v>244</v>
      </c>
      <c r="X5" s="39" t="s">
        <v>244</v>
      </c>
      <c r="Y5" s="39"/>
      <c r="Z5" s="40" t="s">
        <v>249</v>
      </c>
      <c r="AA5" s="40">
        <v>4</v>
      </c>
    </row>
    <row r="6" spans="1:27" ht="22.5" customHeight="1">
      <c r="A6" s="159"/>
      <c r="B6" s="73"/>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59"/>
      <c r="B7" s="41"/>
      <c r="C7" s="38" t="s">
        <v>26</v>
      </c>
      <c r="D7" s="39"/>
      <c r="E7" s="39"/>
      <c r="F7" s="39"/>
      <c r="G7" s="39"/>
      <c r="H7" s="39"/>
      <c r="I7" s="39"/>
      <c r="J7" s="39"/>
      <c r="K7" s="39"/>
      <c r="L7" s="39"/>
      <c r="M7" s="39"/>
      <c r="N7" s="39"/>
      <c r="O7" s="39"/>
      <c r="P7" s="39"/>
      <c r="Q7" s="39"/>
      <c r="R7" s="39"/>
      <c r="S7" s="39"/>
      <c r="T7" s="39"/>
      <c r="U7" s="39"/>
      <c r="V7" s="39"/>
      <c r="W7" s="39"/>
      <c r="X7" s="39"/>
      <c r="Y7" s="39"/>
      <c r="Z7" s="40"/>
      <c r="AA7" s="40" t="s">
        <v>249</v>
      </c>
    </row>
    <row r="8" spans="1:27" ht="22.5" customHeight="1">
      <c r="A8" s="159"/>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9"/>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9"/>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9"/>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0"/>
      <c r="B12" s="42"/>
      <c r="C12" s="43" t="s">
        <v>27</v>
      </c>
      <c r="D12" s="39">
        <v>4</v>
      </c>
      <c r="E12" s="39">
        <v>4</v>
      </c>
      <c r="F12" s="39">
        <v>4</v>
      </c>
      <c r="G12" s="39">
        <v>4</v>
      </c>
      <c r="H12" s="39">
        <v>4</v>
      </c>
      <c r="I12" s="39">
        <v>5</v>
      </c>
      <c r="J12" s="39">
        <v>4</v>
      </c>
      <c r="K12" s="39">
        <v>4</v>
      </c>
      <c r="L12" s="39">
        <v>4</v>
      </c>
      <c r="M12" s="39">
        <v>5</v>
      </c>
      <c r="N12" s="39">
        <v>5</v>
      </c>
      <c r="O12" s="39">
        <v>4</v>
      </c>
      <c r="P12" s="39">
        <v>4</v>
      </c>
      <c r="Q12" s="39">
        <v>4</v>
      </c>
      <c r="R12" s="39">
        <v>5</v>
      </c>
      <c r="S12" s="39">
        <v>4</v>
      </c>
      <c r="T12" s="39">
        <v>5</v>
      </c>
      <c r="U12" s="39">
        <v>5</v>
      </c>
      <c r="V12" s="39">
        <v>4</v>
      </c>
      <c r="W12" s="39">
        <v>4</v>
      </c>
      <c r="X12" s="39">
        <v>5</v>
      </c>
      <c r="Y12" s="39"/>
    </row>
    <row r="13" spans="1:27" ht="26.25" customHeight="1">
      <c r="A13" s="44"/>
      <c r="B13" s="44"/>
      <c r="C13" s="81" t="s">
        <v>57</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4" t="s">
        <v>285</v>
      </c>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7" ht="59.25" customHeight="1">
      <c r="A16" s="46" t="s">
        <v>85</v>
      </c>
      <c r="B16" s="164" t="s">
        <v>286</v>
      </c>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59.25" customHeight="1">
      <c r="A17" s="46" t="s">
        <v>86</v>
      </c>
      <c r="B17" s="164" t="s">
        <v>287</v>
      </c>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59.25" customHeight="1">
      <c r="A18" s="46" t="s">
        <v>87</v>
      </c>
      <c r="B18" s="164" t="s">
        <v>288</v>
      </c>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59.25" customHeight="1">
      <c r="A19" s="46" t="s">
        <v>88</v>
      </c>
      <c r="B19" s="164" t="s">
        <v>289</v>
      </c>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59.25" customHeight="1">
      <c r="A20" s="46" t="s">
        <v>89</v>
      </c>
      <c r="B20" s="164" t="s">
        <v>290</v>
      </c>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59.25" customHeight="1">
      <c r="A21" s="46" t="s">
        <v>90</v>
      </c>
      <c r="B21" s="164" t="s">
        <v>291</v>
      </c>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59.25" customHeight="1">
      <c r="A22" s="46" t="s">
        <v>91</v>
      </c>
      <c r="B22" s="164" t="s">
        <v>292</v>
      </c>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59.25" customHeight="1">
      <c r="A23" s="46" t="s">
        <v>92</v>
      </c>
      <c r="B23" s="164" t="s">
        <v>293</v>
      </c>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59.25" customHeight="1">
      <c r="A24" s="46" t="s">
        <v>93</v>
      </c>
      <c r="B24" s="164" t="s">
        <v>294</v>
      </c>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59.25" customHeight="1">
      <c r="A25" s="46" t="s">
        <v>94</v>
      </c>
      <c r="B25" s="164" t="s">
        <v>295</v>
      </c>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59.25" customHeight="1">
      <c r="A26" s="46" t="s">
        <v>95</v>
      </c>
      <c r="B26" s="164" t="s">
        <v>296</v>
      </c>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59.25" customHeight="1">
      <c r="A27" s="46" t="s">
        <v>96</v>
      </c>
      <c r="B27" s="164" t="s">
        <v>297</v>
      </c>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59.25" customHeight="1">
      <c r="A28" s="46" t="s">
        <v>97</v>
      </c>
      <c r="B28" s="164" t="s">
        <v>298</v>
      </c>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59.25" customHeight="1">
      <c r="A29" s="46" t="s">
        <v>98</v>
      </c>
      <c r="B29" s="164" t="s">
        <v>299</v>
      </c>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59.25" customHeight="1">
      <c r="A30" s="46" t="s">
        <v>99</v>
      </c>
      <c r="B30" s="164" t="s">
        <v>300</v>
      </c>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59.25" customHeight="1">
      <c r="A31" s="46" t="s">
        <v>100</v>
      </c>
      <c r="B31" s="164" t="s">
        <v>301</v>
      </c>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59.25" customHeight="1">
      <c r="A32" s="46" t="s">
        <v>101</v>
      </c>
      <c r="B32" s="164" t="s">
        <v>302</v>
      </c>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5" ht="59.25" customHeight="1">
      <c r="A33" s="46" t="s">
        <v>102</v>
      </c>
      <c r="B33" s="164" t="s">
        <v>303</v>
      </c>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5" ht="59.25" customHeight="1">
      <c r="A34" s="46" t="s">
        <v>103</v>
      </c>
      <c r="B34" s="164" t="s">
        <v>304</v>
      </c>
      <c r="C34" s="165"/>
      <c r="D34" s="165"/>
      <c r="E34" s="165"/>
      <c r="F34" s="165"/>
      <c r="G34" s="165"/>
      <c r="H34" s="165"/>
      <c r="I34" s="165"/>
      <c r="J34" s="165"/>
      <c r="K34" s="165"/>
      <c r="L34" s="165"/>
      <c r="M34" s="165"/>
      <c r="N34" s="165"/>
      <c r="O34" s="165"/>
      <c r="P34" s="165"/>
      <c r="Q34" s="165"/>
      <c r="R34" s="165"/>
      <c r="S34" s="165"/>
      <c r="T34" s="165"/>
      <c r="U34" s="165"/>
      <c r="V34" s="165"/>
      <c r="W34" s="165"/>
      <c r="X34" s="165"/>
      <c r="Y34" s="166"/>
    </row>
    <row r="35" spans="1:25" ht="59.25" customHeight="1">
      <c r="A35" s="46" t="s">
        <v>104</v>
      </c>
      <c r="B35" s="164" t="s">
        <v>305</v>
      </c>
      <c r="C35" s="165"/>
      <c r="D35" s="165"/>
      <c r="E35" s="165"/>
      <c r="F35" s="165"/>
      <c r="G35" s="165"/>
      <c r="H35" s="165"/>
      <c r="I35" s="165"/>
      <c r="J35" s="165"/>
      <c r="K35" s="165"/>
      <c r="L35" s="165"/>
      <c r="M35" s="165"/>
      <c r="N35" s="165"/>
      <c r="O35" s="165"/>
      <c r="P35" s="165"/>
      <c r="Q35" s="165"/>
      <c r="R35" s="165"/>
      <c r="S35" s="165"/>
      <c r="T35" s="165"/>
      <c r="U35" s="165"/>
      <c r="V35" s="165"/>
      <c r="W35" s="165"/>
      <c r="X35" s="165"/>
      <c r="Y35" s="166"/>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３－２</v>
      </c>
      <c r="B1" s="34" t="str">
        <f ca="1">RIGHT(CELL("filename",B1),LEN(CELL("filename",B1))-FIND("]",CELL("filename",B1)))</f>
        <v>体育</v>
      </c>
      <c r="C1" s="35" t="s">
        <v>25</v>
      </c>
      <c r="D1" s="36" t="str">
        <f>A15</f>
        <v>秋岡 万璃</v>
      </c>
      <c r="E1" s="36" t="str">
        <f>A16</f>
        <v>池田 一郎</v>
      </c>
      <c r="F1" s="36" t="str">
        <f>A17</f>
        <v>石田 圭</v>
      </c>
      <c r="G1" s="36" t="str">
        <f>A18</f>
        <v>伊藤 和花</v>
      </c>
      <c r="H1" s="36" t="str">
        <f>A19</f>
        <v>太谷 峰光</v>
      </c>
      <c r="I1" s="36" t="str">
        <f>A20</f>
        <v>大西 優</v>
      </c>
      <c r="J1" s="36" t="str">
        <f>A21</f>
        <v>帶川 瑛士</v>
      </c>
      <c r="K1" s="36" t="str">
        <f>A22</f>
        <v>川本 新</v>
      </c>
      <c r="L1" s="36" t="str">
        <f>A23</f>
        <v>後藤 真伸</v>
      </c>
      <c r="M1" s="36" t="str">
        <f>A24</f>
        <v>須田 愛菜</v>
      </c>
      <c r="N1" s="36" t="str">
        <f>A25</f>
        <v>髙橋 杏</v>
      </c>
      <c r="O1" s="36" t="str">
        <f>A26</f>
        <v>田中 雫</v>
      </c>
      <c r="P1" s="36" t="str">
        <f>A27</f>
        <v>辻󠄀 琉良</v>
      </c>
      <c r="Q1" s="36" t="str">
        <f>A28</f>
        <v>長澤 悠真</v>
      </c>
      <c r="R1" s="36" t="str">
        <f>A29</f>
        <v>西川 由里子</v>
      </c>
      <c r="S1" s="36" t="str">
        <f>A30</f>
        <v>濱本 大翔</v>
      </c>
      <c r="T1" s="36" t="str">
        <f>A31</f>
        <v>林 もろみ</v>
      </c>
      <c r="U1" s="36" t="str">
        <f>A32</f>
        <v>松井 晴南</v>
      </c>
      <c r="V1" s="36" t="str">
        <f>A33</f>
        <v>松山 瑛大</v>
      </c>
      <c r="W1" s="36" t="str">
        <f>A34</f>
        <v>山口 澪</v>
      </c>
      <c r="X1" s="36" t="str">
        <f>A35</f>
        <v>吉村 高連</v>
      </c>
      <c r="Y1" s="36">
        <f>A36</f>
        <v>0</v>
      </c>
      <c r="Z1" s="37"/>
    </row>
    <row r="2" spans="1:27" ht="22.5" customHeight="1">
      <c r="A2" s="158" t="s">
        <v>306</v>
      </c>
      <c r="B2" s="41" t="s">
        <v>151</v>
      </c>
      <c r="C2" s="38" t="s">
        <v>26</v>
      </c>
      <c r="D2" s="72" t="s">
        <v>307</v>
      </c>
      <c r="E2" s="72" t="s">
        <v>307</v>
      </c>
      <c r="F2" s="72" t="s">
        <v>308</v>
      </c>
      <c r="G2" s="72" t="s">
        <v>308</v>
      </c>
      <c r="H2" s="72" t="s">
        <v>307</v>
      </c>
      <c r="I2" s="72" t="s">
        <v>307</v>
      </c>
      <c r="J2" s="72" t="s">
        <v>308</v>
      </c>
      <c r="K2" s="72" t="s">
        <v>307</v>
      </c>
      <c r="L2" s="72" t="s">
        <v>307</v>
      </c>
      <c r="M2" s="72" t="s">
        <v>307</v>
      </c>
      <c r="N2" s="72" t="s">
        <v>307</v>
      </c>
      <c r="O2" s="72" t="s">
        <v>308</v>
      </c>
      <c r="P2" s="72" t="s">
        <v>308</v>
      </c>
      <c r="Q2" s="72" t="s">
        <v>244</v>
      </c>
      <c r="R2" s="72" t="s">
        <v>307</v>
      </c>
      <c r="S2" s="72" t="s">
        <v>244</v>
      </c>
      <c r="T2" s="72" t="s">
        <v>307</v>
      </c>
      <c r="U2" s="72" t="s">
        <v>307</v>
      </c>
      <c r="V2" s="72" t="s">
        <v>307</v>
      </c>
      <c r="W2" s="72" t="s">
        <v>244</v>
      </c>
      <c r="X2" s="72" t="s">
        <v>307</v>
      </c>
      <c r="Y2" s="39"/>
      <c r="Z2" s="40" t="s">
        <v>307</v>
      </c>
      <c r="AA2" s="40">
        <v>1</v>
      </c>
    </row>
    <row r="3" spans="1:27" ht="22.5" customHeight="1">
      <c r="A3" s="159"/>
      <c r="B3" s="41" t="s">
        <v>152</v>
      </c>
      <c r="C3" s="38" t="s">
        <v>26</v>
      </c>
      <c r="D3" s="72" t="s">
        <v>244</v>
      </c>
      <c r="E3" s="72" t="s">
        <v>308</v>
      </c>
      <c r="F3" s="72" t="s">
        <v>308</v>
      </c>
      <c r="G3" s="72" t="s">
        <v>307</v>
      </c>
      <c r="H3" s="72" t="s">
        <v>245</v>
      </c>
      <c r="I3" s="72" t="s">
        <v>244</v>
      </c>
      <c r="J3" s="72" t="s">
        <v>244</v>
      </c>
      <c r="K3" s="72" t="s">
        <v>308</v>
      </c>
      <c r="L3" s="72" t="s">
        <v>308</v>
      </c>
      <c r="M3" s="72" t="s">
        <v>244</v>
      </c>
      <c r="N3" s="72" t="s">
        <v>244</v>
      </c>
      <c r="O3" s="72" t="s">
        <v>307</v>
      </c>
      <c r="P3" s="72" t="s">
        <v>245</v>
      </c>
      <c r="Q3" s="72" t="s">
        <v>244</v>
      </c>
      <c r="R3" s="72" t="s">
        <v>244</v>
      </c>
      <c r="S3" s="72" t="s">
        <v>246</v>
      </c>
      <c r="T3" s="72" t="s">
        <v>245</v>
      </c>
      <c r="U3" s="72" t="s">
        <v>244</v>
      </c>
      <c r="V3" s="72" t="s">
        <v>245</v>
      </c>
      <c r="W3" s="72" t="s">
        <v>307</v>
      </c>
      <c r="X3" s="72" t="s">
        <v>245</v>
      </c>
      <c r="Y3" s="39"/>
      <c r="Z3" s="40" t="s">
        <v>308</v>
      </c>
      <c r="AA3" s="40">
        <v>2</v>
      </c>
    </row>
    <row r="4" spans="1:27" ht="22.5" customHeight="1">
      <c r="A4" s="159"/>
      <c r="B4" s="41" t="s">
        <v>153</v>
      </c>
      <c r="C4" s="38" t="s">
        <v>26</v>
      </c>
      <c r="D4" s="72" t="s">
        <v>308</v>
      </c>
      <c r="E4" s="72" t="s">
        <v>244</v>
      </c>
      <c r="F4" s="72" t="s">
        <v>245</v>
      </c>
      <c r="G4" s="72" t="s">
        <v>245</v>
      </c>
      <c r="H4" s="72" t="s">
        <v>245</v>
      </c>
      <c r="I4" s="72" t="s">
        <v>244</v>
      </c>
      <c r="J4" s="72" t="s">
        <v>244</v>
      </c>
      <c r="K4" s="72" t="s">
        <v>245</v>
      </c>
      <c r="L4" s="72" t="s">
        <v>244</v>
      </c>
      <c r="M4" s="72" t="s">
        <v>244</v>
      </c>
      <c r="N4" s="72" t="s">
        <v>308</v>
      </c>
      <c r="O4" s="72" t="s">
        <v>244</v>
      </c>
      <c r="P4" s="72" t="s">
        <v>245</v>
      </c>
      <c r="Q4" s="72" t="s">
        <v>244</v>
      </c>
      <c r="R4" s="72" t="s">
        <v>307</v>
      </c>
      <c r="S4" s="72" t="s">
        <v>244</v>
      </c>
      <c r="T4" s="72" t="s">
        <v>244</v>
      </c>
      <c r="U4" s="72" t="s">
        <v>244</v>
      </c>
      <c r="V4" s="72" t="s">
        <v>244</v>
      </c>
      <c r="W4" s="72" t="s">
        <v>245</v>
      </c>
      <c r="X4" s="72" t="s">
        <v>245</v>
      </c>
      <c r="Y4" s="39"/>
      <c r="Z4" s="40" t="s">
        <v>246</v>
      </c>
      <c r="AA4" s="40">
        <v>3</v>
      </c>
    </row>
    <row r="5" spans="1:27" ht="22.5" customHeight="1">
      <c r="A5" s="159"/>
      <c r="B5" s="41" t="s">
        <v>154</v>
      </c>
      <c r="C5" s="38" t="s">
        <v>26</v>
      </c>
      <c r="D5" s="72" t="s">
        <v>245</v>
      </c>
      <c r="E5" s="72" t="s">
        <v>244</v>
      </c>
      <c r="F5" s="72" t="s">
        <v>245</v>
      </c>
      <c r="G5" s="72" t="s">
        <v>245</v>
      </c>
      <c r="H5" s="72" t="s">
        <v>244</v>
      </c>
      <c r="I5" s="72" t="s">
        <v>244</v>
      </c>
      <c r="J5" s="72" t="s">
        <v>244</v>
      </c>
      <c r="K5" s="72" t="s">
        <v>307</v>
      </c>
      <c r="L5" s="72" t="s">
        <v>244</v>
      </c>
      <c r="M5" s="72" t="s">
        <v>244</v>
      </c>
      <c r="N5" s="72" t="s">
        <v>307</v>
      </c>
      <c r="O5" s="72" t="s">
        <v>244</v>
      </c>
      <c r="P5" s="72" t="s">
        <v>245</v>
      </c>
      <c r="Q5" s="72" t="s">
        <v>244</v>
      </c>
      <c r="R5" s="72" t="s">
        <v>244</v>
      </c>
      <c r="S5" s="72" t="s">
        <v>244</v>
      </c>
      <c r="T5" s="72" t="s">
        <v>244</v>
      </c>
      <c r="U5" s="72" t="s">
        <v>244</v>
      </c>
      <c r="V5" s="72" t="s">
        <v>244</v>
      </c>
      <c r="W5" s="72" t="s">
        <v>244</v>
      </c>
      <c r="X5" s="72" t="s">
        <v>244</v>
      </c>
      <c r="Y5" s="39"/>
      <c r="Z5" s="40" t="s">
        <v>249</v>
      </c>
      <c r="AA5" s="40">
        <v>4</v>
      </c>
    </row>
    <row r="6" spans="1:27" ht="22.5" customHeight="1">
      <c r="A6" s="159"/>
      <c r="B6" s="41" t="s">
        <v>155</v>
      </c>
      <c r="C6" s="38" t="s">
        <v>26</v>
      </c>
      <c r="D6" s="72" t="s">
        <v>244</v>
      </c>
      <c r="E6" s="72" t="s">
        <v>244</v>
      </c>
      <c r="F6" s="72" t="s">
        <v>245</v>
      </c>
      <c r="G6" s="72" t="s">
        <v>245</v>
      </c>
      <c r="H6" s="72" t="s">
        <v>244</v>
      </c>
      <c r="I6" s="72" t="s">
        <v>244</v>
      </c>
      <c r="J6" s="72" t="s">
        <v>244</v>
      </c>
      <c r="K6" s="72" t="s">
        <v>244</v>
      </c>
      <c r="L6" s="72" t="s">
        <v>244</v>
      </c>
      <c r="M6" s="72" t="s">
        <v>244</v>
      </c>
      <c r="N6" s="72" t="s">
        <v>244</v>
      </c>
      <c r="O6" s="72" t="s">
        <v>245</v>
      </c>
      <c r="P6" s="72" t="s">
        <v>244</v>
      </c>
      <c r="Q6" s="72" t="s">
        <v>244</v>
      </c>
      <c r="R6" s="72" t="s">
        <v>244</v>
      </c>
      <c r="S6" s="72" t="s">
        <v>244</v>
      </c>
      <c r="T6" s="72" t="s">
        <v>244</v>
      </c>
      <c r="U6" s="72" t="s">
        <v>244</v>
      </c>
      <c r="V6" s="72" t="s">
        <v>244</v>
      </c>
      <c r="W6" s="72" t="s">
        <v>244</v>
      </c>
      <c r="X6" s="72" t="s">
        <v>244</v>
      </c>
      <c r="Y6" s="39"/>
      <c r="Z6" s="40"/>
      <c r="AA6" s="40">
        <v>5</v>
      </c>
    </row>
    <row r="7" spans="1:27" ht="22.5" customHeight="1">
      <c r="A7" s="159"/>
      <c r="B7" s="89"/>
      <c r="C7" s="38" t="s">
        <v>26</v>
      </c>
      <c r="D7" s="72"/>
      <c r="E7" s="72"/>
      <c r="F7" s="72"/>
      <c r="G7" s="72"/>
      <c r="H7" s="72"/>
      <c r="I7" s="72"/>
      <c r="J7" s="72"/>
      <c r="K7" s="72"/>
      <c r="L7" s="72"/>
      <c r="M7" s="72"/>
      <c r="N7" s="72"/>
      <c r="O7" s="72"/>
      <c r="P7" s="72"/>
      <c r="Q7" s="72"/>
      <c r="R7" s="72"/>
      <c r="S7" s="72"/>
      <c r="T7" s="72"/>
      <c r="U7" s="72"/>
      <c r="V7" s="72"/>
      <c r="W7" s="72"/>
      <c r="X7" s="39"/>
      <c r="Y7" s="39"/>
      <c r="Z7" s="40"/>
      <c r="AA7" s="40" t="s">
        <v>249</v>
      </c>
    </row>
    <row r="8" spans="1:27" ht="22.5" customHeight="1">
      <c r="A8" s="159"/>
      <c r="B8" s="41"/>
      <c r="C8" s="38" t="s">
        <v>26</v>
      </c>
      <c r="D8" s="72"/>
      <c r="E8" s="72"/>
      <c r="F8" s="72"/>
      <c r="G8" s="72"/>
      <c r="H8" s="72"/>
      <c r="I8" s="72"/>
      <c r="J8" s="72"/>
      <c r="K8" s="72"/>
      <c r="L8" s="72"/>
      <c r="M8" s="72"/>
      <c r="N8" s="72"/>
      <c r="O8" s="72"/>
      <c r="P8" s="72"/>
      <c r="Q8" s="72"/>
      <c r="R8" s="72"/>
      <c r="S8" s="72"/>
      <c r="T8" s="72"/>
      <c r="U8" s="72"/>
      <c r="V8" s="72"/>
      <c r="W8" s="72"/>
      <c r="X8" s="39"/>
      <c r="Y8" s="39"/>
    </row>
    <row r="9" spans="1:27" ht="22.5" customHeight="1">
      <c r="A9" s="159"/>
      <c r="B9" s="41"/>
      <c r="C9" s="38" t="s">
        <v>26</v>
      </c>
      <c r="D9" s="72"/>
      <c r="E9" s="72"/>
      <c r="F9" s="72"/>
      <c r="G9" s="72"/>
      <c r="H9" s="72"/>
      <c r="I9" s="72"/>
      <c r="J9" s="72"/>
      <c r="K9" s="72"/>
      <c r="L9" s="72"/>
      <c r="M9" s="72"/>
      <c r="N9" s="72"/>
      <c r="O9" s="72"/>
      <c r="P9" s="72"/>
      <c r="Q9" s="72"/>
      <c r="R9" s="72"/>
      <c r="S9" s="72"/>
      <c r="T9" s="72"/>
      <c r="U9" s="72"/>
      <c r="V9" s="72"/>
      <c r="W9" s="72"/>
      <c r="X9" s="39"/>
      <c r="Y9" s="39"/>
    </row>
    <row r="10" spans="1:27" ht="22.5" customHeight="1">
      <c r="A10" s="159"/>
      <c r="B10" s="41"/>
      <c r="C10" s="38" t="s">
        <v>26</v>
      </c>
      <c r="D10" s="72"/>
      <c r="E10" s="72"/>
      <c r="F10" s="72"/>
      <c r="G10" s="72"/>
      <c r="H10" s="72"/>
      <c r="I10" s="72"/>
      <c r="J10" s="72"/>
      <c r="K10" s="72"/>
      <c r="L10" s="72"/>
      <c r="M10" s="72"/>
      <c r="N10" s="72"/>
      <c r="O10" s="72"/>
      <c r="P10" s="72"/>
      <c r="Q10" s="72"/>
      <c r="R10" s="72"/>
      <c r="S10" s="72"/>
      <c r="T10" s="72"/>
      <c r="U10" s="72"/>
      <c r="V10" s="72"/>
      <c r="W10" s="72"/>
      <c r="X10" s="39"/>
      <c r="Y10" s="39"/>
    </row>
    <row r="11" spans="1:27" ht="22.5" customHeight="1">
      <c r="A11" s="159"/>
      <c r="B11" s="41"/>
      <c r="C11" s="38" t="s">
        <v>26</v>
      </c>
      <c r="D11" s="72"/>
      <c r="E11" s="72"/>
      <c r="F11" s="72"/>
      <c r="G11" s="72"/>
      <c r="H11" s="72"/>
      <c r="I11" s="72"/>
      <c r="J11" s="72"/>
      <c r="K11" s="72"/>
      <c r="L11" s="72"/>
      <c r="M11" s="72"/>
      <c r="N11" s="72"/>
      <c r="O11" s="72"/>
      <c r="P11" s="72"/>
      <c r="Q11" s="72"/>
      <c r="R11" s="72"/>
      <c r="S11" s="72"/>
      <c r="T11" s="72"/>
      <c r="U11" s="72"/>
      <c r="V11" s="72"/>
      <c r="W11" s="72"/>
      <c r="X11" s="39"/>
      <c r="Y11" s="39"/>
    </row>
    <row r="12" spans="1:27" ht="30" customHeight="1">
      <c r="A12" s="160"/>
      <c r="B12" s="42"/>
      <c r="C12" s="43" t="s">
        <v>27</v>
      </c>
      <c r="D12" s="72">
        <v>4</v>
      </c>
      <c r="E12" s="72">
        <v>5</v>
      </c>
      <c r="F12" s="72">
        <v>3</v>
      </c>
      <c r="G12" s="72">
        <v>3</v>
      </c>
      <c r="H12" s="72">
        <v>4</v>
      </c>
      <c r="I12" s="72">
        <v>5</v>
      </c>
      <c r="J12" s="72">
        <v>5</v>
      </c>
      <c r="K12" s="72">
        <v>4</v>
      </c>
      <c r="L12" s="72">
        <v>5</v>
      </c>
      <c r="M12" s="72">
        <v>5</v>
      </c>
      <c r="N12" s="72">
        <v>5</v>
      </c>
      <c r="O12" s="72">
        <v>4</v>
      </c>
      <c r="P12" s="72">
        <v>3</v>
      </c>
      <c r="Q12" s="72">
        <v>5</v>
      </c>
      <c r="R12" s="72">
        <v>5</v>
      </c>
      <c r="S12" s="72">
        <v>4</v>
      </c>
      <c r="T12" s="72">
        <v>5</v>
      </c>
      <c r="U12" s="72">
        <v>5</v>
      </c>
      <c r="V12" s="72">
        <v>5</v>
      </c>
      <c r="W12" s="72">
        <v>5</v>
      </c>
      <c r="X12" s="39">
        <v>4</v>
      </c>
      <c r="Y12" s="39"/>
    </row>
    <row r="13" spans="1:27" ht="26.25" customHeight="1">
      <c r="A13" s="44"/>
      <c r="B13" s="44"/>
      <c r="C13" s="81" t="s">
        <v>57</v>
      </c>
      <c r="D13" s="72"/>
      <c r="E13" s="72"/>
      <c r="F13" s="72"/>
      <c r="G13" s="72"/>
      <c r="H13" s="72"/>
      <c r="I13" s="72"/>
      <c r="J13" s="72"/>
      <c r="K13" s="72"/>
      <c r="L13" s="72"/>
      <c r="M13" s="72"/>
      <c r="N13" s="72"/>
      <c r="O13" s="72"/>
      <c r="P13" s="72"/>
      <c r="Q13" s="72"/>
      <c r="R13" s="72"/>
      <c r="S13" s="72"/>
      <c r="T13" s="72"/>
      <c r="U13" s="72"/>
      <c r="V13" s="72"/>
      <c r="W13" s="72"/>
      <c r="X13" s="39"/>
      <c r="Y13" s="39"/>
    </row>
    <row r="14" spans="1:27" ht="22.5" customHeight="1">
      <c r="A14" s="45" t="s">
        <v>28</v>
      </c>
      <c r="B14" s="161" t="s">
        <v>29</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7" ht="59.25" customHeight="1">
      <c r="A15" s="46" t="s">
        <v>84</v>
      </c>
      <c r="B15" s="164"/>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7" ht="59.25" customHeight="1">
      <c r="A16" s="46" t="s">
        <v>85</v>
      </c>
      <c r="B16" s="164"/>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59.25" customHeight="1">
      <c r="A17" s="46" t="s">
        <v>86</v>
      </c>
      <c r="B17" s="164"/>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59.25" customHeight="1">
      <c r="A18" s="46" t="s">
        <v>87</v>
      </c>
      <c r="B18" s="164"/>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59.25" customHeight="1">
      <c r="A19" s="46" t="s">
        <v>88</v>
      </c>
      <c r="B19" s="164"/>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59.25" customHeight="1">
      <c r="A20" s="46" t="s">
        <v>89</v>
      </c>
      <c r="B20" s="164"/>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59.25" customHeight="1">
      <c r="A21" s="46" t="s">
        <v>90</v>
      </c>
      <c r="B21" s="164"/>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59.25" customHeight="1">
      <c r="A22" s="46" t="s">
        <v>91</v>
      </c>
      <c r="B22" s="164"/>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59.25" customHeight="1">
      <c r="A23" s="46" t="s">
        <v>92</v>
      </c>
      <c r="B23" s="164"/>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59.25" customHeight="1">
      <c r="A24" s="46" t="s">
        <v>93</v>
      </c>
      <c r="B24" s="164"/>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59.25" customHeight="1">
      <c r="A25" s="46" t="s">
        <v>94</v>
      </c>
      <c r="B25" s="164"/>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59.25" customHeight="1">
      <c r="A26" s="46" t="s">
        <v>95</v>
      </c>
      <c r="B26" s="164"/>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59.25" customHeight="1">
      <c r="A27" s="46" t="s">
        <v>96</v>
      </c>
      <c r="B27" s="164"/>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59.25" customHeight="1">
      <c r="A28" s="46" t="s">
        <v>97</v>
      </c>
      <c r="B28" s="164"/>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59.25" customHeight="1">
      <c r="A29" s="46" t="s">
        <v>98</v>
      </c>
      <c r="B29" s="164"/>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59.25" customHeight="1">
      <c r="A30" s="46" t="s">
        <v>99</v>
      </c>
      <c r="B30" s="167" t="s">
        <v>156</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100</v>
      </c>
      <c r="B31" s="164"/>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59.25" customHeight="1">
      <c r="A32" s="46" t="s">
        <v>101</v>
      </c>
      <c r="B32" s="164"/>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5" ht="59.25" customHeight="1">
      <c r="A33" s="46" t="s">
        <v>102</v>
      </c>
      <c r="B33" s="164"/>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5" ht="59.25" customHeight="1">
      <c r="A34" s="46" t="s">
        <v>103</v>
      </c>
      <c r="B34" s="164"/>
      <c r="C34" s="165"/>
      <c r="D34" s="165"/>
      <c r="E34" s="165"/>
      <c r="F34" s="165"/>
      <c r="G34" s="165"/>
      <c r="H34" s="165"/>
      <c r="I34" s="165"/>
      <c r="J34" s="165"/>
      <c r="K34" s="165"/>
      <c r="L34" s="165"/>
      <c r="M34" s="165"/>
      <c r="N34" s="165"/>
      <c r="O34" s="165"/>
      <c r="P34" s="165"/>
      <c r="Q34" s="165"/>
      <c r="R34" s="165"/>
      <c r="S34" s="165"/>
      <c r="T34" s="165"/>
      <c r="U34" s="165"/>
      <c r="V34" s="165"/>
      <c r="W34" s="165"/>
      <c r="X34" s="165"/>
      <c r="Y34" s="166"/>
    </row>
    <row r="35" spans="1:25" ht="59.25" customHeight="1">
      <c r="A35" s="46" t="s">
        <v>104</v>
      </c>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6"/>
    </row>
    <row r="36" spans="1:25" ht="59.25" customHeight="1">
      <c r="A36" s="46"/>
      <c r="B36" s="164"/>
      <c r="C36" s="165"/>
      <c r="D36" s="165"/>
      <c r="E36" s="165"/>
      <c r="F36" s="165"/>
      <c r="G36" s="165"/>
      <c r="H36" s="165"/>
      <c r="I36" s="165"/>
      <c r="J36" s="165"/>
      <c r="K36" s="165"/>
      <c r="L36" s="165"/>
      <c r="M36" s="165"/>
      <c r="N36" s="165"/>
      <c r="O36" s="165"/>
      <c r="P36" s="165"/>
      <c r="Q36" s="165"/>
      <c r="R36" s="165"/>
      <c r="S36" s="165"/>
      <c r="T36" s="165"/>
      <c r="U36" s="165"/>
      <c r="V36" s="165"/>
      <c r="W36" s="165"/>
      <c r="X36" s="165"/>
      <c r="Y36" s="166"/>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8"/>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３－２</v>
      </c>
      <c r="B1" s="34" t="str">
        <f ca="1">RIGHT(CELL("filename",B1),LEN(CELL("filename",B1))-FIND("]",CELL("filename",B1)))</f>
        <v>道徳</v>
      </c>
      <c r="C1" s="47" t="s">
        <v>30</v>
      </c>
    </row>
    <row r="2" spans="1:3" ht="22.5" customHeight="1">
      <c r="A2" s="45" t="s">
        <v>28</v>
      </c>
      <c r="B2" s="48" t="s">
        <v>6</v>
      </c>
      <c r="C2" s="8" t="s">
        <v>309</v>
      </c>
    </row>
    <row r="3" spans="1:3" ht="59.25" customHeight="1">
      <c r="A3" s="46" t="s">
        <v>84</v>
      </c>
      <c r="B3" s="92" t="s">
        <v>157</v>
      </c>
      <c r="C3" s="8">
        <f>LEN(B3)</f>
        <v>184</v>
      </c>
    </row>
    <row r="4" spans="1:3" ht="59.25" customHeight="1">
      <c r="A4" s="46" t="s">
        <v>85</v>
      </c>
      <c r="B4" s="92" t="s">
        <v>158</v>
      </c>
      <c r="C4" s="8">
        <f t="shared" ref="C4:C24" si="0">LEN(B4)</f>
        <v>200</v>
      </c>
    </row>
    <row r="5" spans="1:3" ht="59.25" customHeight="1">
      <c r="A5" s="46" t="s">
        <v>86</v>
      </c>
      <c r="B5" s="92" t="s">
        <v>159</v>
      </c>
      <c r="C5" s="8">
        <f t="shared" si="0"/>
        <v>198</v>
      </c>
    </row>
    <row r="6" spans="1:3" ht="59.25" customHeight="1">
      <c r="A6" s="46" t="s">
        <v>87</v>
      </c>
      <c r="B6" s="93" t="s">
        <v>160</v>
      </c>
      <c r="C6" s="8">
        <f t="shared" si="0"/>
        <v>197</v>
      </c>
    </row>
    <row r="7" spans="1:3" ht="59.25" customHeight="1">
      <c r="A7" s="46" t="s">
        <v>88</v>
      </c>
      <c r="B7" s="92" t="s">
        <v>161</v>
      </c>
      <c r="C7" s="8">
        <f t="shared" si="0"/>
        <v>195</v>
      </c>
    </row>
    <row r="8" spans="1:3" ht="59.25" customHeight="1">
      <c r="A8" s="46" t="s">
        <v>89</v>
      </c>
      <c r="B8" s="92" t="s">
        <v>162</v>
      </c>
      <c r="C8" s="8">
        <f t="shared" si="0"/>
        <v>191</v>
      </c>
    </row>
    <row r="9" spans="1:3" ht="59.25" customHeight="1">
      <c r="A9" s="46" t="s">
        <v>90</v>
      </c>
      <c r="B9" s="94" t="s">
        <v>163</v>
      </c>
      <c r="C9" s="8">
        <f t="shared" si="0"/>
        <v>185</v>
      </c>
    </row>
    <row r="10" spans="1:3" ht="59.25" customHeight="1">
      <c r="A10" s="46" t="s">
        <v>91</v>
      </c>
      <c r="B10" s="92" t="s">
        <v>164</v>
      </c>
      <c r="C10" s="8">
        <f t="shared" si="0"/>
        <v>188</v>
      </c>
    </row>
    <row r="11" spans="1:3" ht="59.25" customHeight="1">
      <c r="A11" s="46" t="s">
        <v>92</v>
      </c>
      <c r="B11" s="92" t="s">
        <v>165</v>
      </c>
      <c r="C11" s="8">
        <f t="shared" si="0"/>
        <v>189</v>
      </c>
    </row>
    <row r="12" spans="1:3" ht="59.25" customHeight="1">
      <c r="A12" s="46" t="s">
        <v>93</v>
      </c>
      <c r="B12" s="92" t="s">
        <v>166</v>
      </c>
      <c r="C12" s="8">
        <f t="shared" si="0"/>
        <v>198</v>
      </c>
    </row>
    <row r="13" spans="1:3" ht="59.25" customHeight="1">
      <c r="A13" s="46" t="s">
        <v>94</v>
      </c>
      <c r="B13" s="92" t="s">
        <v>167</v>
      </c>
      <c r="C13" s="8">
        <f t="shared" si="0"/>
        <v>188</v>
      </c>
    </row>
    <row r="14" spans="1:3" ht="59.25" customHeight="1">
      <c r="A14" s="46" t="s">
        <v>95</v>
      </c>
      <c r="B14" s="92" t="s">
        <v>168</v>
      </c>
      <c r="C14" s="8">
        <f t="shared" si="0"/>
        <v>200</v>
      </c>
    </row>
    <row r="15" spans="1:3" ht="59.25" customHeight="1">
      <c r="A15" s="46" t="s">
        <v>96</v>
      </c>
      <c r="B15" s="92" t="s">
        <v>169</v>
      </c>
      <c r="C15" s="8">
        <f t="shared" si="0"/>
        <v>192</v>
      </c>
    </row>
    <row r="16" spans="1:3" ht="59.25" customHeight="1">
      <c r="A16" s="46" t="s">
        <v>97</v>
      </c>
      <c r="B16" s="92" t="s">
        <v>170</v>
      </c>
      <c r="C16" s="8">
        <f t="shared" si="0"/>
        <v>187</v>
      </c>
    </row>
    <row r="17" spans="1:3" ht="59.25" customHeight="1">
      <c r="A17" s="46" t="s">
        <v>98</v>
      </c>
      <c r="B17" s="92" t="s">
        <v>236</v>
      </c>
      <c r="C17" s="8">
        <f t="shared" si="0"/>
        <v>192</v>
      </c>
    </row>
    <row r="18" spans="1:3" ht="59.25" customHeight="1">
      <c r="A18" s="46" t="s">
        <v>99</v>
      </c>
      <c r="B18" s="92" t="s">
        <v>310</v>
      </c>
      <c r="C18" s="8">
        <f t="shared" si="0"/>
        <v>194</v>
      </c>
    </row>
    <row r="19" spans="1:3" ht="59.25" customHeight="1">
      <c r="A19" s="46" t="s">
        <v>100</v>
      </c>
      <c r="B19" s="92" t="s">
        <v>237</v>
      </c>
      <c r="C19" s="8">
        <f t="shared" si="0"/>
        <v>198</v>
      </c>
    </row>
    <row r="20" spans="1:3" ht="59.25" customHeight="1">
      <c r="A20" s="46" t="s">
        <v>101</v>
      </c>
      <c r="B20" s="92" t="s">
        <v>311</v>
      </c>
      <c r="C20" s="8">
        <f t="shared" si="0"/>
        <v>189</v>
      </c>
    </row>
    <row r="21" spans="1:3" ht="59.25" customHeight="1">
      <c r="A21" s="46" t="s">
        <v>102</v>
      </c>
      <c r="B21" s="92" t="s">
        <v>171</v>
      </c>
      <c r="C21" s="8">
        <f t="shared" si="0"/>
        <v>198</v>
      </c>
    </row>
    <row r="22" spans="1:3" ht="59.25" customHeight="1">
      <c r="A22" s="46" t="s">
        <v>103</v>
      </c>
      <c r="B22" s="92" t="s">
        <v>238</v>
      </c>
      <c r="C22" s="8">
        <f t="shared" si="0"/>
        <v>200</v>
      </c>
    </row>
    <row r="23" spans="1:3" ht="59.25" customHeight="1">
      <c r="A23" s="46" t="s">
        <v>104</v>
      </c>
      <c r="B23" s="92" t="s">
        <v>172</v>
      </c>
      <c r="C23" s="8">
        <f t="shared" si="0"/>
        <v>191</v>
      </c>
    </row>
    <row r="24" spans="1:3" ht="59.25" customHeight="1">
      <c r="A24" s="46"/>
      <c r="B24" s="92"/>
      <c r="C24" s="8">
        <f t="shared" si="0"/>
        <v>0</v>
      </c>
    </row>
    <row r="25" spans="1:3" ht="22.5" customHeight="1"/>
    <row r="26" spans="1:3" ht="22.5" customHeight="1"/>
    <row r="27" spans="1:3" ht="22.5" customHeight="1"/>
    <row r="28" spans="1:3" ht="2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sheetData>
  <phoneticPr fontId="1"/>
  <conditionalFormatting sqref="C3:C24">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Z196"/>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26" width="6" style="8" customWidth="1"/>
    <col min="27" max="16384" width="9" style="8"/>
  </cols>
  <sheetData>
    <row r="1" spans="1:26" ht="85.5" customHeight="1">
      <c r="A1" s="49" t="str">
        <f ca="1">MID(CELL("filename",A1),FIND("[",CELL("filename",A1))+1,3)</f>
        <v>３－２</v>
      </c>
      <c r="B1" s="50" t="s">
        <v>31</v>
      </c>
      <c r="C1" s="51" t="s">
        <v>25</v>
      </c>
      <c r="D1" s="36" t="str">
        <f>A13</f>
        <v>秋岡 万璃</v>
      </c>
      <c r="E1" s="36" t="str">
        <f>A14</f>
        <v>池田 一郎</v>
      </c>
      <c r="F1" s="36" t="str">
        <f>A15</f>
        <v>石田 圭</v>
      </c>
      <c r="G1" s="36" t="str">
        <f>A16</f>
        <v>伊藤 和花</v>
      </c>
      <c r="H1" s="36" t="str">
        <f>A17</f>
        <v>太谷 峰光</v>
      </c>
      <c r="I1" s="36" t="str">
        <f>A18</f>
        <v>大西 優</v>
      </c>
      <c r="J1" s="36" t="str">
        <f>A19</f>
        <v>帶川 瑛士</v>
      </c>
      <c r="K1" s="36" t="str">
        <f>A20</f>
        <v>川本 新</v>
      </c>
      <c r="L1" s="36" t="str">
        <f>A21</f>
        <v>後藤 真伸</v>
      </c>
      <c r="M1" s="36" t="str">
        <f>A22</f>
        <v>須田 愛菜</v>
      </c>
      <c r="N1" s="36" t="str">
        <f>A23</f>
        <v>髙橋 杏</v>
      </c>
      <c r="O1" s="36" t="str">
        <f>A24</f>
        <v>田中 雫</v>
      </c>
      <c r="P1" s="36" t="str">
        <f>A25</f>
        <v>辻󠄀 琉良</v>
      </c>
      <c r="Q1" s="36" t="str">
        <f>A26</f>
        <v>長澤 悠真</v>
      </c>
      <c r="R1" s="36" t="str">
        <f>A27</f>
        <v>西川 由里子</v>
      </c>
      <c r="S1" s="36" t="str">
        <f>A28</f>
        <v>濱本 大翔</v>
      </c>
      <c r="T1" s="36" t="str">
        <f>A29</f>
        <v>林 もろみ</v>
      </c>
      <c r="U1" s="36" t="str">
        <f>A30</f>
        <v>松井 晴南</v>
      </c>
      <c r="V1" s="36" t="str">
        <f>A31</f>
        <v>松山 瑛大</v>
      </c>
      <c r="W1" s="36" t="str">
        <f>A32</f>
        <v>山口 澪</v>
      </c>
      <c r="X1" s="36" t="str">
        <f>A33</f>
        <v>吉村 高連</v>
      </c>
      <c r="Y1" s="36">
        <f>A34</f>
        <v>0</v>
      </c>
      <c r="Z1" s="37"/>
    </row>
    <row r="2" spans="1:26" ht="22.5" customHeight="1">
      <c r="A2" s="173" t="s">
        <v>32</v>
      </c>
      <c r="B2" s="74" t="s">
        <v>71</v>
      </c>
      <c r="C2" s="38" t="s">
        <v>26</v>
      </c>
      <c r="D2" s="39" t="s">
        <v>48</v>
      </c>
      <c r="E2" s="39" t="s">
        <v>49</v>
      </c>
      <c r="F2" s="39" t="s">
        <v>48</v>
      </c>
      <c r="G2" s="39" t="s">
        <v>49</v>
      </c>
      <c r="H2" s="39" t="s">
        <v>48</v>
      </c>
      <c r="I2" s="39" t="s">
        <v>49</v>
      </c>
      <c r="J2" s="39" t="s">
        <v>48</v>
      </c>
      <c r="K2" s="39" t="s">
        <v>49</v>
      </c>
      <c r="L2" s="39" t="s">
        <v>49</v>
      </c>
      <c r="M2" s="39" t="s">
        <v>49</v>
      </c>
      <c r="N2" s="39" t="s">
        <v>49</v>
      </c>
      <c r="O2" s="39" t="s">
        <v>48</v>
      </c>
      <c r="P2" s="39" t="s">
        <v>49</v>
      </c>
      <c r="Q2" s="39" t="s">
        <v>49</v>
      </c>
      <c r="R2" s="39" t="s">
        <v>49</v>
      </c>
      <c r="S2" s="39" t="s">
        <v>49</v>
      </c>
      <c r="T2" s="39" t="s">
        <v>49</v>
      </c>
      <c r="U2" s="39" t="s">
        <v>49</v>
      </c>
      <c r="V2" s="39" t="s">
        <v>48</v>
      </c>
      <c r="W2" s="39" t="s">
        <v>49</v>
      </c>
      <c r="X2" s="39" t="s">
        <v>49</v>
      </c>
      <c r="Y2" s="39"/>
      <c r="Z2" s="75" t="s">
        <v>312</v>
      </c>
    </row>
    <row r="3" spans="1:26" ht="22.5" customHeight="1">
      <c r="A3" s="174"/>
      <c r="B3" s="74" t="s">
        <v>72</v>
      </c>
      <c r="C3" s="38" t="s">
        <v>26</v>
      </c>
      <c r="D3" s="39" t="s">
        <v>49</v>
      </c>
      <c r="E3" s="39" t="s">
        <v>48</v>
      </c>
      <c r="F3" s="39" t="s">
        <v>49</v>
      </c>
      <c r="G3" s="39" t="s">
        <v>49</v>
      </c>
      <c r="H3" s="39" t="s">
        <v>49</v>
      </c>
      <c r="I3" s="39" t="s">
        <v>49</v>
      </c>
      <c r="J3" s="39" t="s">
        <v>49</v>
      </c>
      <c r="K3" s="39" t="s">
        <v>48</v>
      </c>
      <c r="L3" s="39" t="s">
        <v>48</v>
      </c>
      <c r="M3" s="39" t="s">
        <v>49</v>
      </c>
      <c r="N3" s="39" t="s">
        <v>49</v>
      </c>
      <c r="O3" s="39" t="s">
        <v>49</v>
      </c>
      <c r="P3" s="39" t="s">
        <v>49</v>
      </c>
      <c r="Q3" s="39" t="s">
        <v>48</v>
      </c>
      <c r="R3" s="39" t="s">
        <v>49</v>
      </c>
      <c r="S3" s="39" t="s">
        <v>48</v>
      </c>
      <c r="T3" s="39" t="s">
        <v>49</v>
      </c>
      <c r="U3" s="39" t="s">
        <v>49</v>
      </c>
      <c r="V3" s="39" t="s">
        <v>49</v>
      </c>
      <c r="W3" s="39" t="s">
        <v>49</v>
      </c>
      <c r="X3" s="39" t="s">
        <v>49</v>
      </c>
      <c r="Y3" s="39"/>
      <c r="Z3" s="75" t="s">
        <v>245</v>
      </c>
    </row>
    <row r="4" spans="1:26" ht="22.5" customHeight="1">
      <c r="A4" s="174"/>
      <c r="B4" s="74" t="s">
        <v>73</v>
      </c>
      <c r="C4" s="38" t="s">
        <v>26</v>
      </c>
      <c r="D4" s="39" t="s">
        <v>49</v>
      </c>
      <c r="E4" s="39" t="s">
        <v>48</v>
      </c>
      <c r="F4" s="39" t="s">
        <v>49</v>
      </c>
      <c r="G4" s="39" t="s">
        <v>49</v>
      </c>
      <c r="H4" s="39" t="s">
        <v>49</v>
      </c>
      <c r="I4" s="39" t="s">
        <v>49</v>
      </c>
      <c r="J4" s="39" t="s">
        <v>49</v>
      </c>
      <c r="K4" s="39" t="s">
        <v>49</v>
      </c>
      <c r="L4" s="39" t="s">
        <v>48</v>
      </c>
      <c r="M4" s="39" t="s">
        <v>49</v>
      </c>
      <c r="N4" s="39" t="s">
        <v>49</v>
      </c>
      <c r="O4" s="39" t="s">
        <v>49</v>
      </c>
      <c r="P4" s="39" t="s">
        <v>232</v>
      </c>
      <c r="Q4" s="39" t="s">
        <v>49</v>
      </c>
      <c r="R4" s="39" t="s">
        <v>49</v>
      </c>
      <c r="S4" s="39" t="s">
        <v>49</v>
      </c>
      <c r="T4" s="39" t="s">
        <v>49</v>
      </c>
      <c r="U4" s="39" t="s">
        <v>49</v>
      </c>
      <c r="V4" s="39" t="s">
        <v>49</v>
      </c>
      <c r="W4" s="39" t="s">
        <v>49</v>
      </c>
      <c r="X4" s="39" t="s">
        <v>49</v>
      </c>
      <c r="Y4" s="39"/>
      <c r="Z4" s="75" t="s">
        <v>246</v>
      </c>
    </row>
    <row r="5" spans="1:26" ht="22.5" customHeight="1">
      <c r="A5" s="174"/>
      <c r="B5" s="74" t="s">
        <v>74</v>
      </c>
      <c r="C5" s="38" t="s">
        <v>26</v>
      </c>
      <c r="D5" s="39" t="s">
        <v>49</v>
      </c>
      <c r="E5" s="39" t="s">
        <v>49</v>
      </c>
      <c r="F5" s="39" t="s">
        <v>48</v>
      </c>
      <c r="G5" s="39" t="s">
        <v>49</v>
      </c>
      <c r="H5" s="39" t="s">
        <v>49</v>
      </c>
      <c r="I5" s="39" t="s">
        <v>49</v>
      </c>
      <c r="J5" s="39" t="s">
        <v>49</v>
      </c>
      <c r="K5" s="39" t="s">
        <v>49</v>
      </c>
      <c r="L5" s="39" t="s">
        <v>49</v>
      </c>
      <c r="M5" s="39" t="s">
        <v>49</v>
      </c>
      <c r="N5" s="39" t="s">
        <v>49</v>
      </c>
      <c r="O5" s="39" t="s">
        <v>48</v>
      </c>
      <c r="P5" s="39" t="s">
        <v>49</v>
      </c>
      <c r="Q5" s="39" t="s">
        <v>49</v>
      </c>
      <c r="R5" s="39" t="s">
        <v>49</v>
      </c>
      <c r="S5" s="39" t="s">
        <v>49</v>
      </c>
      <c r="T5" s="39" t="s">
        <v>48</v>
      </c>
      <c r="U5" s="39" t="s">
        <v>49</v>
      </c>
      <c r="V5" s="39" t="s">
        <v>49</v>
      </c>
      <c r="W5" s="39" t="s">
        <v>49</v>
      </c>
      <c r="X5" s="39" t="s">
        <v>49</v>
      </c>
      <c r="Y5" s="39"/>
      <c r="Z5" s="75" t="s">
        <v>313</v>
      </c>
    </row>
    <row r="6" spans="1:26" ht="22.5" customHeight="1">
      <c r="A6" s="174"/>
      <c r="B6" s="74" t="s">
        <v>75</v>
      </c>
      <c r="C6" s="38" t="s">
        <v>26</v>
      </c>
      <c r="D6" s="39" t="s">
        <v>49</v>
      </c>
      <c r="E6" s="39" t="s">
        <v>49</v>
      </c>
      <c r="F6" s="39" t="s">
        <v>49</v>
      </c>
      <c r="G6" s="39" t="s">
        <v>49</v>
      </c>
      <c r="H6" s="39" t="s">
        <v>49</v>
      </c>
      <c r="I6" s="39" t="s">
        <v>49</v>
      </c>
      <c r="J6" s="39" t="s">
        <v>49</v>
      </c>
      <c r="K6" s="39" t="s">
        <v>49</v>
      </c>
      <c r="L6" s="39" t="s">
        <v>49</v>
      </c>
      <c r="M6" s="39" t="s">
        <v>49</v>
      </c>
      <c r="N6" s="39" t="s">
        <v>49</v>
      </c>
      <c r="O6" s="39" t="s">
        <v>49</v>
      </c>
      <c r="P6" s="39" t="s">
        <v>48</v>
      </c>
      <c r="Q6" s="39" t="s">
        <v>49</v>
      </c>
      <c r="R6" s="39" t="s">
        <v>49</v>
      </c>
      <c r="S6" s="39" t="s">
        <v>49</v>
      </c>
      <c r="T6" s="39" t="s">
        <v>49</v>
      </c>
      <c r="U6" s="39" t="s">
        <v>49</v>
      </c>
      <c r="V6" s="39" t="s">
        <v>49</v>
      </c>
      <c r="W6" s="39" t="s">
        <v>49</v>
      </c>
      <c r="X6" s="39" t="s">
        <v>49</v>
      </c>
      <c r="Y6" s="39"/>
    </row>
    <row r="7" spans="1:26" ht="22.5" customHeight="1">
      <c r="A7" s="174"/>
      <c r="B7" s="74" t="s">
        <v>76</v>
      </c>
      <c r="C7" s="38" t="s">
        <v>26</v>
      </c>
      <c r="D7" s="39" t="s">
        <v>48</v>
      </c>
      <c r="E7" s="39" t="s">
        <v>49</v>
      </c>
      <c r="F7" s="39" t="s">
        <v>49</v>
      </c>
      <c r="G7" s="39" t="s">
        <v>49</v>
      </c>
      <c r="H7" s="39" t="s">
        <v>49</v>
      </c>
      <c r="I7" s="39" t="s">
        <v>49</v>
      </c>
      <c r="J7" s="39" t="s">
        <v>49</v>
      </c>
      <c r="K7" s="39" t="s">
        <v>49</v>
      </c>
      <c r="L7" s="39" t="s">
        <v>48</v>
      </c>
      <c r="M7" s="39" t="s">
        <v>49</v>
      </c>
      <c r="N7" s="39" t="s">
        <v>49</v>
      </c>
      <c r="O7" s="39" t="s">
        <v>49</v>
      </c>
      <c r="P7" s="39" t="s">
        <v>49</v>
      </c>
      <c r="Q7" s="39" t="s">
        <v>49</v>
      </c>
      <c r="R7" s="39" t="s">
        <v>49</v>
      </c>
      <c r="S7" s="39" t="s">
        <v>49</v>
      </c>
      <c r="T7" s="39" t="s">
        <v>49</v>
      </c>
      <c r="U7" s="39" t="s">
        <v>49</v>
      </c>
      <c r="V7" s="39" t="s">
        <v>49</v>
      </c>
      <c r="W7" s="39" t="s">
        <v>49</v>
      </c>
      <c r="X7" s="39" t="s">
        <v>49</v>
      </c>
      <c r="Y7" s="39"/>
    </row>
    <row r="8" spans="1:26" ht="22.5" customHeight="1">
      <c r="A8" s="174"/>
      <c r="B8" s="74" t="s">
        <v>77</v>
      </c>
      <c r="C8" s="38" t="s">
        <v>26</v>
      </c>
      <c r="D8" s="39" t="s">
        <v>49</v>
      </c>
      <c r="E8" s="39" t="s">
        <v>48</v>
      </c>
      <c r="F8" s="39" t="s">
        <v>48</v>
      </c>
      <c r="G8" s="39" t="s">
        <v>48</v>
      </c>
      <c r="H8" s="39" t="s">
        <v>48</v>
      </c>
      <c r="I8" s="39" t="s">
        <v>49</v>
      </c>
      <c r="J8" s="39" t="s">
        <v>48</v>
      </c>
      <c r="K8" s="39" t="s">
        <v>48</v>
      </c>
      <c r="L8" s="39" t="s">
        <v>48</v>
      </c>
      <c r="M8" s="39" t="s">
        <v>48</v>
      </c>
      <c r="N8" s="39" t="s">
        <v>49</v>
      </c>
      <c r="O8" s="39" t="s">
        <v>49</v>
      </c>
      <c r="P8" s="39" t="s">
        <v>48</v>
      </c>
      <c r="Q8" s="39" t="s">
        <v>48</v>
      </c>
      <c r="R8" s="39" t="s">
        <v>49</v>
      </c>
      <c r="S8" s="39" t="s">
        <v>48</v>
      </c>
      <c r="T8" s="39" t="s">
        <v>49</v>
      </c>
      <c r="U8" s="39" t="s">
        <v>49</v>
      </c>
      <c r="V8" s="39" t="s">
        <v>48</v>
      </c>
      <c r="W8" s="39" t="s">
        <v>49</v>
      </c>
      <c r="X8" s="39" t="s">
        <v>48</v>
      </c>
      <c r="Y8" s="39"/>
    </row>
    <row r="9" spans="1:26" ht="22.5" customHeight="1">
      <c r="A9" s="174"/>
      <c r="B9" s="74" t="s">
        <v>78</v>
      </c>
      <c r="C9" s="38" t="s">
        <v>26</v>
      </c>
      <c r="D9" s="39" t="s">
        <v>48</v>
      </c>
      <c r="E9" s="39" t="s">
        <v>49</v>
      </c>
      <c r="F9" s="39" t="s">
        <v>48</v>
      </c>
      <c r="G9" s="39" t="s">
        <v>49</v>
      </c>
      <c r="H9" s="39" t="s">
        <v>48</v>
      </c>
      <c r="I9" s="39" t="s">
        <v>49</v>
      </c>
      <c r="J9" s="39" t="s">
        <v>49</v>
      </c>
      <c r="K9" s="39" t="s">
        <v>48</v>
      </c>
      <c r="L9" s="39" t="s">
        <v>48</v>
      </c>
      <c r="M9" s="39" t="s">
        <v>49</v>
      </c>
      <c r="N9" s="39" t="s">
        <v>49</v>
      </c>
      <c r="O9" s="39" t="s">
        <v>49</v>
      </c>
      <c r="P9" s="39" t="s">
        <v>48</v>
      </c>
      <c r="Q9" s="39" t="s">
        <v>48</v>
      </c>
      <c r="R9" s="39" t="s">
        <v>49</v>
      </c>
      <c r="S9" s="39" t="s">
        <v>48</v>
      </c>
      <c r="T9" s="39" t="s">
        <v>49</v>
      </c>
      <c r="U9" s="39" t="s">
        <v>49</v>
      </c>
      <c r="V9" s="39" t="s">
        <v>49</v>
      </c>
      <c r="W9" s="39" t="s">
        <v>49</v>
      </c>
      <c r="X9" s="39" t="s">
        <v>49</v>
      </c>
      <c r="Y9" s="39"/>
    </row>
    <row r="10" spans="1:26" ht="22.5" customHeight="1">
      <c r="A10" s="52"/>
      <c r="B10" s="76" t="s">
        <v>79</v>
      </c>
      <c r="C10" s="38" t="s">
        <v>26</v>
      </c>
      <c r="D10" s="39" t="s">
        <v>49</v>
      </c>
      <c r="E10" s="39" t="s">
        <v>49</v>
      </c>
      <c r="F10" s="39" t="s">
        <v>49</v>
      </c>
      <c r="G10" s="39" t="s">
        <v>49</v>
      </c>
      <c r="H10" s="39" t="s">
        <v>49</v>
      </c>
      <c r="I10" s="39" t="s">
        <v>49</v>
      </c>
      <c r="J10" s="39" t="s">
        <v>49</v>
      </c>
      <c r="K10" s="39" t="s">
        <v>49</v>
      </c>
      <c r="L10" s="39" t="s">
        <v>49</v>
      </c>
      <c r="M10" s="39" t="s">
        <v>48</v>
      </c>
      <c r="N10" s="39" t="s">
        <v>49</v>
      </c>
      <c r="O10" s="39" t="s">
        <v>48</v>
      </c>
      <c r="P10" s="39" t="s">
        <v>48</v>
      </c>
      <c r="Q10" s="39" t="s">
        <v>49</v>
      </c>
      <c r="R10" s="39" t="s">
        <v>49</v>
      </c>
      <c r="S10" s="39" t="s">
        <v>49</v>
      </c>
      <c r="T10" s="39" t="s">
        <v>49</v>
      </c>
      <c r="U10" s="39" t="s">
        <v>49</v>
      </c>
      <c r="V10" s="39" t="s">
        <v>49</v>
      </c>
      <c r="W10" s="39" t="s">
        <v>49</v>
      </c>
      <c r="X10" s="39" t="s">
        <v>49</v>
      </c>
      <c r="Y10" s="39"/>
    </row>
    <row r="11" spans="1:26" ht="22.5" customHeight="1">
      <c r="A11" s="52"/>
      <c r="B11" s="76" t="s">
        <v>80</v>
      </c>
      <c r="C11" s="38" t="s">
        <v>26</v>
      </c>
      <c r="D11" s="39" t="s">
        <v>49</v>
      </c>
      <c r="E11" s="39" t="s">
        <v>49</v>
      </c>
      <c r="F11" s="39" t="s">
        <v>48</v>
      </c>
      <c r="G11" s="39" t="s">
        <v>48</v>
      </c>
      <c r="H11" s="39" t="s">
        <v>49</v>
      </c>
      <c r="I11" s="39" t="s">
        <v>49</v>
      </c>
      <c r="J11" s="39" t="s">
        <v>48</v>
      </c>
      <c r="K11" s="39" t="s">
        <v>49</v>
      </c>
      <c r="L11" s="39" t="s">
        <v>49</v>
      </c>
      <c r="M11" s="39" t="s">
        <v>48</v>
      </c>
      <c r="N11" s="39" t="s">
        <v>49</v>
      </c>
      <c r="O11" s="39" t="s">
        <v>49</v>
      </c>
      <c r="P11" s="39" t="s">
        <v>48</v>
      </c>
      <c r="Q11" s="39" t="s">
        <v>49</v>
      </c>
      <c r="R11" s="39" t="s">
        <v>48</v>
      </c>
      <c r="S11" s="39" t="s">
        <v>49</v>
      </c>
      <c r="T11" s="39" t="s">
        <v>48</v>
      </c>
      <c r="U11" s="39" t="s">
        <v>48</v>
      </c>
      <c r="V11" s="39" t="s">
        <v>48</v>
      </c>
      <c r="W11" s="39" t="s">
        <v>48</v>
      </c>
      <c r="X11" s="39" t="s">
        <v>48</v>
      </c>
      <c r="Y11" s="39"/>
    </row>
    <row r="12" spans="1:26" ht="22.5" customHeight="1">
      <c r="A12" s="175" t="s">
        <v>33</v>
      </c>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7"/>
    </row>
    <row r="13" spans="1:26" ht="22.5" customHeight="1">
      <c r="A13" s="53" t="s">
        <v>84</v>
      </c>
      <c r="B13" s="164" t="s">
        <v>173</v>
      </c>
      <c r="C13" s="165"/>
      <c r="D13" s="165"/>
      <c r="E13" s="165"/>
      <c r="F13" s="165"/>
      <c r="G13" s="165"/>
      <c r="H13" s="165"/>
      <c r="I13" s="165"/>
      <c r="J13" s="165"/>
      <c r="K13" s="165"/>
      <c r="L13" s="165"/>
      <c r="M13" s="165"/>
      <c r="N13" s="165"/>
      <c r="O13" s="165"/>
      <c r="P13" s="165"/>
      <c r="Q13" s="165"/>
      <c r="R13" s="165"/>
      <c r="S13" s="165"/>
      <c r="T13" s="165"/>
      <c r="U13" s="165"/>
      <c r="V13" s="165"/>
      <c r="W13" s="165"/>
      <c r="X13" s="165"/>
      <c r="Y13" s="166"/>
    </row>
    <row r="14" spans="1:26" ht="22.5" customHeight="1">
      <c r="A14" s="53" t="s">
        <v>85</v>
      </c>
      <c r="B14" s="164" t="s">
        <v>174</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6" ht="22.5" customHeight="1">
      <c r="A15" s="53" t="s">
        <v>86</v>
      </c>
      <c r="B15" s="164" t="s">
        <v>175</v>
      </c>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6" ht="22.5" customHeight="1">
      <c r="A16" s="53" t="s">
        <v>87</v>
      </c>
      <c r="B16" s="164" t="s">
        <v>176</v>
      </c>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22.5" customHeight="1">
      <c r="A17" s="53" t="s">
        <v>88</v>
      </c>
      <c r="B17" s="164" t="s">
        <v>177</v>
      </c>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22.5" customHeight="1">
      <c r="A18" s="53" t="s">
        <v>89</v>
      </c>
      <c r="B18" s="164" t="s">
        <v>178</v>
      </c>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22.5" customHeight="1">
      <c r="A19" s="53" t="s">
        <v>90</v>
      </c>
      <c r="B19" s="164" t="s">
        <v>179</v>
      </c>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22.5" customHeight="1">
      <c r="A20" s="53" t="s">
        <v>91</v>
      </c>
      <c r="B20" s="164" t="s">
        <v>180</v>
      </c>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22.5" customHeight="1">
      <c r="A21" s="53" t="s">
        <v>92</v>
      </c>
      <c r="B21" s="164" t="s">
        <v>181</v>
      </c>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22.5" customHeight="1">
      <c r="A22" s="53" t="s">
        <v>93</v>
      </c>
      <c r="B22" s="164" t="s">
        <v>182</v>
      </c>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22.5" customHeight="1">
      <c r="A23" s="53" t="s">
        <v>94</v>
      </c>
      <c r="B23" s="164" t="s">
        <v>183</v>
      </c>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22.5" customHeight="1">
      <c r="A24" s="53" t="s">
        <v>95</v>
      </c>
      <c r="B24" s="164" t="s">
        <v>184</v>
      </c>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22.5" customHeight="1">
      <c r="A25" s="53" t="s">
        <v>96</v>
      </c>
      <c r="B25" s="164" t="s">
        <v>185</v>
      </c>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22.5" customHeight="1">
      <c r="A26" s="53" t="s">
        <v>97</v>
      </c>
      <c r="B26" s="164" t="s">
        <v>186</v>
      </c>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22.5" customHeight="1">
      <c r="A27" s="53" t="s">
        <v>98</v>
      </c>
      <c r="B27" s="164" t="s">
        <v>187</v>
      </c>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22.5" customHeight="1">
      <c r="A28" s="53" t="s">
        <v>99</v>
      </c>
      <c r="B28" s="164" t="s">
        <v>181</v>
      </c>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22.5" customHeight="1">
      <c r="A29" s="53" t="s">
        <v>100</v>
      </c>
      <c r="B29" s="164" t="s">
        <v>188</v>
      </c>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22.5" customHeight="1">
      <c r="A30" s="53" t="s">
        <v>101</v>
      </c>
      <c r="B30" s="164" t="s">
        <v>189</v>
      </c>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22.5" customHeight="1">
      <c r="A31" s="53" t="s">
        <v>102</v>
      </c>
      <c r="B31" s="164" t="s">
        <v>173</v>
      </c>
      <c r="C31" s="165"/>
      <c r="D31" s="165"/>
      <c r="E31" s="165"/>
      <c r="F31" s="165"/>
      <c r="G31" s="165"/>
      <c r="H31" s="165"/>
      <c r="I31" s="165"/>
      <c r="J31" s="165"/>
      <c r="K31" s="165"/>
      <c r="L31" s="165"/>
      <c r="M31" s="165"/>
      <c r="N31" s="165"/>
      <c r="O31" s="165"/>
      <c r="P31" s="165"/>
      <c r="Q31" s="165"/>
      <c r="R31" s="165"/>
      <c r="S31" s="165"/>
      <c r="T31" s="165"/>
      <c r="U31" s="165"/>
      <c r="V31" s="165"/>
      <c r="W31" s="165"/>
      <c r="X31" s="165"/>
      <c r="Y31" s="166"/>
    </row>
    <row r="32" spans="1:25" ht="22.5" customHeight="1">
      <c r="A32" s="53" t="s">
        <v>103</v>
      </c>
      <c r="B32" s="164" t="s">
        <v>190</v>
      </c>
      <c r="C32" s="165"/>
      <c r="D32" s="165"/>
      <c r="E32" s="165"/>
      <c r="F32" s="165"/>
      <c r="G32" s="165"/>
      <c r="H32" s="165"/>
      <c r="I32" s="165"/>
      <c r="J32" s="165"/>
      <c r="K32" s="165"/>
      <c r="L32" s="165"/>
      <c r="M32" s="165"/>
      <c r="N32" s="165"/>
      <c r="O32" s="165"/>
      <c r="P32" s="165"/>
      <c r="Q32" s="165"/>
      <c r="R32" s="165"/>
      <c r="S32" s="165"/>
      <c r="T32" s="165"/>
      <c r="U32" s="165"/>
      <c r="V32" s="165"/>
      <c r="W32" s="165"/>
      <c r="X32" s="165"/>
      <c r="Y32" s="166"/>
    </row>
    <row r="33" spans="1:26" ht="22.5" customHeight="1">
      <c r="A33" s="53" t="s">
        <v>104</v>
      </c>
      <c r="B33" s="164" t="s">
        <v>191</v>
      </c>
      <c r="C33" s="165"/>
      <c r="D33" s="165"/>
      <c r="E33" s="165"/>
      <c r="F33" s="165"/>
      <c r="G33" s="165"/>
      <c r="H33" s="165"/>
      <c r="I33" s="165"/>
      <c r="J33" s="165"/>
      <c r="K33" s="165"/>
      <c r="L33" s="165"/>
      <c r="M33" s="165"/>
      <c r="N33" s="165"/>
      <c r="O33" s="165"/>
      <c r="P33" s="165"/>
      <c r="Q33" s="165"/>
      <c r="R33" s="165"/>
      <c r="S33" s="165"/>
      <c r="T33" s="165"/>
      <c r="U33" s="165"/>
      <c r="V33" s="165"/>
      <c r="W33" s="165"/>
      <c r="X33" s="165"/>
      <c r="Y33" s="166"/>
    </row>
    <row r="34" spans="1:26" ht="22.5" customHeight="1">
      <c r="A34" s="53"/>
      <c r="B34" s="164"/>
      <c r="C34" s="165"/>
      <c r="D34" s="165"/>
      <c r="E34" s="165"/>
      <c r="F34" s="165"/>
      <c r="G34" s="165"/>
      <c r="H34" s="165"/>
      <c r="I34" s="165"/>
      <c r="J34" s="165"/>
      <c r="K34" s="165"/>
      <c r="L34" s="165"/>
      <c r="M34" s="165"/>
      <c r="N34" s="165"/>
      <c r="O34" s="165"/>
      <c r="P34" s="165"/>
      <c r="Q34" s="165"/>
      <c r="R34" s="165"/>
      <c r="S34" s="165"/>
      <c r="T34" s="165"/>
      <c r="U34" s="165"/>
      <c r="V34" s="165"/>
      <c r="W34" s="165"/>
      <c r="X34" s="165"/>
      <c r="Y34" s="166"/>
      <c r="Z34" s="47" t="s">
        <v>30</v>
      </c>
    </row>
    <row r="35" spans="1:26" ht="22.5" customHeight="1">
      <c r="A35" s="178" t="s">
        <v>314</v>
      </c>
      <c r="B35" s="179"/>
      <c r="C35" s="179"/>
      <c r="D35" s="179"/>
      <c r="E35" s="179"/>
      <c r="F35" s="179"/>
      <c r="G35" s="179"/>
      <c r="H35" s="179"/>
      <c r="I35" s="179"/>
      <c r="J35" s="179"/>
      <c r="K35" s="179"/>
      <c r="L35" s="179"/>
      <c r="M35" s="179"/>
      <c r="N35" s="179"/>
      <c r="O35" s="179"/>
      <c r="P35" s="179"/>
      <c r="Q35" s="179"/>
      <c r="R35" s="179"/>
      <c r="S35" s="179"/>
      <c r="T35" s="179"/>
      <c r="U35" s="179"/>
      <c r="V35" s="179"/>
      <c r="W35" s="179"/>
      <c r="X35" s="179"/>
      <c r="Y35" s="180"/>
      <c r="Z35" s="8" t="s">
        <v>315</v>
      </c>
    </row>
    <row r="36" spans="1:26" ht="77.25" customHeight="1">
      <c r="A36" s="77" t="str">
        <f>A13</f>
        <v>秋岡 万璃</v>
      </c>
      <c r="B36" s="181" t="s">
        <v>316</v>
      </c>
      <c r="C36" s="182" t="s">
        <v>192</v>
      </c>
      <c r="D36" s="182" t="s">
        <v>192</v>
      </c>
      <c r="E36" s="182" t="s">
        <v>192</v>
      </c>
      <c r="F36" s="182" t="s">
        <v>192</v>
      </c>
      <c r="G36" s="182" t="s">
        <v>192</v>
      </c>
      <c r="H36" s="182" t="s">
        <v>192</v>
      </c>
      <c r="I36" s="182" t="s">
        <v>192</v>
      </c>
      <c r="J36" s="182" t="s">
        <v>192</v>
      </c>
      <c r="K36" s="182" t="s">
        <v>192</v>
      </c>
      <c r="L36" s="182" t="s">
        <v>192</v>
      </c>
      <c r="M36" s="182" t="s">
        <v>192</v>
      </c>
      <c r="N36" s="182" t="s">
        <v>192</v>
      </c>
      <c r="O36" s="182" t="s">
        <v>192</v>
      </c>
      <c r="P36" s="182" t="s">
        <v>192</v>
      </c>
      <c r="Q36" s="182" t="s">
        <v>192</v>
      </c>
      <c r="R36" s="182" t="s">
        <v>192</v>
      </c>
      <c r="S36" s="182" t="s">
        <v>192</v>
      </c>
      <c r="T36" s="182" t="s">
        <v>192</v>
      </c>
      <c r="U36" s="182" t="s">
        <v>192</v>
      </c>
      <c r="V36" s="182" t="s">
        <v>192</v>
      </c>
      <c r="W36" s="182" t="s">
        <v>192</v>
      </c>
      <c r="X36" s="182" t="s">
        <v>192</v>
      </c>
      <c r="Y36" s="183" t="s">
        <v>192</v>
      </c>
      <c r="Z36" s="8">
        <f>LEN(B36)</f>
        <v>405</v>
      </c>
    </row>
    <row r="37" spans="1:26" ht="77.25" customHeight="1">
      <c r="A37" s="77" t="str">
        <f t="shared" ref="A37:A57" si="0">A14</f>
        <v>池田 一郎</v>
      </c>
      <c r="B37" s="181" t="s">
        <v>193</v>
      </c>
      <c r="C37" s="182" t="s">
        <v>194</v>
      </c>
      <c r="D37" s="182" t="s">
        <v>194</v>
      </c>
      <c r="E37" s="182" t="s">
        <v>194</v>
      </c>
      <c r="F37" s="182" t="s">
        <v>194</v>
      </c>
      <c r="G37" s="182" t="s">
        <v>194</v>
      </c>
      <c r="H37" s="182" t="s">
        <v>194</v>
      </c>
      <c r="I37" s="182" t="s">
        <v>194</v>
      </c>
      <c r="J37" s="182" t="s">
        <v>194</v>
      </c>
      <c r="K37" s="182" t="s">
        <v>194</v>
      </c>
      <c r="L37" s="182" t="s">
        <v>194</v>
      </c>
      <c r="M37" s="182" t="s">
        <v>194</v>
      </c>
      <c r="N37" s="182" t="s">
        <v>194</v>
      </c>
      <c r="O37" s="182" t="s">
        <v>194</v>
      </c>
      <c r="P37" s="182" t="s">
        <v>194</v>
      </c>
      <c r="Q37" s="182" t="s">
        <v>194</v>
      </c>
      <c r="R37" s="182" t="s">
        <v>194</v>
      </c>
      <c r="S37" s="182" t="s">
        <v>194</v>
      </c>
      <c r="T37" s="182" t="s">
        <v>194</v>
      </c>
      <c r="U37" s="182" t="s">
        <v>194</v>
      </c>
      <c r="V37" s="182" t="s">
        <v>194</v>
      </c>
      <c r="W37" s="182" t="s">
        <v>194</v>
      </c>
      <c r="X37" s="182" t="s">
        <v>194</v>
      </c>
      <c r="Y37" s="183" t="s">
        <v>194</v>
      </c>
      <c r="Z37" s="8">
        <f t="shared" ref="Z37:Z57" si="1">LEN(B37)</f>
        <v>441</v>
      </c>
    </row>
    <row r="38" spans="1:26" ht="77.25" customHeight="1">
      <c r="A38" s="77" t="str">
        <f t="shared" si="0"/>
        <v>石田 圭</v>
      </c>
      <c r="B38" s="181" t="s">
        <v>195</v>
      </c>
      <c r="C38" s="182" t="s">
        <v>196</v>
      </c>
      <c r="D38" s="182" t="s">
        <v>196</v>
      </c>
      <c r="E38" s="182" t="s">
        <v>196</v>
      </c>
      <c r="F38" s="182" t="s">
        <v>196</v>
      </c>
      <c r="G38" s="182" t="s">
        <v>196</v>
      </c>
      <c r="H38" s="182" t="s">
        <v>196</v>
      </c>
      <c r="I38" s="182" t="s">
        <v>196</v>
      </c>
      <c r="J38" s="182" t="s">
        <v>196</v>
      </c>
      <c r="K38" s="182" t="s">
        <v>196</v>
      </c>
      <c r="L38" s="182" t="s">
        <v>196</v>
      </c>
      <c r="M38" s="182" t="s">
        <v>196</v>
      </c>
      <c r="N38" s="182" t="s">
        <v>196</v>
      </c>
      <c r="O38" s="182" t="s">
        <v>196</v>
      </c>
      <c r="P38" s="182" t="s">
        <v>196</v>
      </c>
      <c r="Q38" s="182" t="s">
        <v>196</v>
      </c>
      <c r="R38" s="182" t="s">
        <v>196</v>
      </c>
      <c r="S38" s="182" t="s">
        <v>196</v>
      </c>
      <c r="T38" s="182" t="s">
        <v>196</v>
      </c>
      <c r="U38" s="182" t="s">
        <v>196</v>
      </c>
      <c r="V38" s="182" t="s">
        <v>196</v>
      </c>
      <c r="W38" s="182" t="s">
        <v>196</v>
      </c>
      <c r="X38" s="182" t="s">
        <v>196</v>
      </c>
      <c r="Y38" s="183" t="s">
        <v>196</v>
      </c>
      <c r="Z38" s="8">
        <f t="shared" si="1"/>
        <v>446</v>
      </c>
    </row>
    <row r="39" spans="1:26" ht="77.25" customHeight="1">
      <c r="A39" s="77" t="str">
        <f t="shared" si="0"/>
        <v>伊藤 和花</v>
      </c>
      <c r="B39" s="181" t="s">
        <v>197</v>
      </c>
      <c r="C39" s="182" t="s">
        <v>198</v>
      </c>
      <c r="D39" s="182" t="s">
        <v>198</v>
      </c>
      <c r="E39" s="182" t="s">
        <v>198</v>
      </c>
      <c r="F39" s="182" t="s">
        <v>198</v>
      </c>
      <c r="G39" s="182" t="s">
        <v>198</v>
      </c>
      <c r="H39" s="182" t="s">
        <v>198</v>
      </c>
      <c r="I39" s="182" t="s">
        <v>198</v>
      </c>
      <c r="J39" s="182" t="s">
        <v>198</v>
      </c>
      <c r="K39" s="182" t="s">
        <v>198</v>
      </c>
      <c r="L39" s="182" t="s">
        <v>198</v>
      </c>
      <c r="M39" s="182" t="s">
        <v>198</v>
      </c>
      <c r="N39" s="182" t="s">
        <v>198</v>
      </c>
      <c r="O39" s="182" t="s">
        <v>198</v>
      </c>
      <c r="P39" s="182" t="s">
        <v>198</v>
      </c>
      <c r="Q39" s="182" t="s">
        <v>198</v>
      </c>
      <c r="R39" s="182" t="s">
        <v>198</v>
      </c>
      <c r="S39" s="182" t="s">
        <v>198</v>
      </c>
      <c r="T39" s="182" t="s">
        <v>198</v>
      </c>
      <c r="U39" s="182" t="s">
        <v>198</v>
      </c>
      <c r="V39" s="182" t="s">
        <v>198</v>
      </c>
      <c r="W39" s="182" t="s">
        <v>198</v>
      </c>
      <c r="X39" s="182" t="s">
        <v>198</v>
      </c>
      <c r="Y39" s="183" t="s">
        <v>198</v>
      </c>
      <c r="Z39" s="8">
        <f t="shared" si="1"/>
        <v>431</v>
      </c>
    </row>
    <row r="40" spans="1:26" ht="77.25" customHeight="1">
      <c r="A40" s="77" t="str">
        <f t="shared" si="0"/>
        <v>太谷 峰光</v>
      </c>
      <c r="B40" s="181" t="s">
        <v>199</v>
      </c>
      <c r="C40" s="182" t="s">
        <v>200</v>
      </c>
      <c r="D40" s="182" t="s">
        <v>200</v>
      </c>
      <c r="E40" s="182" t="s">
        <v>200</v>
      </c>
      <c r="F40" s="182" t="s">
        <v>200</v>
      </c>
      <c r="G40" s="182" t="s">
        <v>200</v>
      </c>
      <c r="H40" s="182" t="s">
        <v>200</v>
      </c>
      <c r="I40" s="182" t="s">
        <v>200</v>
      </c>
      <c r="J40" s="182" t="s">
        <v>200</v>
      </c>
      <c r="K40" s="182" t="s">
        <v>200</v>
      </c>
      <c r="L40" s="182" t="s">
        <v>200</v>
      </c>
      <c r="M40" s="182" t="s">
        <v>200</v>
      </c>
      <c r="N40" s="182" t="s">
        <v>200</v>
      </c>
      <c r="O40" s="182" t="s">
        <v>200</v>
      </c>
      <c r="P40" s="182" t="s">
        <v>200</v>
      </c>
      <c r="Q40" s="182" t="s">
        <v>200</v>
      </c>
      <c r="R40" s="182" t="s">
        <v>200</v>
      </c>
      <c r="S40" s="182" t="s">
        <v>200</v>
      </c>
      <c r="T40" s="182" t="s">
        <v>200</v>
      </c>
      <c r="U40" s="182" t="s">
        <v>200</v>
      </c>
      <c r="V40" s="182" t="s">
        <v>200</v>
      </c>
      <c r="W40" s="182" t="s">
        <v>200</v>
      </c>
      <c r="X40" s="182" t="s">
        <v>200</v>
      </c>
      <c r="Y40" s="183" t="s">
        <v>200</v>
      </c>
      <c r="Z40" s="8">
        <f t="shared" si="1"/>
        <v>415</v>
      </c>
    </row>
    <row r="41" spans="1:26" ht="77.25" customHeight="1">
      <c r="A41" s="77" t="str">
        <f t="shared" si="0"/>
        <v>大西 優</v>
      </c>
      <c r="B41" s="181" t="s">
        <v>317</v>
      </c>
      <c r="C41" s="182" t="s">
        <v>201</v>
      </c>
      <c r="D41" s="182" t="s">
        <v>201</v>
      </c>
      <c r="E41" s="182" t="s">
        <v>201</v>
      </c>
      <c r="F41" s="182" t="s">
        <v>201</v>
      </c>
      <c r="G41" s="182" t="s">
        <v>201</v>
      </c>
      <c r="H41" s="182" t="s">
        <v>201</v>
      </c>
      <c r="I41" s="182" t="s">
        <v>201</v>
      </c>
      <c r="J41" s="182" t="s">
        <v>201</v>
      </c>
      <c r="K41" s="182" t="s">
        <v>201</v>
      </c>
      <c r="L41" s="182" t="s">
        <v>201</v>
      </c>
      <c r="M41" s="182" t="s">
        <v>201</v>
      </c>
      <c r="N41" s="182" t="s">
        <v>201</v>
      </c>
      <c r="O41" s="182" t="s">
        <v>201</v>
      </c>
      <c r="P41" s="182" t="s">
        <v>201</v>
      </c>
      <c r="Q41" s="182" t="s">
        <v>201</v>
      </c>
      <c r="R41" s="182" t="s">
        <v>201</v>
      </c>
      <c r="S41" s="182" t="s">
        <v>201</v>
      </c>
      <c r="T41" s="182" t="s">
        <v>201</v>
      </c>
      <c r="U41" s="182" t="s">
        <v>201</v>
      </c>
      <c r="V41" s="182" t="s">
        <v>201</v>
      </c>
      <c r="W41" s="182" t="s">
        <v>201</v>
      </c>
      <c r="X41" s="182" t="s">
        <v>201</v>
      </c>
      <c r="Y41" s="183" t="s">
        <v>201</v>
      </c>
      <c r="Z41" s="8">
        <f t="shared" si="1"/>
        <v>428</v>
      </c>
    </row>
    <row r="42" spans="1:26" ht="77.25" customHeight="1">
      <c r="A42" s="77" t="str">
        <f t="shared" si="0"/>
        <v>帶川 瑛士</v>
      </c>
      <c r="B42" s="181" t="s">
        <v>318</v>
      </c>
      <c r="C42" s="182" t="s">
        <v>202</v>
      </c>
      <c r="D42" s="182" t="s">
        <v>202</v>
      </c>
      <c r="E42" s="182" t="s">
        <v>202</v>
      </c>
      <c r="F42" s="182" t="s">
        <v>202</v>
      </c>
      <c r="G42" s="182" t="s">
        <v>202</v>
      </c>
      <c r="H42" s="182" t="s">
        <v>202</v>
      </c>
      <c r="I42" s="182" t="s">
        <v>202</v>
      </c>
      <c r="J42" s="182" t="s">
        <v>202</v>
      </c>
      <c r="K42" s="182" t="s">
        <v>202</v>
      </c>
      <c r="L42" s="182" t="s">
        <v>202</v>
      </c>
      <c r="M42" s="182" t="s">
        <v>202</v>
      </c>
      <c r="N42" s="182" t="s">
        <v>202</v>
      </c>
      <c r="O42" s="182" t="s">
        <v>202</v>
      </c>
      <c r="P42" s="182" t="s">
        <v>202</v>
      </c>
      <c r="Q42" s="182" t="s">
        <v>202</v>
      </c>
      <c r="R42" s="182" t="s">
        <v>202</v>
      </c>
      <c r="S42" s="182" t="s">
        <v>202</v>
      </c>
      <c r="T42" s="182" t="s">
        <v>202</v>
      </c>
      <c r="U42" s="182" t="s">
        <v>202</v>
      </c>
      <c r="V42" s="182" t="s">
        <v>202</v>
      </c>
      <c r="W42" s="182" t="s">
        <v>202</v>
      </c>
      <c r="X42" s="182" t="s">
        <v>202</v>
      </c>
      <c r="Y42" s="183" t="s">
        <v>202</v>
      </c>
      <c r="Z42" s="8">
        <f t="shared" si="1"/>
        <v>440</v>
      </c>
    </row>
    <row r="43" spans="1:26" ht="77.25" customHeight="1">
      <c r="A43" s="77" t="str">
        <f t="shared" si="0"/>
        <v>川本 新</v>
      </c>
      <c r="B43" s="181" t="s">
        <v>203</v>
      </c>
      <c r="C43" s="182" t="s">
        <v>204</v>
      </c>
      <c r="D43" s="182" t="s">
        <v>204</v>
      </c>
      <c r="E43" s="182" t="s">
        <v>204</v>
      </c>
      <c r="F43" s="182" t="s">
        <v>204</v>
      </c>
      <c r="G43" s="182" t="s">
        <v>204</v>
      </c>
      <c r="H43" s="182" t="s">
        <v>204</v>
      </c>
      <c r="I43" s="182" t="s">
        <v>204</v>
      </c>
      <c r="J43" s="182" t="s">
        <v>204</v>
      </c>
      <c r="K43" s="182" t="s">
        <v>204</v>
      </c>
      <c r="L43" s="182" t="s">
        <v>204</v>
      </c>
      <c r="M43" s="182" t="s">
        <v>204</v>
      </c>
      <c r="N43" s="182" t="s">
        <v>204</v>
      </c>
      <c r="O43" s="182" t="s">
        <v>204</v>
      </c>
      <c r="P43" s="182" t="s">
        <v>204</v>
      </c>
      <c r="Q43" s="182" t="s">
        <v>204</v>
      </c>
      <c r="R43" s="182" t="s">
        <v>204</v>
      </c>
      <c r="S43" s="182" t="s">
        <v>204</v>
      </c>
      <c r="T43" s="182" t="s">
        <v>204</v>
      </c>
      <c r="U43" s="182" t="s">
        <v>204</v>
      </c>
      <c r="V43" s="182" t="s">
        <v>204</v>
      </c>
      <c r="W43" s="182" t="s">
        <v>204</v>
      </c>
      <c r="X43" s="182" t="s">
        <v>204</v>
      </c>
      <c r="Y43" s="183" t="s">
        <v>204</v>
      </c>
      <c r="Z43" s="8">
        <f t="shared" si="1"/>
        <v>419</v>
      </c>
    </row>
    <row r="44" spans="1:26" ht="77.25" customHeight="1">
      <c r="A44" s="77" t="str">
        <f t="shared" si="0"/>
        <v>後藤 真伸</v>
      </c>
      <c r="B44" s="181" t="s">
        <v>319</v>
      </c>
      <c r="C44" s="182" t="s">
        <v>205</v>
      </c>
      <c r="D44" s="182" t="s">
        <v>205</v>
      </c>
      <c r="E44" s="182" t="s">
        <v>205</v>
      </c>
      <c r="F44" s="182" t="s">
        <v>205</v>
      </c>
      <c r="G44" s="182" t="s">
        <v>205</v>
      </c>
      <c r="H44" s="182" t="s">
        <v>205</v>
      </c>
      <c r="I44" s="182" t="s">
        <v>205</v>
      </c>
      <c r="J44" s="182" t="s">
        <v>205</v>
      </c>
      <c r="K44" s="182" t="s">
        <v>205</v>
      </c>
      <c r="L44" s="182" t="s">
        <v>205</v>
      </c>
      <c r="M44" s="182" t="s">
        <v>205</v>
      </c>
      <c r="N44" s="182" t="s">
        <v>205</v>
      </c>
      <c r="O44" s="182" t="s">
        <v>205</v>
      </c>
      <c r="P44" s="182" t="s">
        <v>205</v>
      </c>
      <c r="Q44" s="182" t="s">
        <v>205</v>
      </c>
      <c r="R44" s="182" t="s">
        <v>205</v>
      </c>
      <c r="S44" s="182" t="s">
        <v>205</v>
      </c>
      <c r="T44" s="182" t="s">
        <v>205</v>
      </c>
      <c r="U44" s="182" t="s">
        <v>205</v>
      </c>
      <c r="V44" s="182" t="s">
        <v>205</v>
      </c>
      <c r="W44" s="182" t="s">
        <v>205</v>
      </c>
      <c r="X44" s="182" t="s">
        <v>205</v>
      </c>
      <c r="Y44" s="183" t="s">
        <v>205</v>
      </c>
      <c r="Z44" s="8">
        <f t="shared" si="1"/>
        <v>433</v>
      </c>
    </row>
    <row r="45" spans="1:26" ht="77.25" customHeight="1">
      <c r="A45" s="77" t="str">
        <f t="shared" si="0"/>
        <v>須田 愛菜</v>
      </c>
      <c r="B45" s="181" t="s">
        <v>320</v>
      </c>
      <c r="C45" s="182" t="s">
        <v>206</v>
      </c>
      <c r="D45" s="182" t="s">
        <v>206</v>
      </c>
      <c r="E45" s="182" t="s">
        <v>206</v>
      </c>
      <c r="F45" s="182" t="s">
        <v>206</v>
      </c>
      <c r="G45" s="182" t="s">
        <v>206</v>
      </c>
      <c r="H45" s="182" t="s">
        <v>206</v>
      </c>
      <c r="I45" s="182" t="s">
        <v>206</v>
      </c>
      <c r="J45" s="182" t="s">
        <v>206</v>
      </c>
      <c r="K45" s="182" t="s">
        <v>206</v>
      </c>
      <c r="L45" s="182" t="s">
        <v>206</v>
      </c>
      <c r="M45" s="182" t="s">
        <v>206</v>
      </c>
      <c r="N45" s="182" t="s">
        <v>206</v>
      </c>
      <c r="O45" s="182" t="s">
        <v>206</v>
      </c>
      <c r="P45" s="182" t="s">
        <v>206</v>
      </c>
      <c r="Q45" s="182" t="s">
        <v>206</v>
      </c>
      <c r="R45" s="182" t="s">
        <v>206</v>
      </c>
      <c r="S45" s="182" t="s">
        <v>206</v>
      </c>
      <c r="T45" s="182" t="s">
        <v>206</v>
      </c>
      <c r="U45" s="182" t="s">
        <v>206</v>
      </c>
      <c r="V45" s="182" t="s">
        <v>206</v>
      </c>
      <c r="W45" s="182" t="s">
        <v>206</v>
      </c>
      <c r="X45" s="182" t="s">
        <v>206</v>
      </c>
      <c r="Y45" s="183" t="s">
        <v>206</v>
      </c>
      <c r="Z45" s="8">
        <f t="shared" si="1"/>
        <v>444</v>
      </c>
    </row>
    <row r="46" spans="1:26" ht="77.25" customHeight="1">
      <c r="A46" s="77" t="str">
        <f t="shared" si="0"/>
        <v>髙橋 杏</v>
      </c>
      <c r="B46" s="181" t="s">
        <v>321</v>
      </c>
      <c r="C46" s="182" t="s">
        <v>207</v>
      </c>
      <c r="D46" s="182" t="s">
        <v>207</v>
      </c>
      <c r="E46" s="182" t="s">
        <v>207</v>
      </c>
      <c r="F46" s="182" t="s">
        <v>207</v>
      </c>
      <c r="G46" s="182" t="s">
        <v>207</v>
      </c>
      <c r="H46" s="182" t="s">
        <v>207</v>
      </c>
      <c r="I46" s="182" t="s">
        <v>207</v>
      </c>
      <c r="J46" s="182" t="s">
        <v>207</v>
      </c>
      <c r="K46" s="182" t="s">
        <v>207</v>
      </c>
      <c r="L46" s="182" t="s">
        <v>207</v>
      </c>
      <c r="M46" s="182" t="s">
        <v>207</v>
      </c>
      <c r="N46" s="182" t="s">
        <v>207</v>
      </c>
      <c r="O46" s="182" t="s">
        <v>207</v>
      </c>
      <c r="P46" s="182" t="s">
        <v>207</v>
      </c>
      <c r="Q46" s="182" t="s">
        <v>207</v>
      </c>
      <c r="R46" s="182" t="s">
        <v>207</v>
      </c>
      <c r="S46" s="182" t="s">
        <v>207</v>
      </c>
      <c r="T46" s="182" t="s">
        <v>207</v>
      </c>
      <c r="U46" s="182" t="s">
        <v>207</v>
      </c>
      <c r="V46" s="182" t="s">
        <v>207</v>
      </c>
      <c r="W46" s="182" t="s">
        <v>207</v>
      </c>
      <c r="X46" s="182" t="s">
        <v>207</v>
      </c>
      <c r="Y46" s="183" t="s">
        <v>207</v>
      </c>
      <c r="Z46" s="8">
        <f t="shared" si="1"/>
        <v>422</v>
      </c>
    </row>
    <row r="47" spans="1:26" ht="77.25" customHeight="1">
      <c r="A47" s="77" t="str">
        <f t="shared" si="0"/>
        <v>田中 雫</v>
      </c>
      <c r="B47" s="181" t="s">
        <v>322</v>
      </c>
      <c r="C47" s="182" t="s">
        <v>208</v>
      </c>
      <c r="D47" s="182" t="s">
        <v>208</v>
      </c>
      <c r="E47" s="182" t="s">
        <v>208</v>
      </c>
      <c r="F47" s="182" t="s">
        <v>208</v>
      </c>
      <c r="G47" s="182" t="s">
        <v>208</v>
      </c>
      <c r="H47" s="182" t="s">
        <v>208</v>
      </c>
      <c r="I47" s="182" t="s">
        <v>208</v>
      </c>
      <c r="J47" s="182" t="s">
        <v>208</v>
      </c>
      <c r="K47" s="182" t="s">
        <v>208</v>
      </c>
      <c r="L47" s="182" t="s">
        <v>208</v>
      </c>
      <c r="M47" s="182" t="s">
        <v>208</v>
      </c>
      <c r="N47" s="182" t="s">
        <v>208</v>
      </c>
      <c r="O47" s="182" t="s">
        <v>208</v>
      </c>
      <c r="P47" s="182" t="s">
        <v>208</v>
      </c>
      <c r="Q47" s="182" t="s">
        <v>208</v>
      </c>
      <c r="R47" s="182" t="s">
        <v>208</v>
      </c>
      <c r="S47" s="182" t="s">
        <v>208</v>
      </c>
      <c r="T47" s="182" t="s">
        <v>208</v>
      </c>
      <c r="U47" s="182" t="s">
        <v>208</v>
      </c>
      <c r="V47" s="182" t="s">
        <v>208</v>
      </c>
      <c r="W47" s="182" t="s">
        <v>208</v>
      </c>
      <c r="X47" s="182" t="s">
        <v>208</v>
      </c>
      <c r="Y47" s="183" t="s">
        <v>208</v>
      </c>
      <c r="Z47" s="8">
        <f t="shared" si="1"/>
        <v>450</v>
      </c>
    </row>
    <row r="48" spans="1:26" ht="77.25" customHeight="1">
      <c r="A48" s="77" t="str">
        <f t="shared" si="0"/>
        <v>辻󠄀 琉良</v>
      </c>
      <c r="B48" s="181" t="s">
        <v>209</v>
      </c>
      <c r="C48" s="182" t="s">
        <v>210</v>
      </c>
      <c r="D48" s="182" t="s">
        <v>210</v>
      </c>
      <c r="E48" s="182" t="s">
        <v>210</v>
      </c>
      <c r="F48" s="182" t="s">
        <v>210</v>
      </c>
      <c r="G48" s="182" t="s">
        <v>210</v>
      </c>
      <c r="H48" s="182" t="s">
        <v>210</v>
      </c>
      <c r="I48" s="182" t="s">
        <v>210</v>
      </c>
      <c r="J48" s="182" t="s">
        <v>210</v>
      </c>
      <c r="K48" s="182" t="s">
        <v>210</v>
      </c>
      <c r="L48" s="182" t="s">
        <v>210</v>
      </c>
      <c r="M48" s="182" t="s">
        <v>210</v>
      </c>
      <c r="N48" s="182" t="s">
        <v>210</v>
      </c>
      <c r="O48" s="182" t="s">
        <v>210</v>
      </c>
      <c r="P48" s="182" t="s">
        <v>210</v>
      </c>
      <c r="Q48" s="182" t="s">
        <v>210</v>
      </c>
      <c r="R48" s="182" t="s">
        <v>210</v>
      </c>
      <c r="S48" s="182" t="s">
        <v>210</v>
      </c>
      <c r="T48" s="182" t="s">
        <v>210</v>
      </c>
      <c r="U48" s="182" t="s">
        <v>210</v>
      </c>
      <c r="V48" s="182" t="s">
        <v>210</v>
      </c>
      <c r="W48" s="182" t="s">
        <v>210</v>
      </c>
      <c r="X48" s="182" t="s">
        <v>210</v>
      </c>
      <c r="Y48" s="183" t="s">
        <v>210</v>
      </c>
      <c r="Z48" s="8">
        <f t="shared" si="1"/>
        <v>401</v>
      </c>
    </row>
    <row r="49" spans="1:26" ht="77.25" customHeight="1">
      <c r="A49" s="77" t="str">
        <f t="shared" si="0"/>
        <v>長澤 悠真</v>
      </c>
      <c r="B49" s="181" t="s">
        <v>211</v>
      </c>
      <c r="C49" s="182" t="s">
        <v>211</v>
      </c>
      <c r="D49" s="182" t="s">
        <v>211</v>
      </c>
      <c r="E49" s="182" t="s">
        <v>211</v>
      </c>
      <c r="F49" s="182" t="s">
        <v>211</v>
      </c>
      <c r="G49" s="182" t="s">
        <v>211</v>
      </c>
      <c r="H49" s="182" t="s">
        <v>211</v>
      </c>
      <c r="I49" s="182" t="s">
        <v>211</v>
      </c>
      <c r="J49" s="182" t="s">
        <v>211</v>
      </c>
      <c r="K49" s="182" t="s">
        <v>211</v>
      </c>
      <c r="L49" s="182" t="s">
        <v>211</v>
      </c>
      <c r="M49" s="182" t="s">
        <v>211</v>
      </c>
      <c r="N49" s="182" t="s">
        <v>211</v>
      </c>
      <c r="O49" s="182" t="s">
        <v>211</v>
      </c>
      <c r="P49" s="182" t="s">
        <v>211</v>
      </c>
      <c r="Q49" s="182" t="s">
        <v>211</v>
      </c>
      <c r="R49" s="182" t="s">
        <v>211</v>
      </c>
      <c r="S49" s="182" t="s">
        <v>211</v>
      </c>
      <c r="T49" s="182" t="s">
        <v>211</v>
      </c>
      <c r="U49" s="182" t="s">
        <v>211</v>
      </c>
      <c r="V49" s="182" t="s">
        <v>211</v>
      </c>
      <c r="W49" s="182" t="s">
        <v>211</v>
      </c>
      <c r="X49" s="182" t="s">
        <v>211</v>
      </c>
      <c r="Y49" s="183" t="s">
        <v>211</v>
      </c>
      <c r="Z49" s="8">
        <f t="shared" si="1"/>
        <v>402</v>
      </c>
    </row>
    <row r="50" spans="1:26" ht="77.25" customHeight="1">
      <c r="A50" s="77" t="str">
        <f t="shared" si="0"/>
        <v>西川 由里子</v>
      </c>
      <c r="B50" s="181" t="s">
        <v>323</v>
      </c>
      <c r="C50" s="182" t="s">
        <v>212</v>
      </c>
      <c r="D50" s="182" t="s">
        <v>212</v>
      </c>
      <c r="E50" s="182" t="s">
        <v>212</v>
      </c>
      <c r="F50" s="182" t="s">
        <v>212</v>
      </c>
      <c r="G50" s="182" t="s">
        <v>212</v>
      </c>
      <c r="H50" s="182" t="s">
        <v>212</v>
      </c>
      <c r="I50" s="182" t="s">
        <v>212</v>
      </c>
      <c r="J50" s="182" t="s">
        <v>212</v>
      </c>
      <c r="K50" s="182" t="s">
        <v>212</v>
      </c>
      <c r="L50" s="182" t="s">
        <v>212</v>
      </c>
      <c r="M50" s="182" t="s">
        <v>212</v>
      </c>
      <c r="N50" s="182" t="s">
        <v>212</v>
      </c>
      <c r="O50" s="182" t="s">
        <v>212</v>
      </c>
      <c r="P50" s="182" t="s">
        <v>212</v>
      </c>
      <c r="Q50" s="182" t="s">
        <v>212</v>
      </c>
      <c r="R50" s="182" t="s">
        <v>212</v>
      </c>
      <c r="S50" s="182" t="s">
        <v>212</v>
      </c>
      <c r="T50" s="182" t="s">
        <v>212</v>
      </c>
      <c r="U50" s="182" t="s">
        <v>212</v>
      </c>
      <c r="V50" s="182" t="s">
        <v>212</v>
      </c>
      <c r="W50" s="182" t="s">
        <v>212</v>
      </c>
      <c r="X50" s="182" t="s">
        <v>212</v>
      </c>
      <c r="Y50" s="183" t="s">
        <v>212</v>
      </c>
      <c r="Z50" s="8">
        <f t="shared" si="1"/>
        <v>423</v>
      </c>
    </row>
    <row r="51" spans="1:26" ht="77.25" customHeight="1">
      <c r="A51" s="77" t="str">
        <f t="shared" si="0"/>
        <v>濱本 大翔</v>
      </c>
      <c r="B51" s="181" t="s">
        <v>324</v>
      </c>
      <c r="C51" s="182" t="s">
        <v>213</v>
      </c>
      <c r="D51" s="182" t="s">
        <v>213</v>
      </c>
      <c r="E51" s="182" t="s">
        <v>213</v>
      </c>
      <c r="F51" s="182" t="s">
        <v>213</v>
      </c>
      <c r="G51" s="182" t="s">
        <v>213</v>
      </c>
      <c r="H51" s="182" t="s">
        <v>213</v>
      </c>
      <c r="I51" s="182" t="s">
        <v>213</v>
      </c>
      <c r="J51" s="182" t="s">
        <v>213</v>
      </c>
      <c r="K51" s="182" t="s">
        <v>213</v>
      </c>
      <c r="L51" s="182" t="s">
        <v>213</v>
      </c>
      <c r="M51" s="182" t="s">
        <v>213</v>
      </c>
      <c r="N51" s="182" t="s">
        <v>213</v>
      </c>
      <c r="O51" s="182" t="s">
        <v>213</v>
      </c>
      <c r="P51" s="182" t="s">
        <v>213</v>
      </c>
      <c r="Q51" s="182" t="s">
        <v>213</v>
      </c>
      <c r="R51" s="182" t="s">
        <v>213</v>
      </c>
      <c r="S51" s="182" t="s">
        <v>213</v>
      </c>
      <c r="T51" s="182" t="s">
        <v>213</v>
      </c>
      <c r="U51" s="182" t="s">
        <v>213</v>
      </c>
      <c r="V51" s="182" t="s">
        <v>213</v>
      </c>
      <c r="W51" s="182" t="s">
        <v>213</v>
      </c>
      <c r="X51" s="182" t="s">
        <v>213</v>
      </c>
      <c r="Y51" s="183" t="s">
        <v>213</v>
      </c>
      <c r="Z51" s="8">
        <f t="shared" si="1"/>
        <v>449</v>
      </c>
    </row>
    <row r="52" spans="1:26" ht="77.25" customHeight="1">
      <c r="A52" s="77" t="str">
        <f t="shared" si="0"/>
        <v>林 もろみ</v>
      </c>
      <c r="B52" s="181" t="s">
        <v>325</v>
      </c>
      <c r="C52" s="182" t="s">
        <v>214</v>
      </c>
      <c r="D52" s="182" t="s">
        <v>214</v>
      </c>
      <c r="E52" s="182" t="s">
        <v>214</v>
      </c>
      <c r="F52" s="182" t="s">
        <v>214</v>
      </c>
      <c r="G52" s="182" t="s">
        <v>214</v>
      </c>
      <c r="H52" s="182" t="s">
        <v>214</v>
      </c>
      <c r="I52" s="182" t="s">
        <v>214</v>
      </c>
      <c r="J52" s="182" t="s">
        <v>214</v>
      </c>
      <c r="K52" s="182" t="s">
        <v>214</v>
      </c>
      <c r="L52" s="182" t="s">
        <v>214</v>
      </c>
      <c r="M52" s="182" t="s">
        <v>214</v>
      </c>
      <c r="N52" s="182" t="s">
        <v>214</v>
      </c>
      <c r="O52" s="182" t="s">
        <v>214</v>
      </c>
      <c r="P52" s="182" t="s">
        <v>214</v>
      </c>
      <c r="Q52" s="182" t="s">
        <v>214</v>
      </c>
      <c r="R52" s="182" t="s">
        <v>214</v>
      </c>
      <c r="S52" s="182" t="s">
        <v>214</v>
      </c>
      <c r="T52" s="182" t="s">
        <v>214</v>
      </c>
      <c r="U52" s="182" t="s">
        <v>214</v>
      </c>
      <c r="V52" s="182" t="s">
        <v>214</v>
      </c>
      <c r="W52" s="182" t="s">
        <v>214</v>
      </c>
      <c r="X52" s="182" t="s">
        <v>214</v>
      </c>
      <c r="Y52" s="183" t="s">
        <v>214</v>
      </c>
      <c r="Z52" s="8">
        <f t="shared" si="1"/>
        <v>442</v>
      </c>
    </row>
    <row r="53" spans="1:26" ht="77.25" customHeight="1">
      <c r="A53" s="77" t="str">
        <f t="shared" si="0"/>
        <v>松井 晴南</v>
      </c>
      <c r="B53" s="181" t="s">
        <v>326</v>
      </c>
      <c r="C53" s="182" t="s">
        <v>215</v>
      </c>
      <c r="D53" s="182" t="s">
        <v>215</v>
      </c>
      <c r="E53" s="182" t="s">
        <v>215</v>
      </c>
      <c r="F53" s="182" t="s">
        <v>215</v>
      </c>
      <c r="G53" s="182" t="s">
        <v>215</v>
      </c>
      <c r="H53" s="182" t="s">
        <v>215</v>
      </c>
      <c r="I53" s="182" t="s">
        <v>215</v>
      </c>
      <c r="J53" s="182" t="s">
        <v>215</v>
      </c>
      <c r="K53" s="182" t="s">
        <v>215</v>
      </c>
      <c r="L53" s="182" t="s">
        <v>215</v>
      </c>
      <c r="M53" s="182" t="s">
        <v>215</v>
      </c>
      <c r="N53" s="182" t="s">
        <v>215</v>
      </c>
      <c r="O53" s="182" t="s">
        <v>215</v>
      </c>
      <c r="P53" s="182" t="s">
        <v>215</v>
      </c>
      <c r="Q53" s="182" t="s">
        <v>215</v>
      </c>
      <c r="R53" s="182" t="s">
        <v>215</v>
      </c>
      <c r="S53" s="182" t="s">
        <v>215</v>
      </c>
      <c r="T53" s="182" t="s">
        <v>215</v>
      </c>
      <c r="U53" s="182" t="s">
        <v>215</v>
      </c>
      <c r="V53" s="182" t="s">
        <v>215</v>
      </c>
      <c r="W53" s="182" t="s">
        <v>215</v>
      </c>
      <c r="X53" s="182" t="s">
        <v>215</v>
      </c>
      <c r="Y53" s="183" t="s">
        <v>215</v>
      </c>
      <c r="Z53" s="8">
        <f t="shared" si="1"/>
        <v>408</v>
      </c>
    </row>
    <row r="54" spans="1:26" ht="77.25" customHeight="1">
      <c r="A54" s="77" t="str">
        <f t="shared" si="0"/>
        <v>松山 瑛大</v>
      </c>
      <c r="B54" s="181" t="s">
        <v>327</v>
      </c>
      <c r="C54" s="182" t="s">
        <v>216</v>
      </c>
      <c r="D54" s="182" t="s">
        <v>216</v>
      </c>
      <c r="E54" s="182" t="s">
        <v>216</v>
      </c>
      <c r="F54" s="182" t="s">
        <v>216</v>
      </c>
      <c r="G54" s="182" t="s">
        <v>216</v>
      </c>
      <c r="H54" s="182" t="s">
        <v>216</v>
      </c>
      <c r="I54" s="182" t="s">
        <v>216</v>
      </c>
      <c r="J54" s="182" t="s">
        <v>216</v>
      </c>
      <c r="K54" s="182" t="s">
        <v>216</v>
      </c>
      <c r="L54" s="182" t="s">
        <v>216</v>
      </c>
      <c r="M54" s="182" t="s">
        <v>216</v>
      </c>
      <c r="N54" s="182" t="s">
        <v>216</v>
      </c>
      <c r="O54" s="182" t="s">
        <v>216</v>
      </c>
      <c r="P54" s="182" t="s">
        <v>216</v>
      </c>
      <c r="Q54" s="182" t="s">
        <v>216</v>
      </c>
      <c r="R54" s="182" t="s">
        <v>216</v>
      </c>
      <c r="S54" s="182" t="s">
        <v>216</v>
      </c>
      <c r="T54" s="182" t="s">
        <v>216</v>
      </c>
      <c r="U54" s="182" t="s">
        <v>216</v>
      </c>
      <c r="V54" s="182" t="s">
        <v>216</v>
      </c>
      <c r="W54" s="182" t="s">
        <v>216</v>
      </c>
      <c r="X54" s="182" t="s">
        <v>216</v>
      </c>
      <c r="Y54" s="183" t="s">
        <v>216</v>
      </c>
      <c r="Z54" s="8">
        <f t="shared" si="1"/>
        <v>401</v>
      </c>
    </row>
    <row r="55" spans="1:26" ht="77.25" customHeight="1">
      <c r="A55" s="77" t="str">
        <f t="shared" si="0"/>
        <v>山口 澪</v>
      </c>
      <c r="B55" s="181" t="s">
        <v>328</v>
      </c>
      <c r="C55" s="182" t="s">
        <v>217</v>
      </c>
      <c r="D55" s="182" t="s">
        <v>217</v>
      </c>
      <c r="E55" s="182" t="s">
        <v>217</v>
      </c>
      <c r="F55" s="182" t="s">
        <v>217</v>
      </c>
      <c r="G55" s="182" t="s">
        <v>217</v>
      </c>
      <c r="H55" s="182" t="s">
        <v>217</v>
      </c>
      <c r="I55" s="182" t="s">
        <v>217</v>
      </c>
      <c r="J55" s="182" t="s">
        <v>217</v>
      </c>
      <c r="K55" s="182" t="s">
        <v>217</v>
      </c>
      <c r="L55" s="182" t="s">
        <v>217</v>
      </c>
      <c r="M55" s="182" t="s">
        <v>217</v>
      </c>
      <c r="N55" s="182" t="s">
        <v>217</v>
      </c>
      <c r="O55" s="182" t="s">
        <v>217</v>
      </c>
      <c r="P55" s="182" t="s">
        <v>217</v>
      </c>
      <c r="Q55" s="182" t="s">
        <v>217</v>
      </c>
      <c r="R55" s="182" t="s">
        <v>217</v>
      </c>
      <c r="S55" s="182" t="s">
        <v>217</v>
      </c>
      <c r="T55" s="182" t="s">
        <v>217</v>
      </c>
      <c r="U55" s="182" t="s">
        <v>217</v>
      </c>
      <c r="V55" s="182" t="s">
        <v>217</v>
      </c>
      <c r="W55" s="182" t="s">
        <v>217</v>
      </c>
      <c r="X55" s="182" t="s">
        <v>217</v>
      </c>
      <c r="Y55" s="183" t="s">
        <v>217</v>
      </c>
      <c r="Z55" s="8">
        <f t="shared" si="1"/>
        <v>440</v>
      </c>
    </row>
    <row r="56" spans="1:26" ht="77.25" customHeight="1">
      <c r="A56" s="77" t="str">
        <f t="shared" si="0"/>
        <v>吉村 高連</v>
      </c>
      <c r="B56" s="181" t="s">
        <v>218</v>
      </c>
      <c r="C56" s="182" t="s">
        <v>219</v>
      </c>
      <c r="D56" s="182" t="s">
        <v>219</v>
      </c>
      <c r="E56" s="182" t="s">
        <v>219</v>
      </c>
      <c r="F56" s="182" t="s">
        <v>219</v>
      </c>
      <c r="G56" s="182" t="s">
        <v>219</v>
      </c>
      <c r="H56" s="182" t="s">
        <v>219</v>
      </c>
      <c r="I56" s="182" t="s">
        <v>219</v>
      </c>
      <c r="J56" s="182" t="s">
        <v>219</v>
      </c>
      <c r="K56" s="182" t="s">
        <v>219</v>
      </c>
      <c r="L56" s="182" t="s">
        <v>219</v>
      </c>
      <c r="M56" s="182" t="s">
        <v>219</v>
      </c>
      <c r="N56" s="182" t="s">
        <v>219</v>
      </c>
      <c r="O56" s="182" t="s">
        <v>219</v>
      </c>
      <c r="P56" s="182" t="s">
        <v>219</v>
      </c>
      <c r="Q56" s="182" t="s">
        <v>219</v>
      </c>
      <c r="R56" s="182" t="s">
        <v>219</v>
      </c>
      <c r="S56" s="182" t="s">
        <v>219</v>
      </c>
      <c r="T56" s="182" t="s">
        <v>219</v>
      </c>
      <c r="U56" s="182" t="s">
        <v>219</v>
      </c>
      <c r="V56" s="182" t="s">
        <v>219</v>
      </c>
      <c r="W56" s="182" t="s">
        <v>219</v>
      </c>
      <c r="X56" s="182" t="s">
        <v>219</v>
      </c>
      <c r="Y56" s="183" t="s">
        <v>219</v>
      </c>
      <c r="Z56" s="8">
        <f t="shared" si="1"/>
        <v>437</v>
      </c>
    </row>
    <row r="57" spans="1:26" ht="77.25" customHeight="1">
      <c r="A57" s="77">
        <f t="shared" si="0"/>
        <v>0</v>
      </c>
      <c r="B57" s="181"/>
      <c r="C57" s="182"/>
      <c r="D57" s="182"/>
      <c r="E57" s="182"/>
      <c r="F57" s="182"/>
      <c r="G57" s="182"/>
      <c r="H57" s="182"/>
      <c r="I57" s="182"/>
      <c r="J57" s="182"/>
      <c r="K57" s="182"/>
      <c r="L57" s="182"/>
      <c r="M57" s="182"/>
      <c r="N57" s="182"/>
      <c r="O57" s="182"/>
      <c r="P57" s="182"/>
      <c r="Q57" s="182"/>
      <c r="R57" s="182"/>
      <c r="S57" s="182"/>
      <c r="T57" s="182"/>
      <c r="U57" s="182"/>
      <c r="V57" s="182"/>
      <c r="W57" s="182"/>
      <c r="X57" s="182"/>
      <c r="Y57" s="183"/>
      <c r="Z57" s="8">
        <f t="shared" si="1"/>
        <v>0</v>
      </c>
    </row>
    <row r="58" spans="1:26" ht="17.25" customHeight="1"/>
    <row r="59" spans="1:26" ht="17.25" customHeight="1"/>
    <row r="60" spans="1:26" ht="17.25" customHeight="1"/>
    <row r="61" spans="1:26" ht="17.25" customHeight="1"/>
    <row r="62" spans="1:26" ht="17.25" customHeight="1"/>
    <row r="63" spans="1:26" ht="17.25" customHeight="1"/>
    <row r="64" spans="1:26"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sheetData>
  <mergeCells count="47">
    <mergeCell ref="B29:Y29"/>
    <mergeCell ref="B24:Y24"/>
    <mergeCell ref="B25:Y25"/>
    <mergeCell ref="B26:Y26"/>
    <mergeCell ref="B27:Y27"/>
    <mergeCell ref="B28:Y28"/>
    <mergeCell ref="B54:Y54"/>
    <mergeCell ref="B55:Y55"/>
    <mergeCell ref="B56:Y56"/>
    <mergeCell ref="B57:Y57"/>
    <mergeCell ref="B44:Y44"/>
    <mergeCell ref="B45:Y45"/>
    <mergeCell ref="B46:Y46"/>
    <mergeCell ref="B47:Y47"/>
    <mergeCell ref="B48:Y48"/>
    <mergeCell ref="B49:Y49"/>
    <mergeCell ref="B50:Y50"/>
    <mergeCell ref="B51:Y51"/>
    <mergeCell ref="B52:Y52"/>
    <mergeCell ref="B53:Y53"/>
    <mergeCell ref="B39:Y39"/>
    <mergeCell ref="B40:Y40"/>
    <mergeCell ref="B41:Y41"/>
    <mergeCell ref="B42:Y42"/>
    <mergeCell ref="B43:Y43"/>
    <mergeCell ref="B38:Y38"/>
    <mergeCell ref="B30:Y30"/>
    <mergeCell ref="B31:Y31"/>
    <mergeCell ref="B32:Y32"/>
    <mergeCell ref="B33:Y33"/>
    <mergeCell ref="B34:Y34"/>
    <mergeCell ref="A2:A9"/>
    <mergeCell ref="A12:Y12"/>
    <mergeCell ref="A35:Y35"/>
    <mergeCell ref="B36:Y36"/>
    <mergeCell ref="B37:Y37"/>
    <mergeCell ref="B13:Y13"/>
    <mergeCell ref="B14:Y14"/>
    <mergeCell ref="B15:Y15"/>
    <mergeCell ref="B16:Y16"/>
    <mergeCell ref="B17:Y17"/>
    <mergeCell ref="B18:Y18"/>
    <mergeCell ref="B19:Y19"/>
    <mergeCell ref="B20:Y20"/>
    <mergeCell ref="B21:Y21"/>
    <mergeCell ref="B22:Y22"/>
    <mergeCell ref="B23:Y23"/>
  </mergeCells>
  <phoneticPr fontId="1"/>
  <conditionalFormatting sqref="Z36:Z57">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Y11">
      <formula1>$Z$2:$Z$5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Z156"/>
  <sheetViews>
    <sheetView workbookViewId="0">
      <selection sqref="A1:XFD1048576"/>
    </sheetView>
  </sheetViews>
  <sheetFormatPr defaultRowHeight="13.5"/>
  <cols>
    <col min="1" max="1" width="13.5" style="8" customWidth="1"/>
    <col min="2" max="2" width="7.5" style="8" customWidth="1"/>
    <col min="3" max="3" width="9.375" style="8" customWidth="1"/>
    <col min="4" max="25" width="6.875" style="8" customWidth="1"/>
    <col min="26" max="16384" width="9" style="8"/>
  </cols>
  <sheetData>
    <row r="1" spans="1:26" ht="85.5" customHeight="1">
      <c r="A1" s="184" t="str">
        <f ca="1">MID(CELL("filename",A1),FIND("[",CELL("filename",A1))+1,3)</f>
        <v>３－２</v>
      </c>
      <c r="B1" s="185"/>
      <c r="C1" s="186"/>
      <c r="D1" s="78" t="str">
        <f>A10</f>
        <v>秋岡 万璃</v>
      </c>
      <c r="E1" s="78" t="str">
        <f>A11</f>
        <v>池田 一郎</v>
      </c>
      <c r="F1" s="78" t="str">
        <f>A12</f>
        <v>石田 圭</v>
      </c>
      <c r="G1" s="78" t="str">
        <f>A13</f>
        <v>伊藤 和花</v>
      </c>
      <c r="H1" s="78" t="str">
        <f>A14</f>
        <v>太谷 峰光</v>
      </c>
      <c r="I1" s="78" t="str">
        <f>A15</f>
        <v>大西 優</v>
      </c>
      <c r="J1" s="78" t="str">
        <f>A16</f>
        <v>帶川 瑛士</v>
      </c>
      <c r="K1" s="78" t="str">
        <f>A17</f>
        <v>川本 新</v>
      </c>
      <c r="L1" s="78" t="str">
        <f>A18</f>
        <v>後藤 真伸</v>
      </c>
      <c r="M1" s="78" t="str">
        <f>A19</f>
        <v>須田 愛菜</v>
      </c>
      <c r="N1" s="78" t="str">
        <f>A20</f>
        <v>髙橋 杏</v>
      </c>
      <c r="O1" s="78" t="str">
        <f>A21</f>
        <v>田中 雫</v>
      </c>
      <c r="P1" s="78" t="str">
        <f>A22</f>
        <v>辻󠄀 琉良</v>
      </c>
      <c r="Q1" s="78" t="str">
        <f>A23</f>
        <v>長澤 悠真</v>
      </c>
      <c r="R1" s="78" t="str">
        <f>A24</f>
        <v>西川 由里子</v>
      </c>
      <c r="S1" s="78" t="str">
        <f>A25</f>
        <v>濱本 大翔</v>
      </c>
      <c r="T1" s="78" t="str">
        <f>A26</f>
        <v>林 もろみ</v>
      </c>
      <c r="U1" s="78" t="str">
        <f>A27</f>
        <v>松井 晴南</v>
      </c>
      <c r="V1" s="78" t="str">
        <f>A28</f>
        <v>松山 瑛大</v>
      </c>
      <c r="W1" s="78" t="str">
        <f>A29</f>
        <v>山口 澪</v>
      </c>
      <c r="X1" s="78" t="str">
        <f>A30</f>
        <v>吉村 高連</v>
      </c>
      <c r="Y1" s="78">
        <f>A31</f>
        <v>0</v>
      </c>
      <c r="Z1" s="37"/>
    </row>
    <row r="2" spans="1:26" ht="22.5" customHeight="1">
      <c r="A2" s="187" t="s">
        <v>34</v>
      </c>
      <c r="B2" s="187"/>
      <c r="C2" s="187"/>
      <c r="D2" s="54">
        <v>76</v>
      </c>
      <c r="E2" s="54">
        <v>76</v>
      </c>
      <c r="F2" s="54">
        <v>76</v>
      </c>
      <c r="G2" s="54">
        <v>76</v>
      </c>
      <c r="H2" s="54">
        <v>76</v>
      </c>
      <c r="I2" s="54">
        <v>76</v>
      </c>
      <c r="J2" s="54">
        <v>76</v>
      </c>
      <c r="K2" s="54">
        <v>76</v>
      </c>
      <c r="L2" s="54">
        <v>76</v>
      </c>
      <c r="M2" s="54">
        <v>76</v>
      </c>
      <c r="N2" s="54">
        <v>76</v>
      </c>
      <c r="O2" s="54">
        <v>76</v>
      </c>
      <c r="P2" s="54">
        <v>76</v>
      </c>
      <c r="Q2" s="54">
        <v>76</v>
      </c>
      <c r="R2" s="54">
        <v>76</v>
      </c>
      <c r="S2" s="54">
        <v>76</v>
      </c>
      <c r="T2" s="54">
        <v>76</v>
      </c>
      <c r="U2" s="54">
        <v>76</v>
      </c>
      <c r="V2" s="54">
        <v>76</v>
      </c>
      <c r="W2" s="54">
        <v>76</v>
      </c>
      <c r="X2" s="54">
        <v>76</v>
      </c>
      <c r="Y2" s="54"/>
    </row>
    <row r="3" spans="1:26" ht="22.5" customHeight="1">
      <c r="A3" s="187" t="s">
        <v>35</v>
      </c>
      <c r="B3" s="187"/>
      <c r="C3" s="187"/>
      <c r="D3" s="54">
        <v>0</v>
      </c>
      <c r="E3" s="54">
        <v>4</v>
      </c>
      <c r="F3" s="54">
        <v>0</v>
      </c>
      <c r="G3" s="54">
        <v>0</v>
      </c>
      <c r="H3" s="54">
        <v>0</v>
      </c>
      <c r="I3" s="54">
        <v>0</v>
      </c>
      <c r="J3" s="54">
        <v>0</v>
      </c>
      <c r="K3" s="54">
        <v>0</v>
      </c>
      <c r="L3" s="54">
        <v>0</v>
      </c>
      <c r="M3" s="54">
        <v>0</v>
      </c>
      <c r="N3" s="54">
        <v>0</v>
      </c>
      <c r="O3" s="54">
        <v>0</v>
      </c>
      <c r="P3" s="54">
        <v>0</v>
      </c>
      <c r="Q3" s="54">
        <v>3</v>
      </c>
      <c r="R3" s="54">
        <v>2</v>
      </c>
      <c r="S3" s="54">
        <v>0</v>
      </c>
      <c r="T3" s="54">
        <v>0</v>
      </c>
      <c r="U3" s="54">
        <v>0</v>
      </c>
      <c r="V3" s="54">
        <v>0</v>
      </c>
      <c r="W3" s="54">
        <v>4</v>
      </c>
      <c r="X3" s="54">
        <v>0</v>
      </c>
      <c r="Y3" s="54"/>
    </row>
    <row r="4" spans="1:26" ht="22.5" customHeight="1">
      <c r="A4" s="187" t="s">
        <v>36</v>
      </c>
      <c r="B4" s="187"/>
      <c r="C4" s="187"/>
      <c r="D4" s="55">
        <f t="shared" ref="D4:Y4" si="0">D2-D3</f>
        <v>76</v>
      </c>
      <c r="E4" s="55">
        <f t="shared" si="0"/>
        <v>72</v>
      </c>
      <c r="F4" s="55">
        <f t="shared" si="0"/>
        <v>76</v>
      </c>
      <c r="G4" s="55">
        <f t="shared" si="0"/>
        <v>76</v>
      </c>
      <c r="H4" s="55">
        <f t="shared" si="0"/>
        <v>76</v>
      </c>
      <c r="I4" s="55">
        <f t="shared" si="0"/>
        <v>76</v>
      </c>
      <c r="J4" s="55">
        <f t="shared" si="0"/>
        <v>76</v>
      </c>
      <c r="K4" s="55">
        <f t="shared" si="0"/>
        <v>76</v>
      </c>
      <c r="L4" s="55">
        <f t="shared" si="0"/>
        <v>76</v>
      </c>
      <c r="M4" s="55">
        <f t="shared" si="0"/>
        <v>76</v>
      </c>
      <c r="N4" s="55">
        <f t="shared" si="0"/>
        <v>76</v>
      </c>
      <c r="O4" s="55">
        <f t="shared" si="0"/>
        <v>76</v>
      </c>
      <c r="P4" s="55">
        <f t="shared" si="0"/>
        <v>76</v>
      </c>
      <c r="Q4" s="55">
        <f t="shared" si="0"/>
        <v>73</v>
      </c>
      <c r="R4" s="55">
        <f t="shared" si="0"/>
        <v>74</v>
      </c>
      <c r="S4" s="55">
        <f t="shared" si="0"/>
        <v>76</v>
      </c>
      <c r="T4" s="55">
        <f t="shared" si="0"/>
        <v>76</v>
      </c>
      <c r="U4" s="55">
        <f t="shared" si="0"/>
        <v>76</v>
      </c>
      <c r="V4" s="55">
        <f t="shared" si="0"/>
        <v>76</v>
      </c>
      <c r="W4" s="55">
        <f t="shared" si="0"/>
        <v>72</v>
      </c>
      <c r="X4" s="55">
        <f t="shared" si="0"/>
        <v>76</v>
      </c>
      <c r="Y4" s="55">
        <f t="shared" si="0"/>
        <v>0</v>
      </c>
    </row>
    <row r="5" spans="1:26" ht="22.5" customHeight="1">
      <c r="A5" s="188" t="s">
        <v>329</v>
      </c>
      <c r="B5" s="189"/>
      <c r="C5" s="190"/>
      <c r="D5" s="55">
        <f t="shared" ref="D5:Y5" si="1">D4-D6</f>
        <v>76</v>
      </c>
      <c r="E5" s="55">
        <f t="shared" si="1"/>
        <v>70</v>
      </c>
      <c r="F5" s="55">
        <f t="shared" si="1"/>
        <v>76</v>
      </c>
      <c r="G5" s="55">
        <f t="shared" si="1"/>
        <v>75</v>
      </c>
      <c r="H5" s="55">
        <f t="shared" si="1"/>
        <v>75</v>
      </c>
      <c r="I5" s="55">
        <f t="shared" si="1"/>
        <v>70</v>
      </c>
      <c r="J5" s="55">
        <f t="shared" si="1"/>
        <v>74</v>
      </c>
      <c r="K5" s="55">
        <f t="shared" si="1"/>
        <v>76</v>
      </c>
      <c r="L5" s="55">
        <f t="shared" si="1"/>
        <v>69</v>
      </c>
      <c r="M5" s="55">
        <f t="shared" si="1"/>
        <v>71</v>
      </c>
      <c r="N5" s="55">
        <f t="shared" si="1"/>
        <v>74</v>
      </c>
      <c r="O5" s="55">
        <f t="shared" si="1"/>
        <v>76</v>
      </c>
      <c r="P5" s="55">
        <f t="shared" si="1"/>
        <v>70</v>
      </c>
      <c r="Q5" s="55">
        <f t="shared" si="1"/>
        <v>73</v>
      </c>
      <c r="R5" s="55">
        <f t="shared" si="1"/>
        <v>69</v>
      </c>
      <c r="S5" s="55">
        <f t="shared" si="1"/>
        <v>76</v>
      </c>
      <c r="T5" s="55">
        <f t="shared" si="1"/>
        <v>75</v>
      </c>
      <c r="U5" s="55">
        <f t="shared" si="1"/>
        <v>75</v>
      </c>
      <c r="V5" s="55">
        <f t="shared" si="1"/>
        <v>71</v>
      </c>
      <c r="W5" s="55">
        <f t="shared" si="1"/>
        <v>70</v>
      </c>
      <c r="X5" s="55">
        <f t="shared" si="1"/>
        <v>75</v>
      </c>
      <c r="Y5" s="55">
        <f t="shared" si="1"/>
        <v>0</v>
      </c>
    </row>
    <row r="6" spans="1:26" ht="22.5" customHeight="1">
      <c r="A6" s="191" t="s">
        <v>330</v>
      </c>
      <c r="B6" s="192"/>
      <c r="C6" s="193"/>
      <c r="D6" s="54">
        <v>0</v>
      </c>
      <c r="E6" s="54">
        <v>2</v>
      </c>
      <c r="F6" s="54">
        <v>0</v>
      </c>
      <c r="G6" s="54">
        <v>1</v>
      </c>
      <c r="H6" s="54">
        <v>1</v>
      </c>
      <c r="I6" s="54">
        <v>6</v>
      </c>
      <c r="J6" s="54">
        <v>2</v>
      </c>
      <c r="K6" s="54">
        <v>0</v>
      </c>
      <c r="L6" s="54">
        <v>7</v>
      </c>
      <c r="M6" s="54">
        <v>5</v>
      </c>
      <c r="N6" s="54">
        <v>2</v>
      </c>
      <c r="O6" s="54">
        <v>0</v>
      </c>
      <c r="P6" s="54">
        <v>6</v>
      </c>
      <c r="Q6" s="54">
        <v>0</v>
      </c>
      <c r="R6" s="54">
        <v>5</v>
      </c>
      <c r="S6" s="54">
        <v>0</v>
      </c>
      <c r="T6" s="54">
        <v>1</v>
      </c>
      <c r="U6" s="54">
        <v>1</v>
      </c>
      <c r="V6" s="54">
        <v>5</v>
      </c>
      <c r="W6" s="54">
        <v>2</v>
      </c>
      <c r="X6" s="54">
        <v>1</v>
      </c>
      <c r="Y6" s="54"/>
    </row>
    <row r="7" spans="1:26" ht="22.5" customHeight="1">
      <c r="A7" s="187" t="s">
        <v>37</v>
      </c>
      <c r="B7" s="187"/>
      <c r="C7" s="187"/>
      <c r="D7" s="54">
        <v>0</v>
      </c>
      <c r="E7" s="54">
        <v>2</v>
      </c>
      <c r="F7" s="54">
        <v>0</v>
      </c>
      <c r="G7" s="54">
        <v>0</v>
      </c>
      <c r="H7" s="54">
        <v>0</v>
      </c>
      <c r="I7" s="54">
        <v>2</v>
      </c>
      <c r="J7" s="54">
        <v>0</v>
      </c>
      <c r="K7" s="54">
        <v>0</v>
      </c>
      <c r="L7" s="54">
        <v>3</v>
      </c>
      <c r="M7" s="54">
        <v>4</v>
      </c>
      <c r="N7" s="54">
        <v>0</v>
      </c>
      <c r="O7" s="54">
        <v>5</v>
      </c>
      <c r="P7" s="54">
        <v>0</v>
      </c>
      <c r="Q7" s="54">
        <v>0</v>
      </c>
      <c r="R7" s="54">
        <v>3</v>
      </c>
      <c r="S7" s="54">
        <v>0</v>
      </c>
      <c r="T7" s="54">
        <v>0</v>
      </c>
      <c r="U7" s="54">
        <v>1</v>
      </c>
      <c r="V7" s="54">
        <v>1</v>
      </c>
      <c r="W7" s="54">
        <v>1</v>
      </c>
      <c r="X7" s="54">
        <v>0</v>
      </c>
      <c r="Y7" s="54"/>
    </row>
    <row r="8" spans="1:26" ht="22.5" customHeight="1">
      <c r="A8" s="187" t="s">
        <v>38</v>
      </c>
      <c r="B8" s="187"/>
      <c r="C8" s="187"/>
      <c r="D8" s="54">
        <v>0</v>
      </c>
      <c r="E8" s="54">
        <v>0</v>
      </c>
      <c r="F8" s="54">
        <v>0</v>
      </c>
      <c r="G8" s="54">
        <v>0</v>
      </c>
      <c r="H8" s="54">
        <v>0</v>
      </c>
      <c r="I8" s="54">
        <v>0</v>
      </c>
      <c r="J8" s="54">
        <v>0</v>
      </c>
      <c r="K8" s="54">
        <v>1</v>
      </c>
      <c r="L8" s="54">
        <v>1</v>
      </c>
      <c r="M8" s="54">
        <v>2</v>
      </c>
      <c r="N8" s="54">
        <v>0</v>
      </c>
      <c r="O8" s="54">
        <v>0</v>
      </c>
      <c r="P8" s="54">
        <v>0</v>
      </c>
      <c r="Q8" s="54">
        <v>1</v>
      </c>
      <c r="R8" s="54">
        <v>2</v>
      </c>
      <c r="S8" s="54">
        <v>0</v>
      </c>
      <c r="T8" s="54">
        <v>0</v>
      </c>
      <c r="U8" s="54">
        <v>0</v>
      </c>
      <c r="V8" s="54">
        <v>1</v>
      </c>
      <c r="W8" s="54">
        <v>0</v>
      </c>
      <c r="X8" s="54">
        <v>1</v>
      </c>
      <c r="Y8" s="54"/>
    </row>
    <row r="9" spans="1:26" ht="22.5" customHeight="1">
      <c r="A9" s="175" t="s">
        <v>39</v>
      </c>
      <c r="B9" s="176"/>
      <c r="C9" s="176"/>
      <c r="D9" s="176"/>
      <c r="E9" s="176"/>
      <c r="F9" s="176"/>
      <c r="G9" s="176"/>
      <c r="H9" s="176"/>
      <c r="I9" s="176"/>
      <c r="J9" s="176"/>
      <c r="K9" s="176"/>
      <c r="L9" s="176"/>
      <c r="M9" s="176"/>
      <c r="N9" s="176"/>
      <c r="O9" s="176"/>
      <c r="P9" s="176"/>
      <c r="Q9" s="176"/>
      <c r="R9" s="176"/>
      <c r="S9" s="176"/>
      <c r="T9" s="176"/>
      <c r="U9" s="176"/>
      <c r="V9" s="176"/>
      <c r="W9" s="176"/>
      <c r="X9" s="176"/>
      <c r="Y9" s="177"/>
    </row>
    <row r="10" spans="1:26" ht="22.5" customHeight="1">
      <c r="A10" s="53" t="s">
        <v>84</v>
      </c>
      <c r="B10" s="164"/>
      <c r="C10" s="165"/>
      <c r="D10" s="165"/>
      <c r="E10" s="165"/>
      <c r="F10" s="165"/>
      <c r="G10" s="165"/>
      <c r="H10" s="165"/>
      <c r="I10" s="165"/>
      <c r="J10" s="165"/>
      <c r="K10" s="165"/>
      <c r="L10" s="165"/>
      <c r="M10" s="165"/>
      <c r="N10" s="165"/>
      <c r="O10" s="165"/>
      <c r="P10" s="165"/>
      <c r="Q10" s="165"/>
      <c r="R10" s="165"/>
      <c r="S10" s="165"/>
      <c r="T10" s="165"/>
      <c r="U10" s="165"/>
      <c r="V10" s="165"/>
      <c r="W10" s="165"/>
      <c r="X10" s="165"/>
      <c r="Y10" s="166"/>
    </row>
    <row r="11" spans="1:26" ht="22.5" customHeight="1">
      <c r="A11" s="53" t="s">
        <v>85</v>
      </c>
      <c r="B11" s="164" t="s">
        <v>220</v>
      </c>
      <c r="C11" s="165"/>
      <c r="D11" s="165"/>
      <c r="E11" s="165"/>
      <c r="F11" s="165"/>
      <c r="G11" s="165"/>
      <c r="H11" s="165"/>
      <c r="I11" s="165"/>
      <c r="J11" s="165"/>
      <c r="K11" s="165"/>
      <c r="L11" s="165"/>
      <c r="M11" s="165"/>
      <c r="N11" s="165"/>
      <c r="O11" s="165"/>
      <c r="P11" s="165"/>
      <c r="Q11" s="165"/>
      <c r="R11" s="165"/>
      <c r="S11" s="165"/>
      <c r="T11" s="165"/>
      <c r="U11" s="165"/>
      <c r="V11" s="165"/>
      <c r="W11" s="165"/>
      <c r="X11" s="165"/>
      <c r="Y11" s="166"/>
    </row>
    <row r="12" spans="1:26" ht="22.5" customHeight="1">
      <c r="A12" s="53" t="s">
        <v>86</v>
      </c>
      <c r="B12" s="164"/>
      <c r="C12" s="165"/>
      <c r="D12" s="165"/>
      <c r="E12" s="165"/>
      <c r="F12" s="165"/>
      <c r="G12" s="165"/>
      <c r="H12" s="165"/>
      <c r="I12" s="165"/>
      <c r="J12" s="165"/>
      <c r="K12" s="165"/>
      <c r="L12" s="165"/>
      <c r="M12" s="165"/>
      <c r="N12" s="165"/>
      <c r="O12" s="165"/>
      <c r="P12" s="165"/>
      <c r="Q12" s="165"/>
      <c r="R12" s="165"/>
      <c r="S12" s="165"/>
      <c r="T12" s="165"/>
      <c r="U12" s="165"/>
      <c r="V12" s="165"/>
      <c r="W12" s="165"/>
      <c r="X12" s="165"/>
      <c r="Y12" s="166"/>
    </row>
    <row r="13" spans="1:26" ht="22.5" customHeight="1">
      <c r="A13" s="53" t="s">
        <v>87</v>
      </c>
      <c r="B13" s="164" t="s">
        <v>331</v>
      </c>
      <c r="C13" s="165"/>
      <c r="D13" s="165"/>
      <c r="E13" s="165"/>
      <c r="F13" s="165"/>
      <c r="G13" s="165"/>
      <c r="H13" s="165"/>
      <c r="I13" s="165"/>
      <c r="J13" s="165"/>
      <c r="K13" s="165"/>
      <c r="L13" s="165"/>
      <c r="M13" s="165"/>
      <c r="N13" s="165"/>
      <c r="O13" s="165"/>
      <c r="P13" s="165"/>
      <c r="Q13" s="165"/>
      <c r="R13" s="165"/>
      <c r="S13" s="165"/>
      <c r="T13" s="165"/>
      <c r="U13" s="165"/>
      <c r="V13" s="165"/>
      <c r="W13" s="165"/>
      <c r="X13" s="165"/>
      <c r="Y13" s="166"/>
    </row>
    <row r="14" spans="1:26" ht="22.5" customHeight="1">
      <c r="A14" s="53" t="s">
        <v>88</v>
      </c>
      <c r="B14" s="164" t="s">
        <v>221</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6" ht="22.5" customHeight="1">
      <c r="A15" s="53" t="s">
        <v>89</v>
      </c>
      <c r="B15" s="164" t="s">
        <v>222</v>
      </c>
      <c r="C15" s="165"/>
      <c r="D15" s="165"/>
      <c r="E15" s="165"/>
      <c r="F15" s="165"/>
      <c r="G15" s="165"/>
      <c r="H15" s="165"/>
      <c r="I15" s="165"/>
      <c r="J15" s="165"/>
      <c r="K15" s="165"/>
      <c r="L15" s="165"/>
      <c r="M15" s="165"/>
      <c r="N15" s="165"/>
      <c r="O15" s="165"/>
      <c r="P15" s="165"/>
      <c r="Q15" s="165"/>
      <c r="R15" s="165"/>
      <c r="S15" s="165"/>
      <c r="T15" s="165"/>
      <c r="U15" s="165"/>
      <c r="V15" s="165"/>
      <c r="W15" s="165"/>
      <c r="X15" s="165"/>
      <c r="Y15" s="166"/>
    </row>
    <row r="16" spans="1:26" ht="22.5" customHeight="1">
      <c r="A16" s="53" t="s">
        <v>90</v>
      </c>
      <c r="B16" s="164" t="s">
        <v>223</v>
      </c>
      <c r="C16" s="165"/>
      <c r="D16" s="165"/>
      <c r="E16" s="165"/>
      <c r="F16" s="165"/>
      <c r="G16" s="165"/>
      <c r="H16" s="165"/>
      <c r="I16" s="165"/>
      <c r="J16" s="165"/>
      <c r="K16" s="165"/>
      <c r="L16" s="165"/>
      <c r="M16" s="165"/>
      <c r="N16" s="165"/>
      <c r="O16" s="165"/>
      <c r="P16" s="165"/>
      <c r="Q16" s="165"/>
      <c r="R16" s="165"/>
      <c r="S16" s="165"/>
      <c r="T16" s="165"/>
      <c r="U16" s="165"/>
      <c r="V16" s="165"/>
      <c r="W16" s="165"/>
      <c r="X16" s="165"/>
      <c r="Y16" s="166"/>
    </row>
    <row r="17" spans="1:25" ht="22.5" customHeight="1">
      <c r="A17" s="53" t="s">
        <v>91</v>
      </c>
      <c r="B17" s="164" t="s">
        <v>224</v>
      </c>
      <c r="C17" s="165"/>
      <c r="D17" s="165"/>
      <c r="E17" s="165"/>
      <c r="F17" s="165"/>
      <c r="G17" s="165"/>
      <c r="H17" s="165"/>
      <c r="I17" s="165"/>
      <c r="J17" s="165"/>
      <c r="K17" s="165"/>
      <c r="L17" s="165"/>
      <c r="M17" s="165"/>
      <c r="N17" s="165"/>
      <c r="O17" s="165"/>
      <c r="P17" s="165"/>
      <c r="Q17" s="165"/>
      <c r="R17" s="165"/>
      <c r="S17" s="165"/>
      <c r="T17" s="165"/>
      <c r="U17" s="165"/>
      <c r="V17" s="165"/>
      <c r="W17" s="165"/>
      <c r="X17" s="165"/>
      <c r="Y17" s="166"/>
    </row>
    <row r="18" spans="1:25" ht="22.5" customHeight="1">
      <c r="A18" s="53" t="s">
        <v>92</v>
      </c>
      <c r="B18" s="164" t="s">
        <v>332</v>
      </c>
      <c r="C18" s="165"/>
      <c r="D18" s="165"/>
      <c r="E18" s="165"/>
      <c r="F18" s="165"/>
      <c r="G18" s="165"/>
      <c r="H18" s="165"/>
      <c r="I18" s="165"/>
      <c r="J18" s="165"/>
      <c r="K18" s="165"/>
      <c r="L18" s="165"/>
      <c r="M18" s="165"/>
      <c r="N18" s="165"/>
      <c r="O18" s="165"/>
      <c r="P18" s="165"/>
      <c r="Q18" s="165"/>
      <c r="R18" s="165"/>
      <c r="S18" s="165"/>
      <c r="T18" s="165"/>
      <c r="U18" s="165"/>
      <c r="V18" s="165"/>
      <c r="W18" s="165"/>
      <c r="X18" s="165"/>
      <c r="Y18" s="166"/>
    </row>
    <row r="19" spans="1:25" ht="22.5" customHeight="1">
      <c r="A19" s="53" t="s">
        <v>93</v>
      </c>
      <c r="B19" s="164" t="s">
        <v>333</v>
      </c>
      <c r="C19" s="165"/>
      <c r="D19" s="165"/>
      <c r="E19" s="165"/>
      <c r="F19" s="165"/>
      <c r="G19" s="165"/>
      <c r="H19" s="165"/>
      <c r="I19" s="165"/>
      <c r="J19" s="165"/>
      <c r="K19" s="165"/>
      <c r="L19" s="165"/>
      <c r="M19" s="165"/>
      <c r="N19" s="165"/>
      <c r="O19" s="165"/>
      <c r="P19" s="165"/>
      <c r="Q19" s="165"/>
      <c r="R19" s="165"/>
      <c r="S19" s="165"/>
      <c r="T19" s="165"/>
      <c r="U19" s="165"/>
      <c r="V19" s="165"/>
      <c r="W19" s="165"/>
      <c r="X19" s="165"/>
      <c r="Y19" s="166"/>
    </row>
    <row r="20" spans="1:25" ht="22.5" customHeight="1">
      <c r="A20" s="53" t="s">
        <v>94</v>
      </c>
      <c r="B20" s="164" t="s">
        <v>225</v>
      </c>
      <c r="C20" s="165"/>
      <c r="D20" s="165"/>
      <c r="E20" s="165"/>
      <c r="F20" s="165"/>
      <c r="G20" s="165"/>
      <c r="H20" s="165"/>
      <c r="I20" s="165"/>
      <c r="J20" s="165"/>
      <c r="K20" s="165"/>
      <c r="L20" s="165"/>
      <c r="M20" s="165"/>
      <c r="N20" s="165"/>
      <c r="O20" s="165"/>
      <c r="P20" s="165"/>
      <c r="Q20" s="165"/>
      <c r="R20" s="165"/>
      <c r="S20" s="165"/>
      <c r="T20" s="165"/>
      <c r="U20" s="165"/>
      <c r="V20" s="165"/>
      <c r="W20" s="165"/>
      <c r="X20" s="165"/>
      <c r="Y20" s="166"/>
    </row>
    <row r="21" spans="1:25" ht="22.5" customHeight="1">
      <c r="A21" s="53" t="s">
        <v>95</v>
      </c>
      <c r="B21" s="164" t="s">
        <v>226</v>
      </c>
      <c r="C21" s="165"/>
      <c r="D21" s="165"/>
      <c r="E21" s="165"/>
      <c r="F21" s="165"/>
      <c r="G21" s="165"/>
      <c r="H21" s="165"/>
      <c r="I21" s="165"/>
      <c r="J21" s="165"/>
      <c r="K21" s="165"/>
      <c r="L21" s="165"/>
      <c r="M21" s="165"/>
      <c r="N21" s="165"/>
      <c r="O21" s="165"/>
      <c r="P21" s="165"/>
      <c r="Q21" s="165"/>
      <c r="R21" s="165"/>
      <c r="S21" s="165"/>
      <c r="T21" s="165"/>
      <c r="U21" s="165"/>
      <c r="V21" s="165"/>
      <c r="W21" s="165"/>
      <c r="X21" s="165"/>
      <c r="Y21" s="166"/>
    </row>
    <row r="22" spans="1:25" ht="22.5" customHeight="1">
      <c r="A22" s="53" t="s">
        <v>96</v>
      </c>
      <c r="B22" s="164" t="s">
        <v>227</v>
      </c>
      <c r="C22" s="165"/>
      <c r="D22" s="165"/>
      <c r="E22" s="165"/>
      <c r="F22" s="165"/>
      <c r="G22" s="165"/>
      <c r="H22" s="165"/>
      <c r="I22" s="165"/>
      <c r="J22" s="165"/>
      <c r="K22" s="165"/>
      <c r="L22" s="165"/>
      <c r="M22" s="165"/>
      <c r="N22" s="165"/>
      <c r="O22" s="165"/>
      <c r="P22" s="165"/>
      <c r="Q22" s="165"/>
      <c r="R22" s="165"/>
      <c r="S22" s="165"/>
      <c r="T22" s="165"/>
      <c r="U22" s="165"/>
      <c r="V22" s="165"/>
      <c r="W22" s="165"/>
      <c r="X22" s="165"/>
      <c r="Y22" s="166"/>
    </row>
    <row r="23" spans="1:25" ht="22.5" customHeight="1">
      <c r="A23" s="53" t="s">
        <v>97</v>
      </c>
      <c r="B23" s="164" t="s">
        <v>228</v>
      </c>
      <c r="C23" s="165"/>
      <c r="D23" s="165"/>
      <c r="E23" s="165"/>
      <c r="F23" s="165"/>
      <c r="G23" s="165"/>
      <c r="H23" s="165"/>
      <c r="I23" s="165"/>
      <c r="J23" s="165"/>
      <c r="K23" s="165"/>
      <c r="L23" s="165"/>
      <c r="M23" s="165"/>
      <c r="N23" s="165"/>
      <c r="O23" s="165"/>
      <c r="P23" s="165"/>
      <c r="Q23" s="165"/>
      <c r="R23" s="165"/>
      <c r="S23" s="165"/>
      <c r="T23" s="165"/>
      <c r="U23" s="165"/>
      <c r="V23" s="165"/>
      <c r="W23" s="165"/>
      <c r="X23" s="165"/>
      <c r="Y23" s="166"/>
    </row>
    <row r="24" spans="1:25" ht="22.5" customHeight="1">
      <c r="A24" s="53" t="s">
        <v>98</v>
      </c>
      <c r="B24" s="164" t="s">
        <v>239</v>
      </c>
      <c r="C24" s="165"/>
      <c r="D24" s="165"/>
      <c r="E24" s="165"/>
      <c r="F24" s="165"/>
      <c r="G24" s="165"/>
      <c r="H24" s="165"/>
      <c r="I24" s="165"/>
      <c r="J24" s="165"/>
      <c r="K24" s="165"/>
      <c r="L24" s="165"/>
      <c r="M24" s="165"/>
      <c r="N24" s="165"/>
      <c r="O24" s="165"/>
      <c r="P24" s="165"/>
      <c r="Q24" s="165"/>
      <c r="R24" s="165"/>
      <c r="S24" s="165"/>
      <c r="T24" s="165"/>
      <c r="U24" s="165"/>
      <c r="V24" s="165"/>
      <c r="W24" s="165"/>
      <c r="X24" s="165"/>
      <c r="Y24" s="166"/>
    </row>
    <row r="25" spans="1:25" ht="22.5" customHeight="1">
      <c r="A25" s="53" t="s">
        <v>99</v>
      </c>
      <c r="B25" s="164"/>
      <c r="C25" s="165"/>
      <c r="D25" s="165"/>
      <c r="E25" s="165"/>
      <c r="F25" s="165"/>
      <c r="G25" s="165"/>
      <c r="H25" s="165"/>
      <c r="I25" s="165"/>
      <c r="J25" s="165"/>
      <c r="K25" s="165"/>
      <c r="L25" s="165"/>
      <c r="M25" s="165"/>
      <c r="N25" s="165"/>
      <c r="O25" s="165"/>
      <c r="P25" s="165"/>
      <c r="Q25" s="165"/>
      <c r="R25" s="165"/>
      <c r="S25" s="165"/>
      <c r="T25" s="165"/>
      <c r="U25" s="165"/>
      <c r="V25" s="165"/>
      <c r="W25" s="165"/>
      <c r="X25" s="165"/>
      <c r="Y25" s="166"/>
    </row>
    <row r="26" spans="1:25" ht="22.5" customHeight="1">
      <c r="A26" s="53" t="s">
        <v>100</v>
      </c>
      <c r="B26" s="164" t="s">
        <v>221</v>
      </c>
      <c r="C26" s="165"/>
      <c r="D26" s="165"/>
      <c r="E26" s="165"/>
      <c r="F26" s="165"/>
      <c r="G26" s="165"/>
      <c r="H26" s="165"/>
      <c r="I26" s="165"/>
      <c r="J26" s="165"/>
      <c r="K26" s="165"/>
      <c r="L26" s="165"/>
      <c r="M26" s="165"/>
      <c r="N26" s="165"/>
      <c r="O26" s="165"/>
      <c r="P26" s="165"/>
      <c r="Q26" s="165"/>
      <c r="R26" s="165"/>
      <c r="S26" s="165"/>
      <c r="T26" s="165"/>
      <c r="U26" s="165"/>
      <c r="V26" s="165"/>
      <c r="W26" s="165"/>
      <c r="X26" s="165"/>
      <c r="Y26" s="166"/>
    </row>
    <row r="27" spans="1:25" ht="22.5" customHeight="1">
      <c r="A27" s="53" t="s">
        <v>101</v>
      </c>
      <c r="B27" s="164" t="s">
        <v>229</v>
      </c>
      <c r="C27" s="165"/>
      <c r="D27" s="165"/>
      <c r="E27" s="165"/>
      <c r="F27" s="165"/>
      <c r="G27" s="165"/>
      <c r="H27" s="165"/>
      <c r="I27" s="165"/>
      <c r="J27" s="165"/>
      <c r="K27" s="165"/>
      <c r="L27" s="165"/>
      <c r="M27" s="165"/>
      <c r="N27" s="165"/>
      <c r="O27" s="165"/>
      <c r="P27" s="165"/>
      <c r="Q27" s="165"/>
      <c r="R27" s="165"/>
      <c r="S27" s="165"/>
      <c r="T27" s="165"/>
      <c r="U27" s="165"/>
      <c r="V27" s="165"/>
      <c r="W27" s="165"/>
      <c r="X27" s="165"/>
      <c r="Y27" s="166"/>
    </row>
    <row r="28" spans="1:25" ht="22.5" customHeight="1">
      <c r="A28" s="53" t="s">
        <v>102</v>
      </c>
      <c r="B28" s="164" t="s">
        <v>334</v>
      </c>
      <c r="C28" s="165"/>
      <c r="D28" s="165"/>
      <c r="E28" s="165"/>
      <c r="F28" s="165"/>
      <c r="G28" s="165"/>
      <c r="H28" s="165"/>
      <c r="I28" s="165"/>
      <c r="J28" s="165"/>
      <c r="K28" s="165"/>
      <c r="L28" s="165"/>
      <c r="M28" s="165"/>
      <c r="N28" s="165"/>
      <c r="O28" s="165"/>
      <c r="P28" s="165"/>
      <c r="Q28" s="165"/>
      <c r="R28" s="165"/>
      <c r="S28" s="165"/>
      <c r="T28" s="165"/>
      <c r="U28" s="165"/>
      <c r="V28" s="165"/>
      <c r="W28" s="165"/>
      <c r="X28" s="165"/>
      <c r="Y28" s="166"/>
    </row>
    <row r="29" spans="1:25" ht="22.5" customHeight="1">
      <c r="A29" s="53" t="s">
        <v>103</v>
      </c>
      <c r="B29" s="164" t="s">
        <v>230</v>
      </c>
      <c r="C29" s="165"/>
      <c r="D29" s="165"/>
      <c r="E29" s="165"/>
      <c r="F29" s="165"/>
      <c r="G29" s="165"/>
      <c r="H29" s="165"/>
      <c r="I29" s="165"/>
      <c r="J29" s="165"/>
      <c r="K29" s="165"/>
      <c r="L29" s="165"/>
      <c r="M29" s="165"/>
      <c r="N29" s="165"/>
      <c r="O29" s="165"/>
      <c r="P29" s="165"/>
      <c r="Q29" s="165"/>
      <c r="R29" s="165"/>
      <c r="S29" s="165"/>
      <c r="T29" s="165"/>
      <c r="U29" s="165"/>
      <c r="V29" s="165"/>
      <c r="W29" s="165"/>
      <c r="X29" s="165"/>
      <c r="Y29" s="166"/>
    </row>
    <row r="30" spans="1:25" ht="22.5" customHeight="1">
      <c r="A30" s="53" t="s">
        <v>104</v>
      </c>
      <c r="B30" s="164" t="s">
        <v>231</v>
      </c>
      <c r="C30" s="165"/>
      <c r="D30" s="165"/>
      <c r="E30" s="165"/>
      <c r="F30" s="165"/>
      <c r="G30" s="165"/>
      <c r="H30" s="165"/>
      <c r="I30" s="165"/>
      <c r="J30" s="165"/>
      <c r="K30" s="165"/>
      <c r="L30" s="165"/>
      <c r="M30" s="165"/>
      <c r="N30" s="165"/>
      <c r="O30" s="165"/>
      <c r="P30" s="165"/>
      <c r="Q30" s="165"/>
      <c r="R30" s="165"/>
      <c r="S30" s="165"/>
      <c r="T30" s="165"/>
      <c r="U30" s="165"/>
      <c r="V30" s="165"/>
      <c r="W30" s="165"/>
      <c r="X30" s="165"/>
      <c r="Y30" s="166"/>
    </row>
    <row r="31" spans="1:25" ht="22.5" customHeight="1">
      <c r="A31" s="53"/>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sheetData>
  <mergeCells count="31">
    <mergeCell ref="B30:Y30"/>
    <mergeCell ref="B31:Y31"/>
    <mergeCell ref="B22:Y22"/>
    <mergeCell ref="B23:Y23"/>
    <mergeCell ref="B24:Y24"/>
    <mergeCell ref="B25:Y25"/>
    <mergeCell ref="B26:Y26"/>
    <mergeCell ref="B27:Y27"/>
    <mergeCell ref="B28:Y28"/>
    <mergeCell ref="B29:Y29"/>
    <mergeCell ref="B17:Y17"/>
    <mergeCell ref="B18:Y18"/>
    <mergeCell ref="B19:Y19"/>
    <mergeCell ref="B20:Y20"/>
    <mergeCell ref="B21:Y21"/>
    <mergeCell ref="B13:Y13"/>
    <mergeCell ref="B14:Y14"/>
    <mergeCell ref="B15:Y15"/>
    <mergeCell ref="B16:Y16"/>
    <mergeCell ref="A1:C1"/>
    <mergeCell ref="A2:C2"/>
    <mergeCell ref="A3:C3"/>
    <mergeCell ref="A4:C4"/>
    <mergeCell ref="A5:C5"/>
    <mergeCell ref="A6:C6"/>
    <mergeCell ref="A7:C7"/>
    <mergeCell ref="A8:C8"/>
    <mergeCell ref="A9:Y9"/>
    <mergeCell ref="B10:Y10"/>
    <mergeCell ref="B11:Y11"/>
    <mergeCell ref="B12:Y1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通知票</vt:lpstr>
      <vt:lpstr>所見集</vt:lpstr>
      <vt:lpstr>国語</vt:lpstr>
      <vt:lpstr>算数</vt:lpstr>
      <vt:lpstr>理科</vt:lpstr>
      <vt:lpstr>社会</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2024-07-26T03:59:19Z</cp:lastPrinted>
  <dcterms:created xsi:type="dcterms:W3CDTF">2005-07-21T09:07:06Z</dcterms:created>
  <dcterms:modified xsi:type="dcterms:W3CDTF">2024-07-26T03:59:25Z</dcterms:modified>
</cp:coreProperties>
</file>