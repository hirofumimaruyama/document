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240" yWindow="60" windowWidth="14940" windowHeight="8550" tabRatio="783"/>
  </bookViews>
  <sheets>
    <sheet name="通知票" sheetId="1" r:id="rId1"/>
    <sheet name="所見集" sheetId="46" r:id="rId2"/>
    <sheet name="国語" sheetId="36" r:id="rId3"/>
    <sheet name="算数" sheetId="37" r:id="rId4"/>
    <sheet name="生活" sheetId="38" r:id="rId5"/>
    <sheet name="英語" sheetId="39" r:id="rId6"/>
    <sheet name="音楽" sheetId="40" r:id="rId7"/>
    <sheet name="図工" sheetId="41" r:id="rId8"/>
    <sheet name="体育" sheetId="42" r:id="rId9"/>
    <sheet name="道徳" sheetId="43" r:id="rId10"/>
    <sheet name="所見" sheetId="44" r:id="rId11"/>
    <sheet name="出欠" sheetId="45" r:id="rId12"/>
  </sheets>
  <definedNames>
    <definedName name="_xlnm.Print_Area" localSheetId="1">所見集!$A$1:$C$14</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S5" i="45" l="1"/>
  <c r="R5" i="45"/>
  <c r="Q5" i="45"/>
  <c r="P5" i="45"/>
  <c r="K5" i="45"/>
  <c r="J5" i="45"/>
  <c r="I5" i="45"/>
  <c r="H5" i="45"/>
  <c r="W4" i="45"/>
  <c r="W5" i="45" s="1"/>
  <c r="V4" i="45"/>
  <c r="V5" i="45" s="1"/>
  <c r="U4" i="45"/>
  <c r="U5" i="45" s="1"/>
  <c r="T4" i="45"/>
  <c r="T5" i="45" s="1"/>
  <c r="S4" i="45"/>
  <c r="R4" i="45"/>
  <c r="Q4" i="45"/>
  <c r="P4" i="45"/>
  <c r="O4" i="45"/>
  <c r="O5" i="45" s="1"/>
  <c r="N4" i="45"/>
  <c r="N5" i="45" s="1"/>
  <c r="M4" i="45"/>
  <c r="M5" i="45" s="1"/>
  <c r="L4" i="45"/>
  <c r="L5" i="45" s="1"/>
  <c r="K4" i="45"/>
  <c r="J4" i="45"/>
  <c r="I4" i="45"/>
  <c r="H4" i="45"/>
  <c r="G4" i="45"/>
  <c r="G5" i="45" s="1"/>
  <c r="F4" i="45"/>
  <c r="F5" i="45" s="1"/>
  <c r="E4" i="45"/>
  <c r="E5" i="45" s="1"/>
  <c r="D4" i="45"/>
  <c r="D5" i="45" s="1"/>
  <c r="W1" i="45"/>
  <c r="V1" i="45"/>
  <c r="U1" i="45"/>
  <c r="T1" i="45"/>
  <c r="S1" i="45"/>
  <c r="R1" i="45"/>
  <c r="Q1" i="45"/>
  <c r="P1" i="45"/>
  <c r="O1" i="45"/>
  <c r="N1" i="45"/>
  <c r="M1" i="45"/>
  <c r="L1" i="45"/>
  <c r="K1" i="45"/>
  <c r="J1" i="45"/>
  <c r="I1" i="45"/>
  <c r="H1" i="45"/>
  <c r="G1" i="45"/>
  <c r="F1" i="45"/>
  <c r="E1" i="45"/>
  <c r="D1" i="45"/>
  <c r="A1" i="45"/>
  <c r="X53" i="44" l="1"/>
  <c r="A53" i="44"/>
  <c r="X52" i="44"/>
  <c r="A52" i="44"/>
  <c r="X51" i="44"/>
  <c r="A51" i="44"/>
  <c r="X50" i="44"/>
  <c r="A50" i="44"/>
  <c r="X49" i="44"/>
  <c r="A49" i="44"/>
  <c r="X48" i="44"/>
  <c r="A48" i="44"/>
  <c r="X47" i="44"/>
  <c r="A47" i="44"/>
  <c r="X46" i="44"/>
  <c r="A46" i="44"/>
  <c r="X45" i="44"/>
  <c r="A45" i="44"/>
  <c r="X44" i="44"/>
  <c r="A44" i="44"/>
  <c r="X43" i="44"/>
  <c r="A43" i="44"/>
  <c r="X42" i="44"/>
  <c r="A42" i="44"/>
  <c r="X41" i="44"/>
  <c r="A41" i="44"/>
  <c r="X40" i="44"/>
  <c r="A40" i="44"/>
  <c r="X39" i="44"/>
  <c r="A39" i="44"/>
  <c r="X38" i="44"/>
  <c r="A38" i="44"/>
  <c r="X37" i="44"/>
  <c r="A37" i="44"/>
  <c r="X36" i="44"/>
  <c r="A36" i="44"/>
  <c r="X35" i="44"/>
  <c r="A35" i="44"/>
  <c r="X34" i="44"/>
  <c r="A34" i="44"/>
  <c r="W1" i="44"/>
  <c r="V1" i="44"/>
  <c r="U1" i="44"/>
  <c r="T1" i="44"/>
  <c r="S1" i="44"/>
  <c r="R1" i="44"/>
  <c r="Q1" i="44"/>
  <c r="P1" i="44"/>
  <c r="O1" i="44"/>
  <c r="N1" i="44"/>
  <c r="M1" i="44"/>
  <c r="L1" i="44"/>
  <c r="K1" i="44"/>
  <c r="J1" i="44"/>
  <c r="I1" i="44"/>
  <c r="H1" i="44"/>
  <c r="G1" i="44"/>
  <c r="F1" i="44"/>
  <c r="E1" i="44"/>
  <c r="D1" i="44"/>
  <c r="A1" i="44"/>
  <c r="C22" i="43" l="1"/>
  <c r="C21" i="43"/>
  <c r="C20" i="43"/>
  <c r="C19" i="43"/>
  <c r="C18" i="43"/>
  <c r="C17" i="43"/>
  <c r="C16" i="43"/>
  <c r="C15" i="43"/>
  <c r="C14" i="43"/>
  <c r="C13" i="43"/>
  <c r="C12" i="43"/>
  <c r="C11" i="43"/>
  <c r="C10" i="43"/>
  <c r="C9" i="43"/>
  <c r="C8" i="43"/>
  <c r="C7" i="43"/>
  <c r="C6" i="43"/>
  <c r="C5" i="43"/>
  <c r="C4" i="43"/>
  <c r="C3" i="43"/>
  <c r="B1" i="43"/>
  <c r="A1" i="43"/>
  <c r="W1" i="42" l="1"/>
  <c r="V1" i="42"/>
  <c r="U1" i="42"/>
  <c r="T1" i="42"/>
  <c r="S1" i="42"/>
  <c r="R1" i="42"/>
  <c r="Q1" i="42"/>
  <c r="P1" i="42"/>
  <c r="O1" i="42"/>
  <c r="N1" i="42"/>
  <c r="M1" i="42"/>
  <c r="L1" i="42"/>
  <c r="K1" i="42"/>
  <c r="J1" i="42"/>
  <c r="I1" i="42"/>
  <c r="H1" i="42"/>
  <c r="G1" i="42"/>
  <c r="F1" i="42"/>
  <c r="E1" i="42"/>
  <c r="D1" i="42"/>
  <c r="B1" i="42"/>
  <c r="A1" i="42"/>
  <c r="W1" i="41" l="1"/>
  <c r="V1" i="41"/>
  <c r="U1" i="41"/>
  <c r="T1" i="41"/>
  <c r="S1" i="41"/>
  <c r="R1" i="41"/>
  <c r="Q1" i="41"/>
  <c r="P1" i="41"/>
  <c r="O1" i="41"/>
  <c r="N1" i="41"/>
  <c r="M1" i="41"/>
  <c r="L1" i="41"/>
  <c r="K1" i="41"/>
  <c r="J1" i="41"/>
  <c r="I1" i="41"/>
  <c r="H1" i="41"/>
  <c r="G1" i="41"/>
  <c r="F1" i="41"/>
  <c r="E1" i="41"/>
  <c r="D1" i="41"/>
  <c r="B1" i="41"/>
  <c r="A1" i="41"/>
  <c r="W1" i="40" l="1"/>
  <c r="V1" i="40"/>
  <c r="U1" i="40"/>
  <c r="T1" i="40"/>
  <c r="S1" i="40"/>
  <c r="R1" i="40"/>
  <c r="Q1" i="40"/>
  <c r="P1" i="40"/>
  <c r="O1" i="40"/>
  <c r="N1" i="40"/>
  <c r="M1" i="40"/>
  <c r="L1" i="40"/>
  <c r="K1" i="40"/>
  <c r="J1" i="40"/>
  <c r="I1" i="40"/>
  <c r="H1" i="40"/>
  <c r="G1" i="40"/>
  <c r="F1" i="40"/>
  <c r="E1" i="40"/>
  <c r="D1" i="40"/>
  <c r="B1" i="40"/>
  <c r="A1" i="40"/>
  <c r="W1" i="39" l="1"/>
  <c r="V1" i="39"/>
  <c r="U1" i="39"/>
  <c r="T1" i="39"/>
  <c r="S1" i="39"/>
  <c r="R1" i="39"/>
  <c r="Q1" i="39"/>
  <c r="P1" i="39"/>
  <c r="O1" i="39"/>
  <c r="N1" i="39"/>
  <c r="M1" i="39"/>
  <c r="L1" i="39"/>
  <c r="K1" i="39"/>
  <c r="J1" i="39"/>
  <c r="I1" i="39"/>
  <c r="H1" i="39"/>
  <c r="G1" i="39"/>
  <c r="F1" i="39"/>
  <c r="E1" i="39"/>
  <c r="D1" i="39"/>
  <c r="B1" i="39"/>
  <c r="A1" i="39"/>
  <c r="W1" i="38" l="1"/>
  <c r="V1" i="38"/>
  <c r="U1" i="38"/>
  <c r="T1" i="38"/>
  <c r="S1" i="38"/>
  <c r="R1" i="38"/>
  <c r="Q1" i="38"/>
  <c r="P1" i="38"/>
  <c r="O1" i="38"/>
  <c r="N1" i="38"/>
  <c r="M1" i="38"/>
  <c r="L1" i="38"/>
  <c r="K1" i="38"/>
  <c r="J1" i="38"/>
  <c r="I1" i="38"/>
  <c r="H1" i="38"/>
  <c r="G1" i="38"/>
  <c r="F1" i="38"/>
  <c r="E1" i="38"/>
  <c r="D1" i="38"/>
  <c r="B1" i="38"/>
  <c r="A1" i="38"/>
  <c r="W1" i="37" l="1"/>
  <c r="V1" i="37"/>
  <c r="U1" i="37"/>
  <c r="T1" i="37"/>
  <c r="S1" i="37"/>
  <c r="R1" i="37"/>
  <c r="Q1" i="37"/>
  <c r="P1" i="37"/>
  <c r="O1" i="37"/>
  <c r="N1" i="37"/>
  <c r="M1" i="37"/>
  <c r="L1" i="37"/>
  <c r="K1" i="37"/>
  <c r="J1" i="37"/>
  <c r="I1" i="37"/>
  <c r="H1" i="37"/>
  <c r="G1" i="37"/>
  <c r="F1" i="37"/>
  <c r="E1" i="37"/>
  <c r="D1" i="37"/>
  <c r="B1" i="37"/>
  <c r="A1" i="37"/>
  <c r="W1" i="36" l="1"/>
  <c r="V1" i="36"/>
  <c r="U1" i="36"/>
  <c r="T1" i="36"/>
  <c r="S1" i="36"/>
  <c r="R1" i="36"/>
  <c r="Q1" i="36"/>
  <c r="P1" i="36"/>
  <c r="O1" i="36"/>
  <c r="N1" i="36"/>
  <c r="M1" i="36"/>
  <c r="L1" i="36"/>
  <c r="K1" i="36"/>
  <c r="J1" i="36"/>
  <c r="I1" i="36"/>
  <c r="H1" i="36"/>
  <c r="G1" i="36"/>
  <c r="F1" i="36"/>
  <c r="E1" i="36"/>
  <c r="D1" i="36"/>
  <c r="B1" i="36"/>
  <c r="A1" i="36"/>
  <c r="L85" i="1" l="1"/>
  <c r="L19" i="1"/>
  <c r="A1" i="1" l="1"/>
  <c r="C14" i="46"/>
  <c r="P26" i="1"/>
  <c r="P25" i="1"/>
  <c r="P27" i="1"/>
  <c r="P6" i="1"/>
  <c r="P12" i="1"/>
  <c r="P15" i="1"/>
  <c r="P29" i="1"/>
  <c r="P11" i="1"/>
  <c r="P24" i="1"/>
  <c r="P17" i="1"/>
  <c r="B91" i="1"/>
  <c r="P22" i="1"/>
  <c r="P21" i="1"/>
  <c r="P10" i="1"/>
  <c r="P8" i="1"/>
  <c r="P30" i="1"/>
  <c r="P28" i="1"/>
  <c r="P19" i="1"/>
  <c r="P14" i="1"/>
  <c r="G2" i="1"/>
  <c r="P23" i="1"/>
  <c r="P7" i="1"/>
  <c r="P16" i="1"/>
  <c r="P13" i="1"/>
  <c r="P18" i="1"/>
  <c r="P20" i="1"/>
  <c r="P9" i="1"/>
  <c r="B6" i="46" l="1"/>
  <c r="C6" i="46"/>
  <c r="C1" i="1" l="1"/>
  <c r="B11" i="46" l="1"/>
  <c r="B10" i="46"/>
  <c r="B9" i="46"/>
  <c r="B8" i="46"/>
  <c r="B7" i="46"/>
  <c r="B5" i="46"/>
  <c r="A1" i="46"/>
  <c r="C11" i="46"/>
  <c r="C10" i="46"/>
  <c r="C8" i="46"/>
  <c r="C2" i="46"/>
  <c r="B12" i="46"/>
  <c r="C7" i="46"/>
  <c r="C9" i="46"/>
  <c r="C5" i="46"/>
  <c r="C1" i="46" l="1"/>
  <c r="G74" i="1" l="1"/>
  <c r="G73" i="1"/>
  <c r="G72" i="1"/>
  <c r="G71" i="1"/>
  <c r="G70" i="1"/>
  <c r="G69" i="1"/>
  <c r="G68" i="1"/>
  <c r="G67" i="1"/>
  <c r="G66" i="1"/>
  <c r="H65" i="1"/>
  <c r="G65" i="1"/>
  <c r="G64" i="1"/>
  <c r="G63" i="1"/>
  <c r="G62" i="1"/>
  <c r="G61" i="1"/>
  <c r="G60" i="1"/>
  <c r="G59" i="1"/>
  <c r="G58" i="1"/>
  <c r="G57" i="1"/>
  <c r="G56" i="1"/>
  <c r="H55" i="1"/>
  <c r="G55" i="1"/>
  <c r="G52" i="1"/>
  <c r="G51" i="1"/>
  <c r="G50" i="1"/>
  <c r="G49" i="1"/>
  <c r="G48" i="1"/>
  <c r="G47" i="1"/>
  <c r="G46" i="1"/>
  <c r="G45" i="1"/>
  <c r="G44" i="1"/>
  <c r="H43" i="1"/>
  <c r="G43" i="1"/>
  <c r="G42" i="1"/>
  <c r="G41" i="1"/>
  <c r="G40" i="1"/>
  <c r="G39" i="1"/>
  <c r="G38" i="1"/>
  <c r="G37" i="1"/>
  <c r="G36" i="1"/>
  <c r="G35" i="1"/>
  <c r="H34" i="1"/>
  <c r="G34" i="1"/>
  <c r="G33" i="1"/>
  <c r="G32" i="1"/>
  <c r="G31" i="1"/>
  <c r="G30" i="1"/>
  <c r="G29" i="1"/>
  <c r="G28" i="1"/>
  <c r="G27" i="1"/>
  <c r="H26" i="1"/>
  <c r="G26" i="1"/>
  <c r="G25" i="1"/>
  <c r="G24" i="1"/>
  <c r="G23" i="1"/>
  <c r="G22" i="1"/>
  <c r="G21" i="1"/>
  <c r="G20" i="1"/>
  <c r="G19" i="1"/>
  <c r="G18" i="1"/>
  <c r="G17" i="1"/>
  <c r="H16" i="1"/>
  <c r="G16" i="1"/>
  <c r="I84" i="1"/>
  <c r="I83" i="1"/>
  <c r="I82" i="1"/>
  <c r="I81" i="1"/>
  <c r="I80" i="1"/>
  <c r="I79" i="1"/>
  <c r="I78" i="1"/>
  <c r="D87" i="1"/>
  <c r="D86" i="1"/>
  <c r="D85" i="1"/>
  <c r="D84" i="1"/>
  <c r="D83" i="1"/>
  <c r="D82" i="1"/>
  <c r="D81" i="1"/>
  <c r="D80" i="1"/>
  <c r="D79" i="1"/>
  <c r="D78" i="1"/>
  <c r="H6" i="1"/>
  <c r="G15" i="1"/>
  <c r="G14" i="1"/>
  <c r="G13" i="1"/>
  <c r="G12" i="1"/>
  <c r="G11" i="1"/>
  <c r="G10" i="1"/>
  <c r="G9" i="1"/>
  <c r="G8" i="1"/>
  <c r="G7" i="1"/>
  <c r="G6" i="1"/>
  <c r="F85" i="1"/>
  <c r="B75" i="1"/>
  <c r="C89" i="1"/>
  <c r="A87" i="1" l="1"/>
  <c r="A86" i="1"/>
  <c r="A85" i="1"/>
  <c r="A84" i="1"/>
  <c r="A83" i="1"/>
  <c r="A82" i="1"/>
  <c r="A81" i="1"/>
  <c r="A80" i="1"/>
  <c r="A79" i="1"/>
  <c r="A78" i="1"/>
  <c r="B74" i="1"/>
  <c r="B73" i="1"/>
  <c r="B72" i="1"/>
  <c r="B71" i="1"/>
  <c r="B70" i="1"/>
  <c r="B69" i="1"/>
  <c r="B68" i="1"/>
  <c r="B67" i="1"/>
  <c r="B66" i="1"/>
  <c r="B65" i="1"/>
  <c r="B64" i="1"/>
  <c r="B63" i="1"/>
  <c r="B62" i="1"/>
  <c r="B61" i="1"/>
  <c r="B60" i="1"/>
  <c r="B59" i="1"/>
  <c r="B58" i="1"/>
  <c r="B57" i="1"/>
  <c r="B56" i="1"/>
  <c r="B55"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<sst xmlns="http://schemas.openxmlformats.org/spreadsheetml/2006/main" count="1098" uniqueCount="231">
  <si>
    <t>生活</t>
    <phoneticPr fontId="1"/>
  </si>
  <si>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</si>
  <si>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</si>
  <si>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</si>
  <si>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</si>
  <si>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</si>
  <si>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</si>
  <si>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</si>
  <si>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</si>
  <si>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</si>
  <si>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</si>
  <si>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</si>
  <si>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</si>
  <si>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</si>
  <si>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</si>
  <si>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</si>
  <si>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</si>
  <si>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</si>
  <si>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</si>
  <si>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</si>
  <si>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</si>
  <si>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</si>
  <si>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</si>
  <si>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</si>
  <si>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</si>
  <si>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</si>
  <si>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</si>
  <si>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</si>
  <si>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</si>
  <si>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</si>
  <si>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</si>
  <si>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</si>
  <si>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</si>
  <si>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</si>
  <si>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</si>
  <si>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</si>
  <si>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</si>
  <si>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</si>
  <si>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</si>
  <si>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</si>
  <si>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</si>
  <si>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</si>
  <si>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</si>
  <si>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</si>
  <si>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</si>
  <si>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</si>
  <si>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生活</t>
    <phoneticPr fontId="1"/>
  </si>
  <si>
    <t>英語学習に楽しみを感じ、意欲的に学習に励むことができる</t>
  </si>
  <si>
    <t>単語の発音を予想して読むことができる</t>
  </si>
  <si>
    <t>単語の音を聞いて、つづりを予想して書くことができる</t>
  </si>
  <si>
    <t>心身の健康に気をつけ、進んで運動をし、元気に生活することができる</t>
  </si>
  <si>
    <t>良いと思うことは進んで行い、最後まで頑張ることができる</t>
  </si>
  <si>
    <t>自然に親しみ、生きているものに優しく接することができる</t>
  </si>
  <si>
    <t>手伝いや仕事を進んで行うことができる</t>
  </si>
  <si>
    <r>
      <t xml:space="preserve">学年
</t>
    </r>
    <r>
      <rPr>
        <sz val="9"/>
        <rFont val="ＭＳ Ｐ明朝"/>
        <family val="1"/>
        <charset val="128"/>
      </rPr>
      <t>(3学期)</t>
    </r>
    <rPh sb="5" eb="7">
      <t>ガッキ</t>
    </rPh>
    <phoneticPr fontId="1"/>
  </si>
  <si>
    <t>簡単な事柄を整理して、表やグラフに表したり、読んだりすることができる</t>
  </si>
  <si>
    <t>２けたの数のたし算を、筆算を使って計算することができる</t>
  </si>
  <si>
    <t>２けたの数のひき算を、筆算を使って計算することができる</t>
  </si>
  <si>
    <t>身の回りにあるもの（名詞）、日常生活の動作（動詞）、人や物を説明する言葉（形容詞）を習得することができる</t>
  </si>
  <si>
    <t>算数に関心を持ち、進んで学習に取り組むことができる</t>
  </si>
  <si>
    <t>長さの単位ｃｍ、ｍｍについて理解し、ものさしを使って、長さを測ったり直線をかいたりできる</t>
  </si>
  <si>
    <t>１０００までの数の読み方、書き方やしくみ、大小などを理解し、何十や何百のたし算・ひき算ができる</t>
  </si>
  <si>
    <t>国語に関心を持ち、進んで読んだり、書いたりすることができる</t>
  </si>
  <si>
    <t>語のまとまりや言葉の響きなどに気をつけて音読や発表をすることができる</t>
  </si>
  <si>
    <t>大事なことを落とさないように聞いたり話したりすることができる</t>
  </si>
  <si>
    <t>物語文を読んで、場面の様子を想像したり、内容を読み取ったりすることができる</t>
  </si>
  <si>
    <t>説明文の内容を、順を追って整理したり、理解したりすることができる</t>
  </si>
  <si>
    <t>学習した漢字を読んだり書いたりすることができる</t>
  </si>
  <si>
    <t>観察したことを記録する文章を書いたり、組み立てを考えて文章を書いたりすることができる</t>
  </si>
  <si>
    <t>漢字の同じ部分に着目したり、丸、点、かぎの使い方を理解したりすることができる</t>
  </si>
  <si>
    <t>学習した漢字や平仮名を、形に注意しながら丁寧に書くことができる</t>
  </si>
  <si>
    <t>進んで学習に取り組むことができる</t>
    <rPh sb="0" eb="1">
      <t>スス</t>
    </rPh>
    <rPh sb="3" eb="5">
      <t>ガクシュウ</t>
    </rPh>
    <rPh sb="6" eb="7">
      <t>ト</t>
    </rPh>
    <rPh sb="8" eb="9">
      <t>ク</t>
    </rPh>
    <phoneticPr fontId="1"/>
  </si>
  <si>
    <t>野菜を育て、観察することを通して、その成長に気づくことができる</t>
    <rPh sb="0" eb="2">
      <t>ヤサイ</t>
    </rPh>
    <rPh sb="3" eb="4">
      <t>ソダ</t>
    </rPh>
    <rPh sb="6" eb="8">
      <t>カンサツ</t>
    </rPh>
    <rPh sb="13" eb="14">
      <t>トオ</t>
    </rPh>
    <rPh sb="19" eb="21">
      <t>セイチョウ</t>
    </rPh>
    <rPh sb="22" eb="23">
      <t>キ</t>
    </rPh>
    <phoneticPr fontId="1"/>
  </si>
  <si>
    <t>身近な材料で作るものについてイメージを広げ、作りたいものを考えることができる</t>
    <rPh sb="0" eb="2">
      <t>ミヂカ</t>
    </rPh>
    <rPh sb="3" eb="5">
      <t>ザイリョウ</t>
    </rPh>
    <rPh sb="6" eb="7">
      <t>ツク</t>
    </rPh>
    <rPh sb="19" eb="20">
      <t>ヒロ</t>
    </rPh>
    <rPh sb="22" eb="23">
      <t>ツク</t>
    </rPh>
    <rPh sb="29" eb="30">
      <t>カンガ</t>
    </rPh>
    <phoneticPr fontId="1"/>
  </si>
  <si>
    <t>大きな声ではっきりと自分からあいさつや返事をすることができる</t>
  </si>
  <si>
    <t>時間やきまりを守り、規則正しい生活をすることができる</t>
  </si>
  <si>
    <t>必要な持ち物を準備でき、きれいに整理整頓をすることができる</t>
  </si>
  <si>
    <t>赤羽 咲良</t>
  </si>
  <si>
    <t>今井 千紗都</t>
  </si>
  <si>
    <t>上島 千茅</t>
  </si>
  <si>
    <t>小林 朋桃</t>
  </si>
  <si>
    <t>小森 朝陽</t>
  </si>
  <si>
    <t>佐野 望結</t>
  </si>
  <si>
    <t>西村 友李</t>
  </si>
  <si>
    <t>林 美佑</t>
  </si>
  <si>
    <t>樋沢 壮真</t>
  </si>
  <si>
    <t>堀内 心遥</t>
  </si>
  <si>
    <t>南澤 育実</t>
  </si>
  <si>
    <t>山野 健斗</t>
  </si>
  <si>
    <t>若松 優衣奈</t>
  </si>
  <si>
    <t>問題を読み、式や図を書いて解き方を示し、文章題を正しく解くことができる</t>
    <rPh sb="0" eb="2">
      <t>モンダイ</t>
    </rPh>
    <rPh sb="3" eb="4">
      <t>ヨ</t>
    </rPh>
    <rPh sb="6" eb="7">
      <t>シキ</t>
    </rPh>
    <rPh sb="8" eb="9">
      <t>ズ</t>
    </rPh>
    <rPh sb="10" eb="11">
      <t>カ</t>
    </rPh>
    <rPh sb="13" eb="14">
      <t>ト</t>
    </rPh>
    <rPh sb="15" eb="16">
      <t>カタ</t>
    </rPh>
    <rPh sb="17" eb="18">
      <t>シメ</t>
    </rPh>
    <rPh sb="20" eb="23">
      <t>ブンショウダイ</t>
    </rPh>
    <rPh sb="24" eb="25">
      <t>タダ</t>
    </rPh>
    <rPh sb="27" eb="28">
      <t>ト</t>
    </rPh>
    <phoneticPr fontId="1"/>
  </si>
  <si>
    <t>上級生として１年生のことを考えながら、学校案内のための活動をすることができる</t>
    <rPh sb="0" eb="3">
      <t>ジョウキュウセイ</t>
    </rPh>
    <rPh sb="7" eb="9">
      <t>ネンセイ</t>
    </rPh>
    <rPh sb="13" eb="14">
      <t>カンガ</t>
    </rPh>
    <rPh sb="19" eb="21">
      <t>ガッコウ</t>
    </rPh>
    <rPh sb="21" eb="23">
      <t>アンナイ</t>
    </rPh>
    <rPh sb="27" eb="29">
      <t>カツドウ</t>
    </rPh>
    <phoneticPr fontId="1"/>
  </si>
  <si>
    <t>・「さいきょう商店街」の準備で、１年生の所へアンケートをとりに行った時には、皆を代表して挨拶をした。事前にしっかりと練習をしてきて、原稿を全く見ずに、気持ちを込めて挨拶することができた。</t>
    <rPh sb="7" eb="10">
      <t>ショウテンガイ</t>
    </rPh>
    <rPh sb="12" eb="14">
      <t>ジュンビ</t>
    </rPh>
    <rPh sb="17" eb="19">
      <t>ネンセイ</t>
    </rPh>
    <rPh sb="20" eb="21">
      <t>トコロ</t>
    </rPh>
    <rPh sb="31" eb="32">
      <t>イ</t>
    </rPh>
    <rPh sb="34" eb="35">
      <t>トキ</t>
    </rPh>
    <rPh sb="38" eb="39">
      <t>ミナ</t>
    </rPh>
    <rPh sb="40" eb="42">
      <t>ダイヒョウ</t>
    </rPh>
    <rPh sb="44" eb="46">
      <t>アイサツ</t>
    </rPh>
    <rPh sb="50" eb="52">
      <t>ジゼン</t>
    </rPh>
    <rPh sb="58" eb="60">
      <t>レンシュウ</t>
    </rPh>
    <rPh sb="66" eb="68">
      <t>ゲンコウ</t>
    </rPh>
    <rPh sb="69" eb="70">
      <t>マッタ</t>
    </rPh>
    <rPh sb="71" eb="72">
      <t>ミ</t>
    </rPh>
    <rPh sb="75" eb="77">
      <t>キモ</t>
    </rPh>
    <rPh sb="79" eb="80">
      <t>コ</t>
    </rPh>
    <rPh sb="82" eb="84">
      <t>アイサツ</t>
    </rPh>
    <phoneticPr fontId="1"/>
  </si>
  <si>
    <t>・ミニトマトの観察では、観察記録に、前と比べてどのようなことがかわったのかをあまり書くことができなかった。</t>
    <rPh sb="7" eb="9">
      <t>カンサツ</t>
    </rPh>
    <rPh sb="12" eb="14">
      <t>カンサツ</t>
    </rPh>
    <rPh sb="14" eb="16">
      <t>キロク</t>
    </rPh>
    <rPh sb="18" eb="19">
      <t>マエ</t>
    </rPh>
    <rPh sb="20" eb="21">
      <t>クラ</t>
    </rPh>
    <rPh sb="41" eb="42">
      <t>カ</t>
    </rPh>
    <phoneticPr fontId="1"/>
  </si>
  <si>
    <t>・ミニトマトの観察では、実がどこにつくのかを詳しく観察記録に書くことができた。</t>
    <rPh sb="7" eb="9">
      <t>カンサツ</t>
    </rPh>
    <rPh sb="12" eb="13">
      <t>ミ</t>
    </rPh>
    <rPh sb="22" eb="23">
      <t>クワ</t>
    </rPh>
    <rPh sb="25" eb="27">
      <t>カンサツ</t>
    </rPh>
    <rPh sb="27" eb="29">
      <t>キロク</t>
    </rPh>
    <rPh sb="30" eb="31">
      <t>カ</t>
    </rPh>
    <phoneticPr fontId="1"/>
  </si>
  <si>
    <t>・ミニトマトの観察では、特徴を捉えて上手に絵に表すことができた。</t>
    <rPh sb="7" eb="9">
      <t>カンサツ</t>
    </rPh>
    <rPh sb="12" eb="14">
      <t>トクチョウ</t>
    </rPh>
    <rPh sb="15" eb="16">
      <t>トラ</t>
    </rPh>
    <rPh sb="18" eb="20">
      <t>ジョウズ</t>
    </rPh>
    <rPh sb="21" eb="22">
      <t>エ</t>
    </rPh>
    <rPh sb="23" eb="24">
      <t>アラワ</t>
    </rPh>
    <phoneticPr fontId="1"/>
  </si>
  <si>
    <t xml:space="preserve">・１年生への学校案内の振り返りでは、自分は内気であるが、しっかりと１年生に話ができたという主旨のことを話す。頑張った自分を感じているようであった。
</t>
    <rPh sb="2" eb="4">
      <t>ネンセイ</t>
    </rPh>
    <rPh sb="6" eb="10">
      <t>ガッコウアンナイ</t>
    </rPh>
    <rPh sb="45" eb="46">
      <t>シュ</t>
    </rPh>
    <phoneticPr fontId="1"/>
  </si>
  <si>
    <t xml:space="preserve">・１年生への学校案内の振り返りの時には、「２年生だから、もっとしっかりしないといけないと思っていたが、１年生にすごいねと言われて、自信が持てた。」という主旨のことを話す。学校探検を通して、自分はこれでいいんだという気持ちと自信を持てたようであった。・ミニトマトの観察では、細かい所までよく見て観察記録を書くことができた。
</t>
    <rPh sb="2" eb="4">
      <t>ネンセイ</t>
    </rPh>
    <rPh sb="6" eb="8">
      <t>ガッコウ</t>
    </rPh>
    <rPh sb="8" eb="10">
      <t>アンナイ</t>
    </rPh>
    <rPh sb="76" eb="77">
      <t>シュ</t>
    </rPh>
    <rPh sb="131" eb="133">
      <t>カンサツ</t>
    </rPh>
    <rPh sb="136" eb="137">
      <t>コマ</t>
    </rPh>
    <rPh sb="139" eb="140">
      <t>トコロ</t>
    </rPh>
    <rPh sb="144" eb="145">
      <t>ミ</t>
    </rPh>
    <rPh sb="146" eb="148">
      <t>カンサツ</t>
    </rPh>
    <rPh sb="148" eb="150">
      <t>キロク</t>
    </rPh>
    <rPh sb="151" eb="152">
      <t>カ</t>
    </rPh>
    <phoneticPr fontId="1"/>
  </si>
  <si>
    <t>学習した表現を用いて、自己紹介のスピーチをすることができる。</t>
  </si>
  <si>
    <t>授業の活動に意欲的に取り組むことができる</t>
  </si>
  <si>
    <t>メロディーを正しい音程で歌い、のびやかな表現ができる</t>
  </si>
  <si>
    <t>鍵盤ハーモニカで楽曲（喜びの歌）を、正しい指使い・リズム・音程で楽曲を奏でることができる</t>
  </si>
  <si>
    <t>提示した音を聴き取り、和音を聴き分けることができる</t>
  </si>
  <si>
    <t>高音域がのびやかで、正確な音程で歌うことができます。時々授業にほとんど参加できなくるなど、活動意欲に波があるので、来学期はたくさん参加できることを期待します。</t>
    <rPh sb="0" eb="3">
      <t>コウオンイキ</t>
    </rPh>
    <rPh sb="10" eb="12">
      <t>セイカク</t>
    </rPh>
    <rPh sb="13" eb="15">
      <t>オンテイ</t>
    </rPh>
    <rPh sb="16" eb="17">
      <t>ウタ</t>
    </rPh>
    <rPh sb="26" eb="28">
      <t>トキドキ</t>
    </rPh>
    <rPh sb="28" eb="30">
      <t>ジュギョウ</t>
    </rPh>
    <rPh sb="35" eb="37">
      <t>サンカ</t>
    </rPh>
    <rPh sb="45" eb="47">
      <t>カツドウ</t>
    </rPh>
    <rPh sb="47" eb="49">
      <t>イヨク</t>
    </rPh>
    <rPh sb="50" eb="51">
      <t>ナミ</t>
    </rPh>
    <rPh sb="57" eb="60">
      <t>ライガッキ</t>
    </rPh>
    <rPh sb="65" eb="67">
      <t>サンカ</t>
    </rPh>
    <rPh sb="73" eb="75">
      <t>キタイ</t>
    </rPh>
    <phoneticPr fontId="1"/>
  </si>
  <si>
    <t>活動に意欲がみられ良いです。歌唱ではのどで押しすぎてしまうので、のどを大きく開け、鼻腔にかかる歌声を目指して頑張っていきましょう。</t>
    <rPh sb="0" eb="2">
      <t>カツドウ</t>
    </rPh>
    <rPh sb="3" eb="5">
      <t>イヨク</t>
    </rPh>
    <rPh sb="9" eb="10">
      <t>ヨ</t>
    </rPh>
    <rPh sb="14" eb="16">
      <t>カショウ</t>
    </rPh>
    <rPh sb="21" eb="22">
      <t>オ</t>
    </rPh>
    <rPh sb="35" eb="36">
      <t>オオ</t>
    </rPh>
    <rPh sb="38" eb="39">
      <t>ア</t>
    </rPh>
    <rPh sb="41" eb="43">
      <t>ビクウ</t>
    </rPh>
    <rPh sb="47" eb="49">
      <t>ウタゴエ</t>
    </rPh>
    <rPh sb="50" eb="52">
      <t>メザ</t>
    </rPh>
    <rPh sb="54" eb="56">
      <t>ガンバ</t>
    </rPh>
    <phoneticPr fontId="1"/>
  </si>
  <si>
    <t>授業に真面目に取り組めています。音の聴きとりはあと少しで正確に聴きとれそうです。頑張っていきましょう。</t>
    <rPh sb="0" eb="2">
      <t>ジュギョウ</t>
    </rPh>
    <rPh sb="3" eb="6">
      <t>マジメ</t>
    </rPh>
    <rPh sb="7" eb="8">
      <t>ト</t>
    </rPh>
    <rPh sb="9" eb="10">
      <t>ク</t>
    </rPh>
    <rPh sb="16" eb="17">
      <t>オト</t>
    </rPh>
    <rPh sb="18" eb="19">
      <t>キ</t>
    </rPh>
    <rPh sb="25" eb="26">
      <t>スコ</t>
    </rPh>
    <rPh sb="28" eb="30">
      <t>セイカク</t>
    </rPh>
    <rPh sb="31" eb="32">
      <t>キ</t>
    </rPh>
    <rPh sb="40" eb="42">
      <t>ガンバ</t>
    </rPh>
    <phoneticPr fontId="1"/>
  </si>
  <si>
    <t>運動遊びの行い方を工夫するとともに、考えたことを他者に伝えることができる</t>
  </si>
  <si>
    <t>決まりを守り、誰とでも仲よく意欲的に運動ができる</t>
  </si>
  <si>
    <t>全身を使って、力強く走ることができる（かけっこ）</t>
  </si>
  <si>
    <t>簡単なボール操作と攻めや守りの動きができる（ボールゲーム）</t>
  </si>
  <si>
    <t>体育の活動において、いつも様々なことをよく考えて取り組めています。ボールの活動においては、積極的に作戦を考えたり、チームメイトに伝えることができました。ただしリレーの技術面において、バトンを渡される時のスタートが出遅れたり、バトンゾーンでのバトンの受け渡しのタイミングが上手くいきませんでした。２学期も一緒に頑張りましょう。</t>
    <rPh sb="0" eb="2">
      <t>タイイク</t>
    </rPh>
    <rPh sb="3" eb="5">
      <t>カツドウ</t>
    </rPh>
    <rPh sb="13" eb="15">
      <t>サマザマ</t>
    </rPh>
    <rPh sb="21" eb="22">
      <t>カンガ</t>
    </rPh>
    <rPh sb="24" eb="25">
      <t>ト</t>
    </rPh>
    <rPh sb="26" eb="27">
      <t>ク</t>
    </rPh>
    <rPh sb="83" eb="86">
      <t>ギジュツメン</t>
    </rPh>
    <rPh sb="148" eb="150">
      <t>ガッキ</t>
    </rPh>
    <rPh sb="151" eb="153">
      <t>イッショ</t>
    </rPh>
    <rPh sb="154" eb="156">
      <t>ガンバ</t>
    </rPh>
    <phoneticPr fontId="1"/>
  </si>
  <si>
    <t>授業の整列や集合、話を聞く場面において、砂いじりをしたり、すぐに話し出してしまったりすることが多いです。注意をされるとすぐに直すことはできますが、なかなか持続しません。運動の技能はよくできているので、２学期は授業にふさわしい態度で臨みましょう。また、状況に応じた行動を意識して実行することで、更に各単元の達成度が高まるでしょう。</t>
    <rPh sb="0" eb="2">
      <t>ジュギョウ</t>
    </rPh>
    <rPh sb="3" eb="5">
      <t>セイレツ</t>
    </rPh>
    <rPh sb="6" eb="8">
      <t>シュウゴウ</t>
    </rPh>
    <rPh sb="9" eb="10">
      <t>ハナシ</t>
    </rPh>
    <rPh sb="11" eb="12">
      <t>キ</t>
    </rPh>
    <rPh sb="13" eb="15">
      <t>バメン</t>
    </rPh>
    <rPh sb="20" eb="21">
      <t>スナ</t>
    </rPh>
    <rPh sb="32" eb="33">
      <t>ハナ</t>
    </rPh>
    <rPh sb="34" eb="35">
      <t>ダ</t>
    </rPh>
    <rPh sb="47" eb="48">
      <t>オオ</t>
    </rPh>
    <rPh sb="52" eb="54">
      <t>チュウイ</t>
    </rPh>
    <rPh sb="62" eb="63">
      <t>ナオ</t>
    </rPh>
    <rPh sb="77" eb="79">
      <t>ジゾク</t>
    </rPh>
    <rPh sb="84" eb="86">
      <t>ウンドウ</t>
    </rPh>
    <rPh sb="87" eb="89">
      <t>ギノウ</t>
    </rPh>
    <rPh sb="101" eb="103">
      <t>ガッキ</t>
    </rPh>
    <rPh sb="104" eb="106">
      <t>ジュギョウ</t>
    </rPh>
    <rPh sb="112" eb="114">
      <t>タイド</t>
    </rPh>
    <rPh sb="115" eb="116">
      <t>ノゾ</t>
    </rPh>
    <rPh sb="125" eb="127">
      <t>ジョウキョウ</t>
    </rPh>
    <rPh sb="128" eb="129">
      <t>オウ</t>
    </rPh>
    <rPh sb="131" eb="133">
      <t>コウドウ</t>
    </rPh>
    <rPh sb="134" eb="136">
      <t>イシキ</t>
    </rPh>
    <rPh sb="138" eb="140">
      <t>ジッコウ</t>
    </rPh>
    <rPh sb="146" eb="147">
      <t>サラ</t>
    </rPh>
    <rPh sb="148" eb="151">
      <t>カクタンゲン</t>
    </rPh>
    <rPh sb="152" eb="154">
      <t>タッセイ</t>
    </rPh>
    <rPh sb="154" eb="155">
      <t>ド</t>
    </rPh>
    <rPh sb="156" eb="157">
      <t>タカ</t>
    </rPh>
    <phoneticPr fontId="1"/>
  </si>
  <si>
    <t>自分の学校を紹介する「わたし」の姿などを通して、自分たちの学校のいいところはどんなところかを考えさせ、学校や学級に愛着を持ち、みんなで楽しい生活をしようとする心情を育てる「しょうかいします」という単元では、授業の時間と給食の時間が好きであることと、先生のよいところを紹介する文を書きました。まだ見えていない学校の魅力にも気づけるように、より学校に愛着を持ちましょう。</t>
    <rPh sb="176" eb="177">
      <t>モ</t>
    </rPh>
    <phoneticPr fontId="1"/>
  </si>
  <si>
    <t>当番や係など、自分でやるべきことを、しっかりと行うことができる</t>
  </si>
  <si>
    <t>自分から進んで考え、工夫しながら取り組むことができる</t>
  </si>
  <si>
    <t>身近にいる人々に親切にし、誰とでも仲良く助け合うことができる</t>
  </si>
  <si>
    <t>体育係</t>
    <rPh sb="0" eb="3">
      <t>たいいくがかり</t>
    </rPh>
    <phoneticPr fontId="10" type="Hiragana" alignment="distributed"/>
  </si>
  <si>
    <t>生活係</t>
    <rPh sb="0" eb="2">
      <t>せいかつ</t>
    </rPh>
    <rPh sb="2" eb="3">
      <t>かかり</t>
    </rPh>
    <phoneticPr fontId="10" type="Hiragana" alignment="distributed"/>
  </si>
  <si>
    <t>配り・お助け係</t>
    <rPh sb="0" eb="1">
      <t>くば</t>
    </rPh>
    <rPh sb="4" eb="5">
      <t>たす</t>
    </rPh>
    <rPh sb="6" eb="7">
      <t>かかり</t>
    </rPh>
    <phoneticPr fontId="10" type="Hiragana" alignment="distributed"/>
  </si>
  <si>
    <t>図工係</t>
    <rPh sb="0" eb="2">
      <t>ずこう</t>
    </rPh>
    <rPh sb="2" eb="3">
      <t>かかり</t>
    </rPh>
    <phoneticPr fontId="10" type="Hiragana" alignment="distributed"/>
  </si>
  <si>
    <t>音楽係</t>
    <rPh sb="0" eb="3">
      <t>おんがくかかり</t>
    </rPh>
    <phoneticPr fontId="10" type="Hiragana" alignment="distributed"/>
  </si>
  <si>
    <t>黒板係</t>
    <rPh sb="0" eb="3">
      <t>こくばんかかり</t>
    </rPh>
    <phoneticPr fontId="10" type="Hiragana" alignment="distributed"/>
  </si>
  <si>
    <t>環境係</t>
    <rPh sb="0" eb="2">
      <t>かんきょう</t>
    </rPh>
    <rPh sb="2" eb="3">
      <t>かかり</t>
    </rPh>
    <phoneticPr fontId="10" type="Hiragana" alignment="distributed"/>
  </si>
  <si>
    <t>1日1日をしっかりと過ごすことができた1学期でした。朝の準備時間が少ない中でも、宿題の提出や着替えを素早くこなし、誰よりも早く次の行動に取り掛かることができました。咲良さんの行動の素早さをみんなも分かっており、同じようにやってみようとした結果、クラス全体の行動の素早さが出てきました。これまでは自分の事はきちんとやるという傾向が強かったと思いますが、2年生になってからは、周りを手助けすることが多くなり、みんなのために頑張ろうとする姿が多く見られました。周りを見る力がついて素晴らしかったです。係活動では、体育係として、整列や準備、体操など一生懸命行うことができました。学習面では、挙手発言を積極的に行い、国語や算数のノートも確実に書くことができました。算数の2桁のたし算やひき算では、繰り上がりや繰り下がりの計算に最初苦労しましたが、計算練習をしていく中で正確に解くことができるようになりました。引き続き計算の正確性を高めていくとともに、応用問題にも対応できるように頑張って学習しましょう。</t>
    <rPh sb="128" eb="130">
      <t>こうどう</t>
    </rPh>
    <rPh sb="227" eb="228">
      <t>まわ</t>
    </rPh>
    <rPh sb="230" eb="231">
      <t>み</t>
    </rPh>
    <rPh sb="232" eb="233">
      <t>ちから</t>
    </rPh>
    <rPh sb="237" eb="239">
      <t>すば</t>
    </rPh>
    <rPh sb="351" eb="352">
      <t>さ</t>
    </rPh>
    <phoneticPr fontId="10" type="Hiragana" alignment="distributed"/>
  </si>
  <si>
    <t>一年生の時と変わらず、新しく学ぶことへの興味と高い目標を持って各種検定に取り組むことができました。生活面では、生活科係として、授業前の準備や先生のサポートを積極的に行いました。また、さいきょう商店街のアンケートで1年生の教室を訪問したときに、1年生に向けて素晴らしい挨拶をすることができました。学習面では、国語の漢字練習に力を注ぐことができました。毎日の漢字ノートも丁寧に取り組み、お手本のような字で練習することができました。2学期も引き続き頑張りましょう。算数では、日ごろから高いレベルでの学習をしているので、授業の内容だけでは物足りない部分もあるかもしれません。算数の学習の奥深さを感じながら、授業を受けられると良いでしょう。体育のリレーでは、バトンパスの練習を重ねたものの、バトンの受け渡しが上手にできませんでした。声をかけることや相手との呼吸を合わせていくと上達していくでしょう。頑張り屋さんの千茅君が、2学期のさいきょう商店街やさいきょう祭で大いに活躍するのを楽しみにしています。</t>
    <rPh sb="315" eb="317">
      <t>たいいく</t>
    </rPh>
    <rPh sb="330" eb="332">
      <t>れんしゅう</t>
    </rPh>
    <rPh sb="333" eb="334">
      <t>かさ</t>
    </rPh>
    <rPh sb="344" eb="345">
      <t>う</t>
    </rPh>
    <rPh sb="346" eb="347">
      <t>わた</t>
    </rPh>
    <rPh sb="349" eb="351">
      <t>じょうず</t>
    </rPh>
    <rPh sb="361" eb="362">
      <t>こえ</t>
    </rPh>
    <rPh sb="369" eb="371">
      <t>あいて</t>
    </rPh>
    <rPh sb="373" eb="375">
      <t>こきゅう</t>
    </rPh>
    <rPh sb="376" eb="377">
      <t>あ</t>
    </rPh>
    <rPh sb="383" eb="385">
      <t>じょうたつ</t>
    </rPh>
    <phoneticPr fontId="10" type="Hiragana" alignment="distributed"/>
  </si>
  <si>
    <t>毎日元気に学校生活を送り、何事にも全力で取り組むことができた1学期でした。生活面では、お便り係として、毎日職員室までお便りを取りに行って、責任持って自分の役割を果たすことができました。とても立派でした。学習面では、国語の漢字の学習に力を注ぎ、バランスの整った字でノートに練習することができました。今後の漢字学習も引き続き頑張りましょう。算数の得意な朋桃くん。授業でも積極的に挙手発言を行い、集中して取り組むことができました。その結果、1学期に学習する内容を十分に習得することができました。音楽の授業や朝の会の歌の時間に、誰よりもしっかり声を出して歌っている姿があります。素敵な歌の声を目指して声の出し方を工夫できるとより良いでしょう。体育祭では、勝利に向かって全力で戦うことができました。応援でも精一杯声を出し、チームの一員として活躍する姿がありました。2学期のさいきょう商店街やさいきょう祭でも、一生懸命頑張る姿に期待しています。</t>
    <rPh sb="148" eb="150">
      <t>こんご</t>
    </rPh>
    <rPh sb="151" eb="153">
      <t>かんじ</t>
    </rPh>
    <rPh sb="153" eb="155">
      <t>がくしゅう</t>
    </rPh>
    <rPh sb="156" eb="157">
      <t>ひ</t>
    </rPh>
    <rPh sb="158" eb="159">
      <t>つづ</t>
    </rPh>
    <rPh sb="160" eb="162">
      <t>がんば</t>
    </rPh>
    <phoneticPr fontId="10" type="Hiragana" alignment="distributed"/>
  </si>
  <si>
    <t>毎日元気に学校生活を送ることができました。1学期途中に、時間割を示すホワイトボードの係を自らかって出て、みんなのために忘れることなく行うことができました。生活面では、何事にも素早く取り組むことができますが、丁寧さに欠ける部分が見られます。丁寧さを増すことで、望結くんの良さがさらに出てくるでしょう。また、友達との関係がうまくいかなかったこともありました。その時に、何が良くなかったのかということをしっかり話をして、自分の姿を振り返る姿勢が見られたのは大きな成長です。学習面では、国語の漢字練習において、自分が気をつけて書いたところを伝えてくれます。そのことを漢字ノートの練習でも活かすと、バランスのとれた字が書けるでしょう。体育の授業では、実技面で素晴らしいものがありますが、授業に臨む態度としてはもう一歩です。先生の話を聞くときには、姿勢を正し、説明をよく聞いて行動できると良いでしょう。2学期のさいきょう商店街やさいきょう祭では、周りと協力して素晴らしい成果を上げられることを期待しています。</t>
    <rPh sb="42" eb="43">
      <t>かかり</t>
    </rPh>
    <rPh sb="119" eb="121">
      <t>ていねい</t>
    </rPh>
    <rPh sb="123" eb="124">
      <t>ま</t>
    </rPh>
    <phoneticPr fontId="10" type="Hiragana" alignment="distributed"/>
  </si>
  <si>
    <t>毎日の学校生活を元気に過ごすことができた1学期でした。クラスの中心となって、授業開始の時間に間に合うように声をかけたり、掃除を一生懸命やったり、給食の準備や片付けでできていないところを率先して行ったりすることができました。才教生が目指す姿を日々体現しているように思います。これからも変わらぬ姿勢で頑張りましょう。学習面では、1学期に学習する内容を十分に習得することができました。授業でのノートの取り方が素晴らしく、学習に集中していることが伺えます。また、国語や算数だけでなく、すべての教科に一生懸命取り組むことができました。生活科では、ミニトマトの観察を丁寧に行い、実がどこにつくのかを詳しく記録に書くことができました。体育祭では、玉入れのリーダーとして、赤組の勝利に貢献することができました。的確なアドバイスを送るだけでなく、勝ちにこだわる姿勢がみんなに伝わったのではないかと思います。よく頑張りました。2学期のさいきょう商店街やさいきょう祭でも活躍することを期待しています。</t>
    <rPh sb="245" eb="249">
      <t>いっしょうけんめい</t>
    </rPh>
    <phoneticPr fontId="10" type="Hiragana" alignment="distributed"/>
  </si>
  <si>
    <t>毎日の学校生活を元気に過ごすことができました。朝はクラスで最初に登校し、素早く提出物を出し、状況を判断して着替えや授業の準備を済ますことができて素晴らしいです。後から来るみんなも心遥さんの様子を見て、何を準備すれば良いのか分かっているように思います。2年2組の朝の時間がスムーズなのは心遥さんのおかげです。自分で考えて行動できる姿をこれからも続けてください。学習面では、1学期に学習する内容を十分に習得することができました。どの教科もバランスよく学ぶことができています。自分の考えた答えが合わない時に悔しさを感じることがありましたが、答えが合わなかった時こそ、自分が成長できるチャンスです。どこを間違えたのかを見直し、次につなげることを意識しましょう。体育祭では、勝敗にこだわる才教生らしく、チームのために一生懸命取り組むことができました。2学期のさいきょう商店街やさいきょう祭でも全力で取り組み、成果を上げることを期待しています。</t>
    <rPh sb="171" eb="172">
      <t>つづ</t>
    </rPh>
    <rPh sb="332" eb="334">
      <t>しょうはい</t>
    </rPh>
    <phoneticPr fontId="10" type="Hiragana" alignment="distributed"/>
  </si>
  <si>
    <t>毎日明るく元気に過ごすことができた1学期でした。生活面では、黒板係として同じ係の子と協力して、授業が終わった後に忘れずに黒板を消しました。さらに次の授業に向けた準備も併せて行い、工夫を凝らした係活動をすることができました。時間を守ることへの意識も高く、授業の開始時間が遅れそうな時に、みんなに声をかけている姿もありました。学習面では、1学期に学習する内容を十分に習得することができました。国語や道徳で自分の意見を述べる時に、その思いや考えが泉のように溢れてきて、文章にすることができるのが育実さんの特筆すべき点です。生活科では、1年生への学校案内の振り返りで、自分は内気であるが、しっかりと1年生に話をできたと言うことを話しました。自分の頑張りを感じることができて良かったです。体育祭では、チームの勝利のために、競技だけでなく、応援にも力を入れました。必死な表情で応援する姿は、とても凛々しく、チームに力を与えることができました。2学期のさいきょう商店街やさいきょう祭でも全力で取り組みましょう。</t>
    <rPh sb="220" eb="221">
      <t>いずみ</t>
    </rPh>
    <rPh sb="332" eb="333">
      <t>よ</t>
    </rPh>
    <rPh sb="392" eb="394">
      <t>りり</t>
    </rPh>
    <phoneticPr fontId="10" type="Hiragana" alignment="distributed"/>
  </si>
  <si>
    <t>欠席18(体調不良17、通院1)早退2(体調不良2)</t>
    <rPh sb="0" eb="2">
      <t>ケッセキ</t>
    </rPh>
    <rPh sb="5" eb="9">
      <t>タイチョウフリョウ</t>
    </rPh>
    <rPh sb="12" eb="14">
      <t>ツウイン</t>
    </rPh>
    <rPh sb="16" eb="18">
      <t>ソウタイ</t>
    </rPh>
    <rPh sb="20" eb="24">
      <t>タイチョウフリョウ</t>
    </rPh>
    <phoneticPr fontId="1"/>
  </si>
  <si>
    <t>早退1(体調不良1)</t>
    <rPh sb="0" eb="2">
      <t>ソウタイ</t>
    </rPh>
    <rPh sb="4" eb="8">
      <t>タイチョウフリョウ</t>
    </rPh>
    <phoneticPr fontId="1"/>
  </si>
  <si>
    <t>欠席1(体調不良1)</t>
    <rPh sb="0" eb="2">
      <t>ケッセキ</t>
    </rPh>
    <rPh sb="4" eb="8">
      <t>タイチョウフリョウ</t>
    </rPh>
    <phoneticPr fontId="1"/>
  </si>
  <si>
    <t>欠席3(体調不良1、頭痛1、発熱1)早退1(家事都合1)</t>
    <rPh sb="0" eb="2">
      <t>ケッセキ</t>
    </rPh>
    <rPh sb="4" eb="8">
      <t>タイチョウフリョウ</t>
    </rPh>
    <rPh sb="10" eb="12">
      <t>ズツウ</t>
    </rPh>
    <rPh sb="14" eb="16">
      <t>ハツネツ</t>
    </rPh>
    <rPh sb="18" eb="20">
      <t>ソウタイ</t>
    </rPh>
    <rPh sb="22" eb="26">
      <t>カジツゴウ</t>
    </rPh>
    <phoneticPr fontId="1"/>
  </si>
  <si>
    <t>欠席1(通院1)</t>
    <rPh sb="0" eb="2">
      <t>ケッセキ</t>
    </rPh>
    <rPh sb="4" eb="6">
      <t>ツウイン</t>
    </rPh>
    <phoneticPr fontId="1"/>
  </si>
  <si>
    <t>欠席1(体調不良1)遅刻1(通院1)早退1(体調不良1)</t>
    <rPh sb="0" eb="2">
      <t>ケッセキ</t>
    </rPh>
    <rPh sb="4" eb="8">
      <t>タイチョウフリョウ</t>
    </rPh>
    <rPh sb="10" eb="12">
      <t>チコク</t>
    </rPh>
    <rPh sb="14" eb="16">
      <t>ツウイン</t>
    </rPh>
    <rPh sb="18" eb="20">
      <t>ソウタイ</t>
    </rPh>
    <rPh sb="22" eb="26">
      <t>タイチョウフリョウ</t>
    </rPh>
    <phoneticPr fontId="1"/>
  </si>
  <si>
    <t>欠席2(発熱1、腹痛1)</t>
    <rPh sb="0" eb="2">
      <t>ケッセキ</t>
    </rPh>
    <rPh sb="4" eb="6">
      <t>ハツネツ</t>
    </rPh>
    <rPh sb="8" eb="10">
      <t>フクツウ</t>
    </rPh>
    <phoneticPr fontId="1"/>
  </si>
  <si>
    <t>欠席1(腹痛1)</t>
    <rPh sb="0" eb="2">
      <t>ケッセキ</t>
    </rPh>
    <rPh sb="4" eb="6">
      <t>フクツウ</t>
    </rPh>
    <phoneticPr fontId="1"/>
  </si>
  <si>
    <t xml:space="preserve">1年時から、さらに学習面・生活面とも大きく成長し、学校生活を頑張っている場面を多く見ることができました。生活面では、4月当初、みんなよりも少し行動が遅れてしまうことがありましたが、全体に合わせて行動できるようになりました。学習面では、授業に集中できているときには、素晴らしい成果を上げることができています。体育の授業の後や午後の授業で、体力が続かず集中力が保てない時にどう頑張るかがこれからの課題です。休み時間を有効に使って、授業に集中できるようにしましょう。算数では、2桁のたし算やひき算の繰り上がりや繰り下がりの計算に最初苦労しましたが、計算練習をしていく中で正確に解くことができるようになりました。初めて習う内容の定着に時間がかかるように思いますが、学習が深まってくるとしっかりと理解することができて、応用問題にも十分に対応できています。これからも焦らずにじっくり取り組むことで学力を伸ばしましょう。まずは体調を整えて、2学期を元気に過ごせることを願っています。
</t>
    <rPh sb="1" eb="3">
      <t>ねんじ</t>
    </rPh>
    <rPh sb="9" eb="12">
      <t>がくしゅうめん</t>
    </rPh>
    <rPh sb="13" eb="16">
      <t>せいかつめん</t>
    </rPh>
    <rPh sb="18" eb="19">
      <t>おお</t>
    </rPh>
    <rPh sb="21" eb="23">
      <t>せいちょう</t>
    </rPh>
    <rPh sb="69" eb="70">
      <t>すこ</t>
    </rPh>
    <rPh sb="171" eb="172">
      <t>つづ</t>
    </rPh>
    <rPh sb="254" eb="255">
      <t>さ</t>
    </rPh>
    <phoneticPr fontId="10" type="Hiragana" alignment="distributed"/>
  </si>
  <si>
    <t>毎日の学校生活を元気いっぱいに過ごすことができました。休み時間になると、友達と一緒に校庭に行き、仲良く遊んでいる姿があり、友達との関係も深まっています。学習面では、国語・算数とも1学期に学習する内容を習得することができました。EEの語いテストでは、思うように成績を上げることができませんでした。日々の授業や音読練習を大切にしましょう。さらに学力を伸ばしていく上で、欠かせない事は丁寧に取り組む姿勢です。何でも素早く終える事はとても良いのですが、丁寧さに欠けてしまうことがあります。落ち着いて取り組むことによって、朝陽くんの能力がより一層磨かれるのではないかと思います。図工でも、躊躇なくどんどん活動を進めていくことができます。発想も豊かで色々と試しながら製作していますが、もう一工夫を意識するとより作品がレベルアップするでしょう。体育祭では、全力で競技に臨み、チームの勝利に向かって一生懸命頑張ることができました。2学期のさいきょう商店街やさいきょう祭でも、力を発揮してくれることを期待しています。</t>
    <rPh sb="116" eb="117">
      <t>ご</t>
    </rPh>
    <rPh sb="124" eb="125">
      <t>おも</t>
    </rPh>
    <rPh sb="129" eb="131">
      <t>せいせき</t>
    </rPh>
    <rPh sb="132" eb="133">
      <t>あ</t>
    </rPh>
    <rPh sb="147" eb="149">
      <t>ひび</t>
    </rPh>
    <rPh sb="150" eb="152">
      <t>じゅぎょう</t>
    </rPh>
    <rPh sb="153" eb="157">
      <t>おんどくれんしゅう</t>
    </rPh>
    <rPh sb="158" eb="160">
      <t>たいせつ</t>
    </rPh>
    <rPh sb="342" eb="344">
      <t>いしき</t>
    </rPh>
    <phoneticPr fontId="10" type="Hiragana" alignment="distributed"/>
  </si>
  <si>
    <t>毎日の学校生活を明るく元気に過ごすことができました。休み時間になると、友達と一緒に校庭に出かけて、時間いっぱいまで遊んでくる様子が見られました。友達との関係も良好で、みんなが壮真くんの周りに集まってきます。生活面では、ややマイペースなところもあり、周囲から遅れることもありますが、徐々に周りに合わせて行動することができるようになりました。学習面では、1学期に学習する内容を着実に習得することができました。一年生の時と比べて、漢字の学習がとてもスムーズにできているように思います。バランスの整った字を書くようになり、新しく学ぶ漢字をしっかり覚えることができました。家庭学習を丁寧に行っているところも素晴らしいです。引き続き頑張りましょう。体育祭では、チームの勝利に向かって一生懸命取り組むことができました。すべての競技で、勝負にこだわる才教生らしい姿を見ることができました。2学期のさいきょう商店街やさいきょう祭でも全力で取り組むことを期待しています。</t>
    <rPh sb="124" eb="126">
      <t>しゅうい</t>
    </rPh>
    <rPh sb="356" eb="358">
      <t>きょうぎ</t>
    </rPh>
    <rPh sb="360" eb="362">
      <t>しょうぶ</t>
    </rPh>
    <phoneticPr fontId="10" type="Hiragana" alignment="distributed"/>
  </si>
  <si>
    <t>毎日の学校生活を元気に明るく過ごすことができました。生活面では、周りと協力して、クラス全体のために行動することができました。学習面では、1学期に学習する内容を十分に習得することができました。国語では、漢字の学習にこだわりを持ち、細部にわたるまで字のバランスを意識して練習することができました。その高い意識をそのまま家庭学習にも生かせるようになると良いでしょう。授業中は、積極的に挙手発言して集中して学習できています。図工では、完成作品のイメージが高度すぎて、思うように作品が完成しないようです。試行錯誤を繰り返し、経験を積んでいくことで、自分の理想とする作品ができるようになるでしょう。粘り強く頑張りましょう。応援しています。体育祭では、赤組の玉入れリーダーとして活躍しました。練習を重ねるにつれて、勝利へのこだわりが出てきて、本番で玉入れに勝った後の1年生に向けた言葉は、みんなにとても勇気を与えるものでした。かっこいい先輩の姿を見せることができました。2学期も頑張りましょう。</t>
    <rPh sb="114" eb="116">
      <t>さいぶ</t>
    </rPh>
    <rPh sb="195" eb="197">
      <t>しゅうちゅう</t>
    </rPh>
    <rPh sb="199" eb="201">
      <t>がくしゅう</t>
    </rPh>
    <rPh sb="305" eb="307">
      <t>おうえん</t>
    </rPh>
    <phoneticPr fontId="10" type="Hiragana" alignment="distributed"/>
  </si>
  <si>
    <t>毎日の学校生活を明るく元気に過ごすことができました。生活面では、黒板係として同じ係の子と協力して、授業が終わった後に忘れずに黒板を消しました。さらに次の授業に向けた準備も併せて行い、工夫を凝らした係活動をすることができました。きちんとしているところだけでなく、ちょっとしたユーモアを持ち合わせているところも優衣奈さんらしくて微笑ましいです。また、給食の片付けができていないときには、誰に言われるでもなく、黙々と片付ける姿を見ることができました。そういう姿があるから、クラスのみんなから信頼を得ているのだと思います。学習面では、1学期に学習する内容を十分に習得することができました。漢字の学習や英語の復習など自主的に学習を進めて、学力の伸長に努めることができました。体育祭では、白組の玉入れリーダーとして活躍しました。本番で玉入れに勝つことができず、悔しい思いをしましたが、かけっこでは、昨年に続き、学年1位になることができました。チーム全体としても白組が勝ち、今年は笑顔いっぱいの体育祭になりました。</t>
    <rPh sb="141" eb="142">
      <t>も</t>
    </rPh>
    <rPh sb="143" eb="144">
      <t>あ</t>
    </rPh>
    <rPh sb="245" eb="246">
      <t>え</t>
    </rPh>
    <phoneticPr fontId="10" type="Hiragana" alignment="distributed"/>
  </si>
  <si>
    <t>欠席1(風邪1)</t>
    <rPh sb="0" eb="2">
      <t>ケッセキ</t>
    </rPh>
    <rPh sb="4" eb="6">
      <t>カゼ</t>
    </rPh>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</si>
  <si>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</si>
  <si>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</si>
  <si>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</si>
  <si>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</si>
  <si>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図工への関心を持ち、楽しく制作に取り組んでいる</t>
    <phoneticPr fontId="1"/>
  </si>
  <si>
    <t>豊かな発想を持ち自由に表現することができる</t>
    <phoneticPr fontId="1"/>
  </si>
  <si>
    <t>つくりたいもののイメージを持ち、それに向かって制作することができる</t>
    <phoneticPr fontId="1"/>
  </si>
  <si>
    <t>自分や友達の作品から良さや面白さ、美しさを感じとることができる</t>
    <phoneticPr fontId="1"/>
  </si>
  <si>
    <t>お化けや幽霊、虫や蛇といったものに興味があり、作品に必ず登場させています。【でんしゃでGO！】でも終点にはお化け屋敷をつくっていました。鑑賞の能力を伸ばし、そろそろ他のものにも興味がもてるように、教員の方からも声を掛けていこうと思います。</t>
    <phoneticPr fontId="1"/>
  </si>
  <si>
    <t>ひらめいたことやつくった作品についてなど、思いの丈をたくさん話してくれます。基本的に楽しく活動していますが、材料や道具を必要以上に手元に確保する癖があるため、友達からかなりきつめに注意される姿が見られました。</t>
    <phoneticPr fontId="1"/>
  </si>
  <si>
    <t>2年生になってから、いろいろな表現方法を試しています。電車の車両は、どの面にも拘った飾りを施していました。集中力が高くなったと感じます。</t>
    <phoneticPr fontId="1"/>
  </si>
  <si>
    <t>使ったことがある材料だと、つくりたい作品のイメージも湧きやすくどんどん製作することができます。新しい材料になると、完成作品のイメージが高度すぎて、試行してもなかなか進まず、困惑している姿が見られました。</t>
    <phoneticPr fontId="1"/>
  </si>
  <si>
    <t>150～200</t>
    <phoneticPr fontId="10" type="Hiragana" alignment="distributed"/>
  </si>
  <si>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自分の好きなことやよいこととして、「絵を描くこと」「そうじが上手いこと」「バイオリン」などいくつも挙げました。これからも自分の長所を磨いて、その力を誰かのために活かせるようにしましょう。</t>
    <phoneticPr fontId="1"/>
  </si>
  <si>
    <t>泥だんごをめぐってけんかをしたが、その後仲直りした「ぼく」と「しんご」のやりとりなどを通して、友達と仲よくするために大切なことは何かについて考えさせ、けんかをしても、友達と仲直りしようとする判断力を育てる「けんかをしたけど」という単元では、「わざとじゃないもん」と言い返したすぐ後に、ごめんねを言えばよかったと考えました。自分が悪かったことに対して、すぐに謝ろうとすることが大切だと学びました。</t>
    <phoneticPr fontId="1"/>
  </si>
  <si>
    <t>町の様子が描かれている絵などを通して、きまりをどうして守らなければならないかについて考えさせ、きまりをしっかり守ろうとする判断力を育てる「どうしてきまりがあるのかな」という単元では、絵の中で危ないと思われる箇所を指摘した上で、きまりを守れていない人は、自分のことしか考えず、他の人が困っていることに気づかない人だと述べました。これからもきまりを守って、安全にくらすことを大切にしましょう。</t>
    <phoneticPr fontId="1"/>
  </si>
  <si>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自分の好きなことやよいこととして、「漢字を書くこと」「絵が上手なこと」「バレーボール」などいくつも挙げました。これからも自分の長所を磨いて、その力を誰かのために活かせるようにしましょう。</t>
    <phoneticPr fontId="1"/>
  </si>
  <si>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お母さんの手伝いをすることや、人を助けることが自分のよいところだと述べました。これからも自分のよいところを伸ばして、誰かの幸せのために活かしましょう。</t>
    <phoneticPr fontId="1"/>
  </si>
  <si>
    <t>この項目は適宜変更して下さい。
※注意※
ただし、項目数は１０個まで。仮に少ない場合も行の削除は絶対に行わないで下さい。</t>
    <phoneticPr fontId="1"/>
  </si>
  <si>
    <t>A</t>
    <phoneticPr fontId="1"/>
  </si>
  <si>
    <t>B</t>
    <phoneticPr fontId="1"/>
  </si>
  <si>
    <t>B</t>
    <phoneticPr fontId="1"/>
  </si>
  <si>
    <t>A</t>
    <phoneticPr fontId="1"/>
  </si>
  <si>
    <t>A</t>
    <phoneticPr fontId="1"/>
  </si>
  <si>
    <t>A</t>
    <phoneticPr fontId="1"/>
  </si>
  <si>
    <t>A</t>
    <phoneticPr fontId="1"/>
  </si>
  <si>
    <t>A</t>
    <phoneticPr fontId="1"/>
  </si>
  <si>
    <t>A</t>
    <phoneticPr fontId="1"/>
  </si>
  <si>
    <t>B</t>
    <phoneticPr fontId="1"/>
  </si>
  <si>
    <t>A</t>
    <phoneticPr fontId="1"/>
  </si>
  <si>
    <t>B</t>
    <phoneticPr fontId="1"/>
  </si>
  <si>
    <t>B</t>
    <phoneticPr fontId="1"/>
  </si>
  <si>
    <t>B</t>
    <phoneticPr fontId="1"/>
  </si>
  <si>
    <t>A</t>
    <phoneticPr fontId="1"/>
  </si>
  <si>
    <t>A</t>
    <phoneticPr fontId="1"/>
  </si>
  <si>
    <t>A</t>
    <phoneticPr fontId="1"/>
  </si>
  <si>
    <t>B</t>
    <phoneticPr fontId="1"/>
  </si>
  <si>
    <t>C</t>
    <phoneticPr fontId="1"/>
  </si>
  <si>
    <t>A</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</si>
  <si>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</si>
  <si>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</si>
  <si>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</si>
  <si>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</si>
  <si>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</si>
  <si>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この項目は適宜変更して下さい。
※注意※
ただし、項目数は１０個まで。仮に少ない場合も行の削除は絶対に行わないで下さい。</t>
    <phoneticPr fontId="1"/>
  </si>
  <si>
    <t>A</t>
    <phoneticPr fontId="1"/>
  </si>
  <si>
    <t>A</t>
    <phoneticPr fontId="1"/>
  </si>
  <si>
    <t>この項目は適宜変更して下さい。
※注意※
ただし、項目数は１０個まで。仮に少ない場合も行の削除は絶対に行わないで下さい。</t>
    <phoneticPr fontId="1"/>
  </si>
  <si>
    <t>A</t>
    <phoneticPr fontId="1"/>
  </si>
  <si>
    <t>-</t>
    <phoneticPr fontId="1"/>
  </si>
  <si>
    <t>C</t>
    <phoneticPr fontId="1"/>
  </si>
  <si>
    <t>B</t>
    <phoneticPr fontId="1"/>
  </si>
  <si>
    <t>A</t>
    <phoneticPr fontId="1"/>
  </si>
  <si>
    <t>-</t>
    <phoneticPr fontId="1"/>
  </si>
  <si>
    <t>最初の段階で上手くイメージができなかったり、つくっていて思うようにいかなかったりするときに、不貞腐れて泣く場面が見られました。徐々に自分の中で解決し、最後は楽しく終わらせることができるようになりました。</t>
    <phoneticPr fontId="1"/>
  </si>
  <si>
    <t>勢いよく製作しています。助言したことはしっかりと取り組めるため、もう少し落ち着いて作品がつくれると質が上がってくるように思います。</t>
    <phoneticPr fontId="1"/>
  </si>
  <si>
    <t>何をつくるか迷う時間が少なくなりました。【でんしゃでGO！】では、積極的に線路をつくっていました。台、椅子、床と段差を上手く生かし、電車がスムーズに走れるように工夫していました。</t>
    <phoneticPr fontId="1"/>
  </si>
  <si>
    <t>躊躇なくどんどん活動を進めていくことができます。たくさん楽しい発想ができるため、色々と試しながら製作しています。パッとつくれてしまうため、もう一工夫できると、より作品がレベルアップできるのではないかと感じます。</t>
    <phoneticPr fontId="1"/>
  </si>
  <si>
    <t>どの作品も丁寧につくることができました。集中できる環境にしようと、積極的に友達に声を掛けているところが見られました。陶芸の【お好み焼き】では、かわいいウサギをつくっていました。</t>
    <phoneticPr fontId="1"/>
  </si>
  <si>
    <t>手順をしっかりと理解して製作することができます。時間が掛かりますが、丁寧に作品を仕上げていました。今後は時間を意識しながら製作できると、最後に焦ることがないのではないかと思います。</t>
    <phoneticPr fontId="1"/>
  </si>
  <si>
    <t>楽しく作品をつくっています。ダイナミックな作品をつくることが得意です。陶芸の【お好み焼き】では、動きをつけた大きなドラゴンをつくっていました。</t>
    <phoneticPr fontId="1"/>
  </si>
  <si>
    <t>自分の思いをしっかりと表現することができます。【でんしゃでGO！】では、車両づくりにとても時間を掛けていました。座席をつくったり、窓にカラーセロファンを貼ったりして、納得いくまで製作する姿が見られました。</t>
    <phoneticPr fontId="1"/>
  </si>
  <si>
    <t>うさぎが好きで、どの作品にもモチーフとして登場します。陶芸でも、かわいいうさぎの周りに花をつくり、ほのぼのとした作品に仕上げていました。完成度の高い作品を仕上げることができます。</t>
    <phoneticPr fontId="1"/>
  </si>
  <si>
    <t>この項目は適宜変更して下さい。
※注意※
ただし、項目数は１０個まで。仮に少ない場合も行の削除は絶対に行わないで下さい。</t>
    <phoneticPr fontId="1"/>
  </si>
  <si>
    <t>B</t>
    <phoneticPr fontId="1"/>
  </si>
  <si>
    <t>B</t>
    <phoneticPr fontId="1"/>
  </si>
  <si>
    <t>A</t>
    <phoneticPr fontId="1"/>
  </si>
  <si>
    <t>タイミングを合わせたバトンパスができる（リレー）</t>
    <phoneticPr fontId="1"/>
  </si>
  <si>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好きなことや得意なことがいっぱいある千茅くんらしくたくさん列挙しました。今回学んだ吉澤さんの生き方を参考にして、長所を伸ばし、人に活かせるようになりましょう。</t>
    <phoneticPr fontId="1"/>
  </si>
  <si>
    <t>泥だんごをめぐってけんかをしたが、その後仲直りした「ぼく」と「しんご」のやりとりなどを通して、友達と仲よくするために大切なことは何かについて考えさせ、けんかをしても、友達と仲直りしようとする判断力を育てる「けんかをしたけど」という単元では、ケンカをしてしまった後、しんごくんに自分から話しかけて、ごめんねを言おうと思ったと考えました。自分から声をかけて謝ることができる勇気を大切にしましょう。</t>
    <phoneticPr fontId="1"/>
  </si>
  <si>
    <t>泥だんごをめぐってけんかをしたが、その後仲直りした「ぼく」と「しんご」のやりとりなどを通して、友達と仲よくするために大切なことは何かについて考えさせ、けんかをしても、友達と仲直りしようとする判断力を育てる「けんかをしたけど」という単元では、言い返した時も、けんかをしたことを後悔した時も、「ぼく」の気持ちとして、謝った方がいいと述べました。謝ることから仲直りができることを学びました。</t>
    <phoneticPr fontId="1"/>
  </si>
  <si>
    <t>泥だんごをめぐってけんかをしたが、その後仲直りした「ぼく」と「しんご」のやりとりなどを通して、友達と仲よくするために大切なことは何かについて考えさせ、けんかをしても、友達と仲直りしようとする判断力を育てる「けんかをしたけど」という単元では、「ぼく」の気持ちになって、「ぼくの方が悪かったかな」「ぜったいにごめんねを言おう」と考えました。自分から謝ることから友達と仲直りが進むことを学びました。</t>
    <phoneticPr fontId="1"/>
  </si>
  <si>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自分の好きなことや長所をたくさん列挙して、自分のことを客観的に見られていることが分かりました。これからも自分の長所を磨いて、高めた力をさらに誰かのために活かせるようにしましょう。</t>
    <phoneticPr fontId="1"/>
  </si>
  <si>
    <t>自分の学校を紹介する「わたし」の姿などを通して、自分たちの学校のいいところはどんなところかを考えさせ、学校や学級に愛着を持ち、みんなで楽しい生活をしようとする心情を育てる「しょうかいします」という単元では、才教学園の紹介したいこととして、先輩が格好良くて優しいところを一番に挙げました。これから学年を重ねていく時に、自分が先輩として格好良い姿を見せられるようになりましょう。</t>
    <phoneticPr fontId="1"/>
  </si>
  <si>
    <t>泥だんごをめぐってけんかをしたが、その後仲直りした「ぼく」と「しんご」のやりとりなどを通して、友達と仲よくするために大切なことは何かを考えさせ、けんかをしても、友達と仲直りしようとする判断力を育てる「けんかをしたけど」という単元では、「ぼく」の気持ちになって、「言い返しちゃった。ごめんねって言えばよかった」「ごめんねって言ってみよう」と考えました。自分から謝ることから仲直りが進むことを学びました。</t>
    <phoneticPr fontId="1"/>
  </si>
  <si>
    <t>B</t>
    <phoneticPr fontId="10" type="Hiragana" alignment="distributed"/>
  </si>
  <si>
    <t>A</t>
    <phoneticPr fontId="10" type="Hiragana" alignment="distributed"/>
  </si>
  <si>
    <t>A</t>
    <phoneticPr fontId="10" type="Hiragana" alignment="distributed"/>
  </si>
  <si>
    <t>B</t>
    <phoneticPr fontId="10" type="Hiragana" alignment="distributed"/>
  </si>
  <si>
    <t>B</t>
    <phoneticPr fontId="1"/>
  </si>
  <si>
    <t>お便り係</t>
    <phoneticPr fontId="10" type="Hiragana" alignment="distributed"/>
  </si>
  <si>
    <t>総合所見</t>
    <phoneticPr fontId="1"/>
  </si>
  <si>
    <t>400～450</t>
    <phoneticPr fontId="10" type="Hiragana" alignment="distributed"/>
  </si>
  <si>
    <t>毎日の学校生活を明るく元気に過ごすことができました。休み時間になると、友達と楽しく過ごしている様子があります。笑顔いっぱいでみんなと話をしている姿を見ると、楽しく学校生活を送っているんだなと感じます。授業時間と休み時間のメリハリもついていて、とても良いです。生活面では、自分の事だけではなく、クラス全体のために行動することができています。また、姿勢よく話をしっかり聞くことによって、指示通りに行動できる点も素晴らしいです。学習面では、1学期に学習する内容を十分に習得することができました。国語では、漢字の学習での頑張りが特筆すべき点です。バランスの整った美しい字で毎日の漢字練習を行いました。これからも続けて頑張りましょう。算数では、確実な計算力とじっくり考える力を身に付けることができました。体育祭では、チームの勝利に向かって、一生懸命取り組むことができました。2学期のさいきょう商店街やさいきょう祭でも、何事にも真剣に取り組む美佑さんの力を発揮してくれることを楽しみにしています。</t>
    <phoneticPr fontId="10" type="Hiragana" alignment="distributed"/>
  </si>
  <si>
    <t xml:space="preserve"> 出席日数（自動計算）</t>
    <phoneticPr fontId="1"/>
  </si>
  <si>
    <t xml:space="preserve"> 欠席日数</t>
    <phoneticPr fontId="1"/>
  </si>
  <si>
    <t>欠席3(頭痛1、発熱1、家事都合1)遅刻4(腹痛2、通院1、家事都合1)早退2(体調不良2)</t>
    <rPh sb="0" eb="2">
      <t>ケッセキ</t>
    </rPh>
    <rPh sb="4" eb="6">
      <t>ズツウ</t>
    </rPh>
    <rPh sb="8" eb="10">
      <t>ハツネツ</t>
    </rPh>
    <rPh sb="12" eb="16">
      <t>カジツゴウ</t>
    </rPh>
    <rPh sb="18" eb="20">
      <t>チコク</t>
    </rPh>
    <rPh sb="22" eb="24">
      <t>フクツウ</t>
    </rPh>
    <rPh sb="26" eb="28">
      <t>ツウイン</t>
    </rPh>
    <rPh sb="30" eb="34">
      <t>カジツゴウ</t>
    </rPh>
    <rPh sb="36" eb="38">
      <t>ソウタイ</t>
    </rPh>
    <rPh sb="40" eb="44">
      <t>タイチョウフリョウ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</si>
</sst>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b/>
      <sz val="12"/>
      <color theme="0"/>
      <name val="ＭＳ Ｐ明朝"/>
      <family val="1"/>
      <charset val="128"/>
    </font>
    <font>
      <sz val="11"/>
      <color theme="1"/>
      <name val="ＭＳ Ｐ明朝"/>
      <family val="1"/>
      <charset val="128"/>
    </font>
    <font>
      <sz val="11"/>
      <color rgb="FF222222"/>
      <name val="ＭＳ 明朝"/>
      <family val="1"/>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90">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1" fillId="7" borderId="14" xfId="0" applyNumberFormat="1" applyFont="1" applyFill="1" applyBorder="1" applyAlignment="1">
      <alignment horizontal="center" vertical="center"/>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protection locked="0"/>
    </xf>
    <xf numFmtId="0" fontId="3" fillId="3" borderId="14" xfId="0" applyFont="1" applyFill="1" applyBorder="1" applyAlignment="1" applyProtection="1">
      <alignment horizontal="left" vertical="center"/>
    </xf>
    <xf numFmtId="0" fontId="2" fillId="0" borderId="14" xfId="0" applyFont="1" applyFill="1" applyBorder="1" applyProtection="1">
      <alignment vertical="center"/>
      <protection locked="0"/>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3" fillId="0" borderId="14" xfId="0" applyFont="1" applyFill="1" applyBorder="1" applyAlignment="1">
      <alignment horizontal="right" vertical="center"/>
    </xf>
    <xf numFmtId="0" fontId="15"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3" fillId="0" borderId="14" xfId="0" applyFont="1" applyFill="1" applyBorder="1" applyAlignment="1" applyProtection="1">
      <alignment horizontal="center" vertical="center"/>
      <protection locked="0"/>
    </xf>
    <xf numFmtId="0" fontId="3" fillId="0" borderId="30" xfId="0" applyFont="1" applyBorder="1" applyAlignment="1" applyProtection="1">
      <alignment vertical="center" wrapText="1" shrinkToFit="1"/>
      <protection locked="0"/>
    </xf>
    <xf numFmtId="0" fontId="2" fillId="0" borderId="14"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16" fillId="0" borderId="14" xfId="0" applyFont="1" applyBorder="1" applyProtection="1">
      <alignment vertical="center"/>
      <protection locked="0"/>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9"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16" fillId="0" borderId="14" xfId="0" applyFont="1" applyBorder="1" applyAlignment="1" applyProtection="1">
      <alignment vertical="center" wrapText="1"/>
      <protection locked="0"/>
    </xf>
    <xf numFmtId="0" fontId="17" fillId="0" borderId="14" xfId="0" applyFont="1" applyBorder="1" applyAlignment="1" applyProtection="1">
      <alignment horizontal="left" vertical="center" wrapText="1"/>
      <protection locked="0"/>
    </xf>
    <xf numFmtId="0" fontId="17" fillId="0" borderId="14" xfId="0" applyFont="1" applyBorder="1" applyAlignment="1" applyProtection="1">
      <alignment vertical="center" wrapText="1"/>
      <protection locked="0"/>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16"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24" xfId="0" applyFont="1" applyFill="1" applyBorder="1" applyAlignment="1">
      <alignment horizontal="left" vertical="center"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16">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L9" sqref="L9"/>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39" t="str">
        <f ca="1">MID(CELL("filename",A1),FIND("[",CELL("filename",A1))+1,3)</f>
        <v>２－２</v>
      </c>
      <c r="B1" s="139"/>
      <c r="C1" s="140" t="str">
        <f ca="1">RIGHT(LEFT(CELL("filename",A1),FIND("[",CELL("filename",A1))-2),3)</f>
        <v>1学期</v>
      </c>
      <c r="D1" s="140"/>
      <c r="E1" s="140"/>
      <c r="F1" s="140"/>
      <c r="G1" s="140"/>
      <c r="H1" s="5"/>
      <c r="I1" s="5"/>
    </row>
    <row r="2" spans="1:17" ht="18.75" customHeight="1">
      <c r="A2" s="2" t="s">
        <v>19</v>
      </c>
      <c r="B2" s="1">
        <v>2</v>
      </c>
      <c r="F2" s="4" t="s">
        <v>18</v>
      </c>
      <c r="G2" s="141" t="str">
        <f ca="1">INDIRECT("'所見'!A"&amp;12+$B$2)</f>
        <v>今井 千紗都</v>
      </c>
      <c r="H2" s="141"/>
      <c r="I2" s="141"/>
    </row>
    <row r="3" spans="1:17" ht="12" customHeight="1">
      <c r="C3" s="9"/>
      <c r="D3" s="9"/>
      <c r="E3" s="9"/>
      <c r="F3" s="9"/>
      <c r="G3" s="9"/>
      <c r="H3" s="9"/>
      <c r="I3" s="9"/>
    </row>
    <row r="4" spans="1:17" ht="18.75" customHeight="1">
      <c r="A4" s="110" t="s">
        <v>20</v>
      </c>
      <c r="B4" s="111"/>
      <c r="C4" s="111"/>
      <c r="D4" s="111"/>
      <c r="E4" s="111"/>
      <c r="F4" s="111"/>
      <c r="G4" s="111"/>
      <c r="H4" s="111"/>
      <c r="I4" s="112"/>
    </row>
    <row r="5" spans="1:17" ht="18.75" customHeight="1">
      <c r="A5" s="19" t="s">
        <v>5</v>
      </c>
      <c r="B5" s="147" t="s">
        <v>6</v>
      </c>
      <c r="C5" s="147"/>
      <c r="D5" s="147"/>
      <c r="E5" s="147"/>
      <c r="F5" s="147"/>
      <c r="G5" s="20" t="s">
        <v>7</v>
      </c>
      <c r="H5" s="147" t="s">
        <v>8</v>
      </c>
      <c r="I5" s="148"/>
      <c r="Q5" s="74">
        <v>33</v>
      </c>
    </row>
    <row r="6" spans="1:17" ht="18.75" customHeight="1" thickBot="1">
      <c r="A6" s="119" t="s">
        <v>9</v>
      </c>
      <c r="B6" s="122" t="str">
        <f>国語!B2</f>
        <v>国語に関心を持ち、進んで読んだり、書いたりすることができる</v>
      </c>
      <c r="C6" s="123"/>
      <c r="D6" s="123"/>
      <c r="E6" s="123"/>
      <c r="F6" s="124"/>
      <c r="G6" s="21" t="str">
        <f ca="1">OFFSET(国語!C2,0,$B$2)</f>
        <v>B</v>
      </c>
      <c r="H6" s="125">
        <f ca="1">OFFSET(国語!C12,0,$B$2)</f>
        <v>4</v>
      </c>
      <c r="I6" s="126"/>
      <c r="O6" s="8">
        <v>1</v>
      </c>
      <c r="P6" s="60" t="str">
        <f ca="1">INDIRECT("'出欠'!A"&amp;9+O6)</f>
        <v>赤羽 咲良</v>
      </c>
    </row>
    <row r="7" spans="1:17" ht="18.75" customHeight="1" thickBot="1">
      <c r="A7" s="120"/>
      <c r="B7" s="118" t="str">
        <f>国語!B3</f>
        <v>語のまとまりや言葉の響きなどに気をつけて音読や発表をすることができる</v>
      </c>
      <c r="C7" s="114"/>
      <c r="D7" s="114"/>
      <c r="E7" s="114"/>
      <c r="F7" s="115"/>
      <c r="G7" s="17" t="str">
        <f ca="1">OFFSET(国語!C3,0,$B$2)</f>
        <v>A</v>
      </c>
      <c r="H7" s="127"/>
      <c r="I7" s="128"/>
      <c r="K7" s="142" t="s">
        <v>41</v>
      </c>
      <c r="L7" s="143"/>
      <c r="O7" s="8">
        <v>2</v>
      </c>
      <c r="P7" s="60" t="str">
        <f t="shared" ref="P7:P30" ca="1" si="0">INDIRECT("'出欠'!A"&amp;9+O7)</f>
        <v>今井 千紗都</v>
      </c>
    </row>
    <row r="8" spans="1:17" ht="18.75" customHeight="1" thickBot="1">
      <c r="A8" s="120"/>
      <c r="B8" s="118" t="str">
        <f>国語!B4</f>
        <v>大事なことを落とさないように聞いたり話したりすることができる</v>
      </c>
      <c r="C8" s="114"/>
      <c r="D8" s="114"/>
      <c r="E8" s="114"/>
      <c r="F8" s="115"/>
      <c r="G8" s="17" t="str">
        <f ca="1">OFFSET(国語!C4,0,$B$2)</f>
        <v>B</v>
      </c>
      <c r="H8" s="127"/>
      <c r="I8" s="128"/>
      <c r="K8" s="59" t="s">
        <v>42</v>
      </c>
      <c r="L8" s="59" t="s">
        <v>43</v>
      </c>
      <c r="O8" s="8">
        <v>3</v>
      </c>
      <c r="P8" s="60" t="str">
        <f t="shared" ca="1" si="0"/>
        <v>上島 千茅</v>
      </c>
    </row>
    <row r="9" spans="1:17" ht="18.75" customHeight="1" thickBot="1">
      <c r="A9" s="120"/>
      <c r="B9" s="118" t="str">
        <f>国語!B5</f>
        <v>観察したことを記録する文章を書いたり、組み立てを考えて文章を書いたりすることができる</v>
      </c>
      <c r="C9" s="114"/>
      <c r="D9" s="114"/>
      <c r="E9" s="114"/>
      <c r="F9" s="115"/>
      <c r="G9" s="17" t="str">
        <f ca="1">OFFSET(国語!C5,0,$B$2)</f>
        <v>A</v>
      </c>
      <c r="H9" s="127"/>
      <c r="I9" s="128"/>
      <c r="K9" s="58">
        <v>1</v>
      </c>
      <c r="L9" s="58">
        <v>1</v>
      </c>
      <c r="O9" s="8">
        <v>4</v>
      </c>
      <c r="P9" s="60" t="str">
        <f t="shared" ca="1" si="0"/>
        <v>小林 朋桃</v>
      </c>
    </row>
    <row r="10" spans="1:17" ht="18.75" customHeight="1">
      <c r="A10" s="120"/>
      <c r="B10" s="118" t="str">
        <f>国語!B6</f>
        <v>物語文を読んで、場面の様子を想像したり、内容を読み取ったりすることができる</v>
      </c>
      <c r="C10" s="114"/>
      <c r="D10" s="114"/>
      <c r="E10" s="114"/>
      <c r="F10" s="115"/>
      <c r="G10" s="17" t="str">
        <f ca="1">OFFSET(国語!C6,0,$B$2)</f>
        <v>A</v>
      </c>
      <c r="H10" s="127"/>
      <c r="I10" s="128"/>
      <c r="O10" s="8">
        <v>5</v>
      </c>
      <c r="P10" s="60" t="str">
        <f t="shared" ca="1" si="0"/>
        <v>小森 朝陽</v>
      </c>
    </row>
    <row r="11" spans="1:17" ht="18.75" customHeight="1">
      <c r="A11" s="120"/>
      <c r="B11" s="118" t="str">
        <f>国語!B7</f>
        <v>説明文の内容を、順を追って整理したり、理解したりすることができる</v>
      </c>
      <c r="C11" s="114"/>
      <c r="D11" s="114"/>
      <c r="E11" s="114"/>
      <c r="F11" s="115"/>
      <c r="G11" s="17" t="str">
        <f ca="1">OFFSET(国語!C7,0,$B$2)</f>
        <v>A</v>
      </c>
      <c r="H11" s="127"/>
      <c r="I11" s="128"/>
      <c r="O11" s="8">
        <v>6</v>
      </c>
      <c r="P11" s="60" t="str">
        <f t="shared" ca="1" si="0"/>
        <v>佐野 望結</v>
      </c>
    </row>
    <row r="12" spans="1:17" ht="18.75" customHeight="1">
      <c r="A12" s="120"/>
      <c r="B12" s="118" t="str">
        <f>国語!B8</f>
        <v>学習した漢字を読んだり書いたりすることができる</v>
      </c>
      <c r="C12" s="114"/>
      <c r="D12" s="114"/>
      <c r="E12" s="114"/>
      <c r="F12" s="115"/>
      <c r="G12" s="17" t="str">
        <f ca="1">OFFSET(国語!C8,0,$B$2)</f>
        <v>B</v>
      </c>
      <c r="H12" s="127"/>
      <c r="I12" s="128"/>
      <c r="O12" s="8">
        <v>7</v>
      </c>
      <c r="P12" s="60" t="str">
        <f t="shared" ca="1" si="0"/>
        <v>西村 友李</v>
      </c>
    </row>
    <row r="13" spans="1:17" ht="18.75" customHeight="1">
      <c r="A13" s="120"/>
      <c r="B13" s="118" t="str">
        <f>国語!B9</f>
        <v>漢字の同じ部分に着目したり、丸、点、かぎの使い方を理解したりすることができる</v>
      </c>
      <c r="C13" s="114"/>
      <c r="D13" s="114"/>
      <c r="E13" s="114"/>
      <c r="F13" s="115"/>
      <c r="G13" s="17" t="str">
        <f ca="1">OFFSET(国語!C9,0,$B$2)</f>
        <v>A</v>
      </c>
      <c r="H13" s="127"/>
      <c r="I13" s="128"/>
      <c r="O13" s="8">
        <v>8</v>
      </c>
      <c r="P13" s="60" t="str">
        <f t="shared" ca="1" si="0"/>
        <v>林 美佑</v>
      </c>
    </row>
    <row r="14" spans="1:17" ht="18.75" customHeight="1">
      <c r="A14" s="120"/>
      <c r="B14" s="118" t="str">
        <f>国語!B10</f>
        <v>学習した漢字や平仮名を、形に注意しながら丁寧に書くことができる</v>
      </c>
      <c r="C14" s="114"/>
      <c r="D14" s="114"/>
      <c r="E14" s="114"/>
      <c r="F14" s="115"/>
      <c r="G14" s="17" t="str">
        <f ca="1">OFFSET(国語!C10,0,$B$2)</f>
        <v>B</v>
      </c>
      <c r="H14" s="127"/>
      <c r="I14" s="128"/>
      <c r="O14" s="8">
        <v>9</v>
      </c>
      <c r="P14" s="60">
        <f t="shared" ca="1" si="0"/>
        <v>0</v>
      </c>
    </row>
    <row r="15" spans="1:17" ht="18.75" customHeight="1">
      <c r="A15" s="121"/>
      <c r="B15" s="118">
        <f>国語!B11</f>
        <v>0</v>
      </c>
      <c r="C15" s="114"/>
      <c r="D15" s="114"/>
      <c r="E15" s="114"/>
      <c r="F15" s="115"/>
      <c r="G15" s="18">
        <f ca="1">OFFSET(国語!C11,0,$B$2)</f>
        <v>0</v>
      </c>
      <c r="H15" s="127"/>
      <c r="I15" s="128"/>
      <c r="O15" s="8">
        <v>10</v>
      </c>
      <c r="P15" s="60" t="str">
        <f t="shared" ca="1" si="0"/>
        <v>樋沢 壮真</v>
      </c>
    </row>
    <row r="16" spans="1:17" ht="18.75" customHeight="1">
      <c r="A16" s="119" t="s">
        <v>1</v>
      </c>
      <c r="B16" s="122" t="str">
        <f>算数!B2</f>
        <v>算数に関心を持ち、進んで学習に取り組むことができる</v>
      </c>
      <c r="C16" s="123"/>
      <c r="D16" s="123"/>
      <c r="E16" s="123"/>
      <c r="F16" s="124"/>
      <c r="G16" s="21" t="str">
        <f ca="1">OFFSET(算数!C2,0,$B$2)</f>
        <v>B</v>
      </c>
      <c r="H16" s="125">
        <f ca="1">OFFSET(算数!C12,0,$B$2)</f>
        <v>5</v>
      </c>
      <c r="I16" s="126"/>
      <c r="O16" s="8">
        <v>11</v>
      </c>
      <c r="P16" s="60" t="str">
        <f t="shared" ca="1" si="0"/>
        <v>堀内 心遥</v>
      </c>
    </row>
    <row r="17" spans="1:16" ht="18.75" customHeight="1">
      <c r="A17" s="120"/>
      <c r="B17" s="118" t="str">
        <f>算数!B3</f>
        <v>簡単な事柄を整理して、表やグラフに表したり、読んだりすることができる</v>
      </c>
      <c r="C17" s="114"/>
      <c r="D17" s="114"/>
      <c r="E17" s="114"/>
      <c r="F17" s="115"/>
      <c r="G17" s="17" t="str">
        <f ca="1">OFFSET(算数!C3,0,$B$2)</f>
        <v>A</v>
      </c>
      <c r="H17" s="127"/>
      <c r="I17" s="128"/>
      <c r="L17" s="30"/>
      <c r="M17" s="30"/>
      <c r="O17" s="8">
        <v>12</v>
      </c>
      <c r="P17" s="60" t="str">
        <f t="shared" ca="1" si="0"/>
        <v>南澤 育実</v>
      </c>
    </row>
    <row r="18" spans="1:16" ht="18.75" customHeight="1">
      <c r="A18" s="120"/>
      <c r="B18" s="118" t="str">
        <f>算数!B4</f>
        <v>２けたの数のたし算を、筆算を使って計算することができる</v>
      </c>
      <c r="C18" s="114"/>
      <c r="D18" s="114"/>
      <c r="E18" s="114"/>
      <c r="F18" s="115"/>
      <c r="G18" s="17" t="str">
        <f ca="1">OFFSET(算数!C4,0,$B$2)</f>
        <v>A</v>
      </c>
      <c r="H18" s="127"/>
      <c r="I18" s="128"/>
      <c r="L18" s="30"/>
      <c r="M18" s="30"/>
      <c r="O18" s="8">
        <v>13</v>
      </c>
      <c r="P18" s="60" t="str">
        <f t="shared" ca="1" si="0"/>
        <v>山野 健斗</v>
      </c>
    </row>
    <row r="19" spans="1:16" ht="18.75" customHeight="1">
      <c r="A19" s="120"/>
      <c r="B19" s="118" t="str">
        <f>算数!B5</f>
        <v>２けたの数のひき算を、筆算を使って計算することができる</v>
      </c>
      <c r="C19" s="114"/>
      <c r="D19" s="114"/>
      <c r="E19" s="114"/>
      <c r="F19" s="115"/>
      <c r="G19" s="17" t="str">
        <f ca="1">OFFSET(算数!C5,0,$B$2)</f>
        <v>A</v>
      </c>
      <c r="H19" s="127"/>
      <c r="I19" s="128"/>
      <c r="L19" s="75">
        <f>番号</f>
        <v>2</v>
      </c>
      <c r="M19" s="30"/>
      <c r="O19" s="8">
        <v>14</v>
      </c>
      <c r="P19" s="60" t="str">
        <f t="shared" ca="1" si="0"/>
        <v>若松 優衣奈</v>
      </c>
    </row>
    <row r="20" spans="1:16" ht="18.75" customHeight="1">
      <c r="A20" s="120"/>
      <c r="B20" s="118" t="str">
        <f>算数!B6</f>
        <v>問題を読み、式や図を書いて解き方を示し、文章題を正しく解くことができる</v>
      </c>
      <c r="C20" s="114"/>
      <c r="D20" s="114"/>
      <c r="E20" s="114"/>
      <c r="F20" s="115"/>
      <c r="G20" s="17" t="str">
        <f ca="1">OFFSET(算数!C6,0,$B$2)</f>
        <v>A</v>
      </c>
      <c r="H20" s="127"/>
      <c r="I20" s="128"/>
      <c r="L20" s="30"/>
      <c r="M20" s="30"/>
      <c r="O20" s="8">
        <v>15</v>
      </c>
      <c r="P20" s="60">
        <f t="shared" ca="1" si="0"/>
        <v>0</v>
      </c>
    </row>
    <row r="21" spans="1:16" ht="18.75" customHeight="1">
      <c r="A21" s="120"/>
      <c r="B21" s="118" t="str">
        <f>算数!B7</f>
        <v>長さの単位ｃｍ、ｍｍについて理解し、ものさしを使って、長さを測ったり直線をかいたりできる</v>
      </c>
      <c r="C21" s="114"/>
      <c r="D21" s="114"/>
      <c r="E21" s="114"/>
      <c r="F21" s="115"/>
      <c r="G21" s="17" t="str">
        <f ca="1">OFFSET(算数!C7,0,$B$2)</f>
        <v>A</v>
      </c>
      <c r="H21" s="127"/>
      <c r="I21" s="128"/>
      <c r="O21" s="8">
        <v>16</v>
      </c>
      <c r="P21" s="60">
        <f t="shared" ca="1" si="0"/>
        <v>0</v>
      </c>
    </row>
    <row r="22" spans="1:16" ht="18.75" customHeight="1">
      <c r="A22" s="120"/>
      <c r="B22" s="118" t="str">
        <f>算数!B8</f>
        <v>１０００までの数の読み方、書き方やしくみ、大小などを理解し、何十や何百のたし算・ひき算ができる</v>
      </c>
      <c r="C22" s="114"/>
      <c r="D22" s="114"/>
      <c r="E22" s="114"/>
      <c r="F22" s="115"/>
      <c r="G22" s="17" t="str">
        <f ca="1">OFFSET(算数!C8,0,$B$2)</f>
        <v>-</v>
      </c>
      <c r="H22" s="127"/>
      <c r="I22" s="128"/>
      <c r="O22" s="8">
        <v>17</v>
      </c>
      <c r="P22" s="60">
        <f t="shared" ca="1" si="0"/>
        <v>0</v>
      </c>
    </row>
    <row r="23" spans="1:16" ht="18.75" customHeight="1">
      <c r="A23" s="120"/>
      <c r="B23" s="118">
        <f>算数!B9</f>
        <v>0</v>
      </c>
      <c r="C23" s="114"/>
      <c r="D23" s="114"/>
      <c r="E23" s="114"/>
      <c r="F23" s="115"/>
      <c r="G23" s="17">
        <f ca="1">OFFSET(算数!C9,0,$B$2)</f>
        <v>0</v>
      </c>
      <c r="H23" s="127"/>
      <c r="I23" s="128"/>
      <c r="O23" s="8">
        <v>18</v>
      </c>
      <c r="P23" s="60">
        <f t="shared" ca="1" si="0"/>
        <v>0</v>
      </c>
    </row>
    <row r="24" spans="1:16" ht="18.75" customHeight="1">
      <c r="A24" s="120"/>
      <c r="B24" s="118">
        <f>算数!B10</f>
        <v>0</v>
      </c>
      <c r="C24" s="114"/>
      <c r="D24" s="114"/>
      <c r="E24" s="114"/>
      <c r="F24" s="115"/>
      <c r="G24" s="17">
        <f ca="1">OFFSET(算数!C10,0,$B$2)</f>
        <v>0</v>
      </c>
      <c r="H24" s="127"/>
      <c r="I24" s="128"/>
      <c r="O24" s="8">
        <v>19</v>
      </c>
      <c r="P24" s="60">
        <f t="shared" ca="1" si="0"/>
        <v>0</v>
      </c>
    </row>
    <row r="25" spans="1:16" ht="18.75" customHeight="1">
      <c r="A25" s="121"/>
      <c r="B25" s="118">
        <f>算数!B11</f>
        <v>0</v>
      </c>
      <c r="C25" s="114"/>
      <c r="D25" s="114"/>
      <c r="E25" s="114"/>
      <c r="F25" s="115"/>
      <c r="G25" s="18">
        <f ca="1">OFFSET(算数!C11,0,$B$2)</f>
        <v>0</v>
      </c>
      <c r="H25" s="127"/>
      <c r="I25" s="128"/>
      <c r="O25" s="8">
        <v>20</v>
      </c>
      <c r="P25" s="60">
        <f t="shared" ca="1" si="0"/>
        <v>0</v>
      </c>
    </row>
    <row r="26" spans="1:16" ht="18.75" customHeight="1">
      <c r="A26" s="119" t="s">
        <v>0</v>
      </c>
      <c r="B26" s="122" t="str">
        <f>生活!B2</f>
        <v>進んで学習に取り組むことができる</v>
      </c>
      <c r="C26" s="123"/>
      <c r="D26" s="123"/>
      <c r="E26" s="123"/>
      <c r="F26" s="124"/>
      <c r="G26" s="21" t="str">
        <f ca="1">OFFSET(生活!C2,0,$B$2)</f>
        <v>A</v>
      </c>
      <c r="H26" s="125">
        <f ca="1">OFFSET(生活!C12,0,$B$2)</f>
        <v>5</v>
      </c>
      <c r="I26" s="126"/>
      <c r="O26" s="8">
        <v>21</v>
      </c>
      <c r="P26" s="60">
        <f t="shared" ca="1" si="0"/>
        <v>0</v>
      </c>
    </row>
    <row r="27" spans="1:16" ht="18.75" customHeight="1">
      <c r="A27" s="120"/>
      <c r="B27" s="118" t="str">
        <f>生活!B3</f>
        <v>上級生として１年生のことを考えながら、学校案内のための活動をすることができる</v>
      </c>
      <c r="C27" s="114"/>
      <c r="D27" s="114"/>
      <c r="E27" s="114"/>
      <c r="F27" s="115"/>
      <c r="G27" s="17" t="str">
        <f ca="1">OFFSET(生活!C3,0,$B$2)</f>
        <v>A</v>
      </c>
      <c r="H27" s="127"/>
      <c r="I27" s="128"/>
      <c r="O27" s="8">
        <v>22</v>
      </c>
      <c r="P27" s="60">
        <f t="shared" ca="1" si="0"/>
        <v>0</v>
      </c>
    </row>
    <row r="28" spans="1:16" ht="18.75" customHeight="1">
      <c r="A28" s="120"/>
      <c r="B28" s="118" t="str">
        <f>生活!B4</f>
        <v>野菜を育て、観察することを通して、その成長に気づくことができる</v>
      </c>
      <c r="C28" s="114"/>
      <c r="D28" s="114"/>
      <c r="E28" s="114"/>
      <c r="F28" s="115"/>
      <c r="G28" s="17" t="str">
        <f ca="1">OFFSET(生活!C4,0,$B$2)</f>
        <v>A</v>
      </c>
      <c r="H28" s="127"/>
      <c r="I28" s="128"/>
      <c r="O28" s="8">
        <v>23</v>
      </c>
      <c r="P28" s="60">
        <f t="shared" ca="1" si="0"/>
        <v>0</v>
      </c>
    </row>
    <row r="29" spans="1:16" ht="18.75" customHeight="1">
      <c r="A29" s="120"/>
      <c r="B29" s="118" t="str">
        <f>生活!B5</f>
        <v>身近な材料で作るものについてイメージを広げ、作りたいものを考えることができる</v>
      </c>
      <c r="C29" s="114"/>
      <c r="D29" s="114"/>
      <c r="E29" s="114"/>
      <c r="F29" s="115"/>
      <c r="G29" s="17" t="str">
        <f ca="1">OFFSET(生活!C5,0,$B$2)</f>
        <v>A</v>
      </c>
      <c r="H29" s="127"/>
      <c r="I29" s="128"/>
      <c r="O29" s="8">
        <v>24</v>
      </c>
      <c r="P29" s="60">
        <f t="shared" ca="1" si="0"/>
        <v>0</v>
      </c>
    </row>
    <row r="30" spans="1:16" ht="18.75" customHeight="1">
      <c r="A30" s="120"/>
      <c r="B30" s="118">
        <f>生活!B6</f>
        <v>0</v>
      </c>
      <c r="C30" s="114"/>
      <c r="D30" s="114"/>
      <c r="E30" s="114"/>
      <c r="F30" s="115"/>
      <c r="G30" s="17">
        <f ca="1">OFFSET(生活!C6,0,$B$2)</f>
        <v>0</v>
      </c>
      <c r="H30" s="127"/>
      <c r="I30" s="128"/>
      <c r="O30" s="8">
        <v>25</v>
      </c>
      <c r="P30" s="60">
        <f t="shared" ca="1" si="0"/>
        <v>0</v>
      </c>
    </row>
    <row r="31" spans="1:16" ht="18.75" customHeight="1">
      <c r="A31" s="120"/>
      <c r="B31" s="118">
        <f>生活!B7</f>
        <v>0</v>
      </c>
      <c r="C31" s="114"/>
      <c r="D31" s="114"/>
      <c r="E31" s="114"/>
      <c r="F31" s="115"/>
      <c r="G31" s="17">
        <f ca="1">OFFSET(生活!C7,0,$B$2)</f>
        <v>0</v>
      </c>
      <c r="H31" s="127"/>
      <c r="I31" s="128"/>
    </row>
    <row r="32" spans="1:16" ht="18.75" customHeight="1">
      <c r="A32" s="120"/>
      <c r="B32" s="118">
        <f>生活!B8</f>
        <v>0</v>
      </c>
      <c r="C32" s="114"/>
      <c r="D32" s="114"/>
      <c r="E32" s="114"/>
      <c r="F32" s="115"/>
      <c r="G32" s="17">
        <f ca="1">OFFSET(生活!C8,0,$B$2)</f>
        <v>0</v>
      </c>
      <c r="H32" s="127"/>
      <c r="I32" s="128"/>
    </row>
    <row r="33" spans="1:9" ht="18.75" customHeight="1">
      <c r="A33" s="121"/>
      <c r="B33" s="118">
        <f>生活!B9</f>
        <v>0</v>
      </c>
      <c r="C33" s="114"/>
      <c r="D33" s="114"/>
      <c r="E33" s="114"/>
      <c r="F33" s="115"/>
      <c r="G33" s="18">
        <f ca="1">OFFSET(生活!C9,0,$B$2)</f>
        <v>0</v>
      </c>
      <c r="H33" s="127"/>
      <c r="I33" s="128"/>
    </row>
    <row r="34" spans="1:9" ht="18.75" customHeight="1">
      <c r="A34" s="119" t="s">
        <v>10</v>
      </c>
      <c r="B34" s="122" t="str">
        <f>英語!B2</f>
        <v>英語学習に楽しみを感じ、意欲的に学習に励むことができる</v>
      </c>
      <c r="C34" s="123"/>
      <c r="D34" s="123"/>
      <c r="E34" s="123"/>
      <c r="F34" s="124"/>
      <c r="G34" s="21" t="str">
        <f ca="1">OFFSET(英語!C2,0,$B$2)</f>
        <v>A</v>
      </c>
      <c r="H34" s="125" t="str">
        <f ca="1">OFFSET(英語!C12,0,$B$2)</f>
        <v>-</v>
      </c>
      <c r="I34" s="126"/>
    </row>
    <row r="35" spans="1:9" ht="18.75" customHeight="1">
      <c r="A35" s="120"/>
      <c r="B35" s="118" t="str">
        <f>英語!B3</f>
        <v>学習した表現を用いて、自己紹介のスピーチをすることができる。</v>
      </c>
      <c r="C35" s="114"/>
      <c r="D35" s="114"/>
      <c r="E35" s="114"/>
      <c r="F35" s="115"/>
      <c r="G35" s="17" t="str">
        <f ca="1">OFFSET(英語!C3,0,$B$2)</f>
        <v>-</v>
      </c>
      <c r="H35" s="127"/>
      <c r="I35" s="128"/>
    </row>
    <row r="36" spans="1:9" ht="18.75" customHeight="1">
      <c r="A36" s="120"/>
      <c r="B36" s="118" t="str">
        <f>英語!B4</f>
        <v>身の回りにあるもの（名詞）、日常生活の動作（動詞）、人や物を説明する言葉（形容詞）を習得することができる</v>
      </c>
      <c r="C36" s="114"/>
      <c r="D36" s="114"/>
      <c r="E36" s="114"/>
      <c r="F36" s="115"/>
      <c r="G36" s="17" t="str">
        <f ca="1">OFFSET(英語!C4,0,$B$2)</f>
        <v>-</v>
      </c>
      <c r="H36" s="127"/>
      <c r="I36" s="128"/>
    </row>
    <row r="37" spans="1:9" ht="18.75" customHeight="1">
      <c r="A37" s="120"/>
      <c r="B37" s="118" t="str">
        <f>英語!B5</f>
        <v>単語の発音を予想して読むことができる</v>
      </c>
      <c r="C37" s="114"/>
      <c r="D37" s="114"/>
      <c r="E37" s="114"/>
      <c r="F37" s="115"/>
      <c r="G37" s="17" t="str">
        <f ca="1">OFFSET(英語!C5,0,$B$2)</f>
        <v>-</v>
      </c>
      <c r="H37" s="127"/>
      <c r="I37" s="128"/>
    </row>
    <row r="38" spans="1:9" ht="18.75" customHeight="1">
      <c r="A38" s="120"/>
      <c r="B38" s="118" t="str">
        <f>英語!B6</f>
        <v>単語の音を聞いて、つづりを予想して書くことができる</v>
      </c>
      <c r="C38" s="114"/>
      <c r="D38" s="114"/>
      <c r="E38" s="114"/>
      <c r="F38" s="115"/>
      <c r="G38" s="17" t="str">
        <f ca="1">OFFSET(英語!C6,0,$B$2)</f>
        <v>-</v>
      </c>
      <c r="H38" s="127"/>
      <c r="I38" s="128"/>
    </row>
    <row r="39" spans="1:9" ht="18.75" customHeight="1">
      <c r="A39" s="120"/>
      <c r="B39" s="118">
        <f>英語!B7</f>
        <v>0</v>
      </c>
      <c r="C39" s="114"/>
      <c r="D39" s="114"/>
      <c r="E39" s="114"/>
      <c r="F39" s="115"/>
      <c r="G39" s="17">
        <f ca="1">OFFSET(英語!C7,0,$B$2)</f>
        <v>0</v>
      </c>
      <c r="H39" s="127"/>
      <c r="I39" s="128"/>
    </row>
    <row r="40" spans="1:9" ht="18.75" customHeight="1">
      <c r="A40" s="120"/>
      <c r="B40" s="118">
        <f>英語!B8</f>
        <v>0</v>
      </c>
      <c r="C40" s="114"/>
      <c r="D40" s="114"/>
      <c r="E40" s="114"/>
      <c r="F40" s="115"/>
      <c r="G40" s="17">
        <f ca="1">OFFSET(英語!C8,0,$B$2)</f>
        <v>0</v>
      </c>
      <c r="H40" s="127"/>
      <c r="I40" s="128"/>
    </row>
    <row r="41" spans="1:9" ht="18.75" customHeight="1">
      <c r="A41" s="120"/>
      <c r="B41" s="118">
        <f>英語!B9</f>
        <v>0</v>
      </c>
      <c r="C41" s="114"/>
      <c r="D41" s="114"/>
      <c r="E41" s="114"/>
      <c r="F41" s="115"/>
      <c r="G41" s="17">
        <f ca="1">OFFSET(英語!C9,0,$B$2)</f>
        <v>0</v>
      </c>
      <c r="H41" s="127"/>
      <c r="I41" s="128"/>
    </row>
    <row r="42" spans="1:9" ht="18.75" customHeight="1">
      <c r="A42" s="121"/>
      <c r="B42" s="118">
        <f>英語!B10</f>
        <v>0</v>
      </c>
      <c r="C42" s="114"/>
      <c r="D42" s="114"/>
      <c r="E42" s="114"/>
      <c r="F42" s="115"/>
      <c r="G42" s="18">
        <f ca="1">OFFSET(英語!C10,0,$B$2)</f>
        <v>0</v>
      </c>
      <c r="H42" s="127"/>
      <c r="I42" s="128"/>
    </row>
    <row r="43" spans="1:9" ht="18.75" customHeight="1">
      <c r="A43" s="119" t="s">
        <v>4</v>
      </c>
      <c r="B43" s="122" t="str">
        <f>音楽!B2</f>
        <v>授業の活動に意欲的に取り組むことができる</v>
      </c>
      <c r="C43" s="123"/>
      <c r="D43" s="123"/>
      <c r="E43" s="123"/>
      <c r="F43" s="124"/>
      <c r="G43" s="21" t="str">
        <f ca="1">OFFSET(音楽!C2,0,$B$2)</f>
        <v>A</v>
      </c>
      <c r="H43" s="125">
        <f ca="1">OFFSET(音楽!C12,0,$B$2)</f>
        <v>5</v>
      </c>
      <c r="I43" s="126"/>
    </row>
    <row r="44" spans="1:9" ht="18.75" customHeight="1">
      <c r="A44" s="120"/>
      <c r="B44" s="118" t="str">
        <f>音楽!B3</f>
        <v>メロディーを正しい音程で歌い、のびやかな表現ができる</v>
      </c>
      <c r="C44" s="114"/>
      <c r="D44" s="114"/>
      <c r="E44" s="114"/>
      <c r="F44" s="115"/>
      <c r="G44" s="17" t="str">
        <f ca="1">OFFSET(音楽!C3,0,$B$2)</f>
        <v>A</v>
      </c>
      <c r="H44" s="127"/>
      <c r="I44" s="128"/>
    </row>
    <row r="45" spans="1:9" ht="18.75" customHeight="1">
      <c r="A45" s="120"/>
      <c r="B45" s="118" t="str">
        <f>音楽!B4</f>
        <v>鍵盤ハーモニカで楽曲（喜びの歌）を、正しい指使い・リズム・音程で楽曲を奏でることができる</v>
      </c>
      <c r="C45" s="114"/>
      <c r="D45" s="114"/>
      <c r="E45" s="114"/>
      <c r="F45" s="115"/>
      <c r="G45" s="17" t="str">
        <f ca="1">OFFSET(音楽!C4,0,$B$2)</f>
        <v>A</v>
      </c>
      <c r="H45" s="127"/>
      <c r="I45" s="128"/>
    </row>
    <row r="46" spans="1:9" ht="18.75" customHeight="1">
      <c r="A46" s="120"/>
      <c r="B46" s="118" t="str">
        <f>音楽!B5</f>
        <v>提示した音を聴き取り、和音を聴き分けることができる</v>
      </c>
      <c r="C46" s="114"/>
      <c r="D46" s="114"/>
      <c r="E46" s="114"/>
      <c r="F46" s="115"/>
      <c r="G46" s="17" t="str">
        <f ca="1">OFFSET(音楽!C5,0,$B$2)</f>
        <v>A</v>
      </c>
      <c r="H46" s="127"/>
      <c r="I46" s="128"/>
    </row>
    <row r="47" spans="1:9" ht="18.75" customHeight="1">
      <c r="A47" s="120"/>
      <c r="B47" s="118">
        <f>音楽!B6</f>
        <v>0</v>
      </c>
      <c r="C47" s="114"/>
      <c r="D47" s="114"/>
      <c r="E47" s="114"/>
      <c r="F47" s="115"/>
      <c r="G47" s="17">
        <f ca="1">OFFSET(音楽!C6,0,$B$2)</f>
        <v>0</v>
      </c>
      <c r="H47" s="127"/>
      <c r="I47" s="128"/>
    </row>
    <row r="48" spans="1:9" ht="18.75" customHeight="1">
      <c r="A48" s="120"/>
      <c r="B48" s="118">
        <f>音楽!B7</f>
        <v>0</v>
      </c>
      <c r="C48" s="114"/>
      <c r="D48" s="114"/>
      <c r="E48" s="114"/>
      <c r="F48" s="115"/>
      <c r="G48" s="17">
        <f ca="1">OFFSET(音楽!C7,0,$B$2)</f>
        <v>0</v>
      </c>
      <c r="H48" s="127"/>
      <c r="I48" s="128"/>
    </row>
    <row r="49" spans="1:9" ht="18.75" customHeight="1">
      <c r="A49" s="120"/>
      <c r="B49" s="118">
        <f>音楽!B8</f>
        <v>0</v>
      </c>
      <c r="C49" s="114"/>
      <c r="D49" s="114"/>
      <c r="E49" s="114"/>
      <c r="F49" s="115"/>
      <c r="G49" s="17">
        <f ca="1">OFFSET(音楽!C8,0,$B$2)</f>
        <v>0</v>
      </c>
      <c r="H49" s="127"/>
      <c r="I49" s="128"/>
    </row>
    <row r="50" spans="1:9" ht="18.75" customHeight="1">
      <c r="A50" s="120"/>
      <c r="B50" s="118">
        <f>音楽!B9</f>
        <v>0</v>
      </c>
      <c r="C50" s="114"/>
      <c r="D50" s="114"/>
      <c r="E50" s="114"/>
      <c r="F50" s="115"/>
      <c r="G50" s="17">
        <f ca="1">OFFSET(音楽!C9,0,$B$2)</f>
        <v>0</v>
      </c>
      <c r="H50" s="127"/>
      <c r="I50" s="128"/>
    </row>
    <row r="51" spans="1:9" ht="18.75" customHeight="1">
      <c r="A51" s="120"/>
      <c r="B51" s="118">
        <f>音楽!B10</f>
        <v>0</v>
      </c>
      <c r="C51" s="114"/>
      <c r="D51" s="114"/>
      <c r="E51" s="114"/>
      <c r="F51" s="115"/>
      <c r="G51" s="17">
        <f ca="1">OFFSET(音楽!C10,0,$B$2)</f>
        <v>0</v>
      </c>
      <c r="H51" s="127"/>
      <c r="I51" s="128"/>
    </row>
    <row r="52" spans="1:9" ht="18.75" customHeight="1">
      <c r="A52" s="121"/>
      <c r="B52" s="118">
        <f>音楽!B11</f>
        <v>0</v>
      </c>
      <c r="C52" s="114"/>
      <c r="D52" s="114"/>
      <c r="E52" s="114"/>
      <c r="F52" s="115"/>
      <c r="G52" s="18">
        <f ca="1">OFFSET(音楽!C11,0,$B$2)</f>
        <v>0</v>
      </c>
      <c r="H52" s="127"/>
      <c r="I52" s="128"/>
    </row>
    <row r="53" spans="1:9" ht="18.75" customHeight="1">
      <c r="A53" s="6"/>
      <c r="B53" s="31"/>
      <c r="C53" s="10"/>
      <c r="D53" s="10"/>
      <c r="E53" s="10"/>
      <c r="F53" s="10"/>
      <c r="G53" s="6"/>
      <c r="H53" s="7"/>
      <c r="I53" s="7"/>
    </row>
    <row r="54" spans="1:9" ht="18.75" customHeight="1">
      <c r="A54" s="1"/>
      <c r="B54" s="32"/>
      <c r="C54" s="11"/>
      <c r="D54" s="11"/>
      <c r="E54" s="11"/>
      <c r="F54" s="11"/>
      <c r="G54" s="1"/>
      <c r="H54" s="3"/>
      <c r="I54" s="3"/>
    </row>
    <row r="55" spans="1:9" ht="18.75" customHeight="1">
      <c r="A55" s="119" t="s">
        <v>2</v>
      </c>
      <c r="B55" s="122" t="str">
        <f>図工!B2</f>
        <v>図工への関心を持ち、楽しく制作に取り組んでいる</v>
      </c>
      <c r="C55" s="123"/>
      <c r="D55" s="123"/>
      <c r="E55" s="123"/>
      <c r="F55" s="124"/>
      <c r="G55" s="21" t="str">
        <f ca="1">OFFSET(図工!C2,0,$B$2)</f>
        <v>A</v>
      </c>
      <c r="H55" s="125">
        <f ca="1">OFFSET(図工!C12,0,$B$2)</f>
        <v>4</v>
      </c>
      <c r="I55" s="126"/>
    </row>
    <row r="56" spans="1:9" ht="18.75" customHeight="1">
      <c r="A56" s="120"/>
      <c r="B56" s="118" t="str">
        <f>図工!B3</f>
        <v>豊かな発想を持ち自由に表現することができる</v>
      </c>
      <c r="C56" s="114"/>
      <c r="D56" s="114"/>
      <c r="E56" s="114"/>
      <c r="F56" s="115"/>
      <c r="G56" s="17" t="str">
        <f ca="1">OFFSET(図工!C3,0,$B$2)</f>
        <v>A</v>
      </c>
      <c r="H56" s="127"/>
      <c r="I56" s="128"/>
    </row>
    <row r="57" spans="1:9" ht="18.75" customHeight="1">
      <c r="A57" s="120"/>
      <c r="B57" s="118" t="str">
        <f>図工!B4</f>
        <v>つくりたいもののイメージを持ち、それに向かって制作することができる</v>
      </c>
      <c r="C57" s="114"/>
      <c r="D57" s="114"/>
      <c r="E57" s="114"/>
      <c r="F57" s="115"/>
      <c r="G57" s="17" t="str">
        <f ca="1">OFFSET(図工!C4,0,$B$2)</f>
        <v>A</v>
      </c>
      <c r="H57" s="127"/>
      <c r="I57" s="128"/>
    </row>
    <row r="58" spans="1:9" ht="18.75" customHeight="1">
      <c r="A58" s="120"/>
      <c r="B58" s="118" t="str">
        <f>図工!B5</f>
        <v>自分や友達の作品から良さや面白さ、美しさを感じとることができる</v>
      </c>
      <c r="C58" s="114"/>
      <c r="D58" s="114"/>
      <c r="E58" s="114"/>
      <c r="F58" s="115"/>
      <c r="G58" s="17" t="str">
        <f ca="1">OFFSET(図工!C5,0,$B$2)</f>
        <v>B</v>
      </c>
      <c r="H58" s="127"/>
      <c r="I58" s="128"/>
    </row>
    <row r="59" spans="1:9" ht="18.75" customHeight="1">
      <c r="A59" s="120"/>
      <c r="B59" s="118">
        <f>図工!B6</f>
        <v>0</v>
      </c>
      <c r="C59" s="114"/>
      <c r="D59" s="114"/>
      <c r="E59" s="114"/>
      <c r="F59" s="115"/>
      <c r="G59" s="17">
        <f ca="1">OFFSET(図工!C6,0,$B$2)</f>
        <v>0</v>
      </c>
      <c r="H59" s="127"/>
      <c r="I59" s="128"/>
    </row>
    <row r="60" spans="1:9" ht="18.75" customHeight="1">
      <c r="A60" s="120"/>
      <c r="B60" s="118">
        <f>図工!B7</f>
        <v>0</v>
      </c>
      <c r="C60" s="114"/>
      <c r="D60" s="114"/>
      <c r="E60" s="114"/>
      <c r="F60" s="115"/>
      <c r="G60" s="17">
        <f ca="1">OFFSET(図工!C7,0,$B$2)</f>
        <v>0</v>
      </c>
      <c r="H60" s="127"/>
      <c r="I60" s="128"/>
    </row>
    <row r="61" spans="1:9" ht="18.75" customHeight="1">
      <c r="A61" s="120"/>
      <c r="B61" s="118">
        <f>図工!B8</f>
        <v>0</v>
      </c>
      <c r="C61" s="114"/>
      <c r="D61" s="114"/>
      <c r="E61" s="114"/>
      <c r="F61" s="115"/>
      <c r="G61" s="17">
        <f ca="1">OFFSET(図工!C8,0,$B$2)</f>
        <v>0</v>
      </c>
      <c r="H61" s="127"/>
      <c r="I61" s="128"/>
    </row>
    <row r="62" spans="1:9" ht="18.75" customHeight="1">
      <c r="A62" s="120"/>
      <c r="B62" s="118">
        <f>図工!B9</f>
        <v>0</v>
      </c>
      <c r="C62" s="114"/>
      <c r="D62" s="114"/>
      <c r="E62" s="114"/>
      <c r="F62" s="115"/>
      <c r="G62" s="17">
        <f ca="1">OFFSET(図工!C9,0,$B$2)</f>
        <v>0</v>
      </c>
      <c r="H62" s="127"/>
      <c r="I62" s="128"/>
    </row>
    <row r="63" spans="1:9" ht="18.75" customHeight="1">
      <c r="A63" s="120"/>
      <c r="B63" s="118">
        <f>図工!B10</f>
        <v>0</v>
      </c>
      <c r="C63" s="114"/>
      <c r="D63" s="114"/>
      <c r="E63" s="114"/>
      <c r="F63" s="115"/>
      <c r="G63" s="17">
        <f ca="1">OFFSET(図工!C10,0,$B$2)</f>
        <v>0</v>
      </c>
      <c r="H63" s="127"/>
      <c r="I63" s="128"/>
    </row>
    <row r="64" spans="1:9" ht="18.75" customHeight="1">
      <c r="A64" s="121"/>
      <c r="B64" s="118">
        <f>図工!B11</f>
        <v>0</v>
      </c>
      <c r="C64" s="114"/>
      <c r="D64" s="114"/>
      <c r="E64" s="114"/>
      <c r="F64" s="115"/>
      <c r="G64" s="18">
        <f ca="1">OFFSET(図工!C11,0,$B$2)</f>
        <v>0</v>
      </c>
      <c r="H64" s="127"/>
      <c r="I64" s="128"/>
    </row>
    <row r="65" spans="1:14" ht="18.75" customHeight="1">
      <c r="A65" s="119" t="s">
        <v>3</v>
      </c>
      <c r="B65" s="122" t="str">
        <f>体育!B2</f>
        <v>運動遊びの行い方を工夫するとともに、考えたことを他者に伝えることができる</v>
      </c>
      <c r="C65" s="123"/>
      <c r="D65" s="123"/>
      <c r="E65" s="123"/>
      <c r="F65" s="124"/>
      <c r="G65" s="21" t="str">
        <f ca="1">OFFSET(体育!C2,0,$B$2)</f>
        <v>B</v>
      </c>
      <c r="H65" s="125">
        <f ca="1">OFFSET(体育!C12,0,$B$2)</f>
        <v>3</v>
      </c>
      <c r="I65" s="126"/>
    </row>
    <row r="66" spans="1:14" ht="18.75" customHeight="1">
      <c r="A66" s="120"/>
      <c r="B66" s="118" t="str">
        <f>体育!B3</f>
        <v>決まりを守り、誰とでも仲よく意欲的に運動ができる</v>
      </c>
      <c r="C66" s="114"/>
      <c r="D66" s="114"/>
      <c r="E66" s="114"/>
      <c r="F66" s="115"/>
      <c r="G66" s="17" t="str">
        <f ca="1">OFFSET(体育!C3,0,$B$2)</f>
        <v>B</v>
      </c>
      <c r="H66" s="127"/>
      <c r="I66" s="128"/>
    </row>
    <row r="67" spans="1:14" ht="18.75" customHeight="1">
      <c r="A67" s="120"/>
      <c r="B67" s="118" t="str">
        <f>体育!B4</f>
        <v>全身を使って、力強く走ることができる（かけっこ）</v>
      </c>
      <c r="C67" s="114"/>
      <c r="D67" s="114"/>
      <c r="E67" s="114"/>
      <c r="F67" s="115"/>
      <c r="G67" s="17" t="str">
        <f ca="1">OFFSET(体育!C4,0,$B$2)</f>
        <v>B</v>
      </c>
      <c r="H67" s="127"/>
      <c r="I67" s="128"/>
    </row>
    <row r="68" spans="1:14" ht="18.75" customHeight="1">
      <c r="A68" s="120"/>
      <c r="B68" s="118" t="str">
        <f>体育!B5</f>
        <v>タイミングを合わせたバトンパスができる（リレー）</v>
      </c>
      <c r="C68" s="114"/>
      <c r="D68" s="114"/>
      <c r="E68" s="114"/>
      <c r="F68" s="115"/>
      <c r="G68" s="17" t="str">
        <f ca="1">OFFSET(体育!C5,0,$B$2)</f>
        <v>B</v>
      </c>
      <c r="H68" s="127"/>
      <c r="I68" s="128"/>
    </row>
    <row r="69" spans="1:14" ht="18.75" customHeight="1">
      <c r="A69" s="120"/>
      <c r="B69" s="118" t="str">
        <f>体育!B6</f>
        <v>簡単なボール操作と攻めや守りの動きができる（ボールゲーム）</v>
      </c>
      <c r="C69" s="114"/>
      <c r="D69" s="114"/>
      <c r="E69" s="114"/>
      <c r="F69" s="115"/>
      <c r="G69" s="17" t="str">
        <f ca="1">OFFSET(体育!C6,0,$B$2)</f>
        <v>B</v>
      </c>
      <c r="H69" s="127"/>
      <c r="I69" s="128"/>
    </row>
    <row r="70" spans="1:14" ht="18.75" customHeight="1">
      <c r="A70" s="120"/>
      <c r="B70" s="118">
        <f>体育!B7</f>
        <v>0</v>
      </c>
      <c r="C70" s="114"/>
      <c r="D70" s="114"/>
      <c r="E70" s="114"/>
      <c r="F70" s="115"/>
      <c r="G70" s="17">
        <f ca="1">OFFSET(体育!C7,0,$B$2)</f>
        <v>0</v>
      </c>
      <c r="H70" s="127"/>
      <c r="I70" s="128"/>
    </row>
    <row r="71" spans="1:14" ht="18.75" customHeight="1">
      <c r="A71" s="120"/>
      <c r="B71" s="118">
        <f>体育!B8</f>
        <v>0</v>
      </c>
      <c r="C71" s="114"/>
      <c r="D71" s="114"/>
      <c r="E71" s="114"/>
      <c r="F71" s="115"/>
      <c r="G71" s="17">
        <f ca="1">OFFSET(体育!C8,0,$B$2)</f>
        <v>0</v>
      </c>
      <c r="H71" s="127"/>
      <c r="I71" s="128"/>
    </row>
    <row r="72" spans="1:14" ht="18.75" customHeight="1">
      <c r="A72" s="120"/>
      <c r="B72" s="118">
        <f>体育!B9</f>
        <v>0</v>
      </c>
      <c r="C72" s="114"/>
      <c r="D72" s="114"/>
      <c r="E72" s="114"/>
      <c r="F72" s="115"/>
      <c r="G72" s="17">
        <f ca="1">OFFSET(体育!C9,0,$B$2)</f>
        <v>0</v>
      </c>
      <c r="H72" s="127"/>
      <c r="I72" s="128"/>
    </row>
    <row r="73" spans="1:14" ht="18.75" customHeight="1">
      <c r="A73" s="120"/>
      <c r="B73" s="118">
        <f>体育!B10</f>
        <v>0</v>
      </c>
      <c r="C73" s="114"/>
      <c r="D73" s="114"/>
      <c r="E73" s="114"/>
      <c r="F73" s="115"/>
      <c r="G73" s="17">
        <f ca="1">OFFSET(体育!C10,0,$B$2)</f>
        <v>0</v>
      </c>
      <c r="H73" s="127"/>
      <c r="I73" s="128"/>
    </row>
    <row r="74" spans="1:14" ht="18.75" customHeight="1">
      <c r="A74" s="121"/>
      <c r="B74" s="134">
        <f>体育!B11</f>
        <v>0</v>
      </c>
      <c r="C74" s="135"/>
      <c r="D74" s="135"/>
      <c r="E74" s="135"/>
      <c r="F74" s="136"/>
      <c r="G74" s="18">
        <f ca="1">OFFSET(体育!C11,0,$B$2)</f>
        <v>0</v>
      </c>
      <c r="H74" s="129"/>
      <c r="I74" s="130"/>
    </row>
    <row r="75" spans="1:14" ht="92.25" customHeight="1">
      <c r="A75" s="23" t="s">
        <v>25</v>
      </c>
      <c r="B75" s="149" t="str">
        <f ca="1">INDIRECT("'道徳'!B"&amp;2+$B$2)</f>
        <v>自分の学校を紹介する「わたし」の姿などを通して、自分たちの学校のいいところはどんなところかを考えさせ、学校や学級に愛着を持ち、みんなで楽しい生活をしようとする心情を育てる「しょうかいします」という単元では、授業の時間と給食の時間が好きであることと、先生のよいところを紹介する文を書きました。まだ見えていない学校の魅力にも気づけるように、より学校に愛着を持ちましょう。</v>
      </c>
      <c r="C75" s="149"/>
      <c r="D75" s="149"/>
      <c r="E75" s="149"/>
      <c r="F75" s="149"/>
      <c r="G75" s="149"/>
      <c r="H75" s="149"/>
      <c r="I75" s="150"/>
    </row>
    <row r="76" spans="1:14" ht="18.75" customHeight="1">
      <c r="D76" s="14"/>
      <c r="E76" s="12"/>
      <c r="N76" s="12"/>
    </row>
    <row r="77" spans="1:14" ht="18.75" customHeight="1">
      <c r="A77" s="110" t="s">
        <v>23</v>
      </c>
      <c r="B77" s="111"/>
      <c r="C77" s="111"/>
      <c r="D77" s="112"/>
      <c r="F77" s="110" t="s">
        <v>11</v>
      </c>
      <c r="G77" s="111"/>
      <c r="H77" s="111"/>
      <c r="I77" s="112"/>
      <c r="L77" s="14"/>
      <c r="M77" s="12"/>
      <c r="N77" s="30"/>
    </row>
    <row r="78" spans="1:14" ht="19.5" customHeight="1">
      <c r="A78" s="131" t="str">
        <f>所見!B2</f>
        <v>大きな声ではっきりと自分からあいさつや返事をすることができる</v>
      </c>
      <c r="B78" s="132"/>
      <c r="C78" s="133"/>
      <c r="D78" s="27" t="str">
        <f ca="1">OFFSET(所見!C2,0,$B$2)</f>
        <v>B</v>
      </c>
      <c r="F78" s="137" t="s">
        <v>13</v>
      </c>
      <c r="G78" s="138"/>
      <c r="H78" s="138"/>
      <c r="I78" s="22">
        <f ca="1">OFFSET(出欠!C2,0,$B$2)</f>
        <v>70</v>
      </c>
      <c r="L78" s="14"/>
      <c r="M78" s="30"/>
      <c r="N78" s="30"/>
    </row>
    <row r="79" spans="1:14" ht="19.5" customHeight="1">
      <c r="A79" s="104" t="str">
        <f>所見!B3</f>
        <v>時間やきまりを守り、規則正しい生活をすることができる</v>
      </c>
      <c r="B79" s="105"/>
      <c r="C79" s="106"/>
      <c r="D79" s="13" t="str">
        <f ca="1">OFFSET(所見!C3,0,$B$2)</f>
        <v>B</v>
      </c>
      <c r="F79" s="116" t="s">
        <v>14</v>
      </c>
      <c r="G79" s="117"/>
      <c r="H79" s="117"/>
      <c r="I79" s="13">
        <f ca="1">OFFSET(出欠!C3,0,$B$2)</f>
        <v>0</v>
      </c>
      <c r="L79" s="30"/>
      <c r="M79" s="30"/>
      <c r="N79" s="30"/>
    </row>
    <row r="80" spans="1:14" ht="19.5" customHeight="1">
      <c r="A80" s="104" t="str">
        <f>所見!B4</f>
        <v>必要な持ち物を準備でき、きれいに整理整頓をすることができる</v>
      </c>
      <c r="B80" s="105"/>
      <c r="C80" s="106"/>
      <c r="D80" s="13" t="str">
        <f ca="1">OFFSET(所見!C4,0,$B$2)</f>
        <v>A</v>
      </c>
      <c r="F80" s="113" t="s">
        <v>21</v>
      </c>
      <c r="G80" s="114"/>
      <c r="H80" s="115"/>
      <c r="I80" s="13">
        <f ca="1">OFFSET(出欠!C4,0,$B$2)</f>
        <v>70</v>
      </c>
      <c r="L80" s="30"/>
      <c r="M80" s="30"/>
      <c r="N80" s="30"/>
    </row>
    <row r="81" spans="1:14" ht="19.5" customHeight="1">
      <c r="A81" s="104" t="str">
        <f>所見!B5</f>
        <v>心身の健康に気をつけ、進んで運動をし、元気に生活することができる</v>
      </c>
      <c r="B81" s="105"/>
      <c r="C81" s="106"/>
      <c r="D81" s="13" t="str">
        <f ca="1">OFFSET(所見!C5,0,$B$2)</f>
        <v>B</v>
      </c>
      <c r="F81" s="116" t="s">
        <v>15</v>
      </c>
      <c r="G81" s="117"/>
      <c r="H81" s="117"/>
      <c r="I81" s="13">
        <f ca="1">OFFSET(出欠!C5,0,$B$2)</f>
        <v>52</v>
      </c>
      <c r="L81" s="30"/>
      <c r="M81" s="30"/>
      <c r="N81" s="30"/>
    </row>
    <row r="82" spans="1:14" ht="19.5" customHeight="1">
      <c r="A82" s="104" t="str">
        <f>所見!B6</f>
        <v>良いと思うことは進んで行い、最後まで頑張ることができる</v>
      </c>
      <c r="B82" s="105"/>
      <c r="C82" s="106"/>
      <c r="D82" s="13" t="str">
        <f ca="1">OFFSET(所見!C6,0,$B$2)</f>
        <v>A</v>
      </c>
      <c r="F82" s="116" t="s">
        <v>22</v>
      </c>
      <c r="G82" s="117"/>
      <c r="H82" s="117"/>
      <c r="I82" s="13">
        <f ca="1">OFFSET(出欠!C6,0,$B$2)</f>
        <v>18</v>
      </c>
      <c r="L82" s="30"/>
      <c r="M82" s="30"/>
      <c r="N82" s="30"/>
    </row>
    <row r="83" spans="1:14" ht="19.5" customHeight="1">
      <c r="A83" s="104" t="str">
        <f>所見!B7</f>
        <v>当番や係など、自分でやるべきことを、しっかりと行うことができる</v>
      </c>
      <c r="B83" s="105"/>
      <c r="C83" s="106"/>
      <c r="D83" s="13" t="str">
        <f ca="1">OFFSET(所見!C7,0,$B$2)</f>
        <v>B</v>
      </c>
      <c r="F83" s="116" t="s">
        <v>16</v>
      </c>
      <c r="G83" s="117"/>
      <c r="H83" s="117"/>
      <c r="I83" s="13">
        <f ca="1">OFFSET(出欠!C7,0,$B$2)</f>
        <v>0</v>
      </c>
      <c r="L83" s="30"/>
      <c r="M83" s="30"/>
      <c r="N83" s="30"/>
    </row>
    <row r="84" spans="1:14" ht="19.5" customHeight="1">
      <c r="A84" s="104" t="str">
        <f>所見!B8</f>
        <v>自分から進んで考え、工夫しながら取り組むことができる</v>
      </c>
      <c r="B84" s="105"/>
      <c r="C84" s="106"/>
      <c r="D84" s="13" t="str">
        <f ca="1">OFFSET(所見!C8,0,$B$2)</f>
        <v>B</v>
      </c>
      <c r="F84" s="116" t="s">
        <v>17</v>
      </c>
      <c r="G84" s="117"/>
      <c r="H84" s="117"/>
      <c r="I84" s="13">
        <f ca="1">OFFSET(出欠!C8,0,$B$2)</f>
        <v>2</v>
      </c>
      <c r="L84" s="30"/>
      <c r="M84" s="30"/>
      <c r="N84" s="30"/>
    </row>
    <row r="85" spans="1:14" ht="19.5" customHeight="1">
      <c r="A85" s="104" t="str">
        <f>所見!B9</f>
        <v>身近にいる人々に親切にし、誰とでも仲良く助け合うことができる</v>
      </c>
      <c r="B85" s="105"/>
      <c r="C85" s="106"/>
      <c r="D85" s="15" t="str">
        <f ca="1">OFFSET(所見!C9,0,$B$2)</f>
        <v>A</v>
      </c>
      <c r="F85" s="95" t="str">
        <f ca="1">"備考： "&amp;INDIRECT("'出欠'!B"&amp;9+$B$2)</f>
        <v>備考： 欠席18(体調不良17、通院1)早退2(体調不良2)</v>
      </c>
      <c r="G85" s="96"/>
      <c r="H85" s="96"/>
      <c r="I85" s="97"/>
      <c r="L85" s="75">
        <f>番号</f>
        <v>2</v>
      </c>
      <c r="M85" s="30"/>
      <c r="N85" s="30"/>
    </row>
    <row r="86" spans="1:14" ht="19.5" customHeight="1">
      <c r="A86" s="104" t="str">
        <f>所見!B10</f>
        <v>自然に親しみ、生きているものに優しく接することができる</v>
      </c>
      <c r="B86" s="105"/>
      <c r="C86" s="106"/>
      <c r="D86" s="15" t="str">
        <f ca="1">OFFSET(所見!C10,0,$B$2)</f>
        <v>A</v>
      </c>
      <c r="F86" s="98"/>
      <c r="G86" s="99"/>
      <c r="H86" s="99"/>
      <c r="I86" s="100"/>
      <c r="L86" s="30"/>
      <c r="M86" s="30"/>
      <c r="N86" s="30"/>
    </row>
    <row r="87" spans="1:14" ht="19.5" customHeight="1">
      <c r="A87" s="107" t="str">
        <f>所見!B11</f>
        <v>手伝いや仕事を進んで行うことができる</v>
      </c>
      <c r="B87" s="108"/>
      <c r="C87" s="109"/>
      <c r="D87" s="16" t="str">
        <f ca="1">OFFSET(所見!C11,0,$B$2)</f>
        <v>A</v>
      </c>
      <c r="F87" s="101"/>
      <c r="G87" s="102"/>
      <c r="H87" s="102"/>
      <c r="I87" s="103"/>
      <c r="L87" s="30"/>
      <c r="M87" s="30"/>
      <c r="N87" s="25"/>
    </row>
    <row r="88" spans="1:14" ht="18.75" customHeight="1">
      <c r="A88" s="26"/>
      <c r="B88" s="28"/>
      <c r="C88" s="28"/>
      <c r="D88" s="29"/>
      <c r="F88" s="24"/>
      <c r="G88" s="24"/>
      <c r="H88" s="24"/>
      <c r="I88" s="24"/>
      <c r="L88" s="25"/>
      <c r="M88" s="25"/>
      <c r="N88" s="25"/>
    </row>
    <row r="89" spans="1:14" ht="39" customHeight="1">
      <c r="A89" s="91" t="s">
        <v>24</v>
      </c>
      <c r="B89" s="92"/>
      <c r="C89" s="93" t="str">
        <f ca="1">INDIRECT("'所見'!B"&amp;12+$B$2)</f>
        <v>お便り係</v>
      </c>
      <c r="D89" s="93"/>
      <c r="E89" s="93"/>
      <c r="F89" s="93"/>
      <c r="G89" s="93"/>
      <c r="H89" s="93"/>
      <c r="I89" s="94"/>
      <c r="L89" s="25"/>
      <c r="M89" s="25"/>
    </row>
    <row r="90" spans="1:14" ht="18.75" customHeight="1">
      <c r="C90" s="14"/>
    </row>
    <row r="91" spans="1:14" ht="183" customHeight="1">
      <c r="A91" s="23" t="s">
        <v>12</v>
      </c>
      <c r="B91" s="144" t="str">
        <f ca="1">INDIRECT("'所見'!B"&amp;$Q$5+$B$2)</f>
        <v xml:space="preserve">1年時から、さらに学習面・生活面とも大きく成長し、学校生活を頑張っている場面を多く見ることができました。生活面では、4月当初、みんなよりも少し行動が遅れてしまうことがありましたが、全体に合わせて行動できるようになりました。学習面では、授業に集中できているときには、素晴らしい成果を上げることができています。体育の授業の後や午後の授業で、体力が続かず集中力が保てない時にどう頑張るかがこれからの課題です。休み時間を有効に使って、授業に集中できるようにしましょう。算数では、2桁のたし算やひき算の繰り上がりや繰り下がりの計算に最初苦労しましたが、計算練習をしていく中で正確に解くことができるようになりました。初めて習う内容の定着に時間がかかるように思いますが、学習が深まってくるとしっかりと理解することができて、応用問題にも十分に対応できています。これからも焦らずにじっくり取り組むことで学力を伸ばしましょう。まずは体調を整えて、2学期を元気に過ごせることを願っています。
</v>
      </c>
      <c r="C91" s="145"/>
      <c r="D91" s="145"/>
      <c r="E91" s="145"/>
      <c r="F91" s="145"/>
      <c r="G91" s="145"/>
      <c r="H91" s="145"/>
      <c r="I91" s="146"/>
    </row>
  </sheetData>
  <mergeCells count="112">
    <mergeCell ref="K7:L7"/>
    <mergeCell ref="B91:I91"/>
    <mergeCell ref="A4:I4"/>
    <mergeCell ref="B6:F6"/>
    <mergeCell ref="B7:F7"/>
    <mergeCell ref="B8:F8"/>
    <mergeCell ref="H5:I5"/>
    <mergeCell ref="F82:H82"/>
    <mergeCell ref="H55:I64"/>
    <mergeCell ref="H43:I52"/>
    <mergeCell ref="B32:F32"/>
    <mergeCell ref="B40:F40"/>
    <mergeCell ref="B49:F49"/>
    <mergeCell ref="B30:F30"/>
    <mergeCell ref="B31:F31"/>
    <mergeCell ref="B33:F33"/>
    <mergeCell ref="B42:F42"/>
    <mergeCell ref="B47:F47"/>
    <mergeCell ref="B48:F48"/>
    <mergeCell ref="B50:F50"/>
    <mergeCell ref="B51:F51"/>
    <mergeCell ref="B52:F52"/>
    <mergeCell ref="B5:F5"/>
    <mergeCell ref="B75:I75"/>
    <mergeCell ref="A16:A25"/>
    <mergeCell ref="A1:B1"/>
    <mergeCell ref="C1:G1"/>
    <mergeCell ref="G2:I2"/>
    <mergeCell ref="H6:I15"/>
    <mergeCell ref="A6:A15"/>
    <mergeCell ref="B38:F38"/>
    <mergeCell ref="B39:F39"/>
    <mergeCell ref="H34:I42"/>
    <mergeCell ref="H16:I25"/>
    <mergeCell ref="H26:I33"/>
    <mergeCell ref="B14:F14"/>
    <mergeCell ref="B15:F15"/>
    <mergeCell ref="B25:F25"/>
    <mergeCell ref="A26:A33"/>
    <mergeCell ref="B26:F26"/>
    <mergeCell ref="B27:F27"/>
    <mergeCell ref="B28:F28"/>
    <mergeCell ref="B29:F29"/>
    <mergeCell ref="A34:A42"/>
    <mergeCell ref="B34:F34"/>
    <mergeCell ref="B35:F35"/>
    <mergeCell ref="B36:F36"/>
    <mergeCell ref="B37:F37"/>
    <mergeCell ref="H65:I74"/>
    <mergeCell ref="A78:C78"/>
    <mergeCell ref="A79:C79"/>
    <mergeCell ref="A80:C80"/>
    <mergeCell ref="A81:C81"/>
    <mergeCell ref="A82:C82"/>
    <mergeCell ref="A83:C83"/>
    <mergeCell ref="A84:C84"/>
    <mergeCell ref="B72:F72"/>
    <mergeCell ref="B74:F74"/>
    <mergeCell ref="B65:F65"/>
    <mergeCell ref="B66:F66"/>
    <mergeCell ref="B67:F67"/>
    <mergeCell ref="F78:H78"/>
    <mergeCell ref="B9:F9"/>
    <mergeCell ref="B10:F10"/>
    <mergeCell ref="B11:F11"/>
    <mergeCell ref="B12:F12"/>
    <mergeCell ref="B13:F13"/>
    <mergeCell ref="B58:F58"/>
    <mergeCell ref="B23:F23"/>
    <mergeCell ref="B16:F16"/>
    <mergeCell ref="B17:F17"/>
    <mergeCell ref="B18:F18"/>
    <mergeCell ref="B19:F19"/>
    <mergeCell ref="B20:F20"/>
    <mergeCell ref="B21:F21"/>
    <mergeCell ref="B22:F22"/>
    <mergeCell ref="B41:F41"/>
    <mergeCell ref="B24:F24"/>
    <mergeCell ref="B62:F62"/>
    <mergeCell ref="B63:F63"/>
    <mergeCell ref="A43:A52"/>
    <mergeCell ref="B43:F43"/>
    <mergeCell ref="B44:F44"/>
    <mergeCell ref="B45:F45"/>
    <mergeCell ref="B46:F46"/>
    <mergeCell ref="B64:F64"/>
    <mergeCell ref="B73:F73"/>
    <mergeCell ref="A55:A64"/>
    <mergeCell ref="B61:F61"/>
    <mergeCell ref="B55:F55"/>
    <mergeCell ref="B56:F56"/>
    <mergeCell ref="B57:F57"/>
    <mergeCell ref="A65:A74"/>
    <mergeCell ref="B68:F68"/>
    <mergeCell ref="B69:F69"/>
    <mergeCell ref="B70:F70"/>
    <mergeCell ref="B71:F71"/>
    <mergeCell ref="B59:F59"/>
    <mergeCell ref="B60:F60"/>
    <mergeCell ref="A89:B89"/>
    <mergeCell ref="C89:I89"/>
    <mergeCell ref="F85:I87"/>
    <mergeCell ref="A85:C85"/>
    <mergeCell ref="A86:C86"/>
    <mergeCell ref="A87:C87"/>
    <mergeCell ref="A77:D77"/>
    <mergeCell ref="F80:H80"/>
    <mergeCell ref="F79:H79"/>
    <mergeCell ref="F83:H83"/>
    <mergeCell ref="F84:H84"/>
    <mergeCell ref="F77:I77"/>
    <mergeCell ref="F81:H81"/>
  </mergeCells>
  <phoneticPr fontId="1"/>
  <conditionalFormatting sqref="F85 B91 B55:B75 D78:D88 A78:A88 C89 B6:B52 C53:F54 G6:G74 L87:M89 N77:N88">
    <cfRule type="cellIs" dxfId="15" priority="3" stopIfTrue="1" operator="equal">
      <formula>0</formula>
    </cfRule>
  </conditionalFormatting>
  <conditionalFormatting sqref="L79:M86 M78">
    <cfRule type="cellIs" dxfId="14" priority="2" stopIfTrue="1" operator="equal">
      <formula>0</formula>
    </cfRule>
  </conditionalFormatting>
  <conditionalFormatting sqref="L17:M20">
    <cfRule type="cellIs" dxfId="13"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4"/>
  <sheetViews>
    <sheetView view="pageBreakPreview" topLeftCell="A4"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51" t="str">
        <f ca="1">通知票!A1</f>
        <v>２－２</v>
      </c>
      <c r="B1" s="139"/>
      <c r="C1" s="61" t="str">
        <f ca="1">通知票!C1</f>
        <v>1学期</v>
      </c>
    </row>
    <row r="2" spans="1:3" ht="18.75" customHeight="1">
      <c r="A2" s="62" t="s">
        <v>44</v>
      </c>
      <c r="B2" s="61">
        <v>15</v>
      </c>
      <c r="C2" s="73">
        <f ca="1">INDIRECT("'所見'!A"&amp;12+$B$2)</f>
        <v>0</v>
      </c>
    </row>
    <row r="3" spans="1:3" ht="12" customHeight="1">
      <c r="C3" s="9"/>
    </row>
    <row r="4" spans="1:3" ht="18.75" customHeight="1">
      <c r="A4" s="63" t="s">
        <v>5</v>
      </c>
      <c r="B4" s="64" t="s">
        <v>7</v>
      </c>
      <c r="C4" s="22" t="s">
        <v>45</v>
      </c>
    </row>
    <row r="5" spans="1:3" ht="75" customHeight="1">
      <c r="A5" s="65" t="s">
        <v>9</v>
      </c>
      <c r="B5" s="66">
        <f ca="1">OFFSET(国語!C12,0,$B$2)</f>
        <v>0</v>
      </c>
      <c r="C5" s="67">
        <f ca="1">INDIRECT("'国語'!B"&amp;14+$B$2)</f>
        <v>0</v>
      </c>
    </row>
    <row r="6" spans="1:3" ht="75" customHeight="1">
      <c r="A6" s="68" t="s">
        <v>1</v>
      </c>
      <c r="B6" s="69">
        <f ca="1">OFFSET(算数!C12,0,$B$2)</f>
        <v>0</v>
      </c>
      <c r="C6" s="70">
        <f ca="1">INDIRECT("'算数'!B"&amp;14+$B$2)</f>
        <v>0</v>
      </c>
    </row>
    <row r="7" spans="1:3" ht="75" customHeight="1">
      <c r="A7" s="65" t="s">
        <v>46</v>
      </c>
      <c r="B7" s="66">
        <f ca="1">OFFSET(生活!C12,0,$B$2)</f>
        <v>0</v>
      </c>
      <c r="C7" s="67">
        <f ca="1">INDIRECT("'生活'!B"&amp;14+$B$2)</f>
        <v>0</v>
      </c>
    </row>
    <row r="8" spans="1:3" ht="75" customHeight="1">
      <c r="A8" s="68" t="s">
        <v>10</v>
      </c>
      <c r="B8" s="69">
        <f ca="1">OFFSET(英語!C12,0,$B$2)</f>
        <v>0</v>
      </c>
      <c r="C8" s="70">
        <f ca="1">INDIRECT("'英語'!B"&amp;14+$B$2)</f>
        <v>0</v>
      </c>
    </row>
    <row r="9" spans="1:3" ht="75" customHeight="1">
      <c r="A9" s="65" t="s">
        <v>4</v>
      </c>
      <c r="B9" s="66">
        <f ca="1">OFFSET(音楽!C12,0,$B$2)</f>
        <v>0</v>
      </c>
      <c r="C9" s="67">
        <f ca="1">INDIRECT("'音楽'!B"&amp;14+$B$2)</f>
        <v>0</v>
      </c>
    </row>
    <row r="10" spans="1:3" ht="75" customHeight="1">
      <c r="A10" s="68" t="s">
        <v>2</v>
      </c>
      <c r="B10" s="69">
        <f ca="1">OFFSET(図工!C12,0,$B$2)</f>
        <v>0</v>
      </c>
      <c r="C10" s="70">
        <f ca="1">INDIRECT("'図工'!B"&amp;14+$B$2)</f>
        <v>0</v>
      </c>
    </row>
    <row r="11" spans="1:3" ht="75" customHeight="1">
      <c r="A11" s="65" t="s">
        <v>3</v>
      </c>
      <c r="B11" s="66">
        <f ca="1">OFFSET(体育!C12,0,$B$2)</f>
        <v>0</v>
      </c>
      <c r="C11" s="67">
        <f ca="1">INDIRECT("'体育'!B"&amp;14+$B$2)</f>
        <v>0</v>
      </c>
    </row>
    <row r="12" spans="1:3" ht="75" customHeight="1">
      <c r="A12" s="65" t="s">
        <v>25</v>
      </c>
      <c r="B12" s="152">
        <f ca="1">INDIRECT("'道徳'!B"&amp;2+$B$2)</f>
        <v>0</v>
      </c>
      <c r="C12" s="153"/>
    </row>
    <row r="13" spans="1:3" ht="18.75" customHeight="1">
      <c r="C13" s="71"/>
    </row>
    <row r="14" spans="1:3" ht="225" customHeight="1">
      <c r="A14" s="23" t="s">
        <v>12</v>
      </c>
      <c r="B14" s="72"/>
      <c r="C14" s="67">
        <f ca="1">INDIRECT("'所見'!B"&amp;通知票!$Q$5+$B$2)</f>
        <v>0</v>
      </c>
    </row>
  </sheetData>
  <mergeCells count="2">
    <mergeCell ref="A1:B1"/>
    <mergeCell ref="B12:C12"/>
  </mergeCells>
  <phoneticPr fontId="1"/>
  <conditionalFormatting sqref="C14 C5:C11">
    <cfRule type="cellIs" dxfId="12"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２－２</v>
      </c>
      <c r="B1" s="34" t="str">
        <f ca="1">RIGHT(CELL("filename",B1),LEN(CELL("filename",B1))-FIND("]",CELL("filename",B1)))</f>
        <v>国語</v>
      </c>
      <c r="C1" s="35" t="s">
        <v>26</v>
      </c>
      <c r="D1" s="36" t="str">
        <f>A15</f>
        <v>赤羽 咲良</v>
      </c>
      <c r="E1" s="36" t="str">
        <f>A16</f>
        <v>今井 千紗都</v>
      </c>
      <c r="F1" s="36" t="str">
        <f>A17</f>
        <v>上島 千茅</v>
      </c>
      <c r="G1" s="36" t="str">
        <f>A18</f>
        <v>小林 朋桃</v>
      </c>
      <c r="H1" s="36" t="str">
        <f>A19</f>
        <v>小森 朝陽</v>
      </c>
      <c r="I1" s="36" t="str">
        <f>A20</f>
        <v>佐野 望結</v>
      </c>
      <c r="J1" s="36" t="str">
        <f>A21</f>
        <v>西村 友李</v>
      </c>
      <c r="K1" s="36" t="str">
        <f>A22</f>
        <v>林 美佑</v>
      </c>
      <c r="L1" s="36">
        <f>A23</f>
        <v>0</v>
      </c>
      <c r="M1" s="36" t="str">
        <f>A24</f>
        <v>樋沢 壮真</v>
      </c>
      <c r="N1" s="36" t="str">
        <f>A25</f>
        <v>堀内 心遥</v>
      </c>
      <c r="O1" s="36" t="str">
        <f>A26</f>
        <v>南澤 育実</v>
      </c>
      <c r="P1" s="36" t="str">
        <f>A27</f>
        <v>山野 健斗</v>
      </c>
      <c r="Q1" s="36" t="str">
        <f>A28</f>
        <v>若松 優衣奈</v>
      </c>
      <c r="R1" s="36">
        <f>A29</f>
        <v>0</v>
      </c>
      <c r="S1" s="36">
        <f>A30</f>
        <v>0</v>
      </c>
      <c r="T1" s="36">
        <f>A31</f>
        <v>0</v>
      </c>
      <c r="U1" s="36">
        <f>A32</f>
        <v>0</v>
      </c>
      <c r="V1" s="36">
        <f>A33</f>
        <v>0</v>
      </c>
      <c r="W1" s="36">
        <f>A34</f>
        <v>0</v>
      </c>
      <c r="X1" s="37"/>
    </row>
    <row r="2" spans="1:25" ht="22.5" customHeight="1">
      <c r="A2" s="157" t="s">
        <v>162</v>
      </c>
      <c r="B2" s="81" t="s">
        <v>62</v>
      </c>
      <c r="C2" s="38" t="s">
        <v>27</v>
      </c>
      <c r="D2" s="39" t="s">
        <v>163</v>
      </c>
      <c r="E2" s="39" t="s">
        <v>164</v>
      </c>
      <c r="F2" s="39" t="s">
        <v>165</v>
      </c>
      <c r="G2" s="39" t="s">
        <v>166</v>
      </c>
      <c r="H2" s="39" t="s">
        <v>167</v>
      </c>
      <c r="I2" s="39" t="s">
        <v>164</v>
      </c>
      <c r="J2" s="39" t="s">
        <v>168</v>
      </c>
      <c r="K2" s="39" t="s">
        <v>168</v>
      </c>
      <c r="L2" s="39"/>
      <c r="M2" s="39" t="s">
        <v>169</v>
      </c>
      <c r="N2" s="39" t="s">
        <v>170</v>
      </c>
      <c r="O2" s="39" t="s">
        <v>168</v>
      </c>
      <c r="P2" s="39" t="s">
        <v>171</v>
      </c>
      <c r="Q2" s="39" t="s">
        <v>166</v>
      </c>
      <c r="R2" s="39"/>
      <c r="S2" s="39"/>
      <c r="T2" s="39"/>
      <c r="U2" s="39"/>
      <c r="V2" s="39"/>
      <c r="W2" s="39"/>
      <c r="X2" s="40" t="s">
        <v>170</v>
      </c>
      <c r="Y2" s="40">
        <v>1</v>
      </c>
    </row>
    <row r="3" spans="1:25" ht="22.5" customHeight="1">
      <c r="A3" s="158"/>
      <c r="B3" s="81" t="s">
        <v>63</v>
      </c>
      <c r="C3" s="38" t="s">
        <v>27</v>
      </c>
      <c r="D3" s="39" t="s">
        <v>172</v>
      </c>
      <c r="E3" s="39" t="s">
        <v>145</v>
      </c>
      <c r="F3" s="39" t="s">
        <v>173</v>
      </c>
      <c r="G3" s="39" t="s">
        <v>174</v>
      </c>
      <c r="H3" s="39" t="s">
        <v>175</v>
      </c>
      <c r="I3" s="39" t="s">
        <v>176</v>
      </c>
      <c r="J3" s="39" t="s">
        <v>177</v>
      </c>
      <c r="K3" s="39" t="s">
        <v>178</v>
      </c>
      <c r="L3" s="39"/>
      <c r="M3" s="39" t="s">
        <v>172</v>
      </c>
      <c r="N3" s="39" t="s">
        <v>163</v>
      </c>
      <c r="O3" s="39" t="s">
        <v>166</v>
      </c>
      <c r="P3" s="39" t="s">
        <v>168</v>
      </c>
      <c r="Q3" s="39" t="s">
        <v>179</v>
      </c>
      <c r="R3" s="39"/>
      <c r="S3" s="39"/>
      <c r="T3" s="39"/>
      <c r="U3" s="39"/>
      <c r="V3" s="39"/>
      <c r="W3" s="39"/>
      <c r="X3" s="40" t="s">
        <v>180</v>
      </c>
      <c r="Y3" s="40">
        <v>2</v>
      </c>
    </row>
    <row r="4" spans="1:25" ht="22.5" customHeight="1">
      <c r="A4" s="158"/>
      <c r="B4" s="81" t="s">
        <v>64</v>
      </c>
      <c r="C4" s="38" t="s">
        <v>27</v>
      </c>
      <c r="D4" s="39" t="s">
        <v>172</v>
      </c>
      <c r="E4" s="39" t="s">
        <v>172</v>
      </c>
      <c r="F4" s="39" t="s">
        <v>172</v>
      </c>
      <c r="G4" s="39" t="s">
        <v>176</v>
      </c>
      <c r="H4" s="39" t="s">
        <v>172</v>
      </c>
      <c r="I4" s="39" t="s">
        <v>172</v>
      </c>
      <c r="J4" s="39" t="s">
        <v>166</v>
      </c>
      <c r="K4" s="39" t="s">
        <v>171</v>
      </c>
      <c r="L4" s="39"/>
      <c r="M4" s="39" t="s">
        <v>172</v>
      </c>
      <c r="N4" s="39" t="s">
        <v>176</v>
      </c>
      <c r="O4" s="39" t="s">
        <v>172</v>
      </c>
      <c r="P4" s="39" t="s">
        <v>175</v>
      </c>
      <c r="Q4" s="39" t="s">
        <v>166</v>
      </c>
      <c r="R4" s="39"/>
      <c r="S4" s="39"/>
      <c r="T4" s="39"/>
      <c r="U4" s="39"/>
      <c r="V4" s="39"/>
      <c r="W4" s="39"/>
      <c r="X4" s="40" t="s">
        <v>181</v>
      </c>
      <c r="Y4" s="40">
        <v>3</v>
      </c>
    </row>
    <row r="5" spans="1:25" ht="22.5" customHeight="1">
      <c r="A5" s="158"/>
      <c r="B5" s="81" t="s">
        <v>68</v>
      </c>
      <c r="C5" s="38" t="s">
        <v>27</v>
      </c>
      <c r="D5" s="39" t="s">
        <v>173</v>
      </c>
      <c r="E5" s="39" t="s">
        <v>166</v>
      </c>
      <c r="F5" s="39" t="s">
        <v>166</v>
      </c>
      <c r="G5" s="39" t="s">
        <v>166</v>
      </c>
      <c r="H5" s="39" t="s">
        <v>166</v>
      </c>
      <c r="I5" s="39" t="s">
        <v>182</v>
      </c>
      <c r="J5" s="39" t="s">
        <v>166</v>
      </c>
      <c r="K5" s="39" t="s">
        <v>171</v>
      </c>
      <c r="L5" s="39"/>
      <c r="M5" s="39" t="s">
        <v>166</v>
      </c>
      <c r="N5" s="39" t="s">
        <v>166</v>
      </c>
      <c r="O5" s="39" t="s">
        <v>166</v>
      </c>
      <c r="P5" s="39" t="s">
        <v>166</v>
      </c>
      <c r="Q5" s="39" t="s">
        <v>166</v>
      </c>
      <c r="R5" s="39"/>
      <c r="S5" s="39"/>
      <c r="T5" s="39"/>
      <c r="U5" s="39"/>
      <c r="V5" s="39"/>
      <c r="W5" s="39"/>
      <c r="X5" s="40" t="s">
        <v>183</v>
      </c>
      <c r="Y5" s="40">
        <v>4</v>
      </c>
    </row>
    <row r="6" spans="1:25" ht="22.5" customHeight="1">
      <c r="A6" s="158"/>
      <c r="B6" s="81" t="s">
        <v>65</v>
      </c>
      <c r="C6" s="38" t="s">
        <v>27</v>
      </c>
      <c r="D6" s="39" t="s">
        <v>166</v>
      </c>
      <c r="E6" s="39" t="s">
        <v>170</v>
      </c>
      <c r="F6" s="39" t="s">
        <v>166</v>
      </c>
      <c r="G6" s="39" t="s">
        <v>166</v>
      </c>
      <c r="H6" s="39" t="s">
        <v>166</v>
      </c>
      <c r="I6" s="39" t="s">
        <v>166</v>
      </c>
      <c r="J6" s="39" t="s">
        <v>166</v>
      </c>
      <c r="K6" s="39" t="s">
        <v>163</v>
      </c>
      <c r="L6" s="39"/>
      <c r="M6" s="39" t="s">
        <v>168</v>
      </c>
      <c r="N6" s="39" t="s">
        <v>166</v>
      </c>
      <c r="O6" s="39" t="s">
        <v>166</v>
      </c>
      <c r="P6" s="39" t="s">
        <v>166</v>
      </c>
      <c r="Q6" s="39" t="s">
        <v>179</v>
      </c>
      <c r="R6" s="39"/>
      <c r="S6" s="39"/>
      <c r="T6" s="39"/>
      <c r="U6" s="39"/>
      <c r="V6" s="39"/>
      <c r="W6" s="39"/>
      <c r="X6" s="40"/>
      <c r="Y6" s="40">
        <v>5</v>
      </c>
    </row>
    <row r="7" spans="1:25" ht="22.5" customHeight="1">
      <c r="A7" s="158"/>
      <c r="B7" s="81" t="s">
        <v>66</v>
      </c>
      <c r="C7" s="38" t="s">
        <v>27</v>
      </c>
      <c r="D7" s="39" t="s">
        <v>168</v>
      </c>
      <c r="E7" s="39" t="s">
        <v>166</v>
      </c>
      <c r="F7" s="39" t="s">
        <v>166</v>
      </c>
      <c r="G7" s="39" t="s">
        <v>166</v>
      </c>
      <c r="H7" s="39" t="s">
        <v>166</v>
      </c>
      <c r="I7" s="39" t="s">
        <v>166</v>
      </c>
      <c r="J7" s="39" t="s">
        <v>166</v>
      </c>
      <c r="K7" s="39" t="s">
        <v>166</v>
      </c>
      <c r="L7" s="39"/>
      <c r="M7" s="39" t="s">
        <v>166</v>
      </c>
      <c r="N7" s="39" t="s">
        <v>166</v>
      </c>
      <c r="O7" s="39" t="s">
        <v>166</v>
      </c>
      <c r="P7" s="39" t="s">
        <v>166</v>
      </c>
      <c r="Q7" s="39" t="s">
        <v>166</v>
      </c>
      <c r="R7" s="39"/>
      <c r="S7" s="39"/>
      <c r="T7" s="39"/>
      <c r="U7" s="39"/>
      <c r="V7" s="39"/>
      <c r="W7" s="39"/>
      <c r="X7" s="40"/>
      <c r="Y7" s="40" t="s">
        <v>183</v>
      </c>
    </row>
    <row r="8" spans="1:25" ht="22.5" customHeight="1">
      <c r="A8" s="158"/>
      <c r="B8" s="81" t="s">
        <v>67</v>
      </c>
      <c r="C8" s="38" t="s">
        <v>27</v>
      </c>
      <c r="D8" s="39" t="s">
        <v>163</v>
      </c>
      <c r="E8" s="39" t="s">
        <v>172</v>
      </c>
      <c r="F8" s="39" t="s">
        <v>166</v>
      </c>
      <c r="G8" s="39" t="s">
        <v>173</v>
      </c>
      <c r="H8" s="39" t="s">
        <v>172</v>
      </c>
      <c r="I8" s="39" t="s">
        <v>166</v>
      </c>
      <c r="J8" s="39" t="s">
        <v>169</v>
      </c>
      <c r="K8" s="39" t="s">
        <v>170</v>
      </c>
      <c r="L8" s="39"/>
      <c r="M8" s="39" t="s">
        <v>166</v>
      </c>
      <c r="N8" s="39" t="s">
        <v>171</v>
      </c>
      <c r="O8" s="39" t="s">
        <v>166</v>
      </c>
      <c r="P8" s="39" t="s">
        <v>166</v>
      </c>
      <c r="Q8" s="39" t="s">
        <v>166</v>
      </c>
      <c r="R8" s="39"/>
      <c r="S8" s="39"/>
      <c r="T8" s="39"/>
      <c r="U8" s="39"/>
      <c r="V8" s="39"/>
      <c r="W8" s="39"/>
    </row>
    <row r="9" spans="1:25" ht="22.5" customHeight="1">
      <c r="A9" s="158"/>
      <c r="B9" s="81" t="s">
        <v>69</v>
      </c>
      <c r="C9" s="38" t="s">
        <v>27</v>
      </c>
      <c r="D9" s="39" t="s">
        <v>166</v>
      </c>
      <c r="E9" s="39" t="s">
        <v>163</v>
      </c>
      <c r="F9" s="39" t="s">
        <v>166</v>
      </c>
      <c r="G9" s="39" t="s">
        <v>166</v>
      </c>
      <c r="H9" s="39" t="s">
        <v>166</v>
      </c>
      <c r="I9" s="39" t="s">
        <v>166</v>
      </c>
      <c r="J9" s="39" t="s">
        <v>166</v>
      </c>
      <c r="K9" s="39" t="s">
        <v>166</v>
      </c>
      <c r="L9" s="39"/>
      <c r="M9" s="39" t="s">
        <v>166</v>
      </c>
      <c r="N9" s="39" t="s">
        <v>166</v>
      </c>
      <c r="O9" s="39" t="s">
        <v>166</v>
      </c>
      <c r="P9" s="39" t="s">
        <v>166</v>
      </c>
      <c r="Q9" s="39" t="s">
        <v>166</v>
      </c>
      <c r="R9" s="39"/>
      <c r="S9" s="39"/>
      <c r="T9" s="39"/>
      <c r="U9" s="39"/>
      <c r="V9" s="39"/>
      <c r="W9" s="39"/>
    </row>
    <row r="10" spans="1:25" ht="22.5" customHeight="1">
      <c r="A10" s="158"/>
      <c r="B10" s="41" t="s">
        <v>70</v>
      </c>
      <c r="C10" s="38" t="s">
        <v>27</v>
      </c>
      <c r="D10" s="39" t="s">
        <v>166</v>
      </c>
      <c r="E10" s="39" t="s">
        <v>172</v>
      </c>
      <c r="F10" s="39" t="s">
        <v>166</v>
      </c>
      <c r="G10" s="39" t="s">
        <v>163</v>
      </c>
      <c r="H10" s="39" t="s">
        <v>172</v>
      </c>
      <c r="I10" s="39" t="s">
        <v>172</v>
      </c>
      <c r="J10" s="39" t="s">
        <v>173</v>
      </c>
      <c r="K10" s="39" t="s">
        <v>166</v>
      </c>
      <c r="L10" s="39"/>
      <c r="M10" s="39" t="s">
        <v>172</v>
      </c>
      <c r="N10" s="39" t="s">
        <v>169</v>
      </c>
      <c r="O10" s="39" t="s">
        <v>166</v>
      </c>
      <c r="P10" s="39" t="s">
        <v>172</v>
      </c>
      <c r="Q10" s="39" t="s">
        <v>171</v>
      </c>
      <c r="R10" s="39"/>
      <c r="S10" s="39"/>
      <c r="T10" s="39"/>
      <c r="U10" s="39"/>
      <c r="V10" s="39"/>
      <c r="W10" s="39"/>
    </row>
    <row r="11" spans="1:25" ht="22.5" customHeight="1">
      <c r="A11" s="158"/>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59"/>
      <c r="B12" s="42"/>
      <c r="C12" s="43" t="s">
        <v>28</v>
      </c>
      <c r="D12" s="39">
        <v>5</v>
      </c>
      <c r="E12" s="39">
        <v>4</v>
      </c>
      <c r="F12" s="39">
        <v>5</v>
      </c>
      <c r="G12" s="39">
        <v>5</v>
      </c>
      <c r="H12" s="39">
        <v>4</v>
      </c>
      <c r="I12" s="39">
        <v>4</v>
      </c>
      <c r="J12" s="39">
        <v>5</v>
      </c>
      <c r="K12" s="39">
        <v>5</v>
      </c>
      <c r="L12" s="39"/>
      <c r="M12" s="39">
        <v>4</v>
      </c>
      <c r="N12" s="39">
        <v>5</v>
      </c>
      <c r="O12" s="39">
        <v>5</v>
      </c>
      <c r="P12" s="39">
        <v>5</v>
      </c>
      <c r="Q12" s="39">
        <v>5</v>
      </c>
      <c r="R12" s="39"/>
      <c r="S12" s="39"/>
      <c r="T12" s="39"/>
      <c r="U12" s="39"/>
      <c r="V12" s="39"/>
      <c r="W12" s="39"/>
    </row>
    <row r="13" spans="1:25" ht="26.25" customHeight="1">
      <c r="A13" s="44"/>
      <c r="B13" s="44"/>
      <c r="C13" s="76" t="s">
        <v>54</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0" t="s">
        <v>30</v>
      </c>
      <c r="C14" s="161"/>
      <c r="D14" s="161"/>
      <c r="E14" s="161"/>
      <c r="F14" s="161"/>
      <c r="G14" s="161"/>
      <c r="H14" s="161"/>
      <c r="I14" s="161"/>
      <c r="J14" s="161"/>
      <c r="K14" s="161"/>
      <c r="L14" s="161"/>
      <c r="M14" s="161"/>
      <c r="N14" s="161"/>
      <c r="O14" s="161"/>
      <c r="P14" s="161"/>
      <c r="Q14" s="161"/>
      <c r="R14" s="161"/>
      <c r="S14" s="161"/>
      <c r="T14" s="161"/>
      <c r="U14" s="161"/>
      <c r="V14" s="161"/>
      <c r="W14" s="162"/>
    </row>
    <row r="15" spans="1:25" ht="59.25" customHeight="1">
      <c r="A15" s="46" t="s">
        <v>77</v>
      </c>
      <c r="B15" s="154"/>
      <c r="C15" s="155"/>
      <c r="D15" s="155"/>
      <c r="E15" s="155"/>
      <c r="F15" s="155"/>
      <c r="G15" s="155"/>
      <c r="H15" s="155"/>
      <c r="I15" s="155"/>
      <c r="J15" s="155"/>
      <c r="K15" s="155"/>
      <c r="L15" s="155"/>
      <c r="M15" s="155"/>
      <c r="N15" s="155"/>
      <c r="O15" s="155"/>
      <c r="P15" s="155"/>
      <c r="Q15" s="155"/>
      <c r="R15" s="155"/>
      <c r="S15" s="155"/>
      <c r="T15" s="155"/>
      <c r="U15" s="155"/>
      <c r="V15" s="155"/>
      <c r="W15" s="156"/>
    </row>
    <row r="16" spans="1:25" ht="59.25" customHeight="1">
      <c r="A16" s="46" t="s">
        <v>78</v>
      </c>
      <c r="B16" s="154"/>
      <c r="C16" s="155"/>
      <c r="D16" s="155"/>
      <c r="E16" s="155"/>
      <c r="F16" s="155"/>
      <c r="G16" s="155"/>
      <c r="H16" s="155"/>
      <c r="I16" s="155"/>
      <c r="J16" s="155"/>
      <c r="K16" s="155"/>
      <c r="L16" s="155"/>
      <c r="M16" s="155"/>
      <c r="N16" s="155"/>
      <c r="O16" s="155"/>
      <c r="P16" s="155"/>
      <c r="Q16" s="155"/>
      <c r="R16" s="155"/>
      <c r="S16" s="155"/>
      <c r="T16" s="155"/>
      <c r="U16" s="155"/>
      <c r="V16" s="155"/>
      <c r="W16" s="156"/>
    </row>
    <row r="17" spans="1:23" ht="59.25" customHeight="1">
      <c r="A17" s="46" t="s">
        <v>79</v>
      </c>
      <c r="B17" s="154"/>
      <c r="C17" s="155"/>
      <c r="D17" s="155"/>
      <c r="E17" s="155"/>
      <c r="F17" s="155"/>
      <c r="G17" s="155"/>
      <c r="H17" s="155"/>
      <c r="I17" s="155"/>
      <c r="J17" s="155"/>
      <c r="K17" s="155"/>
      <c r="L17" s="155"/>
      <c r="M17" s="155"/>
      <c r="N17" s="155"/>
      <c r="O17" s="155"/>
      <c r="P17" s="155"/>
      <c r="Q17" s="155"/>
      <c r="R17" s="155"/>
      <c r="S17" s="155"/>
      <c r="T17" s="155"/>
      <c r="U17" s="155"/>
      <c r="V17" s="155"/>
      <c r="W17" s="156"/>
    </row>
    <row r="18" spans="1:23" ht="59.25" customHeight="1">
      <c r="A18" s="46" t="s">
        <v>80</v>
      </c>
      <c r="B18" s="154"/>
      <c r="C18" s="155"/>
      <c r="D18" s="155"/>
      <c r="E18" s="155"/>
      <c r="F18" s="155"/>
      <c r="G18" s="155"/>
      <c r="H18" s="155"/>
      <c r="I18" s="155"/>
      <c r="J18" s="155"/>
      <c r="K18" s="155"/>
      <c r="L18" s="155"/>
      <c r="M18" s="155"/>
      <c r="N18" s="155"/>
      <c r="O18" s="155"/>
      <c r="P18" s="155"/>
      <c r="Q18" s="155"/>
      <c r="R18" s="155"/>
      <c r="S18" s="155"/>
      <c r="T18" s="155"/>
      <c r="U18" s="155"/>
      <c r="V18" s="155"/>
      <c r="W18" s="156"/>
    </row>
    <row r="19" spans="1:23" ht="59.25" customHeight="1">
      <c r="A19" s="46" t="s">
        <v>81</v>
      </c>
      <c r="B19" s="154"/>
      <c r="C19" s="155"/>
      <c r="D19" s="155"/>
      <c r="E19" s="155"/>
      <c r="F19" s="155"/>
      <c r="G19" s="155"/>
      <c r="H19" s="155"/>
      <c r="I19" s="155"/>
      <c r="J19" s="155"/>
      <c r="K19" s="155"/>
      <c r="L19" s="155"/>
      <c r="M19" s="155"/>
      <c r="N19" s="155"/>
      <c r="O19" s="155"/>
      <c r="P19" s="155"/>
      <c r="Q19" s="155"/>
      <c r="R19" s="155"/>
      <c r="S19" s="155"/>
      <c r="T19" s="155"/>
      <c r="U19" s="155"/>
      <c r="V19" s="155"/>
      <c r="W19" s="156"/>
    </row>
    <row r="20" spans="1:23" ht="59.25" customHeight="1">
      <c r="A20" s="46" t="s">
        <v>82</v>
      </c>
      <c r="B20" s="154"/>
      <c r="C20" s="155"/>
      <c r="D20" s="155"/>
      <c r="E20" s="155"/>
      <c r="F20" s="155"/>
      <c r="G20" s="155"/>
      <c r="H20" s="155"/>
      <c r="I20" s="155"/>
      <c r="J20" s="155"/>
      <c r="K20" s="155"/>
      <c r="L20" s="155"/>
      <c r="M20" s="155"/>
      <c r="N20" s="155"/>
      <c r="O20" s="155"/>
      <c r="P20" s="155"/>
      <c r="Q20" s="155"/>
      <c r="R20" s="155"/>
      <c r="S20" s="155"/>
      <c r="T20" s="155"/>
      <c r="U20" s="155"/>
      <c r="V20" s="155"/>
      <c r="W20" s="156"/>
    </row>
    <row r="21" spans="1:23" ht="59.25" customHeight="1">
      <c r="A21" s="46" t="s">
        <v>83</v>
      </c>
      <c r="B21" s="154"/>
      <c r="C21" s="155"/>
      <c r="D21" s="155"/>
      <c r="E21" s="155"/>
      <c r="F21" s="155"/>
      <c r="G21" s="155"/>
      <c r="H21" s="155"/>
      <c r="I21" s="155"/>
      <c r="J21" s="155"/>
      <c r="K21" s="155"/>
      <c r="L21" s="155"/>
      <c r="M21" s="155"/>
      <c r="N21" s="155"/>
      <c r="O21" s="155"/>
      <c r="P21" s="155"/>
      <c r="Q21" s="155"/>
      <c r="R21" s="155"/>
      <c r="S21" s="155"/>
      <c r="T21" s="155"/>
      <c r="U21" s="155"/>
      <c r="V21" s="155"/>
      <c r="W21" s="156"/>
    </row>
    <row r="22" spans="1:23" ht="59.25" customHeight="1">
      <c r="A22" s="46" t="s">
        <v>84</v>
      </c>
      <c r="B22" s="154"/>
      <c r="C22" s="155"/>
      <c r="D22" s="155"/>
      <c r="E22" s="155"/>
      <c r="F22" s="155"/>
      <c r="G22" s="155"/>
      <c r="H22" s="155"/>
      <c r="I22" s="155"/>
      <c r="J22" s="155"/>
      <c r="K22" s="155"/>
      <c r="L22" s="155"/>
      <c r="M22" s="155"/>
      <c r="N22" s="155"/>
      <c r="O22" s="155"/>
      <c r="P22" s="155"/>
      <c r="Q22" s="155"/>
      <c r="R22" s="155"/>
      <c r="S22" s="155"/>
      <c r="T22" s="155"/>
      <c r="U22" s="155"/>
      <c r="V22" s="155"/>
      <c r="W22" s="156"/>
    </row>
    <row r="23" spans="1:23" ht="59.25" customHeight="1">
      <c r="A23" s="46"/>
      <c r="B23" s="154"/>
      <c r="C23" s="155"/>
      <c r="D23" s="155"/>
      <c r="E23" s="155"/>
      <c r="F23" s="155"/>
      <c r="G23" s="155"/>
      <c r="H23" s="155"/>
      <c r="I23" s="155"/>
      <c r="J23" s="155"/>
      <c r="K23" s="155"/>
      <c r="L23" s="155"/>
      <c r="M23" s="155"/>
      <c r="N23" s="155"/>
      <c r="O23" s="155"/>
      <c r="P23" s="155"/>
      <c r="Q23" s="155"/>
      <c r="R23" s="155"/>
      <c r="S23" s="155"/>
      <c r="T23" s="155"/>
      <c r="U23" s="155"/>
      <c r="V23" s="155"/>
      <c r="W23" s="156"/>
    </row>
    <row r="24" spans="1:23" ht="59.25" customHeight="1">
      <c r="A24" s="46" t="s">
        <v>85</v>
      </c>
      <c r="B24" s="154"/>
      <c r="C24" s="155"/>
      <c r="D24" s="155"/>
      <c r="E24" s="155"/>
      <c r="F24" s="155"/>
      <c r="G24" s="155"/>
      <c r="H24" s="155"/>
      <c r="I24" s="155"/>
      <c r="J24" s="155"/>
      <c r="K24" s="155"/>
      <c r="L24" s="155"/>
      <c r="M24" s="155"/>
      <c r="N24" s="155"/>
      <c r="O24" s="155"/>
      <c r="P24" s="155"/>
      <c r="Q24" s="155"/>
      <c r="R24" s="155"/>
      <c r="S24" s="155"/>
      <c r="T24" s="155"/>
      <c r="U24" s="155"/>
      <c r="V24" s="155"/>
      <c r="W24" s="156"/>
    </row>
    <row r="25" spans="1:23" ht="59.25" customHeight="1">
      <c r="A25" s="46" t="s">
        <v>86</v>
      </c>
      <c r="B25" s="154"/>
      <c r="C25" s="155"/>
      <c r="D25" s="155"/>
      <c r="E25" s="155"/>
      <c r="F25" s="155"/>
      <c r="G25" s="155"/>
      <c r="H25" s="155"/>
      <c r="I25" s="155"/>
      <c r="J25" s="155"/>
      <c r="K25" s="155"/>
      <c r="L25" s="155"/>
      <c r="M25" s="155"/>
      <c r="N25" s="155"/>
      <c r="O25" s="155"/>
      <c r="P25" s="155"/>
      <c r="Q25" s="155"/>
      <c r="R25" s="155"/>
      <c r="S25" s="155"/>
      <c r="T25" s="155"/>
      <c r="U25" s="155"/>
      <c r="V25" s="155"/>
      <c r="W25" s="156"/>
    </row>
    <row r="26" spans="1:23" ht="59.25" customHeight="1">
      <c r="A26" s="46" t="s">
        <v>87</v>
      </c>
      <c r="B26" s="154"/>
      <c r="C26" s="155"/>
      <c r="D26" s="155"/>
      <c r="E26" s="155"/>
      <c r="F26" s="155"/>
      <c r="G26" s="155"/>
      <c r="H26" s="155"/>
      <c r="I26" s="155"/>
      <c r="J26" s="155"/>
      <c r="K26" s="155"/>
      <c r="L26" s="155"/>
      <c r="M26" s="155"/>
      <c r="N26" s="155"/>
      <c r="O26" s="155"/>
      <c r="P26" s="155"/>
      <c r="Q26" s="155"/>
      <c r="R26" s="155"/>
      <c r="S26" s="155"/>
      <c r="T26" s="155"/>
      <c r="U26" s="155"/>
      <c r="V26" s="155"/>
      <c r="W26" s="156"/>
    </row>
    <row r="27" spans="1:23" ht="59.25" customHeight="1">
      <c r="A27" s="46" t="s">
        <v>88</v>
      </c>
      <c r="B27" s="154"/>
      <c r="C27" s="155"/>
      <c r="D27" s="155"/>
      <c r="E27" s="155"/>
      <c r="F27" s="155"/>
      <c r="G27" s="155"/>
      <c r="H27" s="155"/>
      <c r="I27" s="155"/>
      <c r="J27" s="155"/>
      <c r="K27" s="155"/>
      <c r="L27" s="155"/>
      <c r="M27" s="155"/>
      <c r="N27" s="155"/>
      <c r="O27" s="155"/>
      <c r="P27" s="155"/>
      <c r="Q27" s="155"/>
      <c r="R27" s="155"/>
      <c r="S27" s="155"/>
      <c r="T27" s="155"/>
      <c r="U27" s="155"/>
      <c r="V27" s="155"/>
      <c r="W27" s="156"/>
    </row>
    <row r="28" spans="1:23" ht="59.25" customHeight="1">
      <c r="A28" s="46" t="s">
        <v>89</v>
      </c>
      <c r="B28" s="154"/>
      <c r="C28" s="155"/>
      <c r="D28" s="155"/>
      <c r="E28" s="155"/>
      <c r="F28" s="155"/>
      <c r="G28" s="155"/>
      <c r="H28" s="155"/>
      <c r="I28" s="155"/>
      <c r="J28" s="155"/>
      <c r="K28" s="155"/>
      <c r="L28" s="155"/>
      <c r="M28" s="155"/>
      <c r="N28" s="155"/>
      <c r="O28" s="155"/>
      <c r="P28" s="155"/>
      <c r="Q28" s="155"/>
      <c r="R28" s="155"/>
      <c r="S28" s="155"/>
      <c r="T28" s="155"/>
      <c r="U28" s="155"/>
      <c r="V28" s="155"/>
      <c r="W28" s="156"/>
    </row>
    <row r="29" spans="1:23" ht="59.25" customHeight="1">
      <c r="A29" s="46"/>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3" ht="59.25" customHeight="1">
      <c r="A30" s="46"/>
      <c r="B30" s="154"/>
      <c r="C30" s="155"/>
      <c r="D30" s="155"/>
      <c r="E30" s="155"/>
      <c r="F30" s="155"/>
      <c r="G30" s="155"/>
      <c r="H30" s="155"/>
      <c r="I30" s="155"/>
      <c r="J30" s="155"/>
      <c r="K30" s="155"/>
      <c r="L30" s="155"/>
      <c r="M30" s="155"/>
      <c r="N30" s="155"/>
      <c r="O30" s="155"/>
      <c r="P30" s="155"/>
      <c r="Q30" s="155"/>
      <c r="R30" s="155"/>
      <c r="S30" s="155"/>
      <c r="T30" s="155"/>
      <c r="U30" s="155"/>
      <c r="V30" s="155"/>
      <c r="W30" s="156"/>
    </row>
    <row r="31" spans="1:23" ht="59.25" customHeight="1">
      <c r="A31" s="46"/>
      <c r="B31" s="154"/>
      <c r="C31" s="155"/>
      <c r="D31" s="155"/>
      <c r="E31" s="155"/>
      <c r="F31" s="155"/>
      <c r="G31" s="155"/>
      <c r="H31" s="155"/>
      <c r="I31" s="155"/>
      <c r="J31" s="155"/>
      <c r="K31" s="155"/>
      <c r="L31" s="155"/>
      <c r="M31" s="155"/>
      <c r="N31" s="155"/>
      <c r="O31" s="155"/>
      <c r="P31" s="155"/>
      <c r="Q31" s="155"/>
      <c r="R31" s="155"/>
      <c r="S31" s="155"/>
      <c r="T31" s="155"/>
      <c r="U31" s="155"/>
      <c r="V31" s="155"/>
      <c r="W31" s="156"/>
    </row>
    <row r="32" spans="1:23" ht="59.25" customHeight="1">
      <c r="A32" s="46"/>
      <c r="B32" s="154"/>
      <c r="C32" s="155"/>
      <c r="D32" s="155"/>
      <c r="E32" s="155"/>
      <c r="F32" s="155"/>
      <c r="G32" s="155"/>
      <c r="H32" s="155"/>
      <c r="I32" s="155"/>
      <c r="J32" s="155"/>
      <c r="K32" s="155"/>
      <c r="L32" s="155"/>
      <c r="M32" s="155"/>
      <c r="N32" s="155"/>
      <c r="O32" s="155"/>
      <c r="P32" s="155"/>
      <c r="Q32" s="155"/>
      <c r="R32" s="155"/>
      <c r="S32" s="155"/>
      <c r="T32" s="155"/>
      <c r="U32" s="155"/>
      <c r="V32" s="155"/>
      <c r="W32" s="156"/>
    </row>
    <row r="33" spans="1:23" ht="59.25" customHeight="1">
      <c r="A33" s="46"/>
      <c r="B33" s="154"/>
      <c r="C33" s="155"/>
      <c r="D33" s="155"/>
      <c r="E33" s="155"/>
      <c r="F33" s="155"/>
      <c r="G33" s="155"/>
      <c r="H33" s="155"/>
      <c r="I33" s="155"/>
      <c r="J33" s="155"/>
      <c r="K33" s="155"/>
      <c r="L33" s="155"/>
      <c r="M33" s="155"/>
      <c r="N33" s="155"/>
      <c r="O33" s="155"/>
      <c r="P33" s="155"/>
      <c r="Q33" s="155"/>
      <c r="R33" s="155"/>
      <c r="S33" s="155"/>
      <c r="T33" s="155"/>
      <c r="U33" s="155"/>
      <c r="V33" s="155"/>
      <c r="W33" s="156"/>
    </row>
    <row r="34" spans="1:23" ht="59.25" customHeight="1">
      <c r="A34" s="46"/>
      <c r="B34" s="154"/>
      <c r="C34" s="155"/>
      <c r="D34" s="155"/>
      <c r="E34" s="155"/>
      <c r="F34" s="155"/>
      <c r="G34" s="155"/>
      <c r="H34" s="155"/>
      <c r="I34" s="155"/>
      <c r="J34" s="155"/>
      <c r="K34" s="155"/>
      <c r="L34" s="155"/>
      <c r="M34" s="155"/>
      <c r="N34" s="155"/>
      <c r="O34" s="155"/>
      <c r="P34" s="155"/>
      <c r="Q34" s="155"/>
      <c r="R34" s="155"/>
      <c r="S34" s="155"/>
      <c r="T34" s="155"/>
      <c r="U34" s="155"/>
      <c r="V34" s="155"/>
      <c r="W34" s="15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２－２</v>
      </c>
      <c r="B1" s="34" t="str">
        <f ca="1">RIGHT(CELL("filename",B1),LEN(CELL("filename",B1))-FIND("]",CELL("filename",B1)))</f>
        <v>算数</v>
      </c>
      <c r="C1" s="35" t="s">
        <v>26</v>
      </c>
      <c r="D1" s="36" t="str">
        <f>A15</f>
        <v>赤羽 咲良</v>
      </c>
      <c r="E1" s="36" t="str">
        <f>A16</f>
        <v>今井 千紗都</v>
      </c>
      <c r="F1" s="36" t="str">
        <f>A17</f>
        <v>上島 千茅</v>
      </c>
      <c r="G1" s="36" t="str">
        <f>A18</f>
        <v>小林 朋桃</v>
      </c>
      <c r="H1" s="36" t="str">
        <f>A19</f>
        <v>小森 朝陽</v>
      </c>
      <c r="I1" s="36" t="str">
        <f>A20</f>
        <v>佐野 望結</v>
      </c>
      <c r="J1" s="36" t="str">
        <f>A21</f>
        <v>西村 友李</v>
      </c>
      <c r="K1" s="36" t="str">
        <f>A22</f>
        <v>林 美佑</v>
      </c>
      <c r="L1" s="36">
        <f>A23</f>
        <v>0</v>
      </c>
      <c r="M1" s="36" t="str">
        <f>A24</f>
        <v>樋沢 壮真</v>
      </c>
      <c r="N1" s="36" t="str">
        <f>A25</f>
        <v>堀内 心遥</v>
      </c>
      <c r="O1" s="36" t="str">
        <f>A26</f>
        <v>南澤 育実</v>
      </c>
      <c r="P1" s="36" t="str">
        <f>A27</f>
        <v>山野 健斗</v>
      </c>
      <c r="Q1" s="36" t="str">
        <f>A28</f>
        <v>若松 優衣奈</v>
      </c>
      <c r="R1" s="36">
        <f>A29</f>
        <v>0</v>
      </c>
      <c r="S1" s="36">
        <f>A30</f>
        <v>0</v>
      </c>
      <c r="T1" s="36">
        <f>A31</f>
        <v>0</v>
      </c>
      <c r="U1" s="36">
        <f>A32</f>
        <v>0</v>
      </c>
      <c r="V1" s="36">
        <f>A33</f>
        <v>0</v>
      </c>
      <c r="W1" s="36">
        <f>A34</f>
        <v>0</v>
      </c>
      <c r="X1" s="37"/>
    </row>
    <row r="2" spans="1:25" ht="22.5" customHeight="1">
      <c r="A2" s="157" t="s">
        <v>184</v>
      </c>
      <c r="B2" s="41" t="s">
        <v>59</v>
      </c>
      <c r="C2" s="38" t="s">
        <v>27</v>
      </c>
      <c r="D2" s="39" t="s">
        <v>185</v>
      </c>
      <c r="E2" s="39" t="s">
        <v>186</v>
      </c>
      <c r="F2" s="39" t="s">
        <v>185</v>
      </c>
      <c r="G2" s="39" t="s">
        <v>185</v>
      </c>
      <c r="H2" s="39" t="s">
        <v>185</v>
      </c>
      <c r="I2" s="39" t="s">
        <v>186</v>
      </c>
      <c r="J2" s="39" t="s">
        <v>185</v>
      </c>
      <c r="K2" s="39" t="s">
        <v>185</v>
      </c>
      <c r="L2" s="39"/>
      <c r="M2" s="39" t="s">
        <v>185</v>
      </c>
      <c r="N2" s="39" t="s">
        <v>185</v>
      </c>
      <c r="O2" s="39" t="s">
        <v>166</v>
      </c>
      <c r="P2" s="39" t="s">
        <v>185</v>
      </c>
      <c r="Q2" s="39" t="s">
        <v>185</v>
      </c>
      <c r="R2" s="39"/>
      <c r="S2" s="39"/>
      <c r="T2" s="39"/>
      <c r="U2" s="39"/>
      <c r="V2" s="39"/>
      <c r="W2" s="39"/>
      <c r="X2" s="40" t="s">
        <v>166</v>
      </c>
      <c r="Y2" s="40">
        <v>1</v>
      </c>
    </row>
    <row r="3" spans="1:25" ht="22.5" customHeight="1">
      <c r="A3" s="158"/>
      <c r="B3" s="41" t="s">
        <v>55</v>
      </c>
      <c r="C3" s="38" t="s">
        <v>27</v>
      </c>
      <c r="D3" s="39" t="s">
        <v>185</v>
      </c>
      <c r="E3" s="39" t="s">
        <v>166</v>
      </c>
      <c r="F3" s="39" t="s">
        <v>185</v>
      </c>
      <c r="G3" s="39" t="s">
        <v>185</v>
      </c>
      <c r="H3" s="39" t="s">
        <v>185</v>
      </c>
      <c r="I3" s="39" t="s">
        <v>185</v>
      </c>
      <c r="J3" s="39" t="s">
        <v>185</v>
      </c>
      <c r="K3" s="39" t="s">
        <v>166</v>
      </c>
      <c r="L3" s="39"/>
      <c r="M3" s="39" t="s">
        <v>185</v>
      </c>
      <c r="N3" s="39" t="s">
        <v>166</v>
      </c>
      <c r="O3" s="39" t="s">
        <v>185</v>
      </c>
      <c r="P3" s="39" t="s">
        <v>185</v>
      </c>
      <c r="Q3" s="39" t="s">
        <v>185</v>
      </c>
      <c r="R3" s="39"/>
      <c r="S3" s="39"/>
      <c r="T3" s="39"/>
      <c r="U3" s="39"/>
      <c r="V3" s="39"/>
      <c r="W3" s="39"/>
      <c r="X3" s="40" t="s">
        <v>186</v>
      </c>
      <c r="Y3" s="40">
        <v>2</v>
      </c>
    </row>
    <row r="4" spans="1:25" ht="22.5" customHeight="1">
      <c r="A4" s="158"/>
      <c r="B4" s="41" t="s">
        <v>56</v>
      </c>
      <c r="C4" s="38" t="s">
        <v>27</v>
      </c>
      <c r="D4" s="39" t="s">
        <v>166</v>
      </c>
      <c r="E4" s="39" t="s">
        <v>185</v>
      </c>
      <c r="F4" s="39" t="s">
        <v>166</v>
      </c>
      <c r="G4" s="39" t="s">
        <v>166</v>
      </c>
      <c r="H4" s="39" t="s">
        <v>166</v>
      </c>
      <c r="I4" s="39" t="s">
        <v>166</v>
      </c>
      <c r="J4" s="39" t="s">
        <v>166</v>
      </c>
      <c r="K4" s="39" t="s">
        <v>185</v>
      </c>
      <c r="L4" s="39"/>
      <c r="M4" s="39" t="s">
        <v>185</v>
      </c>
      <c r="N4" s="39" t="s">
        <v>166</v>
      </c>
      <c r="O4" s="39" t="s">
        <v>166</v>
      </c>
      <c r="P4" s="39" t="s">
        <v>166</v>
      </c>
      <c r="Q4" s="39" t="s">
        <v>185</v>
      </c>
      <c r="R4" s="39"/>
      <c r="S4" s="39"/>
      <c r="T4" s="39"/>
      <c r="U4" s="39"/>
      <c r="V4" s="39"/>
      <c r="W4" s="39"/>
      <c r="X4" s="40" t="s">
        <v>187</v>
      </c>
      <c r="Y4" s="40">
        <v>3</v>
      </c>
    </row>
    <row r="5" spans="1:25" ht="22.5" customHeight="1">
      <c r="A5" s="158"/>
      <c r="B5" s="41" t="s">
        <v>57</v>
      </c>
      <c r="C5" s="38" t="s">
        <v>27</v>
      </c>
      <c r="D5" s="39" t="s">
        <v>185</v>
      </c>
      <c r="E5" s="39" t="s">
        <v>166</v>
      </c>
      <c r="F5" s="39" t="s">
        <v>166</v>
      </c>
      <c r="G5" s="39" t="s">
        <v>166</v>
      </c>
      <c r="H5" s="39" t="s">
        <v>185</v>
      </c>
      <c r="I5" s="39" t="s">
        <v>166</v>
      </c>
      <c r="J5" s="39" t="s">
        <v>166</v>
      </c>
      <c r="K5" s="39" t="s">
        <v>185</v>
      </c>
      <c r="L5" s="39"/>
      <c r="M5" s="39" t="s">
        <v>166</v>
      </c>
      <c r="N5" s="39" t="s">
        <v>185</v>
      </c>
      <c r="O5" s="39" t="s">
        <v>166</v>
      </c>
      <c r="P5" s="39" t="s">
        <v>185</v>
      </c>
      <c r="Q5" s="39" t="s">
        <v>166</v>
      </c>
      <c r="R5" s="39"/>
      <c r="S5" s="39"/>
      <c r="T5" s="39"/>
      <c r="U5" s="39"/>
      <c r="V5" s="39"/>
      <c r="W5" s="39"/>
      <c r="X5" s="40" t="s">
        <v>183</v>
      </c>
      <c r="Y5" s="40">
        <v>4</v>
      </c>
    </row>
    <row r="6" spans="1:25" ht="22.5" customHeight="1">
      <c r="A6" s="158"/>
      <c r="B6" s="41" t="s">
        <v>90</v>
      </c>
      <c r="C6" s="38" t="s">
        <v>27</v>
      </c>
      <c r="D6" s="39" t="s">
        <v>172</v>
      </c>
      <c r="E6" s="39" t="s">
        <v>185</v>
      </c>
      <c r="F6" s="39" t="s">
        <v>166</v>
      </c>
      <c r="G6" s="39" t="s">
        <v>166</v>
      </c>
      <c r="H6" s="39" t="s">
        <v>186</v>
      </c>
      <c r="I6" s="39" t="s">
        <v>166</v>
      </c>
      <c r="J6" s="39" t="s">
        <v>185</v>
      </c>
      <c r="K6" s="39" t="s">
        <v>166</v>
      </c>
      <c r="L6" s="39"/>
      <c r="M6" s="39" t="s">
        <v>186</v>
      </c>
      <c r="N6" s="39" t="s">
        <v>166</v>
      </c>
      <c r="O6" s="39" t="s">
        <v>166</v>
      </c>
      <c r="P6" s="39" t="s">
        <v>172</v>
      </c>
      <c r="Q6" s="39" t="s">
        <v>166</v>
      </c>
      <c r="R6" s="39"/>
      <c r="S6" s="39"/>
      <c r="T6" s="39"/>
      <c r="U6" s="39"/>
      <c r="V6" s="39"/>
      <c r="W6" s="39"/>
      <c r="X6" s="40"/>
      <c r="Y6" s="40">
        <v>5</v>
      </c>
    </row>
    <row r="7" spans="1:25" ht="22.5" customHeight="1">
      <c r="A7" s="158"/>
      <c r="B7" s="41" t="s">
        <v>60</v>
      </c>
      <c r="C7" s="38" t="s">
        <v>27</v>
      </c>
      <c r="D7" s="39" t="s">
        <v>185</v>
      </c>
      <c r="E7" s="39" t="s">
        <v>166</v>
      </c>
      <c r="F7" s="39" t="s">
        <v>166</v>
      </c>
      <c r="G7" s="39" t="s">
        <v>166</v>
      </c>
      <c r="H7" s="39" t="s">
        <v>166</v>
      </c>
      <c r="I7" s="39" t="s">
        <v>166</v>
      </c>
      <c r="J7" s="39" t="s">
        <v>166</v>
      </c>
      <c r="K7" s="39" t="s">
        <v>166</v>
      </c>
      <c r="L7" s="39"/>
      <c r="M7" s="39" t="s">
        <v>166</v>
      </c>
      <c r="N7" s="39" t="s">
        <v>172</v>
      </c>
      <c r="O7" s="39" t="s">
        <v>166</v>
      </c>
      <c r="P7" s="39" t="s">
        <v>166</v>
      </c>
      <c r="Q7" s="39" t="s">
        <v>166</v>
      </c>
      <c r="R7" s="39"/>
      <c r="S7" s="39"/>
      <c r="T7" s="39"/>
      <c r="U7" s="39"/>
      <c r="V7" s="39"/>
      <c r="W7" s="39"/>
      <c r="X7" s="40"/>
      <c r="Y7" s="40" t="s">
        <v>183</v>
      </c>
    </row>
    <row r="8" spans="1:25" ht="22.5" customHeight="1">
      <c r="A8" s="158"/>
      <c r="B8" s="41" t="s">
        <v>61</v>
      </c>
      <c r="C8" s="38" t="s">
        <v>27</v>
      </c>
      <c r="D8" s="39" t="s">
        <v>185</v>
      </c>
      <c r="E8" s="39" t="s">
        <v>183</v>
      </c>
      <c r="F8" s="39" t="s">
        <v>166</v>
      </c>
      <c r="G8" s="39" t="s">
        <v>185</v>
      </c>
      <c r="H8" s="39" t="s">
        <v>166</v>
      </c>
      <c r="I8" s="39" t="s">
        <v>166</v>
      </c>
      <c r="J8" s="39" t="s">
        <v>166</v>
      </c>
      <c r="K8" s="39" t="s">
        <v>185</v>
      </c>
      <c r="L8" s="39"/>
      <c r="M8" s="39" t="s">
        <v>166</v>
      </c>
      <c r="N8" s="39" t="s">
        <v>166</v>
      </c>
      <c r="O8" s="39" t="s">
        <v>166</v>
      </c>
      <c r="P8" s="39" t="s">
        <v>166</v>
      </c>
      <c r="Q8" s="39" t="s">
        <v>166</v>
      </c>
      <c r="R8" s="39"/>
      <c r="S8" s="39"/>
      <c r="T8" s="39"/>
      <c r="U8" s="39"/>
      <c r="V8" s="39"/>
      <c r="W8" s="39"/>
    </row>
    <row r="9" spans="1:25" ht="22.5" customHeight="1">
      <c r="A9" s="158"/>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8"/>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8"/>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59"/>
      <c r="B12" s="42"/>
      <c r="C12" s="43" t="s">
        <v>28</v>
      </c>
      <c r="D12" s="39">
        <v>5</v>
      </c>
      <c r="E12" s="39">
        <v>5</v>
      </c>
      <c r="F12" s="39">
        <v>5</v>
      </c>
      <c r="G12" s="39">
        <v>5</v>
      </c>
      <c r="H12" s="39">
        <v>5</v>
      </c>
      <c r="I12" s="39">
        <v>5</v>
      </c>
      <c r="J12" s="39">
        <v>5</v>
      </c>
      <c r="K12" s="39">
        <v>5</v>
      </c>
      <c r="L12" s="39"/>
      <c r="M12" s="39">
        <v>5</v>
      </c>
      <c r="N12" s="39">
        <v>5</v>
      </c>
      <c r="O12" s="39">
        <v>5</v>
      </c>
      <c r="P12" s="39">
        <v>5</v>
      </c>
      <c r="Q12" s="39">
        <v>5</v>
      </c>
      <c r="R12" s="39"/>
      <c r="S12" s="39"/>
      <c r="T12" s="39"/>
      <c r="U12" s="39"/>
      <c r="V12" s="39"/>
      <c r="W12" s="39"/>
    </row>
    <row r="13" spans="1:25" ht="26.25" customHeight="1">
      <c r="A13" s="44"/>
      <c r="B13" s="44"/>
      <c r="C13" s="76" t="s">
        <v>54</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0" t="s">
        <v>30</v>
      </c>
      <c r="C14" s="161"/>
      <c r="D14" s="161"/>
      <c r="E14" s="161"/>
      <c r="F14" s="161"/>
      <c r="G14" s="161"/>
      <c r="H14" s="161"/>
      <c r="I14" s="161"/>
      <c r="J14" s="161"/>
      <c r="K14" s="161"/>
      <c r="L14" s="161"/>
      <c r="M14" s="161"/>
      <c r="N14" s="161"/>
      <c r="O14" s="161"/>
      <c r="P14" s="161"/>
      <c r="Q14" s="161"/>
      <c r="R14" s="161"/>
      <c r="S14" s="161"/>
      <c r="T14" s="161"/>
      <c r="U14" s="161"/>
      <c r="V14" s="161"/>
      <c r="W14" s="162"/>
    </row>
    <row r="15" spans="1:25" ht="59.25" customHeight="1">
      <c r="A15" s="46" t="s">
        <v>77</v>
      </c>
      <c r="B15" s="154"/>
      <c r="C15" s="155"/>
      <c r="D15" s="155"/>
      <c r="E15" s="155"/>
      <c r="F15" s="155"/>
      <c r="G15" s="155"/>
      <c r="H15" s="155"/>
      <c r="I15" s="155"/>
      <c r="J15" s="155"/>
      <c r="K15" s="155"/>
      <c r="L15" s="155"/>
      <c r="M15" s="155"/>
      <c r="N15" s="155"/>
      <c r="O15" s="155"/>
      <c r="P15" s="155"/>
      <c r="Q15" s="155"/>
      <c r="R15" s="155"/>
      <c r="S15" s="155"/>
      <c r="T15" s="155"/>
      <c r="U15" s="155"/>
      <c r="V15" s="155"/>
      <c r="W15" s="156"/>
    </row>
    <row r="16" spans="1:25" ht="59.25" customHeight="1">
      <c r="A16" s="46" t="s">
        <v>78</v>
      </c>
      <c r="B16" s="154"/>
      <c r="C16" s="155"/>
      <c r="D16" s="155"/>
      <c r="E16" s="155"/>
      <c r="F16" s="155"/>
      <c r="G16" s="155"/>
      <c r="H16" s="155"/>
      <c r="I16" s="155"/>
      <c r="J16" s="155"/>
      <c r="K16" s="155"/>
      <c r="L16" s="155"/>
      <c r="M16" s="155"/>
      <c r="N16" s="155"/>
      <c r="O16" s="155"/>
      <c r="P16" s="155"/>
      <c r="Q16" s="155"/>
      <c r="R16" s="155"/>
      <c r="S16" s="155"/>
      <c r="T16" s="155"/>
      <c r="U16" s="155"/>
      <c r="V16" s="155"/>
      <c r="W16" s="156"/>
    </row>
    <row r="17" spans="1:23" ht="59.25" customHeight="1">
      <c r="A17" s="46" t="s">
        <v>79</v>
      </c>
      <c r="B17" s="154"/>
      <c r="C17" s="155"/>
      <c r="D17" s="155"/>
      <c r="E17" s="155"/>
      <c r="F17" s="155"/>
      <c r="G17" s="155"/>
      <c r="H17" s="155"/>
      <c r="I17" s="155"/>
      <c r="J17" s="155"/>
      <c r="K17" s="155"/>
      <c r="L17" s="155"/>
      <c r="M17" s="155"/>
      <c r="N17" s="155"/>
      <c r="O17" s="155"/>
      <c r="P17" s="155"/>
      <c r="Q17" s="155"/>
      <c r="R17" s="155"/>
      <c r="S17" s="155"/>
      <c r="T17" s="155"/>
      <c r="U17" s="155"/>
      <c r="V17" s="155"/>
      <c r="W17" s="156"/>
    </row>
    <row r="18" spans="1:23" ht="59.25" customHeight="1">
      <c r="A18" s="46" t="s">
        <v>80</v>
      </c>
      <c r="B18" s="154"/>
      <c r="C18" s="155"/>
      <c r="D18" s="155"/>
      <c r="E18" s="155"/>
      <c r="F18" s="155"/>
      <c r="G18" s="155"/>
      <c r="H18" s="155"/>
      <c r="I18" s="155"/>
      <c r="J18" s="155"/>
      <c r="K18" s="155"/>
      <c r="L18" s="155"/>
      <c r="M18" s="155"/>
      <c r="N18" s="155"/>
      <c r="O18" s="155"/>
      <c r="P18" s="155"/>
      <c r="Q18" s="155"/>
      <c r="R18" s="155"/>
      <c r="S18" s="155"/>
      <c r="T18" s="155"/>
      <c r="U18" s="155"/>
      <c r="V18" s="155"/>
      <c r="W18" s="156"/>
    </row>
    <row r="19" spans="1:23" ht="59.25" customHeight="1">
      <c r="A19" s="46" t="s">
        <v>81</v>
      </c>
      <c r="B19" s="154"/>
      <c r="C19" s="155"/>
      <c r="D19" s="155"/>
      <c r="E19" s="155"/>
      <c r="F19" s="155"/>
      <c r="G19" s="155"/>
      <c r="H19" s="155"/>
      <c r="I19" s="155"/>
      <c r="J19" s="155"/>
      <c r="K19" s="155"/>
      <c r="L19" s="155"/>
      <c r="M19" s="155"/>
      <c r="N19" s="155"/>
      <c r="O19" s="155"/>
      <c r="P19" s="155"/>
      <c r="Q19" s="155"/>
      <c r="R19" s="155"/>
      <c r="S19" s="155"/>
      <c r="T19" s="155"/>
      <c r="U19" s="155"/>
      <c r="V19" s="155"/>
      <c r="W19" s="156"/>
    </row>
    <row r="20" spans="1:23" ht="59.25" customHeight="1">
      <c r="A20" s="46" t="s">
        <v>82</v>
      </c>
      <c r="B20" s="154"/>
      <c r="C20" s="155"/>
      <c r="D20" s="155"/>
      <c r="E20" s="155"/>
      <c r="F20" s="155"/>
      <c r="G20" s="155"/>
      <c r="H20" s="155"/>
      <c r="I20" s="155"/>
      <c r="J20" s="155"/>
      <c r="K20" s="155"/>
      <c r="L20" s="155"/>
      <c r="M20" s="155"/>
      <c r="N20" s="155"/>
      <c r="O20" s="155"/>
      <c r="P20" s="155"/>
      <c r="Q20" s="155"/>
      <c r="R20" s="155"/>
      <c r="S20" s="155"/>
      <c r="T20" s="155"/>
      <c r="U20" s="155"/>
      <c r="V20" s="155"/>
      <c r="W20" s="156"/>
    </row>
    <row r="21" spans="1:23" ht="59.25" customHeight="1">
      <c r="A21" s="46" t="s">
        <v>83</v>
      </c>
      <c r="B21" s="154"/>
      <c r="C21" s="155"/>
      <c r="D21" s="155"/>
      <c r="E21" s="155"/>
      <c r="F21" s="155"/>
      <c r="G21" s="155"/>
      <c r="H21" s="155"/>
      <c r="I21" s="155"/>
      <c r="J21" s="155"/>
      <c r="K21" s="155"/>
      <c r="L21" s="155"/>
      <c r="M21" s="155"/>
      <c r="N21" s="155"/>
      <c r="O21" s="155"/>
      <c r="P21" s="155"/>
      <c r="Q21" s="155"/>
      <c r="R21" s="155"/>
      <c r="S21" s="155"/>
      <c r="T21" s="155"/>
      <c r="U21" s="155"/>
      <c r="V21" s="155"/>
      <c r="W21" s="156"/>
    </row>
    <row r="22" spans="1:23" ht="59.25" customHeight="1">
      <c r="A22" s="46" t="s">
        <v>84</v>
      </c>
      <c r="B22" s="154"/>
      <c r="C22" s="155"/>
      <c r="D22" s="155"/>
      <c r="E22" s="155"/>
      <c r="F22" s="155"/>
      <c r="G22" s="155"/>
      <c r="H22" s="155"/>
      <c r="I22" s="155"/>
      <c r="J22" s="155"/>
      <c r="K22" s="155"/>
      <c r="L22" s="155"/>
      <c r="M22" s="155"/>
      <c r="N22" s="155"/>
      <c r="O22" s="155"/>
      <c r="P22" s="155"/>
      <c r="Q22" s="155"/>
      <c r="R22" s="155"/>
      <c r="S22" s="155"/>
      <c r="T22" s="155"/>
      <c r="U22" s="155"/>
      <c r="V22" s="155"/>
      <c r="W22" s="156"/>
    </row>
    <row r="23" spans="1:23" ht="59.25" customHeight="1">
      <c r="A23" s="46"/>
      <c r="B23" s="154"/>
      <c r="C23" s="155"/>
      <c r="D23" s="155"/>
      <c r="E23" s="155"/>
      <c r="F23" s="155"/>
      <c r="G23" s="155"/>
      <c r="H23" s="155"/>
      <c r="I23" s="155"/>
      <c r="J23" s="155"/>
      <c r="K23" s="155"/>
      <c r="L23" s="155"/>
      <c r="M23" s="155"/>
      <c r="N23" s="155"/>
      <c r="O23" s="155"/>
      <c r="P23" s="155"/>
      <c r="Q23" s="155"/>
      <c r="R23" s="155"/>
      <c r="S23" s="155"/>
      <c r="T23" s="155"/>
      <c r="U23" s="155"/>
      <c r="V23" s="155"/>
      <c r="W23" s="156"/>
    </row>
    <row r="24" spans="1:23" ht="59.25" customHeight="1">
      <c r="A24" s="46" t="s">
        <v>85</v>
      </c>
      <c r="B24" s="154"/>
      <c r="C24" s="155"/>
      <c r="D24" s="155"/>
      <c r="E24" s="155"/>
      <c r="F24" s="155"/>
      <c r="G24" s="155"/>
      <c r="H24" s="155"/>
      <c r="I24" s="155"/>
      <c r="J24" s="155"/>
      <c r="K24" s="155"/>
      <c r="L24" s="155"/>
      <c r="M24" s="155"/>
      <c r="N24" s="155"/>
      <c r="O24" s="155"/>
      <c r="P24" s="155"/>
      <c r="Q24" s="155"/>
      <c r="R24" s="155"/>
      <c r="S24" s="155"/>
      <c r="T24" s="155"/>
      <c r="U24" s="155"/>
      <c r="V24" s="155"/>
      <c r="W24" s="156"/>
    </row>
    <row r="25" spans="1:23" ht="59.25" customHeight="1">
      <c r="A25" s="46" t="s">
        <v>86</v>
      </c>
      <c r="B25" s="154"/>
      <c r="C25" s="155"/>
      <c r="D25" s="155"/>
      <c r="E25" s="155"/>
      <c r="F25" s="155"/>
      <c r="G25" s="155"/>
      <c r="H25" s="155"/>
      <c r="I25" s="155"/>
      <c r="J25" s="155"/>
      <c r="K25" s="155"/>
      <c r="L25" s="155"/>
      <c r="M25" s="155"/>
      <c r="N25" s="155"/>
      <c r="O25" s="155"/>
      <c r="P25" s="155"/>
      <c r="Q25" s="155"/>
      <c r="R25" s="155"/>
      <c r="S25" s="155"/>
      <c r="T25" s="155"/>
      <c r="U25" s="155"/>
      <c r="V25" s="155"/>
      <c r="W25" s="156"/>
    </row>
    <row r="26" spans="1:23" ht="59.25" customHeight="1">
      <c r="A26" s="46" t="s">
        <v>87</v>
      </c>
      <c r="B26" s="154"/>
      <c r="C26" s="155"/>
      <c r="D26" s="155"/>
      <c r="E26" s="155"/>
      <c r="F26" s="155"/>
      <c r="G26" s="155"/>
      <c r="H26" s="155"/>
      <c r="I26" s="155"/>
      <c r="J26" s="155"/>
      <c r="K26" s="155"/>
      <c r="L26" s="155"/>
      <c r="M26" s="155"/>
      <c r="N26" s="155"/>
      <c r="O26" s="155"/>
      <c r="P26" s="155"/>
      <c r="Q26" s="155"/>
      <c r="R26" s="155"/>
      <c r="S26" s="155"/>
      <c r="T26" s="155"/>
      <c r="U26" s="155"/>
      <c r="V26" s="155"/>
      <c r="W26" s="156"/>
    </row>
    <row r="27" spans="1:23" ht="59.25" customHeight="1">
      <c r="A27" s="46" t="s">
        <v>88</v>
      </c>
      <c r="B27" s="154"/>
      <c r="C27" s="155"/>
      <c r="D27" s="155"/>
      <c r="E27" s="155"/>
      <c r="F27" s="155"/>
      <c r="G27" s="155"/>
      <c r="H27" s="155"/>
      <c r="I27" s="155"/>
      <c r="J27" s="155"/>
      <c r="K27" s="155"/>
      <c r="L27" s="155"/>
      <c r="M27" s="155"/>
      <c r="N27" s="155"/>
      <c r="O27" s="155"/>
      <c r="P27" s="155"/>
      <c r="Q27" s="155"/>
      <c r="R27" s="155"/>
      <c r="S27" s="155"/>
      <c r="T27" s="155"/>
      <c r="U27" s="155"/>
      <c r="V27" s="155"/>
      <c r="W27" s="156"/>
    </row>
    <row r="28" spans="1:23" ht="59.25" customHeight="1">
      <c r="A28" s="46" t="s">
        <v>89</v>
      </c>
      <c r="B28" s="154"/>
      <c r="C28" s="155"/>
      <c r="D28" s="155"/>
      <c r="E28" s="155"/>
      <c r="F28" s="155"/>
      <c r="G28" s="155"/>
      <c r="H28" s="155"/>
      <c r="I28" s="155"/>
      <c r="J28" s="155"/>
      <c r="K28" s="155"/>
      <c r="L28" s="155"/>
      <c r="M28" s="155"/>
      <c r="N28" s="155"/>
      <c r="O28" s="155"/>
      <c r="P28" s="155"/>
      <c r="Q28" s="155"/>
      <c r="R28" s="155"/>
      <c r="S28" s="155"/>
      <c r="T28" s="155"/>
      <c r="U28" s="155"/>
      <c r="V28" s="155"/>
      <c r="W28" s="156"/>
    </row>
    <row r="29" spans="1:23" ht="59.25" customHeight="1">
      <c r="A29" s="46"/>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3" ht="59.25" customHeight="1">
      <c r="A30" s="46"/>
      <c r="B30" s="154"/>
      <c r="C30" s="155"/>
      <c r="D30" s="155"/>
      <c r="E30" s="155"/>
      <c r="F30" s="155"/>
      <c r="G30" s="155"/>
      <c r="H30" s="155"/>
      <c r="I30" s="155"/>
      <c r="J30" s="155"/>
      <c r="K30" s="155"/>
      <c r="L30" s="155"/>
      <c r="M30" s="155"/>
      <c r="N30" s="155"/>
      <c r="O30" s="155"/>
      <c r="P30" s="155"/>
      <c r="Q30" s="155"/>
      <c r="R30" s="155"/>
      <c r="S30" s="155"/>
      <c r="T30" s="155"/>
      <c r="U30" s="155"/>
      <c r="V30" s="155"/>
      <c r="W30" s="156"/>
    </row>
    <row r="31" spans="1:23" ht="59.25" customHeight="1">
      <c r="A31" s="46"/>
      <c r="B31" s="154"/>
      <c r="C31" s="155"/>
      <c r="D31" s="155"/>
      <c r="E31" s="155"/>
      <c r="F31" s="155"/>
      <c r="G31" s="155"/>
      <c r="H31" s="155"/>
      <c r="I31" s="155"/>
      <c r="J31" s="155"/>
      <c r="K31" s="155"/>
      <c r="L31" s="155"/>
      <c r="M31" s="155"/>
      <c r="N31" s="155"/>
      <c r="O31" s="155"/>
      <c r="P31" s="155"/>
      <c r="Q31" s="155"/>
      <c r="R31" s="155"/>
      <c r="S31" s="155"/>
      <c r="T31" s="155"/>
      <c r="U31" s="155"/>
      <c r="V31" s="155"/>
      <c r="W31" s="156"/>
    </row>
    <row r="32" spans="1:23" ht="59.25" customHeight="1">
      <c r="A32" s="46"/>
      <c r="B32" s="154"/>
      <c r="C32" s="155"/>
      <c r="D32" s="155"/>
      <c r="E32" s="155"/>
      <c r="F32" s="155"/>
      <c r="G32" s="155"/>
      <c r="H32" s="155"/>
      <c r="I32" s="155"/>
      <c r="J32" s="155"/>
      <c r="K32" s="155"/>
      <c r="L32" s="155"/>
      <c r="M32" s="155"/>
      <c r="N32" s="155"/>
      <c r="O32" s="155"/>
      <c r="P32" s="155"/>
      <c r="Q32" s="155"/>
      <c r="R32" s="155"/>
      <c r="S32" s="155"/>
      <c r="T32" s="155"/>
      <c r="U32" s="155"/>
      <c r="V32" s="155"/>
      <c r="W32" s="156"/>
    </row>
    <row r="33" spans="1:23" ht="59.25" customHeight="1">
      <c r="A33" s="46"/>
      <c r="B33" s="154"/>
      <c r="C33" s="155"/>
      <c r="D33" s="155"/>
      <c r="E33" s="155"/>
      <c r="F33" s="155"/>
      <c r="G33" s="155"/>
      <c r="H33" s="155"/>
      <c r="I33" s="155"/>
      <c r="J33" s="155"/>
      <c r="K33" s="155"/>
      <c r="L33" s="155"/>
      <c r="M33" s="155"/>
      <c r="N33" s="155"/>
      <c r="O33" s="155"/>
      <c r="P33" s="155"/>
      <c r="Q33" s="155"/>
      <c r="R33" s="155"/>
      <c r="S33" s="155"/>
      <c r="T33" s="155"/>
      <c r="U33" s="155"/>
      <c r="V33" s="155"/>
      <c r="W33" s="156"/>
    </row>
    <row r="34" spans="1:23" ht="59.25" customHeight="1">
      <c r="A34" s="46"/>
      <c r="B34" s="154"/>
      <c r="C34" s="155"/>
      <c r="D34" s="155"/>
      <c r="E34" s="155"/>
      <c r="F34" s="155"/>
      <c r="G34" s="155"/>
      <c r="H34" s="155"/>
      <c r="I34" s="155"/>
      <c r="J34" s="155"/>
      <c r="K34" s="155"/>
      <c r="L34" s="155"/>
      <c r="M34" s="155"/>
      <c r="N34" s="155"/>
      <c r="O34" s="155"/>
      <c r="P34" s="155"/>
      <c r="Q34" s="155"/>
      <c r="R34" s="155"/>
      <c r="S34" s="155"/>
      <c r="T34" s="155"/>
      <c r="U34" s="155"/>
      <c r="V34" s="155"/>
      <c r="W34" s="15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sqref="D12:W12">
      <formula1>$Y$2:$Y$7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Y188"/>
  <sheetViews>
    <sheetView workbookViewId="0">
      <selection sqref="A1:XFD1048576"/>
    </sheetView>
  </sheetViews>
  <sheetFormatPr defaultRowHeight="13.5"/>
  <cols>
    <col min="1" max="1" width="13.5" style="84" customWidth="1"/>
    <col min="2" max="2" width="79.125" style="84" customWidth="1"/>
    <col min="3" max="3" width="9.375" style="84" customWidth="1"/>
    <col min="4" max="23" width="4.125" style="84" customWidth="1"/>
    <col min="24" max="16384" width="9" style="84"/>
  </cols>
  <sheetData>
    <row r="1" spans="1:25" ht="85.5" customHeight="1">
      <c r="A1" s="82" t="str">
        <f ca="1">MID(CELL("filename",A1),FIND("[",CELL("filename",A1))+1,3)</f>
        <v>２－２</v>
      </c>
      <c r="B1" s="34" t="str">
        <f ca="1">RIGHT(CELL("filename",B1),LEN(CELL("filename",B1))-FIND("]",CELL("filename",B1)))</f>
        <v>生活</v>
      </c>
      <c r="C1" s="35" t="s">
        <v>26</v>
      </c>
      <c r="D1" s="36" t="str">
        <f>A15</f>
        <v>赤羽 咲良</v>
      </c>
      <c r="E1" s="36" t="str">
        <f>A16</f>
        <v>今井 千紗都</v>
      </c>
      <c r="F1" s="36" t="str">
        <f>A17</f>
        <v>上島 千茅</v>
      </c>
      <c r="G1" s="36" t="str">
        <f>A18</f>
        <v>小林 朋桃</v>
      </c>
      <c r="H1" s="36" t="str">
        <f>A19</f>
        <v>小森 朝陽</v>
      </c>
      <c r="I1" s="36" t="str">
        <f>A20</f>
        <v>佐野 望結</v>
      </c>
      <c r="J1" s="36" t="str">
        <f>A21</f>
        <v>西村 友李</v>
      </c>
      <c r="K1" s="36" t="str">
        <f>A22</f>
        <v>林 美佑</v>
      </c>
      <c r="L1" s="36">
        <f>A23</f>
        <v>0</v>
      </c>
      <c r="M1" s="36" t="str">
        <f>A24</f>
        <v>樋沢 壮真</v>
      </c>
      <c r="N1" s="36" t="str">
        <f>A25</f>
        <v>堀内 心遥</v>
      </c>
      <c r="O1" s="36" t="str">
        <f>A26</f>
        <v>南澤 育実</v>
      </c>
      <c r="P1" s="36" t="str">
        <f>A27</f>
        <v>山野 健斗</v>
      </c>
      <c r="Q1" s="36" t="str">
        <f>A28</f>
        <v>若松 優衣奈</v>
      </c>
      <c r="R1" s="36">
        <f>A29</f>
        <v>0</v>
      </c>
      <c r="S1" s="36">
        <f>A30</f>
        <v>0</v>
      </c>
      <c r="T1" s="36">
        <f>A31</f>
        <v>0</v>
      </c>
      <c r="U1" s="36">
        <f>A32</f>
        <v>0</v>
      </c>
      <c r="V1" s="36">
        <f>A33</f>
        <v>0</v>
      </c>
      <c r="W1" s="36">
        <f>A34</f>
        <v>0</v>
      </c>
      <c r="X1" s="83"/>
    </row>
    <row r="2" spans="1:25" ht="22.5" customHeight="1">
      <c r="A2" s="157" t="s">
        <v>188</v>
      </c>
      <c r="B2" s="41" t="s">
        <v>71</v>
      </c>
      <c r="C2" s="38" t="s">
        <v>27</v>
      </c>
      <c r="D2" s="79" t="s">
        <v>189</v>
      </c>
      <c r="E2" s="79" t="s">
        <v>190</v>
      </c>
      <c r="F2" s="79" t="s">
        <v>189</v>
      </c>
      <c r="G2" s="79" t="s">
        <v>189</v>
      </c>
      <c r="H2" s="79" t="s">
        <v>189</v>
      </c>
      <c r="I2" s="79" t="s">
        <v>189</v>
      </c>
      <c r="J2" s="79" t="s">
        <v>189</v>
      </c>
      <c r="K2" s="79" t="s">
        <v>189</v>
      </c>
      <c r="L2" s="79"/>
      <c r="M2" s="79" t="s">
        <v>166</v>
      </c>
      <c r="N2" s="79" t="s">
        <v>189</v>
      </c>
      <c r="O2" s="79" t="s">
        <v>145</v>
      </c>
      <c r="P2" s="79" t="s">
        <v>189</v>
      </c>
      <c r="Q2" s="79" t="s">
        <v>189</v>
      </c>
      <c r="R2" s="79"/>
      <c r="S2" s="79"/>
      <c r="T2" s="79"/>
      <c r="U2" s="79"/>
      <c r="V2" s="79"/>
      <c r="W2" s="79"/>
      <c r="X2" s="85" t="s">
        <v>189</v>
      </c>
      <c r="Y2" s="85">
        <v>1</v>
      </c>
    </row>
    <row r="3" spans="1:25" ht="22.5" customHeight="1">
      <c r="A3" s="158"/>
      <c r="B3" s="41" t="s">
        <v>91</v>
      </c>
      <c r="C3" s="38" t="s">
        <v>27</v>
      </c>
      <c r="D3" s="79" t="s">
        <v>189</v>
      </c>
      <c r="E3" s="79" t="s">
        <v>166</v>
      </c>
      <c r="F3" s="79" t="s">
        <v>166</v>
      </c>
      <c r="G3" s="79" t="s">
        <v>166</v>
      </c>
      <c r="H3" s="79" t="s">
        <v>166</v>
      </c>
      <c r="I3" s="79" t="s">
        <v>189</v>
      </c>
      <c r="J3" s="79" t="s">
        <v>166</v>
      </c>
      <c r="K3" s="79" t="s">
        <v>166</v>
      </c>
      <c r="L3" s="79"/>
      <c r="M3" s="79" t="s">
        <v>166</v>
      </c>
      <c r="N3" s="79" t="s">
        <v>166</v>
      </c>
      <c r="O3" s="79" t="s">
        <v>166</v>
      </c>
      <c r="P3" s="79" t="s">
        <v>166</v>
      </c>
      <c r="Q3" s="79" t="s">
        <v>189</v>
      </c>
      <c r="R3" s="79"/>
      <c r="S3" s="79"/>
      <c r="T3" s="79"/>
      <c r="U3" s="79"/>
      <c r="V3" s="79"/>
      <c r="W3" s="79"/>
      <c r="X3" s="85" t="s">
        <v>172</v>
      </c>
      <c r="Y3" s="85">
        <v>2</v>
      </c>
    </row>
    <row r="4" spans="1:25" ht="22.5" customHeight="1">
      <c r="A4" s="158"/>
      <c r="B4" s="41" t="s">
        <v>72</v>
      </c>
      <c r="C4" s="38" t="s">
        <v>27</v>
      </c>
      <c r="D4" s="79" t="s">
        <v>166</v>
      </c>
      <c r="E4" s="79" t="s">
        <v>166</v>
      </c>
      <c r="F4" s="79" t="s">
        <v>166</v>
      </c>
      <c r="G4" s="79" t="s">
        <v>166</v>
      </c>
      <c r="H4" s="79" t="s">
        <v>172</v>
      </c>
      <c r="I4" s="79" t="s">
        <v>166</v>
      </c>
      <c r="J4" s="79" t="s">
        <v>189</v>
      </c>
      <c r="K4" s="79" t="s">
        <v>166</v>
      </c>
      <c r="L4" s="79"/>
      <c r="M4" s="79" t="s">
        <v>166</v>
      </c>
      <c r="N4" s="79" t="s">
        <v>166</v>
      </c>
      <c r="O4" s="79" t="s">
        <v>166</v>
      </c>
      <c r="P4" s="79" t="s">
        <v>166</v>
      </c>
      <c r="Q4" s="79" t="s">
        <v>166</v>
      </c>
      <c r="R4" s="79"/>
      <c r="S4" s="79"/>
      <c r="T4" s="79"/>
      <c r="U4" s="79"/>
      <c r="V4" s="79"/>
      <c r="W4" s="79"/>
      <c r="X4" s="85" t="s">
        <v>181</v>
      </c>
      <c r="Y4" s="85">
        <v>3</v>
      </c>
    </row>
    <row r="5" spans="1:25" ht="22.5" customHeight="1">
      <c r="A5" s="158"/>
      <c r="B5" s="41" t="s">
        <v>73</v>
      </c>
      <c r="C5" s="38" t="s">
        <v>27</v>
      </c>
      <c r="D5" s="79" t="s">
        <v>166</v>
      </c>
      <c r="E5" s="79" t="s">
        <v>189</v>
      </c>
      <c r="F5" s="79" t="s">
        <v>166</v>
      </c>
      <c r="G5" s="79" t="s">
        <v>166</v>
      </c>
      <c r="H5" s="79" t="s">
        <v>166</v>
      </c>
      <c r="I5" s="79" t="s">
        <v>166</v>
      </c>
      <c r="J5" s="79" t="s">
        <v>166</v>
      </c>
      <c r="K5" s="79" t="s">
        <v>166</v>
      </c>
      <c r="L5" s="79"/>
      <c r="M5" s="79" t="s">
        <v>189</v>
      </c>
      <c r="N5" s="79" t="s">
        <v>189</v>
      </c>
      <c r="O5" s="79" t="s">
        <v>166</v>
      </c>
      <c r="P5" s="79" t="s">
        <v>189</v>
      </c>
      <c r="Q5" s="79" t="s">
        <v>166</v>
      </c>
      <c r="R5" s="79"/>
      <c r="S5" s="79"/>
      <c r="T5" s="79"/>
      <c r="U5" s="79"/>
      <c r="V5" s="79"/>
      <c r="W5" s="79"/>
      <c r="X5" s="85" t="s">
        <v>183</v>
      </c>
      <c r="Y5" s="85">
        <v>4</v>
      </c>
    </row>
    <row r="6" spans="1:25" ht="22.5" customHeight="1">
      <c r="A6" s="158"/>
      <c r="B6" s="41"/>
      <c r="C6" s="38" t="s">
        <v>27</v>
      </c>
      <c r="D6" s="79"/>
      <c r="E6" s="79"/>
      <c r="F6" s="79"/>
      <c r="G6" s="79"/>
      <c r="H6" s="79"/>
      <c r="I6" s="79"/>
      <c r="J6" s="79"/>
      <c r="K6" s="79"/>
      <c r="L6" s="79"/>
      <c r="M6" s="79"/>
      <c r="N6" s="79"/>
      <c r="O6" s="79"/>
      <c r="P6" s="79"/>
      <c r="Q6" s="79"/>
      <c r="R6" s="79"/>
      <c r="S6" s="79"/>
      <c r="T6" s="79"/>
      <c r="U6" s="79"/>
      <c r="V6" s="79"/>
      <c r="W6" s="79"/>
      <c r="X6" s="85"/>
      <c r="Y6" s="85">
        <v>5</v>
      </c>
    </row>
    <row r="7" spans="1:25" ht="22.5" customHeight="1">
      <c r="A7" s="158"/>
      <c r="B7" s="41"/>
      <c r="C7" s="38" t="s">
        <v>27</v>
      </c>
      <c r="D7" s="79"/>
      <c r="E7" s="79"/>
      <c r="F7" s="79"/>
      <c r="G7" s="79"/>
      <c r="H7" s="79"/>
      <c r="I7" s="79"/>
      <c r="J7" s="79"/>
      <c r="K7" s="79"/>
      <c r="L7" s="79"/>
      <c r="M7" s="79"/>
      <c r="N7" s="79"/>
      <c r="O7" s="79"/>
      <c r="P7" s="79"/>
      <c r="Q7" s="79"/>
      <c r="R7" s="79"/>
      <c r="S7" s="79"/>
      <c r="T7" s="79"/>
      <c r="U7" s="79"/>
      <c r="V7" s="79"/>
      <c r="W7" s="79"/>
      <c r="X7" s="85"/>
      <c r="Y7" s="85" t="s">
        <v>183</v>
      </c>
    </row>
    <row r="8" spans="1:25" ht="22.5" customHeight="1">
      <c r="A8" s="158"/>
      <c r="B8" s="41"/>
      <c r="C8" s="38" t="s">
        <v>27</v>
      </c>
      <c r="D8" s="79"/>
      <c r="E8" s="79"/>
      <c r="F8" s="79"/>
      <c r="G8" s="79"/>
      <c r="H8" s="79"/>
      <c r="I8" s="79"/>
      <c r="J8" s="79"/>
      <c r="K8" s="79"/>
      <c r="L8" s="79"/>
      <c r="M8" s="79"/>
      <c r="N8" s="79"/>
      <c r="O8" s="79"/>
      <c r="P8" s="79"/>
      <c r="Q8" s="79"/>
      <c r="R8" s="79"/>
      <c r="S8" s="79"/>
      <c r="T8" s="79"/>
      <c r="U8" s="79"/>
      <c r="V8" s="79"/>
      <c r="W8" s="79"/>
    </row>
    <row r="9" spans="1:25" ht="22.5" customHeight="1">
      <c r="A9" s="158"/>
      <c r="B9" s="41"/>
      <c r="C9" s="38" t="s">
        <v>27</v>
      </c>
      <c r="D9" s="79"/>
      <c r="E9" s="79"/>
      <c r="F9" s="79"/>
      <c r="G9" s="79"/>
      <c r="H9" s="79"/>
      <c r="I9" s="79"/>
      <c r="J9" s="79"/>
      <c r="K9" s="79"/>
      <c r="L9" s="79"/>
      <c r="M9" s="79"/>
      <c r="N9" s="79"/>
      <c r="O9" s="79"/>
      <c r="P9" s="79"/>
      <c r="Q9" s="79"/>
      <c r="R9" s="79"/>
      <c r="S9" s="79"/>
      <c r="T9" s="79"/>
      <c r="U9" s="79"/>
      <c r="V9" s="79"/>
      <c r="W9" s="79"/>
    </row>
    <row r="10" spans="1:25" ht="22.5" customHeight="1">
      <c r="A10" s="158"/>
      <c r="B10" s="41"/>
      <c r="C10" s="38" t="s">
        <v>27</v>
      </c>
      <c r="D10" s="79"/>
      <c r="E10" s="79"/>
      <c r="F10" s="79"/>
      <c r="G10" s="79"/>
      <c r="H10" s="79"/>
      <c r="I10" s="79"/>
      <c r="J10" s="79"/>
      <c r="K10" s="79"/>
      <c r="L10" s="79"/>
      <c r="M10" s="79"/>
      <c r="N10" s="79"/>
      <c r="O10" s="79"/>
      <c r="P10" s="79"/>
      <c r="Q10" s="79"/>
      <c r="R10" s="79"/>
      <c r="S10" s="79"/>
      <c r="T10" s="79"/>
      <c r="U10" s="79"/>
      <c r="V10" s="79"/>
      <c r="W10" s="79"/>
    </row>
    <row r="11" spans="1:25" ht="22.5" customHeight="1">
      <c r="A11" s="158"/>
      <c r="B11" s="41"/>
      <c r="C11" s="38" t="s">
        <v>27</v>
      </c>
      <c r="D11" s="79"/>
      <c r="E11" s="79"/>
      <c r="F11" s="79"/>
      <c r="G11" s="79"/>
      <c r="H11" s="79"/>
      <c r="I11" s="79"/>
      <c r="J11" s="79"/>
      <c r="K11" s="79"/>
      <c r="L11" s="79"/>
      <c r="M11" s="79"/>
      <c r="N11" s="79"/>
      <c r="O11" s="79"/>
      <c r="P11" s="79"/>
      <c r="Q11" s="79"/>
      <c r="R11" s="79"/>
      <c r="S11" s="79"/>
      <c r="T11" s="79"/>
      <c r="U11" s="79"/>
      <c r="V11" s="79"/>
      <c r="W11" s="79"/>
    </row>
    <row r="12" spans="1:25" ht="30" customHeight="1">
      <c r="A12" s="159"/>
      <c r="B12" s="42"/>
      <c r="C12" s="43" t="s">
        <v>28</v>
      </c>
      <c r="D12" s="79">
        <v>5</v>
      </c>
      <c r="E12" s="79">
        <v>5</v>
      </c>
      <c r="F12" s="79">
        <v>5</v>
      </c>
      <c r="G12" s="79">
        <v>5</v>
      </c>
      <c r="H12" s="79">
        <v>4</v>
      </c>
      <c r="I12" s="79">
        <v>5</v>
      </c>
      <c r="J12" s="79">
        <v>5</v>
      </c>
      <c r="K12" s="79">
        <v>5</v>
      </c>
      <c r="L12" s="79"/>
      <c r="M12" s="79">
        <v>5</v>
      </c>
      <c r="N12" s="79">
        <v>5</v>
      </c>
      <c r="O12" s="79">
        <v>5</v>
      </c>
      <c r="P12" s="79">
        <v>5</v>
      </c>
      <c r="Q12" s="79">
        <v>5</v>
      </c>
      <c r="R12" s="79"/>
      <c r="S12" s="79"/>
      <c r="T12" s="79"/>
      <c r="U12" s="79"/>
      <c r="V12" s="79"/>
      <c r="W12" s="79"/>
    </row>
    <row r="13" spans="1:25" ht="26.25" customHeight="1">
      <c r="A13" s="86"/>
      <c r="B13" s="86"/>
      <c r="C13" s="76" t="s">
        <v>54</v>
      </c>
      <c r="D13" s="80"/>
      <c r="E13" s="80"/>
      <c r="F13" s="80"/>
      <c r="G13" s="80"/>
      <c r="H13" s="80"/>
      <c r="I13" s="80"/>
      <c r="J13" s="80"/>
      <c r="K13" s="80"/>
      <c r="L13" s="80"/>
      <c r="M13" s="80"/>
      <c r="N13" s="80"/>
      <c r="O13" s="80"/>
      <c r="P13" s="80"/>
      <c r="Q13" s="80"/>
      <c r="R13" s="80"/>
      <c r="S13" s="80"/>
      <c r="T13" s="80"/>
      <c r="U13" s="80"/>
      <c r="V13" s="80"/>
      <c r="W13" s="80"/>
    </row>
    <row r="14" spans="1:25" ht="22.5" customHeight="1">
      <c r="A14" s="45" t="s">
        <v>29</v>
      </c>
      <c r="B14" s="166" t="s">
        <v>30</v>
      </c>
      <c r="C14" s="167"/>
      <c r="D14" s="167"/>
      <c r="E14" s="167"/>
      <c r="F14" s="167"/>
      <c r="G14" s="167"/>
      <c r="H14" s="167"/>
      <c r="I14" s="167"/>
      <c r="J14" s="167"/>
      <c r="K14" s="167"/>
      <c r="L14" s="167"/>
      <c r="M14" s="167"/>
      <c r="N14" s="167"/>
      <c r="O14" s="167"/>
      <c r="P14" s="167"/>
      <c r="Q14" s="167"/>
      <c r="R14" s="167"/>
      <c r="S14" s="167"/>
      <c r="T14" s="167"/>
      <c r="U14" s="167"/>
      <c r="V14" s="167"/>
      <c r="W14" s="168"/>
    </row>
    <row r="15" spans="1:25" ht="59.25" customHeight="1">
      <c r="A15" s="87" t="s">
        <v>77</v>
      </c>
      <c r="B15" s="163"/>
      <c r="C15" s="164"/>
      <c r="D15" s="164"/>
      <c r="E15" s="164"/>
      <c r="F15" s="164"/>
      <c r="G15" s="164"/>
      <c r="H15" s="164"/>
      <c r="I15" s="164"/>
      <c r="J15" s="164"/>
      <c r="K15" s="164"/>
      <c r="L15" s="164"/>
      <c r="M15" s="164"/>
      <c r="N15" s="164"/>
      <c r="O15" s="164"/>
      <c r="P15" s="164"/>
      <c r="Q15" s="164"/>
      <c r="R15" s="164"/>
      <c r="S15" s="164"/>
      <c r="T15" s="164"/>
      <c r="U15" s="164"/>
      <c r="V15" s="164"/>
      <c r="W15" s="165"/>
    </row>
    <row r="16" spans="1:25" ht="59.25" customHeight="1">
      <c r="A16" s="87" t="s">
        <v>78</v>
      </c>
      <c r="B16" s="163"/>
      <c r="C16" s="164"/>
      <c r="D16" s="164"/>
      <c r="E16" s="164"/>
      <c r="F16" s="164"/>
      <c r="G16" s="164"/>
      <c r="H16" s="164"/>
      <c r="I16" s="164"/>
      <c r="J16" s="164"/>
      <c r="K16" s="164"/>
      <c r="L16" s="164"/>
      <c r="M16" s="164"/>
      <c r="N16" s="164"/>
      <c r="O16" s="164"/>
      <c r="P16" s="164"/>
      <c r="Q16" s="164"/>
      <c r="R16" s="164"/>
      <c r="S16" s="164"/>
      <c r="T16" s="164"/>
      <c r="U16" s="164"/>
      <c r="V16" s="164"/>
      <c r="W16" s="165"/>
    </row>
    <row r="17" spans="1:23" ht="59.25" customHeight="1">
      <c r="A17" s="87" t="s">
        <v>79</v>
      </c>
      <c r="B17" s="163" t="s">
        <v>92</v>
      </c>
      <c r="C17" s="164"/>
      <c r="D17" s="164"/>
      <c r="E17" s="164"/>
      <c r="F17" s="164"/>
      <c r="G17" s="164"/>
      <c r="H17" s="164"/>
      <c r="I17" s="164"/>
      <c r="J17" s="164"/>
      <c r="K17" s="164"/>
      <c r="L17" s="164"/>
      <c r="M17" s="164"/>
      <c r="N17" s="164"/>
      <c r="O17" s="164"/>
      <c r="P17" s="164"/>
      <c r="Q17" s="164"/>
      <c r="R17" s="164"/>
      <c r="S17" s="164"/>
      <c r="T17" s="164"/>
      <c r="U17" s="164"/>
      <c r="V17" s="164"/>
      <c r="W17" s="165"/>
    </row>
    <row r="18" spans="1:23" ht="59.25" customHeight="1">
      <c r="A18" s="87" t="s">
        <v>80</v>
      </c>
      <c r="B18" s="163"/>
      <c r="C18" s="164"/>
      <c r="D18" s="164"/>
      <c r="E18" s="164"/>
      <c r="F18" s="164"/>
      <c r="G18" s="164"/>
      <c r="H18" s="164"/>
      <c r="I18" s="164"/>
      <c r="J18" s="164"/>
      <c r="K18" s="164"/>
      <c r="L18" s="164"/>
      <c r="M18" s="164"/>
      <c r="N18" s="164"/>
      <c r="O18" s="164"/>
      <c r="P18" s="164"/>
      <c r="Q18" s="164"/>
      <c r="R18" s="164"/>
      <c r="S18" s="164"/>
      <c r="T18" s="164"/>
      <c r="U18" s="164"/>
      <c r="V18" s="164"/>
      <c r="W18" s="165"/>
    </row>
    <row r="19" spans="1:23" ht="59.25" customHeight="1">
      <c r="A19" s="87" t="s">
        <v>81</v>
      </c>
      <c r="B19" s="163" t="s">
        <v>93</v>
      </c>
      <c r="C19" s="164"/>
      <c r="D19" s="164"/>
      <c r="E19" s="164"/>
      <c r="F19" s="164"/>
      <c r="G19" s="164"/>
      <c r="H19" s="164"/>
      <c r="I19" s="164"/>
      <c r="J19" s="164"/>
      <c r="K19" s="164"/>
      <c r="L19" s="164"/>
      <c r="M19" s="164"/>
      <c r="N19" s="164"/>
      <c r="O19" s="164"/>
      <c r="P19" s="164"/>
      <c r="Q19" s="164"/>
      <c r="R19" s="164"/>
      <c r="S19" s="164"/>
      <c r="T19" s="164"/>
      <c r="U19" s="164"/>
      <c r="V19" s="164"/>
      <c r="W19" s="165"/>
    </row>
    <row r="20" spans="1:23" ht="59.25" customHeight="1">
      <c r="A20" s="87" t="s">
        <v>82</v>
      </c>
      <c r="B20" s="163"/>
      <c r="C20" s="164"/>
      <c r="D20" s="164"/>
      <c r="E20" s="164"/>
      <c r="F20" s="164"/>
      <c r="G20" s="164"/>
      <c r="H20" s="164"/>
      <c r="I20" s="164"/>
      <c r="J20" s="164"/>
      <c r="K20" s="164"/>
      <c r="L20" s="164"/>
      <c r="M20" s="164"/>
      <c r="N20" s="164"/>
      <c r="O20" s="164"/>
      <c r="P20" s="164"/>
      <c r="Q20" s="164"/>
      <c r="R20" s="164"/>
      <c r="S20" s="164"/>
      <c r="T20" s="164"/>
      <c r="U20" s="164"/>
      <c r="V20" s="164"/>
      <c r="W20" s="165"/>
    </row>
    <row r="21" spans="1:23" ht="59.25" customHeight="1">
      <c r="A21" s="87" t="s">
        <v>83</v>
      </c>
      <c r="B21" s="163" t="s">
        <v>94</v>
      </c>
      <c r="C21" s="164"/>
      <c r="D21" s="164"/>
      <c r="E21" s="164"/>
      <c r="F21" s="164"/>
      <c r="G21" s="164"/>
      <c r="H21" s="164"/>
      <c r="I21" s="164"/>
      <c r="J21" s="164"/>
      <c r="K21" s="164"/>
      <c r="L21" s="164"/>
      <c r="M21" s="164"/>
      <c r="N21" s="164"/>
      <c r="O21" s="164"/>
      <c r="P21" s="164"/>
      <c r="Q21" s="164"/>
      <c r="R21" s="164"/>
      <c r="S21" s="164"/>
      <c r="T21" s="164"/>
      <c r="U21" s="164"/>
      <c r="V21" s="164"/>
      <c r="W21" s="165"/>
    </row>
    <row r="22" spans="1:23" ht="59.25" customHeight="1">
      <c r="A22" s="87" t="s">
        <v>84</v>
      </c>
      <c r="B22" s="163" t="s">
        <v>95</v>
      </c>
      <c r="C22" s="164"/>
      <c r="D22" s="164"/>
      <c r="E22" s="164"/>
      <c r="F22" s="164"/>
      <c r="G22" s="164"/>
      <c r="H22" s="164"/>
      <c r="I22" s="164"/>
      <c r="J22" s="164"/>
      <c r="K22" s="164"/>
      <c r="L22" s="164"/>
      <c r="M22" s="164"/>
      <c r="N22" s="164"/>
      <c r="O22" s="164"/>
      <c r="P22" s="164"/>
      <c r="Q22" s="164"/>
      <c r="R22" s="164"/>
      <c r="S22" s="164"/>
      <c r="T22" s="164"/>
      <c r="U22" s="164"/>
      <c r="V22" s="164"/>
      <c r="W22" s="165"/>
    </row>
    <row r="23" spans="1:23" ht="59.25" customHeight="1">
      <c r="A23" s="87"/>
      <c r="B23" s="163"/>
      <c r="C23" s="164"/>
      <c r="D23" s="164"/>
      <c r="E23" s="164"/>
      <c r="F23" s="164"/>
      <c r="G23" s="164"/>
      <c r="H23" s="164"/>
      <c r="I23" s="164"/>
      <c r="J23" s="164"/>
      <c r="K23" s="164"/>
      <c r="L23" s="164"/>
      <c r="M23" s="164"/>
      <c r="N23" s="164"/>
      <c r="O23" s="164"/>
      <c r="P23" s="164"/>
      <c r="Q23" s="164"/>
      <c r="R23" s="164"/>
      <c r="S23" s="164"/>
      <c r="T23" s="164"/>
      <c r="U23" s="164"/>
      <c r="V23" s="164"/>
      <c r="W23" s="165"/>
    </row>
    <row r="24" spans="1:23" ht="59.25" customHeight="1">
      <c r="A24" s="87" t="s">
        <v>85</v>
      </c>
      <c r="B24" s="163"/>
      <c r="C24" s="164"/>
      <c r="D24" s="164"/>
      <c r="E24" s="164"/>
      <c r="F24" s="164"/>
      <c r="G24" s="164"/>
      <c r="H24" s="164"/>
      <c r="I24" s="164"/>
      <c r="J24" s="164"/>
      <c r="K24" s="164"/>
      <c r="L24" s="164"/>
      <c r="M24" s="164"/>
      <c r="N24" s="164"/>
      <c r="O24" s="164"/>
      <c r="P24" s="164"/>
      <c r="Q24" s="164"/>
      <c r="R24" s="164"/>
      <c r="S24" s="164"/>
      <c r="T24" s="164"/>
      <c r="U24" s="164"/>
      <c r="V24" s="164"/>
      <c r="W24" s="165"/>
    </row>
    <row r="25" spans="1:23" ht="59.25" customHeight="1">
      <c r="A25" s="87" t="s">
        <v>86</v>
      </c>
      <c r="B25" s="163"/>
      <c r="C25" s="164"/>
      <c r="D25" s="164"/>
      <c r="E25" s="164"/>
      <c r="F25" s="164"/>
      <c r="G25" s="164"/>
      <c r="H25" s="164"/>
      <c r="I25" s="164"/>
      <c r="J25" s="164"/>
      <c r="K25" s="164"/>
      <c r="L25" s="164"/>
      <c r="M25" s="164"/>
      <c r="N25" s="164"/>
      <c r="O25" s="164"/>
      <c r="P25" s="164"/>
      <c r="Q25" s="164"/>
      <c r="R25" s="164"/>
      <c r="S25" s="164"/>
      <c r="T25" s="164"/>
      <c r="U25" s="164"/>
      <c r="V25" s="164"/>
      <c r="W25" s="165"/>
    </row>
    <row r="26" spans="1:23" ht="59.25" customHeight="1">
      <c r="A26" s="87" t="s">
        <v>87</v>
      </c>
      <c r="B26" s="163" t="s">
        <v>96</v>
      </c>
      <c r="C26" s="164"/>
      <c r="D26" s="164"/>
      <c r="E26" s="164"/>
      <c r="F26" s="164"/>
      <c r="G26" s="164"/>
      <c r="H26" s="164"/>
      <c r="I26" s="164"/>
      <c r="J26" s="164"/>
      <c r="K26" s="164"/>
      <c r="L26" s="164"/>
      <c r="M26" s="164"/>
      <c r="N26" s="164"/>
      <c r="O26" s="164"/>
      <c r="P26" s="164"/>
      <c r="Q26" s="164"/>
      <c r="R26" s="164"/>
      <c r="S26" s="164"/>
      <c r="T26" s="164"/>
      <c r="U26" s="164"/>
      <c r="V26" s="164"/>
      <c r="W26" s="165"/>
    </row>
    <row r="27" spans="1:23" ht="59.25" customHeight="1">
      <c r="A27" s="87" t="s">
        <v>88</v>
      </c>
      <c r="B27" s="163"/>
      <c r="C27" s="164"/>
      <c r="D27" s="164"/>
      <c r="E27" s="164"/>
      <c r="F27" s="164"/>
      <c r="G27" s="164"/>
      <c r="H27" s="164"/>
      <c r="I27" s="164"/>
      <c r="J27" s="164"/>
      <c r="K27" s="164"/>
      <c r="L27" s="164"/>
      <c r="M27" s="164"/>
      <c r="N27" s="164"/>
      <c r="O27" s="164"/>
      <c r="P27" s="164"/>
      <c r="Q27" s="164"/>
      <c r="R27" s="164"/>
      <c r="S27" s="164"/>
      <c r="T27" s="164"/>
      <c r="U27" s="164"/>
      <c r="V27" s="164"/>
      <c r="W27" s="165"/>
    </row>
    <row r="28" spans="1:23" ht="59.25" customHeight="1">
      <c r="A28" s="87" t="s">
        <v>89</v>
      </c>
      <c r="B28" s="163" t="s">
        <v>97</v>
      </c>
      <c r="C28" s="164"/>
      <c r="D28" s="164"/>
      <c r="E28" s="164"/>
      <c r="F28" s="164"/>
      <c r="G28" s="164"/>
      <c r="H28" s="164"/>
      <c r="I28" s="164"/>
      <c r="J28" s="164"/>
      <c r="K28" s="164"/>
      <c r="L28" s="164"/>
      <c r="M28" s="164"/>
      <c r="N28" s="164"/>
      <c r="O28" s="164"/>
      <c r="P28" s="164"/>
      <c r="Q28" s="164"/>
      <c r="R28" s="164"/>
      <c r="S28" s="164"/>
      <c r="T28" s="164"/>
      <c r="U28" s="164"/>
      <c r="V28" s="164"/>
      <c r="W28" s="165"/>
    </row>
    <row r="29" spans="1:23" ht="59.25" customHeight="1">
      <c r="A29" s="87"/>
      <c r="B29" s="163"/>
      <c r="C29" s="164"/>
      <c r="D29" s="164"/>
      <c r="E29" s="164"/>
      <c r="F29" s="164"/>
      <c r="G29" s="164"/>
      <c r="H29" s="164"/>
      <c r="I29" s="164"/>
      <c r="J29" s="164"/>
      <c r="K29" s="164"/>
      <c r="L29" s="164"/>
      <c r="M29" s="164"/>
      <c r="N29" s="164"/>
      <c r="O29" s="164"/>
      <c r="P29" s="164"/>
      <c r="Q29" s="164"/>
      <c r="R29" s="164"/>
      <c r="S29" s="164"/>
      <c r="T29" s="164"/>
      <c r="U29" s="164"/>
      <c r="V29" s="164"/>
      <c r="W29" s="165"/>
    </row>
    <row r="30" spans="1:23" ht="59.25" customHeight="1">
      <c r="A30" s="87"/>
      <c r="B30" s="163"/>
      <c r="C30" s="164"/>
      <c r="D30" s="164"/>
      <c r="E30" s="164"/>
      <c r="F30" s="164"/>
      <c r="G30" s="164"/>
      <c r="H30" s="164"/>
      <c r="I30" s="164"/>
      <c r="J30" s="164"/>
      <c r="K30" s="164"/>
      <c r="L30" s="164"/>
      <c r="M30" s="164"/>
      <c r="N30" s="164"/>
      <c r="O30" s="164"/>
      <c r="P30" s="164"/>
      <c r="Q30" s="164"/>
      <c r="R30" s="164"/>
      <c r="S30" s="164"/>
      <c r="T30" s="164"/>
      <c r="U30" s="164"/>
      <c r="V30" s="164"/>
      <c r="W30" s="165"/>
    </row>
    <row r="31" spans="1:23" ht="59.25" customHeight="1">
      <c r="A31" s="87"/>
      <c r="B31" s="163"/>
      <c r="C31" s="164"/>
      <c r="D31" s="164"/>
      <c r="E31" s="164"/>
      <c r="F31" s="164"/>
      <c r="G31" s="164"/>
      <c r="H31" s="164"/>
      <c r="I31" s="164"/>
      <c r="J31" s="164"/>
      <c r="K31" s="164"/>
      <c r="L31" s="164"/>
      <c r="M31" s="164"/>
      <c r="N31" s="164"/>
      <c r="O31" s="164"/>
      <c r="P31" s="164"/>
      <c r="Q31" s="164"/>
      <c r="R31" s="164"/>
      <c r="S31" s="164"/>
      <c r="T31" s="164"/>
      <c r="U31" s="164"/>
      <c r="V31" s="164"/>
      <c r="W31" s="165"/>
    </row>
    <row r="32" spans="1:23" ht="59.25" customHeight="1">
      <c r="A32" s="87"/>
      <c r="B32" s="163"/>
      <c r="C32" s="164"/>
      <c r="D32" s="164"/>
      <c r="E32" s="164"/>
      <c r="F32" s="164"/>
      <c r="G32" s="164"/>
      <c r="H32" s="164"/>
      <c r="I32" s="164"/>
      <c r="J32" s="164"/>
      <c r="K32" s="164"/>
      <c r="L32" s="164"/>
      <c r="M32" s="164"/>
      <c r="N32" s="164"/>
      <c r="O32" s="164"/>
      <c r="P32" s="164"/>
      <c r="Q32" s="164"/>
      <c r="R32" s="164"/>
      <c r="S32" s="164"/>
      <c r="T32" s="164"/>
      <c r="U32" s="164"/>
      <c r="V32" s="164"/>
      <c r="W32" s="165"/>
    </row>
    <row r="33" spans="1:23" ht="59.25" customHeight="1">
      <c r="A33" s="87"/>
      <c r="B33" s="163"/>
      <c r="C33" s="164"/>
      <c r="D33" s="164"/>
      <c r="E33" s="164"/>
      <c r="F33" s="164"/>
      <c r="G33" s="164"/>
      <c r="H33" s="164"/>
      <c r="I33" s="164"/>
      <c r="J33" s="164"/>
      <c r="K33" s="164"/>
      <c r="L33" s="164"/>
      <c r="M33" s="164"/>
      <c r="N33" s="164"/>
      <c r="O33" s="164"/>
      <c r="P33" s="164"/>
      <c r="Q33" s="164"/>
      <c r="R33" s="164"/>
      <c r="S33" s="164"/>
      <c r="T33" s="164"/>
      <c r="U33" s="164"/>
      <c r="V33" s="164"/>
      <c r="W33" s="165"/>
    </row>
    <row r="34" spans="1:23" ht="59.25" customHeight="1">
      <c r="A34" s="87"/>
      <c r="B34" s="163"/>
      <c r="C34" s="164"/>
      <c r="D34" s="164"/>
      <c r="E34" s="164"/>
      <c r="F34" s="164"/>
      <c r="G34" s="164"/>
      <c r="H34" s="164"/>
      <c r="I34" s="164"/>
      <c r="J34" s="164"/>
      <c r="K34" s="164"/>
      <c r="L34" s="164"/>
      <c r="M34" s="164"/>
      <c r="N34" s="164"/>
      <c r="O34" s="164"/>
      <c r="P34" s="164"/>
      <c r="Q34" s="164"/>
      <c r="R34" s="164"/>
      <c r="S34" s="164"/>
      <c r="T34" s="164"/>
      <c r="U34" s="164"/>
      <c r="V34" s="164"/>
      <c r="W34" s="165"/>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２－２</v>
      </c>
      <c r="B1" s="34" t="str">
        <f ca="1">RIGHT(CELL("filename",B1),LEN(CELL("filename",B1))-FIND("]",CELL("filename",B1)))</f>
        <v>英語</v>
      </c>
      <c r="C1" s="35" t="s">
        <v>26</v>
      </c>
      <c r="D1" s="36" t="str">
        <f>A15</f>
        <v>赤羽 咲良</v>
      </c>
      <c r="E1" s="36" t="str">
        <f>A16</f>
        <v>今井 千紗都</v>
      </c>
      <c r="F1" s="36" t="str">
        <f>A17</f>
        <v>上島 千茅</v>
      </c>
      <c r="G1" s="36" t="str">
        <f>A18</f>
        <v>小林 朋桃</v>
      </c>
      <c r="H1" s="36" t="str">
        <f>A19</f>
        <v>小森 朝陽</v>
      </c>
      <c r="I1" s="36" t="str">
        <f>A20</f>
        <v>佐野 望結</v>
      </c>
      <c r="J1" s="36" t="str">
        <f>A21</f>
        <v>西村 友李</v>
      </c>
      <c r="K1" s="36" t="str">
        <f>A22</f>
        <v>林 美佑</v>
      </c>
      <c r="L1" s="36">
        <f>A23</f>
        <v>0</v>
      </c>
      <c r="M1" s="36" t="str">
        <f>A24</f>
        <v>樋沢 壮真</v>
      </c>
      <c r="N1" s="36" t="str">
        <f>A25</f>
        <v>堀内 心遥</v>
      </c>
      <c r="O1" s="36" t="str">
        <f>A26</f>
        <v>南澤 育実</v>
      </c>
      <c r="P1" s="36" t="str">
        <f>A27</f>
        <v>山野 健斗</v>
      </c>
      <c r="Q1" s="36" t="str">
        <f>A28</f>
        <v>若松 優衣奈</v>
      </c>
      <c r="R1" s="36">
        <f>A29</f>
        <v>0</v>
      </c>
      <c r="S1" s="36">
        <f>A30</f>
        <v>0</v>
      </c>
      <c r="T1" s="36">
        <f>A31</f>
        <v>0</v>
      </c>
      <c r="U1" s="36">
        <f>A32</f>
        <v>0</v>
      </c>
      <c r="V1" s="36">
        <f>A33</f>
        <v>0</v>
      </c>
      <c r="W1" s="36">
        <f>A34</f>
        <v>0</v>
      </c>
      <c r="X1" s="37"/>
    </row>
    <row r="2" spans="1:25" ht="22.5" customHeight="1">
      <c r="A2" s="157" t="s">
        <v>191</v>
      </c>
      <c r="B2" s="41" t="s">
        <v>47</v>
      </c>
      <c r="C2" s="38" t="s">
        <v>27</v>
      </c>
      <c r="D2" s="39" t="s">
        <v>192</v>
      </c>
      <c r="E2" s="39" t="s">
        <v>192</v>
      </c>
      <c r="F2" s="39" t="s">
        <v>192</v>
      </c>
      <c r="G2" s="39" t="s">
        <v>192</v>
      </c>
      <c r="H2" s="39" t="s">
        <v>192</v>
      </c>
      <c r="I2" s="39" t="s">
        <v>192</v>
      </c>
      <c r="J2" s="39" t="s">
        <v>192</v>
      </c>
      <c r="K2" s="39" t="s">
        <v>192</v>
      </c>
      <c r="L2" s="39"/>
      <c r="M2" s="39" t="s">
        <v>192</v>
      </c>
      <c r="N2" s="39" t="s">
        <v>192</v>
      </c>
      <c r="O2" s="39" t="s">
        <v>192</v>
      </c>
      <c r="P2" s="39" t="s">
        <v>192</v>
      </c>
      <c r="Q2" s="39" t="s">
        <v>166</v>
      </c>
      <c r="R2" s="39"/>
      <c r="S2" s="39"/>
      <c r="T2" s="39"/>
      <c r="U2" s="39"/>
      <c r="V2" s="39"/>
      <c r="W2" s="39"/>
      <c r="X2" s="40" t="s">
        <v>192</v>
      </c>
      <c r="Y2" s="40">
        <v>1</v>
      </c>
    </row>
    <row r="3" spans="1:25" ht="22.5" customHeight="1">
      <c r="A3" s="158"/>
      <c r="B3" s="41" t="s">
        <v>98</v>
      </c>
      <c r="C3" s="38" t="s">
        <v>27</v>
      </c>
      <c r="D3" s="39" t="s">
        <v>192</v>
      </c>
      <c r="E3" s="39" t="s">
        <v>183</v>
      </c>
      <c r="F3" s="39" t="s">
        <v>166</v>
      </c>
      <c r="G3" s="39" t="s">
        <v>166</v>
      </c>
      <c r="H3" s="39" t="s">
        <v>192</v>
      </c>
      <c r="I3" s="39" t="s">
        <v>192</v>
      </c>
      <c r="J3" s="39" t="s">
        <v>166</v>
      </c>
      <c r="K3" s="39" t="s">
        <v>166</v>
      </c>
      <c r="L3" s="39"/>
      <c r="M3" s="39" t="s">
        <v>192</v>
      </c>
      <c r="N3" s="39" t="s">
        <v>192</v>
      </c>
      <c r="O3" s="39" t="s">
        <v>192</v>
      </c>
      <c r="P3" s="39" t="s">
        <v>166</v>
      </c>
      <c r="Q3" s="39" t="s">
        <v>192</v>
      </c>
      <c r="R3" s="39"/>
      <c r="S3" s="39"/>
      <c r="T3" s="39"/>
      <c r="U3" s="39"/>
      <c r="V3" s="39"/>
      <c r="W3" s="39"/>
      <c r="X3" s="40" t="s">
        <v>172</v>
      </c>
      <c r="Y3" s="40">
        <v>2</v>
      </c>
    </row>
    <row r="4" spans="1:25" ht="22.5" customHeight="1">
      <c r="A4" s="158"/>
      <c r="B4" s="41" t="s">
        <v>58</v>
      </c>
      <c r="C4" s="38" t="s">
        <v>27</v>
      </c>
      <c r="D4" s="39" t="s">
        <v>166</v>
      </c>
      <c r="E4" s="39" t="s">
        <v>193</v>
      </c>
      <c r="F4" s="39" t="s">
        <v>166</v>
      </c>
      <c r="G4" s="39" t="s">
        <v>166</v>
      </c>
      <c r="H4" s="39" t="s">
        <v>194</v>
      </c>
      <c r="I4" s="39" t="s">
        <v>172</v>
      </c>
      <c r="J4" s="39" t="s">
        <v>166</v>
      </c>
      <c r="K4" s="39" t="s">
        <v>166</v>
      </c>
      <c r="L4" s="39"/>
      <c r="M4" s="39" t="s">
        <v>166</v>
      </c>
      <c r="N4" s="39" t="s">
        <v>166</v>
      </c>
      <c r="O4" s="39" t="s">
        <v>192</v>
      </c>
      <c r="P4" s="39" t="s">
        <v>166</v>
      </c>
      <c r="Q4" s="39" t="s">
        <v>166</v>
      </c>
      <c r="R4" s="39"/>
      <c r="S4" s="39"/>
      <c r="T4" s="39"/>
      <c r="U4" s="39"/>
      <c r="V4" s="39"/>
      <c r="W4" s="39"/>
      <c r="X4" s="40" t="s">
        <v>181</v>
      </c>
      <c r="Y4" s="40">
        <v>3</v>
      </c>
    </row>
    <row r="5" spans="1:25" ht="22.5" customHeight="1">
      <c r="A5" s="158"/>
      <c r="B5" s="41" t="s">
        <v>48</v>
      </c>
      <c r="C5" s="38" t="s">
        <v>27</v>
      </c>
      <c r="D5" s="39" t="s">
        <v>166</v>
      </c>
      <c r="E5" s="39" t="s">
        <v>183</v>
      </c>
      <c r="F5" s="39" t="s">
        <v>192</v>
      </c>
      <c r="G5" s="39" t="s">
        <v>166</v>
      </c>
      <c r="H5" s="39" t="s">
        <v>192</v>
      </c>
      <c r="I5" s="39" t="s">
        <v>166</v>
      </c>
      <c r="J5" s="39" t="s">
        <v>166</v>
      </c>
      <c r="K5" s="39" t="s">
        <v>166</v>
      </c>
      <c r="L5" s="39"/>
      <c r="M5" s="39" t="s">
        <v>166</v>
      </c>
      <c r="N5" s="39" t="s">
        <v>166</v>
      </c>
      <c r="O5" s="39" t="s">
        <v>192</v>
      </c>
      <c r="P5" s="39" t="s">
        <v>166</v>
      </c>
      <c r="Q5" s="39" t="s">
        <v>166</v>
      </c>
      <c r="R5" s="39"/>
      <c r="S5" s="39"/>
      <c r="T5" s="39"/>
      <c r="U5" s="39"/>
      <c r="V5" s="39"/>
      <c r="W5" s="39"/>
      <c r="X5" s="40" t="s">
        <v>183</v>
      </c>
      <c r="Y5" s="40">
        <v>4</v>
      </c>
    </row>
    <row r="6" spans="1:25" ht="22.5" customHeight="1">
      <c r="A6" s="158"/>
      <c r="B6" s="41" t="s">
        <v>49</v>
      </c>
      <c r="C6" s="38" t="s">
        <v>27</v>
      </c>
      <c r="D6" s="39" t="s">
        <v>166</v>
      </c>
      <c r="E6" s="39" t="s">
        <v>183</v>
      </c>
      <c r="F6" s="39" t="s">
        <v>166</v>
      </c>
      <c r="G6" s="39" t="s">
        <v>166</v>
      </c>
      <c r="H6" s="39" t="s">
        <v>166</v>
      </c>
      <c r="I6" s="39" t="s">
        <v>166</v>
      </c>
      <c r="J6" s="39" t="s">
        <v>166</v>
      </c>
      <c r="K6" s="39" t="s">
        <v>166</v>
      </c>
      <c r="L6" s="39"/>
      <c r="M6" s="39" t="s">
        <v>166</v>
      </c>
      <c r="N6" s="39" t="s">
        <v>166</v>
      </c>
      <c r="O6" s="39" t="s">
        <v>166</v>
      </c>
      <c r="P6" s="39" t="s">
        <v>166</v>
      </c>
      <c r="Q6" s="39" t="s">
        <v>166</v>
      </c>
      <c r="R6" s="39"/>
      <c r="S6" s="39"/>
      <c r="T6" s="39"/>
      <c r="U6" s="39"/>
      <c r="V6" s="39"/>
      <c r="W6" s="39"/>
      <c r="X6" s="40"/>
      <c r="Y6" s="40">
        <v>5</v>
      </c>
    </row>
    <row r="7" spans="1:25" ht="22.5" customHeight="1">
      <c r="A7" s="158"/>
      <c r="B7" s="41"/>
      <c r="C7" s="38" t="s">
        <v>27</v>
      </c>
      <c r="D7" s="39"/>
      <c r="E7" s="39"/>
      <c r="F7" s="39"/>
      <c r="G7" s="39"/>
      <c r="H7" s="39"/>
      <c r="I7" s="39"/>
      <c r="J7" s="39"/>
      <c r="K7" s="39"/>
      <c r="L7" s="39"/>
      <c r="M7" s="39"/>
      <c r="N7" s="39"/>
      <c r="O7" s="39"/>
      <c r="P7" s="39"/>
      <c r="Q7" s="39"/>
      <c r="R7" s="39"/>
      <c r="S7" s="39"/>
      <c r="T7" s="39"/>
      <c r="U7" s="39"/>
      <c r="V7" s="39"/>
      <c r="W7" s="39"/>
      <c r="X7" s="40"/>
      <c r="Y7" s="40" t="s">
        <v>183</v>
      </c>
    </row>
    <row r="8" spans="1:25" ht="22.5" customHeight="1">
      <c r="A8" s="158"/>
      <c r="B8" s="41"/>
      <c r="C8" s="38" t="s">
        <v>27</v>
      </c>
      <c r="D8" s="39"/>
      <c r="E8" s="39"/>
      <c r="F8" s="39"/>
      <c r="G8" s="39"/>
      <c r="H8" s="39"/>
      <c r="I8" s="39"/>
      <c r="J8" s="39"/>
      <c r="K8" s="39"/>
      <c r="L8" s="39"/>
      <c r="M8" s="39"/>
      <c r="N8" s="39"/>
      <c r="O8" s="39"/>
      <c r="P8" s="39"/>
      <c r="Q8" s="39"/>
      <c r="R8" s="39"/>
      <c r="S8" s="39"/>
      <c r="T8" s="39"/>
      <c r="U8" s="39"/>
      <c r="V8" s="39"/>
      <c r="W8" s="39"/>
    </row>
    <row r="9" spans="1:25" ht="22.5" customHeight="1">
      <c r="A9" s="158"/>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8"/>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8"/>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59"/>
      <c r="B12" s="42"/>
      <c r="C12" s="43" t="s">
        <v>28</v>
      </c>
      <c r="D12" s="39">
        <v>5</v>
      </c>
      <c r="E12" s="39" t="s">
        <v>183</v>
      </c>
      <c r="F12" s="39">
        <v>5</v>
      </c>
      <c r="G12" s="39">
        <v>5</v>
      </c>
      <c r="H12" s="39">
        <v>4</v>
      </c>
      <c r="I12" s="39">
        <v>5</v>
      </c>
      <c r="J12" s="39">
        <v>5</v>
      </c>
      <c r="K12" s="39">
        <v>5</v>
      </c>
      <c r="L12" s="39"/>
      <c r="M12" s="39">
        <v>5</v>
      </c>
      <c r="N12" s="39">
        <v>5</v>
      </c>
      <c r="O12" s="39">
        <v>5</v>
      </c>
      <c r="P12" s="39">
        <v>5</v>
      </c>
      <c r="Q12" s="39">
        <v>5</v>
      </c>
      <c r="R12" s="39"/>
      <c r="S12" s="39"/>
      <c r="T12" s="39"/>
      <c r="U12" s="39"/>
      <c r="V12" s="39"/>
      <c r="W12" s="39"/>
    </row>
    <row r="13" spans="1:25" ht="26.25" customHeight="1">
      <c r="A13" s="44"/>
      <c r="B13" s="44"/>
      <c r="C13" s="76" t="s">
        <v>54</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0" t="s">
        <v>30</v>
      </c>
      <c r="C14" s="161"/>
      <c r="D14" s="161"/>
      <c r="E14" s="161"/>
      <c r="F14" s="161"/>
      <c r="G14" s="161"/>
      <c r="H14" s="161"/>
      <c r="I14" s="161"/>
      <c r="J14" s="161"/>
      <c r="K14" s="161"/>
      <c r="L14" s="161"/>
      <c r="M14" s="161"/>
      <c r="N14" s="161"/>
      <c r="O14" s="161"/>
      <c r="P14" s="161"/>
      <c r="Q14" s="161"/>
      <c r="R14" s="161"/>
      <c r="S14" s="161"/>
      <c r="T14" s="161"/>
      <c r="U14" s="161"/>
      <c r="V14" s="161"/>
      <c r="W14" s="162"/>
    </row>
    <row r="15" spans="1:25" ht="59.25" customHeight="1">
      <c r="A15" s="46" t="s">
        <v>77</v>
      </c>
      <c r="B15" s="154"/>
      <c r="C15" s="155"/>
      <c r="D15" s="155"/>
      <c r="E15" s="155"/>
      <c r="F15" s="155"/>
      <c r="G15" s="155"/>
      <c r="H15" s="155"/>
      <c r="I15" s="155"/>
      <c r="J15" s="155"/>
      <c r="K15" s="155"/>
      <c r="L15" s="155"/>
      <c r="M15" s="155"/>
      <c r="N15" s="155"/>
      <c r="O15" s="155"/>
      <c r="P15" s="155"/>
      <c r="Q15" s="155"/>
      <c r="R15" s="155"/>
      <c r="S15" s="155"/>
      <c r="T15" s="155"/>
      <c r="U15" s="155"/>
      <c r="V15" s="155"/>
      <c r="W15" s="156"/>
    </row>
    <row r="16" spans="1:25" ht="59.25" customHeight="1">
      <c r="A16" s="46" t="s">
        <v>78</v>
      </c>
      <c r="B16" s="154"/>
      <c r="C16" s="155"/>
      <c r="D16" s="155"/>
      <c r="E16" s="155"/>
      <c r="F16" s="155"/>
      <c r="G16" s="155"/>
      <c r="H16" s="155"/>
      <c r="I16" s="155"/>
      <c r="J16" s="155"/>
      <c r="K16" s="155"/>
      <c r="L16" s="155"/>
      <c r="M16" s="155"/>
      <c r="N16" s="155"/>
      <c r="O16" s="155"/>
      <c r="P16" s="155"/>
      <c r="Q16" s="155"/>
      <c r="R16" s="155"/>
      <c r="S16" s="155"/>
      <c r="T16" s="155"/>
      <c r="U16" s="155"/>
      <c r="V16" s="155"/>
      <c r="W16" s="156"/>
    </row>
    <row r="17" spans="1:23" ht="59.25" customHeight="1">
      <c r="A17" s="46" t="s">
        <v>79</v>
      </c>
      <c r="B17" s="154"/>
      <c r="C17" s="155"/>
      <c r="D17" s="155"/>
      <c r="E17" s="155"/>
      <c r="F17" s="155"/>
      <c r="G17" s="155"/>
      <c r="H17" s="155"/>
      <c r="I17" s="155"/>
      <c r="J17" s="155"/>
      <c r="K17" s="155"/>
      <c r="L17" s="155"/>
      <c r="M17" s="155"/>
      <c r="N17" s="155"/>
      <c r="O17" s="155"/>
      <c r="P17" s="155"/>
      <c r="Q17" s="155"/>
      <c r="R17" s="155"/>
      <c r="S17" s="155"/>
      <c r="T17" s="155"/>
      <c r="U17" s="155"/>
      <c r="V17" s="155"/>
      <c r="W17" s="156"/>
    </row>
    <row r="18" spans="1:23" ht="59.25" customHeight="1">
      <c r="A18" s="46" t="s">
        <v>80</v>
      </c>
      <c r="B18" s="154"/>
      <c r="C18" s="155"/>
      <c r="D18" s="155"/>
      <c r="E18" s="155"/>
      <c r="F18" s="155"/>
      <c r="G18" s="155"/>
      <c r="H18" s="155"/>
      <c r="I18" s="155"/>
      <c r="J18" s="155"/>
      <c r="K18" s="155"/>
      <c r="L18" s="155"/>
      <c r="M18" s="155"/>
      <c r="N18" s="155"/>
      <c r="O18" s="155"/>
      <c r="P18" s="155"/>
      <c r="Q18" s="155"/>
      <c r="R18" s="155"/>
      <c r="S18" s="155"/>
      <c r="T18" s="155"/>
      <c r="U18" s="155"/>
      <c r="V18" s="155"/>
      <c r="W18" s="156"/>
    </row>
    <row r="19" spans="1:23" ht="59.25" customHeight="1">
      <c r="A19" s="46" t="s">
        <v>81</v>
      </c>
      <c r="B19" s="154"/>
      <c r="C19" s="155"/>
      <c r="D19" s="155"/>
      <c r="E19" s="155"/>
      <c r="F19" s="155"/>
      <c r="G19" s="155"/>
      <c r="H19" s="155"/>
      <c r="I19" s="155"/>
      <c r="J19" s="155"/>
      <c r="K19" s="155"/>
      <c r="L19" s="155"/>
      <c r="M19" s="155"/>
      <c r="N19" s="155"/>
      <c r="O19" s="155"/>
      <c r="P19" s="155"/>
      <c r="Q19" s="155"/>
      <c r="R19" s="155"/>
      <c r="S19" s="155"/>
      <c r="T19" s="155"/>
      <c r="U19" s="155"/>
      <c r="V19" s="155"/>
      <c r="W19" s="156"/>
    </row>
    <row r="20" spans="1:23" ht="59.25" customHeight="1">
      <c r="A20" s="46" t="s">
        <v>82</v>
      </c>
      <c r="B20" s="154"/>
      <c r="C20" s="155"/>
      <c r="D20" s="155"/>
      <c r="E20" s="155"/>
      <c r="F20" s="155"/>
      <c r="G20" s="155"/>
      <c r="H20" s="155"/>
      <c r="I20" s="155"/>
      <c r="J20" s="155"/>
      <c r="K20" s="155"/>
      <c r="L20" s="155"/>
      <c r="M20" s="155"/>
      <c r="N20" s="155"/>
      <c r="O20" s="155"/>
      <c r="P20" s="155"/>
      <c r="Q20" s="155"/>
      <c r="R20" s="155"/>
      <c r="S20" s="155"/>
      <c r="T20" s="155"/>
      <c r="U20" s="155"/>
      <c r="V20" s="155"/>
      <c r="W20" s="156"/>
    </row>
    <row r="21" spans="1:23" ht="59.25" customHeight="1">
      <c r="A21" s="46" t="s">
        <v>83</v>
      </c>
      <c r="B21" s="154"/>
      <c r="C21" s="155"/>
      <c r="D21" s="155"/>
      <c r="E21" s="155"/>
      <c r="F21" s="155"/>
      <c r="G21" s="155"/>
      <c r="H21" s="155"/>
      <c r="I21" s="155"/>
      <c r="J21" s="155"/>
      <c r="K21" s="155"/>
      <c r="L21" s="155"/>
      <c r="M21" s="155"/>
      <c r="N21" s="155"/>
      <c r="O21" s="155"/>
      <c r="P21" s="155"/>
      <c r="Q21" s="155"/>
      <c r="R21" s="155"/>
      <c r="S21" s="155"/>
      <c r="T21" s="155"/>
      <c r="U21" s="155"/>
      <c r="V21" s="155"/>
      <c r="W21" s="156"/>
    </row>
    <row r="22" spans="1:23" ht="59.25" customHeight="1">
      <c r="A22" s="46" t="s">
        <v>84</v>
      </c>
      <c r="B22" s="154"/>
      <c r="C22" s="155"/>
      <c r="D22" s="155"/>
      <c r="E22" s="155"/>
      <c r="F22" s="155"/>
      <c r="G22" s="155"/>
      <c r="H22" s="155"/>
      <c r="I22" s="155"/>
      <c r="J22" s="155"/>
      <c r="K22" s="155"/>
      <c r="L22" s="155"/>
      <c r="M22" s="155"/>
      <c r="N22" s="155"/>
      <c r="O22" s="155"/>
      <c r="P22" s="155"/>
      <c r="Q22" s="155"/>
      <c r="R22" s="155"/>
      <c r="S22" s="155"/>
      <c r="T22" s="155"/>
      <c r="U22" s="155"/>
      <c r="V22" s="155"/>
      <c r="W22" s="156"/>
    </row>
    <row r="23" spans="1:23" ht="59.25" customHeight="1">
      <c r="A23" s="46"/>
      <c r="B23" s="154"/>
      <c r="C23" s="155"/>
      <c r="D23" s="155"/>
      <c r="E23" s="155"/>
      <c r="F23" s="155"/>
      <c r="G23" s="155"/>
      <c r="H23" s="155"/>
      <c r="I23" s="155"/>
      <c r="J23" s="155"/>
      <c r="K23" s="155"/>
      <c r="L23" s="155"/>
      <c r="M23" s="155"/>
      <c r="N23" s="155"/>
      <c r="O23" s="155"/>
      <c r="P23" s="155"/>
      <c r="Q23" s="155"/>
      <c r="R23" s="155"/>
      <c r="S23" s="155"/>
      <c r="T23" s="155"/>
      <c r="U23" s="155"/>
      <c r="V23" s="155"/>
      <c r="W23" s="156"/>
    </row>
    <row r="24" spans="1:23" ht="59.25" customHeight="1">
      <c r="A24" s="46" t="s">
        <v>85</v>
      </c>
      <c r="B24" s="154"/>
      <c r="C24" s="155"/>
      <c r="D24" s="155"/>
      <c r="E24" s="155"/>
      <c r="F24" s="155"/>
      <c r="G24" s="155"/>
      <c r="H24" s="155"/>
      <c r="I24" s="155"/>
      <c r="J24" s="155"/>
      <c r="K24" s="155"/>
      <c r="L24" s="155"/>
      <c r="M24" s="155"/>
      <c r="N24" s="155"/>
      <c r="O24" s="155"/>
      <c r="P24" s="155"/>
      <c r="Q24" s="155"/>
      <c r="R24" s="155"/>
      <c r="S24" s="155"/>
      <c r="T24" s="155"/>
      <c r="U24" s="155"/>
      <c r="V24" s="155"/>
      <c r="W24" s="156"/>
    </row>
    <row r="25" spans="1:23" ht="59.25" customHeight="1">
      <c r="A25" s="46" t="s">
        <v>86</v>
      </c>
      <c r="B25" s="154"/>
      <c r="C25" s="155"/>
      <c r="D25" s="155"/>
      <c r="E25" s="155"/>
      <c r="F25" s="155"/>
      <c r="G25" s="155"/>
      <c r="H25" s="155"/>
      <c r="I25" s="155"/>
      <c r="J25" s="155"/>
      <c r="K25" s="155"/>
      <c r="L25" s="155"/>
      <c r="M25" s="155"/>
      <c r="N25" s="155"/>
      <c r="O25" s="155"/>
      <c r="P25" s="155"/>
      <c r="Q25" s="155"/>
      <c r="R25" s="155"/>
      <c r="S25" s="155"/>
      <c r="T25" s="155"/>
      <c r="U25" s="155"/>
      <c r="V25" s="155"/>
      <c r="W25" s="156"/>
    </row>
    <row r="26" spans="1:23" ht="59.25" customHeight="1">
      <c r="A26" s="46" t="s">
        <v>87</v>
      </c>
      <c r="B26" s="154"/>
      <c r="C26" s="155"/>
      <c r="D26" s="155"/>
      <c r="E26" s="155"/>
      <c r="F26" s="155"/>
      <c r="G26" s="155"/>
      <c r="H26" s="155"/>
      <c r="I26" s="155"/>
      <c r="J26" s="155"/>
      <c r="K26" s="155"/>
      <c r="L26" s="155"/>
      <c r="M26" s="155"/>
      <c r="N26" s="155"/>
      <c r="O26" s="155"/>
      <c r="P26" s="155"/>
      <c r="Q26" s="155"/>
      <c r="R26" s="155"/>
      <c r="S26" s="155"/>
      <c r="T26" s="155"/>
      <c r="U26" s="155"/>
      <c r="V26" s="155"/>
      <c r="W26" s="156"/>
    </row>
    <row r="27" spans="1:23" ht="59.25" customHeight="1">
      <c r="A27" s="46" t="s">
        <v>88</v>
      </c>
      <c r="B27" s="154"/>
      <c r="C27" s="155"/>
      <c r="D27" s="155"/>
      <c r="E27" s="155"/>
      <c r="F27" s="155"/>
      <c r="G27" s="155"/>
      <c r="H27" s="155"/>
      <c r="I27" s="155"/>
      <c r="J27" s="155"/>
      <c r="K27" s="155"/>
      <c r="L27" s="155"/>
      <c r="M27" s="155"/>
      <c r="N27" s="155"/>
      <c r="O27" s="155"/>
      <c r="P27" s="155"/>
      <c r="Q27" s="155"/>
      <c r="R27" s="155"/>
      <c r="S27" s="155"/>
      <c r="T27" s="155"/>
      <c r="U27" s="155"/>
      <c r="V27" s="155"/>
      <c r="W27" s="156"/>
    </row>
    <row r="28" spans="1:23" ht="59.25" customHeight="1">
      <c r="A28" s="46" t="s">
        <v>89</v>
      </c>
      <c r="B28" s="154"/>
      <c r="C28" s="155"/>
      <c r="D28" s="155"/>
      <c r="E28" s="155"/>
      <c r="F28" s="155"/>
      <c r="G28" s="155"/>
      <c r="H28" s="155"/>
      <c r="I28" s="155"/>
      <c r="J28" s="155"/>
      <c r="K28" s="155"/>
      <c r="L28" s="155"/>
      <c r="M28" s="155"/>
      <c r="N28" s="155"/>
      <c r="O28" s="155"/>
      <c r="P28" s="155"/>
      <c r="Q28" s="155"/>
      <c r="R28" s="155"/>
      <c r="S28" s="155"/>
      <c r="T28" s="155"/>
      <c r="U28" s="155"/>
      <c r="V28" s="155"/>
      <c r="W28" s="156"/>
    </row>
    <row r="29" spans="1:23" ht="59.25" customHeight="1">
      <c r="A29" s="46"/>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3" ht="59.25" customHeight="1">
      <c r="A30" s="46"/>
      <c r="B30" s="154"/>
      <c r="C30" s="155"/>
      <c r="D30" s="155"/>
      <c r="E30" s="155"/>
      <c r="F30" s="155"/>
      <c r="G30" s="155"/>
      <c r="H30" s="155"/>
      <c r="I30" s="155"/>
      <c r="J30" s="155"/>
      <c r="K30" s="155"/>
      <c r="L30" s="155"/>
      <c r="M30" s="155"/>
      <c r="N30" s="155"/>
      <c r="O30" s="155"/>
      <c r="P30" s="155"/>
      <c r="Q30" s="155"/>
      <c r="R30" s="155"/>
      <c r="S30" s="155"/>
      <c r="T30" s="155"/>
      <c r="U30" s="155"/>
      <c r="V30" s="155"/>
      <c r="W30" s="156"/>
    </row>
    <row r="31" spans="1:23" ht="59.25" customHeight="1">
      <c r="A31" s="46"/>
      <c r="B31" s="154"/>
      <c r="C31" s="155"/>
      <c r="D31" s="155"/>
      <c r="E31" s="155"/>
      <c r="F31" s="155"/>
      <c r="G31" s="155"/>
      <c r="H31" s="155"/>
      <c r="I31" s="155"/>
      <c r="J31" s="155"/>
      <c r="K31" s="155"/>
      <c r="L31" s="155"/>
      <c r="M31" s="155"/>
      <c r="N31" s="155"/>
      <c r="O31" s="155"/>
      <c r="P31" s="155"/>
      <c r="Q31" s="155"/>
      <c r="R31" s="155"/>
      <c r="S31" s="155"/>
      <c r="T31" s="155"/>
      <c r="U31" s="155"/>
      <c r="V31" s="155"/>
      <c r="W31" s="156"/>
    </row>
    <row r="32" spans="1:23" ht="59.25" customHeight="1">
      <c r="A32" s="46"/>
      <c r="B32" s="154"/>
      <c r="C32" s="155"/>
      <c r="D32" s="155"/>
      <c r="E32" s="155"/>
      <c r="F32" s="155"/>
      <c r="G32" s="155"/>
      <c r="H32" s="155"/>
      <c r="I32" s="155"/>
      <c r="J32" s="155"/>
      <c r="K32" s="155"/>
      <c r="L32" s="155"/>
      <c r="M32" s="155"/>
      <c r="N32" s="155"/>
      <c r="O32" s="155"/>
      <c r="P32" s="155"/>
      <c r="Q32" s="155"/>
      <c r="R32" s="155"/>
      <c r="S32" s="155"/>
      <c r="T32" s="155"/>
      <c r="U32" s="155"/>
      <c r="V32" s="155"/>
      <c r="W32" s="156"/>
    </row>
    <row r="33" spans="1:23" ht="59.25" customHeight="1">
      <c r="A33" s="46"/>
      <c r="B33" s="154"/>
      <c r="C33" s="155"/>
      <c r="D33" s="155"/>
      <c r="E33" s="155"/>
      <c r="F33" s="155"/>
      <c r="G33" s="155"/>
      <c r="H33" s="155"/>
      <c r="I33" s="155"/>
      <c r="J33" s="155"/>
      <c r="K33" s="155"/>
      <c r="L33" s="155"/>
      <c r="M33" s="155"/>
      <c r="N33" s="155"/>
      <c r="O33" s="155"/>
      <c r="P33" s="155"/>
      <c r="Q33" s="155"/>
      <c r="R33" s="155"/>
      <c r="S33" s="155"/>
      <c r="T33" s="155"/>
      <c r="U33" s="155"/>
      <c r="V33" s="155"/>
      <c r="W33" s="156"/>
    </row>
    <row r="34" spans="1:23" ht="59.25" customHeight="1">
      <c r="A34" s="46"/>
      <c r="B34" s="154"/>
      <c r="C34" s="155"/>
      <c r="D34" s="155"/>
      <c r="E34" s="155"/>
      <c r="F34" s="155"/>
      <c r="G34" s="155"/>
      <c r="H34" s="155"/>
      <c r="I34" s="155"/>
      <c r="J34" s="155"/>
      <c r="K34" s="155"/>
      <c r="L34" s="155"/>
      <c r="M34" s="155"/>
      <c r="N34" s="155"/>
      <c r="O34" s="155"/>
      <c r="P34" s="155"/>
      <c r="Q34" s="155"/>
      <c r="R34" s="155"/>
      <c r="S34" s="155"/>
      <c r="T34" s="155"/>
      <c r="U34" s="155"/>
      <c r="V34" s="155"/>
      <c r="W34" s="15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２－２</v>
      </c>
      <c r="B1" s="34" t="str">
        <f ca="1">RIGHT(CELL("filename",B1),LEN(CELL("filename",B1))-FIND("]",CELL("filename",B1)))</f>
        <v>音楽</v>
      </c>
      <c r="C1" s="35" t="s">
        <v>26</v>
      </c>
      <c r="D1" s="36" t="str">
        <f>A15</f>
        <v>赤羽 咲良</v>
      </c>
      <c r="E1" s="36" t="str">
        <f>A16</f>
        <v>今井 千紗都</v>
      </c>
      <c r="F1" s="36" t="str">
        <f>A17</f>
        <v>上島 千茅</v>
      </c>
      <c r="G1" s="36" t="str">
        <f>A18</f>
        <v>小林 朋桃</v>
      </c>
      <c r="H1" s="36" t="str">
        <f>A19</f>
        <v>小森 朝陽</v>
      </c>
      <c r="I1" s="36" t="str">
        <f>A20</f>
        <v>佐野 望結</v>
      </c>
      <c r="J1" s="36" t="str">
        <f>A21</f>
        <v>西村 友李</v>
      </c>
      <c r="K1" s="36" t="str">
        <f>A22</f>
        <v>林 美佑</v>
      </c>
      <c r="L1" s="36">
        <f>A23</f>
        <v>0</v>
      </c>
      <c r="M1" s="36" t="str">
        <f>A24</f>
        <v>樋沢 壮真</v>
      </c>
      <c r="N1" s="36" t="str">
        <f>A25</f>
        <v>堀内 心遥</v>
      </c>
      <c r="O1" s="36" t="str">
        <f>A26</f>
        <v>南澤 育実</v>
      </c>
      <c r="P1" s="36" t="str">
        <f>A27</f>
        <v>山野 健斗</v>
      </c>
      <c r="Q1" s="36" t="str">
        <f>A28</f>
        <v>若松 優衣奈</v>
      </c>
      <c r="R1" s="36">
        <f>A29</f>
        <v>0</v>
      </c>
      <c r="S1" s="36">
        <f>A30</f>
        <v>0</v>
      </c>
      <c r="T1" s="36">
        <f>A31</f>
        <v>0</v>
      </c>
      <c r="U1" s="36">
        <f>A32</f>
        <v>0</v>
      </c>
      <c r="V1" s="36">
        <f>A33</f>
        <v>0</v>
      </c>
      <c r="W1" s="36">
        <f>A34</f>
        <v>0</v>
      </c>
      <c r="X1" s="37"/>
    </row>
    <row r="2" spans="1:25" ht="22.5" customHeight="1">
      <c r="A2" s="157" t="s">
        <v>191</v>
      </c>
      <c r="B2" s="41" t="s">
        <v>99</v>
      </c>
      <c r="C2" s="38" t="s">
        <v>27</v>
      </c>
      <c r="D2" s="39" t="s">
        <v>195</v>
      </c>
      <c r="E2" s="39" t="s">
        <v>192</v>
      </c>
      <c r="F2" s="39" t="s">
        <v>192</v>
      </c>
      <c r="G2" s="39" t="s">
        <v>192</v>
      </c>
      <c r="H2" s="39" t="s">
        <v>192</v>
      </c>
      <c r="I2" s="39" t="s">
        <v>192</v>
      </c>
      <c r="J2" s="39" t="s">
        <v>192</v>
      </c>
      <c r="K2" s="39" t="s">
        <v>192</v>
      </c>
      <c r="L2" s="39"/>
      <c r="M2" s="39" t="s">
        <v>192</v>
      </c>
      <c r="N2" s="39" t="s">
        <v>192</v>
      </c>
      <c r="O2" s="39" t="s">
        <v>192</v>
      </c>
      <c r="P2" s="39" t="s">
        <v>192</v>
      </c>
      <c r="Q2" s="39" t="s">
        <v>192</v>
      </c>
      <c r="R2" s="39"/>
      <c r="S2" s="39"/>
      <c r="T2" s="39"/>
      <c r="U2" s="39"/>
      <c r="V2" s="39"/>
      <c r="W2" s="39"/>
      <c r="X2" s="40" t="s">
        <v>192</v>
      </c>
      <c r="Y2" s="40">
        <v>1</v>
      </c>
    </row>
    <row r="3" spans="1:25" ht="22.5" customHeight="1">
      <c r="A3" s="158"/>
      <c r="B3" s="41" t="s">
        <v>100</v>
      </c>
      <c r="C3" s="38" t="s">
        <v>27</v>
      </c>
      <c r="D3" s="39" t="s">
        <v>192</v>
      </c>
      <c r="E3" s="39" t="s">
        <v>192</v>
      </c>
      <c r="F3" s="39" t="s">
        <v>192</v>
      </c>
      <c r="G3" s="39" t="s">
        <v>195</v>
      </c>
      <c r="H3" s="39" t="s">
        <v>192</v>
      </c>
      <c r="I3" s="39" t="s">
        <v>192</v>
      </c>
      <c r="J3" s="39" t="s">
        <v>192</v>
      </c>
      <c r="K3" s="39" t="s">
        <v>192</v>
      </c>
      <c r="L3" s="39"/>
      <c r="M3" s="39" t="s">
        <v>166</v>
      </c>
      <c r="N3" s="39" t="s">
        <v>192</v>
      </c>
      <c r="O3" s="39" t="s">
        <v>192</v>
      </c>
      <c r="P3" s="39" t="s">
        <v>192</v>
      </c>
      <c r="Q3" s="39" t="s">
        <v>192</v>
      </c>
      <c r="R3" s="39"/>
      <c r="S3" s="39"/>
      <c r="T3" s="39"/>
      <c r="U3" s="39"/>
      <c r="V3" s="39"/>
      <c r="W3" s="39"/>
      <c r="X3" s="40" t="s">
        <v>172</v>
      </c>
      <c r="Y3" s="40">
        <v>2</v>
      </c>
    </row>
    <row r="4" spans="1:25" ht="22.5" customHeight="1">
      <c r="A4" s="158"/>
      <c r="B4" s="41" t="s">
        <v>101</v>
      </c>
      <c r="C4" s="38" t="s">
        <v>27</v>
      </c>
      <c r="D4" s="39" t="s">
        <v>166</v>
      </c>
      <c r="E4" s="39" t="s">
        <v>192</v>
      </c>
      <c r="F4" s="39" t="s">
        <v>166</v>
      </c>
      <c r="G4" s="39" t="s">
        <v>166</v>
      </c>
      <c r="H4" s="39" t="s">
        <v>192</v>
      </c>
      <c r="I4" s="39" t="s">
        <v>192</v>
      </c>
      <c r="J4" s="39" t="s">
        <v>192</v>
      </c>
      <c r="K4" s="39" t="s">
        <v>192</v>
      </c>
      <c r="L4" s="39"/>
      <c r="M4" s="39" t="s">
        <v>166</v>
      </c>
      <c r="N4" s="39" t="s">
        <v>166</v>
      </c>
      <c r="O4" s="39" t="s">
        <v>166</v>
      </c>
      <c r="P4" s="39" t="s">
        <v>192</v>
      </c>
      <c r="Q4" s="39" t="s">
        <v>166</v>
      </c>
      <c r="R4" s="39"/>
      <c r="S4" s="39"/>
      <c r="T4" s="39"/>
      <c r="U4" s="39"/>
      <c r="V4" s="39"/>
      <c r="W4" s="39"/>
      <c r="X4" s="40" t="s">
        <v>181</v>
      </c>
      <c r="Y4" s="40">
        <v>3</v>
      </c>
    </row>
    <row r="5" spans="1:25" ht="22.5" customHeight="1">
      <c r="A5" s="158"/>
      <c r="B5" s="41" t="s">
        <v>102</v>
      </c>
      <c r="C5" s="38" t="s">
        <v>27</v>
      </c>
      <c r="D5" s="39" t="s">
        <v>166</v>
      </c>
      <c r="E5" s="39" t="s">
        <v>166</v>
      </c>
      <c r="F5" s="39" t="s">
        <v>166</v>
      </c>
      <c r="G5" s="39" t="s">
        <v>166</v>
      </c>
      <c r="H5" s="39" t="s">
        <v>172</v>
      </c>
      <c r="I5" s="39" t="s">
        <v>166</v>
      </c>
      <c r="J5" s="39" t="s">
        <v>166</v>
      </c>
      <c r="K5" s="39" t="s">
        <v>166</v>
      </c>
      <c r="L5" s="39"/>
      <c r="M5" s="39" t="s">
        <v>166</v>
      </c>
      <c r="N5" s="39" t="s">
        <v>166</v>
      </c>
      <c r="O5" s="39" t="s">
        <v>166</v>
      </c>
      <c r="P5" s="39" t="s">
        <v>166</v>
      </c>
      <c r="Q5" s="39" t="s">
        <v>166</v>
      </c>
      <c r="R5" s="39"/>
      <c r="S5" s="39"/>
      <c r="T5" s="39"/>
      <c r="U5" s="39"/>
      <c r="V5" s="39"/>
      <c r="W5" s="39"/>
      <c r="X5" s="40" t="s">
        <v>183</v>
      </c>
      <c r="Y5" s="40">
        <v>4</v>
      </c>
    </row>
    <row r="6" spans="1:25" ht="22.5" customHeight="1">
      <c r="A6" s="158"/>
      <c r="B6" s="41"/>
      <c r="C6" s="38" t="s">
        <v>27</v>
      </c>
      <c r="D6" s="39"/>
      <c r="E6" s="39"/>
      <c r="F6" s="39"/>
      <c r="G6" s="39"/>
      <c r="H6" s="39"/>
      <c r="I6" s="39"/>
      <c r="J6" s="39"/>
      <c r="K6" s="39"/>
      <c r="L6" s="39"/>
      <c r="M6" s="39"/>
      <c r="N6" s="39"/>
      <c r="O6" s="39"/>
      <c r="P6" s="39"/>
      <c r="Q6" s="39"/>
      <c r="R6" s="39"/>
      <c r="S6" s="39"/>
      <c r="T6" s="39"/>
      <c r="U6" s="39"/>
      <c r="V6" s="39"/>
      <c r="W6" s="39"/>
      <c r="X6" s="40"/>
      <c r="Y6" s="40">
        <v>5</v>
      </c>
    </row>
    <row r="7" spans="1:25" ht="22.5" customHeight="1">
      <c r="A7" s="158"/>
      <c r="B7" s="41"/>
      <c r="C7" s="38" t="s">
        <v>27</v>
      </c>
      <c r="D7" s="39"/>
      <c r="E7" s="39"/>
      <c r="F7" s="39"/>
      <c r="G7" s="39"/>
      <c r="H7" s="39"/>
      <c r="I7" s="39"/>
      <c r="J7" s="39"/>
      <c r="K7" s="39"/>
      <c r="L7" s="39"/>
      <c r="M7" s="39"/>
      <c r="N7" s="39"/>
      <c r="O7" s="39"/>
      <c r="P7" s="39"/>
      <c r="Q7" s="39"/>
      <c r="R7" s="39"/>
      <c r="S7" s="39"/>
      <c r="T7" s="39"/>
      <c r="U7" s="39"/>
      <c r="V7" s="39"/>
      <c r="W7" s="39"/>
      <c r="X7" s="40"/>
      <c r="Y7" s="40" t="s">
        <v>193</v>
      </c>
    </row>
    <row r="8" spans="1:25" ht="22.5" customHeight="1">
      <c r="A8" s="158"/>
      <c r="B8" s="41"/>
      <c r="C8" s="38" t="s">
        <v>27</v>
      </c>
      <c r="D8" s="39"/>
      <c r="E8" s="39"/>
      <c r="F8" s="39"/>
      <c r="G8" s="39"/>
      <c r="H8" s="39"/>
      <c r="I8" s="39"/>
      <c r="J8" s="39"/>
      <c r="K8" s="39"/>
      <c r="L8" s="39"/>
      <c r="M8" s="39"/>
      <c r="N8" s="39"/>
      <c r="O8" s="39"/>
      <c r="P8" s="39"/>
      <c r="Q8" s="39"/>
      <c r="R8" s="39"/>
      <c r="S8" s="39"/>
      <c r="T8" s="39"/>
      <c r="U8" s="39"/>
      <c r="V8" s="39"/>
      <c r="W8" s="39"/>
    </row>
    <row r="9" spans="1:25" ht="22.5" customHeight="1">
      <c r="A9" s="158"/>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8"/>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8"/>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59"/>
      <c r="B12" s="42"/>
      <c r="C12" s="43" t="s">
        <v>28</v>
      </c>
      <c r="D12" s="39">
        <v>4</v>
      </c>
      <c r="E12" s="39">
        <v>5</v>
      </c>
      <c r="F12" s="39">
        <v>5</v>
      </c>
      <c r="G12" s="39">
        <v>4</v>
      </c>
      <c r="H12" s="39">
        <v>4</v>
      </c>
      <c r="I12" s="39">
        <v>5</v>
      </c>
      <c r="J12" s="39">
        <v>5</v>
      </c>
      <c r="K12" s="39">
        <v>5</v>
      </c>
      <c r="L12" s="39"/>
      <c r="M12" s="39">
        <v>5</v>
      </c>
      <c r="N12" s="39">
        <v>5</v>
      </c>
      <c r="O12" s="39">
        <v>5</v>
      </c>
      <c r="P12" s="39">
        <v>5</v>
      </c>
      <c r="Q12" s="39">
        <v>5</v>
      </c>
      <c r="R12" s="39"/>
      <c r="S12" s="39"/>
      <c r="T12" s="39"/>
      <c r="U12" s="39"/>
      <c r="V12" s="39"/>
      <c r="W12" s="39"/>
    </row>
    <row r="13" spans="1:25" ht="26.25" customHeight="1">
      <c r="A13" s="44"/>
      <c r="B13" s="44"/>
      <c r="C13" s="76" t="s">
        <v>54</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0" t="s">
        <v>30</v>
      </c>
      <c r="C14" s="161"/>
      <c r="D14" s="161"/>
      <c r="E14" s="161"/>
      <c r="F14" s="161"/>
      <c r="G14" s="161"/>
      <c r="H14" s="161"/>
      <c r="I14" s="161"/>
      <c r="J14" s="161"/>
      <c r="K14" s="161"/>
      <c r="L14" s="161"/>
      <c r="M14" s="161"/>
      <c r="N14" s="161"/>
      <c r="O14" s="161"/>
      <c r="P14" s="161"/>
      <c r="Q14" s="161"/>
      <c r="R14" s="161"/>
      <c r="S14" s="161"/>
      <c r="T14" s="161"/>
      <c r="U14" s="161"/>
      <c r="V14" s="161"/>
      <c r="W14" s="162"/>
    </row>
    <row r="15" spans="1:25" ht="59.25" customHeight="1">
      <c r="A15" s="46" t="s">
        <v>77</v>
      </c>
      <c r="B15" s="154" t="s">
        <v>103</v>
      </c>
      <c r="C15" s="155"/>
      <c r="D15" s="155"/>
      <c r="E15" s="155"/>
      <c r="F15" s="155"/>
      <c r="G15" s="155"/>
      <c r="H15" s="155"/>
      <c r="I15" s="155"/>
      <c r="J15" s="155"/>
      <c r="K15" s="155"/>
      <c r="L15" s="155"/>
      <c r="M15" s="155"/>
      <c r="N15" s="155"/>
      <c r="O15" s="155"/>
      <c r="P15" s="155"/>
      <c r="Q15" s="155"/>
      <c r="R15" s="155"/>
      <c r="S15" s="155"/>
      <c r="T15" s="155"/>
      <c r="U15" s="155"/>
      <c r="V15" s="155"/>
      <c r="W15" s="156"/>
    </row>
    <row r="16" spans="1:25" ht="59.25" customHeight="1">
      <c r="A16" s="46" t="s">
        <v>78</v>
      </c>
      <c r="B16" s="154"/>
      <c r="C16" s="155"/>
      <c r="D16" s="155"/>
      <c r="E16" s="155"/>
      <c r="F16" s="155"/>
      <c r="G16" s="155"/>
      <c r="H16" s="155"/>
      <c r="I16" s="155"/>
      <c r="J16" s="155"/>
      <c r="K16" s="155"/>
      <c r="L16" s="155"/>
      <c r="M16" s="155"/>
      <c r="N16" s="155"/>
      <c r="O16" s="155"/>
      <c r="P16" s="155"/>
      <c r="Q16" s="155"/>
      <c r="R16" s="155"/>
      <c r="S16" s="155"/>
      <c r="T16" s="155"/>
      <c r="U16" s="155"/>
      <c r="V16" s="155"/>
      <c r="W16" s="156"/>
    </row>
    <row r="17" spans="1:23" ht="59.25" customHeight="1">
      <c r="A17" s="46" t="s">
        <v>79</v>
      </c>
      <c r="B17" s="154"/>
      <c r="C17" s="155"/>
      <c r="D17" s="155"/>
      <c r="E17" s="155"/>
      <c r="F17" s="155"/>
      <c r="G17" s="155"/>
      <c r="H17" s="155"/>
      <c r="I17" s="155"/>
      <c r="J17" s="155"/>
      <c r="K17" s="155"/>
      <c r="L17" s="155"/>
      <c r="M17" s="155"/>
      <c r="N17" s="155"/>
      <c r="O17" s="155"/>
      <c r="P17" s="155"/>
      <c r="Q17" s="155"/>
      <c r="R17" s="155"/>
      <c r="S17" s="155"/>
      <c r="T17" s="155"/>
      <c r="U17" s="155"/>
      <c r="V17" s="155"/>
      <c r="W17" s="156"/>
    </row>
    <row r="18" spans="1:23" ht="59.25" customHeight="1">
      <c r="A18" s="46" t="s">
        <v>80</v>
      </c>
      <c r="B18" s="154" t="s">
        <v>104</v>
      </c>
      <c r="C18" s="155"/>
      <c r="D18" s="155"/>
      <c r="E18" s="155"/>
      <c r="F18" s="155"/>
      <c r="G18" s="155"/>
      <c r="H18" s="155"/>
      <c r="I18" s="155"/>
      <c r="J18" s="155"/>
      <c r="K18" s="155"/>
      <c r="L18" s="155"/>
      <c r="M18" s="155"/>
      <c r="N18" s="155"/>
      <c r="O18" s="155"/>
      <c r="P18" s="155"/>
      <c r="Q18" s="155"/>
      <c r="R18" s="155"/>
      <c r="S18" s="155"/>
      <c r="T18" s="155"/>
      <c r="U18" s="155"/>
      <c r="V18" s="155"/>
      <c r="W18" s="156"/>
    </row>
    <row r="19" spans="1:23" ht="59.25" customHeight="1">
      <c r="A19" s="46" t="s">
        <v>81</v>
      </c>
      <c r="B19" s="154" t="s">
        <v>105</v>
      </c>
      <c r="C19" s="155"/>
      <c r="D19" s="155"/>
      <c r="E19" s="155"/>
      <c r="F19" s="155"/>
      <c r="G19" s="155"/>
      <c r="H19" s="155"/>
      <c r="I19" s="155"/>
      <c r="J19" s="155"/>
      <c r="K19" s="155"/>
      <c r="L19" s="155"/>
      <c r="M19" s="155"/>
      <c r="N19" s="155"/>
      <c r="O19" s="155"/>
      <c r="P19" s="155"/>
      <c r="Q19" s="155"/>
      <c r="R19" s="155"/>
      <c r="S19" s="155"/>
      <c r="T19" s="155"/>
      <c r="U19" s="155"/>
      <c r="V19" s="155"/>
      <c r="W19" s="156"/>
    </row>
    <row r="20" spans="1:23" ht="59.25" customHeight="1">
      <c r="A20" s="46" t="s">
        <v>82</v>
      </c>
      <c r="B20" s="154"/>
      <c r="C20" s="155"/>
      <c r="D20" s="155"/>
      <c r="E20" s="155"/>
      <c r="F20" s="155"/>
      <c r="G20" s="155"/>
      <c r="H20" s="155"/>
      <c r="I20" s="155"/>
      <c r="J20" s="155"/>
      <c r="K20" s="155"/>
      <c r="L20" s="155"/>
      <c r="M20" s="155"/>
      <c r="N20" s="155"/>
      <c r="O20" s="155"/>
      <c r="P20" s="155"/>
      <c r="Q20" s="155"/>
      <c r="R20" s="155"/>
      <c r="S20" s="155"/>
      <c r="T20" s="155"/>
      <c r="U20" s="155"/>
      <c r="V20" s="155"/>
      <c r="W20" s="156"/>
    </row>
    <row r="21" spans="1:23" ht="59.25" customHeight="1">
      <c r="A21" s="46" t="s">
        <v>83</v>
      </c>
      <c r="B21" s="154"/>
      <c r="C21" s="155"/>
      <c r="D21" s="155"/>
      <c r="E21" s="155"/>
      <c r="F21" s="155"/>
      <c r="G21" s="155"/>
      <c r="H21" s="155"/>
      <c r="I21" s="155"/>
      <c r="J21" s="155"/>
      <c r="K21" s="155"/>
      <c r="L21" s="155"/>
      <c r="M21" s="155"/>
      <c r="N21" s="155"/>
      <c r="O21" s="155"/>
      <c r="P21" s="155"/>
      <c r="Q21" s="155"/>
      <c r="R21" s="155"/>
      <c r="S21" s="155"/>
      <c r="T21" s="155"/>
      <c r="U21" s="155"/>
      <c r="V21" s="155"/>
      <c r="W21" s="156"/>
    </row>
    <row r="22" spans="1:23" ht="59.25" customHeight="1">
      <c r="A22" s="46" t="s">
        <v>84</v>
      </c>
      <c r="B22" s="154"/>
      <c r="C22" s="155"/>
      <c r="D22" s="155"/>
      <c r="E22" s="155"/>
      <c r="F22" s="155"/>
      <c r="G22" s="155"/>
      <c r="H22" s="155"/>
      <c r="I22" s="155"/>
      <c r="J22" s="155"/>
      <c r="K22" s="155"/>
      <c r="L22" s="155"/>
      <c r="M22" s="155"/>
      <c r="N22" s="155"/>
      <c r="O22" s="155"/>
      <c r="P22" s="155"/>
      <c r="Q22" s="155"/>
      <c r="R22" s="155"/>
      <c r="S22" s="155"/>
      <c r="T22" s="155"/>
      <c r="U22" s="155"/>
      <c r="V22" s="155"/>
      <c r="W22" s="156"/>
    </row>
    <row r="23" spans="1:23" ht="59.25" customHeight="1">
      <c r="A23" s="46"/>
      <c r="B23" s="154"/>
      <c r="C23" s="155"/>
      <c r="D23" s="155"/>
      <c r="E23" s="155"/>
      <c r="F23" s="155"/>
      <c r="G23" s="155"/>
      <c r="H23" s="155"/>
      <c r="I23" s="155"/>
      <c r="J23" s="155"/>
      <c r="K23" s="155"/>
      <c r="L23" s="155"/>
      <c r="M23" s="155"/>
      <c r="N23" s="155"/>
      <c r="O23" s="155"/>
      <c r="P23" s="155"/>
      <c r="Q23" s="155"/>
      <c r="R23" s="155"/>
      <c r="S23" s="155"/>
      <c r="T23" s="155"/>
      <c r="U23" s="155"/>
      <c r="V23" s="155"/>
      <c r="W23" s="156"/>
    </row>
    <row r="24" spans="1:23" ht="59.25" customHeight="1">
      <c r="A24" s="46" t="s">
        <v>85</v>
      </c>
      <c r="B24" s="154"/>
      <c r="C24" s="155"/>
      <c r="D24" s="155"/>
      <c r="E24" s="155"/>
      <c r="F24" s="155"/>
      <c r="G24" s="155"/>
      <c r="H24" s="155"/>
      <c r="I24" s="155"/>
      <c r="J24" s="155"/>
      <c r="K24" s="155"/>
      <c r="L24" s="155"/>
      <c r="M24" s="155"/>
      <c r="N24" s="155"/>
      <c r="O24" s="155"/>
      <c r="P24" s="155"/>
      <c r="Q24" s="155"/>
      <c r="R24" s="155"/>
      <c r="S24" s="155"/>
      <c r="T24" s="155"/>
      <c r="U24" s="155"/>
      <c r="V24" s="155"/>
      <c r="W24" s="156"/>
    </row>
    <row r="25" spans="1:23" ht="59.25" customHeight="1">
      <c r="A25" s="46" t="s">
        <v>86</v>
      </c>
      <c r="B25" s="154"/>
      <c r="C25" s="155"/>
      <c r="D25" s="155"/>
      <c r="E25" s="155"/>
      <c r="F25" s="155"/>
      <c r="G25" s="155"/>
      <c r="H25" s="155"/>
      <c r="I25" s="155"/>
      <c r="J25" s="155"/>
      <c r="K25" s="155"/>
      <c r="L25" s="155"/>
      <c r="M25" s="155"/>
      <c r="N25" s="155"/>
      <c r="O25" s="155"/>
      <c r="P25" s="155"/>
      <c r="Q25" s="155"/>
      <c r="R25" s="155"/>
      <c r="S25" s="155"/>
      <c r="T25" s="155"/>
      <c r="U25" s="155"/>
      <c r="V25" s="155"/>
      <c r="W25" s="156"/>
    </row>
    <row r="26" spans="1:23" ht="59.25" customHeight="1">
      <c r="A26" s="46" t="s">
        <v>87</v>
      </c>
      <c r="B26" s="154"/>
      <c r="C26" s="155"/>
      <c r="D26" s="155"/>
      <c r="E26" s="155"/>
      <c r="F26" s="155"/>
      <c r="G26" s="155"/>
      <c r="H26" s="155"/>
      <c r="I26" s="155"/>
      <c r="J26" s="155"/>
      <c r="K26" s="155"/>
      <c r="L26" s="155"/>
      <c r="M26" s="155"/>
      <c r="N26" s="155"/>
      <c r="O26" s="155"/>
      <c r="P26" s="155"/>
      <c r="Q26" s="155"/>
      <c r="R26" s="155"/>
      <c r="S26" s="155"/>
      <c r="T26" s="155"/>
      <c r="U26" s="155"/>
      <c r="V26" s="155"/>
      <c r="W26" s="156"/>
    </row>
    <row r="27" spans="1:23" ht="59.25" customHeight="1">
      <c r="A27" s="46" t="s">
        <v>88</v>
      </c>
      <c r="B27" s="154"/>
      <c r="C27" s="155"/>
      <c r="D27" s="155"/>
      <c r="E27" s="155"/>
      <c r="F27" s="155"/>
      <c r="G27" s="155"/>
      <c r="H27" s="155"/>
      <c r="I27" s="155"/>
      <c r="J27" s="155"/>
      <c r="K27" s="155"/>
      <c r="L27" s="155"/>
      <c r="M27" s="155"/>
      <c r="N27" s="155"/>
      <c r="O27" s="155"/>
      <c r="P27" s="155"/>
      <c r="Q27" s="155"/>
      <c r="R27" s="155"/>
      <c r="S27" s="155"/>
      <c r="T27" s="155"/>
      <c r="U27" s="155"/>
      <c r="V27" s="155"/>
      <c r="W27" s="156"/>
    </row>
    <row r="28" spans="1:23" ht="59.25" customHeight="1">
      <c r="A28" s="46" t="s">
        <v>89</v>
      </c>
      <c r="B28" s="154"/>
      <c r="C28" s="155"/>
      <c r="D28" s="155"/>
      <c r="E28" s="155"/>
      <c r="F28" s="155"/>
      <c r="G28" s="155"/>
      <c r="H28" s="155"/>
      <c r="I28" s="155"/>
      <c r="J28" s="155"/>
      <c r="K28" s="155"/>
      <c r="L28" s="155"/>
      <c r="M28" s="155"/>
      <c r="N28" s="155"/>
      <c r="O28" s="155"/>
      <c r="P28" s="155"/>
      <c r="Q28" s="155"/>
      <c r="R28" s="155"/>
      <c r="S28" s="155"/>
      <c r="T28" s="155"/>
      <c r="U28" s="155"/>
      <c r="V28" s="155"/>
      <c r="W28" s="156"/>
    </row>
    <row r="29" spans="1:23" ht="59.25" customHeight="1">
      <c r="A29" s="46"/>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3" ht="59.25" customHeight="1">
      <c r="A30" s="46"/>
      <c r="B30" s="154"/>
      <c r="C30" s="155"/>
      <c r="D30" s="155"/>
      <c r="E30" s="155"/>
      <c r="F30" s="155"/>
      <c r="G30" s="155"/>
      <c r="H30" s="155"/>
      <c r="I30" s="155"/>
      <c r="J30" s="155"/>
      <c r="K30" s="155"/>
      <c r="L30" s="155"/>
      <c r="M30" s="155"/>
      <c r="N30" s="155"/>
      <c r="O30" s="155"/>
      <c r="P30" s="155"/>
      <c r="Q30" s="155"/>
      <c r="R30" s="155"/>
      <c r="S30" s="155"/>
      <c r="T30" s="155"/>
      <c r="U30" s="155"/>
      <c r="V30" s="155"/>
      <c r="W30" s="156"/>
    </row>
    <row r="31" spans="1:23" ht="59.25" customHeight="1">
      <c r="A31" s="46"/>
      <c r="B31" s="154"/>
      <c r="C31" s="155"/>
      <c r="D31" s="155"/>
      <c r="E31" s="155"/>
      <c r="F31" s="155"/>
      <c r="G31" s="155"/>
      <c r="H31" s="155"/>
      <c r="I31" s="155"/>
      <c r="J31" s="155"/>
      <c r="K31" s="155"/>
      <c r="L31" s="155"/>
      <c r="M31" s="155"/>
      <c r="N31" s="155"/>
      <c r="O31" s="155"/>
      <c r="P31" s="155"/>
      <c r="Q31" s="155"/>
      <c r="R31" s="155"/>
      <c r="S31" s="155"/>
      <c r="T31" s="155"/>
      <c r="U31" s="155"/>
      <c r="V31" s="155"/>
      <c r="W31" s="156"/>
    </row>
    <row r="32" spans="1:23" ht="59.25" customHeight="1">
      <c r="A32" s="46"/>
      <c r="B32" s="154"/>
      <c r="C32" s="155"/>
      <c r="D32" s="155"/>
      <c r="E32" s="155"/>
      <c r="F32" s="155"/>
      <c r="G32" s="155"/>
      <c r="H32" s="155"/>
      <c r="I32" s="155"/>
      <c r="J32" s="155"/>
      <c r="K32" s="155"/>
      <c r="L32" s="155"/>
      <c r="M32" s="155"/>
      <c r="N32" s="155"/>
      <c r="O32" s="155"/>
      <c r="P32" s="155"/>
      <c r="Q32" s="155"/>
      <c r="R32" s="155"/>
      <c r="S32" s="155"/>
      <c r="T32" s="155"/>
      <c r="U32" s="155"/>
      <c r="V32" s="155"/>
      <c r="W32" s="156"/>
    </row>
    <row r="33" spans="1:23" ht="59.25" customHeight="1">
      <c r="A33" s="46"/>
      <c r="B33" s="154"/>
      <c r="C33" s="155"/>
      <c r="D33" s="155"/>
      <c r="E33" s="155"/>
      <c r="F33" s="155"/>
      <c r="G33" s="155"/>
      <c r="H33" s="155"/>
      <c r="I33" s="155"/>
      <c r="J33" s="155"/>
      <c r="K33" s="155"/>
      <c r="L33" s="155"/>
      <c r="M33" s="155"/>
      <c r="N33" s="155"/>
      <c r="O33" s="155"/>
      <c r="P33" s="155"/>
      <c r="Q33" s="155"/>
      <c r="R33" s="155"/>
      <c r="S33" s="155"/>
      <c r="T33" s="155"/>
      <c r="U33" s="155"/>
      <c r="V33" s="155"/>
      <c r="W33" s="156"/>
    </row>
    <row r="34" spans="1:23" ht="59.25" customHeight="1">
      <c r="A34" s="46"/>
      <c r="B34" s="154"/>
      <c r="C34" s="155"/>
      <c r="D34" s="155"/>
      <c r="E34" s="155"/>
      <c r="F34" s="155"/>
      <c r="G34" s="155"/>
      <c r="H34" s="155"/>
      <c r="I34" s="155"/>
      <c r="J34" s="155"/>
      <c r="K34" s="155"/>
      <c r="L34" s="155"/>
      <c r="M34" s="155"/>
      <c r="N34" s="155"/>
      <c r="O34" s="155"/>
      <c r="P34" s="155"/>
      <c r="Q34" s="155"/>
      <c r="R34" s="155"/>
      <c r="S34" s="155"/>
      <c r="T34" s="155"/>
      <c r="U34" s="155"/>
      <c r="V34" s="155"/>
      <c r="W34" s="15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２－２</v>
      </c>
      <c r="B1" s="34" t="str">
        <f ca="1">RIGHT(CELL("filename",B1),LEN(CELL("filename",B1))-FIND("]",CELL("filename",B1)))</f>
        <v>図工</v>
      </c>
      <c r="C1" s="35" t="s">
        <v>26</v>
      </c>
      <c r="D1" s="36" t="str">
        <f>A15</f>
        <v>赤羽 咲良</v>
      </c>
      <c r="E1" s="36" t="str">
        <f>A16</f>
        <v>今井 千紗都</v>
      </c>
      <c r="F1" s="36" t="str">
        <f>A17</f>
        <v>上島 千茅</v>
      </c>
      <c r="G1" s="36" t="str">
        <f>A18</f>
        <v>小林 朋桃</v>
      </c>
      <c r="H1" s="36" t="str">
        <f>A19</f>
        <v>小森 朝陽</v>
      </c>
      <c r="I1" s="36" t="str">
        <f>A20</f>
        <v>佐野 望結</v>
      </c>
      <c r="J1" s="36" t="str">
        <f>A21</f>
        <v>西村 友李</v>
      </c>
      <c r="K1" s="36" t="str">
        <f>A22</f>
        <v>林 美佑</v>
      </c>
      <c r="L1" s="36">
        <f>A23</f>
        <v>0</v>
      </c>
      <c r="M1" s="36" t="str">
        <f>A24</f>
        <v>樋沢 壮真</v>
      </c>
      <c r="N1" s="36" t="str">
        <f>A25</f>
        <v>堀内 心遥</v>
      </c>
      <c r="O1" s="36" t="str">
        <f>A26</f>
        <v>南澤 育実</v>
      </c>
      <c r="P1" s="36" t="str">
        <f>A27</f>
        <v>山野 健斗</v>
      </c>
      <c r="Q1" s="36" t="str">
        <f>A28</f>
        <v>若松 優衣奈</v>
      </c>
      <c r="R1" s="36">
        <f>A29</f>
        <v>0</v>
      </c>
      <c r="S1" s="36">
        <f>A30</f>
        <v>0</v>
      </c>
      <c r="T1" s="36">
        <f>A31</f>
        <v>0</v>
      </c>
      <c r="U1" s="36">
        <f>A32</f>
        <v>0</v>
      </c>
      <c r="V1" s="36">
        <f>A33</f>
        <v>0</v>
      </c>
      <c r="W1" s="36">
        <f>A34</f>
        <v>0</v>
      </c>
      <c r="X1" s="37"/>
    </row>
    <row r="2" spans="1:25" ht="22.5" customHeight="1">
      <c r="A2" s="157" t="s">
        <v>144</v>
      </c>
      <c r="B2" s="88" t="s">
        <v>148</v>
      </c>
      <c r="C2" s="38" t="s">
        <v>27</v>
      </c>
      <c r="D2" s="39" t="s">
        <v>145</v>
      </c>
      <c r="E2" s="39" t="s">
        <v>145</v>
      </c>
      <c r="F2" s="39" t="s">
        <v>145</v>
      </c>
      <c r="G2" s="39" t="s">
        <v>145</v>
      </c>
      <c r="H2" s="39" t="s">
        <v>145</v>
      </c>
      <c r="I2" s="39" t="s">
        <v>145</v>
      </c>
      <c r="J2" s="39" t="s">
        <v>145</v>
      </c>
      <c r="K2" s="39" t="s">
        <v>145</v>
      </c>
      <c r="L2" s="39"/>
      <c r="M2" s="39" t="s">
        <v>145</v>
      </c>
      <c r="N2" s="39" t="s">
        <v>196</v>
      </c>
      <c r="O2" s="39" t="s">
        <v>166</v>
      </c>
      <c r="P2" s="39" t="s">
        <v>145</v>
      </c>
      <c r="Q2" s="39" t="s">
        <v>145</v>
      </c>
      <c r="R2" s="39"/>
      <c r="S2" s="39"/>
      <c r="T2" s="39"/>
      <c r="U2" s="39"/>
      <c r="V2" s="39"/>
      <c r="W2" s="39"/>
      <c r="X2" s="40" t="s">
        <v>145</v>
      </c>
      <c r="Y2" s="40">
        <v>1</v>
      </c>
    </row>
    <row r="3" spans="1:25" ht="22.5" customHeight="1">
      <c r="A3" s="158"/>
      <c r="B3" s="88" t="s">
        <v>149</v>
      </c>
      <c r="C3" s="38" t="s">
        <v>27</v>
      </c>
      <c r="D3" s="39" t="s">
        <v>146</v>
      </c>
      <c r="E3" s="39" t="s">
        <v>145</v>
      </c>
      <c r="F3" s="39" t="s">
        <v>166</v>
      </c>
      <c r="G3" s="39" t="s">
        <v>166</v>
      </c>
      <c r="H3" s="39" t="s">
        <v>166</v>
      </c>
      <c r="I3" s="39" t="s">
        <v>146</v>
      </c>
      <c r="J3" s="39" t="s">
        <v>172</v>
      </c>
      <c r="K3" s="39" t="s">
        <v>145</v>
      </c>
      <c r="L3" s="39"/>
      <c r="M3" s="39" t="s">
        <v>166</v>
      </c>
      <c r="N3" s="39" t="s">
        <v>166</v>
      </c>
      <c r="O3" s="39" t="s">
        <v>166</v>
      </c>
      <c r="P3" s="39" t="s">
        <v>145</v>
      </c>
      <c r="Q3" s="39" t="s">
        <v>145</v>
      </c>
      <c r="R3" s="39"/>
      <c r="S3" s="39"/>
      <c r="T3" s="39"/>
      <c r="U3" s="39"/>
      <c r="V3" s="39"/>
      <c r="W3" s="39"/>
      <c r="X3" s="40" t="s">
        <v>146</v>
      </c>
      <c r="Y3" s="40">
        <v>2</v>
      </c>
    </row>
    <row r="4" spans="1:25" ht="22.5" customHeight="1">
      <c r="A4" s="158"/>
      <c r="B4" s="88" t="s">
        <v>150</v>
      </c>
      <c r="C4" s="38" t="s">
        <v>27</v>
      </c>
      <c r="D4" s="39" t="s">
        <v>166</v>
      </c>
      <c r="E4" s="39" t="s">
        <v>166</v>
      </c>
      <c r="F4" s="39" t="s">
        <v>166</v>
      </c>
      <c r="G4" s="39" t="s">
        <v>172</v>
      </c>
      <c r="H4" s="39" t="s">
        <v>166</v>
      </c>
      <c r="I4" s="39" t="s">
        <v>166</v>
      </c>
      <c r="J4" s="39" t="s">
        <v>166</v>
      </c>
      <c r="K4" s="39" t="s">
        <v>166</v>
      </c>
      <c r="L4" s="39"/>
      <c r="M4" s="39" t="s">
        <v>172</v>
      </c>
      <c r="N4" s="39" t="s">
        <v>145</v>
      </c>
      <c r="O4" s="39" t="s">
        <v>166</v>
      </c>
      <c r="P4" s="39" t="s">
        <v>145</v>
      </c>
      <c r="Q4" s="39" t="s">
        <v>166</v>
      </c>
      <c r="R4" s="39"/>
      <c r="S4" s="39"/>
      <c r="T4" s="39"/>
      <c r="U4" s="39"/>
      <c r="V4" s="39"/>
      <c r="W4" s="39"/>
      <c r="X4" s="40" t="s">
        <v>181</v>
      </c>
      <c r="Y4" s="40">
        <v>3</v>
      </c>
    </row>
    <row r="5" spans="1:25" ht="22.5" customHeight="1">
      <c r="A5" s="158"/>
      <c r="B5" s="81" t="s">
        <v>151</v>
      </c>
      <c r="C5" s="38" t="s">
        <v>27</v>
      </c>
      <c r="D5" s="39" t="s">
        <v>145</v>
      </c>
      <c r="E5" s="39" t="s">
        <v>146</v>
      </c>
      <c r="F5" s="39" t="s">
        <v>166</v>
      </c>
      <c r="G5" s="39" t="s">
        <v>145</v>
      </c>
      <c r="H5" s="39" t="s">
        <v>146</v>
      </c>
      <c r="I5" s="39" t="s">
        <v>166</v>
      </c>
      <c r="J5" s="39" t="s">
        <v>145</v>
      </c>
      <c r="K5" s="39" t="s">
        <v>145</v>
      </c>
      <c r="L5" s="39"/>
      <c r="M5" s="39" t="s">
        <v>166</v>
      </c>
      <c r="N5" s="39" t="s">
        <v>166</v>
      </c>
      <c r="O5" s="39" t="s">
        <v>166</v>
      </c>
      <c r="P5" s="39" t="s">
        <v>172</v>
      </c>
      <c r="Q5" s="39" t="s">
        <v>166</v>
      </c>
      <c r="R5" s="39"/>
      <c r="S5" s="39"/>
      <c r="T5" s="39"/>
      <c r="U5" s="39"/>
      <c r="V5" s="39"/>
      <c r="W5" s="39"/>
      <c r="X5" s="40" t="s">
        <v>147</v>
      </c>
      <c r="Y5" s="40">
        <v>4</v>
      </c>
    </row>
    <row r="6" spans="1:25" ht="22.5" customHeight="1">
      <c r="A6" s="158"/>
      <c r="B6" s="41"/>
      <c r="C6" s="38" t="s">
        <v>27</v>
      </c>
      <c r="D6" s="39"/>
      <c r="E6" s="39"/>
      <c r="F6" s="39"/>
      <c r="G6" s="39"/>
      <c r="H6" s="39"/>
      <c r="I6" s="39"/>
      <c r="J6" s="39"/>
      <c r="K6" s="39"/>
      <c r="L6" s="39"/>
      <c r="M6" s="39"/>
      <c r="N6" s="39"/>
      <c r="O6" s="39"/>
      <c r="P6" s="39"/>
      <c r="Q6" s="39"/>
      <c r="R6" s="39"/>
      <c r="S6" s="39"/>
      <c r="T6" s="39"/>
      <c r="U6" s="39"/>
      <c r="V6" s="39"/>
      <c r="W6" s="39"/>
      <c r="X6" s="40"/>
      <c r="Y6" s="40">
        <v>5</v>
      </c>
    </row>
    <row r="7" spans="1:25" ht="22.5" customHeight="1">
      <c r="A7" s="158"/>
      <c r="B7" s="41"/>
      <c r="C7" s="38" t="s">
        <v>27</v>
      </c>
      <c r="D7" s="39"/>
      <c r="E7" s="39"/>
      <c r="F7" s="39"/>
      <c r="G7" s="39"/>
      <c r="H7" s="39"/>
      <c r="I7" s="39"/>
      <c r="J7" s="39"/>
      <c r="K7" s="39"/>
      <c r="L7" s="39"/>
      <c r="M7" s="39"/>
      <c r="N7" s="39"/>
      <c r="O7" s="39"/>
      <c r="P7" s="39"/>
      <c r="Q7" s="39"/>
      <c r="R7" s="39"/>
      <c r="S7" s="39"/>
      <c r="T7" s="39"/>
      <c r="U7" s="39"/>
      <c r="V7" s="39"/>
      <c r="W7" s="39"/>
      <c r="X7" s="40"/>
      <c r="Y7" s="40" t="s">
        <v>197</v>
      </c>
    </row>
    <row r="8" spans="1:25" ht="22.5" customHeight="1">
      <c r="A8" s="158"/>
      <c r="B8" s="41"/>
      <c r="C8" s="38" t="s">
        <v>27</v>
      </c>
      <c r="D8" s="39"/>
      <c r="E8" s="39"/>
      <c r="F8" s="39"/>
      <c r="G8" s="39"/>
      <c r="H8" s="39"/>
      <c r="I8" s="39"/>
      <c r="J8" s="39"/>
      <c r="K8" s="39"/>
      <c r="L8" s="39"/>
      <c r="M8" s="39"/>
      <c r="N8" s="39"/>
      <c r="O8" s="39"/>
      <c r="P8" s="39"/>
      <c r="Q8" s="39"/>
      <c r="R8" s="39"/>
      <c r="S8" s="39"/>
      <c r="T8" s="39"/>
      <c r="U8" s="39"/>
      <c r="V8" s="39"/>
      <c r="W8" s="39"/>
    </row>
    <row r="9" spans="1:25" ht="22.5" customHeight="1">
      <c r="A9" s="158"/>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8"/>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8"/>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59"/>
      <c r="B12" s="42"/>
      <c r="C12" s="43" t="s">
        <v>28</v>
      </c>
      <c r="D12" s="39">
        <v>4</v>
      </c>
      <c r="E12" s="39">
        <v>4</v>
      </c>
      <c r="F12" s="39">
        <v>5</v>
      </c>
      <c r="G12" s="39">
        <v>4</v>
      </c>
      <c r="H12" s="39">
        <v>4</v>
      </c>
      <c r="I12" s="39">
        <v>4</v>
      </c>
      <c r="J12" s="39">
        <v>4</v>
      </c>
      <c r="K12" s="39">
        <v>5</v>
      </c>
      <c r="L12" s="39"/>
      <c r="M12" s="39">
        <v>4</v>
      </c>
      <c r="N12" s="39">
        <v>5</v>
      </c>
      <c r="O12" s="39">
        <v>5</v>
      </c>
      <c r="P12" s="39">
        <v>4</v>
      </c>
      <c r="Q12" s="39">
        <v>5</v>
      </c>
      <c r="R12" s="39"/>
      <c r="S12" s="39"/>
      <c r="T12" s="39"/>
      <c r="U12" s="39"/>
      <c r="V12" s="39"/>
      <c r="W12" s="39"/>
    </row>
    <row r="13" spans="1:25" ht="26.25" customHeight="1">
      <c r="A13" s="44"/>
      <c r="B13" s="44"/>
      <c r="C13" s="76" t="s">
        <v>54</v>
      </c>
      <c r="D13" s="39"/>
      <c r="E13" s="39"/>
      <c r="F13" s="39"/>
      <c r="G13" s="39"/>
      <c r="H13" s="39"/>
      <c r="I13" s="39"/>
      <c r="J13" s="39"/>
      <c r="K13" s="39"/>
      <c r="L13" s="39"/>
      <c r="M13" s="39"/>
      <c r="N13" s="39"/>
      <c r="O13" s="39"/>
      <c r="P13" s="39"/>
      <c r="Q13" s="39"/>
      <c r="R13" s="77"/>
      <c r="S13" s="77"/>
      <c r="T13" s="77"/>
      <c r="U13" s="77"/>
      <c r="V13" s="77"/>
      <c r="W13" s="77"/>
    </row>
    <row r="14" spans="1:25" ht="22.5" customHeight="1">
      <c r="A14" s="45" t="s">
        <v>29</v>
      </c>
      <c r="B14" s="160" t="s">
        <v>30</v>
      </c>
      <c r="C14" s="161"/>
      <c r="D14" s="161"/>
      <c r="E14" s="161"/>
      <c r="F14" s="161"/>
      <c r="G14" s="161"/>
      <c r="H14" s="161"/>
      <c r="I14" s="161"/>
      <c r="J14" s="161"/>
      <c r="K14" s="161"/>
      <c r="L14" s="161"/>
      <c r="M14" s="161"/>
      <c r="N14" s="161"/>
      <c r="O14" s="161"/>
      <c r="P14" s="161"/>
      <c r="Q14" s="161"/>
      <c r="R14" s="161"/>
      <c r="S14" s="161"/>
      <c r="T14" s="161"/>
      <c r="U14" s="161"/>
      <c r="V14" s="161"/>
      <c r="W14" s="162"/>
    </row>
    <row r="15" spans="1:25" ht="59.25" customHeight="1">
      <c r="A15" s="46" t="s">
        <v>77</v>
      </c>
      <c r="B15" s="154" t="s">
        <v>152</v>
      </c>
      <c r="C15" s="155"/>
      <c r="D15" s="155"/>
      <c r="E15" s="155"/>
      <c r="F15" s="155"/>
      <c r="G15" s="155"/>
      <c r="H15" s="155"/>
      <c r="I15" s="155"/>
      <c r="J15" s="155"/>
      <c r="K15" s="155"/>
      <c r="L15" s="155"/>
      <c r="M15" s="155"/>
      <c r="N15" s="155"/>
      <c r="O15" s="155"/>
      <c r="P15" s="155"/>
      <c r="Q15" s="155"/>
      <c r="R15" s="155"/>
      <c r="S15" s="155"/>
      <c r="T15" s="155"/>
      <c r="U15" s="155"/>
      <c r="V15" s="155"/>
      <c r="W15" s="156"/>
    </row>
    <row r="16" spans="1:25" ht="59.25" customHeight="1">
      <c r="A16" s="46" t="s">
        <v>78</v>
      </c>
      <c r="B16" s="154" t="s">
        <v>198</v>
      </c>
      <c r="C16" s="155"/>
      <c r="D16" s="155"/>
      <c r="E16" s="155"/>
      <c r="F16" s="155"/>
      <c r="G16" s="155"/>
      <c r="H16" s="155"/>
      <c r="I16" s="155"/>
      <c r="J16" s="155"/>
      <c r="K16" s="155"/>
      <c r="L16" s="155"/>
      <c r="M16" s="155"/>
      <c r="N16" s="155"/>
      <c r="O16" s="155"/>
      <c r="P16" s="155"/>
      <c r="Q16" s="155"/>
      <c r="R16" s="155"/>
      <c r="S16" s="155"/>
      <c r="T16" s="155"/>
      <c r="U16" s="155"/>
      <c r="V16" s="155"/>
      <c r="W16" s="156"/>
    </row>
    <row r="17" spans="1:23" ht="59.25" customHeight="1">
      <c r="A17" s="46" t="s">
        <v>79</v>
      </c>
      <c r="B17" s="154" t="s">
        <v>199</v>
      </c>
      <c r="C17" s="155"/>
      <c r="D17" s="155"/>
      <c r="E17" s="155"/>
      <c r="F17" s="155"/>
      <c r="G17" s="155"/>
      <c r="H17" s="155"/>
      <c r="I17" s="155"/>
      <c r="J17" s="155"/>
      <c r="K17" s="155"/>
      <c r="L17" s="155"/>
      <c r="M17" s="155"/>
      <c r="N17" s="155"/>
      <c r="O17" s="155"/>
      <c r="P17" s="155"/>
      <c r="Q17" s="155"/>
      <c r="R17" s="155"/>
      <c r="S17" s="155"/>
      <c r="T17" s="155"/>
      <c r="U17" s="155"/>
      <c r="V17" s="155"/>
      <c r="W17" s="156"/>
    </row>
    <row r="18" spans="1:23" ht="59.25" customHeight="1">
      <c r="A18" s="46" t="s">
        <v>80</v>
      </c>
      <c r="B18" s="154" t="s">
        <v>200</v>
      </c>
      <c r="C18" s="155"/>
      <c r="D18" s="155"/>
      <c r="E18" s="155"/>
      <c r="F18" s="155"/>
      <c r="G18" s="155"/>
      <c r="H18" s="155"/>
      <c r="I18" s="155"/>
      <c r="J18" s="155"/>
      <c r="K18" s="155"/>
      <c r="L18" s="155"/>
      <c r="M18" s="155"/>
      <c r="N18" s="155"/>
      <c r="O18" s="155"/>
      <c r="P18" s="155"/>
      <c r="Q18" s="155"/>
      <c r="R18" s="155"/>
      <c r="S18" s="155"/>
      <c r="T18" s="155"/>
      <c r="U18" s="155"/>
      <c r="V18" s="155"/>
      <c r="W18" s="156"/>
    </row>
    <row r="19" spans="1:23" ht="59.25" customHeight="1">
      <c r="A19" s="46" t="s">
        <v>81</v>
      </c>
      <c r="B19" s="154" t="s">
        <v>201</v>
      </c>
      <c r="C19" s="155"/>
      <c r="D19" s="155"/>
      <c r="E19" s="155"/>
      <c r="F19" s="155"/>
      <c r="G19" s="155"/>
      <c r="H19" s="155"/>
      <c r="I19" s="155"/>
      <c r="J19" s="155"/>
      <c r="K19" s="155"/>
      <c r="L19" s="155"/>
      <c r="M19" s="155"/>
      <c r="N19" s="155"/>
      <c r="O19" s="155"/>
      <c r="P19" s="155"/>
      <c r="Q19" s="155"/>
      <c r="R19" s="155"/>
      <c r="S19" s="155"/>
      <c r="T19" s="155"/>
      <c r="U19" s="155"/>
      <c r="V19" s="155"/>
      <c r="W19" s="156"/>
    </row>
    <row r="20" spans="1:23" ht="59.25" customHeight="1">
      <c r="A20" s="46" t="s">
        <v>82</v>
      </c>
      <c r="B20" s="154" t="s">
        <v>153</v>
      </c>
      <c r="C20" s="155"/>
      <c r="D20" s="155"/>
      <c r="E20" s="155"/>
      <c r="F20" s="155"/>
      <c r="G20" s="155"/>
      <c r="H20" s="155"/>
      <c r="I20" s="155"/>
      <c r="J20" s="155"/>
      <c r="K20" s="155"/>
      <c r="L20" s="155"/>
      <c r="M20" s="155"/>
      <c r="N20" s="155"/>
      <c r="O20" s="155"/>
      <c r="P20" s="155"/>
      <c r="Q20" s="155"/>
      <c r="R20" s="155"/>
      <c r="S20" s="155"/>
      <c r="T20" s="155"/>
      <c r="U20" s="155"/>
      <c r="V20" s="155"/>
      <c r="W20" s="156"/>
    </row>
    <row r="21" spans="1:23" ht="59.25" customHeight="1">
      <c r="A21" s="46" t="s">
        <v>83</v>
      </c>
      <c r="B21" s="154" t="s">
        <v>202</v>
      </c>
      <c r="C21" s="155"/>
      <c r="D21" s="155"/>
      <c r="E21" s="155"/>
      <c r="F21" s="155"/>
      <c r="G21" s="155"/>
      <c r="H21" s="155"/>
      <c r="I21" s="155"/>
      <c r="J21" s="155"/>
      <c r="K21" s="155"/>
      <c r="L21" s="155"/>
      <c r="M21" s="155"/>
      <c r="N21" s="155"/>
      <c r="O21" s="155"/>
      <c r="P21" s="155"/>
      <c r="Q21" s="155"/>
      <c r="R21" s="155"/>
      <c r="S21" s="155"/>
      <c r="T21" s="155"/>
      <c r="U21" s="155"/>
      <c r="V21" s="155"/>
      <c r="W21" s="156"/>
    </row>
    <row r="22" spans="1:23" ht="59.25" customHeight="1">
      <c r="A22" s="46" t="s">
        <v>84</v>
      </c>
      <c r="B22" s="154" t="s">
        <v>203</v>
      </c>
      <c r="C22" s="155"/>
      <c r="D22" s="155"/>
      <c r="E22" s="155"/>
      <c r="F22" s="155"/>
      <c r="G22" s="155"/>
      <c r="H22" s="155"/>
      <c r="I22" s="155"/>
      <c r="J22" s="155"/>
      <c r="K22" s="155"/>
      <c r="L22" s="155"/>
      <c r="M22" s="155"/>
      <c r="N22" s="155"/>
      <c r="O22" s="155"/>
      <c r="P22" s="155"/>
      <c r="Q22" s="155"/>
      <c r="R22" s="155"/>
      <c r="S22" s="155"/>
      <c r="T22" s="155"/>
      <c r="U22" s="155"/>
      <c r="V22" s="155"/>
      <c r="W22" s="156"/>
    </row>
    <row r="23" spans="1:23" ht="59.25" customHeight="1">
      <c r="A23" s="46"/>
      <c r="B23" s="154"/>
      <c r="C23" s="155"/>
      <c r="D23" s="155"/>
      <c r="E23" s="155"/>
      <c r="F23" s="155"/>
      <c r="G23" s="155"/>
      <c r="H23" s="155"/>
      <c r="I23" s="155"/>
      <c r="J23" s="155"/>
      <c r="K23" s="155"/>
      <c r="L23" s="155"/>
      <c r="M23" s="155"/>
      <c r="N23" s="155"/>
      <c r="O23" s="155"/>
      <c r="P23" s="155"/>
      <c r="Q23" s="155"/>
      <c r="R23" s="155"/>
      <c r="S23" s="155"/>
      <c r="T23" s="155"/>
      <c r="U23" s="155"/>
      <c r="V23" s="155"/>
      <c r="W23" s="156"/>
    </row>
    <row r="24" spans="1:23" ht="59.25" customHeight="1">
      <c r="A24" s="46" t="s">
        <v>85</v>
      </c>
      <c r="B24" s="154" t="s">
        <v>204</v>
      </c>
      <c r="C24" s="155"/>
      <c r="D24" s="155"/>
      <c r="E24" s="155"/>
      <c r="F24" s="155"/>
      <c r="G24" s="155"/>
      <c r="H24" s="155"/>
      <c r="I24" s="155"/>
      <c r="J24" s="155"/>
      <c r="K24" s="155"/>
      <c r="L24" s="155"/>
      <c r="M24" s="155"/>
      <c r="N24" s="155"/>
      <c r="O24" s="155"/>
      <c r="P24" s="155"/>
      <c r="Q24" s="155"/>
      <c r="R24" s="155"/>
      <c r="S24" s="155"/>
      <c r="T24" s="155"/>
      <c r="U24" s="155"/>
      <c r="V24" s="155"/>
      <c r="W24" s="156"/>
    </row>
    <row r="25" spans="1:23" ht="59.25" customHeight="1">
      <c r="A25" s="46" t="s">
        <v>86</v>
      </c>
      <c r="B25" s="154" t="s">
        <v>205</v>
      </c>
      <c r="C25" s="155"/>
      <c r="D25" s="155"/>
      <c r="E25" s="155"/>
      <c r="F25" s="155"/>
      <c r="G25" s="155"/>
      <c r="H25" s="155"/>
      <c r="I25" s="155"/>
      <c r="J25" s="155"/>
      <c r="K25" s="155"/>
      <c r="L25" s="155"/>
      <c r="M25" s="155"/>
      <c r="N25" s="155"/>
      <c r="O25" s="155"/>
      <c r="P25" s="155"/>
      <c r="Q25" s="155"/>
      <c r="R25" s="155"/>
      <c r="S25" s="155"/>
      <c r="T25" s="155"/>
      <c r="U25" s="155"/>
      <c r="V25" s="155"/>
      <c r="W25" s="156"/>
    </row>
    <row r="26" spans="1:23" ht="59.25" customHeight="1">
      <c r="A26" s="46" t="s">
        <v>87</v>
      </c>
      <c r="B26" s="154" t="s">
        <v>154</v>
      </c>
      <c r="C26" s="155"/>
      <c r="D26" s="155"/>
      <c r="E26" s="155"/>
      <c r="F26" s="155"/>
      <c r="G26" s="155"/>
      <c r="H26" s="155"/>
      <c r="I26" s="155"/>
      <c r="J26" s="155"/>
      <c r="K26" s="155"/>
      <c r="L26" s="155"/>
      <c r="M26" s="155"/>
      <c r="N26" s="155"/>
      <c r="O26" s="155"/>
      <c r="P26" s="155"/>
      <c r="Q26" s="155"/>
      <c r="R26" s="155"/>
      <c r="S26" s="155"/>
      <c r="T26" s="155"/>
      <c r="U26" s="155"/>
      <c r="V26" s="155"/>
      <c r="W26" s="156"/>
    </row>
    <row r="27" spans="1:23" ht="59.25" customHeight="1">
      <c r="A27" s="46" t="s">
        <v>88</v>
      </c>
      <c r="B27" s="154" t="s">
        <v>155</v>
      </c>
      <c r="C27" s="155"/>
      <c r="D27" s="155"/>
      <c r="E27" s="155"/>
      <c r="F27" s="155"/>
      <c r="G27" s="155"/>
      <c r="H27" s="155"/>
      <c r="I27" s="155"/>
      <c r="J27" s="155"/>
      <c r="K27" s="155"/>
      <c r="L27" s="155"/>
      <c r="M27" s="155"/>
      <c r="N27" s="155"/>
      <c r="O27" s="155"/>
      <c r="P27" s="155"/>
      <c r="Q27" s="155"/>
      <c r="R27" s="155"/>
      <c r="S27" s="155"/>
      <c r="T27" s="155"/>
      <c r="U27" s="155"/>
      <c r="V27" s="155"/>
      <c r="W27" s="156"/>
    </row>
    <row r="28" spans="1:23" ht="59.25" customHeight="1">
      <c r="A28" s="46" t="s">
        <v>89</v>
      </c>
      <c r="B28" s="154" t="s">
        <v>206</v>
      </c>
      <c r="C28" s="155"/>
      <c r="D28" s="155"/>
      <c r="E28" s="155"/>
      <c r="F28" s="155"/>
      <c r="G28" s="155"/>
      <c r="H28" s="155"/>
      <c r="I28" s="155"/>
      <c r="J28" s="155"/>
      <c r="K28" s="155"/>
      <c r="L28" s="155"/>
      <c r="M28" s="155"/>
      <c r="N28" s="155"/>
      <c r="O28" s="155"/>
      <c r="P28" s="155"/>
      <c r="Q28" s="155"/>
      <c r="R28" s="155"/>
      <c r="S28" s="155"/>
      <c r="T28" s="155"/>
      <c r="U28" s="155"/>
      <c r="V28" s="155"/>
      <c r="W28" s="156"/>
    </row>
    <row r="29" spans="1:23" ht="59.25" customHeight="1">
      <c r="A29" s="46"/>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3" ht="59.25" customHeight="1">
      <c r="A30" s="46"/>
      <c r="B30" s="154"/>
      <c r="C30" s="155"/>
      <c r="D30" s="155"/>
      <c r="E30" s="155"/>
      <c r="F30" s="155"/>
      <c r="G30" s="155"/>
      <c r="H30" s="155"/>
      <c r="I30" s="155"/>
      <c r="J30" s="155"/>
      <c r="K30" s="155"/>
      <c r="L30" s="155"/>
      <c r="M30" s="155"/>
      <c r="N30" s="155"/>
      <c r="O30" s="155"/>
      <c r="P30" s="155"/>
      <c r="Q30" s="155"/>
      <c r="R30" s="155"/>
      <c r="S30" s="155"/>
      <c r="T30" s="155"/>
      <c r="U30" s="155"/>
      <c r="V30" s="155"/>
      <c r="W30" s="156"/>
    </row>
    <row r="31" spans="1:23" ht="59.25" customHeight="1">
      <c r="A31" s="46"/>
      <c r="B31" s="154"/>
      <c r="C31" s="155"/>
      <c r="D31" s="155"/>
      <c r="E31" s="155"/>
      <c r="F31" s="155"/>
      <c r="G31" s="155"/>
      <c r="H31" s="155"/>
      <c r="I31" s="155"/>
      <c r="J31" s="155"/>
      <c r="K31" s="155"/>
      <c r="L31" s="155"/>
      <c r="M31" s="155"/>
      <c r="N31" s="155"/>
      <c r="O31" s="155"/>
      <c r="P31" s="155"/>
      <c r="Q31" s="155"/>
      <c r="R31" s="155"/>
      <c r="S31" s="155"/>
      <c r="T31" s="155"/>
      <c r="U31" s="155"/>
      <c r="V31" s="155"/>
      <c r="W31" s="156"/>
    </row>
    <row r="32" spans="1:23" ht="59.25" customHeight="1">
      <c r="A32" s="46"/>
      <c r="B32" s="154"/>
      <c r="C32" s="155"/>
      <c r="D32" s="155"/>
      <c r="E32" s="155"/>
      <c r="F32" s="155"/>
      <c r="G32" s="155"/>
      <c r="H32" s="155"/>
      <c r="I32" s="155"/>
      <c r="J32" s="155"/>
      <c r="K32" s="155"/>
      <c r="L32" s="155"/>
      <c r="M32" s="155"/>
      <c r="N32" s="155"/>
      <c r="O32" s="155"/>
      <c r="P32" s="155"/>
      <c r="Q32" s="155"/>
      <c r="R32" s="155"/>
      <c r="S32" s="155"/>
      <c r="T32" s="155"/>
      <c r="U32" s="155"/>
      <c r="V32" s="155"/>
      <c r="W32" s="156"/>
    </row>
    <row r="33" spans="1:23" ht="59.25" customHeight="1">
      <c r="A33" s="46"/>
      <c r="B33" s="154"/>
      <c r="C33" s="155"/>
      <c r="D33" s="155"/>
      <c r="E33" s="155"/>
      <c r="F33" s="155"/>
      <c r="G33" s="155"/>
      <c r="H33" s="155"/>
      <c r="I33" s="155"/>
      <c r="J33" s="155"/>
      <c r="K33" s="155"/>
      <c r="L33" s="155"/>
      <c r="M33" s="155"/>
      <c r="N33" s="155"/>
      <c r="O33" s="155"/>
      <c r="P33" s="155"/>
      <c r="Q33" s="155"/>
      <c r="R33" s="155"/>
      <c r="S33" s="155"/>
      <c r="T33" s="155"/>
      <c r="U33" s="155"/>
      <c r="V33" s="155"/>
      <c r="W33" s="156"/>
    </row>
    <row r="34" spans="1:23" ht="59.25" customHeight="1">
      <c r="A34" s="46"/>
      <c r="B34" s="154"/>
      <c r="C34" s="155"/>
      <c r="D34" s="155"/>
      <c r="E34" s="155"/>
      <c r="F34" s="155"/>
      <c r="G34" s="155"/>
      <c r="H34" s="155"/>
      <c r="I34" s="155"/>
      <c r="J34" s="155"/>
      <c r="K34" s="155"/>
      <c r="L34" s="155"/>
      <c r="M34" s="155"/>
      <c r="N34" s="155"/>
      <c r="O34" s="155"/>
      <c r="P34" s="155"/>
      <c r="Q34" s="155"/>
      <c r="R34" s="155"/>
      <c r="S34" s="155"/>
      <c r="T34" s="155"/>
      <c r="U34" s="155"/>
      <c r="V34" s="155"/>
      <c r="W34" s="15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4">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errorTitle="全角文字エラー" error="半角ABCを入れて下さい" sqref="V2:W11">
      <formula1>$X$2:$X$5</formula1>
    </dataValidation>
    <dataValidation type="list" allowBlank="1" showDropDown="1" showInputMessage="1" showErrorMessage="1" errorTitle="全角文字エラー" error="半角ABCを入れて下さい" sqref="D2:U11">
      <formula1>$X$2:$X$4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２－２</v>
      </c>
      <c r="B1" s="34" t="str">
        <f ca="1">RIGHT(CELL("filename",B1),LEN(CELL("filename",B1))-FIND("]",CELL("filename",B1)))</f>
        <v>体育</v>
      </c>
      <c r="C1" s="35" t="s">
        <v>26</v>
      </c>
      <c r="D1" s="36" t="str">
        <f>A15</f>
        <v>赤羽 咲良</v>
      </c>
      <c r="E1" s="36" t="str">
        <f>A16</f>
        <v>今井 千紗都</v>
      </c>
      <c r="F1" s="36" t="str">
        <f>A17</f>
        <v>上島 千茅</v>
      </c>
      <c r="G1" s="36" t="str">
        <f>A18</f>
        <v>小林 朋桃</v>
      </c>
      <c r="H1" s="36" t="str">
        <f>A19</f>
        <v>小森 朝陽</v>
      </c>
      <c r="I1" s="36" t="str">
        <f>A20</f>
        <v>佐野 望結</v>
      </c>
      <c r="J1" s="36" t="str">
        <f>A21</f>
        <v>西村 友李</v>
      </c>
      <c r="K1" s="36" t="str">
        <f>A22</f>
        <v>林 美佑</v>
      </c>
      <c r="L1" s="36">
        <f>A23</f>
        <v>0</v>
      </c>
      <c r="M1" s="36" t="str">
        <f>A24</f>
        <v>樋沢 壮真</v>
      </c>
      <c r="N1" s="36" t="str">
        <f>A25</f>
        <v>堀内 心遥</v>
      </c>
      <c r="O1" s="36" t="str">
        <f>A26</f>
        <v>南澤 育実</v>
      </c>
      <c r="P1" s="36" t="str">
        <f>A27</f>
        <v>山野 健斗</v>
      </c>
      <c r="Q1" s="36" t="str">
        <f>A28</f>
        <v>若松 優衣奈</v>
      </c>
      <c r="R1" s="36">
        <f>A29</f>
        <v>0</v>
      </c>
      <c r="S1" s="36">
        <f>A30</f>
        <v>0</v>
      </c>
      <c r="T1" s="36">
        <f>A31</f>
        <v>0</v>
      </c>
      <c r="U1" s="36">
        <f>A32</f>
        <v>0</v>
      </c>
      <c r="V1" s="36">
        <f>A33</f>
        <v>0</v>
      </c>
      <c r="W1" s="36">
        <f>A34</f>
        <v>0</v>
      </c>
      <c r="X1" s="37"/>
    </row>
    <row r="2" spans="1:25" ht="22.5" customHeight="1">
      <c r="A2" s="157" t="s">
        <v>207</v>
      </c>
      <c r="B2" s="78" t="s">
        <v>106</v>
      </c>
      <c r="C2" s="38" t="s">
        <v>27</v>
      </c>
      <c r="D2" s="39" t="s">
        <v>208</v>
      </c>
      <c r="E2" s="39" t="s">
        <v>209</v>
      </c>
      <c r="F2" s="39" t="s">
        <v>210</v>
      </c>
      <c r="G2" s="39" t="s">
        <v>210</v>
      </c>
      <c r="H2" s="39" t="s">
        <v>166</v>
      </c>
      <c r="I2" s="39" t="s">
        <v>210</v>
      </c>
      <c r="J2" s="39" t="s">
        <v>166</v>
      </c>
      <c r="K2" s="39" t="s">
        <v>166</v>
      </c>
      <c r="L2" s="39"/>
      <c r="M2" s="39" t="s">
        <v>166</v>
      </c>
      <c r="N2" s="39" t="s">
        <v>172</v>
      </c>
      <c r="O2" s="39" t="s">
        <v>166</v>
      </c>
      <c r="P2" s="39" t="s">
        <v>166</v>
      </c>
      <c r="Q2" s="39" t="s">
        <v>166</v>
      </c>
      <c r="R2" s="39"/>
      <c r="S2" s="39"/>
      <c r="T2" s="39"/>
      <c r="U2" s="39"/>
      <c r="V2" s="39"/>
      <c r="W2" s="39"/>
      <c r="X2" s="40" t="s">
        <v>166</v>
      </c>
      <c r="Y2" s="40">
        <v>1</v>
      </c>
    </row>
    <row r="3" spans="1:25" ht="22.5" customHeight="1">
      <c r="A3" s="158"/>
      <c r="B3" s="41" t="s">
        <v>107</v>
      </c>
      <c r="C3" s="38" t="s">
        <v>27</v>
      </c>
      <c r="D3" s="39" t="s">
        <v>172</v>
      </c>
      <c r="E3" s="39" t="s">
        <v>172</v>
      </c>
      <c r="F3" s="39" t="s">
        <v>172</v>
      </c>
      <c r="G3" s="39" t="s">
        <v>210</v>
      </c>
      <c r="H3" s="39" t="s">
        <v>166</v>
      </c>
      <c r="I3" s="39" t="s">
        <v>181</v>
      </c>
      <c r="J3" s="39" t="s">
        <v>166</v>
      </c>
      <c r="K3" s="39" t="s">
        <v>166</v>
      </c>
      <c r="L3" s="39"/>
      <c r="M3" s="39" t="s">
        <v>172</v>
      </c>
      <c r="N3" s="39" t="s">
        <v>166</v>
      </c>
      <c r="O3" s="39" t="s">
        <v>166</v>
      </c>
      <c r="P3" s="39" t="s">
        <v>166</v>
      </c>
      <c r="Q3" s="39" t="s">
        <v>166</v>
      </c>
      <c r="R3" s="39"/>
      <c r="S3" s="39"/>
      <c r="T3" s="39"/>
      <c r="U3" s="39"/>
      <c r="V3" s="39"/>
      <c r="W3" s="39"/>
      <c r="X3" s="40" t="s">
        <v>172</v>
      </c>
      <c r="Y3" s="40">
        <v>2</v>
      </c>
    </row>
    <row r="4" spans="1:25" ht="22.5" customHeight="1">
      <c r="A4" s="158"/>
      <c r="B4" s="41" t="s">
        <v>108</v>
      </c>
      <c r="C4" s="38" t="s">
        <v>27</v>
      </c>
      <c r="D4" s="39" t="s">
        <v>172</v>
      </c>
      <c r="E4" s="39" t="s">
        <v>172</v>
      </c>
      <c r="F4" s="39" t="s">
        <v>172</v>
      </c>
      <c r="G4" s="39" t="s">
        <v>172</v>
      </c>
      <c r="H4" s="39" t="s">
        <v>166</v>
      </c>
      <c r="I4" s="39" t="s">
        <v>166</v>
      </c>
      <c r="J4" s="39" t="s">
        <v>166</v>
      </c>
      <c r="K4" s="39" t="s">
        <v>166</v>
      </c>
      <c r="L4" s="39"/>
      <c r="M4" s="39" t="s">
        <v>166</v>
      </c>
      <c r="N4" s="39" t="s">
        <v>166</v>
      </c>
      <c r="O4" s="39" t="s">
        <v>172</v>
      </c>
      <c r="P4" s="39" t="s">
        <v>166</v>
      </c>
      <c r="Q4" s="39" t="s">
        <v>166</v>
      </c>
      <c r="R4" s="39"/>
      <c r="S4" s="39"/>
      <c r="T4" s="39"/>
      <c r="U4" s="39"/>
      <c r="V4" s="39"/>
      <c r="W4" s="39"/>
      <c r="X4" s="40" t="s">
        <v>181</v>
      </c>
      <c r="Y4" s="40">
        <v>3</v>
      </c>
    </row>
    <row r="5" spans="1:25" ht="22.5" customHeight="1">
      <c r="A5" s="158"/>
      <c r="B5" s="78" t="s">
        <v>211</v>
      </c>
      <c r="C5" s="38" t="s">
        <v>27</v>
      </c>
      <c r="D5" s="39" t="s">
        <v>166</v>
      </c>
      <c r="E5" s="39" t="s">
        <v>172</v>
      </c>
      <c r="F5" s="39" t="s">
        <v>181</v>
      </c>
      <c r="G5" s="39" t="s">
        <v>166</v>
      </c>
      <c r="H5" s="39" t="s">
        <v>166</v>
      </c>
      <c r="I5" s="39" t="s">
        <v>166</v>
      </c>
      <c r="J5" s="39" t="s">
        <v>166</v>
      </c>
      <c r="K5" s="39" t="s">
        <v>166</v>
      </c>
      <c r="L5" s="39"/>
      <c r="M5" s="39" t="s">
        <v>166</v>
      </c>
      <c r="N5" s="39" t="s">
        <v>172</v>
      </c>
      <c r="O5" s="39" t="s">
        <v>166</v>
      </c>
      <c r="P5" s="39" t="s">
        <v>166</v>
      </c>
      <c r="Q5" s="39" t="s">
        <v>166</v>
      </c>
      <c r="R5" s="39"/>
      <c r="S5" s="39"/>
      <c r="T5" s="39"/>
      <c r="U5" s="39"/>
      <c r="V5" s="39"/>
      <c r="W5" s="39"/>
      <c r="X5" s="40" t="s">
        <v>183</v>
      </c>
      <c r="Y5" s="40">
        <v>4</v>
      </c>
    </row>
    <row r="6" spans="1:25" ht="22.5" customHeight="1">
      <c r="A6" s="158"/>
      <c r="B6" s="41" t="s">
        <v>109</v>
      </c>
      <c r="C6" s="38" t="s">
        <v>27</v>
      </c>
      <c r="D6" s="39" t="s">
        <v>172</v>
      </c>
      <c r="E6" s="39" t="s">
        <v>172</v>
      </c>
      <c r="F6" s="39" t="s">
        <v>166</v>
      </c>
      <c r="G6" s="39" t="s">
        <v>166</v>
      </c>
      <c r="H6" s="39" t="s">
        <v>166</v>
      </c>
      <c r="I6" s="39" t="s">
        <v>166</v>
      </c>
      <c r="J6" s="39" t="s">
        <v>166</v>
      </c>
      <c r="K6" s="39" t="s">
        <v>172</v>
      </c>
      <c r="L6" s="39"/>
      <c r="M6" s="39" t="s">
        <v>166</v>
      </c>
      <c r="N6" s="39" t="s">
        <v>172</v>
      </c>
      <c r="O6" s="39" t="s">
        <v>172</v>
      </c>
      <c r="P6" s="39" t="s">
        <v>166</v>
      </c>
      <c r="Q6" s="39" t="s">
        <v>166</v>
      </c>
      <c r="R6" s="39"/>
      <c r="S6" s="39"/>
      <c r="T6" s="39"/>
      <c r="U6" s="39"/>
      <c r="V6" s="39"/>
      <c r="W6" s="39"/>
      <c r="X6" s="40"/>
      <c r="Y6" s="40">
        <v>5</v>
      </c>
    </row>
    <row r="7" spans="1:25" ht="22.5" customHeight="1">
      <c r="A7" s="158"/>
      <c r="B7" s="41"/>
      <c r="C7" s="38" t="s">
        <v>27</v>
      </c>
      <c r="D7" s="39"/>
      <c r="E7" s="39"/>
      <c r="F7" s="39"/>
      <c r="G7" s="39"/>
      <c r="H7" s="39"/>
      <c r="I7" s="39"/>
      <c r="J7" s="39"/>
      <c r="K7" s="39"/>
      <c r="L7" s="39"/>
      <c r="M7" s="39"/>
      <c r="N7" s="39"/>
      <c r="O7" s="39"/>
      <c r="P7" s="39"/>
      <c r="Q7" s="39"/>
      <c r="R7" s="39"/>
      <c r="S7" s="39"/>
      <c r="T7" s="39"/>
      <c r="U7" s="39"/>
      <c r="V7" s="39"/>
      <c r="W7" s="39"/>
      <c r="X7" s="40"/>
      <c r="Y7" s="40" t="s">
        <v>183</v>
      </c>
    </row>
    <row r="8" spans="1:25" ht="22.5" customHeight="1">
      <c r="A8" s="158"/>
      <c r="B8" s="41"/>
      <c r="C8" s="38" t="s">
        <v>27</v>
      </c>
      <c r="D8" s="39"/>
      <c r="E8" s="39"/>
      <c r="F8" s="39"/>
      <c r="G8" s="39"/>
      <c r="H8" s="39"/>
      <c r="I8" s="39"/>
      <c r="J8" s="39"/>
      <c r="K8" s="39"/>
      <c r="L8" s="39"/>
      <c r="M8" s="39"/>
      <c r="N8" s="39"/>
      <c r="O8" s="39"/>
      <c r="P8" s="39"/>
      <c r="Q8" s="39"/>
      <c r="R8" s="39"/>
      <c r="S8" s="39"/>
      <c r="T8" s="39"/>
      <c r="U8" s="39"/>
      <c r="V8" s="39"/>
      <c r="W8" s="39"/>
    </row>
    <row r="9" spans="1:25" ht="22.5" customHeight="1">
      <c r="A9" s="158"/>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8"/>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8"/>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59"/>
      <c r="B12" s="42"/>
      <c r="C12" s="43" t="s">
        <v>28</v>
      </c>
      <c r="D12" s="39">
        <v>3</v>
      </c>
      <c r="E12" s="39">
        <v>3</v>
      </c>
      <c r="F12" s="39">
        <v>3</v>
      </c>
      <c r="G12" s="39">
        <v>5</v>
      </c>
      <c r="H12" s="39">
        <v>5</v>
      </c>
      <c r="I12" s="39">
        <v>4</v>
      </c>
      <c r="J12" s="39">
        <v>5</v>
      </c>
      <c r="K12" s="39">
        <v>5</v>
      </c>
      <c r="L12" s="39"/>
      <c r="M12" s="39">
        <v>5</v>
      </c>
      <c r="N12" s="39">
        <v>4</v>
      </c>
      <c r="O12" s="39">
        <v>4</v>
      </c>
      <c r="P12" s="39">
        <v>5</v>
      </c>
      <c r="Q12" s="39">
        <v>5</v>
      </c>
      <c r="R12" s="39"/>
      <c r="S12" s="39"/>
      <c r="T12" s="39"/>
      <c r="U12" s="39"/>
      <c r="V12" s="39"/>
      <c r="W12" s="39"/>
    </row>
    <row r="13" spans="1:25" ht="26.25" customHeight="1">
      <c r="A13" s="44"/>
      <c r="B13" s="44"/>
      <c r="C13" s="76" t="s">
        <v>54</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0" t="s">
        <v>30</v>
      </c>
      <c r="C14" s="161"/>
      <c r="D14" s="161"/>
      <c r="E14" s="161"/>
      <c r="F14" s="161"/>
      <c r="G14" s="161"/>
      <c r="H14" s="161"/>
      <c r="I14" s="161"/>
      <c r="J14" s="161"/>
      <c r="K14" s="161"/>
      <c r="L14" s="161"/>
      <c r="M14" s="161"/>
      <c r="N14" s="161"/>
      <c r="O14" s="161"/>
      <c r="P14" s="161"/>
      <c r="Q14" s="161"/>
      <c r="R14" s="161"/>
      <c r="S14" s="161"/>
      <c r="T14" s="161"/>
      <c r="U14" s="161"/>
      <c r="V14" s="161"/>
      <c r="W14" s="162"/>
    </row>
    <row r="15" spans="1:25" ht="59.25" customHeight="1">
      <c r="A15" s="46" t="s">
        <v>77</v>
      </c>
      <c r="B15" s="154"/>
      <c r="C15" s="155"/>
      <c r="D15" s="155"/>
      <c r="E15" s="155"/>
      <c r="F15" s="155"/>
      <c r="G15" s="155"/>
      <c r="H15" s="155"/>
      <c r="I15" s="155"/>
      <c r="J15" s="155"/>
      <c r="K15" s="155"/>
      <c r="L15" s="155"/>
      <c r="M15" s="155"/>
      <c r="N15" s="155"/>
      <c r="O15" s="155"/>
      <c r="P15" s="155"/>
      <c r="Q15" s="155"/>
      <c r="R15" s="155"/>
      <c r="S15" s="155"/>
      <c r="T15" s="155"/>
      <c r="U15" s="155"/>
      <c r="V15" s="155"/>
      <c r="W15" s="156"/>
    </row>
    <row r="16" spans="1:25" ht="59.25" customHeight="1">
      <c r="A16" s="46" t="s">
        <v>78</v>
      </c>
      <c r="B16" s="154"/>
      <c r="C16" s="155"/>
      <c r="D16" s="155"/>
      <c r="E16" s="155"/>
      <c r="F16" s="155"/>
      <c r="G16" s="155"/>
      <c r="H16" s="155"/>
      <c r="I16" s="155"/>
      <c r="J16" s="155"/>
      <c r="K16" s="155"/>
      <c r="L16" s="155"/>
      <c r="M16" s="155"/>
      <c r="N16" s="155"/>
      <c r="O16" s="155"/>
      <c r="P16" s="155"/>
      <c r="Q16" s="155"/>
      <c r="R16" s="155"/>
      <c r="S16" s="155"/>
      <c r="T16" s="155"/>
      <c r="U16" s="155"/>
      <c r="V16" s="155"/>
      <c r="W16" s="156"/>
    </row>
    <row r="17" spans="1:23" ht="59.25" customHeight="1">
      <c r="A17" s="46" t="s">
        <v>79</v>
      </c>
      <c r="B17" s="154" t="s">
        <v>110</v>
      </c>
      <c r="C17" s="155"/>
      <c r="D17" s="155"/>
      <c r="E17" s="155"/>
      <c r="F17" s="155"/>
      <c r="G17" s="155"/>
      <c r="H17" s="155"/>
      <c r="I17" s="155"/>
      <c r="J17" s="155"/>
      <c r="K17" s="155"/>
      <c r="L17" s="155"/>
      <c r="M17" s="155"/>
      <c r="N17" s="155"/>
      <c r="O17" s="155"/>
      <c r="P17" s="155"/>
      <c r="Q17" s="155"/>
      <c r="R17" s="155"/>
      <c r="S17" s="155"/>
      <c r="T17" s="155"/>
      <c r="U17" s="155"/>
      <c r="V17" s="155"/>
      <c r="W17" s="156"/>
    </row>
    <row r="18" spans="1:23" ht="59.25" customHeight="1">
      <c r="A18" s="46" t="s">
        <v>80</v>
      </c>
      <c r="B18" s="154"/>
      <c r="C18" s="155"/>
      <c r="D18" s="155"/>
      <c r="E18" s="155"/>
      <c r="F18" s="155"/>
      <c r="G18" s="155"/>
      <c r="H18" s="155"/>
      <c r="I18" s="155"/>
      <c r="J18" s="155"/>
      <c r="K18" s="155"/>
      <c r="L18" s="155"/>
      <c r="M18" s="155"/>
      <c r="N18" s="155"/>
      <c r="O18" s="155"/>
      <c r="P18" s="155"/>
      <c r="Q18" s="155"/>
      <c r="R18" s="155"/>
      <c r="S18" s="155"/>
      <c r="T18" s="155"/>
      <c r="U18" s="155"/>
      <c r="V18" s="155"/>
      <c r="W18" s="156"/>
    </row>
    <row r="19" spans="1:23" ht="59.25" customHeight="1">
      <c r="A19" s="46" t="s">
        <v>81</v>
      </c>
      <c r="B19" s="154"/>
      <c r="C19" s="155"/>
      <c r="D19" s="155"/>
      <c r="E19" s="155"/>
      <c r="F19" s="155"/>
      <c r="G19" s="155"/>
      <c r="H19" s="155"/>
      <c r="I19" s="155"/>
      <c r="J19" s="155"/>
      <c r="K19" s="155"/>
      <c r="L19" s="155"/>
      <c r="M19" s="155"/>
      <c r="N19" s="155"/>
      <c r="O19" s="155"/>
      <c r="P19" s="155"/>
      <c r="Q19" s="155"/>
      <c r="R19" s="155"/>
      <c r="S19" s="155"/>
      <c r="T19" s="155"/>
      <c r="U19" s="155"/>
      <c r="V19" s="155"/>
      <c r="W19" s="156"/>
    </row>
    <row r="20" spans="1:23" ht="59.25" customHeight="1">
      <c r="A20" s="46" t="s">
        <v>82</v>
      </c>
      <c r="B20" s="154" t="s">
        <v>111</v>
      </c>
      <c r="C20" s="155"/>
      <c r="D20" s="155"/>
      <c r="E20" s="155"/>
      <c r="F20" s="155"/>
      <c r="G20" s="155"/>
      <c r="H20" s="155"/>
      <c r="I20" s="155"/>
      <c r="J20" s="155"/>
      <c r="K20" s="155"/>
      <c r="L20" s="155"/>
      <c r="M20" s="155"/>
      <c r="N20" s="155"/>
      <c r="O20" s="155"/>
      <c r="P20" s="155"/>
      <c r="Q20" s="155"/>
      <c r="R20" s="155"/>
      <c r="S20" s="155"/>
      <c r="T20" s="155"/>
      <c r="U20" s="155"/>
      <c r="V20" s="155"/>
      <c r="W20" s="156"/>
    </row>
    <row r="21" spans="1:23" ht="59.25" customHeight="1">
      <c r="A21" s="46" t="s">
        <v>83</v>
      </c>
      <c r="B21" s="154"/>
      <c r="C21" s="155"/>
      <c r="D21" s="155"/>
      <c r="E21" s="155"/>
      <c r="F21" s="155"/>
      <c r="G21" s="155"/>
      <c r="H21" s="155"/>
      <c r="I21" s="155"/>
      <c r="J21" s="155"/>
      <c r="K21" s="155"/>
      <c r="L21" s="155"/>
      <c r="M21" s="155"/>
      <c r="N21" s="155"/>
      <c r="O21" s="155"/>
      <c r="P21" s="155"/>
      <c r="Q21" s="155"/>
      <c r="R21" s="155"/>
      <c r="S21" s="155"/>
      <c r="T21" s="155"/>
      <c r="U21" s="155"/>
      <c r="V21" s="155"/>
      <c r="W21" s="156"/>
    </row>
    <row r="22" spans="1:23" ht="59.25" customHeight="1">
      <c r="A22" s="46" t="s">
        <v>84</v>
      </c>
      <c r="B22" s="154"/>
      <c r="C22" s="155"/>
      <c r="D22" s="155"/>
      <c r="E22" s="155"/>
      <c r="F22" s="155"/>
      <c r="G22" s="155"/>
      <c r="H22" s="155"/>
      <c r="I22" s="155"/>
      <c r="J22" s="155"/>
      <c r="K22" s="155"/>
      <c r="L22" s="155"/>
      <c r="M22" s="155"/>
      <c r="N22" s="155"/>
      <c r="O22" s="155"/>
      <c r="P22" s="155"/>
      <c r="Q22" s="155"/>
      <c r="R22" s="155"/>
      <c r="S22" s="155"/>
      <c r="T22" s="155"/>
      <c r="U22" s="155"/>
      <c r="V22" s="155"/>
      <c r="W22" s="156"/>
    </row>
    <row r="23" spans="1:23" ht="59.25" customHeight="1">
      <c r="A23" s="46"/>
      <c r="B23" s="154"/>
      <c r="C23" s="155"/>
      <c r="D23" s="155"/>
      <c r="E23" s="155"/>
      <c r="F23" s="155"/>
      <c r="G23" s="155"/>
      <c r="H23" s="155"/>
      <c r="I23" s="155"/>
      <c r="J23" s="155"/>
      <c r="K23" s="155"/>
      <c r="L23" s="155"/>
      <c r="M23" s="155"/>
      <c r="N23" s="155"/>
      <c r="O23" s="155"/>
      <c r="P23" s="155"/>
      <c r="Q23" s="155"/>
      <c r="R23" s="155"/>
      <c r="S23" s="155"/>
      <c r="T23" s="155"/>
      <c r="U23" s="155"/>
      <c r="V23" s="155"/>
      <c r="W23" s="156"/>
    </row>
    <row r="24" spans="1:23" ht="59.25" customHeight="1">
      <c r="A24" s="46" t="s">
        <v>85</v>
      </c>
      <c r="B24" s="154"/>
      <c r="C24" s="155"/>
      <c r="D24" s="155"/>
      <c r="E24" s="155"/>
      <c r="F24" s="155"/>
      <c r="G24" s="155"/>
      <c r="H24" s="155"/>
      <c r="I24" s="155"/>
      <c r="J24" s="155"/>
      <c r="K24" s="155"/>
      <c r="L24" s="155"/>
      <c r="M24" s="155"/>
      <c r="N24" s="155"/>
      <c r="O24" s="155"/>
      <c r="P24" s="155"/>
      <c r="Q24" s="155"/>
      <c r="R24" s="155"/>
      <c r="S24" s="155"/>
      <c r="T24" s="155"/>
      <c r="U24" s="155"/>
      <c r="V24" s="155"/>
      <c r="W24" s="156"/>
    </row>
    <row r="25" spans="1:23" ht="59.25" customHeight="1">
      <c r="A25" s="46" t="s">
        <v>86</v>
      </c>
      <c r="B25" s="154"/>
      <c r="C25" s="155"/>
      <c r="D25" s="155"/>
      <c r="E25" s="155"/>
      <c r="F25" s="155"/>
      <c r="G25" s="155"/>
      <c r="H25" s="155"/>
      <c r="I25" s="155"/>
      <c r="J25" s="155"/>
      <c r="K25" s="155"/>
      <c r="L25" s="155"/>
      <c r="M25" s="155"/>
      <c r="N25" s="155"/>
      <c r="O25" s="155"/>
      <c r="P25" s="155"/>
      <c r="Q25" s="155"/>
      <c r="R25" s="155"/>
      <c r="S25" s="155"/>
      <c r="T25" s="155"/>
      <c r="U25" s="155"/>
      <c r="V25" s="155"/>
      <c r="W25" s="156"/>
    </row>
    <row r="26" spans="1:23" ht="59.25" customHeight="1">
      <c r="A26" s="46" t="s">
        <v>87</v>
      </c>
      <c r="B26" s="154"/>
      <c r="C26" s="155"/>
      <c r="D26" s="155"/>
      <c r="E26" s="155"/>
      <c r="F26" s="155"/>
      <c r="G26" s="155"/>
      <c r="H26" s="155"/>
      <c r="I26" s="155"/>
      <c r="J26" s="155"/>
      <c r="K26" s="155"/>
      <c r="L26" s="155"/>
      <c r="M26" s="155"/>
      <c r="N26" s="155"/>
      <c r="O26" s="155"/>
      <c r="P26" s="155"/>
      <c r="Q26" s="155"/>
      <c r="R26" s="155"/>
      <c r="S26" s="155"/>
      <c r="T26" s="155"/>
      <c r="U26" s="155"/>
      <c r="V26" s="155"/>
      <c r="W26" s="156"/>
    </row>
    <row r="27" spans="1:23" ht="59.25" customHeight="1">
      <c r="A27" s="46" t="s">
        <v>88</v>
      </c>
      <c r="B27" s="154"/>
      <c r="C27" s="155"/>
      <c r="D27" s="155"/>
      <c r="E27" s="155"/>
      <c r="F27" s="155"/>
      <c r="G27" s="155"/>
      <c r="H27" s="155"/>
      <c r="I27" s="155"/>
      <c r="J27" s="155"/>
      <c r="K27" s="155"/>
      <c r="L27" s="155"/>
      <c r="M27" s="155"/>
      <c r="N27" s="155"/>
      <c r="O27" s="155"/>
      <c r="P27" s="155"/>
      <c r="Q27" s="155"/>
      <c r="R27" s="155"/>
      <c r="S27" s="155"/>
      <c r="T27" s="155"/>
      <c r="U27" s="155"/>
      <c r="V27" s="155"/>
      <c r="W27" s="156"/>
    </row>
    <row r="28" spans="1:23" ht="59.25" customHeight="1">
      <c r="A28" s="46" t="s">
        <v>89</v>
      </c>
      <c r="B28" s="154"/>
      <c r="C28" s="155"/>
      <c r="D28" s="155"/>
      <c r="E28" s="155"/>
      <c r="F28" s="155"/>
      <c r="G28" s="155"/>
      <c r="H28" s="155"/>
      <c r="I28" s="155"/>
      <c r="J28" s="155"/>
      <c r="K28" s="155"/>
      <c r="L28" s="155"/>
      <c r="M28" s="155"/>
      <c r="N28" s="155"/>
      <c r="O28" s="155"/>
      <c r="P28" s="155"/>
      <c r="Q28" s="155"/>
      <c r="R28" s="155"/>
      <c r="S28" s="155"/>
      <c r="T28" s="155"/>
      <c r="U28" s="155"/>
      <c r="V28" s="155"/>
      <c r="W28" s="156"/>
    </row>
    <row r="29" spans="1:23" ht="59.25" customHeight="1">
      <c r="A29" s="46"/>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3" ht="59.25" customHeight="1">
      <c r="A30" s="46"/>
      <c r="B30" s="154"/>
      <c r="C30" s="155"/>
      <c r="D30" s="155"/>
      <c r="E30" s="155"/>
      <c r="F30" s="155"/>
      <c r="G30" s="155"/>
      <c r="H30" s="155"/>
      <c r="I30" s="155"/>
      <c r="J30" s="155"/>
      <c r="K30" s="155"/>
      <c r="L30" s="155"/>
      <c r="M30" s="155"/>
      <c r="N30" s="155"/>
      <c r="O30" s="155"/>
      <c r="P30" s="155"/>
      <c r="Q30" s="155"/>
      <c r="R30" s="155"/>
      <c r="S30" s="155"/>
      <c r="T30" s="155"/>
      <c r="U30" s="155"/>
      <c r="V30" s="155"/>
      <c r="W30" s="156"/>
    </row>
    <row r="31" spans="1:23" ht="59.25" customHeight="1">
      <c r="A31" s="46"/>
      <c r="B31" s="154"/>
      <c r="C31" s="155"/>
      <c r="D31" s="155"/>
      <c r="E31" s="155"/>
      <c r="F31" s="155"/>
      <c r="G31" s="155"/>
      <c r="H31" s="155"/>
      <c r="I31" s="155"/>
      <c r="J31" s="155"/>
      <c r="K31" s="155"/>
      <c r="L31" s="155"/>
      <c r="M31" s="155"/>
      <c r="N31" s="155"/>
      <c r="O31" s="155"/>
      <c r="P31" s="155"/>
      <c r="Q31" s="155"/>
      <c r="R31" s="155"/>
      <c r="S31" s="155"/>
      <c r="T31" s="155"/>
      <c r="U31" s="155"/>
      <c r="V31" s="155"/>
      <c r="W31" s="156"/>
    </row>
    <row r="32" spans="1:23" ht="59.25" customHeight="1">
      <c r="A32" s="46"/>
      <c r="B32" s="154"/>
      <c r="C32" s="155"/>
      <c r="D32" s="155"/>
      <c r="E32" s="155"/>
      <c r="F32" s="155"/>
      <c r="G32" s="155"/>
      <c r="H32" s="155"/>
      <c r="I32" s="155"/>
      <c r="J32" s="155"/>
      <c r="K32" s="155"/>
      <c r="L32" s="155"/>
      <c r="M32" s="155"/>
      <c r="N32" s="155"/>
      <c r="O32" s="155"/>
      <c r="P32" s="155"/>
      <c r="Q32" s="155"/>
      <c r="R32" s="155"/>
      <c r="S32" s="155"/>
      <c r="T32" s="155"/>
      <c r="U32" s="155"/>
      <c r="V32" s="155"/>
      <c r="W32" s="156"/>
    </row>
    <row r="33" spans="1:23" ht="59.25" customHeight="1">
      <c r="A33" s="46"/>
      <c r="B33" s="154"/>
      <c r="C33" s="155"/>
      <c r="D33" s="155"/>
      <c r="E33" s="155"/>
      <c r="F33" s="155"/>
      <c r="G33" s="155"/>
      <c r="H33" s="155"/>
      <c r="I33" s="155"/>
      <c r="J33" s="155"/>
      <c r="K33" s="155"/>
      <c r="L33" s="155"/>
      <c r="M33" s="155"/>
      <c r="N33" s="155"/>
      <c r="O33" s="155"/>
      <c r="P33" s="155"/>
      <c r="Q33" s="155"/>
      <c r="R33" s="155"/>
      <c r="S33" s="155"/>
      <c r="T33" s="155"/>
      <c r="U33" s="155"/>
      <c r="V33" s="155"/>
      <c r="W33" s="156"/>
    </row>
    <row r="34" spans="1:23" ht="59.25" customHeight="1">
      <c r="A34" s="46"/>
      <c r="B34" s="154"/>
      <c r="C34" s="155"/>
      <c r="D34" s="155"/>
      <c r="E34" s="155"/>
      <c r="F34" s="155"/>
      <c r="G34" s="155"/>
      <c r="H34" s="155"/>
      <c r="I34" s="155"/>
      <c r="J34" s="155"/>
      <c r="K34" s="155"/>
      <c r="L34" s="155"/>
      <c r="M34" s="155"/>
      <c r="N34" s="155"/>
      <c r="O34" s="155"/>
      <c r="P34" s="155"/>
      <c r="Q34" s="155"/>
      <c r="R34" s="155"/>
      <c r="S34" s="155"/>
      <c r="T34" s="155"/>
      <c r="U34" s="155"/>
      <c r="V34" s="155"/>
      <c r="W34" s="15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6"/>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２－２</v>
      </c>
      <c r="B1" s="34" t="str">
        <f ca="1">RIGHT(CELL("filename",B1),LEN(CELL("filename",B1))-FIND("]",CELL("filename",B1)))</f>
        <v>道徳</v>
      </c>
      <c r="C1" s="47" t="s">
        <v>31</v>
      </c>
    </row>
    <row r="2" spans="1:3" ht="22.5" customHeight="1">
      <c r="A2" s="45" t="s">
        <v>29</v>
      </c>
      <c r="B2" s="48" t="s">
        <v>7</v>
      </c>
      <c r="C2" s="8" t="s">
        <v>156</v>
      </c>
    </row>
    <row r="3" spans="1:3" ht="59.25" customHeight="1">
      <c r="A3" s="46" t="s">
        <v>77</v>
      </c>
      <c r="B3" s="89" t="s">
        <v>157</v>
      </c>
      <c r="C3" s="8">
        <f>LEN(B3)</f>
        <v>200</v>
      </c>
    </row>
    <row r="4" spans="1:3" ht="59.25" customHeight="1">
      <c r="A4" s="46" t="s">
        <v>78</v>
      </c>
      <c r="B4" s="90" t="s">
        <v>112</v>
      </c>
      <c r="C4" s="8">
        <f t="shared" ref="C4:C22" si="0">LEN(B4)</f>
        <v>183</v>
      </c>
    </row>
    <row r="5" spans="1:3" ht="59.25" customHeight="1">
      <c r="A5" s="46" t="s">
        <v>79</v>
      </c>
      <c r="B5" s="89" t="s">
        <v>212</v>
      </c>
      <c r="C5" s="8">
        <f t="shared" si="0"/>
        <v>186</v>
      </c>
    </row>
    <row r="6" spans="1:3" ht="59.25" customHeight="1">
      <c r="A6" s="46" t="s">
        <v>80</v>
      </c>
      <c r="B6" s="89" t="s">
        <v>158</v>
      </c>
      <c r="C6" s="8">
        <f t="shared" si="0"/>
        <v>197</v>
      </c>
    </row>
    <row r="7" spans="1:3" ht="59.25" customHeight="1">
      <c r="A7" s="46" t="s">
        <v>81</v>
      </c>
      <c r="B7" s="90" t="s">
        <v>213</v>
      </c>
      <c r="C7" s="8">
        <f t="shared" si="0"/>
        <v>196</v>
      </c>
    </row>
    <row r="8" spans="1:3" ht="59.25" customHeight="1">
      <c r="A8" s="46" t="s">
        <v>82</v>
      </c>
      <c r="B8" s="90" t="s">
        <v>214</v>
      </c>
      <c r="C8" s="8">
        <f t="shared" si="0"/>
        <v>192</v>
      </c>
    </row>
    <row r="9" spans="1:3" ht="59.25" customHeight="1">
      <c r="A9" s="46" t="s">
        <v>83</v>
      </c>
      <c r="B9" s="89" t="s">
        <v>159</v>
      </c>
      <c r="C9" s="8">
        <f t="shared" si="0"/>
        <v>194</v>
      </c>
    </row>
    <row r="10" spans="1:3" ht="59.25" customHeight="1">
      <c r="A10" s="46" t="s">
        <v>84</v>
      </c>
      <c r="B10" s="89" t="s">
        <v>160</v>
      </c>
      <c r="C10" s="8">
        <f t="shared" si="0"/>
        <v>200</v>
      </c>
    </row>
    <row r="11" spans="1:3" ht="59.25" customHeight="1">
      <c r="A11" s="46"/>
      <c r="B11" s="90"/>
      <c r="C11" s="8">
        <f t="shared" si="0"/>
        <v>0</v>
      </c>
    </row>
    <row r="12" spans="1:3" ht="59.25" customHeight="1">
      <c r="A12" s="46" t="s">
        <v>85</v>
      </c>
      <c r="B12" s="89" t="s">
        <v>215</v>
      </c>
      <c r="C12" s="8">
        <f t="shared" si="0"/>
        <v>196</v>
      </c>
    </row>
    <row r="13" spans="1:3" ht="59.25" customHeight="1">
      <c r="A13" s="46" t="s">
        <v>86</v>
      </c>
      <c r="B13" s="89" t="s">
        <v>216</v>
      </c>
      <c r="C13" s="8">
        <f t="shared" si="0"/>
        <v>196</v>
      </c>
    </row>
    <row r="14" spans="1:3" ht="59.25" customHeight="1">
      <c r="A14" s="46" t="s">
        <v>87</v>
      </c>
      <c r="B14" s="90" t="s">
        <v>217</v>
      </c>
      <c r="C14" s="8">
        <f t="shared" si="0"/>
        <v>187</v>
      </c>
    </row>
    <row r="15" spans="1:3" ht="59.25" customHeight="1">
      <c r="A15" s="46" t="s">
        <v>88</v>
      </c>
      <c r="B15" s="90" t="s">
        <v>161</v>
      </c>
      <c r="C15" s="8">
        <f t="shared" si="0"/>
        <v>182</v>
      </c>
    </row>
    <row r="16" spans="1:3" ht="59.25" customHeight="1">
      <c r="A16" s="46" t="s">
        <v>89</v>
      </c>
      <c r="B16" s="90" t="s">
        <v>218</v>
      </c>
      <c r="C16" s="8">
        <f t="shared" si="0"/>
        <v>200</v>
      </c>
    </row>
    <row r="17" spans="1:3" ht="59.25" customHeight="1">
      <c r="A17" s="46"/>
      <c r="B17" s="49"/>
      <c r="C17" s="8">
        <f t="shared" si="0"/>
        <v>0</v>
      </c>
    </row>
    <row r="18" spans="1:3" ht="59.25" customHeight="1">
      <c r="A18" s="46"/>
      <c r="B18" s="49"/>
      <c r="C18" s="8">
        <f t="shared" si="0"/>
        <v>0</v>
      </c>
    </row>
    <row r="19" spans="1:3" ht="59.25" customHeight="1">
      <c r="A19" s="46"/>
      <c r="B19" s="49"/>
      <c r="C19" s="8">
        <f t="shared" si="0"/>
        <v>0</v>
      </c>
    </row>
    <row r="20" spans="1:3" ht="59.25" customHeight="1">
      <c r="A20" s="46"/>
      <c r="B20" s="49"/>
      <c r="C20" s="8">
        <f t="shared" si="0"/>
        <v>0</v>
      </c>
    </row>
    <row r="21" spans="1:3" ht="59.25" customHeight="1">
      <c r="A21" s="46"/>
      <c r="B21" s="49"/>
      <c r="C21" s="8">
        <f t="shared" si="0"/>
        <v>0</v>
      </c>
    </row>
    <row r="22" spans="1:3" ht="59.25" customHeight="1">
      <c r="A22" s="46"/>
      <c r="B22" s="49"/>
      <c r="C22" s="8">
        <f t="shared" si="0"/>
        <v>0</v>
      </c>
    </row>
    <row r="23" spans="1:3" ht="22.5" customHeight="1"/>
    <row r="24" spans="1:3" ht="22.5" customHeight="1"/>
    <row r="25" spans="1:3" ht="22.5" customHeight="1"/>
    <row r="26" spans="1:3" ht="22.5" customHeight="1"/>
    <row r="27" spans="1:3" ht="17.25" customHeight="1"/>
    <row r="28" spans="1:3" ht="17.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sheetData>
  <phoneticPr fontId="1"/>
  <conditionalFormatting sqref="C3:C22">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X192"/>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24" width="6" style="8" customWidth="1"/>
    <col min="25" max="16384" width="9" style="8"/>
  </cols>
  <sheetData>
    <row r="1" spans="1:24" ht="85.5" customHeight="1">
      <c r="A1" s="50" t="str">
        <f ca="1">MID(CELL("filename",A1),FIND("[",CELL("filename",A1))+1,3)</f>
        <v>２－２</v>
      </c>
      <c r="B1" s="51" t="s">
        <v>32</v>
      </c>
      <c r="C1" s="52" t="s">
        <v>26</v>
      </c>
      <c r="D1" s="36" t="str">
        <f>A13</f>
        <v>赤羽 咲良</v>
      </c>
      <c r="E1" s="36" t="str">
        <f>A14</f>
        <v>今井 千紗都</v>
      </c>
      <c r="F1" s="36" t="str">
        <f>A15</f>
        <v>上島 千茅</v>
      </c>
      <c r="G1" s="36" t="str">
        <f>A16</f>
        <v>小林 朋桃</v>
      </c>
      <c r="H1" s="36" t="str">
        <f>A17</f>
        <v>小森 朝陽</v>
      </c>
      <c r="I1" s="36" t="str">
        <f>A18</f>
        <v>佐野 望結</v>
      </c>
      <c r="J1" s="36" t="str">
        <f>A19</f>
        <v>西村 友李</v>
      </c>
      <c r="K1" s="36" t="str">
        <f>A20</f>
        <v>林 美佑</v>
      </c>
      <c r="L1" s="36">
        <f>A21</f>
        <v>0</v>
      </c>
      <c r="M1" s="36" t="str">
        <f>A22</f>
        <v>樋沢 壮真</v>
      </c>
      <c r="N1" s="36" t="str">
        <f>A23</f>
        <v>堀内 心遥</v>
      </c>
      <c r="O1" s="36" t="str">
        <f>A24</f>
        <v>南澤 育実</v>
      </c>
      <c r="P1" s="36" t="str">
        <f>A25</f>
        <v>山野 健斗</v>
      </c>
      <c r="Q1" s="36" t="str">
        <f>A26</f>
        <v>若松 優衣奈</v>
      </c>
      <c r="R1" s="36">
        <f>A27</f>
        <v>0</v>
      </c>
      <c r="S1" s="36">
        <f>A28</f>
        <v>0</v>
      </c>
      <c r="T1" s="36">
        <f>A29</f>
        <v>0</v>
      </c>
      <c r="U1" s="36">
        <f>A30</f>
        <v>0</v>
      </c>
      <c r="V1" s="36">
        <f>A31</f>
        <v>0</v>
      </c>
      <c r="W1" s="36">
        <f>A32</f>
        <v>0</v>
      </c>
      <c r="X1" s="37"/>
    </row>
    <row r="2" spans="1:24" ht="22.5" customHeight="1">
      <c r="A2" s="175" t="s">
        <v>33</v>
      </c>
      <c r="B2" s="81" t="s">
        <v>74</v>
      </c>
      <c r="C2" s="38" t="s">
        <v>27</v>
      </c>
      <c r="D2" s="39" t="s">
        <v>219</v>
      </c>
      <c r="E2" s="39" t="s">
        <v>219</v>
      </c>
      <c r="F2" s="39" t="s">
        <v>220</v>
      </c>
      <c r="G2" s="39" t="s">
        <v>220</v>
      </c>
      <c r="H2" s="39" t="s">
        <v>219</v>
      </c>
      <c r="I2" s="39" t="s">
        <v>219</v>
      </c>
      <c r="J2" s="39" t="s">
        <v>221</v>
      </c>
      <c r="K2" s="39" t="s">
        <v>219</v>
      </c>
      <c r="L2" s="39"/>
      <c r="M2" s="39" t="s">
        <v>220</v>
      </c>
      <c r="N2" s="39" t="s">
        <v>219</v>
      </c>
      <c r="O2" s="39" t="s">
        <v>220</v>
      </c>
      <c r="P2" s="39" t="s">
        <v>220</v>
      </c>
      <c r="Q2" s="39" t="s">
        <v>219</v>
      </c>
      <c r="R2" s="39"/>
      <c r="S2" s="39"/>
      <c r="T2" s="39"/>
      <c r="U2" s="39"/>
      <c r="V2" s="39"/>
      <c r="W2" s="39"/>
      <c r="X2" s="40" t="s">
        <v>166</v>
      </c>
    </row>
    <row r="3" spans="1:24" ht="22.5" customHeight="1">
      <c r="A3" s="176"/>
      <c r="B3" s="81" t="s">
        <v>75</v>
      </c>
      <c r="C3" s="38" t="s">
        <v>27</v>
      </c>
      <c r="D3" s="39" t="s">
        <v>220</v>
      </c>
      <c r="E3" s="39" t="s">
        <v>222</v>
      </c>
      <c r="F3" s="39" t="s">
        <v>219</v>
      </c>
      <c r="G3" s="39" t="s">
        <v>220</v>
      </c>
      <c r="H3" s="39" t="s">
        <v>221</v>
      </c>
      <c r="I3" s="39" t="s">
        <v>222</v>
      </c>
      <c r="J3" s="39" t="s">
        <v>220</v>
      </c>
      <c r="K3" s="39" t="s">
        <v>221</v>
      </c>
      <c r="L3" s="39"/>
      <c r="M3" s="39" t="s">
        <v>219</v>
      </c>
      <c r="N3" s="39" t="s">
        <v>221</v>
      </c>
      <c r="O3" s="39" t="s">
        <v>220</v>
      </c>
      <c r="P3" s="39" t="s">
        <v>219</v>
      </c>
      <c r="Q3" s="39" t="s">
        <v>220</v>
      </c>
      <c r="R3" s="39"/>
      <c r="S3" s="39"/>
      <c r="T3" s="39"/>
      <c r="U3" s="39"/>
      <c r="V3" s="39"/>
      <c r="W3" s="39"/>
      <c r="X3" s="40" t="s">
        <v>223</v>
      </c>
    </row>
    <row r="4" spans="1:24" ht="22.5" customHeight="1">
      <c r="A4" s="176"/>
      <c r="B4" s="81" t="s">
        <v>76</v>
      </c>
      <c r="C4" s="38" t="s">
        <v>27</v>
      </c>
      <c r="D4" s="39" t="s">
        <v>220</v>
      </c>
      <c r="E4" s="39" t="s">
        <v>220</v>
      </c>
      <c r="F4" s="39" t="s">
        <v>222</v>
      </c>
      <c r="G4" s="39" t="s">
        <v>221</v>
      </c>
      <c r="H4" s="39" t="s">
        <v>221</v>
      </c>
      <c r="I4" s="39" t="s">
        <v>221</v>
      </c>
      <c r="J4" s="39" t="s">
        <v>221</v>
      </c>
      <c r="K4" s="39" t="s">
        <v>221</v>
      </c>
      <c r="L4" s="39"/>
      <c r="M4" s="39" t="s">
        <v>221</v>
      </c>
      <c r="N4" s="39" t="s">
        <v>221</v>
      </c>
      <c r="O4" s="39" t="s">
        <v>222</v>
      </c>
      <c r="P4" s="39" t="s">
        <v>221</v>
      </c>
      <c r="Q4" s="39" t="s">
        <v>221</v>
      </c>
      <c r="R4" s="39"/>
      <c r="S4" s="39"/>
      <c r="T4" s="39"/>
      <c r="U4" s="39"/>
      <c r="V4" s="39"/>
      <c r="W4" s="39"/>
      <c r="X4" s="40" t="s">
        <v>181</v>
      </c>
    </row>
    <row r="5" spans="1:24" ht="22.5" customHeight="1">
      <c r="A5" s="176"/>
      <c r="B5" s="81" t="s">
        <v>50</v>
      </c>
      <c r="C5" s="38" t="s">
        <v>27</v>
      </c>
      <c r="D5" s="39" t="s">
        <v>222</v>
      </c>
      <c r="E5" s="39" t="s">
        <v>219</v>
      </c>
      <c r="F5" s="39" t="s">
        <v>221</v>
      </c>
      <c r="G5" s="39" t="s">
        <v>221</v>
      </c>
      <c r="H5" s="39" t="s">
        <v>221</v>
      </c>
      <c r="I5" s="39" t="s">
        <v>220</v>
      </c>
      <c r="J5" s="39" t="s">
        <v>221</v>
      </c>
      <c r="K5" s="39" t="s">
        <v>221</v>
      </c>
      <c r="L5" s="39"/>
      <c r="M5" s="39" t="s">
        <v>221</v>
      </c>
      <c r="N5" s="39" t="s">
        <v>221</v>
      </c>
      <c r="O5" s="39" t="s">
        <v>221</v>
      </c>
      <c r="P5" s="39" t="s">
        <v>221</v>
      </c>
      <c r="Q5" s="39" t="s">
        <v>221</v>
      </c>
      <c r="R5" s="39"/>
      <c r="S5" s="39"/>
      <c r="T5" s="39"/>
      <c r="U5" s="39"/>
      <c r="V5" s="39"/>
      <c r="W5" s="39"/>
      <c r="X5" s="40" t="s">
        <v>183</v>
      </c>
    </row>
    <row r="6" spans="1:24" ht="22.5" customHeight="1">
      <c r="A6" s="176"/>
      <c r="B6" s="81" t="s">
        <v>51</v>
      </c>
      <c r="C6" s="38" t="s">
        <v>27</v>
      </c>
      <c r="D6" s="39" t="s">
        <v>221</v>
      </c>
      <c r="E6" s="39" t="s">
        <v>221</v>
      </c>
      <c r="F6" s="39" t="s">
        <v>221</v>
      </c>
      <c r="G6" s="39" t="s">
        <v>222</v>
      </c>
      <c r="H6" s="39" t="s">
        <v>221</v>
      </c>
      <c r="I6" s="39" t="s">
        <v>222</v>
      </c>
      <c r="J6" s="39" t="s">
        <v>221</v>
      </c>
      <c r="K6" s="39" t="s">
        <v>221</v>
      </c>
      <c r="L6" s="39"/>
      <c r="M6" s="39" t="s">
        <v>221</v>
      </c>
      <c r="N6" s="39" t="s">
        <v>221</v>
      </c>
      <c r="O6" s="39" t="s">
        <v>221</v>
      </c>
      <c r="P6" s="39" t="s">
        <v>221</v>
      </c>
      <c r="Q6" s="39" t="s">
        <v>221</v>
      </c>
      <c r="R6" s="39"/>
      <c r="S6" s="39"/>
      <c r="T6" s="39"/>
      <c r="U6" s="39"/>
      <c r="V6" s="39"/>
      <c r="W6" s="39"/>
    </row>
    <row r="7" spans="1:24" ht="22.5" customHeight="1">
      <c r="A7" s="176"/>
      <c r="B7" s="81" t="s">
        <v>113</v>
      </c>
      <c r="C7" s="38" t="s">
        <v>27</v>
      </c>
      <c r="D7" s="39" t="s">
        <v>221</v>
      </c>
      <c r="E7" s="39" t="s">
        <v>222</v>
      </c>
      <c r="F7" s="39" t="s">
        <v>221</v>
      </c>
      <c r="G7" s="39" t="s">
        <v>221</v>
      </c>
      <c r="H7" s="39" t="s">
        <v>222</v>
      </c>
      <c r="I7" s="39" t="s">
        <v>220</v>
      </c>
      <c r="J7" s="39" t="s">
        <v>221</v>
      </c>
      <c r="K7" s="39" t="s">
        <v>221</v>
      </c>
      <c r="L7" s="39"/>
      <c r="M7" s="39" t="s">
        <v>221</v>
      </c>
      <c r="N7" s="39" t="s">
        <v>221</v>
      </c>
      <c r="O7" s="39" t="s">
        <v>221</v>
      </c>
      <c r="P7" s="39" t="s">
        <v>222</v>
      </c>
      <c r="Q7" s="39" t="s">
        <v>221</v>
      </c>
      <c r="R7" s="39"/>
      <c r="S7" s="39"/>
      <c r="T7" s="39"/>
      <c r="U7" s="39"/>
      <c r="V7" s="39"/>
      <c r="W7" s="39"/>
    </row>
    <row r="8" spans="1:24" ht="22.5" customHeight="1">
      <c r="A8" s="176"/>
      <c r="B8" s="81" t="s">
        <v>114</v>
      </c>
      <c r="C8" s="38" t="s">
        <v>27</v>
      </c>
      <c r="D8" s="39" t="s">
        <v>220</v>
      </c>
      <c r="E8" s="39" t="s">
        <v>222</v>
      </c>
      <c r="F8" s="39" t="s">
        <v>222</v>
      </c>
      <c r="G8" s="39" t="s">
        <v>222</v>
      </c>
      <c r="H8" s="39" t="s">
        <v>219</v>
      </c>
      <c r="I8" s="39" t="s">
        <v>221</v>
      </c>
      <c r="J8" s="39" t="s">
        <v>221</v>
      </c>
      <c r="K8" s="39" t="s">
        <v>221</v>
      </c>
      <c r="L8" s="39"/>
      <c r="M8" s="39" t="s">
        <v>222</v>
      </c>
      <c r="N8" s="39" t="s">
        <v>222</v>
      </c>
      <c r="O8" s="39" t="s">
        <v>220</v>
      </c>
      <c r="P8" s="39" t="s">
        <v>221</v>
      </c>
      <c r="Q8" s="39" t="s">
        <v>221</v>
      </c>
      <c r="R8" s="39"/>
      <c r="S8" s="39"/>
      <c r="T8" s="39"/>
      <c r="U8" s="39"/>
      <c r="V8" s="39"/>
      <c r="W8" s="39"/>
    </row>
    <row r="9" spans="1:24" ht="22.5" customHeight="1">
      <c r="A9" s="176"/>
      <c r="B9" s="81" t="s">
        <v>115</v>
      </c>
      <c r="C9" s="38" t="s">
        <v>27</v>
      </c>
      <c r="D9" s="39" t="s">
        <v>221</v>
      </c>
      <c r="E9" s="39" t="s">
        <v>221</v>
      </c>
      <c r="F9" s="39" t="s">
        <v>221</v>
      </c>
      <c r="G9" s="39" t="s">
        <v>221</v>
      </c>
      <c r="H9" s="39" t="s">
        <v>221</v>
      </c>
      <c r="I9" s="39" t="s">
        <v>222</v>
      </c>
      <c r="J9" s="39" t="s">
        <v>221</v>
      </c>
      <c r="K9" s="39" t="s">
        <v>221</v>
      </c>
      <c r="L9" s="39"/>
      <c r="M9" s="39" t="s">
        <v>221</v>
      </c>
      <c r="N9" s="39" t="s">
        <v>221</v>
      </c>
      <c r="O9" s="39" t="s">
        <v>221</v>
      </c>
      <c r="P9" s="39" t="s">
        <v>221</v>
      </c>
      <c r="Q9" s="39" t="s">
        <v>221</v>
      </c>
      <c r="R9" s="39"/>
      <c r="S9" s="39"/>
      <c r="T9" s="39"/>
      <c r="U9" s="39"/>
      <c r="V9" s="39"/>
      <c r="W9" s="39"/>
    </row>
    <row r="10" spans="1:24" ht="22.5" customHeight="1">
      <c r="A10" s="53"/>
      <c r="B10" s="81" t="s">
        <v>52</v>
      </c>
      <c r="C10" s="38" t="s">
        <v>27</v>
      </c>
      <c r="D10" s="39" t="s">
        <v>221</v>
      </c>
      <c r="E10" s="39" t="s">
        <v>221</v>
      </c>
      <c r="F10" s="39" t="s">
        <v>221</v>
      </c>
      <c r="G10" s="39" t="s">
        <v>221</v>
      </c>
      <c r="H10" s="39" t="s">
        <v>221</v>
      </c>
      <c r="I10" s="39" t="s">
        <v>221</v>
      </c>
      <c r="J10" s="39" t="s">
        <v>221</v>
      </c>
      <c r="K10" s="39" t="s">
        <v>221</v>
      </c>
      <c r="L10" s="39"/>
      <c r="M10" s="39" t="s">
        <v>221</v>
      </c>
      <c r="N10" s="39" t="s">
        <v>220</v>
      </c>
      <c r="O10" s="39" t="s">
        <v>221</v>
      </c>
      <c r="P10" s="39" t="s">
        <v>221</v>
      </c>
      <c r="Q10" s="39" t="s">
        <v>221</v>
      </c>
      <c r="R10" s="39"/>
      <c r="S10" s="39"/>
      <c r="T10" s="39"/>
      <c r="U10" s="39"/>
      <c r="V10" s="39"/>
      <c r="W10" s="39"/>
    </row>
    <row r="11" spans="1:24" ht="22.5" customHeight="1">
      <c r="A11" s="53"/>
      <c r="B11" s="81" t="s">
        <v>53</v>
      </c>
      <c r="C11" s="38" t="s">
        <v>27</v>
      </c>
      <c r="D11" s="39" t="s">
        <v>221</v>
      </c>
      <c r="E11" s="39" t="s">
        <v>221</v>
      </c>
      <c r="F11" s="39" t="s">
        <v>222</v>
      </c>
      <c r="G11" s="39" t="s">
        <v>221</v>
      </c>
      <c r="H11" s="39" t="s">
        <v>222</v>
      </c>
      <c r="I11" s="39" t="s">
        <v>222</v>
      </c>
      <c r="J11" s="39" t="s">
        <v>221</v>
      </c>
      <c r="K11" s="39" t="s">
        <v>222</v>
      </c>
      <c r="L11" s="39"/>
      <c r="M11" s="39" t="s">
        <v>222</v>
      </c>
      <c r="N11" s="39" t="s">
        <v>221</v>
      </c>
      <c r="O11" s="39" t="s">
        <v>221</v>
      </c>
      <c r="P11" s="39" t="s">
        <v>221</v>
      </c>
      <c r="Q11" s="39" t="s">
        <v>221</v>
      </c>
      <c r="R11" s="39"/>
      <c r="S11" s="39"/>
      <c r="T11" s="39"/>
      <c r="U11" s="39"/>
      <c r="V11" s="39"/>
      <c r="W11" s="39"/>
    </row>
    <row r="12" spans="1:24" ht="22.5" customHeight="1">
      <c r="A12" s="177" t="s">
        <v>34</v>
      </c>
      <c r="B12" s="178"/>
      <c r="C12" s="178"/>
      <c r="D12" s="178"/>
      <c r="E12" s="178"/>
      <c r="F12" s="178"/>
      <c r="G12" s="178"/>
      <c r="H12" s="178"/>
      <c r="I12" s="178"/>
      <c r="J12" s="178"/>
      <c r="K12" s="178"/>
      <c r="L12" s="178"/>
      <c r="M12" s="178"/>
      <c r="N12" s="178"/>
      <c r="O12" s="178"/>
      <c r="P12" s="178"/>
      <c r="Q12" s="178"/>
      <c r="R12" s="178"/>
      <c r="S12" s="178"/>
      <c r="T12" s="178"/>
      <c r="U12" s="178"/>
      <c r="V12" s="178"/>
      <c r="W12" s="179"/>
    </row>
    <row r="13" spans="1:24" ht="22.5" customHeight="1">
      <c r="A13" s="54" t="s">
        <v>77</v>
      </c>
      <c r="B13" s="154" t="s">
        <v>116</v>
      </c>
      <c r="C13" s="155"/>
      <c r="D13" s="155"/>
      <c r="E13" s="155"/>
      <c r="F13" s="155"/>
      <c r="G13" s="155"/>
      <c r="H13" s="155"/>
      <c r="I13" s="155"/>
      <c r="J13" s="155"/>
      <c r="K13" s="155"/>
      <c r="L13" s="155"/>
      <c r="M13" s="155"/>
      <c r="N13" s="155"/>
      <c r="O13" s="155"/>
      <c r="P13" s="155"/>
      <c r="Q13" s="155"/>
      <c r="R13" s="155"/>
      <c r="S13" s="155"/>
      <c r="T13" s="155"/>
      <c r="U13" s="155"/>
      <c r="V13" s="155"/>
      <c r="W13" s="156"/>
    </row>
    <row r="14" spans="1:24" ht="22.5" customHeight="1">
      <c r="A14" s="54" t="s">
        <v>78</v>
      </c>
      <c r="B14" s="154" t="s">
        <v>224</v>
      </c>
      <c r="C14" s="155"/>
      <c r="D14" s="155"/>
      <c r="E14" s="155"/>
      <c r="F14" s="155"/>
      <c r="G14" s="155"/>
      <c r="H14" s="155"/>
      <c r="I14" s="155"/>
      <c r="J14" s="155"/>
      <c r="K14" s="155"/>
      <c r="L14" s="155"/>
      <c r="M14" s="155"/>
      <c r="N14" s="155"/>
      <c r="O14" s="155"/>
      <c r="P14" s="155"/>
      <c r="Q14" s="155"/>
      <c r="R14" s="155"/>
      <c r="S14" s="155"/>
      <c r="T14" s="155"/>
      <c r="U14" s="155"/>
      <c r="V14" s="155"/>
      <c r="W14" s="156"/>
    </row>
    <row r="15" spans="1:24" ht="22.5" customHeight="1">
      <c r="A15" s="54" t="s">
        <v>79</v>
      </c>
      <c r="B15" s="154" t="s">
        <v>117</v>
      </c>
      <c r="C15" s="155"/>
      <c r="D15" s="155"/>
      <c r="E15" s="155"/>
      <c r="F15" s="155"/>
      <c r="G15" s="155"/>
      <c r="H15" s="155"/>
      <c r="I15" s="155"/>
      <c r="J15" s="155"/>
      <c r="K15" s="155"/>
      <c r="L15" s="155"/>
      <c r="M15" s="155"/>
      <c r="N15" s="155"/>
      <c r="O15" s="155"/>
      <c r="P15" s="155"/>
      <c r="Q15" s="155"/>
      <c r="R15" s="155"/>
      <c r="S15" s="155"/>
      <c r="T15" s="155"/>
      <c r="U15" s="155"/>
      <c r="V15" s="155"/>
      <c r="W15" s="156"/>
    </row>
    <row r="16" spans="1:24" ht="22.5" customHeight="1">
      <c r="A16" s="54" t="s">
        <v>80</v>
      </c>
      <c r="B16" s="154" t="s">
        <v>224</v>
      </c>
      <c r="C16" s="155"/>
      <c r="D16" s="155"/>
      <c r="E16" s="155"/>
      <c r="F16" s="155"/>
      <c r="G16" s="155"/>
      <c r="H16" s="155"/>
      <c r="I16" s="155"/>
      <c r="J16" s="155"/>
      <c r="K16" s="155"/>
      <c r="L16" s="155"/>
      <c r="M16" s="155"/>
      <c r="N16" s="155"/>
      <c r="O16" s="155"/>
      <c r="P16" s="155"/>
      <c r="Q16" s="155"/>
      <c r="R16" s="155"/>
      <c r="S16" s="155"/>
      <c r="T16" s="155"/>
      <c r="U16" s="155"/>
      <c r="V16" s="155"/>
      <c r="W16" s="156"/>
    </row>
    <row r="17" spans="1:24" ht="22.5" customHeight="1">
      <c r="A17" s="54" t="s">
        <v>81</v>
      </c>
      <c r="B17" s="154" t="s">
        <v>118</v>
      </c>
      <c r="C17" s="155"/>
      <c r="D17" s="155"/>
      <c r="E17" s="155"/>
      <c r="F17" s="155"/>
      <c r="G17" s="155"/>
      <c r="H17" s="155"/>
      <c r="I17" s="155"/>
      <c r="J17" s="155"/>
      <c r="K17" s="155"/>
      <c r="L17" s="155"/>
      <c r="M17" s="155"/>
      <c r="N17" s="155"/>
      <c r="O17" s="155"/>
      <c r="P17" s="155"/>
      <c r="Q17" s="155"/>
      <c r="R17" s="155"/>
      <c r="S17" s="155"/>
      <c r="T17" s="155"/>
      <c r="U17" s="155"/>
      <c r="V17" s="155"/>
      <c r="W17" s="156"/>
    </row>
    <row r="18" spans="1:24" ht="22.5" customHeight="1">
      <c r="A18" s="54" t="s">
        <v>82</v>
      </c>
      <c r="B18" s="154" t="s">
        <v>119</v>
      </c>
      <c r="C18" s="155"/>
      <c r="D18" s="155"/>
      <c r="E18" s="155"/>
      <c r="F18" s="155"/>
      <c r="G18" s="155"/>
      <c r="H18" s="155"/>
      <c r="I18" s="155"/>
      <c r="J18" s="155"/>
      <c r="K18" s="155"/>
      <c r="L18" s="155"/>
      <c r="M18" s="155"/>
      <c r="N18" s="155"/>
      <c r="O18" s="155"/>
      <c r="P18" s="155"/>
      <c r="Q18" s="155"/>
      <c r="R18" s="155"/>
      <c r="S18" s="155"/>
      <c r="T18" s="155"/>
      <c r="U18" s="155"/>
      <c r="V18" s="155"/>
      <c r="W18" s="156"/>
    </row>
    <row r="19" spans="1:24" ht="22.5" customHeight="1">
      <c r="A19" s="54" t="s">
        <v>83</v>
      </c>
      <c r="B19" s="154" t="s">
        <v>118</v>
      </c>
      <c r="C19" s="155"/>
      <c r="D19" s="155"/>
      <c r="E19" s="155"/>
      <c r="F19" s="155"/>
      <c r="G19" s="155"/>
      <c r="H19" s="155"/>
      <c r="I19" s="155"/>
      <c r="J19" s="155"/>
      <c r="K19" s="155"/>
      <c r="L19" s="155"/>
      <c r="M19" s="155"/>
      <c r="N19" s="155"/>
      <c r="O19" s="155"/>
      <c r="P19" s="155"/>
      <c r="Q19" s="155"/>
      <c r="R19" s="155"/>
      <c r="S19" s="155"/>
      <c r="T19" s="155"/>
      <c r="U19" s="155"/>
      <c r="V19" s="155"/>
      <c r="W19" s="156"/>
    </row>
    <row r="20" spans="1:24" ht="22.5" customHeight="1">
      <c r="A20" s="54" t="s">
        <v>84</v>
      </c>
      <c r="B20" s="154" t="s">
        <v>118</v>
      </c>
      <c r="C20" s="155"/>
      <c r="D20" s="155"/>
      <c r="E20" s="155"/>
      <c r="F20" s="155"/>
      <c r="G20" s="155"/>
      <c r="H20" s="155"/>
      <c r="I20" s="155"/>
      <c r="J20" s="155"/>
      <c r="K20" s="155"/>
      <c r="L20" s="155"/>
      <c r="M20" s="155"/>
      <c r="N20" s="155"/>
      <c r="O20" s="155"/>
      <c r="P20" s="155"/>
      <c r="Q20" s="155"/>
      <c r="R20" s="155"/>
      <c r="S20" s="155"/>
      <c r="T20" s="155"/>
      <c r="U20" s="155"/>
      <c r="V20" s="155"/>
      <c r="W20" s="156"/>
    </row>
    <row r="21" spans="1:24" ht="22.5" customHeight="1">
      <c r="A21" s="54"/>
      <c r="B21" s="154"/>
      <c r="C21" s="155"/>
      <c r="D21" s="155"/>
      <c r="E21" s="155"/>
      <c r="F21" s="155"/>
      <c r="G21" s="155"/>
      <c r="H21" s="155"/>
      <c r="I21" s="155"/>
      <c r="J21" s="155"/>
      <c r="K21" s="155"/>
      <c r="L21" s="155"/>
      <c r="M21" s="155"/>
      <c r="N21" s="155"/>
      <c r="O21" s="155"/>
      <c r="P21" s="155"/>
      <c r="Q21" s="155"/>
      <c r="R21" s="155"/>
      <c r="S21" s="155"/>
      <c r="T21" s="155"/>
      <c r="U21" s="155"/>
      <c r="V21" s="155"/>
      <c r="W21" s="156"/>
    </row>
    <row r="22" spans="1:24" ht="22.5" customHeight="1">
      <c r="A22" s="54" t="s">
        <v>85</v>
      </c>
      <c r="B22" s="154" t="s">
        <v>116</v>
      </c>
      <c r="C22" s="155"/>
      <c r="D22" s="155"/>
      <c r="E22" s="155"/>
      <c r="F22" s="155"/>
      <c r="G22" s="155"/>
      <c r="H22" s="155"/>
      <c r="I22" s="155"/>
      <c r="J22" s="155"/>
      <c r="K22" s="155"/>
      <c r="L22" s="155"/>
      <c r="M22" s="155"/>
      <c r="N22" s="155"/>
      <c r="O22" s="155"/>
      <c r="P22" s="155"/>
      <c r="Q22" s="155"/>
      <c r="R22" s="155"/>
      <c r="S22" s="155"/>
      <c r="T22" s="155"/>
      <c r="U22" s="155"/>
      <c r="V22" s="155"/>
      <c r="W22" s="156"/>
    </row>
    <row r="23" spans="1:24" ht="22.5" customHeight="1">
      <c r="A23" s="54" t="s">
        <v>86</v>
      </c>
      <c r="B23" s="154" t="s">
        <v>120</v>
      </c>
      <c r="C23" s="155"/>
      <c r="D23" s="155"/>
      <c r="E23" s="155"/>
      <c r="F23" s="155"/>
      <c r="G23" s="155"/>
      <c r="H23" s="155"/>
      <c r="I23" s="155"/>
      <c r="J23" s="155"/>
      <c r="K23" s="155"/>
      <c r="L23" s="155"/>
      <c r="M23" s="155"/>
      <c r="N23" s="155"/>
      <c r="O23" s="155"/>
      <c r="P23" s="155"/>
      <c r="Q23" s="155"/>
      <c r="R23" s="155"/>
      <c r="S23" s="155"/>
      <c r="T23" s="155"/>
      <c r="U23" s="155"/>
      <c r="V23" s="155"/>
      <c r="W23" s="156"/>
    </row>
    <row r="24" spans="1:24" ht="22.5" customHeight="1">
      <c r="A24" s="54" t="s">
        <v>87</v>
      </c>
      <c r="B24" s="154" t="s">
        <v>121</v>
      </c>
      <c r="C24" s="155"/>
      <c r="D24" s="155"/>
      <c r="E24" s="155"/>
      <c r="F24" s="155"/>
      <c r="G24" s="155"/>
      <c r="H24" s="155"/>
      <c r="I24" s="155"/>
      <c r="J24" s="155"/>
      <c r="K24" s="155"/>
      <c r="L24" s="155"/>
      <c r="M24" s="155"/>
      <c r="N24" s="155"/>
      <c r="O24" s="155"/>
      <c r="P24" s="155"/>
      <c r="Q24" s="155"/>
      <c r="R24" s="155"/>
      <c r="S24" s="155"/>
      <c r="T24" s="155"/>
      <c r="U24" s="155"/>
      <c r="V24" s="155"/>
      <c r="W24" s="156"/>
    </row>
    <row r="25" spans="1:24" ht="22.5" customHeight="1">
      <c r="A25" s="54" t="s">
        <v>88</v>
      </c>
      <c r="B25" s="154" t="s">
        <v>122</v>
      </c>
      <c r="C25" s="155"/>
      <c r="D25" s="155"/>
      <c r="E25" s="155"/>
      <c r="F25" s="155"/>
      <c r="G25" s="155"/>
      <c r="H25" s="155"/>
      <c r="I25" s="155"/>
      <c r="J25" s="155"/>
      <c r="K25" s="155"/>
      <c r="L25" s="155"/>
      <c r="M25" s="155"/>
      <c r="N25" s="155"/>
      <c r="O25" s="155"/>
      <c r="P25" s="155"/>
      <c r="Q25" s="155"/>
      <c r="R25" s="155"/>
      <c r="S25" s="155"/>
      <c r="T25" s="155"/>
      <c r="U25" s="155"/>
      <c r="V25" s="155"/>
      <c r="W25" s="156"/>
    </row>
    <row r="26" spans="1:24" ht="22.5" customHeight="1">
      <c r="A26" s="54" t="s">
        <v>89</v>
      </c>
      <c r="B26" s="154" t="s">
        <v>121</v>
      </c>
      <c r="C26" s="155"/>
      <c r="D26" s="155"/>
      <c r="E26" s="155"/>
      <c r="F26" s="155"/>
      <c r="G26" s="155"/>
      <c r="H26" s="155"/>
      <c r="I26" s="155"/>
      <c r="J26" s="155"/>
      <c r="K26" s="155"/>
      <c r="L26" s="155"/>
      <c r="M26" s="155"/>
      <c r="N26" s="155"/>
      <c r="O26" s="155"/>
      <c r="P26" s="155"/>
      <c r="Q26" s="155"/>
      <c r="R26" s="155"/>
      <c r="S26" s="155"/>
      <c r="T26" s="155"/>
      <c r="U26" s="155"/>
      <c r="V26" s="155"/>
      <c r="W26" s="156"/>
    </row>
    <row r="27" spans="1:24" ht="22.5" customHeight="1">
      <c r="A27" s="54"/>
      <c r="B27" s="154"/>
      <c r="C27" s="155"/>
      <c r="D27" s="155"/>
      <c r="E27" s="155"/>
      <c r="F27" s="155"/>
      <c r="G27" s="155"/>
      <c r="H27" s="155"/>
      <c r="I27" s="155"/>
      <c r="J27" s="155"/>
      <c r="K27" s="155"/>
      <c r="L27" s="155"/>
      <c r="M27" s="155"/>
      <c r="N27" s="155"/>
      <c r="O27" s="155"/>
      <c r="P27" s="155"/>
      <c r="Q27" s="155"/>
      <c r="R27" s="155"/>
      <c r="S27" s="155"/>
      <c r="T27" s="155"/>
      <c r="U27" s="155"/>
      <c r="V27" s="155"/>
      <c r="W27" s="156"/>
    </row>
    <row r="28" spans="1:24" ht="22.5" customHeight="1">
      <c r="A28" s="54"/>
      <c r="B28" s="154"/>
      <c r="C28" s="155"/>
      <c r="D28" s="155"/>
      <c r="E28" s="155"/>
      <c r="F28" s="155"/>
      <c r="G28" s="155"/>
      <c r="H28" s="155"/>
      <c r="I28" s="155"/>
      <c r="J28" s="155"/>
      <c r="K28" s="155"/>
      <c r="L28" s="155"/>
      <c r="M28" s="155"/>
      <c r="N28" s="155"/>
      <c r="O28" s="155"/>
      <c r="P28" s="155"/>
      <c r="Q28" s="155"/>
      <c r="R28" s="155"/>
      <c r="S28" s="155"/>
      <c r="T28" s="155"/>
      <c r="U28" s="155"/>
      <c r="V28" s="155"/>
      <c r="W28" s="156"/>
    </row>
    <row r="29" spans="1:24" ht="22.5" customHeight="1">
      <c r="A29" s="54"/>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4" ht="22.5" customHeight="1">
      <c r="A30" s="54"/>
      <c r="B30" s="154"/>
      <c r="C30" s="155"/>
      <c r="D30" s="155"/>
      <c r="E30" s="155"/>
      <c r="F30" s="155"/>
      <c r="G30" s="155"/>
      <c r="H30" s="155"/>
      <c r="I30" s="155"/>
      <c r="J30" s="155"/>
      <c r="K30" s="155"/>
      <c r="L30" s="155"/>
      <c r="M30" s="155"/>
      <c r="N30" s="155"/>
      <c r="O30" s="155"/>
      <c r="P30" s="155"/>
      <c r="Q30" s="155"/>
      <c r="R30" s="155"/>
      <c r="S30" s="155"/>
      <c r="T30" s="155"/>
      <c r="U30" s="155"/>
      <c r="V30" s="155"/>
      <c r="W30" s="156"/>
    </row>
    <row r="31" spans="1:24" ht="22.5" customHeight="1">
      <c r="A31" s="54"/>
      <c r="B31" s="154"/>
      <c r="C31" s="155"/>
      <c r="D31" s="155"/>
      <c r="E31" s="155"/>
      <c r="F31" s="155"/>
      <c r="G31" s="155"/>
      <c r="H31" s="155"/>
      <c r="I31" s="155"/>
      <c r="J31" s="155"/>
      <c r="K31" s="155"/>
      <c r="L31" s="155"/>
      <c r="M31" s="155"/>
      <c r="N31" s="155"/>
      <c r="O31" s="155"/>
      <c r="P31" s="155"/>
      <c r="Q31" s="155"/>
      <c r="R31" s="155"/>
      <c r="S31" s="155"/>
      <c r="T31" s="155"/>
      <c r="U31" s="155"/>
      <c r="V31" s="155"/>
      <c r="W31" s="156"/>
    </row>
    <row r="32" spans="1:24" ht="22.5" customHeight="1">
      <c r="A32" s="54"/>
      <c r="B32" s="154"/>
      <c r="C32" s="155"/>
      <c r="D32" s="155"/>
      <c r="E32" s="155"/>
      <c r="F32" s="155"/>
      <c r="G32" s="155"/>
      <c r="H32" s="155"/>
      <c r="I32" s="155"/>
      <c r="J32" s="155"/>
      <c r="K32" s="155"/>
      <c r="L32" s="155"/>
      <c r="M32" s="155"/>
      <c r="N32" s="155"/>
      <c r="O32" s="155"/>
      <c r="P32" s="155"/>
      <c r="Q32" s="155"/>
      <c r="R32" s="155"/>
      <c r="S32" s="155"/>
      <c r="T32" s="155"/>
      <c r="U32" s="155"/>
      <c r="V32" s="155"/>
      <c r="W32" s="156"/>
      <c r="X32" s="47" t="s">
        <v>31</v>
      </c>
    </row>
    <row r="33" spans="1:24" ht="22.5" customHeight="1">
      <c r="A33" s="172" t="s">
        <v>225</v>
      </c>
      <c r="B33" s="173"/>
      <c r="C33" s="173"/>
      <c r="D33" s="173"/>
      <c r="E33" s="173"/>
      <c r="F33" s="173"/>
      <c r="G33" s="173"/>
      <c r="H33" s="173"/>
      <c r="I33" s="173"/>
      <c r="J33" s="173"/>
      <c r="K33" s="173"/>
      <c r="L33" s="173"/>
      <c r="M33" s="173"/>
      <c r="N33" s="173"/>
      <c r="O33" s="173"/>
      <c r="P33" s="173"/>
      <c r="Q33" s="173"/>
      <c r="R33" s="173"/>
      <c r="S33" s="173"/>
      <c r="T33" s="173"/>
      <c r="U33" s="173"/>
      <c r="V33" s="173"/>
      <c r="W33" s="174"/>
      <c r="X33" s="8" t="s">
        <v>226</v>
      </c>
    </row>
    <row r="34" spans="1:24" ht="76.5" customHeight="1">
      <c r="A34" s="55" t="str">
        <f>A13</f>
        <v>赤羽 咲良</v>
      </c>
      <c r="B34" s="169" t="s">
        <v>123</v>
      </c>
      <c r="C34" s="170"/>
      <c r="D34" s="170"/>
      <c r="E34" s="170"/>
      <c r="F34" s="170"/>
      <c r="G34" s="170"/>
      <c r="H34" s="170"/>
      <c r="I34" s="170"/>
      <c r="J34" s="170"/>
      <c r="K34" s="170"/>
      <c r="L34" s="170"/>
      <c r="M34" s="170"/>
      <c r="N34" s="170"/>
      <c r="O34" s="170"/>
      <c r="P34" s="170"/>
      <c r="Q34" s="170"/>
      <c r="R34" s="170"/>
      <c r="S34" s="170"/>
      <c r="T34" s="170"/>
      <c r="U34" s="170"/>
      <c r="V34" s="170"/>
      <c r="W34" s="171"/>
      <c r="X34" s="8">
        <f>LEN(B34)</f>
        <v>446</v>
      </c>
    </row>
    <row r="35" spans="1:24" ht="76.5" customHeight="1">
      <c r="A35" s="55" t="str">
        <f t="shared" ref="A35:A53" si="0">A14</f>
        <v>今井 千紗都</v>
      </c>
      <c r="B35" s="169" t="s">
        <v>138</v>
      </c>
      <c r="C35" s="170"/>
      <c r="D35" s="170"/>
      <c r="E35" s="170"/>
      <c r="F35" s="170"/>
      <c r="G35" s="170"/>
      <c r="H35" s="170"/>
      <c r="I35" s="170"/>
      <c r="J35" s="170"/>
      <c r="K35" s="170"/>
      <c r="L35" s="170"/>
      <c r="M35" s="170"/>
      <c r="N35" s="170"/>
      <c r="O35" s="170"/>
      <c r="P35" s="170"/>
      <c r="Q35" s="170"/>
      <c r="R35" s="170"/>
      <c r="S35" s="170"/>
      <c r="T35" s="170"/>
      <c r="U35" s="170"/>
      <c r="V35" s="170"/>
      <c r="W35" s="171"/>
      <c r="X35" s="8">
        <f t="shared" ref="X35:X53" si="1">LEN(B35)</f>
        <v>435</v>
      </c>
    </row>
    <row r="36" spans="1:24" ht="76.5" customHeight="1">
      <c r="A36" s="55" t="str">
        <f t="shared" si="0"/>
        <v>上島 千茅</v>
      </c>
      <c r="B36" s="169" t="s">
        <v>124</v>
      </c>
      <c r="C36" s="170"/>
      <c r="D36" s="170"/>
      <c r="E36" s="170"/>
      <c r="F36" s="170"/>
      <c r="G36" s="170"/>
      <c r="H36" s="170"/>
      <c r="I36" s="170"/>
      <c r="J36" s="170"/>
      <c r="K36" s="170"/>
      <c r="L36" s="170"/>
      <c r="M36" s="170"/>
      <c r="N36" s="170"/>
      <c r="O36" s="170"/>
      <c r="P36" s="170"/>
      <c r="Q36" s="170"/>
      <c r="R36" s="170"/>
      <c r="S36" s="170"/>
      <c r="T36" s="170"/>
      <c r="U36" s="170"/>
      <c r="V36" s="170"/>
      <c r="W36" s="171"/>
      <c r="X36" s="8">
        <f t="shared" si="1"/>
        <v>445</v>
      </c>
    </row>
    <row r="37" spans="1:24" ht="76.5" customHeight="1">
      <c r="A37" s="55" t="str">
        <f t="shared" si="0"/>
        <v>小林 朋桃</v>
      </c>
      <c r="B37" s="169" t="s">
        <v>125</v>
      </c>
      <c r="C37" s="170"/>
      <c r="D37" s="170"/>
      <c r="E37" s="170"/>
      <c r="F37" s="170"/>
      <c r="G37" s="170"/>
      <c r="H37" s="170"/>
      <c r="I37" s="170"/>
      <c r="J37" s="170"/>
      <c r="K37" s="170"/>
      <c r="L37" s="170"/>
      <c r="M37" s="170"/>
      <c r="N37" s="170"/>
      <c r="O37" s="170"/>
      <c r="P37" s="170"/>
      <c r="Q37" s="170"/>
      <c r="R37" s="170"/>
      <c r="S37" s="170"/>
      <c r="T37" s="170"/>
      <c r="U37" s="170"/>
      <c r="V37" s="170"/>
      <c r="W37" s="171"/>
      <c r="X37" s="8">
        <f t="shared" si="1"/>
        <v>416</v>
      </c>
    </row>
    <row r="38" spans="1:24" ht="76.5" customHeight="1">
      <c r="A38" s="55" t="str">
        <f t="shared" si="0"/>
        <v>小森 朝陽</v>
      </c>
      <c r="B38" s="169" t="s">
        <v>139</v>
      </c>
      <c r="C38" s="170"/>
      <c r="D38" s="170"/>
      <c r="E38" s="170"/>
      <c r="F38" s="170"/>
      <c r="G38" s="170"/>
      <c r="H38" s="170"/>
      <c r="I38" s="170"/>
      <c r="J38" s="170"/>
      <c r="K38" s="170"/>
      <c r="L38" s="170"/>
      <c r="M38" s="170"/>
      <c r="N38" s="170"/>
      <c r="O38" s="170"/>
      <c r="P38" s="170"/>
      <c r="Q38" s="170"/>
      <c r="R38" s="170"/>
      <c r="S38" s="170"/>
      <c r="T38" s="170"/>
      <c r="U38" s="170"/>
      <c r="V38" s="170"/>
      <c r="W38" s="171"/>
      <c r="X38" s="8">
        <f t="shared" si="1"/>
        <v>449</v>
      </c>
    </row>
    <row r="39" spans="1:24" ht="76.5" customHeight="1">
      <c r="A39" s="55" t="str">
        <f t="shared" si="0"/>
        <v>佐野 望結</v>
      </c>
      <c r="B39" s="169" t="s">
        <v>126</v>
      </c>
      <c r="C39" s="170"/>
      <c r="D39" s="170"/>
      <c r="E39" s="170"/>
      <c r="F39" s="170"/>
      <c r="G39" s="170"/>
      <c r="H39" s="170"/>
      <c r="I39" s="170"/>
      <c r="J39" s="170"/>
      <c r="K39" s="170"/>
      <c r="L39" s="170"/>
      <c r="M39" s="170"/>
      <c r="N39" s="170"/>
      <c r="O39" s="170"/>
      <c r="P39" s="170"/>
      <c r="Q39" s="170"/>
      <c r="R39" s="170"/>
      <c r="S39" s="170"/>
      <c r="T39" s="170"/>
      <c r="U39" s="170"/>
      <c r="V39" s="170"/>
      <c r="W39" s="171"/>
      <c r="X39" s="8">
        <f t="shared" si="1"/>
        <v>448</v>
      </c>
    </row>
    <row r="40" spans="1:24" ht="76.5" customHeight="1">
      <c r="A40" s="55" t="str">
        <f t="shared" si="0"/>
        <v>西村 友李</v>
      </c>
      <c r="B40" s="169" t="s">
        <v>127</v>
      </c>
      <c r="C40" s="170"/>
      <c r="D40" s="170"/>
      <c r="E40" s="170"/>
      <c r="F40" s="170"/>
      <c r="G40" s="170"/>
      <c r="H40" s="170"/>
      <c r="I40" s="170"/>
      <c r="J40" s="170"/>
      <c r="K40" s="170"/>
      <c r="L40" s="170"/>
      <c r="M40" s="170"/>
      <c r="N40" s="170"/>
      <c r="O40" s="170"/>
      <c r="P40" s="170"/>
      <c r="Q40" s="170"/>
      <c r="R40" s="170"/>
      <c r="S40" s="170"/>
      <c r="T40" s="170"/>
      <c r="U40" s="170"/>
      <c r="V40" s="170"/>
      <c r="W40" s="171"/>
      <c r="X40" s="8">
        <f t="shared" si="1"/>
        <v>439</v>
      </c>
    </row>
    <row r="41" spans="1:24" ht="76.5" customHeight="1">
      <c r="A41" s="55" t="str">
        <f t="shared" si="0"/>
        <v>林 美佑</v>
      </c>
      <c r="B41" s="169" t="s">
        <v>227</v>
      </c>
      <c r="C41" s="170"/>
      <c r="D41" s="170"/>
      <c r="E41" s="170"/>
      <c r="F41" s="170"/>
      <c r="G41" s="170"/>
      <c r="H41" s="170"/>
      <c r="I41" s="170"/>
      <c r="J41" s="170"/>
      <c r="K41" s="170"/>
      <c r="L41" s="170"/>
      <c r="M41" s="170"/>
      <c r="N41" s="170"/>
      <c r="O41" s="170"/>
      <c r="P41" s="170"/>
      <c r="Q41" s="170"/>
      <c r="R41" s="170"/>
      <c r="S41" s="170"/>
      <c r="T41" s="170"/>
      <c r="U41" s="170"/>
      <c r="V41" s="170"/>
      <c r="W41" s="171"/>
      <c r="X41" s="8">
        <f t="shared" si="1"/>
        <v>442</v>
      </c>
    </row>
    <row r="42" spans="1:24" ht="76.5" customHeight="1">
      <c r="A42" s="55">
        <f t="shared" si="0"/>
        <v>0</v>
      </c>
      <c r="B42" s="169"/>
      <c r="C42" s="170"/>
      <c r="D42" s="170"/>
      <c r="E42" s="170"/>
      <c r="F42" s="170"/>
      <c r="G42" s="170"/>
      <c r="H42" s="170"/>
      <c r="I42" s="170"/>
      <c r="J42" s="170"/>
      <c r="K42" s="170"/>
      <c r="L42" s="170"/>
      <c r="M42" s="170"/>
      <c r="N42" s="170"/>
      <c r="O42" s="170"/>
      <c r="P42" s="170"/>
      <c r="Q42" s="170"/>
      <c r="R42" s="170"/>
      <c r="S42" s="170"/>
      <c r="T42" s="170"/>
      <c r="U42" s="170"/>
      <c r="V42" s="170"/>
      <c r="W42" s="171"/>
      <c r="X42" s="8">
        <f t="shared" si="1"/>
        <v>0</v>
      </c>
    </row>
    <row r="43" spans="1:24" ht="76.5" customHeight="1">
      <c r="A43" s="55" t="str">
        <f t="shared" si="0"/>
        <v>樋沢 壮真</v>
      </c>
      <c r="B43" s="169" t="s">
        <v>140</v>
      </c>
      <c r="C43" s="170"/>
      <c r="D43" s="170"/>
      <c r="E43" s="170"/>
      <c r="F43" s="170"/>
      <c r="G43" s="170"/>
      <c r="H43" s="170"/>
      <c r="I43" s="170"/>
      <c r="J43" s="170"/>
      <c r="K43" s="170"/>
      <c r="L43" s="170"/>
      <c r="M43" s="170"/>
      <c r="N43" s="170"/>
      <c r="O43" s="170"/>
      <c r="P43" s="170"/>
      <c r="Q43" s="170"/>
      <c r="R43" s="170"/>
      <c r="S43" s="170"/>
      <c r="T43" s="170"/>
      <c r="U43" s="170"/>
      <c r="V43" s="170"/>
      <c r="W43" s="171"/>
      <c r="X43" s="8">
        <f t="shared" si="1"/>
        <v>425</v>
      </c>
    </row>
    <row r="44" spans="1:24" ht="76.5" customHeight="1">
      <c r="A44" s="55" t="str">
        <f t="shared" si="0"/>
        <v>堀内 心遥</v>
      </c>
      <c r="B44" s="169" t="s">
        <v>128</v>
      </c>
      <c r="C44" s="170"/>
      <c r="D44" s="170"/>
      <c r="E44" s="170"/>
      <c r="F44" s="170"/>
      <c r="G44" s="170"/>
      <c r="H44" s="170"/>
      <c r="I44" s="170"/>
      <c r="J44" s="170"/>
      <c r="K44" s="170"/>
      <c r="L44" s="170"/>
      <c r="M44" s="170"/>
      <c r="N44" s="170"/>
      <c r="O44" s="170"/>
      <c r="P44" s="170"/>
      <c r="Q44" s="170"/>
      <c r="R44" s="170"/>
      <c r="S44" s="170"/>
      <c r="T44" s="170"/>
      <c r="U44" s="170"/>
      <c r="V44" s="170"/>
      <c r="W44" s="171"/>
      <c r="X44" s="8">
        <f t="shared" si="1"/>
        <v>416</v>
      </c>
    </row>
    <row r="45" spans="1:24" ht="76.5" customHeight="1">
      <c r="A45" s="55" t="str">
        <f t="shared" si="0"/>
        <v>南澤 育実</v>
      </c>
      <c r="B45" s="169" t="s">
        <v>129</v>
      </c>
      <c r="C45" s="170"/>
      <c r="D45" s="170"/>
      <c r="E45" s="170"/>
      <c r="F45" s="170"/>
      <c r="G45" s="170"/>
      <c r="H45" s="170"/>
      <c r="I45" s="170"/>
      <c r="J45" s="170"/>
      <c r="K45" s="170"/>
      <c r="L45" s="170"/>
      <c r="M45" s="170"/>
      <c r="N45" s="170"/>
      <c r="O45" s="170"/>
      <c r="P45" s="170"/>
      <c r="Q45" s="170"/>
      <c r="R45" s="170"/>
      <c r="S45" s="170"/>
      <c r="T45" s="170"/>
      <c r="U45" s="170"/>
      <c r="V45" s="170"/>
      <c r="W45" s="171"/>
      <c r="X45" s="8">
        <f t="shared" si="1"/>
        <v>448</v>
      </c>
    </row>
    <row r="46" spans="1:24" ht="76.5" customHeight="1">
      <c r="A46" s="55" t="str">
        <f t="shared" si="0"/>
        <v>山野 健斗</v>
      </c>
      <c r="B46" s="169" t="s">
        <v>141</v>
      </c>
      <c r="C46" s="170"/>
      <c r="D46" s="170"/>
      <c r="E46" s="170"/>
      <c r="F46" s="170"/>
      <c r="G46" s="170"/>
      <c r="H46" s="170"/>
      <c r="I46" s="170"/>
      <c r="J46" s="170"/>
      <c r="K46" s="170"/>
      <c r="L46" s="170"/>
      <c r="M46" s="170"/>
      <c r="N46" s="170"/>
      <c r="O46" s="170"/>
      <c r="P46" s="170"/>
      <c r="Q46" s="170"/>
      <c r="R46" s="170"/>
      <c r="S46" s="170"/>
      <c r="T46" s="170"/>
      <c r="U46" s="170"/>
      <c r="V46" s="170"/>
      <c r="W46" s="171"/>
      <c r="X46" s="8">
        <f t="shared" si="1"/>
        <v>440</v>
      </c>
    </row>
    <row r="47" spans="1:24" ht="76.5" customHeight="1">
      <c r="A47" s="55" t="str">
        <f t="shared" si="0"/>
        <v>若松 優衣奈</v>
      </c>
      <c r="B47" s="169" t="s">
        <v>142</v>
      </c>
      <c r="C47" s="170"/>
      <c r="D47" s="170"/>
      <c r="E47" s="170"/>
      <c r="F47" s="170"/>
      <c r="G47" s="170"/>
      <c r="H47" s="170"/>
      <c r="I47" s="170"/>
      <c r="J47" s="170"/>
      <c r="K47" s="170"/>
      <c r="L47" s="170"/>
      <c r="M47" s="170"/>
      <c r="N47" s="170"/>
      <c r="O47" s="170"/>
      <c r="P47" s="170"/>
      <c r="Q47" s="170"/>
      <c r="R47" s="170"/>
      <c r="S47" s="170"/>
      <c r="T47" s="170"/>
      <c r="U47" s="170"/>
      <c r="V47" s="170"/>
      <c r="W47" s="171"/>
      <c r="X47" s="8">
        <f t="shared" si="1"/>
        <v>450</v>
      </c>
    </row>
    <row r="48" spans="1:24" ht="76.5" customHeight="1">
      <c r="A48" s="55">
        <f t="shared" si="0"/>
        <v>0</v>
      </c>
      <c r="B48" s="169"/>
      <c r="C48" s="170"/>
      <c r="D48" s="170"/>
      <c r="E48" s="170"/>
      <c r="F48" s="170"/>
      <c r="G48" s="170"/>
      <c r="H48" s="170"/>
      <c r="I48" s="170"/>
      <c r="J48" s="170"/>
      <c r="K48" s="170"/>
      <c r="L48" s="170"/>
      <c r="M48" s="170"/>
      <c r="N48" s="170"/>
      <c r="O48" s="170"/>
      <c r="P48" s="170"/>
      <c r="Q48" s="170"/>
      <c r="R48" s="170"/>
      <c r="S48" s="170"/>
      <c r="T48" s="170"/>
      <c r="U48" s="170"/>
      <c r="V48" s="170"/>
      <c r="W48" s="171"/>
      <c r="X48" s="8">
        <f t="shared" si="1"/>
        <v>0</v>
      </c>
    </row>
    <row r="49" spans="1:24" ht="76.5" customHeight="1">
      <c r="A49" s="55">
        <f t="shared" si="0"/>
        <v>0</v>
      </c>
      <c r="B49" s="169"/>
      <c r="C49" s="170"/>
      <c r="D49" s="170"/>
      <c r="E49" s="170"/>
      <c r="F49" s="170"/>
      <c r="G49" s="170"/>
      <c r="H49" s="170"/>
      <c r="I49" s="170"/>
      <c r="J49" s="170"/>
      <c r="K49" s="170"/>
      <c r="L49" s="170"/>
      <c r="M49" s="170"/>
      <c r="N49" s="170"/>
      <c r="O49" s="170"/>
      <c r="P49" s="170"/>
      <c r="Q49" s="170"/>
      <c r="R49" s="170"/>
      <c r="S49" s="170"/>
      <c r="T49" s="170"/>
      <c r="U49" s="170"/>
      <c r="V49" s="170"/>
      <c r="W49" s="171"/>
      <c r="X49" s="8">
        <f t="shared" si="1"/>
        <v>0</v>
      </c>
    </row>
    <row r="50" spans="1:24" ht="76.5" customHeight="1">
      <c r="A50" s="55">
        <f t="shared" si="0"/>
        <v>0</v>
      </c>
      <c r="B50" s="169"/>
      <c r="C50" s="170"/>
      <c r="D50" s="170"/>
      <c r="E50" s="170"/>
      <c r="F50" s="170"/>
      <c r="G50" s="170"/>
      <c r="H50" s="170"/>
      <c r="I50" s="170"/>
      <c r="J50" s="170"/>
      <c r="K50" s="170"/>
      <c r="L50" s="170"/>
      <c r="M50" s="170"/>
      <c r="N50" s="170"/>
      <c r="O50" s="170"/>
      <c r="P50" s="170"/>
      <c r="Q50" s="170"/>
      <c r="R50" s="170"/>
      <c r="S50" s="170"/>
      <c r="T50" s="170"/>
      <c r="U50" s="170"/>
      <c r="V50" s="170"/>
      <c r="W50" s="171"/>
      <c r="X50" s="8">
        <f t="shared" si="1"/>
        <v>0</v>
      </c>
    </row>
    <row r="51" spans="1:24" ht="76.5" customHeight="1">
      <c r="A51" s="55">
        <f t="shared" si="0"/>
        <v>0</v>
      </c>
      <c r="B51" s="169"/>
      <c r="C51" s="170"/>
      <c r="D51" s="170"/>
      <c r="E51" s="170"/>
      <c r="F51" s="170"/>
      <c r="G51" s="170"/>
      <c r="H51" s="170"/>
      <c r="I51" s="170"/>
      <c r="J51" s="170"/>
      <c r="K51" s="170"/>
      <c r="L51" s="170"/>
      <c r="M51" s="170"/>
      <c r="N51" s="170"/>
      <c r="O51" s="170"/>
      <c r="P51" s="170"/>
      <c r="Q51" s="170"/>
      <c r="R51" s="170"/>
      <c r="S51" s="170"/>
      <c r="T51" s="170"/>
      <c r="U51" s="170"/>
      <c r="V51" s="170"/>
      <c r="W51" s="171"/>
      <c r="X51" s="8">
        <f t="shared" si="1"/>
        <v>0</v>
      </c>
    </row>
    <row r="52" spans="1:24" ht="76.5" customHeight="1">
      <c r="A52" s="55">
        <f t="shared" si="0"/>
        <v>0</v>
      </c>
      <c r="B52" s="169"/>
      <c r="C52" s="170"/>
      <c r="D52" s="170"/>
      <c r="E52" s="170"/>
      <c r="F52" s="170"/>
      <c r="G52" s="170"/>
      <c r="H52" s="170"/>
      <c r="I52" s="170"/>
      <c r="J52" s="170"/>
      <c r="K52" s="170"/>
      <c r="L52" s="170"/>
      <c r="M52" s="170"/>
      <c r="N52" s="170"/>
      <c r="O52" s="170"/>
      <c r="P52" s="170"/>
      <c r="Q52" s="170"/>
      <c r="R52" s="170"/>
      <c r="S52" s="170"/>
      <c r="T52" s="170"/>
      <c r="U52" s="170"/>
      <c r="V52" s="170"/>
      <c r="W52" s="171"/>
      <c r="X52" s="8">
        <f t="shared" si="1"/>
        <v>0</v>
      </c>
    </row>
    <row r="53" spans="1:24" ht="76.5" customHeight="1">
      <c r="A53" s="55">
        <f t="shared" si="0"/>
        <v>0</v>
      </c>
      <c r="B53" s="169"/>
      <c r="C53" s="170"/>
      <c r="D53" s="170"/>
      <c r="E53" s="170"/>
      <c r="F53" s="170"/>
      <c r="G53" s="170"/>
      <c r="H53" s="170"/>
      <c r="I53" s="170"/>
      <c r="J53" s="170"/>
      <c r="K53" s="170"/>
      <c r="L53" s="170"/>
      <c r="M53" s="170"/>
      <c r="N53" s="170"/>
      <c r="O53" s="170"/>
      <c r="P53" s="170"/>
      <c r="Q53" s="170"/>
      <c r="R53" s="170"/>
      <c r="S53" s="170"/>
      <c r="T53" s="170"/>
      <c r="U53" s="170"/>
      <c r="V53" s="170"/>
      <c r="W53" s="171"/>
      <c r="X53" s="8">
        <f t="shared" si="1"/>
        <v>0</v>
      </c>
    </row>
    <row r="54" spans="1:24" ht="17.25" customHeight="1"/>
    <row r="55" spans="1:24" ht="17.25" customHeight="1"/>
    <row r="56" spans="1:24" ht="17.25" customHeight="1"/>
    <row r="57" spans="1:24" ht="17.25" customHeight="1"/>
    <row r="58" spans="1:24" ht="17.25" customHeight="1"/>
    <row r="59" spans="1:24" ht="17.25" customHeight="1"/>
    <row r="60" spans="1:24" ht="17.25" customHeight="1"/>
    <row r="61" spans="1:24" ht="17.25" customHeight="1"/>
    <row r="62" spans="1:24" ht="17.25" customHeight="1"/>
    <row r="63" spans="1:24" ht="17.25" customHeight="1"/>
    <row r="64" spans="1:2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sheetData>
  <mergeCells count="43">
    <mergeCell ref="B22:W22"/>
    <mergeCell ref="A2:A9"/>
    <mergeCell ref="A12:W12"/>
    <mergeCell ref="B13:W13"/>
    <mergeCell ref="B14:W14"/>
    <mergeCell ref="B15:W15"/>
    <mergeCell ref="B16:W16"/>
    <mergeCell ref="B17:W17"/>
    <mergeCell ref="B18:W18"/>
    <mergeCell ref="B19:W19"/>
    <mergeCell ref="B20:W20"/>
    <mergeCell ref="B21:W21"/>
    <mergeCell ref="B34:W34"/>
    <mergeCell ref="B23:W23"/>
    <mergeCell ref="B24:W24"/>
    <mergeCell ref="B25:W25"/>
    <mergeCell ref="B27:W27"/>
    <mergeCell ref="B28:W28"/>
    <mergeCell ref="B29:W29"/>
    <mergeCell ref="B30:W30"/>
    <mergeCell ref="B31:W31"/>
    <mergeCell ref="B32:W32"/>
    <mergeCell ref="A33:W33"/>
    <mergeCell ref="B26:W26"/>
    <mergeCell ref="B46:W46"/>
    <mergeCell ref="B35:W35"/>
    <mergeCell ref="B36:W36"/>
    <mergeCell ref="B37:W37"/>
    <mergeCell ref="B38:W38"/>
    <mergeCell ref="B39:W39"/>
    <mergeCell ref="B40:W40"/>
    <mergeCell ref="B41:W41"/>
    <mergeCell ref="B42:W42"/>
    <mergeCell ref="B43:W43"/>
    <mergeCell ref="B44:W44"/>
    <mergeCell ref="B45:W45"/>
    <mergeCell ref="B53:W53"/>
    <mergeCell ref="B47:W47"/>
    <mergeCell ref="B48:W48"/>
    <mergeCell ref="B49:W49"/>
    <mergeCell ref="B50:W50"/>
    <mergeCell ref="B51:W51"/>
    <mergeCell ref="B52:W52"/>
  </mergeCells>
  <phoneticPr fontId="1"/>
  <conditionalFormatting sqref="X34:X53">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allowBlank="1" showDropDown="1" showInputMessage="1" showErrorMessage="1" errorTitle="全角文字エラー" error="半角ABC-を入れて下さい" sqref="D2:W11">
      <formula1>$X$2:$X$5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X154"/>
  <sheetViews>
    <sheetView workbookViewId="0">
      <selection sqref="A1:XFD1048576"/>
    </sheetView>
  </sheetViews>
  <sheetFormatPr defaultRowHeight="13.5"/>
  <cols>
    <col min="1" max="1" width="13.5" style="8" customWidth="1"/>
    <col min="2" max="2" width="7.5" style="8" customWidth="1"/>
    <col min="3" max="3" width="9.375" style="8" customWidth="1"/>
    <col min="4" max="23" width="6.875" style="8" customWidth="1"/>
    <col min="24" max="16384" width="9" style="8"/>
  </cols>
  <sheetData>
    <row r="1" spans="1:24" ht="85.5" customHeight="1">
      <c r="A1" s="180" t="str">
        <f ca="1">MID(CELL("filename",A1),FIND("[",CELL("filename",A1))+1,3)</f>
        <v>２－２</v>
      </c>
      <c r="B1" s="181"/>
      <c r="C1" s="182"/>
      <c r="D1" s="36" t="str">
        <f>A10</f>
        <v>赤羽 咲良</v>
      </c>
      <c r="E1" s="36" t="str">
        <f>A11</f>
        <v>今井 千紗都</v>
      </c>
      <c r="F1" s="36" t="str">
        <f>A12</f>
        <v>上島 千茅</v>
      </c>
      <c r="G1" s="36" t="str">
        <f>A13</f>
        <v>小林 朋桃</v>
      </c>
      <c r="H1" s="36" t="str">
        <f>A14</f>
        <v>小森 朝陽</v>
      </c>
      <c r="I1" s="36" t="str">
        <f>A15</f>
        <v>佐野 望結</v>
      </c>
      <c r="J1" s="36" t="str">
        <f>A16</f>
        <v>西村 友李</v>
      </c>
      <c r="K1" s="36" t="str">
        <f>A17</f>
        <v>林 美佑</v>
      </c>
      <c r="L1" s="36">
        <f>A18</f>
        <v>0</v>
      </c>
      <c r="M1" s="36" t="str">
        <f>A19</f>
        <v>樋沢 壮真</v>
      </c>
      <c r="N1" s="36" t="str">
        <f>A20</f>
        <v>堀内 心遥</v>
      </c>
      <c r="O1" s="36" t="str">
        <f>A21</f>
        <v>南澤 育実</v>
      </c>
      <c r="P1" s="36" t="str">
        <f>A22</f>
        <v>山野 健斗</v>
      </c>
      <c r="Q1" s="36" t="str">
        <f>A23</f>
        <v>若松 優衣奈</v>
      </c>
      <c r="R1" s="36">
        <f>A24</f>
        <v>0</v>
      </c>
      <c r="S1" s="36">
        <f>A25</f>
        <v>0</v>
      </c>
      <c r="T1" s="36">
        <f>A26</f>
        <v>0</v>
      </c>
      <c r="U1" s="36">
        <f>A27</f>
        <v>0</v>
      </c>
      <c r="V1" s="36">
        <f>A28</f>
        <v>0</v>
      </c>
      <c r="W1" s="36">
        <f>A29</f>
        <v>0</v>
      </c>
      <c r="X1" s="37"/>
    </row>
    <row r="2" spans="1:24" ht="22.5" customHeight="1">
      <c r="A2" s="183" t="s">
        <v>35</v>
      </c>
      <c r="B2" s="183"/>
      <c r="C2" s="183"/>
      <c r="D2" s="56">
        <v>70</v>
      </c>
      <c r="E2" s="56">
        <v>70</v>
      </c>
      <c r="F2" s="56">
        <v>70</v>
      </c>
      <c r="G2" s="56">
        <v>70</v>
      </c>
      <c r="H2" s="56">
        <v>70</v>
      </c>
      <c r="I2" s="56">
        <v>70</v>
      </c>
      <c r="J2" s="56">
        <v>70</v>
      </c>
      <c r="K2" s="56">
        <v>70</v>
      </c>
      <c r="L2" s="56"/>
      <c r="M2" s="56">
        <v>70</v>
      </c>
      <c r="N2" s="56">
        <v>70</v>
      </c>
      <c r="O2" s="56">
        <v>70</v>
      </c>
      <c r="P2" s="56">
        <v>70</v>
      </c>
      <c r="Q2" s="56">
        <v>70</v>
      </c>
      <c r="R2" s="56"/>
      <c r="S2" s="56"/>
      <c r="T2" s="56"/>
      <c r="U2" s="56"/>
      <c r="V2" s="56"/>
      <c r="W2" s="56"/>
    </row>
    <row r="3" spans="1:24" ht="22.5" customHeight="1">
      <c r="A3" s="183" t="s">
        <v>36</v>
      </c>
      <c r="B3" s="183"/>
      <c r="C3" s="183"/>
      <c r="D3" s="56">
        <v>0</v>
      </c>
      <c r="E3" s="56">
        <v>0</v>
      </c>
      <c r="F3" s="56">
        <v>0</v>
      </c>
      <c r="G3" s="56">
        <v>0</v>
      </c>
      <c r="H3" s="56">
        <v>0</v>
      </c>
      <c r="I3" s="56">
        <v>0</v>
      </c>
      <c r="J3" s="56">
        <v>0</v>
      </c>
      <c r="K3" s="56">
        <v>0</v>
      </c>
      <c r="L3" s="56"/>
      <c r="M3" s="56">
        <v>0</v>
      </c>
      <c r="N3" s="56">
        <v>0</v>
      </c>
      <c r="O3" s="56">
        <v>0</v>
      </c>
      <c r="P3" s="56">
        <v>0</v>
      </c>
      <c r="Q3" s="56">
        <v>0</v>
      </c>
      <c r="R3" s="56"/>
      <c r="S3" s="56"/>
      <c r="T3" s="56"/>
      <c r="U3" s="56"/>
      <c r="V3" s="56"/>
      <c r="W3" s="56"/>
    </row>
    <row r="4" spans="1:24" ht="22.5" customHeight="1">
      <c r="A4" s="183" t="s">
        <v>37</v>
      </c>
      <c r="B4" s="183"/>
      <c r="C4" s="183"/>
      <c r="D4" s="57">
        <f t="shared" ref="D4:W4" si="0">D2-D3</f>
        <v>70</v>
      </c>
      <c r="E4" s="57">
        <f t="shared" si="0"/>
        <v>70</v>
      </c>
      <c r="F4" s="57">
        <f t="shared" si="0"/>
        <v>70</v>
      </c>
      <c r="G4" s="57">
        <f t="shared" si="0"/>
        <v>70</v>
      </c>
      <c r="H4" s="57">
        <f t="shared" si="0"/>
        <v>70</v>
      </c>
      <c r="I4" s="57">
        <f t="shared" si="0"/>
        <v>70</v>
      </c>
      <c r="J4" s="57">
        <f t="shared" si="0"/>
        <v>70</v>
      </c>
      <c r="K4" s="57">
        <f t="shared" si="0"/>
        <v>70</v>
      </c>
      <c r="L4" s="57">
        <f t="shared" si="0"/>
        <v>0</v>
      </c>
      <c r="M4" s="57">
        <f t="shared" si="0"/>
        <v>70</v>
      </c>
      <c r="N4" s="57">
        <f t="shared" si="0"/>
        <v>70</v>
      </c>
      <c r="O4" s="57">
        <f t="shared" si="0"/>
        <v>70</v>
      </c>
      <c r="P4" s="57">
        <f t="shared" si="0"/>
        <v>70</v>
      </c>
      <c r="Q4" s="57">
        <f t="shared" si="0"/>
        <v>70</v>
      </c>
      <c r="R4" s="57">
        <f t="shared" si="0"/>
        <v>0</v>
      </c>
      <c r="S4" s="57">
        <f t="shared" si="0"/>
        <v>0</v>
      </c>
      <c r="T4" s="57">
        <f t="shared" si="0"/>
        <v>0</v>
      </c>
      <c r="U4" s="57">
        <f t="shared" si="0"/>
        <v>0</v>
      </c>
      <c r="V4" s="57">
        <f t="shared" si="0"/>
        <v>0</v>
      </c>
      <c r="W4" s="57">
        <f t="shared" si="0"/>
        <v>0</v>
      </c>
    </row>
    <row r="5" spans="1:24" ht="22.5" customHeight="1">
      <c r="A5" s="184" t="s">
        <v>228</v>
      </c>
      <c r="B5" s="185"/>
      <c r="C5" s="186"/>
      <c r="D5" s="57">
        <f t="shared" ref="D5:W5" si="1">D4-D6</f>
        <v>67</v>
      </c>
      <c r="E5" s="57">
        <f t="shared" si="1"/>
        <v>52</v>
      </c>
      <c r="F5" s="57">
        <f t="shared" si="1"/>
        <v>70</v>
      </c>
      <c r="G5" s="57">
        <f t="shared" si="1"/>
        <v>69</v>
      </c>
      <c r="H5" s="57">
        <f t="shared" si="1"/>
        <v>67</v>
      </c>
      <c r="I5" s="57">
        <f t="shared" si="1"/>
        <v>69</v>
      </c>
      <c r="J5" s="57">
        <f t="shared" si="1"/>
        <v>69</v>
      </c>
      <c r="K5" s="57">
        <f t="shared" si="1"/>
        <v>70</v>
      </c>
      <c r="L5" s="57">
        <f t="shared" si="1"/>
        <v>0</v>
      </c>
      <c r="M5" s="57">
        <f t="shared" si="1"/>
        <v>69</v>
      </c>
      <c r="N5" s="57">
        <f t="shared" si="1"/>
        <v>68</v>
      </c>
      <c r="O5" s="57">
        <f t="shared" si="1"/>
        <v>69</v>
      </c>
      <c r="P5" s="57">
        <f t="shared" si="1"/>
        <v>70</v>
      </c>
      <c r="Q5" s="57">
        <f t="shared" si="1"/>
        <v>70</v>
      </c>
      <c r="R5" s="57">
        <f t="shared" si="1"/>
        <v>0</v>
      </c>
      <c r="S5" s="57">
        <f t="shared" si="1"/>
        <v>0</v>
      </c>
      <c r="T5" s="57">
        <f t="shared" si="1"/>
        <v>0</v>
      </c>
      <c r="U5" s="57">
        <f t="shared" si="1"/>
        <v>0</v>
      </c>
      <c r="V5" s="57">
        <f t="shared" si="1"/>
        <v>0</v>
      </c>
      <c r="W5" s="57">
        <f t="shared" si="1"/>
        <v>0</v>
      </c>
    </row>
    <row r="6" spans="1:24" ht="22.5" customHeight="1">
      <c r="A6" s="187" t="s">
        <v>229</v>
      </c>
      <c r="B6" s="188"/>
      <c r="C6" s="189"/>
      <c r="D6" s="56">
        <v>3</v>
      </c>
      <c r="E6" s="56">
        <v>18</v>
      </c>
      <c r="F6" s="56">
        <v>0</v>
      </c>
      <c r="G6" s="56">
        <v>1</v>
      </c>
      <c r="H6" s="56">
        <v>3</v>
      </c>
      <c r="I6" s="56">
        <v>1</v>
      </c>
      <c r="J6" s="56">
        <v>1</v>
      </c>
      <c r="K6" s="56">
        <v>0</v>
      </c>
      <c r="L6" s="56"/>
      <c r="M6" s="56">
        <v>1</v>
      </c>
      <c r="N6" s="56">
        <v>2</v>
      </c>
      <c r="O6" s="56">
        <v>1</v>
      </c>
      <c r="P6" s="56">
        <v>0</v>
      </c>
      <c r="Q6" s="56">
        <v>0</v>
      </c>
      <c r="R6" s="56"/>
      <c r="S6" s="56"/>
      <c r="T6" s="56"/>
      <c r="U6" s="56"/>
      <c r="V6" s="56"/>
      <c r="W6" s="56"/>
    </row>
    <row r="7" spans="1:24" ht="22.5" customHeight="1">
      <c r="A7" s="183" t="s">
        <v>38</v>
      </c>
      <c r="B7" s="183"/>
      <c r="C7" s="183"/>
      <c r="D7" s="56">
        <v>4</v>
      </c>
      <c r="E7" s="56">
        <v>0</v>
      </c>
      <c r="F7" s="56">
        <v>0</v>
      </c>
      <c r="G7" s="56">
        <v>0</v>
      </c>
      <c r="H7" s="56">
        <v>0</v>
      </c>
      <c r="I7" s="56">
        <v>0</v>
      </c>
      <c r="J7" s="56">
        <v>0</v>
      </c>
      <c r="K7" s="56">
        <v>0</v>
      </c>
      <c r="L7" s="56"/>
      <c r="M7" s="56">
        <v>1</v>
      </c>
      <c r="N7" s="56">
        <v>0</v>
      </c>
      <c r="O7" s="56">
        <v>0</v>
      </c>
      <c r="P7" s="56">
        <v>0</v>
      </c>
      <c r="Q7" s="56">
        <v>0</v>
      </c>
      <c r="R7" s="56"/>
      <c r="S7" s="56"/>
      <c r="T7" s="56"/>
      <c r="U7" s="56"/>
      <c r="V7" s="56"/>
      <c r="W7" s="56"/>
    </row>
    <row r="8" spans="1:24" ht="22.5" customHeight="1">
      <c r="A8" s="183" t="s">
        <v>39</v>
      </c>
      <c r="B8" s="183"/>
      <c r="C8" s="183"/>
      <c r="D8" s="56">
        <v>2</v>
      </c>
      <c r="E8" s="56">
        <v>2</v>
      </c>
      <c r="F8" s="56">
        <v>1</v>
      </c>
      <c r="G8" s="56">
        <v>0</v>
      </c>
      <c r="H8" s="56">
        <v>1</v>
      </c>
      <c r="I8" s="56">
        <v>0</v>
      </c>
      <c r="J8" s="56">
        <v>0</v>
      </c>
      <c r="K8" s="56">
        <v>0</v>
      </c>
      <c r="L8" s="56"/>
      <c r="M8" s="56">
        <v>1</v>
      </c>
      <c r="N8" s="56">
        <v>0</v>
      </c>
      <c r="O8" s="56">
        <v>0</v>
      </c>
      <c r="P8" s="56">
        <v>0</v>
      </c>
      <c r="Q8" s="56">
        <v>0</v>
      </c>
      <c r="R8" s="56"/>
      <c r="S8" s="56"/>
      <c r="T8" s="56"/>
      <c r="U8" s="56"/>
      <c r="V8" s="56"/>
      <c r="W8" s="56"/>
    </row>
    <row r="9" spans="1:24" ht="22.5" customHeight="1">
      <c r="A9" s="177" t="s">
        <v>40</v>
      </c>
      <c r="B9" s="178"/>
      <c r="C9" s="178"/>
      <c r="D9" s="178"/>
      <c r="E9" s="178"/>
      <c r="F9" s="178"/>
      <c r="G9" s="178"/>
      <c r="H9" s="178"/>
      <c r="I9" s="178"/>
      <c r="J9" s="178"/>
      <c r="K9" s="178"/>
      <c r="L9" s="178"/>
      <c r="M9" s="178"/>
      <c r="N9" s="178"/>
      <c r="O9" s="178"/>
      <c r="P9" s="178"/>
      <c r="Q9" s="178"/>
      <c r="R9" s="178"/>
      <c r="S9" s="178"/>
      <c r="T9" s="178"/>
      <c r="U9" s="178"/>
      <c r="V9" s="178"/>
      <c r="W9" s="179"/>
    </row>
    <row r="10" spans="1:24" ht="22.5" customHeight="1">
      <c r="A10" s="54" t="s">
        <v>77</v>
      </c>
      <c r="B10" s="154" t="s">
        <v>230</v>
      </c>
      <c r="C10" s="155"/>
      <c r="D10" s="155"/>
      <c r="E10" s="155"/>
      <c r="F10" s="155"/>
      <c r="G10" s="155"/>
      <c r="H10" s="155"/>
      <c r="I10" s="155"/>
      <c r="J10" s="155"/>
      <c r="K10" s="155"/>
      <c r="L10" s="155"/>
      <c r="M10" s="155"/>
      <c r="N10" s="155"/>
      <c r="O10" s="155"/>
      <c r="P10" s="155"/>
      <c r="Q10" s="155"/>
      <c r="R10" s="155"/>
      <c r="S10" s="155"/>
      <c r="T10" s="155"/>
      <c r="U10" s="155"/>
      <c r="V10" s="155"/>
      <c r="W10" s="156"/>
    </row>
    <row r="11" spans="1:24" ht="22.5" customHeight="1">
      <c r="A11" s="54" t="s">
        <v>78</v>
      </c>
      <c r="B11" s="154" t="s">
        <v>130</v>
      </c>
      <c r="C11" s="155"/>
      <c r="D11" s="155"/>
      <c r="E11" s="155"/>
      <c r="F11" s="155"/>
      <c r="G11" s="155"/>
      <c r="H11" s="155"/>
      <c r="I11" s="155"/>
      <c r="J11" s="155"/>
      <c r="K11" s="155"/>
      <c r="L11" s="155"/>
      <c r="M11" s="155"/>
      <c r="N11" s="155"/>
      <c r="O11" s="155"/>
      <c r="P11" s="155"/>
      <c r="Q11" s="155"/>
      <c r="R11" s="155"/>
      <c r="S11" s="155"/>
      <c r="T11" s="155"/>
      <c r="U11" s="155"/>
      <c r="V11" s="155"/>
      <c r="W11" s="156"/>
    </row>
    <row r="12" spans="1:24" ht="22.5" customHeight="1">
      <c r="A12" s="54" t="s">
        <v>79</v>
      </c>
      <c r="B12" s="154" t="s">
        <v>131</v>
      </c>
      <c r="C12" s="155"/>
      <c r="D12" s="155"/>
      <c r="E12" s="155"/>
      <c r="F12" s="155"/>
      <c r="G12" s="155"/>
      <c r="H12" s="155"/>
      <c r="I12" s="155"/>
      <c r="J12" s="155"/>
      <c r="K12" s="155"/>
      <c r="L12" s="155"/>
      <c r="M12" s="155"/>
      <c r="N12" s="155"/>
      <c r="O12" s="155"/>
      <c r="P12" s="155"/>
      <c r="Q12" s="155"/>
      <c r="R12" s="155"/>
      <c r="S12" s="155"/>
      <c r="T12" s="155"/>
      <c r="U12" s="155"/>
      <c r="V12" s="155"/>
      <c r="W12" s="156"/>
    </row>
    <row r="13" spans="1:24" ht="22.5" customHeight="1">
      <c r="A13" s="54" t="s">
        <v>80</v>
      </c>
      <c r="B13" s="154" t="s">
        <v>132</v>
      </c>
      <c r="C13" s="155"/>
      <c r="D13" s="155"/>
      <c r="E13" s="155"/>
      <c r="F13" s="155"/>
      <c r="G13" s="155"/>
      <c r="H13" s="155"/>
      <c r="I13" s="155"/>
      <c r="J13" s="155"/>
      <c r="K13" s="155"/>
      <c r="L13" s="155"/>
      <c r="M13" s="155"/>
      <c r="N13" s="155"/>
      <c r="O13" s="155"/>
      <c r="P13" s="155"/>
      <c r="Q13" s="155"/>
      <c r="R13" s="155"/>
      <c r="S13" s="155"/>
      <c r="T13" s="155"/>
      <c r="U13" s="155"/>
      <c r="V13" s="155"/>
      <c r="W13" s="156"/>
    </row>
    <row r="14" spans="1:24" ht="22.5" customHeight="1">
      <c r="A14" s="54" t="s">
        <v>81</v>
      </c>
      <c r="B14" s="154" t="s">
        <v>133</v>
      </c>
      <c r="C14" s="155"/>
      <c r="D14" s="155"/>
      <c r="E14" s="155"/>
      <c r="F14" s="155"/>
      <c r="G14" s="155"/>
      <c r="H14" s="155"/>
      <c r="I14" s="155"/>
      <c r="J14" s="155"/>
      <c r="K14" s="155"/>
      <c r="L14" s="155"/>
      <c r="M14" s="155"/>
      <c r="N14" s="155"/>
      <c r="O14" s="155"/>
      <c r="P14" s="155"/>
      <c r="Q14" s="155"/>
      <c r="R14" s="155"/>
      <c r="S14" s="155"/>
      <c r="T14" s="155"/>
      <c r="U14" s="155"/>
      <c r="V14" s="155"/>
      <c r="W14" s="156"/>
    </row>
    <row r="15" spans="1:24" ht="22.5" customHeight="1">
      <c r="A15" s="54" t="s">
        <v>82</v>
      </c>
      <c r="B15" s="154" t="s">
        <v>134</v>
      </c>
      <c r="C15" s="155"/>
      <c r="D15" s="155"/>
      <c r="E15" s="155"/>
      <c r="F15" s="155"/>
      <c r="G15" s="155"/>
      <c r="H15" s="155"/>
      <c r="I15" s="155"/>
      <c r="J15" s="155"/>
      <c r="K15" s="155"/>
      <c r="L15" s="155"/>
      <c r="M15" s="155"/>
      <c r="N15" s="155"/>
      <c r="O15" s="155"/>
      <c r="P15" s="155"/>
      <c r="Q15" s="155"/>
      <c r="R15" s="155"/>
      <c r="S15" s="155"/>
      <c r="T15" s="155"/>
      <c r="U15" s="155"/>
      <c r="V15" s="155"/>
      <c r="W15" s="156"/>
    </row>
    <row r="16" spans="1:24" ht="22.5" customHeight="1">
      <c r="A16" s="54" t="s">
        <v>83</v>
      </c>
      <c r="B16" s="154" t="s">
        <v>143</v>
      </c>
      <c r="C16" s="155"/>
      <c r="D16" s="155"/>
      <c r="E16" s="155"/>
      <c r="F16" s="155"/>
      <c r="G16" s="155"/>
      <c r="H16" s="155"/>
      <c r="I16" s="155"/>
      <c r="J16" s="155"/>
      <c r="K16" s="155"/>
      <c r="L16" s="155"/>
      <c r="M16" s="155"/>
      <c r="N16" s="155"/>
      <c r="O16" s="155"/>
      <c r="P16" s="155"/>
      <c r="Q16" s="155"/>
      <c r="R16" s="155"/>
      <c r="S16" s="155"/>
      <c r="T16" s="155"/>
      <c r="U16" s="155"/>
      <c r="V16" s="155"/>
      <c r="W16" s="156"/>
    </row>
    <row r="17" spans="1:23" ht="22.5" customHeight="1">
      <c r="A17" s="54" t="s">
        <v>84</v>
      </c>
      <c r="B17" s="154"/>
      <c r="C17" s="155"/>
      <c r="D17" s="155"/>
      <c r="E17" s="155"/>
      <c r="F17" s="155"/>
      <c r="G17" s="155"/>
      <c r="H17" s="155"/>
      <c r="I17" s="155"/>
      <c r="J17" s="155"/>
      <c r="K17" s="155"/>
      <c r="L17" s="155"/>
      <c r="M17" s="155"/>
      <c r="N17" s="155"/>
      <c r="O17" s="155"/>
      <c r="P17" s="155"/>
      <c r="Q17" s="155"/>
      <c r="R17" s="155"/>
      <c r="S17" s="155"/>
      <c r="T17" s="155"/>
      <c r="U17" s="155"/>
      <c r="V17" s="155"/>
      <c r="W17" s="156"/>
    </row>
    <row r="18" spans="1:23" ht="22.5" customHeight="1">
      <c r="A18" s="54"/>
      <c r="B18" s="154"/>
      <c r="C18" s="155"/>
      <c r="D18" s="155"/>
      <c r="E18" s="155"/>
      <c r="F18" s="155"/>
      <c r="G18" s="155"/>
      <c r="H18" s="155"/>
      <c r="I18" s="155"/>
      <c r="J18" s="155"/>
      <c r="K18" s="155"/>
      <c r="L18" s="155"/>
      <c r="M18" s="155"/>
      <c r="N18" s="155"/>
      <c r="O18" s="155"/>
      <c r="P18" s="155"/>
      <c r="Q18" s="155"/>
      <c r="R18" s="155"/>
      <c r="S18" s="155"/>
      <c r="T18" s="155"/>
      <c r="U18" s="155"/>
      <c r="V18" s="155"/>
      <c r="W18" s="156"/>
    </row>
    <row r="19" spans="1:23" ht="22.5" customHeight="1">
      <c r="A19" s="54" t="s">
        <v>85</v>
      </c>
      <c r="B19" s="154" t="s">
        <v>135</v>
      </c>
      <c r="C19" s="155"/>
      <c r="D19" s="155"/>
      <c r="E19" s="155"/>
      <c r="F19" s="155"/>
      <c r="G19" s="155"/>
      <c r="H19" s="155"/>
      <c r="I19" s="155"/>
      <c r="J19" s="155"/>
      <c r="K19" s="155"/>
      <c r="L19" s="155"/>
      <c r="M19" s="155"/>
      <c r="N19" s="155"/>
      <c r="O19" s="155"/>
      <c r="P19" s="155"/>
      <c r="Q19" s="155"/>
      <c r="R19" s="155"/>
      <c r="S19" s="155"/>
      <c r="T19" s="155"/>
      <c r="U19" s="155"/>
      <c r="V19" s="155"/>
      <c r="W19" s="156"/>
    </row>
    <row r="20" spans="1:23" ht="22.5" customHeight="1">
      <c r="A20" s="54" t="s">
        <v>86</v>
      </c>
      <c r="B20" s="154" t="s">
        <v>136</v>
      </c>
      <c r="C20" s="155"/>
      <c r="D20" s="155"/>
      <c r="E20" s="155"/>
      <c r="F20" s="155"/>
      <c r="G20" s="155"/>
      <c r="H20" s="155"/>
      <c r="I20" s="155"/>
      <c r="J20" s="155"/>
      <c r="K20" s="155"/>
      <c r="L20" s="155"/>
      <c r="M20" s="155"/>
      <c r="N20" s="155"/>
      <c r="O20" s="155"/>
      <c r="P20" s="155"/>
      <c r="Q20" s="155"/>
      <c r="R20" s="155"/>
      <c r="S20" s="155"/>
      <c r="T20" s="155"/>
      <c r="U20" s="155"/>
      <c r="V20" s="155"/>
      <c r="W20" s="156"/>
    </row>
    <row r="21" spans="1:23" ht="22.5" customHeight="1">
      <c r="A21" s="54" t="s">
        <v>87</v>
      </c>
      <c r="B21" s="154" t="s">
        <v>137</v>
      </c>
      <c r="C21" s="155"/>
      <c r="D21" s="155"/>
      <c r="E21" s="155"/>
      <c r="F21" s="155"/>
      <c r="G21" s="155"/>
      <c r="H21" s="155"/>
      <c r="I21" s="155"/>
      <c r="J21" s="155"/>
      <c r="K21" s="155"/>
      <c r="L21" s="155"/>
      <c r="M21" s="155"/>
      <c r="N21" s="155"/>
      <c r="O21" s="155"/>
      <c r="P21" s="155"/>
      <c r="Q21" s="155"/>
      <c r="R21" s="155"/>
      <c r="S21" s="155"/>
      <c r="T21" s="155"/>
      <c r="U21" s="155"/>
      <c r="V21" s="155"/>
      <c r="W21" s="156"/>
    </row>
    <row r="22" spans="1:23" ht="22.5" customHeight="1">
      <c r="A22" s="54" t="s">
        <v>88</v>
      </c>
      <c r="B22" s="154"/>
      <c r="C22" s="155"/>
      <c r="D22" s="155"/>
      <c r="E22" s="155"/>
      <c r="F22" s="155"/>
      <c r="G22" s="155"/>
      <c r="H22" s="155"/>
      <c r="I22" s="155"/>
      <c r="J22" s="155"/>
      <c r="K22" s="155"/>
      <c r="L22" s="155"/>
      <c r="M22" s="155"/>
      <c r="N22" s="155"/>
      <c r="O22" s="155"/>
      <c r="P22" s="155"/>
      <c r="Q22" s="155"/>
      <c r="R22" s="155"/>
      <c r="S22" s="155"/>
      <c r="T22" s="155"/>
      <c r="U22" s="155"/>
      <c r="V22" s="155"/>
      <c r="W22" s="156"/>
    </row>
    <row r="23" spans="1:23" ht="22.5" customHeight="1">
      <c r="A23" s="54" t="s">
        <v>89</v>
      </c>
      <c r="B23" s="154"/>
      <c r="C23" s="155"/>
      <c r="D23" s="155"/>
      <c r="E23" s="155"/>
      <c r="F23" s="155"/>
      <c r="G23" s="155"/>
      <c r="H23" s="155"/>
      <c r="I23" s="155"/>
      <c r="J23" s="155"/>
      <c r="K23" s="155"/>
      <c r="L23" s="155"/>
      <c r="M23" s="155"/>
      <c r="N23" s="155"/>
      <c r="O23" s="155"/>
      <c r="P23" s="155"/>
      <c r="Q23" s="155"/>
      <c r="R23" s="155"/>
      <c r="S23" s="155"/>
      <c r="T23" s="155"/>
      <c r="U23" s="155"/>
      <c r="V23" s="155"/>
      <c r="W23" s="156"/>
    </row>
    <row r="24" spans="1:23" ht="22.5" customHeight="1">
      <c r="A24" s="54"/>
      <c r="B24" s="154"/>
      <c r="C24" s="155"/>
      <c r="D24" s="155"/>
      <c r="E24" s="155"/>
      <c r="F24" s="155"/>
      <c r="G24" s="155"/>
      <c r="H24" s="155"/>
      <c r="I24" s="155"/>
      <c r="J24" s="155"/>
      <c r="K24" s="155"/>
      <c r="L24" s="155"/>
      <c r="M24" s="155"/>
      <c r="N24" s="155"/>
      <c r="O24" s="155"/>
      <c r="P24" s="155"/>
      <c r="Q24" s="155"/>
      <c r="R24" s="155"/>
      <c r="S24" s="155"/>
      <c r="T24" s="155"/>
      <c r="U24" s="155"/>
      <c r="V24" s="155"/>
      <c r="W24" s="156"/>
    </row>
    <row r="25" spans="1:23" ht="22.5" customHeight="1">
      <c r="A25" s="54"/>
      <c r="B25" s="154"/>
      <c r="C25" s="155"/>
      <c r="D25" s="155"/>
      <c r="E25" s="155"/>
      <c r="F25" s="155"/>
      <c r="G25" s="155"/>
      <c r="H25" s="155"/>
      <c r="I25" s="155"/>
      <c r="J25" s="155"/>
      <c r="K25" s="155"/>
      <c r="L25" s="155"/>
      <c r="M25" s="155"/>
      <c r="N25" s="155"/>
      <c r="O25" s="155"/>
      <c r="P25" s="155"/>
      <c r="Q25" s="155"/>
      <c r="R25" s="155"/>
      <c r="S25" s="155"/>
      <c r="T25" s="155"/>
      <c r="U25" s="155"/>
      <c r="V25" s="155"/>
      <c r="W25" s="156"/>
    </row>
    <row r="26" spans="1:23" ht="22.5" customHeight="1">
      <c r="A26" s="54"/>
      <c r="B26" s="154"/>
      <c r="C26" s="155"/>
      <c r="D26" s="155"/>
      <c r="E26" s="155"/>
      <c r="F26" s="155"/>
      <c r="G26" s="155"/>
      <c r="H26" s="155"/>
      <c r="I26" s="155"/>
      <c r="J26" s="155"/>
      <c r="K26" s="155"/>
      <c r="L26" s="155"/>
      <c r="M26" s="155"/>
      <c r="N26" s="155"/>
      <c r="O26" s="155"/>
      <c r="P26" s="155"/>
      <c r="Q26" s="155"/>
      <c r="R26" s="155"/>
      <c r="S26" s="155"/>
      <c r="T26" s="155"/>
      <c r="U26" s="155"/>
      <c r="V26" s="155"/>
      <c r="W26" s="156"/>
    </row>
    <row r="27" spans="1:23" ht="22.5" customHeight="1">
      <c r="A27" s="54"/>
      <c r="B27" s="154"/>
      <c r="C27" s="155"/>
      <c r="D27" s="155"/>
      <c r="E27" s="155"/>
      <c r="F27" s="155"/>
      <c r="G27" s="155"/>
      <c r="H27" s="155"/>
      <c r="I27" s="155"/>
      <c r="J27" s="155"/>
      <c r="K27" s="155"/>
      <c r="L27" s="155"/>
      <c r="M27" s="155"/>
      <c r="N27" s="155"/>
      <c r="O27" s="155"/>
      <c r="P27" s="155"/>
      <c r="Q27" s="155"/>
      <c r="R27" s="155"/>
      <c r="S27" s="155"/>
      <c r="T27" s="155"/>
      <c r="U27" s="155"/>
      <c r="V27" s="155"/>
      <c r="W27" s="156"/>
    </row>
    <row r="28" spans="1:23" ht="22.5" customHeight="1">
      <c r="A28" s="54"/>
      <c r="B28" s="154"/>
      <c r="C28" s="155"/>
      <c r="D28" s="155"/>
      <c r="E28" s="155"/>
      <c r="F28" s="155"/>
      <c r="G28" s="155"/>
      <c r="H28" s="155"/>
      <c r="I28" s="155"/>
      <c r="J28" s="155"/>
      <c r="K28" s="155"/>
      <c r="L28" s="155"/>
      <c r="M28" s="155"/>
      <c r="N28" s="155"/>
      <c r="O28" s="155"/>
      <c r="P28" s="155"/>
      <c r="Q28" s="155"/>
      <c r="R28" s="155"/>
      <c r="S28" s="155"/>
      <c r="T28" s="155"/>
      <c r="U28" s="155"/>
      <c r="V28" s="155"/>
      <c r="W28" s="156"/>
    </row>
    <row r="29" spans="1:23" ht="22.5" customHeight="1">
      <c r="A29" s="54"/>
      <c r="B29" s="154"/>
      <c r="C29" s="155"/>
      <c r="D29" s="155"/>
      <c r="E29" s="155"/>
      <c r="F29" s="155"/>
      <c r="G29" s="155"/>
      <c r="H29" s="155"/>
      <c r="I29" s="155"/>
      <c r="J29" s="155"/>
      <c r="K29" s="155"/>
      <c r="L29" s="155"/>
      <c r="M29" s="155"/>
      <c r="N29" s="155"/>
      <c r="O29" s="155"/>
      <c r="P29" s="155"/>
      <c r="Q29" s="155"/>
      <c r="R29" s="155"/>
      <c r="S29" s="155"/>
      <c r="T29" s="155"/>
      <c r="U29" s="155"/>
      <c r="V29" s="155"/>
      <c r="W29" s="156"/>
    </row>
    <row r="30" spans="1:23" ht="17.25" customHeight="1"/>
    <row r="31" spans="1:23" ht="17.25" customHeight="1"/>
    <row r="32" spans="1:2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sheetData>
  <mergeCells count="29">
    <mergeCell ref="B12:W12"/>
    <mergeCell ref="A1:C1"/>
    <mergeCell ref="A2:C2"/>
    <mergeCell ref="A3:C3"/>
    <mergeCell ref="A4:C4"/>
    <mergeCell ref="A5:C5"/>
    <mergeCell ref="A6:C6"/>
    <mergeCell ref="A7:C7"/>
    <mergeCell ref="A8:C8"/>
    <mergeCell ref="A9:W9"/>
    <mergeCell ref="B10:W10"/>
    <mergeCell ref="B11:W11"/>
    <mergeCell ref="B24:W24"/>
    <mergeCell ref="B13:W13"/>
    <mergeCell ref="B14:W14"/>
    <mergeCell ref="B15:W15"/>
    <mergeCell ref="B16:W16"/>
    <mergeCell ref="B17:W17"/>
    <mergeCell ref="B18:W18"/>
    <mergeCell ref="B19:W19"/>
    <mergeCell ref="B20:W20"/>
    <mergeCell ref="B21:W21"/>
    <mergeCell ref="B22:W22"/>
    <mergeCell ref="B23:W23"/>
    <mergeCell ref="B25:W25"/>
    <mergeCell ref="B26:W26"/>
    <mergeCell ref="B27:W27"/>
    <mergeCell ref="B28:W28"/>
    <mergeCell ref="B29:W29"/>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6</vt:i4>
      </vt:variant>
    </vt:vector>
  </HeadingPairs>
  <TitlesOfParts>
    <vt:vector size="18" baseType="lpstr">
      <vt:lpstr>通知票</vt:lpstr>
      <vt:lpstr>所見集</vt:lpstr>
      <vt:lpstr>国語</vt:lpstr>
      <vt:lpstr>算数</vt:lpstr>
      <vt:lpstr>生活</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2024-07-18T02:10:40Z</cp:lastPrinted>
  <dcterms:created xsi:type="dcterms:W3CDTF">2005-07-21T09:07:06Z</dcterms:created>
  <dcterms:modified xsi:type="dcterms:W3CDTF">2024-07-18T02:10:43Z</dcterms:modified>
</cp:coreProperties>
</file>