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T:\通知票（保管場所）【禁入力】\R06年度\R06年度1学期\"/>
    </mc:Choice>
  </mc:AlternateContent>
  <bookViews>
    <workbookView xWindow="-15" yWindow="-15" windowWidth="11670" windowHeight="12660" tabRatio="783"/>
  </bookViews>
  <sheets>
    <sheet name="通知票" sheetId="49" r:id="rId1"/>
    <sheet name="所見集" sheetId="46" r:id="rId2"/>
    <sheet name="国語" sheetId="36" r:id="rId3"/>
    <sheet name="数学" sheetId="37" r:id="rId4"/>
    <sheet name="理科" sheetId="38" r:id="rId5"/>
    <sheet name="社会" sheetId="47" r:id="rId6"/>
    <sheet name="英語" sheetId="39" r:id="rId7"/>
    <sheet name="音楽" sheetId="40" r:id="rId8"/>
    <sheet name="美術" sheetId="41" r:id="rId9"/>
    <sheet name="保体" sheetId="42" r:id="rId10"/>
    <sheet name="技家" sheetId="48" r:id="rId11"/>
    <sheet name="道徳" sheetId="50" r:id="rId12"/>
    <sheet name="所見" sheetId="44" r:id="rId13"/>
    <sheet name="出欠" sheetId="45" r:id="rId14"/>
  </sheets>
  <definedNames>
    <definedName name="_xlnm.Print_Area" localSheetId="1">所見集!$A$1:$C$16</definedName>
    <definedName name="_xlnm.Print_Area" localSheetId="0">通知票!$A$1:$N$95</definedName>
    <definedName name="至">通知票!$Q$9</definedName>
    <definedName name="自">通知票!$P$9</definedName>
    <definedName name="番号">通知票!$B$2</definedName>
    <definedName name="番号2">所見集!$B$2</definedName>
  </definedNames>
  <calcPr calcId="152511"/>
</workbook>
</file>

<file path=xl/calcChain.xml><?xml version="1.0" encoding="utf-8"?>
<calcChain xmlns="http://schemas.openxmlformats.org/spreadsheetml/2006/main">
  <c r="AB5" i="45" l="1"/>
  <c r="X5" i="45"/>
  <c r="V5" i="45"/>
  <c r="T5" i="45"/>
  <c r="P5" i="45"/>
  <c r="N5" i="45"/>
  <c r="L5" i="45"/>
  <c r="H5" i="45"/>
  <c r="F5" i="45"/>
  <c r="D5" i="45"/>
  <c r="AB4" i="45"/>
  <c r="AA4" i="45"/>
  <c r="AA5" i="45" s="1"/>
  <c r="Z4" i="45"/>
  <c r="Z5" i="45" s="1"/>
  <c r="Y4" i="45"/>
  <c r="Y5" i="45" s="1"/>
  <c r="X4" i="45"/>
  <c r="W4" i="45"/>
  <c r="W5" i="45" s="1"/>
  <c r="V4" i="45"/>
  <c r="U4" i="45"/>
  <c r="U5" i="45" s="1"/>
  <c r="T4" i="45"/>
  <c r="S4" i="45"/>
  <c r="S5" i="45" s="1"/>
  <c r="R4" i="45"/>
  <c r="R5" i="45" s="1"/>
  <c r="Q4" i="45"/>
  <c r="Q5" i="45" s="1"/>
  <c r="P4" i="45"/>
  <c r="O4" i="45"/>
  <c r="O5" i="45" s="1"/>
  <c r="N4" i="45"/>
  <c r="M4" i="45"/>
  <c r="M5" i="45" s="1"/>
  <c r="L4" i="45"/>
  <c r="K4" i="45"/>
  <c r="K5" i="45" s="1"/>
  <c r="J4" i="45"/>
  <c r="J5" i="45" s="1"/>
  <c r="I4" i="45"/>
  <c r="I5" i="45" s="1"/>
  <c r="H4" i="45"/>
  <c r="G4" i="45"/>
  <c r="G5" i="45" s="1"/>
  <c r="F4" i="45"/>
  <c r="E4" i="45"/>
  <c r="E5" i="45" s="1"/>
  <c r="D4" i="45"/>
  <c r="AB1" i="45"/>
  <c r="AA1" i="45"/>
  <c r="Z1" i="45"/>
  <c r="Y1" i="45"/>
  <c r="X1" i="45"/>
  <c r="W1" i="45"/>
  <c r="V1" i="45"/>
  <c r="U1" i="45"/>
  <c r="T1" i="45"/>
  <c r="S1" i="45"/>
  <c r="R1" i="45"/>
  <c r="Q1" i="45"/>
  <c r="P1" i="45"/>
  <c r="O1" i="45"/>
  <c r="N1" i="45"/>
  <c r="M1" i="45"/>
  <c r="L1" i="45"/>
  <c r="K1" i="45"/>
  <c r="J1" i="45"/>
  <c r="I1" i="45"/>
  <c r="H1" i="45"/>
  <c r="G1" i="45"/>
  <c r="F1" i="45"/>
  <c r="E1" i="45"/>
  <c r="D1" i="45"/>
  <c r="A1" i="45"/>
  <c r="AC85" i="44" l="1"/>
  <c r="AC84" i="44"/>
  <c r="AC83" i="44"/>
  <c r="A83" i="44"/>
  <c r="AC82" i="44"/>
  <c r="AC81" i="44"/>
  <c r="AC80" i="44"/>
  <c r="AC79" i="44"/>
  <c r="A79" i="44"/>
  <c r="AC78" i="44"/>
  <c r="AC77" i="44"/>
  <c r="AC76" i="44"/>
  <c r="AC75" i="44"/>
  <c r="A75" i="44"/>
  <c r="AC74" i="44"/>
  <c r="AC73" i="44"/>
  <c r="AC72" i="44"/>
  <c r="AC71" i="44"/>
  <c r="A71" i="44"/>
  <c r="AC70" i="44"/>
  <c r="AC69" i="44"/>
  <c r="AC68" i="44"/>
  <c r="AC67" i="44"/>
  <c r="A67" i="44"/>
  <c r="AC66" i="44"/>
  <c r="AC65" i="44"/>
  <c r="AC64" i="44"/>
  <c r="AC63" i="44"/>
  <c r="A63" i="44"/>
  <c r="AC62" i="44"/>
  <c r="AC61" i="44"/>
  <c r="A59" i="44"/>
  <c r="A85" i="44" s="1"/>
  <c r="A58" i="44"/>
  <c r="A84" i="44" s="1"/>
  <c r="A57" i="44"/>
  <c r="A56" i="44"/>
  <c r="A82" i="44" s="1"/>
  <c r="A55" i="44"/>
  <c r="A81" i="44" s="1"/>
  <c r="A54" i="44"/>
  <c r="A80" i="44" s="1"/>
  <c r="A53" i="44"/>
  <c r="A52" i="44"/>
  <c r="A78" i="44" s="1"/>
  <c r="A51" i="44"/>
  <c r="A77" i="44" s="1"/>
  <c r="A50" i="44"/>
  <c r="A76" i="44" s="1"/>
  <c r="A49" i="44"/>
  <c r="A48" i="44"/>
  <c r="A74" i="44" s="1"/>
  <c r="A47" i="44"/>
  <c r="A73" i="44" s="1"/>
  <c r="A46" i="44"/>
  <c r="A72" i="44" s="1"/>
  <c r="A45" i="44"/>
  <c r="A44" i="44"/>
  <c r="A70" i="44" s="1"/>
  <c r="A43" i="44"/>
  <c r="A69" i="44" s="1"/>
  <c r="A42" i="44"/>
  <c r="A68" i="44" s="1"/>
  <c r="A41" i="44"/>
  <c r="A40" i="44"/>
  <c r="A66" i="44" s="1"/>
  <c r="A39" i="44"/>
  <c r="A65" i="44" s="1"/>
  <c r="A38" i="44"/>
  <c r="A64" i="44" s="1"/>
  <c r="A37" i="44"/>
  <c r="A36" i="44"/>
  <c r="A62" i="44" s="1"/>
  <c r="A35" i="44"/>
  <c r="A61" i="44" s="1"/>
  <c r="AB1" i="44"/>
  <c r="AA1" i="44"/>
  <c r="Z1" i="44"/>
  <c r="Y1" i="44"/>
  <c r="X1" i="44"/>
  <c r="W1" i="44"/>
  <c r="V1" i="44"/>
  <c r="U1" i="44"/>
  <c r="T1" i="44"/>
  <c r="S1" i="44"/>
  <c r="R1" i="44"/>
  <c r="Q1" i="44"/>
  <c r="P1" i="44"/>
  <c r="O1" i="44"/>
  <c r="N1" i="44"/>
  <c r="M1" i="44"/>
  <c r="L1" i="44"/>
  <c r="K1" i="44"/>
  <c r="J1" i="44"/>
  <c r="I1" i="44"/>
  <c r="H1" i="44"/>
  <c r="G1" i="44"/>
  <c r="F1" i="44"/>
  <c r="E1" i="44"/>
  <c r="D1" i="44"/>
  <c r="A1" i="44"/>
  <c r="C27" i="50" l="1"/>
  <c r="C26" i="50"/>
  <c r="C25" i="50"/>
  <c r="C24" i="50"/>
  <c r="C23" i="50"/>
  <c r="C22" i="50"/>
  <c r="C21" i="50"/>
  <c r="C20" i="50"/>
  <c r="C19" i="50"/>
  <c r="C18" i="50"/>
  <c r="C17" i="50"/>
  <c r="C16" i="50"/>
  <c r="C15" i="50"/>
  <c r="C14" i="50"/>
  <c r="C13" i="50"/>
  <c r="C12" i="50"/>
  <c r="C11" i="50"/>
  <c r="C10" i="50"/>
  <c r="C9" i="50"/>
  <c r="C8" i="50"/>
  <c r="C7" i="50"/>
  <c r="C6" i="50"/>
  <c r="C5" i="50"/>
  <c r="C4" i="50"/>
  <c r="C3" i="50"/>
  <c r="B1" i="50"/>
  <c r="A1" i="50"/>
  <c r="AB1" i="48" l="1"/>
  <c r="AA1" i="48"/>
  <c r="Z1" i="48"/>
  <c r="Y1" i="48"/>
  <c r="X1" i="48"/>
  <c r="W1" i="48"/>
  <c r="V1" i="48"/>
  <c r="U1" i="48"/>
  <c r="T1" i="48"/>
  <c r="S1" i="48"/>
  <c r="R1" i="48"/>
  <c r="Q1" i="48"/>
  <c r="P1" i="48"/>
  <c r="O1" i="48"/>
  <c r="N1" i="48"/>
  <c r="M1" i="48"/>
  <c r="L1" i="48"/>
  <c r="K1" i="48"/>
  <c r="J1" i="48"/>
  <c r="I1" i="48"/>
  <c r="H1" i="48"/>
  <c r="G1" i="48"/>
  <c r="F1" i="48"/>
  <c r="E1" i="48"/>
  <c r="D1" i="48"/>
  <c r="B1" i="48"/>
  <c r="A1" i="48"/>
  <c r="AB1" i="42" l="1"/>
  <c r="AA1" i="42"/>
  <c r="Z1" i="42"/>
  <c r="Y1" i="42"/>
  <c r="X1" i="42"/>
  <c r="W1" i="42"/>
  <c r="V1" i="42"/>
  <c r="U1" i="42"/>
  <c r="T1" i="42"/>
  <c r="S1" i="42"/>
  <c r="R1" i="42"/>
  <c r="Q1" i="42"/>
  <c r="P1" i="42"/>
  <c r="O1" i="42"/>
  <c r="N1" i="42"/>
  <c r="M1" i="42"/>
  <c r="L1" i="42"/>
  <c r="K1" i="42"/>
  <c r="J1" i="42"/>
  <c r="I1" i="42"/>
  <c r="H1" i="42"/>
  <c r="G1" i="42"/>
  <c r="F1" i="42"/>
  <c r="E1" i="42"/>
  <c r="D1" i="42"/>
  <c r="B1" i="42"/>
  <c r="A1" i="42"/>
  <c r="AB1" i="41" l="1"/>
  <c r="AA1" i="41"/>
  <c r="Z1" i="41"/>
  <c r="Y1" i="41"/>
  <c r="X1" i="41"/>
  <c r="W1" i="41"/>
  <c r="V1" i="41"/>
  <c r="U1" i="41"/>
  <c r="T1" i="41"/>
  <c r="S1" i="41"/>
  <c r="R1" i="41"/>
  <c r="Q1" i="41"/>
  <c r="P1" i="41"/>
  <c r="O1" i="41"/>
  <c r="N1" i="41"/>
  <c r="M1" i="41"/>
  <c r="L1" i="41"/>
  <c r="K1" i="41"/>
  <c r="J1" i="41"/>
  <c r="I1" i="41"/>
  <c r="H1" i="41"/>
  <c r="G1" i="41"/>
  <c r="F1" i="41"/>
  <c r="E1" i="41"/>
  <c r="D1" i="41"/>
  <c r="B1" i="41"/>
  <c r="A1" i="41"/>
  <c r="AB1" i="40" l="1"/>
  <c r="AA1" i="40"/>
  <c r="Z1" i="40"/>
  <c r="Y1" i="40"/>
  <c r="X1" i="40"/>
  <c r="W1" i="40"/>
  <c r="V1" i="40"/>
  <c r="U1" i="40"/>
  <c r="T1" i="40"/>
  <c r="S1" i="40"/>
  <c r="R1" i="40"/>
  <c r="Q1" i="40"/>
  <c r="P1" i="40"/>
  <c r="O1" i="40"/>
  <c r="N1" i="40"/>
  <c r="M1" i="40"/>
  <c r="L1" i="40"/>
  <c r="K1" i="40"/>
  <c r="J1" i="40"/>
  <c r="I1" i="40"/>
  <c r="H1" i="40"/>
  <c r="G1" i="40"/>
  <c r="F1" i="40"/>
  <c r="E1" i="40"/>
  <c r="D1" i="40"/>
  <c r="B1" i="40"/>
  <c r="A1" i="40"/>
  <c r="AB1" i="39" l="1"/>
  <c r="AA1" i="39"/>
  <c r="Z1" i="39"/>
  <c r="Y1" i="39"/>
  <c r="X1" i="39"/>
  <c r="W1" i="39"/>
  <c r="V1" i="39"/>
  <c r="U1" i="39"/>
  <c r="T1" i="39"/>
  <c r="S1" i="39"/>
  <c r="R1" i="39"/>
  <c r="Q1" i="39"/>
  <c r="P1" i="39"/>
  <c r="O1" i="39"/>
  <c r="N1" i="39"/>
  <c r="M1" i="39"/>
  <c r="L1" i="39"/>
  <c r="K1" i="39"/>
  <c r="J1" i="39"/>
  <c r="I1" i="39"/>
  <c r="H1" i="39"/>
  <c r="G1" i="39"/>
  <c r="F1" i="39"/>
  <c r="E1" i="39"/>
  <c r="D1" i="39"/>
  <c r="B1" i="39"/>
  <c r="A1" i="39"/>
  <c r="AB1" i="47" l="1"/>
  <c r="AA1" i="47"/>
  <c r="Z1" i="47"/>
  <c r="Y1" i="47"/>
  <c r="X1" i="47"/>
  <c r="W1" i="47"/>
  <c r="V1" i="47"/>
  <c r="U1" i="47"/>
  <c r="T1" i="47"/>
  <c r="S1" i="47"/>
  <c r="R1" i="47"/>
  <c r="Q1" i="47"/>
  <c r="P1" i="47"/>
  <c r="O1" i="47"/>
  <c r="N1" i="47"/>
  <c r="M1" i="47"/>
  <c r="L1" i="47"/>
  <c r="K1" i="47"/>
  <c r="J1" i="47"/>
  <c r="I1" i="47"/>
  <c r="H1" i="47"/>
  <c r="G1" i="47"/>
  <c r="F1" i="47"/>
  <c r="E1" i="47"/>
  <c r="D1" i="47"/>
  <c r="B1" i="47"/>
  <c r="A1" i="47"/>
  <c r="AB1" i="38" l="1"/>
  <c r="AA1" i="38"/>
  <c r="Z1" i="38"/>
  <c r="Y1" i="38"/>
  <c r="X1" i="38"/>
  <c r="W1" i="38"/>
  <c r="V1" i="38"/>
  <c r="U1" i="38"/>
  <c r="T1" i="38"/>
  <c r="S1" i="38"/>
  <c r="R1" i="38"/>
  <c r="Q1" i="38"/>
  <c r="P1" i="38"/>
  <c r="O1" i="38"/>
  <c r="N1" i="38"/>
  <c r="M1" i="38"/>
  <c r="L1" i="38"/>
  <c r="K1" i="38"/>
  <c r="J1" i="38"/>
  <c r="I1" i="38"/>
  <c r="H1" i="38"/>
  <c r="G1" i="38"/>
  <c r="F1" i="38"/>
  <c r="E1" i="38"/>
  <c r="D1" i="38"/>
  <c r="B1" i="38"/>
  <c r="A1" i="38"/>
  <c r="AB1" i="37" l="1"/>
  <c r="AA1" i="37"/>
  <c r="Z1" i="37"/>
  <c r="Y1" i="37"/>
  <c r="X1" i="37"/>
  <c r="W1" i="37"/>
  <c r="V1" i="37"/>
  <c r="U1" i="37"/>
  <c r="T1" i="37"/>
  <c r="S1" i="37"/>
  <c r="R1" i="37"/>
  <c r="Q1" i="37"/>
  <c r="P1" i="37"/>
  <c r="O1" i="37"/>
  <c r="N1" i="37"/>
  <c r="M1" i="37"/>
  <c r="L1" i="37"/>
  <c r="K1" i="37"/>
  <c r="J1" i="37"/>
  <c r="I1" i="37"/>
  <c r="H1" i="37"/>
  <c r="G1" i="37"/>
  <c r="F1" i="37"/>
  <c r="E1" i="37"/>
  <c r="D1" i="37"/>
  <c r="B1" i="37"/>
  <c r="A1" i="37"/>
  <c r="AB1" i="36" l="1"/>
  <c r="AA1" i="36"/>
  <c r="Z1" i="36"/>
  <c r="Y1" i="36"/>
  <c r="X1" i="36"/>
  <c r="W1" i="36"/>
  <c r="V1" i="36"/>
  <c r="U1" i="36"/>
  <c r="T1" i="36"/>
  <c r="S1" i="36"/>
  <c r="R1" i="36"/>
  <c r="Q1" i="36"/>
  <c r="P1" i="36"/>
  <c r="O1" i="36"/>
  <c r="N1" i="36"/>
  <c r="M1" i="36"/>
  <c r="L1" i="36"/>
  <c r="K1" i="36"/>
  <c r="J1" i="36"/>
  <c r="I1" i="36"/>
  <c r="H1" i="36"/>
  <c r="G1" i="36"/>
  <c r="F1" i="36"/>
  <c r="E1" i="36"/>
  <c r="D1" i="36"/>
  <c r="B1" i="36"/>
  <c r="A1" i="36"/>
  <c r="B13" i="46" l="1"/>
  <c r="B12" i="46"/>
  <c r="B11" i="46"/>
  <c r="B10" i="46"/>
  <c r="B9" i="46"/>
  <c r="B8" i="46"/>
  <c r="B7" i="46"/>
  <c r="B6" i="46"/>
  <c r="B5" i="46"/>
  <c r="M72" i="49"/>
  <c r="M64" i="49"/>
  <c r="M56" i="49"/>
  <c r="M46" i="49"/>
  <c r="M38" i="49"/>
  <c r="M30" i="49"/>
  <c r="M22" i="49"/>
  <c r="M14" i="49"/>
  <c r="M6" i="49"/>
  <c r="Q85" i="49" l="1"/>
  <c r="Q19" i="49"/>
  <c r="U10" i="49"/>
  <c r="C9" i="46"/>
  <c r="C13" i="46"/>
  <c r="U8" i="49"/>
  <c r="C11" i="46"/>
  <c r="U21" i="49"/>
  <c r="C7" i="46"/>
  <c r="U6" i="49"/>
  <c r="U28" i="49"/>
  <c r="C6" i="46"/>
  <c r="U24" i="49"/>
  <c r="U30" i="49"/>
  <c r="C8" i="46"/>
  <c r="U15" i="49"/>
  <c r="U19" i="49"/>
  <c r="U13" i="49"/>
  <c r="C5" i="46"/>
  <c r="U7" i="49"/>
  <c r="U23" i="49"/>
  <c r="U20" i="49"/>
  <c r="U16" i="49"/>
  <c r="B95" i="49"/>
  <c r="U26" i="49"/>
  <c r="U12" i="49"/>
  <c r="U11" i="49"/>
  <c r="U25" i="49"/>
  <c r="C10" i="46"/>
  <c r="U18" i="49"/>
  <c r="C12" i="46"/>
  <c r="U22" i="49"/>
  <c r="C16" i="46"/>
  <c r="C2" i="46"/>
  <c r="U9" i="49"/>
  <c r="U14" i="49"/>
  <c r="U29" i="49"/>
  <c r="U27" i="49"/>
  <c r="U17" i="49"/>
  <c r="C1" i="49" l="1"/>
  <c r="C1" i="46" s="1"/>
  <c r="N88" i="49"/>
  <c r="N87" i="49"/>
  <c r="N86" i="49"/>
  <c r="N85" i="49"/>
  <c r="N84" i="49"/>
  <c r="N83" i="49"/>
  <c r="N82" i="49"/>
  <c r="G87" i="49"/>
  <c r="B87" i="49"/>
  <c r="G86" i="49"/>
  <c r="B86" i="49"/>
  <c r="G85" i="49"/>
  <c r="B85" i="49"/>
  <c r="G84" i="49"/>
  <c r="B84" i="49"/>
  <c r="G83" i="49"/>
  <c r="B83" i="49"/>
  <c r="L79" i="49"/>
  <c r="B79" i="49"/>
  <c r="L78" i="49"/>
  <c r="B78" i="49"/>
  <c r="L77" i="49"/>
  <c r="B77" i="49"/>
  <c r="L76" i="49"/>
  <c r="B76" i="49"/>
  <c r="L75" i="49"/>
  <c r="B75" i="49"/>
  <c r="L74" i="49"/>
  <c r="B74" i="49"/>
  <c r="L73" i="49"/>
  <c r="B73" i="49"/>
  <c r="L71" i="49"/>
  <c r="B71" i="49"/>
  <c r="L70" i="49"/>
  <c r="B70" i="49"/>
  <c r="L69" i="49"/>
  <c r="B69" i="49"/>
  <c r="L68" i="49"/>
  <c r="B68" i="49"/>
  <c r="L67" i="49"/>
  <c r="B67" i="49"/>
  <c r="L66" i="49"/>
  <c r="B66" i="49"/>
  <c r="L65" i="49"/>
  <c r="B65" i="49"/>
  <c r="L63" i="49"/>
  <c r="B63" i="49"/>
  <c r="L62" i="49"/>
  <c r="B62" i="49"/>
  <c r="L61" i="49"/>
  <c r="B61" i="49"/>
  <c r="L60" i="49"/>
  <c r="B60" i="49"/>
  <c r="L59" i="49"/>
  <c r="B59" i="49"/>
  <c r="L58" i="49"/>
  <c r="B58" i="49"/>
  <c r="L57" i="49"/>
  <c r="B57" i="49"/>
  <c r="L53" i="49"/>
  <c r="B53" i="49"/>
  <c r="L52" i="49"/>
  <c r="B52" i="49"/>
  <c r="L51" i="49"/>
  <c r="B51" i="49"/>
  <c r="L50" i="49"/>
  <c r="B50" i="49"/>
  <c r="L49" i="49"/>
  <c r="B49" i="49"/>
  <c r="L48" i="49"/>
  <c r="B48" i="49"/>
  <c r="L47" i="49"/>
  <c r="B47" i="49"/>
  <c r="L45" i="49"/>
  <c r="B45" i="49"/>
  <c r="L44" i="49"/>
  <c r="B44" i="49"/>
  <c r="L43" i="49"/>
  <c r="B43" i="49"/>
  <c r="L42" i="49"/>
  <c r="B42" i="49"/>
  <c r="L41" i="49"/>
  <c r="B41" i="49"/>
  <c r="L40" i="49"/>
  <c r="B40" i="49"/>
  <c r="L39" i="49"/>
  <c r="B39" i="49"/>
  <c r="L37" i="49"/>
  <c r="B37" i="49"/>
  <c r="L36" i="49"/>
  <c r="B36" i="49"/>
  <c r="L35" i="49"/>
  <c r="B35" i="49"/>
  <c r="L34" i="49"/>
  <c r="B34" i="49"/>
  <c r="L33" i="49"/>
  <c r="B33" i="49"/>
  <c r="L32" i="49"/>
  <c r="B32" i="49"/>
  <c r="L31" i="49"/>
  <c r="B31" i="49"/>
  <c r="L29" i="49"/>
  <c r="B29" i="49"/>
  <c r="L28" i="49"/>
  <c r="B28" i="49"/>
  <c r="L27" i="49"/>
  <c r="B27" i="49"/>
  <c r="L26" i="49"/>
  <c r="B26" i="49"/>
  <c r="L25" i="49"/>
  <c r="B25" i="49"/>
  <c r="L24" i="49"/>
  <c r="B24" i="49"/>
  <c r="L23" i="49"/>
  <c r="B23" i="49"/>
  <c r="G82" i="49"/>
  <c r="B82" i="49"/>
  <c r="L72" i="49"/>
  <c r="B72" i="49"/>
  <c r="L64" i="49"/>
  <c r="B64" i="49"/>
  <c r="L56" i="49"/>
  <c r="B56" i="49"/>
  <c r="L46" i="49"/>
  <c r="B46" i="49"/>
  <c r="L38" i="49"/>
  <c r="B38" i="49"/>
  <c r="L30" i="49"/>
  <c r="B30" i="49"/>
  <c r="L22" i="49"/>
  <c r="B22" i="49"/>
  <c r="L21" i="49"/>
  <c r="B21" i="49"/>
  <c r="L20" i="49"/>
  <c r="B20" i="49"/>
  <c r="L19" i="49"/>
  <c r="B19" i="49"/>
  <c r="L18" i="49"/>
  <c r="B18" i="49"/>
  <c r="L17" i="49"/>
  <c r="B17" i="49"/>
  <c r="L16" i="49"/>
  <c r="B16" i="49"/>
  <c r="L15" i="49"/>
  <c r="B15" i="49"/>
  <c r="L14" i="49"/>
  <c r="B14" i="49"/>
  <c r="L13" i="49"/>
  <c r="B13" i="49"/>
  <c r="L12" i="49"/>
  <c r="B12" i="49"/>
  <c r="L11" i="49"/>
  <c r="B11" i="49"/>
  <c r="L10" i="49"/>
  <c r="B10" i="49"/>
  <c r="L9" i="49"/>
  <c r="B9" i="49"/>
  <c r="L8" i="49"/>
  <c r="B8" i="49"/>
  <c r="L7" i="49"/>
  <c r="B7" i="49"/>
  <c r="L6" i="49"/>
  <c r="B6" i="49"/>
  <c r="B80" i="49"/>
  <c r="L2" i="49"/>
  <c r="F89" i="49"/>
  <c r="B89" i="49"/>
  <c r="K89" i="49"/>
  <c r="A1" i="49" l="1"/>
  <c r="A1" i="46" s="1"/>
  <c r="B14" i="46"/>
</calcChain>
</file>

<file path=xl/sharedStrings.xml><?xml version="1.0" encoding="utf-8"?>
<sst xmlns="http://schemas.openxmlformats.org/spreadsheetml/2006/main" count="1156" uniqueCount="268">
  <si>
    <t>音楽</t>
    <rPh sb="0" eb="2">
      <t>オンガク</t>
    </rPh>
    <phoneticPr fontId="1"/>
  </si>
  <si>
    <t>教科</t>
    <rPh sb="0" eb="2">
      <t>キョウカ</t>
    </rPh>
    <phoneticPr fontId="1"/>
  </si>
  <si>
    <t>学習目標</t>
    <rPh sb="0" eb="2">
      <t>ガクシュウ</t>
    </rPh>
    <rPh sb="2" eb="4">
      <t>モクヒョウ</t>
    </rPh>
    <phoneticPr fontId="1"/>
  </si>
  <si>
    <t>評価</t>
    <rPh sb="0" eb="2">
      <t>ヒョウカ</t>
    </rPh>
    <phoneticPr fontId="1"/>
  </si>
  <si>
    <t>評定</t>
    <rPh sb="0" eb="2">
      <t>ヒョウテイ</t>
    </rPh>
    <phoneticPr fontId="1"/>
  </si>
  <si>
    <t>国語</t>
    <rPh sb="0" eb="2">
      <t>コクゴ</t>
    </rPh>
    <phoneticPr fontId="1"/>
  </si>
  <si>
    <t>英語</t>
    <rPh sb="0" eb="2">
      <t>エイゴ</t>
    </rPh>
    <phoneticPr fontId="1"/>
  </si>
  <si>
    <t>出欠の状況</t>
    <rPh sb="0" eb="2">
      <t>シュッケツ</t>
    </rPh>
    <rPh sb="3" eb="5">
      <t>ジョウキョウ</t>
    </rPh>
    <phoneticPr fontId="1"/>
  </si>
  <si>
    <t>総合所見</t>
    <rPh sb="0" eb="2">
      <t>ソウゴウ</t>
    </rPh>
    <rPh sb="2" eb="4">
      <t>ショケン</t>
    </rPh>
    <phoneticPr fontId="1"/>
  </si>
  <si>
    <t xml:space="preserve"> 授業日数</t>
    <rPh sb="1" eb="3">
      <t>ジュギョウ</t>
    </rPh>
    <rPh sb="3" eb="5">
      <t>ニッスウ</t>
    </rPh>
    <phoneticPr fontId="1"/>
  </si>
  <si>
    <t xml:space="preserve"> 忌引・停止</t>
    <rPh sb="1" eb="3">
      <t>キビ</t>
    </rPh>
    <rPh sb="4" eb="6">
      <t>テイシ</t>
    </rPh>
    <phoneticPr fontId="1"/>
  </si>
  <si>
    <t xml:space="preserve"> 出席日数</t>
    <rPh sb="1" eb="3">
      <t>シュッセキ</t>
    </rPh>
    <rPh sb="3" eb="5">
      <t>ニッスウ</t>
    </rPh>
    <phoneticPr fontId="1"/>
  </si>
  <si>
    <t xml:space="preserve"> 遅刻</t>
    <rPh sb="1" eb="3">
      <t>チコク</t>
    </rPh>
    <phoneticPr fontId="1"/>
  </si>
  <si>
    <t xml:space="preserve"> 早退</t>
    <rPh sb="1" eb="3">
      <t>ソウタイ</t>
    </rPh>
    <phoneticPr fontId="1"/>
  </si>
  <si>
    <t>氏名</t>
    <rPh sb="0" eb="1">
      <t>シ</t>
    </rPh>
    <rPh sb="1" eb="2">
      <t>メイ</t>
    </rPh>
    <phoneticPr fontId="1"/>
  </si>
  <si>
    <t>No.</t>
    <phoneticPr fontId="1"/>
  </si>
  <si>
    <t>学習の様子　　　A:目標に到達できた　B:おおよそ目標に到達できた　C:目標に達するよう努力しよう</t>
    <rPh sb="0" eb="2">
      <t>ガクシュウ</t>
    </rPh>
    <rPh sb="3" eb="5">
      <t>ヨウス</t>
    </rPh>
    <rPh sb="10" eb="12">
      <t>モクヒョウ</t>
    </rPh>
    <rPh sb="13" eb="15">
      <t>トウタツ</t>
    </rPh>
    <rPh sb="25" eb="27">
      <t>モクヒョウ</t>
    </rPh>
    <rPh sb="28" eb="30">
      <t>トウタツ</t>
    </rPh>
    <rPh sb="36" eb="38">
      <t>モクヒョウ</t>
    </rPh>
    <rPh sb="39" eb="40">
      <t>タッ</t>
    </rPh>
    <phoneticPr fontId="1"/>
  </si>
  <si>
    <t xml:space="preserve"> 出席しなければならない日数</t>
    <rPh sb="1" eb="3">
      <t>シュッセキ</t>
    </rPh>
    <rPh sb="12" eb="14">
      <t>ニッスウ</t>
    </rPh>
    <phoneticPr fontId="1"/>
  </si>
  <si>
    <t xml:space="preserve"> 欠席日数</t>
    <rPh sb="1" eb="3">
      <t>ケッセキ</t>
    </rPh>
    <rPh sb="3" eb="5">
      <t>ニッスウ</t>
    </rPh>
    <phoneticPr fontId="1"/>
  </si>
  <si>
    <t>道徳</t>
    <rPh sb="0" eb="2">
      <t>ドウトク</t>
    </rPh>
    <phoneticPr fontId="1"/>
  </si>
  <si>
    <t>氏名</t>
  </si>
  <si>
    <t>文字数</t>
    <rPh sb="0" eb="3">
      <t>もじすう</t>
    </rPh>
    <phoneticPr fontId="9" type="Hiragana" alignment="distributed"/>
  </si>
  <si>
    <t>印刷範囲</t>
    <rPh sb="0" eb="2">
      <t>インサツ</t>
    </rPh>
    <rPh sb="2" eb="4">
      <t>ハンイ</t>
    </rPh>
    <phoneticPr fontId="1"/>
  </si>
  <si>
    <t>自</t>
    <rPh sb="0" eb="1">
      <t>ジ</t>
    </rPh>
    <phoneticPr fontId="1"/>
  </si>
  <si>
    <t>至</t>
    <rPh sb="0" eb="1">
      <t>イタ</t>
    </rPh>
    <phoneticPr fontId="1"/>
  </si>
  <si>
    <t>No.</t>
    <phoneticPr fontId="1"/>
  </si>
  <si>
    <t>所見</t>
    <rPh sb="0" eb="2">
      <t>ショケン</t>
    </rPh>
    <phoneticPr fontId="1"/>
  </si>
  <si>
    <t>B</t>
  </si>
  <si>
    <t>A</t>
  </si>
  <si>
    <t>理科</t>
    <rPh sb="0" eb="2">
      <t>リカ</t>
    </rPh>
    <phoneticPr fontId="1"/>
  </si>
  <si>
    <t>社会</t>
    <rPh sb="0" eb="2">
      <t>シャカイ</t>
    </rPh>
    <phoneticPr fontId="1"/>
  </si>
  <si>
    <t>C</t>
  </si>
  <si>
    <t>数学</t>
    <phoneticPr fontId="1"/>
  </si>
  <si>
    <t>美術</t>
    <phoneticPr fontId="1"/>
  </si>
  <si>
    <t>保健体育</t>
    <rPh sb="0" eb="2">
      <t>ホケン</t>
    </rPh>
    <rPh sb="2" eb="4">
      <t>タイイク</t>
    </rPh>
    <phoneticPr fontId="1"/>
  </si>
  <si>
    <t>技術家庭</t>
    <rPh sb="0" eb="2">
      <t>ギジュツ</t>
    </rPh>
    <rPh sb="2" eb="4">
      <t>カテイ</t>
    </rPh>
    <phoneticPr fontId="1"/>
  </si>
  <si>
    <t>A:十分　B:普通　C:不足</t>
  </si>
  <si>
    <t>行動のようす</t>
    <phoneticPr fontId="1"/>
  </si>
  <si>
    <t>総合学習</t>
    <rPh sb="0" eb="2">
      <t>ソウゴウ</t>
    </rPh>
    <rPh sb="2" eb="4">
      <t>ガクシュウ</t>
    </rPh>
    <phoneticPr fontId="1"/>
  </si>
  <si>
    <t>特別活動</t>
    <rPh sb="0" eb="2">
      <t>トクベツ</t>
    </rPh>
    <rPh sb="2" eb="4">
      <t>カツドウ</t>
    </rPh>
    <phoneticPr fontId="1"/>
  </si>
  <si>
    <t>備考</t>
    <rPh sb="0" eb="2">
      <t>ビコウ</t>
    </rPh>
    <phoneticPr fontId="1"/>
  </si>
  <si>
    <t>※注意※
この欄の名前は変更不可</t>
    <rPh sb="1" eb="3">
      <t>チュウイ</t>
    </rPh>
    <rPh sb="7" eb="8">
      <t>ラン</t>
    </rPh>
    <rPh sb="9" eb="11">
      <t>ナマエ</t>
    </rPh>
    <rPh sb="12" eb="14">
      <t>ヘンコウ</t>
    </rPh>
    <rPh sb="14" eb="16">
      <t>フカ</t>
    </rPh>
    <phoneticPr fontId="1"/>
  </si>
  <si>
    <t>この項目は適宜変更して下さい。
※注意※
ただし、行数は増やさないようにお願いします。</t>
    <rPh sb="2" eb="4">
      <t>コウモク</t>
    </rPh>
    <rPh sb="5" eb="7">
      <t>テキギ</t>
    </rPh>
    <rPh sb="7" eb="9">
      <t>ヘンコウ</t>
    </rPh>
    <rPh sb="11" eb="12">
      <t>クダ</t>
    </rPh>
    <rPh sb="17" eb="19">
      <t>チュウイ</t>
    </rPh>
    <rPh sb="25" eb="27">
      <t>ギョウスウ</t>
    </rPh>
    <rPh sb="28" eb="29">
      <t>フ</t>
    </rPh>
    <rPh sb="37" eb="38">
      <t>ネガ</t>
    </rPh>
    <phoneticPr fontId="1"/>
  </si>
  <si>
    <t>行動の様子</t>
    <rPh sb="0" eb="2">
      <t>コウドウ</t>
    </rPh>
    <rPh sb="3" eb="5">
      <t>ヨウス</t>
    </rPh>
    <phoneticPr fontId="1"/>
  </si>
  <si>
    <t>特別活動 ※注意※改行せず、続けて文章を書いて下さい。</t>
    <rPh sb="0" eb="2">
      <t>トクベツ</t>
    </rPh>
    <rPh sb="2" eb="4">
      <t>カツドウ</t>
    </rPh>
    <rPh sb="6" eb="8">
      <t>チュウイ</t>
    </rPh>
    <rPh sb="9" eb="11">
      <t>カイギョウ</t>
    </rPh>
    <rPh sb="14" eb="15">
      <t>ツズ</t>
    </rPh>
    <rPh sb="17" eb="19">
      <t>ブンショウ</t>
    </rPh>
    <rPh sb="20" eb="21">
      <t>カ</t>
    </rPh>
    <rPh sb="23" eb="24">
      <t>クダ</t>
    </rPh>
    <phoneticPr fontId="1"/>
  </si>
  <si>
    <t>数学</t>
    <rPh sb="0" eb="2">
      <t>スウガク</t>
    </rPh>
    <phoneticPr fontId="1"/>
  </si>
  <si>
    <t>美術</t>
    <rPh sb="0" eb="2">
      <t>ビジュツ</t>
    </rPh>
    <phoneticPr fontId="1"/>
  </si>
  <si>
    <t>技家</t>
    <rPh sb="0" eb="2">
      <t>ギカ</t>
    </rPh>
    <phoneticPr fontId="1"/>
  </si>
  <si>
    <t>保体</t>
    <rPh sb="0" eb="2">
      <t>ホタイ</t>
    </rPh>
    <phoneticPr fontId="1"/>
  </si>
  <si>
    <r>
      <t xml:space="preserve">学年
</t>
    </r>
    <r>
      <rPr>
        <sz val="9"/>
        <rFont val="ＭＳ Ｐ明朝"/>
        <family val="1"/>
        <charset val="128"/>
      </rPr>
      <t>(3学期)</t>
    </r>
    <rPh sb="5" eb="7">
      <t>ガッキ</t>
    </rPh>
    <phoneticPr fontId="1"/>
  </si>
  <si>
    <t>知識・技能（単元テスト・定期テスト）</t>
    <rPh sb="6" eb="8">
      <t>タンゲン</t>
    </rPh>
    <phoneticPr fontId="1"/>
  </si>
  <si>
    <t>思考力・表現力・判断力（単元テスト・定期テスト）</t>
  </si>
  <si>
    <t>主体的に学習に取り組む態度</t>
  </si>
  <si>
    <t>5</t>
  </si>
  <si>
    <t>4</t>
  </si>
  <si>
    <t>3</t>
  </si>
  <si>
    <t>主体的に学習に取り組む態度</t>
    <rPh sb="0" eb="3">
      <t>しゅたいてき</t>
    </rPh>
    <rPh sb="4" eb="6">
      <t>がくしゅう</t>
    </rPh>
    <rPh sb="7" eb="8">
      <t>と</t>
    </rPh>
    <rPh sb="9" eb="10">
      <t>く</t>
    </rPh>
    <rPh sb="11" eb="13">
      <t>たいど</t>
    </rPh>
    <phoneticPr fontId="14" type="Hiragana" alignment="distributed"/>
  </si>
  <si>
    <t>思考力・表現力・判断力（実技）</t>
  </si>
  <si>
    <t>知識・技能（定期テスト・漢字テスト・文法理解）</t>
    <rPh sb="6" eb="8">
      <t>テイキ</t>
    </rPh>
    <rPh sb="12" eb="14">
      <t>カンジ</t>
    </rPh>
    <rPh sb="18" eb="20">
      <t>ブンポウ</t>
    </rPh>
    <rPh sb="20" eb="22">
      <t>リカイ</t>
    </rPh>
    <phoneticPr fontId="1"/>
  </si>
  <si>
    <t>思考力・表現力・判断力（定期テスト・リスニングテスト・作文・音読・話し合い活動）</t>
    <rPh sb="27" eb="29">
      <t>サクブン</t>
    </rPh>
    <rPh sb="30" eb="32">
      <t>オンドク</t>
    </rPh>
    <rPh sb="33" eb="34">
      <t>ハナ</t>
    </rPh>
    <rPh sb="35" eb="36">
      <t>ア</t>
    </rPh>
    <rPh sb="37" eb="39">
      <t>カツドウ</t>
    </rPh>
    <phoneticPr fontId="1"/>
  </si>
  <si>
    <t>※注意※
この欄の名前は変更不可</t>
  </si>
  <si>
    <t>A～C</t>
  </si>
  <si>
    <t>１～５</t>
  </si>
  <si>
    <t>今学期の様子（教科担任から学級担任へ）</t>
  </si>
  <si>
    <t>岡田 明日香</t>
  </si>
  <si>
    <t>荻原 知香</t>
  </si>
  <si>
    <t>片桐 葵</t>
  </si>
  <si>
    <t>上島 碧依</t>
  </si>
  <si>
    <t>藏井 陽菜乃</t>
  </si>
  <si>
    <t>小松 雅治</t>
  </si>
  <si>
    <t>須藤 爽斗</t>
  </si>
  <si>
    <t>滝 陽香</t>
  </si>
  <si>
    <t>永江 仁</t>
  </si>
  <si>
    <t>林 果菜</t>
  </si>
  <si>
    <t>原 維香</t>
  </si>
  <si>
    <t>丸山 心音</t>
  </si>
  <si>
    <t>森本 浩士</t>
  </si>
  <si>
    <t>栁沢 美緒</t>
  </si>
  <si>
    <t>横山 麟太</t>
  </si>
  <si>
    <t>渡邊 了介</t>
  </si>
  <si>
    <t>宿題提出率１００％授業用ノート評価S、発言ポイント５。やってて良かった！が必ずきます。今の努力を継続！</t>
    <rPh sb="0" eb="5">
      <t>シュクダイテイシュツリツ</t>
    </rPh>
    <rPh sb="9" eb="12">
      <t>ジュギョウヨウ</t>
    </rPh>
    <rPh sb="15" eb="17">
      <t>ヒョウカ</t>
    </rPh>
    <rPh sb="19" eb="21">
      <t>ハツゲン</t>
    </rPh>
    <rPh sb="31" eb="32">
      <t>ヨ</t>
    </rPh>
    <rPh sb="37" eb="38">
      <t>カナラ</t>
    </rPh>
    <rPh sb="43" eb="44">
      <t>イマ</t>
    </rPh>
    <rPh sb="45" eb="47">
      <t>ドリョク</t>
    </rPh>
    <rPh sb="48" eb="50">
      <t>ケイゾク</t>
    </rPh>
    <phoneticPr fontId="1"/>
  </si>
  <si>
    <t>宿題提出率１００、授業用ノート評価S、発言ポイント４。去年より取り組み努力がとても上がりました。今の努力を継続！</t>
    <rPh sb="0" eb="5">
      <t>シュクダイテイシュツリツ</t>
    </rPh>
    <rPh sb="9" eb="12">
      <t>ジュギョウヨウ</t>
    </rPh>
    <rPh sb="15" eb="17">
      <t>ヒョウカ</t>
    </rPh>
    <rPh sb="19" eb="21">
      <t>ハツゲン</t>
    </rPh>
    <rPh sb="27" eb="29">
      <t>キョネン</t>
    </rPh>
    <rPh sb="31" eb="32">
      <t>ト</t>
    </rPh>
    <rPh sb="33" eb="34">
      <t>ク</t>
    </rPh>
    <rPh sb="35" eb="37">
      <t>ドリョク</t>
    </rPh>
    <rPh sb="41" eb="42">
      <t>ア</t>
    </rPh>
    <rPh sb="48" eb="49">
      <t>イマ</t>
    </rPh>
    <rPh sb="50" eb="52">
      <t>ドリョク</t>
    </rPh>
    <rPh sb="53" eb="55">
      <t>ケイゾク</t>
    </rPh>
    <phoneticPr fontId="1"/>
  </si>
  <si>
    <t>宿題提出率１００％、授業用ノート評価S、発言ポイント９（No.2）。応用問題のミスは、友達に説明できるくらい深くやり直ししていこう。</t>
    <rPh sb="0" eb="5">
      <t>シュクダイテイシュツリツ</t>
    </rPh>
    <rPh sb="10" eb="13">
      <t>ジュギョウヨウ</t>
    </rPh>
    <rPh sb="16" eb="18">
      <t>ヒョウカ</t>
    </rPh>
    <rPh sb="20" eb="22">
      <t>ハツゲン</t>
    </rPh>
    <rPh sb="34" eb="38">
      <t>オウヨウモンダイ</t>
    </rPh>
    <rPh sb="43" eb="45">
      <t>トモダチ</t>
    </rPh>
    <rPh sb="46" eb="48">
      <t>セツメイ</t>
    </rPh>
    <rPh sb="54" eb="55">
      <t>フカ</t>
    </rPh>
    <rPh sb="58" eb="59">
      <t>ナオ</t>
    </rPh>
    <phoneticPr fontId="1"/>
  </si>
  <si>
    <t>宿題の提出率が６０％にも達していません。家庭学習の大切さは昨年から再三伝えています。今のところテストでは良い結果を出していますが、今後が心配です。早急な改善を望みます。</t>
    <rPh sb="0" eb="2">
      <t>シュクダイ</t>
    </rPh>
    <rPh sb="3" eb="6">
      <t>テイシュツリツ</t>
    </rPh>
    <rPh sb="12" eb="13">
      <t>タッ</t>
    </rPh>
    <rPh sb="20" eb="24">
      <t>カテイガクシュウ</t>
    </rPh>
    <rPh sb="25" eb="27">
      <t>タイセツ</t>
    </rPh>
    <rPh sb="29" eb="31">
      <t>サクネン</t>
    </rPh>
    <rPh sb="33" eb="35">
      <t>サイサン</t>
    </rPh>
    <rPh sb="35" eb="36">
      <t>ツタ</t>
    </rPh>
    <rPh sb="42" eb="43">
      <t>イマ</t>
    </rPh>
    <rPh sb="52" eb="53">
      <t>ヨ</t>
    </rPh>
    <rPh sb="54" eb="56">
      <t>ケッカ</t>
    </rPh>
    <rPh sb="57" eb="58">
      <t>ダ</t>
    </rPh>
    <rPh sb="65" eb="67">
      <t>コンゴ</t>
    </rPh>
    <rPh sb="68" eb="70">
      <t>シンパイ</t>
    </rPh>
    <rPh sb="73" eb="75">
      <t>ソウキュウ</t>
    </rPh>
    <rPh sb="76" eb="78">
      <t>カイゼン</t>
    </rPh>
    <rPh sb="79" eb="80">
      <t>ノゾ</t>
    </rPh>
    <phoneticPr fontId="1"/>
  </si>
  <si>
    <t>宿題提出率８３％、授業用ノート評価A、発言ポイント６。宿題の取り組み方がとても改善しました。理解しようとする姿勢もとても良いです。２学期も継続！</t>
    <rPh sb="0" eb="5">
      <t>シュクダイテイシュツリツ</t>
    </rPh>
    <rPh sb="9" eb="12">
      <t>ジュギョウヨウ</t>
    </rPh>
    <rPh sb="15" eb="17">
      <t>ヒョウカ</t>
    </rPh>
    <rPh sb="19" eb="21">
      <t>ハツゲン</t>
    </rPh>
    <rPh sb="27" eb="29">
      <t>シュクダイ</t>
    </rPh>
    <rPh sb="30" eb="31">
      <t>ト</t>
    </rPh>
    <rPh sb="32" eb="33">
      <t>ク</t>
    </rPh>
    <rPh sb="34" eb="35">
      <t>カタ</t>
    </rPh>
    <rPh sb="39" eb="41">
      <t>カイゼン</t>
    </rPh>
    <rPh sb="46" eb="48">
      <t>リカイ</t>
    </rPh>
    <rPh sb="54" eb="56">
      <t>シセイ</t>
    </rPh>
    <rPh sb="60" eb="61">
      <t>ヨ</t>
    </rPh>
    <rPh sb="66" eb="68">
      <t>ガッキ</t>
    </rPh>
    <rPh sb="69" eb="71">
      <t>ケイゾク</t>
    </rPh>
    <phoneticPr fontId="1"/>
  </si>
  <si>
    <t>宿題提出率５７％、授業用ノート評価S、発言ポイント７。授業のメリハリは去年に比べ改善傾向。宿題が相変わらずなのがとてももったいないです。</t>
    <rPh sb="0" eb="2">
      <t>シュクダイ</t>
    </rPh>
    <rPh sb="2" eb="5">
      <t>テイシュツリツ</t>
    </rPh>
    <rPh sb="9" eb="12">
      <t>ジュギョウヨウ</t>
    </rPh>
    <rPh sb="15" eb="17">
      <t>ヒョウカ</t>
    </rPh>
    <rPh sb="19" eb="21">
      <t>ハツゲン</t>
    </rPh>
    <rPh sb="27" eb="29">
      <t>ジュギョウ</t>
    </rPh>
    <rPh sb="35" eb="37">
      <t>キョネン</t>
    </rPh>
    <rPh sb="38" eb="39">
      <t>クラ</t>
    </rPh>
    <rPh sb="40" eb="44">
      <t>カイゼンケイコウ</t>
    </rPh>
    <rPh sb="45" eb="47">
      <t>シュクダイ</t>
    </rPh>
    <rPh sb="48" eb="50">
      <t>アイカ</t>
    </rPh>
    <phoneticPr fontId="1"/>
  </si>
  <si>
    <t>宿題提出率１００％、授業用ノート評価A、発言ポイント３。計算力が上がりましたね！安定感もでてきました！「できた」ことを忘れない努力を継続していきましょう。</t>
    <rPh sb="0" eb="5">
      <t>シュクダイテイシュツリツ</t>
    </rPh>
    <rPh sb="10" eb="13">
      <t>ジュギョウヨウ</t>
    </rPh>
    <rPh sb="16" eb="18">
      <t>ヒョウカ</t>
    </rPh>
    <rPh sb="20" eb="22">
      <t>ハツゲン</t>
    </rPh>
    <rPh sb="28" eb="31">
      <t>ケイサンリョク</t>
    </rPh>
    <rPh sb="32" eb="33">
      <t>ア</t>
    </rPh>
    <rPh sb="40" eb="43">
      <t>アンテイカン</t>
    </rPh>
    <rPh sb="59" eb="60">
      <t>ワス</t>
    </rPh>
    <rPh sb="63" eb="65">
      <t>ドリョク</t>
    </rPh>
    <rPh sb="66" eb="68">
      <t>ケイゾク</t>
    </rPh>
    <phoneticPr fontId="1"/>
  </si>
  <si>
    <t>宿題提出率２４％、授業用ノート評価A、発言ポイント２。去年から～の課題ですね、「宿題」。ここを毎日取り組むだけで、結果は必ずついてきますよ！</t>
    <rPh sb="0" eb="5">
      <t>シュクダイテイシュツリツ</t>
    </rPh>
    <rPh sb="9" eb="12">
      <t>ジュギョウヨウ</t>
    </rPh>
    <rPh sb="15" eb="17">
      <t>ヒョウカ</t>
    </rPh>
    <rPh sb="19" eb="21">
      <t>ハツゲン</t>
    </rPh>
    <rPh sb="27" eb="29">
      <t>キョネン</t>
    </rPh>
    <rPh sb="33" eb="35">
      <t>カダイ</t>
    </rPh>
    <rPh sb="40" eb="42">
      <t>シュクダイ</t>
    </rPh>
    <rPh sb="47" eb="49">
      <t>マイニチ</t>
    </rPh>
    <rPh sb="49" eb="50">
      <t>ト</t>
    </rPh>
    <rPh sb="51" eb="52">
      <t>ク</t>
    </rPh>
    <rPh sb="57" eb="59">
      <t>ケッカ</t>
    </rPh>
    <rPh sb="60" eb="61">
      <t>カナラ</t>
    </rPh>
    <phoneticPr fontId="1"/>
  </si>
  <si>
    <t>宿題提出率１００％、授業用ノート評価S、発言ポイント８（の。３）。分かろうとする努力ができています。応用問題は特に、友達に説明できるくらい理解していきましょう。</t>
    <rPh sb="0" eb="5">
      <t>シュクダイテイシュツリツ</t>
    </rPh>
    <rPh sb="10" eb="13">
      <t>ジュギョウヨウ</t>
    </rPh>
    <rPh sb="16" eb="18">
      <t>ヒョウカ</t>
    </rPh>
    <rPh sb="20" eb="22">
      <t>ハツゲン</t>
    </rPh>
    <rPh sb="33" eb="34">
      <t>ワ</t>
    </rPh>
    <rPh sb="40" eb="42">
      <t>ドリョク</t>
    </rPh>
    <rPh sb="50" eb="54">
      <t>オウヨウモンダイ</t>
    </rPh>
    <rPh sb="55" eb="56">
      <t>トク</t>
    </rPh>
    <rPh sb="58" eb="60">
      <t>トモダチ</t>
    </rPh>
    <rPh sb="61" eb="63">
      <t>セツメイ</t>
    </rPh>
    <rPh sb="69" eb="71">
      <t>リカイ</t>
    </rPh>
    <phoneticPr fontId="1"/>
  </si>
  <si>
    <t>宿題提出率７６％、授業用ノート評価A、発言ポイント１０（No.1）。積極的に授業を受けられています。ミスもどうにかしようとする努力もできています。まずは提出１００％を意識しましょう。</t>
    <rPh sb="0" eb="5">
      <t>シュクダイテイシュツリツ</t>
    </rPh>
    <rPh sb="9" eb="12">
      <t>ジュギョウヨウ</t>
    </rPh>
    <rPh sb="15" eb="17">
      <t>ヒョウカ</t>
    </rPh>
    <rPh sb="19" eb="21">
      <t>ハツゲン</t>
    </rPh>
    <rPh sb="34" eb="37">
      <t>セッキョクテキ</t>
    </rPh>
    <rPh sb="38" eb="40">
      <t>ジュギョウ</t>
    </rPh>
    <rPh sb="41" eb="42">
      <t>ウ</t>
    </rPh>
    <rPh sb="63" eb="65">
      <t>ドリョク</t>
    </rPh>
    <rPh sb="76" eb="78">
      <t>テイシュツ</t>
    </rPh>
    <rPh sb="83" eb="85">
      <t>イシキ</t>
    </rPh>
    <phoneticPr fontId="1"/>
  </si>
  <si>
    <t>知識・技能(定期テスト・レポート・週末課題・単元テスト）</t>
    <rPh sb="0" eb="2">
      <t>ちしき</t>
    </rPh>
    <rPh sb="3" eb="5">
      <t>ぎのう</t>
    </rPh>
    <rPh sb="6" eb="8">
      <t>ていき</t>
    </rPh>
    <rPh sb="17" eb="19">
      <t>しゅうまつ</t>
    </rPh>
    <rPh sb="19" eb="21">
      <t>かだい</t>
    </rPh>
    <rPh sb="22" eb="24">
      <t>たんげん</t>
    </rPh>
    <phoneticPr fontId="14" type="Hiragana" alignment="distributed"/>
  </si>
  <si>
    <t>思考・判断・表現（レポート・単元テスト・実験の考察）</t>
    <rPh sb="0" eb="2">
      <t>しこう</t>
    </rPh>
    <rPh sb="3" eb="5">
      <t>はんだん</t>
    </rPh>
    <rPh sb="6" eb="8">
      <t>ひょうげん</t>
    </rPh>
    <rPh sb="14" eb="16">
      <t>たんげん</t>
    </rPh>
    <rPh sb="20" eb="22">
      <t>じっけん</t>
    </rPh>
    <rPh sb="23" eb="25">
      <t>こうさつ</t>
    </rPh>
    <phoneticPr fontId="14" type="Hiragana" alignment="distributed"/>
  </si>
  <si>
    <t>・+A15である。知識の定着も確実でよい。B15</t>
    <rPh sb="9" eb="11">
      <t>チシキ</t>
    </rPh>
    <rPh sb="12" eb="14">
      <t>テイチャク</t>
    </rPh>
    <rPh sb="15" eb="17">
      <t>カクジツ</t>
    </rPh>
    <phoneticPr fontId="1"/>
  </si>
  <si>
    <t>・知識の定着、あと一歩。実験・観察の態度はとてもよい。</t>
    <rPh sb="1" eb="3">
      <t>チシキ</t>
    </rPh>
    <rPh sb="4" eb="6">
      <t>テイチャク</t>
    </rPh>
    <rPh sb="9" eb="11">
      <t>イッポ</t>
    </rPh>
    <rPh sb="12" eb="14">
      <t>ジッケン</t>
    </rPh>
    <rPh sb="15" eb="17">
      <t>カンサツ</t>
    </rPh>
    <rPh sb="18" eb="20">
      <t>タイド</t>
    </rPh>
    <phoneticPr fontId="1"/>
  </si>
  <si>
    <t>・授業レポートの内容が分かりやすく記述されている。知識の定着をさらに確実しておきたい。</t>
    <rPh sb="1" eb="3">
      <t>ジュギョウ</t>
    </rPh>
    <rPh sb="8" eb="10">
      <t>ナイヨウ</t>
    </rPh>
    <rPh sb="11" eb="12">
      <t>ワ</t>
    </rPh>
    <rPh sb="17" eb="19">
      <t>キジュツ</t>
    </rPh>
    <rPh sb="25" eb="27">
      <t>チシキ</t>
    </rPh>
    <rPh sb="28" eb="30">
      <t>テイチャク</t>
    </rPh>
    <rPh sb="34" eb="36">
      <t>カクジツ</t>
    </rPh>
    <phoneticPr fontId="1"/>
  </si>
  <si>
    <t>・知識の定着があと一歩である。復習を確実にしておきたい。</t>
    <rPh sb="1" eb="3">
      <t>チシキ</t>
    </rPh>
    <rPh sb="4" eb="6">
      <t>テイチャク</t>
    </rPh>
    <rPh sb="9" eb="11">
      <t>イッポ</t>
    </rPh>
    <rPh sb="15" eb="17">
      <t>フクシュウ</t>
    </rPh>
    <rPh sb="18" eb="20">
      <t>カクジツ</t>
    </rPh>
    <phoneticPr fontId="1"/>
  </si>
  <si>
    <t>・学習態度は意欲的でよい。知識の定着がやや甘い。</t>
    <rPh sb="1" eb="3">
      <t>ガクシュウ</t>
    </rPh>
    <rPh sb="3" eb="5">
      <t>タイド</t>
    </rPh>
    <rPh sb="6" eb="9">
      <t>イヨクテキ</t>
    </rPh>
    <rPh sb="13" eb="15">
      <t>チシキ</t>
    </rPh>
    <rPh sb="16" eb="18">
      <t>テイチャク</t>
    </rPh>
    <rPh sb="21" eb="22">
      <t>アマ</t>
    </rPh>
    <phoneticPr fontId="1"/>
  </si>
  <si>
    <t>・追求力がある。納得するまで質問する姿がよい。</t>
    <rPh sb="1" eb="3">
      <t>ツイキュウ</t>
    </rPh>
    <rPh sb="3" eb="4">
      <t>リョク</t>
    </rPh>
    <rPh sb="8" eb="10">
      <t>ナットク</t>
    </rPh>
    <rPh sb="14" eb="16">
      <t>シツモン</t>
    </rPh>
    <rPh sb="18" eb="19">
      <t>スガタ</t>
    </rPh>
    <phoneticPr fontId="1"/>
  </si>
  <si>
    <t>・真面目な学習態度でｓる。重要語句等の習得を確実にしたい。</t>
    <rPh sb="1" eb="4">
      <t>マジメ</t>
    </rPh>
    <rPh sb="5" eb="7">
      <t>ガクシュウ</t>
    </rPh>
    <rPh sb="7" eb="9">
      <t>タイド</t>
    </rPh>
    <rPh sb="13" eb="15">
      <t>ジュウヨウ</t>
    </rPh>
    <rPh sb="15" eb="17">
      <t>ゴク</t>
    </rPh>
    <rPh sb="17" eb="18">
      <t>トウ</t>
    </rPh>
    <rPh sb="19" eb="21">
      <t>シュウトク</t>
    </rPh>
    <rPh sb="22" eb="24">
      <t>カクジツ</t>
    </rPh>
    <phoneticPr fontId="1"/>
  </si>
  <si>
    <t>・学習態度は意欲的でよい。知識の定着も確実でよい。。</t>
    <rPh sb="1" eb="3">
      <t>ガクシュウ</t>
    </rPh>
    <rPh sb="3" eb="5">
      <t>タイド</t>
    </rPh>
    <rPh sb="6" eb="9">
      <t>イヨクテキ</t>
    </rPh>
    <rPh sb="13" eb="15">
      <t>チシキ</t>
    </rPh>
    <rPh sb="16" eb="18">
      <t>テイチャク</t>
    </rPh>
    <rPh sb="19" eb="21">
      <t>カクジツ</t>
    </rPh>
    <phoneticPr fontId="1"/>
  </si>
  <si>
    <t>・意欲的であるが、早とちりが足を引っ張ている。落ち着いた学習態度を二学期は期待する。</t>
    <rPh sb="1" eb="4">
      <t>イヨクテキ</t>
    </rPh>
    <rPh sb="9" eb="10">
      <t>ハヤ</t>
    </rPh>
    <rPh sb="14" eb="15">
      <t>アシ</t>
    </rPh>
    <rPh sb="16" eb="17">
      <t>ヒ</t>
    </rPh>
    <rPh sb="18" eb="19">
      <t>パ</t>
    </rPh>
    <rPh sb="23" eb="24">
      <t>オ</t>
    </rPh>
    <rPh sb="25" eb="26">
      <t>ツ</t>
    </rPh>
    <rPh sb="28" eb="30">
      <t>ガクシュウ</t>
    </rPh>
    <rPh sb="30" eb="32">
      <t>タイド</t>
    </rPh>
    <rPh sb="33" eb="36">
      <t>ニガッキ</t>
    </rPh>
    <rPh sb="37" eb="39">
      <t>キタイ</t>
    </rPh>
    <phoneticPr fontId="1"/>
  </si>
  <si>
    <t>・課題等の提出がよくない。実験・観察態度は積極的でよい。</t>
    <rPh sb="1" eb="3">
      <t>カダイ</t>
    </rPh>
    <rPh sb="3" eb="4">
      <t>トウ</t>
    </rPh>
    <rPh sb="5" eb="7">
      <t>テイシュツ</t>
    </rPh>
    <rPh sb="13" eb="15">
      <t>ジッケン</t>
    </rPh>
    <rPh sb="16" eb="18">
      <t>カンサツ</t>
    </rPh>
    <rPh sb="18" eb="20">
      <t>タイド</t>
    </rPh>
    <rPh sb="21" eb="23">
      <t>セッキョク</t>
    </rPh>
    <rPh sb="23" eb="24">
      <t>テキ</t>
    </rPh>
    <phoneticPr fontId="1"/>
  </si>
  <si>
    <t>・知識の定着、あと一歩。重要語句等の習得を確実にしたい。</t>
    <rPh sb="1" eb="3">
      <t>チシキ</t>
    </rPh>
    <rPh sb="4" eb="6">
      <t>テイチャク</t>
    </rPh>
    <rPh sb="9" eb="11">
      <t>イッポ</t>
    </rPh>
    <rPh sb="12" eb="16">
      <t>ジュウヨウゴク</t>
    </rPh>
    <rPh sb="16" eb="17">
      <t>トウ</t>
    </rPh>
    <rPh sb="18" eb="20">
      <t>シュウトク</t>
    </rPh>
    <rPh sb="21" eb="23">
      <t>カクジツ</t>
    </rPh>
    <phoneticPr fontId="1"/>
  </si>
  <si>
    <t>・実験・観察等、前向きに取り組んでいる。知識の定着にさらに力を入れたい。</t>
    <rPh sb="1" eb="3">
      <t>ジッケン</t>
    </rPh>
    <rPh sb="4" eb="6">
      <t>カンサツ</t>
    </rPh>
    <rPh sb="6" eb="7">
      <t>トウ</t>
    </rPh>
    <rPh sb="8" eb="10">
      <t>マエム</t>
    </rPh>
    <rPh sb="12" eb="13">
      <t>ト</t>
    </rPh>
    <rPh sb="14" eb="15">
      <t>ク</t>
    </rPh>
    <rPh sb="20" eb="22">
      <t>チシキ</t>
    </rPh>
    <rPh sb="23" eb="25">
      <t>テイチャク</t>
    </rPh>
    <rPh sb="29" eb="30">
      <t>チカラ</t>
    </rPh>
    <rPh sb="31" eb="32">
      <t>イ</t>
    </rPh>
    <phoneticPr fontId="1"/>
  </si>
  <si>
    <t>・目標をもって頑張っている姿がすばらしい。1学期当初に比べると向上している。</t>
    <rPh sb="1" eb="3">
      <t>モクヒョウ</t>
    </rPh>
    <rPh sb="7" eb="9">
      <t>ガンバ</t>
    </rPh>
    <rPh sb="13" eb="14">
      <t>スガタ</t>
    </rPh>
    <rPh sb="22" eb="26">
      <t>ガッキトウショ</t>
    </rPh>
    <rPh sb="27" eb="28">
      <t>クラ</t>
    </rPh>
    <rPh sb="31" eb="33">
      <t>コウジョウ</t>
    </rPh>
    <phoneticPr fontId="1"/>
  </si>
  <si>
    <t>・知識の定着が安定している。復習も丁寧でよい。</t>
    <rPh sb="1" eb="3">
      <t>チシキ</t>
    </rPh>
    <rPh sb="4" eb="6">
      <t>テイチャク</t>
    </rPh>
    <rPh sb="7" eb="9">
      <t>アンテイ</t>
    </rPh>
    <rPh sb="14" eb="16">
      <t>フクシュウ</t>
    </rPh>
    <rPh sb="17" eb="19">
      <t>テイネイ</t>
    </rPh>
    <phoneticPr fontId="1"/>
  </si>
  <si>
    <t>・授業レポートなど見やすくまとめとめられている。テスト点があと一歩。</t>
    <rPh sb="1" eb="3">
      <t>ジュギョウ</t>
    </rPh>
    <rPh sb="9" eb="10">
      <t>ミ</t>
    </rPh>
    <rPh sb="27" eb="28">
      <t>テン</t>
    </rPh>
    <rPh sb="31" eb="33">
      <t>イッポ</t>
    </rPh>
    <phoneticPr fontId="1"/>
  </si>
  <si>
    <t>・博学である。知識の定着も確実でよい。</t>
    <rPh sb="1" eb="3">
      <t>ハクガク</t>
    </rPh>
    <rPh sb="7" eb="9">
      <t>チシキ</t>
    </rPh>
    <rPh sb="10" eb="12">
      <t>テイチャク</t>
    </rPh>
    <rPh sb="13" eb="15">
      <t>カクジツ</t>
    </rPh>
    <phoneticPr fontId="1"/>
  </si>
  <si>
    <t>知識・技能（期末テストワークテスト）</t>
  </si>
  <si>
    <t>思考力・判断力・表現力（オンライン授業・リスニング・英作文）</t>
    <rPh sb="17" eb="19">
      <t>ジュギョウ</t>
    </rPh>
    <rPh sb="26" eb="29">
      <t>エイサクブン</t>
    </rPh>
    <rPh sb="28" eb="29">
      <t>アヤ</t>
    </rPh>
    <phoneticPr fontId="1"/>
  </si>
  <si>
    <t>主体的に取り組む態度（提出物・授業態度）</t>
  </si>
  <si>
    <t>提出率９５％。集中して授業を受けられている。</t>
    <rPh sb="0" eb="3">
      <t>テイシュツリツ</t>
    </rPh>
    <rPh sb="7" eb="9">
      <t>シュウチュウ</t>
    </rPh>
    <rPh sb="11" eb="13">
      <t>ジュギョウ</t>
    </rPh>
    <rPh sb="14" eb="15">
      <t>ウ</t>
    </rPh>
    <phoneticPr fontId="1"/>
  </si>
  <si>
    <t>提出率91％　英語を使う機会を大事にしている姿勢が良いです。新しく出会った単語や基本文を積極的に学び、さらに英作文を得意にしていきましょう。</t>
    <rPh sb="0" eb="3">
      <t>テイシュツリツ</t>
    </rPh>
    <rPh sb="7" eb="9">
      <t>エイゴ</t>
    </rPh>
    <rPh sb="10" eb="11">
      <t>ツカ</t>
    </rPh>
    <rPh sb="12" eb="14">
      <t>キカイ</t>
    </rPh>
    <rPh sb="15" eb="17">
      <t>ダイジ</t>
    </rPh>
    <rPh sb="22" eb="24">
      <t>シセイ</t>
    </rPh>
    <rPh sb="25" eb="26">
      <t>ヨ</t>
    </rPh>
    <rPh sb="30" eb="31">
      <t>アタラ</t>
    </rPh>
    <rPh sb="33" eb="35">
      <t>デア</t>
    </rPh>
    <rPh sb="37" eb="39">
      <t>タンゴ</t>
    </rPh>
    <rPh sb="40" eb="43">
      <t>キホンブン</t>
    </rPh>
    <rPh sb="44" eb="47">
      <t>セッキョクテキ</t>
    </rPh>
    <rPh sb="48" eb="49">
      <t>マナ</t>
    </rPh>
    <rPh sb="54" eb="57">
      <t>エイサクブン</t>
    </rPh>
    <rPh sb="58" eb="60">
      <t>トクイ</t>
    </rPh>
    <phoneticPr fontId="1"/>
  </si>
  <si>
    <t>提出率９０％。質問を積極的にしてくることができ、頑張ろうという気持ちが伝わってくる。</t>
    <rPh sb="0" eb="3">
      <t>テイシュツリツ</t>
    </rPh>
    <rPh sb="7" eb="9">
      <t>シツモン</t>
    </rPh>
    <rPh sb="10" eb="13">
      <t>セッキョクテキ</t>
    </rPh>
    <rPh sb="24" eb="26">
      <t>ガンバ</t>
    </rPh>
    <rPh sb="31" eb="33">
      <t>キモ</t>
    </rPh>
    <rPh sb="35" eb="36">
      <t>ツタ</t>
    </rPh>
    <phoneticPr fontId="1"/>
  </si>
  <si>
    <t>提出率100％　自分はもっとできる！という気持ちを持って家庭学習をするだけで、点数も変わってくると思います。</t>
    <rPh sb="0" eb="3">
      <t>テイシュツリツ</t>
    </rPh>
    <rPh sb="8" eb="10">
      <t>ジブン</t>
    </rPh>
    <rPh sb="21" eb="23">
      <t>キモ</t>
    </rPh>
    <rPh sb="25" eb="26">
      <t>モ</t>
    </rPh>
    <rPh sb="28" eb="32">
      <t>カテイガクシュウ</t>
    </rPh>
    <rPh sb="39" eb="41">
      <t>テンスウ</t>
    </rPh>
    <rPh sb="42" eb="43">
      <t>カ</t>
    </rPh>
    <rPh sb="49" eb="50">
      <t>オモ</t>
    </rPh>
    <phoneticPr fontId="1"/>
  </si>
  <si>
    <t>提出率100％　高い英語力を維持する努力をしています。問題に出てくる英文を覚えるだけでなく、自分が言いたいことも書く練習をして表現の幅を広げてください。</t>
    <rPh sb="0" eb="3">
      <t>テイシュツリツ</t>
    </rPh>
    <rPh sb="8" eb="9">
      <t>タカ</t>
    </rPh>
    <rPh sb="10" eb="13">
      <t>エイゴリョク</t>
    </rPh>
    <rPh sb="14" eb="16">
      <t>イジ</t>
    </rPh>
    <rPh sb="18" eb="20">
      <t>ドリョク</t>
    </rPh>
    <rPh sb="27" eb="29">
      <t>モンダイ</t>
    </rPh>
    <rPh sb="30" eb="31">
      <t>デ</t>
    </rPh>
    <rPh sb="34" eb="36">
      <t>エイブン</t>
    </rPh>
    <rPh sb="37" eb="38">
      <t>オボ</t>
    </rPh>
    <rPh sb="46" eb="48">
      <t>ジブン</t>
    </rPh>
    <rPh sb="49" eb="50">
      <t>イ</t>
    </rPh>
    <rPh sb="56" eb="57">
      <t>カ</t>
    </rPh>
    <rPh sb="58" eb="60">
      <t>レンシュウ</t>
    </rPh>
    <rPh sb="63" eb="65">
      <t>ヒョウゲン</t>
    </rPh>
    <rPh sb="66" eb="67">
      <t>ハバ</t>
    </rPh>
    <rPh sb="68" eb="69">
      <t>ヒロ</t>
    </rPh>
    <phoneticPr fontId="1"/>
  </si>
  <si>
    <t>提出率１００％。真面目に素直に取り組めている。</t>
    <rPh sb="0" eb="3">
      <t>テイシュツリツ</t>
    </rPh>
    <rPh sb="8" eb="11">
      <t>マジメ</t>
    </rPh>
    <rPh sb="12" eb="14">
      <t>スナオ</t>
    </rPh>
    <rPh sb="15" eb="16">
      <t>ト</t>
    </rPh>
    <rPh sb="17" eb="18">
      <t>ク</t>
    </rPh>
    <phoneticPr fontId="1"/>
  </si>
  <si>
    <t>提出率58％　授業内で英語を使う機会を大事にしながら、聞く話す力を高めています。課題への取り組みで評価が下がっています。</t>
    <rPh sb="0" eb="3">
      <t>テイシュツリツ</t>
    </rPh>
    <rPh sb="7" eb="9">
      <t>ジュギョウ</t>
    </rPh>
    <rPh sb="9" eb="10">
      <t>ナイ</t>
    </rPh>
    <rPh sb="11" eb="13">
      <t>エイゴ</t>
    </rPh>
    <rPh sb="14" eb="15">
      <t>ツカ</t>
    </rPh>
    <rPh sb="16" eb="18">
      <t>キカイ</t>
    </rPh>
    <rPh sb="19" eb="21">
      <t>ダイジ</t>
    </rPh>
    <rPh sb="27" eb="28">
      <t>キ</t>
    </rPh>
    <rPh sb="29" eb="30">
      <t>ハナ</t>
    </rPh>
    <rPh sb="31" eb="32">
      <t>チカラ</t>
    </rPh>
    <rPh sb="33" eb="34">
      <t>タカ</t>
    </rPh>
    <phoneticPr fontId="1"/>
  </si>
  <si>
    <t>提出率３７％。ミニ単語テストでは７割の正答率なので、提出物がAになるだけでも違うと思うので、宿題の習慣化ができるとよい。</t>
    <rPh sb="0" eb="3">
      <t>テイシュツリツ</t>
    </rPh>
    <rPh sb="9" eb="11">
      <t>タンゴ</t>
    </rPh>
    <rPh sb="17" eb="18">
      <t>ワリ</t>
    </rPh>
    <rPh sb="19" eb="22">
      <t>セイトウリツ</t>
    </rPh>
    <rPh sb="26" eb="29">
      <t>テイシュツブツ</t>
    </rPh>
    <rPh sb="38" eb="39">
      <t>チガ</t>
    </rPh>
    <rPh sb="41" eb="42">
      <t>オモ</t>
    </rPh>
    <rPh sb="46" eb="48">
      <t>シュクダイ</t>
    </rPh>
    <rPh sb="49" eb="52">
      <t>シュウカンカ</t>
    </rPh>
    <phoneticPr fontId="1"/>
  </si>
  <si>
    <t>提出率１５％。気分にむらがあり、時にネガティブ発言が目立つ。更に宿題提出がとびぬけて悪く、そのあとにどうにかしようという取り組みも見えない。学んだ内容の理解はできていると感じるので、テストの点数だけでなく日頃の取り組みからよい印象を受けられるといいのになと思う。</t>
    <rPh sb="0" eb="3">
      <t>テイシュツリツ</t>
    </rPh>
    <rPh sb="7" eb="9">
      <t>キブン</t>
    </rPh>
    <rPh sb="16" eb="17">
      <t>トキ</t>
    </rPh>
    <rPh sb="23" eb="25">
      <t>ハツゲン</t>
    </rPh>
    <rPh sb="26" eb="28">
      <t>メダ</t>
    </rPh>
    <rPh sb="30" eb="31">
      <t>サラ</t>
    </rPh>
    <rPh sb="32" eb="36">
      <t>シュクダイテイシュツ</t>
    </rPh>
    <rPh sb="42" eb="43">
      <t>ワル</t>
    </rPh>
    <rPh sb="60" eb="61">
      <t>ト</t>
    </rPh>
    <rPh sb="62" eb="63">
      <t>ク</t>
    </rPh>
    <rPh sb="65" eb="66">
      <t>ミ</t>
    </rPh>
    <rPh sb="70" eb="71">
      <t>マナ</t>
    </rPh>
    <rPh sb="73" eb="75">
      <t>ナイヨウ</t>
    </rPh>
    <rPh sb="76" eb="78">
      <t>リカイ</t>
    </rPh>
    <rPh sb="85" eb="86">
      <t>カン</t>
    </rPh>
    <rPh sb="95" eb="97">
      <t>テンスウ</t>
    </rPh>
    <rPh sb="102" eb="104">
      <t>ヒゴロ</t>
    </rPh>
    <rPh sb="105" eb="106">
      <t>ト</t>
    </rPh>
    <rPh sb="107" eb="108">
      <t>ク</t>
    </rPh>
    <rPh sb="113" eb="115">
      <t>インショウ</t>
    </rPh>
    <rPh sb="116" eb="117">
      <t>ウ</t>
    </rPh>
    <rPh sb="128" eb="129">
      <t>オモ</t>
    </rPh>
    <phoneticPr fontId="1"/>
  </si>
  <si>
    <t>提出率９４％。集中して授業を受けられている。</t>
    <rPh sb="0" eb="3">
      <t>テイシュツリツ</t>
    </rPh>
    <rPh sb="7" eb="9">
      <t>シュウチュウ</t>
    </rPh>
    <rPh sb="11" eb="13">
      <t>ジュギョウ</t>
    </rPh>
    <rPh sb="14" eb="15">
      <t>ウ</t>
    </rPh>
    <phoneticPr fontId="1"/>
  </si>
  <si>
    <t>提出率４０％。提出物がAになるだけでも救われることはあるはずなので、宿題の習慣化ができるとよい。</t>
    <rPh sb="0" eb="3">
      <t>テイシュツリツ</t>
    </rPh>
    <rPh sb="7" eb="10">
      <t>テイシュツブツ</t>
    </rPh>
    <rPh sb="19" eb="20">
      <t>スク</t>
    </rPh>
    <phoneticPr fontId="1"/>
  </si>
  <si>
    <t>提出率１００％。質問を積極的にしてくることができ、頑張ろうという気持ちが伝わってくる。</t>
    <rPh sb="0" eb="3">
      <t>テイシュツリツ</t>
    </rPh>
    <phoneticPr fontId="1"/>
  </si>
  <si>
    <t>提出率１００％。集中して授業を受けられている。</t>
    <rPh sb="0" eb="3">
      <t>テイシュツリツ</t>
    </rPh>
    <phoneticPr fontId="1"/>
  </si>
  <si>
    <t>提出率１００％。丁寧に学べている。いずれ発展コースに行かせてあげたい。</t>
    <rPh sb="0" eb="3">
      <t>テイシュツリツ</t>
    </rPh>
    <rPh sb="8" eb="10">
      <t>テイネイ</t>
    </rPh>
    <rPh sb="11" eb="12">
      <t>マナ</t>
    </rPh>
    <rPh sb="20" eb="22">
      <t>ハッテン</t>
    </rPh>
    <rPh sb="26" eb="27">
      <t>イ</t>
    </rPh>
    <phoneticPr fontId="1"/>
  </si>
  <si>
    <t>提出率６５％。提出物がAになるだけでも救われることはあるはずなので、宿題の習慣化ができるとよい。</t>
    <rPh sb="0" eb="3">
      <t>テイシュツリツ</t>
    </rPh>
    <phoneticPr fontId="1"/>
  </si>
  <si>
    <t>提出率１００％。質問を積極的にしてくることができ、頑張ろうという気持ちが伝わってくる。いずれ発展コースに行かせてあげたい。</t>
    <rPh sb="0" eb="3">
      <t>テイシュツリツ</t>
    </rPh>
    <rPh sb="46" eb="48">
      <t>ハッテン</t>
    </rPh>
    <rPh sb="52" eb="53">
      <t>イ</t>
    </rPh>
    <phoneticPr fontId="1"/>
  </si>
  <si>
    <t>知識・技能(提出物、演奏聴取、ワークシート、定期テスト)</t>
    <rPh sb="0" eb="2">
      <t>チシキ</t>
    </rPh>
    <rPh sb="3" eb="5">
      <t>ギノウ</t>
    </rPh>
    <rPh sb="6" eb="9">
      <t>テイシュツブツ</t>
    </rPh>
    <rPh sb="10" eb="14">
      <t>エンソウチョウシュ</t>
    </rPh>
    <rPh sb="22" eb="24">
      <t>テイキ</t>
    </rPh>
    <phoneticPr fontId="1"/>
  </si>
  <si>
    <t>思考力・判断力・表現力(提出物、演奏聴取、ワークシート、定期テスト)</t>
    <rPh sb="0" eb="3">
      <t>シコウリョク</t>
    </rPh>
    <rPh sb="4" eb="7">
      <t>ハンダンリョク</t>
    </rPh>
    <rPh sb="8" eb="11">
      <t>ヒョウゲンリョク</t>
    </rPh>
    <rPh sb="12" eb="15">
      <t>テイシュツブツ</t>
    </rPh>
    <rPh sb="16" eb="20">
      <t>エンソウチョウシュ</t>
    </rPh>
    <rPh sb="28" eb="30">
      <t>テイキ</t>
    </rPh>
    <phoneticPr fontId="1"/>
  </si>
  <si>
    <t>主体的に学習に取り組む態度</t>
    <rPh sb="0" eb="3">
      <t>シュタイテキ</t>
    </rPh>
    <rPh sb="4" eb="6">
      <t>ガクシュウ</t>
    </rPh>
    <rPh sb="7" eb="8">
      <t>ト</t>
    </rPh>
    <rPh sb="9" eb="10">
      <t>ク</t>
    </rPh>
    <rPh sb="11" eb="13">
      <t>タイド</t>
    </rPh>
    <phoneticPr fontId="1"/>
  </si>
  <si>
    <t>知識・技能（ワークシート・テスト）</t>
  </si>
  <si>
    <t>思考・判断・表現（作品・テスト・クロッキー）</t>
  </si>
  <si>
    <t>主体的な態度（振り返りシート・授業態度・提出物・持ち物）</t>
  </si>
  <si>
    <t>知識・技能（実技・定期テスト）</t>
  </si>
  <si>
    <t>知識・技能(定期テスト・学習ノート・電池チェッカーの製作・テーブルタップの組立）</t>
    <rPh sb="0" eb="2">
      <t>ちしき</t>
    </rPh>
    <rPh sb="3" eb="5">
      <t>ぎのう</t>
    </rPh>
    <rPh sb="6" eb="8">
      <t>ていき</t>
    </rPh>
    <rPh sb="12" eb="14">
      <t>がくしゅう</t>
    </rPh>
    <rPh sb="18" eb="20">
      <t>でんち</t>
    </rPh>
    <rPh sb="26" eb="28">
      <t>せいさく</t>
    </rPh>
    <rPh sb="37" eb="39">
      <t>くみたて</t>
    </rPh>
    <phoneticPr fontId="14" type="Hiragana" alignment="distributed"/>
  </si>
  <si>
    <t>思考・判断・表現（電気図記号を使った電気回路の製作・半田付・部屋の平面計画・授業プリント）</t>
    <rPh sb="0" eb="2">
      <t>しこう</t>
    </rPh>
    <rPh sb="3" eb="5">
      <t>はんだん</t>
    </rPh>
    <rPh sb="6" eb="8">
      <t>ひょうげん</t>
    </rPh>
    <rPh sb="9" eb="11">
      <t>でんき</t>
    </rPh>
    <rPh sb="11" eb="14">
      <t>ずきごう</t>
    </rPh>
    <rPh sb="15" eb="16">
      <t>つか</t>
    </rPh>
    <rPh sb="18" eb="20">
      <t>でんき</t>
    </rPh>
    <rPh sb="20" eb="22">
      <t>かいろ</t>
    </rPh>
    <rPh sb="23" eb="25">
      <t>せいさく</t>
    </rPh>
    <rPh sb="26" eb="29">
      <t>はんだづ</t>
    </rPh>
    <rPh sb="30" eb="32">
      <t>へや</t>
    </rPh>
    <rPh sb="33" eb="37">
      <t>へいめんけいかく</t>
    </rPh>
    <rPh sb="38" eb="40">
      <t>じゅぎょう</t>
    </rPh>
    <phoneticPr fontId="14" type="Hiragana" alignment="distributed"/>
  </si>
  <si>
    <t>提出物を忘れずに、諦めずに提出しましょう。（家庭科）</t>
    <rPh sb="0" eb="3">
      <t>テイシュツブツ</t>
    </rPh>
    <rPh sb="4" eb="5">
      <t>ワス</t>
    </rPh>
    <rPh sb="9" eb="10">
      <t>アキラ</t>
    </rPh>
    <rPh sb="13" eb="15">
      <t>テイシュツ</t>
    </rPh>
    <rPh sb="22" eb="25">
      <t>カテイカ</t>
    </rPh>
    <phoneticPr fontId="1"/>
  </si>
  <si>
    <t>道徳の授業で学ぶべき、社会生活を送るうえで大切な考え方について、友達と話し合い再確認する『道徳で何を学ぶの？』の単元では、「自分には強い意思と向上心が足りていないのではないかと感じた。自分の意見をしっかり言えるようにしていきたい。」と振り返りました。グループの発表の際には、自分の考えをしっかりとまわりに伝えることができていました。今後の活動でも実践していきましょう。</t>
    <rPh sb="0" eb="2">
      <t>ドウトク</t>
    </rPh>
    <rPh sb="3" eb="5">
      <t>ジュギョウ</t>
    </rPh>
    <rPh sb="6" eb="7">
      <t>マナ</t>
    </rPh>
    <rPh sb="11" eb="15">
      <t>シャカイセイカツ</t>
    </rPh>
    <rPh sb="16" eb="17">
      <t>オク</t>
    </rPh>
    <rPh sb="21" eb="23">
      <t>タイセツ</t>
    </rPh>
    <rPh sb="24" eb="25">
      <t>カンガ</t>
    </rPh>
    <rPh sb="26" eb="27">
      <t>カタ</t>
    </rPh>
    <rPh sb="32" eb="34">
      <t>トモダチ</t>
    </rPh>
    <rPh sb="35" eb="36">
      <t>ハナ</t>
    </rPh>
    <rPh sb="37" eb="38">
      <t>ア</t>
    </rPh>
    <rPh sb="39" eb="42">
      <t>サイカクニン</t>
    </rPh>
    <rPh sb="45" eb="47">
      <t>ドウトク</t>
    </rPh>
    <rPh sb="48" eb="49">
      <t>ナニ</t>
    </rPh>
    <rPh sb="50" eb="51">
      <t>マナ</t>
    </rPh>
    <rPh sb="56" eb="58">
      <t>タンゲン</t>
    </rPh>
    <rPh sb="62" eb="64">
      <t>ジブン</t>
    </rPh>
    <rPh sb="66" eb="67">
      <t>ツヨ</t>
    </rPh>
    <rPh sb="68" eb="70">
      <t>イシ</t>
    </rPh>
    <rPh sb="71" eb="74">
      <t>コウジョウシン</t>
    </rPh>
    <rPh sb="75" eb="76">
      <t>タ</t>
    </rPh>
    <rPh sb="88" eb="89">
      <t>カン</t>
    </rPh>
    <rPh sb="92" eb="94">
      <t>ジブン</t>
    </rPh>
    <rPh sb="95" eb="97">
      <t>イケン</t>
    </rPh>
    <rPh sb="102" eb="103">
      <t>イ</t>
    </rPh>
    <rPh sb="117" eb="118">
      <t>フ</t>
    </rPh>
    <rPh sb="119" eb="120">
      <t>カエ</t>
    </rPh>
    <rPh sb="130" eb="132">
      <t>ハッピョウ</t>
    </rPh>
    <rPh sb="133" eb="134">
      <t>サイ</t>
    </rPh>
    <rPh sb="137" eb="139">
      <t>ジブン</t>
    </rPh>
    <rPh sb="140" eb="141">
      <t>カンガ</t>
    </rPh>
    <rPh sb="152" eb="153">
      <t>ツタ</t>
    </rPh>
    <phoneticPr fontId="1"/>
  </si>
  <si>
    <t>富士山でごみ拾いボランティアと啓発運動を続ける人へのインタビューから、自然保護について考える『僕の仕事場は富士山です』の単元では、「山や川の自然にごみがたくさん捨てられている現状を見せ、動物に被害がでていることを伝えていくことで、誰もが『自然の中にごみを捨てない』という意識をもつことだできるのではないか」と振り返りました。今後の活動でも実践していきましょう。</t>
    <rPh sb="0" eb="3">
      <t>フジサン</t>
    </rPh>
    <rPh sb="6" eb="7">
      <t>ヒロ</t>
    </rPh>
    <rPh sb="66" eb="67">
      <t>ヤマ</t>
    </rPh>
    <rPh sb="68" eb="69">
      <t>カワ</t>
    </rPh>
    <rPh sb="70" eb="72">
      <t>シゼン</t>
    </rPh>
    <rPh sb="80" eb="81">
      <t>ス</t>
    </rPh>
    <rPh sb="87" eb="89">
      <t>ゲンジョウ</t>
    </rPh>
    <rPh sb="90" eb="91">
      <t>ミ</t>
    </rPh>
    <rPh sb="93" eb="95">
      <t>ドウブツ</t>
    </rPh>
    <rPh sb="96" eb="98">
      <t>ヒガイ</t>
    </rPh>
    <rPh sb="106" eb="107">
      <t>ツタ</t>
    </rPh>
    <phoneticPr fontId="1"/>
  </si>
  <si>
    <t>藏井 陽菜乃</t>
    <rPh sb="0" eb="6">
      <t>クライ</t>
    </rPh>
    <phoneticPr fontId="1"/>
  </si>
  <si>
    <t>道徳の授業で学ぶべき、社会生活を送るうえで大切な考え方について、友達と話し合い再確認する『道徳で何を学ぶの？』の単元では、「自分で考えず、他人任せにすることが多いので、責任をもつことを心がける」「班の人たちの意見交流を通し、他の人の意見を尊重することは大切だと感じた」と振り返りました。今後の活動でも実践していきましょう。</t>
    <rPh sb="0" eb="2">
      <t>ドウトク</t>
    </rPh>
    <rPh sb="3" eb="5">
      <t>ジュギョウ</t>
    </rPh>
    <rPh sb="6" eb="7">
      <t>マナ</t>
    </rPh>
    <rPh sb="11" eb="15">
      <t>シャカイセイカツ</t>
    </rPh>
    <rPh sb="16" eb="17">
      <t>オク</t>
    </rPh>
    <rPh sb="21" eb="23">
      <t>タイセツ</t>
    </rPh>
    <rPh sb="24" eb="25">
      <t>カンガ</t>
    </rPh>
    <rPh sb="26" eb="27">
      <t>カタ</t>
    </rPh>
    <rPh sb="32" eb="34">
      <t>トモダチ</t>
    </rPh>
    <rPh sb="35" eb="36">
      <t>ハナ</t>
    </rPh>
    <rPh sb="37" eb="38">
      <t>ア</t>
    </rPh>
    <rPh sb="39" eb="42">
      <t>サイカクニン</t>
    </rPh>
    <rPh sb="45" eb="47">
      <t>ドウトク</t>
    </rPh>
    <rPh sb="48" eb="49">
      <t>ナニ</t>
    </rPh>
    <rPh sb="50" eb="51">
      <t>マナ</t>
    </rPh>
    <rPh sb="56" eb="58">
      <t>タンゲン</t>
    </rPh>
    <rPh sb="62" eb="64">
      <t>ジブン</t>
    </rPh>
    <rPh sb="65" eb="66">
      <t>カンガ</t>
    </rPh>
    <rPh sb="69" eb="72">
      <t>タニンマカ</t>
    </rPh>
    <rPh sb="79" eb="80">
      <t>オオ</t>
    </rPh>
    <rPh sb="84" eb="86">
      <t>セキニン</t>
    </rPh>
    <rPh sb="92" eb="93">
      <t>ココロ</t>
    </rPh>
    <rPh sb="98" eb="99">
      <t>ハン</t>
    </rPh>
    <rPh sb="100" eb="101">
      <t>ヒト</t>
    </rPh>
    <rPh sb="104" eb="108">
      <t>イケンコウリュウ</t>
    </rPh>
    <rPh sb="109" eb="110">
      <t>トオ</t>
    </rPh>
    <rPh sb="112" eb="113">
      <t>ホカ</t>
    </rPh>
    <rPh sb="114" eb="115">
      <t>ヒト</t>
    </rPh>
    <rPh sb="116" eb="118">
      <t>イケン</t>
    </rPh>
    <rPh sb="119" eb="121">
      <t>ソンチョウ</t>
    </rPh>
    <rPh sb="126" eb="128">
      <t>タイセツ</t>
    </rPh>
    <rPh sb="130" eb="131">
      <t>カン</t>
    </rPh>
    <rPh sb="135" eb="136">
      <t>フ</t>
    </rPh>
    <rPh sb="137" eb="138">
      <t>カエ</t>
    </rPh>
    <phoneticPr fontId="1"/>
  </si>
  <si>
    <t>富士山でごみ拾いボランティアと啓発運動を続ける人へのインタビューから、自然保護について考える『僕の仕事場は富士山です』の単元では、「誰もが『自然の中にごみを捨てない』という意識を持つために、ポイ捨てされたごみをスルーするのではなく、自ら拾って、自然を大切にする意識を持てるように心がけていきたい」と振り返りました。今後の活動でも実践していきましょう。</t>
    <rPh sb="66" eb="67">
      <t>ダレ</t>
    </rPh>
    <rPh sb="70" eb="72">
      <t>シゼン</t>
    </rPh>
    <rPh sb="73" eb="74">
      <t>ナカ</t>
    </rPh>
    <rPh sb="78" eb="79">
      <t>ス</t>
    </rPh>
    <rPh sb="86" eb="88">
      <t>イシキ</t>
    </rPh>
    <rPh sb="89" eb="90">
      <t>モ</t>
    </rPh>
    <rPh sb="97" eb="98">
      <t>ス</t>
    </rPh>
    <rPh sb="116" eb="117">
      <t>ミズカ</t>
    </rPh>
    <rPh sb="118" eb="119">
      <t>ヒロ</t>
    </rPh>
    <rPh sb="122" eb="124">
      <t>シゼン</t>
    </rPh>
    <rPh sb="125" eb="127">
      <t>タイセツ</t>
    </rPh>
    <rPh sb="130" eb="132">
      <t>イシキ</t>
    </rPh>
    <rPh sb="133" eb="134">
      <t>モ</t>
    </rPh>
    <rPh sb="139" eb="140">
      <t>ココロ</t>
    </rPh>
    <rPh sb="149" eb="150">
      <t>フ</t>
    </rPh>
    <rPh sb="151" eb="152">
      <t>カエ</t>
    </rPh>
    <rPh sb="157" eb="159">
      <t>コンゴ</t>
    </rPh>
    <rPh sb="160" eb="162">
      <t>カツドウ</t>
    </rPh>
    <rPh sb="164" eb="166">
      <t>ジッセン</t>
    </rPh>
    <phoneticPr fontId="1"/>
  </si>
  <si>
    <t>富士山でごみ拾いボランティアと啓発運動を続ける人へのインタビューから、『自然保護について考える僕の仕事場は富士山です』の単元では、「啓発活動としてポスターや動画作成をすることで、誰もが『自然の中にごみを捨てない』という意識を持つことができると思う」「ごみになりうるものを少しずつ減らしていくことも、環境を守ることにつながる」と振り返りました。今後の活動でも実践していきましょう。</t>
    <rPh sb="0" eb="3">
      <t>フジサン</t>
    </rPh>
    <rPh sb="6" eb="7">
      <t>ヒロ</t>
    </rPh>
    <rPh sb="15" eb="19">
      <t>ケイハツウンドウ</t>
    </rPh>
    <rPh sb="20" eb="21">
      <t>ツヅ</t>
    </rPh>
    <rPh sb="23" eb="24">
      <t>ヒト</t>
    </rPh>
    <rPh sb="36" eb="40">
      <t>シゼンホゴ</t>
    </rPh>
    <rPh sb="44" eb="45">
      <t>カンガ</t>
    </rPh>
    <rPh sb="47" eb="48">
      <t>ボク</t>
    </rPh>
    <rPh sb="49" eb="52">
      <t>シゴトバ</t>
    </rPh>
    <rPh sb="53" eb="56">
      <t>フジサン</t>
    </rPh>
    <rPh sb="60" eb="62">
      <t>タンゲン</t>
    </rPh>
    <rPh sb="66" eb="70">
      <t>ケイハツカツドウ</t>
    </rPh>
    <rPh sb="78" eb="82">
      <t>ドウガサクセイ</t>
    </rPh>
    <rPh sb="89" eb="90">
      <t>ダレ</t>
    </rPh>
    <rPh sb="93" eb="95">
      <t>シゼン</t>
    </rPh>
    <rPh sb="96" eb="97">
      <t>ナカ</t>
    </rPh>
    <rPh sb="101" eb="102">
      <t>ス</t>
    </rPh>
    <rPh sb="109" eb="111">
      <t>イシキ</t>
    </rPh>
    <rPh sb="112" eb="113">
      <t>モ</t>
    </rPh>
    <rPh sb="121" eb="122">
      <t>オモ</t>
    </rPh>
    <rPh sb="135" eb="136">
      <t>スコ</t>
    </rPh>
    <rPh sb="139" eb="140">
      <t>ヘ</t>
    </rPh>
    <rPh sb="149" eb="151">
      <t>カンキョウ</t>
    </rPh>
    <rPh sb="152" eb="153">
      <t>マモ</t>
    </rPh>
    <rPh sb="163" eb="164">
      <t>フ</t>
    </rPh>
    <rPh sb="165" eb="166">
      <t>カエ</t>
    </rPh>
    <rPh sb="171" eb="173">
      <t>コンゴ</t>
    </rPh>
    <rPh sb="174" eb="176">
      <t>カツドウ</t>
    </rPh>
    <rPh sb="178" eb="180">
      <t>ジッセン</t>
    </rPh>
    <phoneticPr fontId="1"/>
  </si>
  <si>
    <t>富士山でごみ拾いボランティアと啓発運動を続ける人へのインタビューから、自然保護について考える『僕の仕事場は富士山です』の単元では、「誰もが『自然の中にごみを捨てない』という意識をもつためには、ごみ拾い活動を呼び掛けていくことが大切になるのではないか」と振り返りました。今後の活動でも実践していきましょう。</t>
    <rPh sb="0" eb="3">
      <t>フジサン</t>
    </rPh>
    <rPh sb="6" eb="7">
      <t>ヒロ</t>
    </rPh>
    <rPh sb="20" eb="21">
      <t>ツヅ</t>
    </rPh>
    <rPh sb="23" eb="24">
      <t>ヒト</t>
    </rPh>
    <rPh sb="35" eb="37">
      <t>シゼン</t>
    </rPh>
    <rPh sb="37" eb="39">
      <t>ホゴ</t>
    </rPh>
    <rPh sb="43" eb="44">
      <t>カンガ</t>
    </rPh>
    <rPh sb="47" eb="48">
      <t>ボク</t>
    </rPh>
    <rPh sb="49" eb="52">
      <t>シゴトバ</t>
    </rPh>
    <rPh sb="53" eb="56">
      <t>フジサン</t>
    </rPh>
    <rPh sb="60" eb="62">
      <t>タンゲン</t>
    </rPh>
    <rPh sb="66" eb="67">
      <t>ダレ</t>
    </rPh>
    <rPh sb="98" eb="99">
      <t>ヒロ</t>
    </rPh>
    <rPh sb="100" eb="102">
      <t>カツドウ</t>
    </rPh>
    <rPh sb="103" eb="104">
      <t>ヨ</t>
    </rPh>
    <rPh sb="105" eb="106">
      <t>カ</t>
    </rPh>
    <rPh sb="113" eb="115">
      <t>タイセツ</t>
    </rPh>
    <phoneticPr fontId="1"/>
  </si>
  <si>
    <t>道徳の授業で学ぶべき、社会生活を送るうえで大切な考え方について、友達と話し合い再確認する『道徳で何を学ぶの？』の単元では、「これから生活していく中で、節度や節制を大切にしていきたい。また節度は保ちつつ、今を楽しむことを忘れないでいたい」と振り返りました。またグループ間での発表を通し、「責任や信頼の意識を持つことも大切にしたい」と話していました。今後の活動でも実践していきましょう。</t>
    <rPh sb="0" eb="2">
      <t>ドウトク</t>
    </rPh>
    <rPh sb="3" eb="5">
      <t>ジュギョウ</t>
    </rPh>
    <rPh sb="6" eb="7">
      <t>マナ</t>
    </rPh>
    <rPh sb="11" eb="15">
      <t>シャカイセイカツ</t>
    </rPh>
    <rPh sb="16" eb="17">
      <t>オク</t>
    </rPh>
    <rPh sb="21" eb="23">
      <t>タイセツ</t>
    </rPh>
    <rPh sb="24" eb="25">
      <t>カンガ</t>
    </rPh>
    <rPh sb="26" eb="27">
      <t>カタ</t>
    </rPh>
    <rPh sb="32" eb="34">
      <t>トモダチ</t>
    </rPh>
    <rPh sb="35" eb="36">
      <t>ハナ</t>
    </rPh>
    <rPh sb="37" eb="38">
      <t>ア</t>
    </rPh>
    <rPh sb="39" eb="42">
      <t>サイカクニン</t>
    </rPh>
    <rPh sb="45" eb="47">
      <t>ドウトク</t>
    </rPh>
    <rPh sb="48" eb="49">
      <t>ナニ</t>
    </rPh>
    <rPh sb="50" eb="51">
      <t>マナ</t>
    </rPh>
    <rPh sb="56" eb="58">
      <t>タンゲン</t>
    </rPh>
    <rPh sb="66" eb="68">
      <t>セイカツ</t>
    </rPh>
    <rPh sb="72" eb="73">
      <t>ナカ</t>
    </rPh>
    <rPh sb="75" eb="77">
      <t>セツド</t>
    </rPh>
    <rPh sb="78" eb="80">
      <t>セッセイ</t>
    </rPh>
    <rPh sb="81" eb="83">
      <t>タイセツ</t>
    </rPh>
    <rPh sb="93" eb="95">
      <t>セツド</t>
    </rPh>
    <rPh sb="96" eb="97">
      <t>タモ</t>
    </rPh>
    <rPh sb="101" eb="102">
      <t>イマ</t>
    </rPh>
    <rPh sb="103" eb="104">
      <t>タノ</t>
    </rPh>
    <rPh sb="109" eb="110">
      <t>ワス</t>
    </rPh>
    <rPh sb="119" eb="120">
      <t>フ</t>
    </rPh>
    <rPh sb="121" eb="122">
      <t>カエ</t>
    </rPh>
    <rPh sb="133" eb="134">
      <t>アイダ</t>
    </rPh>
    <rPh sb="136" eb="138">
      <t>ハッピョウ</t>
    </rPh>
    <rPh sb="139" eb="140">
      <t>トオ</t>
    </rPh>
    <rPh sb="143" eb="145">
      <t>セキニン</t>
    </rPh>
    <rPh sb="146" eb="148">
      <t>シンライ</t>
    </rPh>
    <rPh sb="149" eb="151">
      <t>イシキ</t>
    </rPh>
    <rPh sb="152" eb="153">
      <t>モ</t>
    </rPh>
    <rPh sb="157" eb="159">
      <t>タイセツ</t>
    </rPh>
    <rPh sb="165" eb="166">
      <t>ハナ</t>
    </rPh>
    <rPh sb="173" eb="175">
      <t>コンゴ</t>
    </rPh>
    <rPh sb="176" eb="178">
      <t>カツドウ</t>
    </rPh>
    <rPh sb="180" eb="182">
      <t>ジッセン</t>
    </rPh>
    <phoneticPr fontId="1"/>
  </si>
  <si>
    <t>道徳の授業で学ぶべき、社会生活を送るうえで大切な考え方について、友達と話し合い再確認する『道徳で何を学ぶの？』の単元では「人が『やってくれた』ことをやってもらうのが当たり前とは思わないよう、『感謝』を大切にしたい。これから学んでいくことを生活の中で生かせるようにする」と振り返りました。今後の活動でも実践していきましょう。</t>
  </si>
  <si>
    <t>富士山でごみ拾いボランティアと啓発運動を続ける人へのインタビューから、自然保護について考える『僕の仕事場は富士山です』の単元では、「誰もが『自然の中にごみを捨てない』という意識をもつために、まずは自分が必要最低限のものを持ち歩くなどして、少しでもごみを出さないようにこころがけていきたい」と振り返りました。今後の活動でも実践していきましょう。</t>
    <rPh sb="0" eb="3">
      <t>フジサン</t>
    </rPh>
    <rPh sb="6" eb="7">
      <t>ヒロ</t>
    </rPh>
    <rPh sb="15" eb="19">
      <t>ケイハツウンドウ</t>
    </rPh>
    <rPh sb="20" eb="21">
      <t>ツヅ</t>
    </rPh>
    <rPh sb="23" eb="24">
      <t>ヒト</t>
    </rPh>
    <rPh sb="35" eb="39">
      <t>シゼンホゴ</t>
    </rPh>
    <rPh sb="43" eb="44">
      <t>カンガ</t>
    </rPh>
    <rPh sb="47" eb="48">
      <t>ボク</t>
    </rPh>
    <rPh sb="49" eb="52">
      <t>シゴトバ</t>
    </rPh>
    <rPh sb="53" eb="56">
      <t>フジサン</t>
    </rPh>
    <rPh sb="60" eb="62">
      <t>タンゲン</t>
    </rPh>
    <rPh sb="66" eb="67">
      <t>ダレ</t>
    </rPh>
    <rPh sb="70" eb="72">
      <t>シゼン</t>
    </rPh>
    <rPh sb="73" eb="74">
      <t>ナカ</t>
    </rPh>
    <rPh sb="78" eb="79">
      <t>ス</t>
    </rPh>
    <rPh sb="86" eb="88">
      <t>イシキ</t>
    </rPh>
    <rPh sb="98" eb="100">
      <t>ジブン</t>
    </rPh>
    <rPh sb="101" eb="106">
      <t>ヒツヨウサイテイゲン</t>
    </rPh>
    <rPh sb="110" eb="111">
      <t>モ</t>
    </rPh>
    <rPh sb="112" eb="113">
      <t>アル</t>
    </rPh>
    <rPh sb="119" eb="120">
      <t>スコ</t>
    </rPh>
    <rPh sb="126" eb="127">
      <t>ダ</t>
    </rPh>
    <rPh sb="145" eb="146">
      <t>フ</t>
    </rPh>
    <rPh sb="147" eb="148">
      <t>カエ</t>
    </rPh>
    <rPh sb="153" eb="155">
      <t>コンゴ</t>
    </rPh>
    <rPh sb="156" eb="158">
      <t>カツドウ</t>
    </rPh>
    <rPh sb="160" eb="162">
      <t>ジッセン</t>
    </rPh>
    <phoneticPr fontId="1"/>
  </si>
  <si>
    <t>道徳の授業で学ぶべき、社会生活を送るうえで大切な考え方について、友達と話し合い再確認する『道徳で何を学ぶの？』の単元では、「これから道徳を学び、生活をしていく上で自主性や自律性、感謝や思いやりの気持ちを持つことを大切にしていきたい。これらの能力を身に着けられるよう、授業でしっかりと考えていきたい」と振り返りました。今後の活動でも実践していきましょう。</t>
    <rPh sb="0" eb="2">
      <t>ドウトク</t>
    </rPh>
    <rPh sb="3" eb="5">
      <t>ジュギョウ</t>
    </rPh>
    <rPh sb="6" eb="7">
      <t>マナ</t>
    </rPh>
    <rPh sb="11" eb="15">
      <t>シャカイセイカツ</t>
    </rPh>
    <rPh sb="16" eb="17">
      <t>オク</t>
    </rPh>
    <rPh sb="21" eb="23">
      <t>タイセツ</t>
    </rPh>
    <rPh sb="24" eb="25">
      <t>カンガ</t>
    </rPh>
    <rPh sb="26" eb="27">
      <t>カタ</t>
    </rPh>
    <rPh sb="32" eb="34">
      <t>トモダチ</t>
    </rPh>
    <rPh sb="35" eb="36">
      <t>ハナ</t>
    </rPh>
    <rPh sb="37" eb="38">
      <t>ア</t>
    </rPh>
    <rPh sb="39" eb="42">
      <t>サイカクニン</t>
    </rPh>
    <rPh sb="45" eb="47">
      <t>ドウトク</t>
    </rPh>
    <rPh sb="48" eb="49">
      <t>ナニ</t>
    </rPh>
    <rPh sb="50" eb="51">
      <t>マナ</t>
    </rPh>
    <rPh sb="56" eb="58">
      <t>タンゲン</t>
    </rPh>
    <rPh sb="66" eb="68">
      <t>ドウトク</t>
    </rPh>
    <rPh sb="69" eb="70">
      <t>マナ</t>
    </rPh>
    <rPh sb="72" eb="74">
      <t>セイカツ</t>
    </rPh>
    <rPh sb="79" eb="80">
      <t>ウエ</t>
    </rPh>
    <rPh sb="81" eb="84">
      <t>ジシュセイ</t>
    </rPh>
    <rPh sb="85" eb="88">
      <t>ジリツセイ</t>
    </rPh>
    <rPh sb="89" eb="91">
      <t>カンシャ</t>
    </rPh>
    <rPh sb="92" eb="93">
      <t>オモ</t>
    </rPh>
    <rPh sb="97" eb="99">
      <t>キモ</t>
    </rPh>
    <rPh sb="101" eb="102">
      <t>モ</t>
    </rPh>
    <rPh sb="106" eb="108">
      <t>タイセツ</t>
    </rPh>
    <rPh sb="120" eb="122">
      <t>ノウリョク</t>
    </rPh>
    <rPh sb="123" eb="124">
      <t>ミ</t>
    </rPh>
    <rPh sb="125" eb="126">
      <t>ツ</t>
    </rPh>
    <rPh sb="133" eb="135">
      <t>ジュギョウ</t>
    </rPh>
    <rPh sb="141" eb="142">
      <t>カンガ</t>
    </rPh>
    <rPh sb="150" eb="151">
      <t>フ</t>
    </rPh>
    <rPh sb="152" eb="153">
      <t>カエ</t>
    </rPh>
    <rPh sb="158" eb="160">
      <t>コンゴ</t>
    </rPh>
    <rPh sb="161" eb="163">
      <t>カツドウ</t>
    </rPh>
    <rPh sb="165" eb="167">
      <t>ジッセン</t>
    </rPh>
    <phoneticPr fontId="1"/>
  </si>
  <si>
    <t>富士山でごみ拾いボランティアと啓発運動を続ける人へのインタビューから、自然保護について考える『僕の仕事場は富士山です』の単元では、「ごみが捨てられている現状を実際に見せ、自分たちにできることとして、ごみを拾う呼びかけを続けていくことで、誰もが『自然の中にごみを捨てない』という意識を持つことができるだろう」と振り返りました。今後の活動でも実践していきましょう。</t>
    <rPh sb="0" eb="3">
      <t>フジサン</t>
    </rPh>
    <rPh sb="17" eb="19">
      <t>ウンドウ</t>
    </rPh>
    <rPh sb="20" eb="21">
      <t>ツヅ</t>
    </rPh>
    <rPh sb="23" eb="24">
      <t>ヒト</t>
    </rPh>
    <rPh sb="35" eb="39">
      <t>シゼンホゴ</t>
    </rPh>
    <rPh sb="69" eb="70">
      <t>ス</t>
    </rPh>
    <rPh sb="76" eb="78">
      <t>ゲンジョウ</t>
    </rPh>
    <rPh sb="79" eb="81">
      <t>ジッサイ</t>
    </rPh>
    <rPh sb="82" eb="83">
      <t>ミ</t>
    </rPh>
    <rPh sb="85" eb="87">
      <t>ジブン</t>
    </rPh>
    <rPh sb="102" eb="103">
      <t>ヒロ</t>
    </rPh>
    <rPh sb="104" eb="105">
      <t>ヨ</t>
    </rPh>
    <rPh sb="109" eb="110">
      <t>ツヅ</t>
    </rPh>
    <rPh sb="130" eb="131">
      <t>ス</t>
    </rPh>
    <rPh sb="138" eb="140">
      <t>イシキ</t>
    </rPh>
    <rPh sb="141" eb="142">
      <t>モ</t>
    </rPh>
    <phoneticPr fontId="1"/>
  </si>
  <si>
    <t>道徳の授業で学ぶべき、社会生活を送るうえで大切な考え方について、友達と話し合い再確認する『道徳で何を学ぶの？』の単元では、「自分に足りていないものとして、自律や礼儀、信頼があげられる。来年は９年生として最高学年となる立場なので、周りから信頼してもらえるような関係を築けるようにしたい」と振り返りました。今後の活動でも実践していきましょう。</t>
    <rPh sb="0" eb="2">
      <t>ドウトク</t>
    </rPh>
    <rPh sb="3" eb="5">
      <t>ジュギョウ</t>
    </rPh>
    <rPh sb="6" eb="7">
      <t>マナ</t>
    </rPh>
    <rPh sb="11" eb="15">
      <t>シャカイセイカツ</t>
    </rPh>
    <rPh sb="16" eb="17">
      <t>オク</t>
    </rPh>
    <rPh sb="21" eb="23">
      <t>タイセツ</t>
    </rPh>
    <rPh sb="24" eb="25">
      <t>カンガ</t>
    </rPh>
    <rPh sb="26" eb="27">
      <t>カタ</t>
    </rPh>
    <rPh sb="32" eb="34">
      <t>トモダチ</t>
    </rPh>
    <rPh sb="35" eb="36">
      <t>ハナ</t>
    </rPh>
    <rPh sb="37" eb="38">
      <t>ア</t>
    </rPh>
    <rPh sb="39" eb="42">
      <t>サイカクニン</t>
    </rPh>
    <rPh sb="45" eb="47">
      <t>ドウトク</t>
    </rPh>
    <rPh sb="48" eb="49">
      <t>ナニ</t>
    </rPh>
    <rPh sb="50" eb="51">
      <t>マナ</t>
    </rPh>
    <rPh sb="56" eb="58">
      <t>タンゲン</t>
    </rPh>
    <rPh sb="62" eb="64">
      <t>ジブン</t>
    </rPh>
    <rPh sb="65" eb="66">
      <t>タ</t>
    </rPh>
    <rPh sb="77" eb="79">
      <t>ジリツ</t>
    </rPh>
    <rPh sb="80" eb="82">
      <t>レイギ</t>
    </rPh>
    <rPh sb="83" eb="85">
      <t>シンライ</t>
    </rPh>
    <rPh sb="96" eb="98">
      <t>ネンセイ</t>
    </rPh>
    <rPh sb="101" eb="105">
      <t>サイコウガクネン</t>
    </rPh>
    <rPh sb="108" eb="110">
      <t>タチバ</t>
    </rPh>
    <rPh sb="114" eb="115">
      <t>マワ</t>
    </rPh>
    <rPh sb="118" eb="120">
      <t>シンライ</t>
    </rPh>
    <rPh sb="129" eb="131">
      <t>カンケイ</t>
    </rPh>
    <rPh sb="132" eb="133">
      <t>キズ</t>
    </rPh>
    <rPh sb="143" eb="144">
      <t>フ</t>
    </rPh>
    <rPh sb="145" eb="146">
      <t>カエ</t>
    </rPh>
    <rPh sb="151" eb="153">
      <t>コンゴ</t>
    </rPh>
    <rPh sb="154" eb="156">
      <t>カツドウ</t>
    </rPh>
    <rPh sb="158" eb="160">
      <t>ジッセン</t>
    </rPh>
    <phoneticPr fontId="1"/>
  </si>
  <si>
    <t>富士山でごみ拾いボランティアと啓発活動を続ける人へのインタビューから、自然保護について考える『僕の仕事場は富士山です』の単元では、「誰もが『自然の中にごみを捨てない』という意識をもつために、ポイ捨てを防ぐための呼びかけをすることが大切だと思う。看板を立てるなどして、一人一人が意識をしていけるように促したい」と振り返りました。今後の活動でも実践していきましょう。</t>
    <rPh sb="0" eb="3">
      <t>フジサン</t>
    </rPh>
    <rPh sb="6" eb="7">
      <t>ヒロ</t>
    </rPh>
    <rPh sb="15" eb="19">
      <t>ケイハツカツドウ</t>
    </rPh>
    <rPh sb="20" eb="21">
      <t>ツヅ</t>
    </rPh>
    <rPh sb="23" eb="24">
      <t>ヒト</t>
    </rPh>
    <rPh sb="35" eb="39">
      <t>シゼンホゴ</t>
    </rPh>
    <rPh sb="43" eb="44">
      <t>カンガ</t>
    </rPh>
    <rPh sb="47" eb="48">
      <t>ボク</t>
    </rPh>
    <rPh sb="49" eb="52">
      <t>シゴトバ</t>
    </rPh>
    <rPh sb="53" eb="56">
      <t>フジサン</t>
    </rPh>
    <rPh sb="60" eb="62">
      <t>タンゲン</t>
    </rPh>
    <rPh sb="66" eb="67">
      <t>ダレ</t>
    </rPh>
    <rPh sb="70" eb="72">
      <t>シゼン</t>
    </rPh>
    <rPh sb="73" eb="74">
      <t>ナカ</t>
    </rPh>
    <rPh sb="78" eb="79">
      <t>ス</t>
    </rPh>
    <rPh sb="86" eb="88">
      <t>イシキ</t>
    </rPh>
    <rPh sb="97" eb="98">
      <t>ス</t>
    </rPh>
    <rPh sb="100" eb="101">
      <t>フセ</t>
    </rPh>
    <rPh sb="105" eb="106">
      <t>ヨ</t>
    </rPh>
    <rPh sb="115" eb="117">
      <t>タイセツ</t>
    </rPh>
    <rPh sb="119" eb="120">
      <t>オモ</t>
    </rPh>
    <rPh sb="122" eb="124">
      <t>カンバン</t>
    </rPh>
    <rPh sb="125" eb="126">
      <t>タ</t>
    </rPh>
    <rPh sb="133" eb="137">
      <t>ヒトリヒトリ</t>
    </rPh>
    <rPh sb="138" eb="140">
      <t>イシキ</t>
    </rPh>
    <rPh sb="149" eb="150">
      <t>ウナガ</t>
    </rPh>
    <rPh sb="155" eb="156">
      <t>フ</t>
    </rPh>
    <rPh sb="157" eb="158">
      <t>カエ</t>
    </rPh>
    <rPh sb="163" eb="165">
      <t>コンゴ</t>
    </rPh>
    <rPh sb="166" eb="168">
      <t>カツドウ</t>
    </rPh>
    <rPh sb="170" eb="172">
      <t>ジッセン</t>
    </rPh>
    <phoneticPr fontId="1"/>
  </si>
  <si>
    <t>数学係、福祉委員会、体育祭実行委員会用具係、バスケットボール部</t>
    <rPh sb="0" eb="3">
      <t>スウガクカカリ</t>
    </rPh>
    <rPh sb="4" eb="6">
      <t>フクシ</t>
    </rPh>
    <rPh sb="6" eb="9">
      <t>イインカイ</t>
    </rPh>
    <rPh sb="10" eb="21">
      <t>タイイクサイジッコウイインカイヨウグカカリ</t>
    </rPh>
    <rPh sb="30" eb="31">
      <t>ブ</t>
    </rPh>
    <phoneticPr fontId="1"/>
  </si>
  <si>
    <t>副学級長、礼節風紀係、代表委員会、吹奏楽部</t>
    <rPh sb="0" eb="4">
      <t>フクガッキュウチョウ</t>
    </rPh>
    <rPh sb="5" eb="9">
      <t>レイセツフウキ</t>
    </rPh>
    <rPh sb="9" eb="10">
      <t>カカリ</t>
    </rPh>
    <rPh sb="11" eb="16">
      <t>ダイヒョウイインカイ</t>
    </rPh>
    <rPh sb="17" eb="21">
      <t>スイソウガクブ</t>
    </rPh>
    <phoneticPr fontId="1"/>
  </si>
  <si>
    <t>自主勉係、図書委員会、体育祭実行委員会用具係</t>
    <rPh sb="0" eb="3">
      <t>ジシュベン</t>
    </rPh>
    <rPh sb="3" eb="4">
      <t>カカリ</t>
    </rPh>
    <rPh sb="5" eb="7">
      <t>トショ</t>
    </rPh>
    <rPh sb="7" eb="10">
      <t>イインカイ</t>
    </rPh>
    <rPh sb="11" eb="19">
      <t>タイイクサイジッコウイインカイ</t>
    </rPh>
    <rPh sb="19" eb="22">
      <t>ヨウグカカリ</t>
    </rPh>
    <phoneticPr fontId="1"/>
  </si>
  <si>
    <t>技術・家庭科係、園芸委員会、体育祭実行委員会用具係</t>
    <rPh sb="0" eb="2">
      <t>ギジュツ</t>
    </rPh>
    <rPh sb="3" eb="6">
      <t>カテイカ</t>
    </rPh>
    <rPh sb="6" eb="7">
      <t>カカリ</t>
    </rPh>
    <rPh sb="8" eb="10">
      <t>エンゲイ</t>
    </rPh>
    <rPh sb="10" eb="13">
      <t>イインカイ</t>
    </rPh>
    <rPh sb="14" eb="25">
      <t>タイイクサイジッコウイインカイヨウグカカリ</t>
    </rPh>
    <phoneticPr fontId="1"/>
  </si>
  <si>
    <t>英語係、倫理委員会、卓球部</t>
    <rPh sb="0" eb="2">
      <t>エイゴ</t>
    </rPh>
    <rPh sb="2" eb="3">
      <t>カカリ</t>
    </rPh>
    <rPh sb="4" eb="6">
      <t>リンリ</t>
    </rPh>
    <rPh sb="6" eb="9">
      <t>イインカイ</t>
    </rPh>
    <rPh sb="10" eb="13">
      <t>タッキュウブ</t>
    </rPh>
    <phoneticPr fontId="1"/>
  </si>
  <si>
    <t>美術・音楽係、SDGs委員会、体育祭実行委員会応援団、美術部</t>
    <rPh sb="0" eb="2">
      <t>ビジュツ</t>
    </rPh>
    <rPh sb="3" eb="5">
      <t>オンガク</t>
    </rPh>
    <rPh sb="5" eb="6">
      <t>カカリ</t>
    </rPh>
    <rPh sb="11" eb="14">
      <t>イインカイ</t>
    </rPh>
    <rPh sb="15" eb="23">
      <t>タイイクサイジッコウイインカイ</t>
    </rPh>
    <rPh sb="23" eb="26">
      <t>オウエンダン</t>
    </rPh>
    <rPh sb="27" eb="30">
      <t>ビジュツブ</t>
    </rPh>
    <phoneticPr fontId="1"/>
  </si>
  <si>
    <t>学級長、時間日程係、報道委員会、体育祭実行委員会用具係、吹奏楽部</t>
    <rPh sb="0" eb="3">
      <t>ガッキュウチョウ</t>
    </rPh>
    <rPh sb="4" eb="8">
      <t>ジカンニッテイ</t>
    </rPh>
    <rPh sb="8" eb="9">
      <t>カカリ</t>
    </rPh>
    <rPh sb="10" eb="15">
      <t>ホウドウイインカイ</t>
    </rPh>
    <rPh sb="16" eb="27">
      <t>タイイクサイジッコウイインカイヨウグカカリ</t>
    </rPh>
    <rPh sb="28" eb="32">
      <t>スイソウガクブ</t>
    </rPh>
    <phoneticPr fontId="1"/>
  </si>
  <si>
    <t>生活記録係、環境委員会、体育祭実行委員会用具係</t>
    <rPh sb="0" eb="5">
      <t>セイカツキロクカカリ</t>
    </rPh>
    <rPh sb="6" eb="8">
      <t>カンキョウ</t>
    </rPh>
    <rPh sb="8" eb="11">
      <t>イインカイ</t>
    </rPh>
    <rPh sb="12" eb="20">
      <t>タイイクサイジッコウイインカイ</t>
    </rPh>
    <rPh sb="20" eb="23">
      <t>ヨウグカカリ</t>
    </rPh>
    <phoneticPr fontId="1"/>
  </si>
  <si>
    <t>衛生・欠席対応係、衛生委員会、体育祭実行委員会応援団、卓球部</t>
    <rPh sb="0" eb="2">
      <t>エイセイ</t>
    </rPh>
    <rPh sb="3" eb="7">
      <t>ケッセキタイオウ</t>
    </rPh>
    <rPh sb="7" eb="8">
      <t>カカリ</t>
    </rPh>
    <rPh sb="9" eb="14">
      <t>エイセイイインカイ</t>
    </rPh>
    <rPh sb="15" eb="23">
      <t>タイイクサイジッコウイインカイ</t>
    </rPh>
    <rPh sb="23" eb="26">
      <t>オウエンダン</t>
    </rPh>
    <rPh sb="27" eb="30">
      <t>タッキュウブ</t>
    </rPh>
    <phoneticPr fontId="1"/>
  </si>
  <si>
    <t>社会係、園芸委員会</t>
    <rPh sb="0" eb="3">
      <t>シャカイカカリ</t>
    </rPh>
    <rPh sb="4" eb="9">
      <t>エンゲイイインカイ</t>
    </rPh>
    <phoneticPr fontId="1"/>
  </si>
  <si>
    <t>体育係、福祉委員会、体育祭実行委員会用具係</t>
    <rPh sb="0" eb="2">
      <t>タイイク</t>
    </rPh>
    <rPh sb="2" eb="3">
      <t>カカリ</t>
    </rPh>
    <rPh sb="4" eb="6">
      <t>フクシ</t>
    </rPh>
    <rPh sb="6" eb="9">
      <t>イインカイ</t>
    </rPh>
    <rPh sb="10" eb="21">
      <t>タイイクサイジッコウイインカイヨウグカカリ</t>
    </rPh>
    <phoneticPr fontId="1"/>
  </si>
  <si>
    <t>国語係、報道委員会、体育祭実行委員会放送係、テニス部</t>
    <rPh sb="0" eb="3">
      <t>コクゴカカリ</t>
    </rPh>
    <rPh sb="4" eb="9">
      <t>ホウドウイインカイ</t>
    </rPh>
    <rPh sb="10" eb="18">
      <t>タイイクサイジッコウイインカイ</t>
    </rPh>
    <rPh sb="18" eb="20">
      <t>ホウソウ</t>
    </rPh>
    <rPh sb="20" eb="21">
      <t>カカリ</t>
    </rPh>
    <rPh sb="25" eb="26">
      <t>ブ</t>
    </rPh>
    <phoneticPr fontId="1"/>
  </si>
  <si>
    <t>英語係、図書委員会、体育祭実行委員会装飾誘導係、競技かるた部→美術部</t>
    <rPh sb="0" eb="3">
      <t>エイゴカカリ</t>
    </rPh>
    <rPh sb="4" eb="6">
      <t>トショ</t>
    </rPh>
    <rPh sb="6" eb="9">
      <t>イインカイ</t>
    </rPh>
    <rPh sb="10" eb="18">
      <t>タイイクサイジッコウイインカイ</t>
    </rPh>
    <rPh sb="18" eb="20">
      <t>ソウショク</t>
    </rPh>
    <rPh sb="20" eb="22">
      <t>ユウドウ</t>
    </rPh>
    <rPh sb="22" eb="23">
      <t>カカリ</t>
    </rPh>
    <rPh sb="24" eb="26">
      <t>キョウギ</t>
    </rPh>
    <rPh sb="29" eb="30">
      <t>ブ</t>
    </rPh>
    <rPh sb="31" eb="34">
      <t>ビジュツブ</t>
    </rPh>
    <phoneticPr fontId="1"/>
  </si>
  <si>
    <t>数学係、環境委員会、体育祭実行委員会用具係、吹奏楽部</t>
    <rPh sb="0" eb="3">
      <t>スウガクカカリ</t>
    </rPh>
    <rPh sb="4" eb="6">
      <t>カンキョウ</t>
    </rPh>
    <rPh sb="6" eb="9">
      <t>イインカイ</t>
    </rPh>
    <rPh sb="10" eb="18">
      <t>タイイクサイジッコウイインカイ</t>
    </rPh>
    <rPh sb="18" eb="21">
      <t>ヨウグカカリ</t>
    </rPh>
    <rPh sb="22" eb="26">
      <t>スイソウガクブ</t>
    </rPh>
    <phoneticPr fontId="1"/>
  </si>
  <si>
    <t>書記長、体育委員会、バスケットボール部</t>
    <rPh sb="0" eb="2">
      <t>ショキ</t>
    </rPh>
    <rPh sb="2" eb="3">
      <t>チョウ</t>
    </rPh>
    <rPh sb="4" eb="6">
      <t>タイイク</t>
    </rPh>
    <rPh sb="6" eb="9">
      <t>イインカイ</t>
    </rPh>
    <rPh sb="18" eb="19">
      <t>ブ</t>
    </rPh>
    <phoneticPr fontId="1"/>
  </si>
  <si>
    <t>理科係、衛生委員会、美術部</t>
    <rPh sb="0" eb="3">
      <t>リカカカリ</t>
    </rPh>
    <rPh sb="4" eb="6">
      <t>エイセイ</t>
    </rPh>
    <rPh sb="6" eb="9">
      <t>イインカイ</t>
    </rPh>
    <rPh sb="10" eb="13">
      <t>ビジュツブ</t>
    </rPh>
    <phoneticPr fontId="1"/>
  </si>
  <si>
    <t>進路ガイダンス、職業調べ、STEAM学習（弘法山清掃活動、、さいきょう祭ミュージカル準備）、宿泊研修事前・事後学習（乗鞍キャンプ）</t>
    <rPh sb="0" eb="2">
      <t>シンロ</t>
    </rPh>
    <rPh sb="8" eb="10">
      <t>ショクギョウ</t>
    </rPh>
    <rPh sb="10" eb="11">
      <t>シラ</t>
    </rPh>
    <rPh sb="18" eb="20">
      <t>ガクシュウ</t>
    </rPh>
    <rPh sb="21" eb="24">
      <t>コウボウヤマ</t>
    </rPh>
    <rPh sb="24" eb="28">
      <t>セイソウカツドウ</t>
    </rPh>
    <rPh sb="46" eb="50">
      <t>シュクハクケンシュウ</t>
    </rPh>
    <rPh sb="50" eb="52">
      <t>ジゼン</t>
    </rPh>
    <rPh sb="53" eb="55">
      <t>ジゴ</t>
    </rPh>
    <rPh sb="55" eb="57">
      <t>ガクシュウ</t>
    </rPh>
    <rPh sb="58" eb="60">
      <t>ノリクラ</t>
    </rPh>
    <phoneticPr fontId="1"/>
  </si>
  <si>
    <t>学習面では、提出物の提出率を昨年から大きく上げることができました。社会の授業でも積極的に手を挙げ、発言してくれました。この調子で引き続き、日々の取り組みを頑張りましょう。授業中、関係のないところでタブレットをいじっている場面を見かけたので、目の前のことに集中して受けましょう。生活面では、一部の男子と言い争う場面もありましたが、基本は穏やかに過ごせています。柔らかい口調で話すこと、美しい言葉遣いを心がけていくと、他人との衝突を避けることができると思います。体調の面で思うようにいかないこともありますが、自分のできる範囲で行動している様子が見られます。「まずはやってみます」と前向きに取り組もうとする姿勢はとてもうれしく思います。体育祭では実行委員会に参加し、用具係として、自分の仕事に真摯に取り組んでいました。本番が終わった後も、仲間と協力して会場の場ミリテープを外すなど、最後まで責任もって活動できていました。１学期よく頑張りましたね。２学期も葵さんらしさを忘れず、いろんなことにチャレンジしていきましょう。</t>
    <rPh sb="300" eb="302">
      <t>シセイ</t>
    </rPh>
    <phoneticPr fontId="1"/>
  </si>
  <si>
    <t>生活面では、学級長として２組を統率してくれました。朝の会ではその日の時間割に適した「１日の目標」を発表し、クラスをまとめてくれました。学級会では全体の意見をまとめ、課題を達成するための具体的な策を講じ、円滑な学級づくりによく向き合ってくれています。分け隔てなく、クラスの仲間に声をかけており、２組のアットホームな空気を作るうえで欠かせない存在です。体育祭では実行委員会に参加し、用具係としての仕事を責任をもって行い、円滑な競技進行に大きく貢献しました。放課後の練習にも、休まず参加できていましたね。学習面では授業内での発言も多く、活発な空気づくりに大きく貢献しています。試験の成績も申し分ありませんが、５月頃から宿題等の提出状況（特に生活記録）にムラがあります。課されたものは期日までに出し、しっかりと取り組むことを心がけましょう。学級長として、提出物の面でも「クラスメイトの模範」となる存在であってほしいと思います。１学期よく頑張りましたね。２学期も爽斗くんらしさを忘れず、いろんなことにチャレンジしていきましょう。</t>
    <rPh sb="265" eb="267">
      <t>カッパツ</t>
    </rPh>
    <phoneticPr fontId="1"/>
  </si>
  <si>
    <t>学習面では、「テスト直前からではなく、計画的に勉強をしていきたい」「1日１５分以上の学習をこころがける」など、現状における自分の課題を分析できていました。課題を克服できるよう、次は行動に移すことを心がけていきましょう。授業態度に関しても真面目で、授業内での発言回数も増えてきています。一方でどの教科でも提出物の未提出率が高くなっています。課されたものはしっかりとこなしましょう。生活面では、友人関係も良好で楽しく過ごしている様子が見受けられます。昨年度に比べ、いろんなことに前向きに取り組むことができています。業間の時間に行った「職業調べ」の発表では、細部まで工夫をこらしたスライドと話法で、学びのある且つ楽しいプレゼンを披露してくれました。陽香さんのイラストは教室のボード空間を明るくしてくれます。体育祭では実行委員会に参加し、用具係として、円滑な競技進行に大きく貢献しました。放課後の練習に毎日参加している姿からは、自分の仕事を責任もって取り組む姿勢が見られました。１学期よく頑張りましたね。２学期も陽香さんらしさを忘れず、いろんなことにチャレンジしていきましょう。</t>
    <rPh sb="292" eb="293">
      <t>ハナシ</t>
    </rPh>
    <phoneticPr fontId="1"/>
  </si>
  <si>
    <t>学習面では授業態度も真面目で、提出物もしっかりと出すことができています。試験の点数を上げていく上では、まず知識を定着させることを心がけていきましょう。そのためにも計画をしっかりと立て、段取りを良くし、効率的な学習方法を考えていくことを意識していきましょう。1日どのくらい勉強するか、具体的な数字を設定することも大切です。生活面では友人関係も良好で、男女の分け隔てなく多くの仲間と会話ができています。クラスの空気が緩んでいる際は、全体に注意を呼び掛けるなど、担任として頼りにする場面もありました。笑顔を絶やさないはつらつとした姿は、クラスの雰囲気を明るくしてくれています。本人も振り返っていましたが、言葉遣いの乱れが少々あったので、その場に適切な言葉運びをするよう気を付けましょう。規則正しい生活も心がけていきましょう。習い事も日々の練習に励み、熱心に、積極的に取り組んでいた様子が見受けられます。学習面との両立ができるよう頑張りましょう。１学期よく頑張りましたね。２学期も果菜さんらしさを忘れず、いろんなことにチャレンジしていきましょう。</t>
    <rPh sb="155" eb="157">
      <t>タイセツ</t>
    </rPh>
    <rPh sb="372" eb="374">
      <t>ネッシン</t>
    </rPh>
    <phoneticPr fontId="1"/>
  </si>
  <si>
    <t>学習面では提出物等の日々の取り組みを欠かさずに続けることができています。授業態度については、真面目に取り組み、社会の授業での発言回数も少しずつ増えてきています。試験に関しても教科間の偏りなく、バランスよく点数を取ることができました。引き続き、この調子で取り組んでいきましょう。生活面では、自分の体とよく向き合いながら過ごすことができていました。提出物も期限までに出せています。友人関係も良好ですが、言葉遣いが悪くなっている場面があったので、その場に適した言葉運びを心がけていきましょう。ロッカーの中が乱雑になっている光景があったので、整理整頓を心がけましょう。体育祭では、実行委員会に参加し、装飾誘導係として他学年と協力して活動にあたっていました。競技練習の際には、自分が所属する赤組の様子をよく観察し、勝つための分析していました。自分が参加できずとも、チームへの勝利に貢献しようとする姿が素晴らしかったです。競技かるた部では後輩が参加する大会を見届け、最後まで部長としての責務を果たしていました。１学期よく頑張りましたね。２学期も浩士くんらしさを忘れず、いろんなことにチャレンジしていきましょう。</t>
    <rPh sb="83" eb="84">
      <t>カン</t>
    </rPh>
    <phoneticPr fontId="1"/>
  </si>
  <si>
    <t>学習面では提出物をしっかりと出し、授業も真面目に取り組むことができていました。社会の授業でも積極的に発言してくれましたね。教科の勉強も満遍なく取り組み、期末試験では、中間から点を上げた教科も多くありました。得意教科の理科では満点を取るという素晴らしい成績を残すことができました。生活面では教科や給食の配膳、どの係でも自分の仕事をしっかりと務めていました。自分の担当ではない仕事も、人手が足りないときには積極的に引き受けてくれ、担任としてとても助けられました。クラスのムードメーカーとして、明るい空気を作ってくれています。唯一無二の存在感で、了介くんの周りはいつも笑顔であふれています。時折、メリハリを忘れて空気が緩んでいる場面があります。気を引き締めるときはしっかりとやりましょう。美術部では動画作成をメインに活動していました。完成した動画を教室のテレビで再生しましたが、私も含め２組全体が笑いで溢れました。今後の作品も期待しています。１学期よく頑張りましたね。２学期も了介くんらしさを忘れず、いろんなことにチャレンジしていきましょう。</t>
    <rPh sb="61" eb="63">
      <t>キョウカ</t>
    </rPh>
    <rPh sb="67" eb="69">
      <t>マンベン</t>
    </rPh>
    <rPh sb="158" eb="160">
      <t>ジブン</t>
    </rPh>
    <rPh sb="161" eb="163">
      <t>シゴト</t>
    </rPh>
    <rPh sb="190" eb="192">
      <t>ヒトデ</t>
    </rPh>
    <phoneticPr fontId="1"/>
  </si>
  <si>
    <t xml:space="preserve"> 授業日数</t>
  </si>
  <si>
    <t xml:space="preserve"> 忌引・停止</t>
  </si>
  <si>
    <t xml:space="preserve"> 出席しなければならない日数（自動計算）</t>
  </si>
  <si>
    <t xml:space="preserve"> 遅刻</t>
  </si>
  <si>
    <t xml:space="preserve"> 早退</t>
  </si>
  <si>
    <t>備考　欠席・遅刻・早退の理由。「日」はつけない。　　　　　　※注意※改行せず、続けて文章を書いて下さい。</t>
  </si>
  <si>
    <t>A</t>
    <phoneticPr fontId="1"/>
  </si>
  <si>
    <t>遅刻２（足の痛み２）</t>
    <rPh sb="0" eb="2">
      <t>チコク</t>
    </rPh>
    <rPh sb="4" eb="5">
      <t>アシ</t>
    </rPh>
    <rPh sb="6" eb="7">
      <t>イタ</t>
    </rPh>
    <phoneticPr fontId="1"/>
  </si>
  <si>
    <t>遅刻１（足の痛み１）</t>
    <rPh sb="0" eb="2">
      <t>チコク</t>
    </rPh>
    <rPh sb="4" eb="5">
      <t>アシ</t>
    </rPh>
    <rPh sb="6" eb="7">
      <t>イタ</t>
    </rPh>
    <phoneticPr fontId="1"/>
  </si>
  <si>
    <t>欠席３（頭痛１、めまい１、家事都合１）早退１２（頭痛１０、めまい２）、忌引き1</t>
    <rPh sb="0" eb="2">
      <t>ケッセキ</t>
    </rPh>
    <rPh sb="4" eb="6">
      <t>ズツウ</t>
    </rPh>
    <rPh sb="13" eb="17">
      <t>カジツゴウ</t>
    </rPh>
    <rPh sb="19" eb="21">
      <t>ソウタイ</t>
    </rPh>
    <rPh sb="24" eb="26">
      <t>ズツウ</t>
    </rPh>
    <rPh sb="35" eb="37">
      <t>キビ</t>
    </rPh>
    <phoneticPr fontId="1"/>
  </si>
  <si>
    <t>早退１（課外活動の練習１）</t>
    <rPh sb="0" eb="2">
      <t>ソウタイ</t>
    </rPh>
    <rPh sb="4" eb="6">
      <t>カガイ</t>
    </rPh>
    <rPh sb="6" eb="8">
      <t>カツドウ</t>
    </rPh>
    <rPh sb="9" eb="11">
      <t>レンシュウ</t>
    </rPh>
    <phoneticPr fontId="1"/>
  </si>
  <si>
    <t>遅刻１（腹痛１）</t>
    <rPh sb="0" eb="2">
      <t>チコク</t>
    </rPh>
    <rPh sb="4" eb="6">
      <t>フクツウ</t>
    </rPh>
    <phoneticPr fontId="1"/>
  </si>
  <si>
    <t>欠席１（のどの痛み１）</t>
    <rPh sb="0" eb="2">
      <t>ケッセキ</t>
    </rPh>
    <rPh sb="7" eb="8">
      <t>イタ</t>
    </rPh>
    <phoneticPr fontId="1"/>
  </si>
  <si>
    <t>欠席２（腹痛２）、遅刻２（腹痛２）、早退２（腹痛１、頭痛１）、忌引き１（祖母葬儀１）</t>
    <rPh sb="0" eb="2">
      <t>ケッセキ</t>
    </rPh>
    <rPh sb="4" eb="6">
      <t>フクツウ</t>
    </rPh>
    <rPh sb="9" eb="11">
      <t>チコク</t>
    </rPh>
    <rPh sb="13" eb="15">
      <t>フクツウ</t>
    </rPh>
    <rPh sb="18" eb="20">
      <t>ソウタイ</t>
    </rPh>
    <rPh sb="22" eb="24">
      <t>フクツウ</t>
    </rPh>
    <rPh sb="26" eb="28">
      <t>ズツウ</t>
    </rPh>
    <rPh sb="31" eb="33">
      <t>キビ</t>
    </rPh>
    <rPh sb="36" eb="40">
      <t>ソボソウギ</t>
    </rPh>
    <phoneticPr fontId="1"/>
  </si>
  <si>
    <t>欠席１（発熱１）</t>
    <rPh sb="0" eb="2">
      <t>ケッセキ</t>
    </rPh>
    <rPh sb="4" eb="6">
      <t>ハツネツ</t>
    </rPh>
    <phoneticPr fontId="1"/>
  </si>
  <si>
    <t>欠席３（腹痛３）、遅刻２（腹痛２）</t>
    <rPh sb="0" eb="2">
      <t>ケッセキ</t>
    </rPh>
    <rPh sb="4" eb="6">
      <t>フクツウ</t>
    </rPh>
    <rPh sb="9" eb="11">
      <t>チコク</t>
    </rPh>
    <rPh sb="13" eb="15">
      <t>フクツウ</t>
    </rPh>
    <phoneticPr fontId="1"/>
  </si>
  <si>
    <t>欠席２（腹痛２）、早退２（腹痛２）</t>
    <rPh sb="0" eb="2">
      <t>ケッセキ</t>
    </rPh>
    <rPh sb="4" eb="6">
      <t>フクツウ</t>
    </rPh>
    <rPh sb="9" eb="11">
      <t>ソウタイ</t>
    </rPh>
    <rPh sb="13" eb="15">
      <t>フクツウ</t>
    </rPh>
    <phoneticPr fontId="1"/>
  </si>
  <si>
    <t>欠席１（家事都合１）</t>
    <rPh sb="0" eb="2">
      <t>ケッセキ</t>
    </rPh>
    <rPh sb="4" eb="8">
      <t>カジツゴウ</t>
    </rPh>
    <phoneticPr fontId="1"/>
  </si>
  <si>
    <t>欠席１（術後の影響１）、早退1（通院１）</t>
    <rPh sb="0" eb="2">
      <t>ケッセキ</t>
    </rPh>
    <rPh sb="4" eb="6">
      <t>ジュツゴ</t>
    </rPh>
    <rPh sb="7" eb="9">
      <t>エイキョウ</t>
    </rPh>
    <rPh sb="12" eb="14">
      <t>ソウタイ</t>
    </rPh>
    <rPh sb="16" eb="18">
      <t>ツウイン</t>
    </rPh>
    <phoneticPr fontId="1"/>
  </si>
  <si>
    <t>遅刻１（通院１）</t>
    <rPh sb="0" eb="2">
      <t>チコク</t>
    </rPh>
    <rPh sb="4" eb="6">
      <t>ツウイン</t>
    </rPh>
    <phoneticPr fontId="1"/>
  </si>
  <si>
    <t>B</t>
    <phoneticPr fontId="14" type="Hiragana" alignment="distributed"/>
  </si>
  <si>
    <t>A</t>
    <phoneticPr fontId="14" type="Hiragana" alignment="distributed"/>
  </si>
  <si>
    <t>基本的な生活習慣（礼節，欠席，遅刻，体調管理など）</t>
    <phoneticPr fontId="1"/>
  </si>
  <si>
    <t>この項目は適宜変更して下さい。
※注意※
ただし、項目数は１０個まで。仮に少ない場合も行の削除は絶対に行わないで下さい。</t>
    <phoneticPr fontId="1"/>
  </si>
  <si>
    <t>A</t>
    <phoneticPr fontId="1"/>
  </si>
  <si>
    <t>A</t>
    <phoneticPr fontId="1"/>
  </si>
  <si>
    <t>B</t>
    <phoneticPr fontId="1"/>
  </si>
  <si>
    <t>C</t>
    <phoneticPr fontId="1"/>
  </si>
  <si>
    <t>B</t>
    <phoneticPr fontId="1"/>
  </si>
  <si>
    <t>C</t>
    <phoneticPr fontId="1"/>
  </si>
  <si>
    <t>主体的に学習に取り組む態度</t>
    <phoneticPr fontId="1"/>
  </si>
  <si>
    <t>-</t>
    <phoneticPr fontId="1"/>
  </si>
  <si>
    <t>この項目は適宜変更して下さい。
※注意※
ただし、項目数は１０個まで。仮に少ない場合も行の削除は絶対に行わないで下さい。</t>
    <phoneticPr fontId="1"/>
  </si>
  <si>
    <t>A</t>
    <phoneticPr fontId="1"/>
  </si>
  <si>
    <t>思考力・表現力・判断力（単元テスト・定期テスト）</t>
    <phoneticPr fontId="1"/>
  </si>
  <si>
    <t>B</t>
    <phoneticPr fontId="1"/>
  </si>
  <si>
    <t>主体的に学習に取り組む態度</t>
    <phoneticPr fontId="1"/>
  </si>
  <si>
    <t>C</t>
    <phoneticPr fontId="1"/>
  </si>
  <si>
    <t>-</t>
    <phoneticPr fontId="1"/>
  </si>
  <si>
    <t>この項目は適宜変更して下さい。
※注意※
ただし、項目数は１０個まで。仮に少ない場合も行の削除は絶対に行わないで下さい。</t>
    <phoneticPr fontId="1"/>
  </si>
  <si>
    <t>B</t>
    <phoneticPr fontId="14" type="Hiragana" alignment="distributed"/>
  </si>
  <si>
    <t>A</t>
    <phoneticPr fontId="14" type="Hiragana" alignment="distributed"/>
  </si>
  <si>
    <t>B</t>
    <phoneticPr fontId="14" type="Hiragana" alignment="distributed"/>
  </si>
  <si>
    <t>A</t>
    <phoneticPr fontId="14" type="Hiragana" alignment="distributed"/>
  </si>
  <si>
    <t>知識・技能（単元テスト・定期テスト）</t>
    <phoneticPr fontId="1"/>
  </si>
  <si>
    <t>この項目は適宜変更して下さい。
※注意※
ただし、項目数は１０個まで。仮に少ない場合も行の削除は絶対に行わないで下さい。</t>
    <phoneticPr fontId="1"/>
  </si>
  <si>
    <t>A</t>
    <phoneticPr fontId="1"/>
  </si>
  <si>
    <t>B</t>
    <phoneticPr fontId="1"/>
  </si>
  <si>
    <t>C</t>
    <phoneticPr fontId="1"/>
  </si>
  <si>
    <t>-</t>
    <phoneticPr fontId="1"/>
  </si>
  <si>
    <t>-</t>
    <phoneticPr fontId="1"/>
  </si>
  <si>
    <t>この項目は適宜変更して下さい。
※注意※
ただし、項目数は１０個まで。仮に少ない場合も行の削除は絶対に行わないで下さい。</t>
    <phoneticPr fontId="1"/>
  </si>
  <si>
    <t>A</t>
    <phoneticPr fontId="1"/>
  </si>
  <si>
    <t>B</t>
    <phoneticPr fontId="1"/>
  </si>
  <si>
    <t>-</t>
    <phoneticPr fontId="1"/>
  </si>
  <si>
    <t>この項目は適宜変更して下さい。
※注意※
ただし、項目数は１０個まで。仮に少ない場合も行の削除は絶対に行わないで下さい。</t>
    <phoneticPr fontId="1"/>
  </si>
  <si>
    <t>B</t>
    <phoneticPr fontId="1"/>
  </si>
  <si>
    <t>C</t>
    <phoneticPr fontId="1"/>
  </si>
  <si>
    <t>A</t>
    <phoneticPr fontId="1"/>
  </si>
  <si>
    <t>-</t>
    <phoneticPr fontId="1"/>
  </si>
  <si>
    <t>この項目は適宜変更して下さい。
※注意※
ただし、項目数は１０個まで。仮に少ない場合も行の削除は絶対に行わないで下さい。</t>
    <phoneticPr fontId="1"/>
  </si>
  <si>
    <t>A</t>
    <phoneticPr fontId="1"/>
  </si>
  <si>
    <t>B</t>
    <phoneticPr fontId="1"/>
  </si>
  <si>
    <t>-</t>
    <phoneticPr fontId="1"/>
  </si>
  <si>
    <t>この項目は適宜変更して下さい。
※注意※
ただし、項目数は１０個まで。仮に少ない場合も行の削除は絶対に行わないで下さい。</t>
    <phoneticPr fontId="1"/>
  </si>
  <si>
    <t>B</t>
    <phoneticPr fontId="14" type="Hiragana" alignment="distributed"/>
  </si>
  <si>
    <t>A</t>
    <phoneticPr fontId="14" type="Hiragana" alignment="distributed"/>
  </si>
  <si>
    <t>A</t>
    <phoneticPr fontId="1"/>
  </si>
  <si>
    <t>C</t>
    <phoneticPr fontId="1"/>
  </si>
  <si>
    <t>150～200</t>
    <phoneticPr fontId="9" type="Hiragana" alignment="distributed"/>
  </si>
  <si>
    <t>富士山でごみ拾いボランティアと啓発運動を続ける人へのインタビューから、自然保護について考える『僕の仕事場は富士山です』の単元では、「自然の中にごみを捨てないという意識を持つために、山へ遊びに行くなどする際はごみ袋を持ち、啓発活動としてチラシを配る」と振り返りました。今後の活動でも実践していきましょう。</t>
    <phoneticPr fontId="1"/>
  </si>
  <si>
    <t>道徳の授業で学ぶべき、社会生活を送るうえで大切な考え方について、友達と話し合い再確認する『道徳で何を学ぶの？』の単元では、「ダメなことを友人にちゃんと伝えることができる部分は今後も大事にしていきたい。自立性や責任を持つことなど、自分にとっての課題を流すのではなく、これから活かしていきたい」と振り返りました。今後の活動でも実践していきましょう。</t>
    <phoneticPr fontId="1"/>
  </si>
  <si>
    <t>A～C</t>
    <phoneticPr fontId="1"/>
  </si>
  <si>
    <t>A</t>
    <phoneticPr fontId="1"/>
  </si>
  <si>
    <t>B</t>
    <phoneticPr fontId="1"/>
  </si>
  <si>
    <t>自主・自律（主体的な行動，計画性，整理整頓，宿題，提出物など）</t>
    <phoneticPr fontId="1"/>
  </si>
  <si>
    <t>責任感（係，委員会，役割など）</t>
    <phoneticPr fontId="1"/>
  </si>
  <si>
    <t>A～C</t>
    <phoneticPr fontId="1"/>
  </si>
  <si>
    <t>思いやり・協力（友人関係，共同作業，協調性など）</t>
    <phoneticPr fontId="1"/>
  </si>
  <si>
    <t>勤労・奉仕（清掃，給食，奉仕活動など）</t>
    <phoneticPr fontId="1"/>
  </si>
  <si>
    <t>公正・公平（規則，マナー，平等など）</t>
    <phoneticPr fontId="1"/>
  </si>
  <si>
    <t>400～450</t>
    <phoneticPr fontId="9" type="Hiragana" alignment="distributed"/>
  </si>
  <si>
    <t>学習面では、提出物はしっかりと出されており、授業態度も真面目なので、引き続きこの姿勢を維持してほしいと思います。「自宅での学習が不足しており、テストの結果がよくなかった」と振り返っていました。家で自主的に学習をしていく習慣を身に着けていきましょう。生活面では、身の回りの整理整頓もしっかりとできており、ロッカーや机の周りが乱れている様子もほとんど見受けられません。「凡事徹底」を忘れない姿を、２学期でも引き続き実践してもらえればと思います。穏やかで明るい明日香さんの性格は、クラスの雰囲気をいつも暖かくしてくれています。自分から挨拶をすることが苦手とふりかえっていました。誰にでも明るく挨拶できるよう頑張りましょう。体育祭実行委員会では用具係として、自分が出場する競技の直前まで、必要な用具を運び、配置が正しいか念入りに確認するなど、係としての責務を果たすことができていました。放課後の練習にも欠かさず参加できましたね。１学期よく頑張りました。明日香さんらしさを忘れず、引き続きいろんなことにチャレンジしていきましょう。</t>
    <phoneticPr fontId="1"/>
  </si>
  <si>
    <t>学習面では、宿題をしっかりと提出し、授業も積極的に参加することができています。学習に対する意欲的な姿勢が感じられました。一方で「テスト勉強の時間が足りず、点が思うように伸びなかった」と本人も振り返っていたので、点数に結び付けられるよう学習を進めていきましょう。生活面では、２組の副学級長として、学級長を支えながらリーダーシップを発揮してくれました。学級会では、本題と流れが別の方向になってしまう際に軌道修正を試みるなど、状況を俯瞰的に見てくれており、担任としても助けられました。２学期も引き続き、クラスを後ろから支える存在として活躍してほしいです。普段の学校生活は問題なく遅れていますが、本人は「生活習慣がよくなかった」と振り返っていました。生活リズムの乱れは、体調にも大きく影響するので、規則正しい生活を送るよう心がけましょう。部活動も休むことなく練習に参加し、年度当初の部活動紹介では後輩たちに素敵な先輩の姿を見せてくれました。さいきょう祭のミュージカルでは、楽団としての活躍も期待しています。1学期よく頑張りましたね。2学期も知香さんらしさを忘れず、いろんなことにチャレンジしていきましょう。</t>
    <phoneticPr fontId="1"/>
  </si>
  <si>
    <t>学習面では、習い事が忙しい中でも、授業態度も真面目でしっかりと取り組めています。中間試験から順位を落としてしまいましたが、本人も「授業の内容をその日のうちに復習していく」「自主学習が0分の日を1日でも減らしていく」と省みることができていたので、今後の取り組みに期待しています。習い事と学習のバランスが取れるよう、両立を頑張りましょう。生活面では友人関係も良好で、毎日楽しく過ごせている様子が見受けられます。ロッカーの状態も綺麗で、身の回りの整理整頓もよくできていました。掃除の時間には、教室の黒板をきれいにしてくれており、授業をする側としてとてもうれしくなります。体育祭では競技面での活躍が多く、特に選抜リレーでは、代表選手として素晴らしい走りを見せてくれました。本番直前のリハーサルでは大玉運びの連携がうまくいかず、友人と涙を流して悔しがり、勝負に真剣に取り組む姿も見られました。勝ちにこだわる姿は、今後様々な場面で活きてくると思います。1学期よく頑張りましたね。2学期も碧依さんらしさを忘れず、いろんなことにチャレンジしていきましょう。</t>
    <phoneticPr fontId="1"/>
  </si>
  <si>
    <t>試験の２週間以上前から自主学習に励んでいました。自分が理解できるまでとことん質問し、学習への意欲的な姿勢が感じられます。本人も「効率的に勉強を進めることができた」と振り返っており、点数や順位もその成果がしっかりと反映されていました。この調子で、引き続き取り組んでほしいとおもいます。生活面では早寝早起きを心がけ、生活習慣もしっかりと形成できていました。生活記録も欠かさず提出し、陽菜乃さんが綴る文章を楽しませてもらいました。欠席はほとんど見受けられませんでしたが、「体調が良好ではなかった」と振り返っていました。引き続き、体調管理にも留意して過ごしていきましょう。係活動については、返却されたものを配布し忘れることが多く、提出用の机上に置きっぱなしになっていることが何回か見られました。係としての仕事を忘れないよう、気を付けましょう。また準備に時間を要しがちなので、時間を見て動くことも心がけましょう。１学期よく頑張りましたね。２学期も陽菜乃さんらしさを忘れず、いろんなことにチャレンジしていきましょう。</t>
    <phoneticPr fontId="1"/>
  </si>
  <si>
    <t>学習面では、宿題を真面目に取り組み、提出率も全教科１００％を達成しています。授業態度も真面目で、積極的に発言し、社会の授業でも活発な雰囲気づくりに大きく貢献してくれました。１学期中間試験、５月の模試で伸び悩む面がありましたが、本人もどうにか克服しようと努力する姿が見られ、社会の点数は大きく伸ばすことができました。学習に対する真摯な取り組みの姿勢を忘れず、引き続き取り組んでほしいです。生活面では友人関係も良好で、男女分け隔てなく色んな仲間と会話をしています。２組の「男女の垣根のなさ」を担ってくれる、大きな存在です。係や委員会活動も真面目に取り組み、自分に与えられた役割を理解して、こなせています。本人も省みていましたが、言葉遣いの悪さが時折見られます。その場にふさわしい、丁寧な言葉遣いを心がけていきましょう。体育祭では応援団として、昼休みや放課後の時間、熱心に練習に励んでいました。応援では誰よりも声を出し、体育祭本番の応援合戦の勝利を導いてくれました。1学期よく頑張りましたね。２学期も雅治くんらしさを忘れず、いろんなことにチャレンジしていきましょう。</t>
    <phoneticPr fontId="1"/>
  </si>
  <si>
    <t>学習面では、国語や社会の授業での発言回数も多く、前向きに取り組んでいました。活発な雰囲気づくりに大きく貢献しています。ただし、授業態度については教科によって差があるようなので、その点をしっかりと取り組んでもらえればと思います。提出物の提出率が一桁代になっている教科も見られます。日々の積み重ねも、試験の点数向上に大きくつながります。課されたものは期限内にしっかり出す習慣を身に着けてください。生活面では言葉遣いの悪さがかなり目立っています。学校の場にそぐわない言葉は、使用しないようにしてください。タブレットの使用に関して、使い方が怪しい場面を多々見かけます。適切な使い方を今一度確認してください。集会で話を聞く機会の際には、顔を上げて聞くようにしましょう。係活動については時折忘れがちでしたが、声をかけるとしっかりやってくれました。体育祭では実行委員会に参加し、応援団として活躍していました。先輩から、太鼓を叩く係を託された際も、責任をもって取り組むことができていました。本番での勇姿、かっこよかったです。1学期よく頑張りましたね。2学期も仁くんらしさを忘れず、節度も守りながら、いろんなことにチャレンジしていきましょう。</t>
    <phoneticPr fontId="1"/>
  </si>
  <si>
    <t>生活面では、自分の体調と向き合いながら過ごす様子が見られました。欠席も少なく、よく登校できました。乗鞍キャンプでは苦手なアスレチックにも、果敢に挑戦できていました。宿題以外の提出物について、期限後の提出が多かったので、２学期は特に意識して過ごしてください。継続的に注意をしていますが、爪が長すぎます。誰かに怪我をさせてしまってからでは遅いので、相手に危害を与えないことを第一に、切り揃えましょう。学習面では、昨年度に比べて前向きに授業に取り組んでいる様子が見受けられます。一方で、提出物の提出率が一桁近くになっている教科も見られます。「課されたものを期日までに確実に出す」この習慣を身に着けられるよう、日々の取り組みを見直していきましょう。日々の積み重ねは、試験での成績向上に大きくつながってきます。体育祭では実行委員会に参加し、用具係として円滑な競技進行に大きく貢献しました。人手が不足していた際は、自分から用具をもって配置場所に向かうことができていました。係担当としても、維香さんの臨機応変な動きにとても助けられました。１学期よく頑張りましたね。２学期も維香さんらしさを忘れず、いろんなことにチャレンジしていきましょう。</t>
    <phoneticPr fontId="1"/>
  </si>
  <si>
    <t>学習面では中間から期末で順位を上げることができましたね。わからない問題については授業後に担当教員のもとへ質問に行くなど、学習に意欲的な姿勢が見られました。社会のノートはとても丁寧にわかりやすくまとめられており、学年でもトップクラスの評価です。提出物もしっかりと出せています。目標点数を達成できるよう、勉強方法をさらに磨いていきましょう。生活面では友人関係も良好で、穏やかにすごすことができています。クラスや部活、いろんなコミュニティで人間関係を構築できていました。係活動について、若干マイペースな部分が見られます。給食の片づけを忘れてしまうことが多いので、自分の仕事を終わらせることを忘れないようにしましょう。体育祭では実行委員会に参加し、報道係として競技のアナウンスを務めました。原稿が渡されてすぐ「頑張ります」と目を輝かせ、練習している様子からは、自分の仕事に責任を持って取り組んでいる様子が見られました。１学期よく頑張りましたね。2学期も心音さんらしさを忘れず、いろんなことにチャレンジしていきましょう。</t>
    <phoneticPr fontId="1"/>
  </si>
  <si>
    <t>学習面では一学期中間テストから期末テストで点数を上げ、順位も１０位以内に食い込むことができましたね。提出物も欠かさずに出すことができており、授業態度も真面目です。発言も多く、積極的に授業に参加している様子が見られます。社会の授業では、毎回挙手を欠かさず、発言してくれました。引き続き、この姿勢を維持してほしいです。生活面では係や委員会の仕事を責任もって取り組むことができていました。クラスで一番時間を見て行動をすることができていました。周りの状況に左右されず、しっかりと準備を済ませ、時間までに席に着くことができていました。冷静で回りをよく見ており、クラスメイトからの信頼も厚いです。「あいさつを積極的にできるようにしたい」と振り返っていたので、がんばっていきましょう。体育祭では実行委員会に参加し、用具係として自分の仕事に責任をもって取り組むことができていました。放課後の練習で欠席者が多いときは、自ら代役を務めてくれました。会場の設営にも大きく貢献し、担当外の仕事も積極的に行うことができました。１学期よく頑張りましたね。２学期も美緒さんらしさを忘れず、いろんなことにチャレンジしていきましょう</t>
    <phoneticPr fontId="1"/>
  </si>
  <si>
    <t>学習面では、昨年に比べて授業態度が改善された様子が見られます。社会の授業での発言回数も増えてきています。宿題の提出率があまりよくありませんでした。課されたものは期日までに取り組んでください。日々の積み重ねは、試験の成績向上にも大きくつながります。まずは最低限のものを取り組んでいきましょう。生活面では、学級書記長として、学級会の時間にはクラスメイトから出た意見を黒板にまとめ、学級長や副学級長をサポートしてくれました。友人関係も良好で、楽しく過ごしている様子が見受けられます。タブレットの使用について、一度指導を入れましたが、適切な使い方を改めて確認してください。生活記録の提出率が非常に悪いです。まずは書き、提出することを習慣づけていきましょう。メリハリをつけること、大事にしていきましょう。体調面は問題なく、元気に過ごせましたね。バスケ部では積極的に練習に参加することができました。初めてのメンバーで挑んだ大会は大きな経験となりましたね。良い記録が更新できるよう、日々の練習を引き続き頑張ってほしいと思います。１学期よく頑張りましたね。２学期も麟太くんらしさを忘れず、いろんなことにチャレンジしていきましょう。</t>
    <phoneticPr fontId="1"/>
  </si>
  <si>
    <t xml:space="preserve"> 出席日数（自動計算）</t>
    <phoneticPr fontId="1"/>
  </si>
  <si>
    <t xml:space="preserve"> 欠席日数</t>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</si>
</sst>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fonts count="18">
    <font>
      <sz val="11"/>
      <name val="ＭＳ Ｐゴシック"/>
      <family val="3"/>
      <charset val="128"/>
    </font>
    <font>
      <sz val="6"/>
      <name val="ＭＳ Ｐゴシック"/>
      <family val="3"/>
      <charset val="128"/>
    </font>
    <font>
      <sz val="12"/>
      <name val="ＭＳ Ｐ明朝"/>
      <family val="1"/>
      <charset val="128"/>
    </font>
    <font>
      <sz val="11"/>
      <name val="ＭＳ Ｐ明朝"/>
      <family val="1"/>
      <charset val="128"/>
    </font>
    <font>
      <sz val="9"/>
      <name val="ＭＳ Ｐ明朝"/>
      <family val="1"/>
      <charset val="128"/>
    </font>
    <font>
      <sz val="14"/>
      <name val="ＭＳ Ｐ明朝"/>
      <family val="1"/>
      <charset val="128"/>
    </font>
    <font>
      <sz val="11"/>
      <color indexed="9"/>
      <name val="ＭＳ Ｐ明朝"/>
      <family val="1"/>
      <charset val="128"/>
    </font>
    <font>
      <sz val="16"/>
      <color indexed="9"/>
      <name val="ＭＳ Ｐ明朝"/>
      <family val="1"/>
      <charset val="128"/>
    </font>
    <font>
      <sz val="11"/>
      <color theme="0"/>
      <name val="ＭＳ Ｐ明朝"/>
      <family val="1"/>
      <charset val="128"/>
    </font>
    <font>
      <b/>
      <sz val="11"/>
      <color indexed="56"/>
      <name val="ＭＳ Ｐゴシック"/>
      <family val="3"/>
      <charset val="128"/>
    </font>
    <font>
      <sz val="16"/>
      <name val="ＭＳ Ｐ明朝"/>
      <family val="1"/>
      <charset val="128"/>
    </font>
    <font>
      <b/>
      <sz val="12"/>
      <name val="ＭＳ Ｐゴシック"/>
      <family val="3"/>
      <charset val="128"/>
    </font>
    <font>
      <sz val="11"/>
      <color theme="0"/>
      <name val="ＭＳ Ｐゴシック"/>
      <family val="3"/>
      <charset val="128"/>
    </font>
    <font>
      <sz val="11"/>
      <color rgb="FF000000"/>
      <name val="ＭＳ Ｐゴシック"/>
      <family val="3"/>
      <charset val="128"/>
    </font>
    <font>
      <u/>
      <sz val="11"/>
      <color indexed="12"/>
      <name val="ＭＳ Ｐゴシック"/>
      <family val="3"/>
      <charset val="128"/>
    </font>
    <font>
      <sz val="11"/>
      <name val="ＭＳ 明朝"/>
      <family val="1"/>
      <charset val="128"/>
    </font>
    <font>
      <b/>
      <sz val="12"/>
      <color theme="0"/>
      <name val="ＭＳ Ｐ明朝"/>
      <family val="1"/>
      <charset val="128"/>
    </font>
    <font>
      <sz val="10.5"/>
      <name val="游明朝"/>
      <family val="1"/>
      <charset val="128"/>
    </font>
  </fonts>
  <fills count="15">
    <fill>
      <patternFill patternType="none"/>
    </fill>
    <fill>
      <patternFill patternType="gray125"/>
    </fill>
    <fill>
      <patternFill patternType="solid">
        <fgColor indexed="61"/>
        <bgColor indexed="64"/>
      </patternFill>
    </fill>
    <fill>
      <patternFill patternType="solid">
        <fgColor indexed="43"/>
        <bgColor indexed="64"/>
      </patternFill>
    </fill>
    <fill>
      <patternFill patternType="solid">
        <fgColor indexed="54"/>
        <bgColor indexed="64"/>
      </patternFill>
    </fill>
    <fill>
      <patternFill patternType="solid">
        <fgColor theme="3" tint="0.79998168889431442"/>
        <bgColor indexed="64"/>
      </patternFill>
    </fill>
    <fill>
      <patternFill patternType="solid">
        <fgColor indexed="50"/>
        <bgColor indexed="64"/>
      </patternFill>
    </fill>
    <fill>
      <patternFill patternType="solid">
        <fgColor indexed="41"/>
        <bgColor indexed="64"/>
      </patternFill>
    </fill>
    <fill>
      <patternFill patternType="solid">
        <fgColor indexed="47"/>
        <bgColor indexed="64"/>
      </patternFill>
    </fill>
    <fill>
      <patternFill patternType="solid">
        <fgColor indexed="46"/>
        <bgColor indexed="64"/>
      </patternFill>
    </fill>
    <fill>
      <patternFill patternType="solid">
        <fgColor theme="1"/>
        <bgColor indexed="64"/>
      </patternFill>
    </fill>
    <fill>
      <patternFill patternType="solid">
        <fgColor theme="0"/>
        <bgColor indexed="64"/>
      </patternFill>
    </fill>
    <fill>
      <patternFill patternType="solid">
        <fgColor theme="6" tint="0.59999389629810485"/>
        <bgColor indexed="64"/>
      </patternFill>
    </fill>
    <fill>
      <patternFill patternType="solid">
        <fgColor indexed="42"/>
        <bgColor indexed="64"/>
      </patternFill>
    </fill>
    <fill>
      <patternFill patternType="solid">
        <fgColor theme="7" tint="0.59999389629810485"/>
        <bgColor indexed="64"/>
      </patternFill>
    </fill>
  </fills>
  <borders count="51">
    <border>
      <left/>
      <right/>
      <top/>
      <bottom/>
      <diagonal/>
    </border>
    <border>
      <left/>
      <right/>
      <top/>
      <bottom style="thin">
        <color indexed="64"/>
      </bottom>
      <diagonal/>
    </border>
    <border>
      <left/>
      <right/>
      <top style="thin">
        <color indexed="64"/>
      </top>
      <bottom/>
      <diagonal/>
    </border>
    <border>
      <left style="hair">
        <color indexed="64"/>
      </left>
      <right style="thin">
        <color indexed="64"/>
      </right>
      <top style="hair">
        <color indexed="64"/>
      </top>
      <bottom style="hair">
        <color indexed="64"/>
      </bottom>
      <diagonal/>
    </border>
    <border>
      <left style="hair">
        <color indexed="64"/>
      </left>
      <right style="thin">
        <color indexed="64"/>
      </right>
      <top style="hair">
        <color indexed="64"/>
      </top>
      <bottom style="thin">
        <color indexed="64"/>
      </bottom>
      <diagonal/>
    </border>
    <border>
      <left style="hair">
        <color indexed="64"/>
      </left>
      <right style="hair">
        <color indexed="64"/>
      </right>
      <top style="hair">
        <color indexed="64"/>
      </top>
      <bottom style="hair">
        <color indexed="64"/>
      </bottom>
      <diagonal/>
    </border>
    <border>
      <left style="hair">
        <color indexed="64"/>
      </left>
      <right style="hair">
        <color indexed="64"/>
      </right>
      <top style="hair">
        <color indexed="64"/>
      </top>
      <bottom style="thin">
        <color indexed="64"/>
      </bottom>
      <diagonal/>
    </border>
    <border>
      <left style="thin">
        <color indexed="64"/>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style="hair">
        <color indexed="64"/>
      </right>
      <top style="thin">
        <color indexed="64"/>
      </top>
      <bottom/>
      <diagonal/>
    </border>
    <border>
      <left style="hair">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hair">
        <color indexed="64"/>
      </right>
      <top style="thin">
        <color indexed="64"/>
      </top>
      <bottom/>
      <diagonal/>
    </border>
    <border>
      <left style="thin">
        <color indexed="64"/>
      </left>
      <right style="hair">
        <color indexed="64"/>
      </right>
      <top/>
      <bottom/>
      <diagonal/>
    </border>
    <border>
      <left style="thin">
        <color indexed="64"/>
      </left>
      <right style="hair">
        <color indexed="64"/>
      </right>
      <top/>
      <bottom style="thin">
        <color indexed="64"/>
      </bottom>
      <diagonal/>
    </border>
    <border>
      <left style="hair">
        <color indexed="64"/>
      </left>
      <right/>
      <top style="thin">
        <color indexed="64"/>
      </top>
      <bottom style="hair">
        <color indexed="64"/>
      </bottom>
      <diagonal/>
    </border>
    <border>
      <left/>
      <right/>
      <top style="thin">
        <color indexed="64"/>
      </top>
      <bottom style="hair">
        <color indexed="64"/>
      </bottom>
      <diagonal/>
    </border>
    <border>
      <left/>
      <right style="hair">
        <color indexed="64"/>
      </right>
      <top style="thin">
        <color indexed="64"/>
      </top>
      <bottom style="hair">
        <color indexed="64"/>
      </bottom>
      <diagonal/>
    </border>
    <border>
      <left style="hair">
        <color indexed="64"/>
      </left>
      <right/>
      <top style="hair">
        <color indexed="64"/>
      </top>
      <bottom style="hair">
        <color indexed="64"/>
      </bottom>
      <diagonal/>
    </border>
    <border>
      <left/>
      <right/>
      <top style="hair">
        <color indexed="64"/>
      </top>
      <bottom style="hair">
        <color indexed="64"/>
      </bottom>
      <diagonal/>
    </border>
    <border>
      <left/>
      <right style="hair">
        <color indexed="64"/>
      </right>
      <top style="hair">
        <color indexed="64"/>
      </top>
      <bottom style="hair">
        <color indexed="64"/>
      </bottom>
      <diagonal/>
    </border>
    <border>
      <left style="hair">
        <color indexed="64"/>
      </left>
      <right style="hair">
        <color indexed="64"/>
      </right>
      <top style="thin">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diagonal/>
    </border>
    <border>
      <left style="hair">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right style="thin">
        <color indexed="64"/>
      </right>
      <top/>
      <bottom style="thin">
        <color indexed="64"/>
      </bottom>
      <diagonal/>
    </border>
    <border>
      <left style="hair">
        <color indexed="64"/>
      </left>
      <right style="thin">
        <color indexed="64"/>
      </right>
      <top style="thin">
        <color indexed="64"/>
      </top>
      <bottom style="thin">
        <color indexed="64"/>
      </bottom>
      <diagonal/>
    </border>
    <border>
      <left style="hair">
        <color indexed="64"/>
      </left>
      <right/>
      <top style="thin">
        <color indexed="64"/>
      </top>
      <bottom style="thin">
        <color indexed="64"/>
      </bottom>
      <diagonal/>
    </border>
    <border>
      <left style="hair">
        <color indexed="64"/>
      </left>
      <right style="thin">
        <color indexed="64"/>
      </right>
      <top/>
      <bottom/>
      <diagonal/>
    </border>
    <border>
      <left/>
      <right style="hair">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style="thin">
        <color indexed="64"/>
      </top>
      <bottom/>
      <diagonal/>
    </border>
    <border>
      <left style="medium">
        <color theme="0"/>
      </left>
      <right style="medium">
        <color theme="0"/>
      </right>
      <top style="medium">
        <color theme="0"/>
      </top>
      <bottom style="medium">
        <color theme="0"/>
      </bottom>
      <diagonal/>
    </border>
    <border>
      <left style="medium">
        <color theme="0"/>
      </left>
      <right/>
      <top style="medium">
        <color theme="0"/>
      </top>
      <bottom style="medium">
        <color theme="0"/>
      </bottom>
      <diagonal/>
    </border>
    <border>
      <left/>
      <right style="medium">
        <color theme="0"/>
      </right>
      <top style="medium">
        <color theme="0"/>
      </top>
      <bottom style="medium">
        <color theme="0"/>
      </bottom>
      <diagonal/>
    </border>
    <border>
      <left style="hair">
        <color indexed="64"/>
      </left>
      <right style="hair">
        <color indexed="64"/>
      </right>
      <top/>
      <bottom/>
      <diagonal/>
    </border>
    <border>
      <left style="hair">
        <color indexed="64"/>
      </left>
      <right style="thin">
        <color indexed="64"/>
      </right>
      <top style="thin">
        <color indexed="64"/>
      </top>
      <bottom style="hair">
        <color indexed="64"/>
      </bottom>
      <diagonal/>
    </border>
    <border>
      <left/>
      <right style="hair">
        <color indexed="64"/>
      </right>
      <top style="hair">
        <color indexed="64"/>
      </top>
      <bottom/>
      <diagonal/>
    </border>
    <border>
      <left style="hair">
        <color indexed="64"/>
      </left>
      <right style="hair">
        <color indexed="64"/>
      </right>
      <top style="hair">
        <color indexed="64"/>
      </top>
      <bottom/>
      <diagonal/>
    </border>
    <border>
      <left style="hair">
        <color indexed="64"/>
      </left>
      <right style="thin">
        <color indexed="64"/>
      </right>
      <top style="hair">
        <color indexed="64"/>
      </top>
      <bottom/>
      <diagonal/>
    </border>
    <border>
      <left/>
      <right style="hair">
        <color indexed="64"/>
      </right>
      <top/>
      <bottom/>
      <diagonal/>
    </border>
    <border>
      <left/>
      <right style="hair">
        <color indexed="64"/>
      </right>
      <top/>
      <bottom style="thin">
        <color indexed="64"/>
      </bottom>
      <diagonal/>
    </border>
    <border>
      <left style="hair">
        <color indexed="64"/>
      </left>
      <right style="hair">
        <color indexed="64"/>
      </right>
      <top/>
      <bottom style="thin">
        <color indexed="64"/>
      </bottom>
      <diagonal/>
    </border>
    <border>
      <left style="hair">
        <color indexed="64"/>
      </left>
      <right style="thin">
        <color indexed="64"/>
      </right>
      <top/>
      <bottom style="thin">
        <color indexed="64"/>
      </bottom>
      <diagonal/>
    </border>
    <border>
      <left style="thin">
        <color indexed="64"/>
      </left>
      <right/>
      <top/>
      <bottom style="thin">
        <color indexed="64"/>
      </bottom>
      <diagonal/>
    </border>
  </borders>
  <cellStyleXfs count="1">
    <xf numFmtId="0" fontId="0" fillId="0" borderId="0">
      <alignment vertical="center"/>
    </xf>
  </cellStyleXfs>
  <cellXfs count="210">
    <xf numFmtId="0" fontId="0" fillId="0" borderId="0" xfId="0">
      <alignment vertical="center"/>
    </xf>
    <xf numFmtId="0" fontId="3" fillId="0" borderId="1" xfId="0" applyFont="1" applyFill="1" applyBorder="1" applyAlignment="1">
      <alignment horizontal="right" vertical="center"/>
    </xf>
    <xf numFmtId="0" fontId="3" fillId="0" borderId="0" xfId="0" applyFont="1" applyFill="1" applyBorder="1" applyAlignment="1">
      <alignment vertical="center"/>
    </xf>
    <xf numFmtId="0" fontId="3" fillId="0" borderId="2" xfId="0" applyFont="1" applyFill="1" applyBorder="1" applyAlignment="1">
      <alignment horizontal="center" vertical="center"/>
    </xf>
    <xf numFmtId="0" fontId="3" fillId="0" borderId="0" xfId="0" applyFont="1" applyFill="1">
      <alignment vertical="center"/>
    </xf>
    <xf numFmtId="0" fontId="3" fillId="0" borderId="0" xfId="0" applyFont="1" applyFill="1" applyBorder="1" applyAlignment="1"/>
    <xf numFmtId="0" fontId="3" fillId="0" borderId="2" xfId="0" applyFont="1" applyBorder="1" applyAlignment="1">
      <alignment horizontal="left" vertical="center" shrinkToFit="1"/>
    </xf>
    <xf numFmtId="0" fontId="3" fillId="0" borderId="1" xfId="0" applyFont="1" applyBorder="1" applyAlignment="1">
      <alignment horizontal="left" vertical="center" shrinkToFit="1"/>
    </xf>
    <xf numFmtId="0" fontId="3" fillId="0" borderId="0" xfId="0" applyFont="1" applyFill="1" applyBorder="1" applyAlignment="1">
      <alignment vertical="center" wrapText="1" shrinkToFit="1"/>
    </xf>
    <xf numFmtId="0" fontId="3" fillId="0" borderId="3" xfId="0" applyFont="1" applyFill="1" applyBorder="1" applyAlignment="1">
      <alignment horizontal="center" vertical="center"/>
    </xf>
    <xf numFmtId="0" fontId="3" fillId="0" borderId="0" xfId="0" applyFont="1" applyFill="1" applyBorder="1">
      <alignment vertical="center"/>
    </xf>
    <xf numFmtId="0" fontId="3" fillId="0" borderId="5" xfId="0" applyFont="1" applyFill="1" applyBorder="1" applyAlignment="1">
      <alignment horizontal="center" vertical="center"/>
    </xf>
    <xf numFmtId="0" fontId="3" fillId="0" borderId="6" xfId="0" applyFont="1" applyFill="1" applyBorder="1" applyAlignment="1">
      <alignment horizontal="center" vertical="center"/>
    </xf>
    <xf numFmtId="0" fontId="3" fillId="0" borderId="7" xfId="0" applyFont="1" applyFill="1" applyBorder="1" applyAlignment="1">
      <alignment vertical="center"/>
    </xf>
    <xf numFmtId="0" fontId="3" fillId="0" borderId="9" xfId="0" applyFont="1" applyFill="1" applyBorder="1" applyAlignment="1">
      <alignment horizontal="center" vertical="center"/>
    </xf>
    <xf numFmtId="0" fontId="3" fillId="0" borderId="10" xfId="0" applyFont="1" applyFill="1" applyBorder="1" applyAlignment="1">
      <alignment horizontal="center" vertical="center"/>
    </xf>
    <xf numFmtId="0" fontId="3" fillId="0" borderId="7" xfId="0" applyFont="1" applyFill="1" applyBorder="1" applyAlignment="1">
      <alignment horizontal="center" vertical="center" textRotation="255"/>
    </xf>
    <xf numFmtId="0" fontId="3" fillId="0" borderId="0" xfId="0" applyFont="1" applyFill="1" applyBorder="1" applyAlignment="1">
      <alignment horizontal="left" vertical="top" wrapText="1" shrinkToFit="1"/>
    </xf>
    <xf numFmtId="0" fontId="3" fillId="0" borderId="0" xfId="0" applyFont="1" applyFill="1" applyBorder="1" applyAlignment="1">
      <alignment vertical="top" wrapText="1" shrinkToFit="1"/>
    </xf>
    <xf numFmtId="0" fontId="3" fillId="0" borderId="2" xfId="0" applyFont="1" applyFill="1" applyBorder="1" applyAlignment="1">
      <alignment horizontal="center" vertical="center" shrinkToFit="1"/>
    </xf>
    <xf numFmtId="0" fontId="3" fillId="0" borderId="1" xfId="0" applyFont="1" applyFill="1" applyBorder="1" applyAlignment="1">
      <alignment horizontal="center" vertical="center" shrinkToFit="1"/>
    </xf>
    <xf numFmtId="0" fontId="7" fillId="2" borderId="11" xfId="0" applyNumberFormat="1" applyFont="1" applyFill="1" applyBorder="1" applyAlignment="1">
      <alignment horizontal="center" vertical="center" wrapText="1"/>
    </xf>
    <xf numFmtId="0" fontId="7" fillId="2" borderId="11" xfId="0" applyFont="1" applyFill="1" applyBorder="1" applyAlignment="1">
      <alignment horizontal="center" vertical="center"/>
    </xf>
    <xf numFmtId="0" fontId="6" fillId="2" borderId="11" xfId="0" applyFont="1" applyFill="1" applyBorder="1" applyAlignment="1">
      <alignment horizontal="center" vertical="center" wrapText="1"/>
    </xf>
    <xf numFmtId="0" fontId="3" fillId="3" borderId="11" xfId="0" applyFont="1" applyFill="1" applyBorder="1" applyAlignment="1">
      <alignment vertical="top" textRotation="255"/>
    </xf>
    <xf numFmtId="0" fontId="3" fillId="0" borderId="0" xfId="0" applyFont="1" applyFill="1" applyAlignment="1">
      <alignment vertical="center" textRotation="255"/>
    </xf>
    <xf numFmtId="0" fontId="3" fillId="3" borderId="11" xfId="0" applyFont="1" applyFill="1" applyBorder="1" applyAlignment="1">
      <alignment horizontal="center" vertical="center"/>
    </xf>
    <xf numFmtId="0" fontId="2" fillId="0" borderId="11" xfId="0" applyFont="1" applyFill="1" applyBorder="1" applyAlignment="1" applyProtection="1">
      <alignment horizontal="center" vertical="center"/>
      <protection locked="0"/>
    </xf>
    <xf numFmtId="0" fontId="8" fillId="0" borderId="0" xfId="0" applyFont="1" applyFill="1">
      <alignment vertical="center"/>
    </xf>
    <xf numFmtId="0" fontId="3" fillId="3" borderId="11" xfId="0" applyFont="1" applyFill="1" applyBorder="1" applyAlignment="1">
      <alignment horizontal="left" vertical="center" wrapText="1"/>
    </xf>
    <xf numFmtId="0" fontId="3" fillId="0" borderId="23" xfId="0" applyFont="1" applyFill="1" applyBorder="1" applyAlignment="1">
      <alignment horizontal="left" vertical="center" wrapText="1"/>
    </xf>
    <xf numFmtId="0" fontId="3" fillId="5" borderId="11" xfId="0" applyFont="1" applyFill="1" applyBorder="1" applyAlignment="1">
      <alignment horizontal="center" vertical="center" wrapText="1"/>
    </xf>
    <xf numFmtId="0" fontId="2" fillId="3" borderId="11" xfId="0" applyFont="1" applyFill="1" applyBorder="1" applyAlignment="1" applyProtection="1">
      <alignment vertical="center"/>
      <protection locked="0"/>
    </xf>
    <xf numFmtId="0" fontId="3" fillId="0" borderId="0" xfId="0" applyFont="1" applyFill="1" applyAlignment="1">
      <alignment horizontal="center" vertical="center"/>
    </xf>
    <xf numFmtId="0" fontId="3" fillId="5" borderId="11" xfId="0" applyNumberFormat="1" applyFont="1" applyFill="1" applyBorder="1" applyAlignment="1">
      <alignment horizontal="center" vertical="center" wrapText="1"/>
    </xf>
    <xf numFmtId="0" fontId="3" fillId="0" borderId="11" xfId="0" applyNumberFormat="1" applyFont="1" applyFill="1" applyBorder="1" applyAlignment="1" applyProtection="1">
      <alignment horizontal="left" vertical="center" wrapText="1"/>
      <protection locked="0"/>
    </xf>
    <xf numFmtId="0" fontId="10" fillId="6" borderId="11" xfId="0" applyNumberFormat="1" applyFont="1" applyFill="1" applyBorder="1" applyAlignment="1">
      <alignment horizontal="center" vertical="center"/>
    </xf>
    <xf numFmtId="0" fontId="10" fillId="6" borderId="11" xfId="0" applyFont="1" applyFill="1" applyBorder="1" applyAlignment="1">
      <alignment horizontal="center" vertical="center"/>
    </xf>
    <xf numFmtId="0" fontId="3" fillId="6" borderId="11" xfId="0" applyFont="1" applyFill="1" applyBorder="1" applyAlignment="1">
      <alignment horizontal="center" vertical="center" wrapText="1"/>
    </xf>
    <xf numFmtId="0" fontId="3" fillId="3" borderId="11" xfId="0" applyFont="1" applyFill="1" applyBorder="1" applyAlignment="1" applyProtection="1">
      <alignment vertical="center"/>
      <protection locked="0"/>
    </xf>
    <xf numFmtId="0" fontId="11" fillId="11" borderId="38" xfId="0" applyFont="1" applyFill="1" applyBorder="1" applyAlignment="1">
      <alignment horizontal="center" vertical="center"/>
    </xf>
    <xf numFmtId="0" fontId="12" fillId="10" borderId="38" xfId="0" applyFont="1" applyFill="1" applyBorder="1" applyAlignment="1">
      <alignment horizontal="center" vertical="center"/>
    </xf>
    <xf numFmtId="0" fontId="3" fillId="0" borderId="0" xfId="0" applyFont="1" applyFill="1" applyAlignment="1">
      <alignment horizontal="left" vertical="center" indent="1"/>
    </xf>
    <xf numFmtId="0" fontId="2" fillId="0" borderId="0" xfId="0" applyFont="1" applyFill="1" applyBorder="1" applyAlignment="1">
      <alignment horizontal="center" vertical="center"/>
    </xf>
    <xf numFmtId="0" fontId="2" fillId="0" borderId="0" xfId="0" applyFont="1" applyFill="1" applyBorder="1" applyAlignment="1">
      <alignment horizontal="right" vertical="center"/>
    </xf>
    <xf numFmtId="0" fontId="3" fillId="0" borderId="12" xfId="0" applyFont="1" applyFill="1" applyBorder="1" applyAlignment="1">
      <alignment vertical="center"/>
    </xf>
    <xf numFmtId="0" fontId="3" fillId="0" borderId="9" xfId="0" applyFont="1" applyFill="1" applyBorder="1" applyAlignment="1">
      <alignment vertical="center"/>
    </xf>
    <xf numFmtId="0" fontId="3" fillId="0" borderId="7" xfId="0" applyFont="1" applyFill="1" applyBorder="1" applyAlignment="1">
      <alignment vertical="center" textRotation="255"/>
    </xf>
    <xf numFmtId="0" fontId="5" fillId="0" borderId="8" xfId="0" applyFont="1" applyFill="1" applyBorder="1" applyAlignment="1">
      <alignment horizontal="center" vertical="center"/>
    </xf>
    <xf numFmtId="0" fontId="3" fillId="0" borderId="31" xfId="0" applyFont="1" applyFill="1" applyBorder="1" applyAlignment="1">
      <alignment horizontal="left" vertical="top" wrapText="1"/>
    </xf>
    <xf numFmtId="0" fontId="3" fillId="0" borderId="13" xfId="0" applyFont="1" applyFill="1" applyBorder="1" applyAlignment="1">
      <alignment vertical="center" textRotation="255"/>
    </xf>
    <xf numFmtId="0" fontId="5" fillId="0" borderId="41" xfId="0" applyFont="1" applyFill="1" applyBorder="1" applyAlignment="1">
      <alignment horizontal="center" vertical="center"/>
    </xf>
    <xf numFmtId="0" fontId="3" fillId="0" borderId="33" xfId="0" applyFont="1" applyFill="1" applyBorder="1" applyAlignment="1">
      <alignment horizontal="left" vertical="top" wrapText="1"/>
    </xf>
    <xf numFmtId="0" fontId="3" fillId="0" borderId="0" xfId="0" applyFont="1" applyFill="1" applyAlignment="1">
      <alignment horizontal="left" vertical="top" wrapText="1"/>
    </xf>
    <xf numFmtId="0" fontId="3" fillId="0" borderId="23" xfId="0" applyFont="1" applyFill="1" applyBorder="1">
      <alignment vertical="center"/>
    </xf>
    <xf numFmtId="0" fontId="2" fillId="0" borderId="0" xfId="0" applyFont="1" applyFill="1" applyBorder="1" applyAlignment="1">
      <alignment horizontal="left" vertical="center" indent="1"/>
    </xf>
    <xf numFmtId="0" fontId="8" fillId="0" borderId="0" xfId="0" applyFont="1" applyFill="1" applyProtection="1">
      <alignment vertical="center"/>
      <protection locked="0"/>
    </xf>
    <xf numFmtId="0" fontId="3" fillId="3" borderId="11" xfId="0" applyFont="1" applyFill="1" applyBorder="1" applyAlignment="1" applyProtection="1">
      <alignment vertical="center"/>
    </xf>
    <xf numFmtId="0" fontId="3" fillId="0" borderId="22" xfId="0" applyFont="1" applyBorder="1" applyAlignment="1" applyProtection="1">
      <alignment horizontal="left" vertical="center" shrinkToFit="1"/>
      <protection locked="0"/>
    </xf>
    <xf numFmtId="0" fontId="5" fillId="0" borderId="2" xfId="0" applyFont="1" applyFill="1" applyBorder="1" applyAlignment="1">
      <alignment horizontal="center" vertical="center"/>
    </xf>
    <xf numFmtId="0" fontId="5" fillId="0" borderId="1" xfId="0" applyFont="1" applyFill="1" applyBorder="1" applyAlignment="1">
      <alignment horizontal="center" vertical="center"/>
    </xf>
    <xf numFmtId="0" fontId="3" fillId="0" borderId="1" xfId="0" applyFont="1" applyFill="1" applyBorder="1" applyAlignment="1">
      <alignment horizontal="center" vertical="center"/>
    </xf>
    <xf numFmtId="0" fontId="3" fillId="0" borderId="8" xfId="0" applyFont="1" applyFill="1" applyBorder="1" applyAlignment="1">
      <alignment horizontal="center" vertical="center"/>
    </xf>
    <xf numFmtId="0" fontId="3" fillId="0" borderId="0" xfId="0" applyFont="1" applyFill="1" applyAlignment="1">
      <alignment horizontal="left" vertical="center" wrapText="1"/>
    </xf>
    <xf numFmtId="0" fontId="15" fillId="0" borderId="7" xfId="0" applyFont="1" applyFill="1" applyBorder="1" applyAlignment="1">
      <alignment horizontal="center" vertical="center" textRotation="255"/>
    </xf>
    <xf numFmtId="0" fontId="3" fillId="0" borderId="1" xfId="0" applyFont="1" applyFill="1" applyBorder="1">
      <alignment vertical="center"/>
    </xf>
    <xf numFmtId="0" fontId="3" fillId="0" borderId="42" xfId="0" applyFont="1" applyFill="1" applyBorder="1" applyAlignment="1">
      <alignment horizontal="center" vertical="center"/>
    </xf>
    <xf numFmtId="0" fontId="3" fillId="0" borderId="26" xfId="0" applyFont="1" applyFill="1" applyBorder="1">
      <alignment vertical="center"/>
    </xf>
    <xf numFmtId="0" fontId="4" fillId="0" borderId="36" xfId="0" applyFont="1" applyBorder="1" applyAlignment="1">
      <alignment vertical="center" wrapText="1" shrinkToFit="1"/>
    </xf>
    <xf numFmtId="0" fontId="3" fillId="0" borderId="4" xfId="0" applyFont="1" applyFill="1" applyBorder="1" applyAlignment="1">
      <alignment horizontal="center" vertical="center"/>
    </xf>
    <xf numFmtId="0" fontId="4" fillId="0" borderId="1" xfId="0" applyFont="1" applyFill="1" applyBorder="1" applyAlignment="1">
      <alignment horizontal="left" vertical="top"/>
    </xf>
    <xf numFmtId="0" fontId="4" fillId="0" borderId="26" xfId="0" applyFont="1" applyBorder="1" applyAlignment="1">
      <alignment vertical="center" wrapText="1" shrinkToFit="1"/>
    </xf>
    <xf numFmtId="0" fontId="4" fillId="0" borderId="26" xfId="0" applyFont="1" applyBorder="1" applyAlignment="1">
      <alignment vertical="center" shrinkToFit="1"/>
    </xf>
    <xf numFmtId="0" fontId="3" fillId="0" borderId="22" xfId="0" applyFont="1" applyBorder="1" applyProtection="1">
      <alignment vertical="center"/>
      <protection locked="0"/>
    </xf>
    <xf numFmtId="0" fontId="3" fillId="3" borderId="35" xfId="0" applyFont="1" applyFill="1" applyBorder="1" applyAlignment="1">
      <alignment horizontal="center" vertical="center"/>
    </xf>
    <xf numFmtId="0" fontId="3" fillId="0" borderId="11" xfId="0" applyFont="1" applyFill="1" applyBorder="1" applyAlignment="1">
      <alignment horizontal="right" vertical="center"/>
    </xf>
    <xf numFmtId="0" fontId="16" fillId="0" borderId="0" xfId="0" applyFont="1" applyFill="1" applyBorder="1" applyAlignment="1">
      <alignment vertical="top" wrapText="1" shrinkToFit="1"/>
    </xf>
    <xf numFmtId="0" fontId="3" fillId="12" borderId="11" xfId="0" applyFont="1" applyFill="1" applyBorder="1" applyAlignment="1">
      <alignment horizontal="center" vertical="center" wrapText="1"/>
    </xf>
    <xf numFmtId="0" fontId="3" fillId="0" borderId="22" xfId="0" applyFont="1" applyBorder="1" applyAlignment="1" applyProtection="1">
      <alignment vertical="center" shrinkToFit="1"/>
      <protection locked="0"/>
    </xf>
    <xf numFmtId="0" fontId="2" fillId="0" borderId="11" xfId="0" applyFont="1" applyBorder="1" applyAlignment="1" applyProtection="1">
      <alignment horizontal="center" vertical="center"/>
      <protection locked="0"/>
    </xf>
    <xf numFmtId="0" fontId="3" fillId="0" borderId="0" xfId="0" applyFont="1" applyAlignment="1">
      <alignment vertical="center" textRotation="255"/>
    </xf>
    <xf numFmtId="0" fontId="3" fillId="0" borderId="0" xfId="0" applyFont="1">
      <alignment vertical="center"/>
    </xf>
    <xf numFmtId="0" fontId="8" fillId="0" borderId="0" xfId="0" applyFont="1">
      <alignment vertical="center"/>
    </xf>
    <xf numFmtId="0" fontId="3" fillId="0" borderId="11" xfId="0" applyFont="1" applyBorder="1" applyAlignment="1" applyProtection="1">
      <alignment horizontal="left" vertical="center" shrinkToFit="1"/>
      <protection locked="0"/>
    </xf>
    <xf numFmtId="0" fontId="3" fillId="0" borderId="23" xfId="0" applyFont="1" applyBorder="1" applyAlignment="1">
      <alignment horizontal="left" vertical="center" wrapText="1"/>
    </xf>
    <xf numFmtId="0" fontId="3" fillId="14" borderId="11" xfId="0" applyFont="1" applyFill="1" applyBorder="1" applyAlignment="1">
      <alignment horizontal="center" vertical="center"/>
    </xf>
    <xf numFmtId="0" fontId="7" fillId="2" borderId="11" xfId="0" applyFont="1" applyFill="1" applyBorder="1" applyAlignment="1">
      <alignment horizontal="center" vertical="center" wrapText="1"/>
    </xf>
    <xf numFmtId="0" fontId="2" fillId="3" borderId="11" xfId="0" applyFont="1" applyFill="1" applyBorder="1" applyProtection="1">
      <alignment vertical="center"/>
      <protection locked="0"/>
    </xf>
    <xf numFmtId="0" fontId="17" fillId="0" borderId="0" xfId="0" applyFont="1" applyAlignment="1" applyProtection="1">
      <alignment horizontal="justify" vertical="center"/>
      <protection locked="0"/>
    </xf>
    <xf numFmtId="0" fontId="3" fillId="3" borderId="11" xfId="0" applyFont="1" applyFill="1" applyBorder="1" applyAlignment="1">
      <alignment vertical="top" textRotation="255" shrinkToFit="1"/>
    </xf>
    <xf numFmtId="0" fontId="2" fillId="0" borderId="11" xfId="0" applyFont="1" applyFill="1" applyBorder="1" applyProtection="1">
      <alignment vertical="center"/>
      <protection locked="0"/>
    </xf>
    <xf numFmtId="0" fontId="2" fillId="7" borderId="11" xfId="0" applyFont="1" applyFill="1" applyBorder="1">
      <alignment vertical="center"/>
    </xf>
    <xf numFmtId="0" fontId="3" fillId="0" borderId="32" xfId="0" applyFont="1" applyFill="1" applyBorder="1" applyAlignment="1">
      <alignment horizontal="left" vertical="top" wrapText="1"/>
    </xf>
    <xf numFmtId="0" fontId="3" fillId="0" borderId="23" xfId="0" applyFont="1" applyFill="1" applyBorder="1" applyAlignment="1">
      <alignment horizontal="left" vertical="top" wrapText="1"/>
    </xf>
    <xf numFmtId="0" fontId="3" fillId="0" borderId="24" xfId="0" applyFont="1" applyFill="1" applyBorder="1" applyAlignment="1">
      <alignment horizontal="left" vertical="top" wrapText="1"/>
    </xf>
    <xf numFmtId="0" fontId="12" fillId="10" borderId="39" xfId="0" applyFont="1" applyFill="1" applyBorder="1" applyAlignment="1">
      <alignment horizontal="center" vertical="center"/>
    </xf>
    <xf numFmtId="0" fontId="12" fillId="10" borderId="40" xfId="0" applyFont="1" applyFill="1" applyBorder="1" applyAlignment="1">
      <alignment horizontal="center" vertical="center"/>
    </xf>
    <xf numFmtId="0" fontId="3" fillId="0" borderId="20" xfId="0" applyFont="1" applyFill="1" applyBorder="1" applyAlignment="1">
      <alignment horizontal="left" vertical="center"/>
    </xf>
    <xf numFmtId="0" fontId="3" fillId="0" borderId="5" xfId="0" applyFont="1" applyFill="1" applyBorder="1" applyAlignment="1">
      <alignment horizontal="left" vertical="center"/>
    </xf>
    <xf numFmtId="0" fontId="15" fillId="0" borderId="12" xfId="0" applyFont="1" applyFill="1" applyBorder="1" applyAlignment="1">
      <alignment horizontal="center" vertical="center" wrapText="1" shrinkToFit="1"/>
    </xf>
    <xf numFmtId="0" fontId="15" fillId="0" borderId="13" xfId="0" applyFont="1" applyFill="1" applyBorder="1" applyAlignment="1">
      <alignment horizontal="center" vertical="center" wrapText="1" shrinkToFit="1"/>
    </xf>
    <xf numFmtId="0" fontId="15" fillId="0" borderId="14" xfId="0" applyFont="1" applyFill="1" applyBorder="1" applyAlignment="1">
      <alignment horizontal="center" vertical="center" wrapText="1" shrinkToFit="1"/>
    </xf>
    <xf numFmtId="0" fontId="3" fillId="0" borderId="2" xfId="0" applyFont="1" applyFill="1" applyBorder="1" applyAlignment="1">
      <alignment horizontal="left" vertical="top" wrapText="1" shrinkToFit="1"/>
    </xf>
    <xf numFmtId="0" fontId="3" fillId="0" borderId="25" xfId="0" applyFont="1" applyFill="1" applyBorder="1" applyAlignment="1">
      <alignment horizontal="left" vertical="top" wrapText="1" shrinkToFit="1"/>
    </xf>
    <xf numFmtId="0" fontId="3" fillId="0" borderId="0" xfId="0" applyFont="1" applyFill="1" applyBorder="1" applyAlignment="1">
      <alignment horizontal="left" vertical="top" wrapText="1" shrinkToFit="1"/>
    </xf>
    <xf numFmtId="0" fontId="3" fillId="0" borderId="26" xfId="0" applyFont="1" applyFill="1" applyBorder="1" applyAlignment="1">
      <alignment horizontal="left" vertical="top" wrapText="1" shrinkToFit="1"/>
    </xf>
    <xf numFmtId="0" fontId="3" fillId="0" borderId="1" xfId="0" applyFont="1" applyFill="1" applyBorder="1" applyAlignment="1">
      <alignment horizontal="left" vertical="top" wrapText="1" shrinkToFit="1"/>
    </xf>
    <xf numFmtId="0" fontId="3" fillId="0" borderId="30" xfId="0" applyFont="1" applyFill="1" applyBorder="1" applyAlignment="1">
      <alignment horizontal="left" vertical="top" wrapText="1" shrinkToFit="1"/>
    </xf>
    <xf numFmtId="0" fontId="15" fillId="0" borderId="12" xfId="0" applyFont="1" applyFill="1" applyBorder="1" applyAlignment="1">
      <alignment horizontal="center" vertical="center" textRotation="255"/>
    </xf>
    <xf numFmtId="0" fontId="15" fillId="0" borderId="13" xfId="0" applyFont="1" applyFill="1" applyBorder="1" applyAlignment="1">
      <alignment horizontal="center" vertical="center" textRotation="255"/>
    </xf>
    <xf numFmtId="0" fontId="15" fillId="0" borderId="14" xfId="0" applyFont="1" applyFill="1" applyBorder="1" applyAlignment="1">
      <alignment horizontal="center" vertical="center" textRotation="255"/>
    </xf>
    <xf numFmtId="0" fontId="3" fillId="0" borderId="2" xfId="0" applyFont="1" applyBorder="1" applyAlignment="1">
      <alignment horizontal="left" vertical="top" wrapText="1"/>
    </xf>
    <xf numFmtId="0" fontId="3" fillId="0" borderId="25" xfId="0" applyFont="1" applyBorder="1" applyAlignment="1">
      <alignment horizontal="left" vertical="top" wrapText="1"/>
    </xf>
    <xf numFmtId="0" fontId="3" fillId="0" borderId="0" xfId="0" applyFont="1" applyBorder="1" applyAlignment="1">
      <alignment horizontal="left" vertical="top" wrapText="1"/>
    </xf>
    <xf numFmtId="0" fontId="3" fillId="0" borderId="26" xfId="0" applyFont="1" applyBorder="1" applyAlignment="1">
      <alignment horizontal="left" vertical="top" wrapText="1"/>
    </xf>
    <xf numFmtId="0" fontId="3" fillId="0" borderId="1" xfId="0" applyFont="1" applyBorder="1" applyAlignment="1">
      <alignment horizontal="left" vertical="top" wrapText="1"/>
    </xf>
    <xf numFmtId="0" fontId="3" fillId="0" borderId="30" xfId="0" applyFont="1" applyBorder="1" applyAlignment="1">
      <alignment horizontal="left" vertical="top" wrapText="1"/>
    </xf>
    <xf numFmtId="0" fontId="3" fillId="0" borderId="43" xfId="0" applyFont="1" applyFill="1" applyBorder="1" applyAlignment="1">
      <alignment horizontal="center" vertical="center" textRotation="255" wrapText="1"/>
    </xf>
    <xf numFmtId="0" fontId="3" fillId="0" borderId="46" xfId="0" applyFont="1" applyFill="1" applyBorder="1" applyAlignment="1">
      <alignment horizontal="center" vertical="center" textRotation="255" wrapText="1"/>
    </xf>
    <xf numFmtId="0" fontId="3" fillId="0" borderId="47" xfId="0" applyFont="1" applyFill="1" applyBorder="1" applyAlignment="1">
      <alignment horizontal="center" vertical="center" textRotation="255" wrapText="1"/>
    </xf>
    <xf numFmtId="0" fontId="3" fillId="0" borderId="44" xfId="0" applyFont="1" applyFill="1" applyBorder="1" applyAlignment="1">
      <alignment horizontal="left" vertical="top" wrapText="1"/>
    </xf>
    <xf numFmtId="0" fontId="3" fillId="0" borderId="45" xfId="0" applyFont="1" applyFill="1" applyBorder="1" applyAlignment="1">
      <alignment horizontal="left" vertical="top" wrapText="1"/>
    </xf>
    <xf numFmtId="0" fontId="3" fillId="0" borderId="41" xfId="0" applyFont="1" applyFill="1" applyBorder="1" applyAlignment="1">
      <alignment horizontal="left" vertical="top" wrapText="1"/>
    </xf>
    <xf numFmtId="0" fontId="3" fillId="0" borderId="33" xfId="0" applyFont="1" applyFill="1" applyBorder="1" applyAlignment="1">
      <alignment horizontal="left" vertical="top" wrapText="1"/>
    </xf>
    <xf numFmtId="0" fontId="3" fillId="0" borderId="48" xfId="0" applyFont="1" applyFill="1" applyBorder="1" applyAlignment="1">
      <alignment horizontal="left" vertical="top" wrapText="1"/>
    </xf>
    <xf numFmtId="0" fontId="3" fillId="0" borderId="49" xfId="0" applyFont="1" applyFill="1" applyBorder="1" applyAlignment="1">
      <alignment horizontal="left" vertical="top" wrapText="1"/>
    </xf>
    <xf numFmtId="0" fontId="3" fillId="0" borderId="20" xfId="0" applyFont="1" applyBorder="1" applyAlignment="1">
      <alignment horizontal="left" vertical="center" shrinkToFit="1"/>
    </xf>
    <xf numFmtId="0" fontId="3" fillId="0" borderId="5" xfId="0" applyFont="1" applyBorder="1" applyAlignment="1">
      <alignment horizontal="left" vertical="center" shrinkToFit="1"/>
    </xf>
    <xf numFmtId="0" fontId="3" fillId="0" borderId="29" xfId="0" applyFont="1" applyBorder="1" applyAlignment="1">
      <alignment horizontal="left" vertical="center" shrinkToFit="1"/>
    </xf>
    <xf numFmtId="0" fontId="3" fillId="0" borderId="6" xfId="0" applyFont="1" applyBorder="1" applyAlignment="1">
      <alignment horizontal="left" vertical="center" shrinkToFit="1"/>
    </xf>
    <xf numFmtId="0" fontId="3" fillId="0" borderId="32" xfId="0" applyFont="1" applyFill="1" applyBorder="1" applyAlignment="1">
      <alignment horizontal="left" vertical="top" wrapText="1" shrinkToFit="1"/>
    </xf>
    <xf numFmtId="0" fontId="3" fillId="0" borderId="23" xfId="0" applyFont="1" applyFill="1" applyBorder="1" applyAlignment="1">
      <alignment horizontal="left" vertical="top" wrapText="1" shrinkToFit="1"/>
    </xf>
    <xf numFmtId="0" fontId="3" fillId="0" borderId="24" xfId="0" applyFont="1" applyFill="1" applyBorder="1" applyAlignment="1">
      <alignment horizontal="left" vertical="top" wrapText="1" shrinkToFit="1"/>
    </xf>
    <xf numFmtId="0" fontId="4" fillId="0" borderId="0" xfId="0" applyFont="1" applyFill="1" applyBorder="1" applyAlignment="1">
      <alignment horizontal="right"/>
    </xf>
    <xf numFmtId="0" fontId="15" fillId="0" borderId="12" xfId="0" applyFont="1" applyFill="1" applyBorder="1" applyAlignment="1">
      <alignment horizontal="center" vertical="center" textRotation="255" wrapText="1"/>
    </xf>
    <xf numFmtId="0" fontId="15" fillId="0" borderId="13" xfId="0" applyFont="1" applyFill="1" applyBorder="1" applyAlignment="1">
      <alignment horizontal="center" vertical="center" textRotation="255" wrapText="1"/>
    </xf>
    <xf numFmtId="0" fontId="15" fillId="0" borderId="14" xfId="0" applyFont="1" applyFill="1" applyBorder="1" applyAlignment="1">
      <alignment horizontal="center" vertical="center" textRotation="255" wrapText="1"/>
    </xf>
    <xf numFmtId="0" fontId="3" fillId="0" borderId="17" xfId="0" applyFont="1" applyBorder="1" applyAlignment="1">
      <alignment horizontal="left" vertical="center" shrinkToFit="1"/>
    </xf>
    <xf numFmtId="0" fontId="3" fillId="0" borderId="21" xfId="0" applyFont="1" applyBorder="1" applyAlignment="1">
      <alignment horizontal="left" vertical="center" shrinkToFit="1"/>
    </xf>
    <xf numFmtId="0" fontId="3" fillId="0" borderId="17" xfId="0" applyFont="1" applyFill="1" applyBorder="1" applyAlignment="1">
      <alignment horizontal="left" vertical="center"/>
    </xf>
    <xf numFmtId="0" fontId="3" fillId="0" borderId="21" xfId="0" applyFont="1" applyFill="1" applyBorder="1" applyAlignment="1">
      <alignment horizontal="left" vertical="center"/>
    </xf>
    <xf numFmtId="0" fontId="3" fillId="0" borderId="19" xfId="0" applyFont="1" applyFill="1" applyBorder="1" applyAlignment="1">
      <alignment horizontal="left" vertical="center" shrinkToFit="1"/>
    </xf>
    <xf numFmtId="0" fontId="3" fillId="0" borderId="20" xfId="0" applyFont="1" applyFill="1" applyBorder="1" applyAlignment="1">
      <alignment horizontal="left" vertical="center" shrinkToFit="1"/>
    </xf>
    <xf numFmtId="0" fontId="3" fillId="0" borderId="15" xfId="0" applyFont="1" applyFill="1" applyBorder="1" applyAlignment="1">
      <alignment horizontal="left" vertical="center" shrinkToFit="1"/>
    </xf>
    <xf numFmtId="0" fontId="3" fillId="0" borderId="16" xfId="0" applyFont="1" applyFill="1" applyBorder="1" applyAlignment="1">
      <alignment horizontal="left" vertical="center" shrinkToFit="1"/>
    </xf>
    <xf numFmtId="0" fontId="3" fillId="0" borderId="17" xfId="0" applyFont="1" applyFill="1" applyBorder="1" applyAlignment="1">
      <alignment horizontal="left" vertical="center" shrinkToFit="1"/>
    </xf>
    <xf numFmtId="0" fontId="5" fillId="0" borderId="2" xfId="0" applyFont="1" applyFill="1" applyBorder="1" applyAlignment="1">
      <alignment horizontal="center" vertical="center"/>
    </xf>
    <xf numFmtId="0" fontId="5" fillId="0" borderId="25" xfId="0" applyFont="1" applyFill="1" applyBorder="1" applyAlignment="1">
      <alignment horizontal="center" vertical="center"/>
    </xf>
    <xf numFmtId="0" fontId="5" fillId="0" borderId="0" xfId="0" applyFont="1" applyFill="1" applyBorder="1" applyAlignment="1">
      <alignment horizontal="center" vertical="center"/>
    </xf>
    <xf numFmtId="0" fontId="5" fillId="0" borderId="26" xfId="0" applyFont="1" applyFill="1" applyBorder="1" applyAlignment="1">
      <alignment horizontal="center" vertical="center"/>
    </xf>
    <xf numFmtId="0" fontId="5" fillId="0" borderId="1" xfId="0" applyFont="1" applyFill="1" applyBorder="1" applyAlignment="1">
      <alignment horizontal="center" vertical="center"/>
    </xf>
    <xf numFmtId="0" fontId="5" fillId="0" borderId="30" xfId="0" applyFont="1" applyFill="1" applyBorder="1" applyAlignment="1">
      <alignment horizontal="center" vertical="center"/>
    </xf>
    <xf numFmtId="0" fontId="3" fillId="0" borderId="18" xfId="0" applyFont="1" applyFill="1" applyBorder="1" applyAlignment="1">
      <alignment horizontal="left" vertical="center" shrinkToFit="1"/>
    </xf>
    <xf numFmtId="0" fontId="3" fillId="0" borderId="27" xfId="0" applyFont="1" applyFill="1" applyBorder="1" applyAlignment="1">
      <alignment horizontal="left" vertical="center" shrinkToFit="1"/>
    </xf>
    <xf numFmtId="0" fontId="3" fillId="0" borderId="28" xfId="0" applyFont="1" applyFill="1" applyBorder="1" applyAlignment="1">
      <alignment horizontal="left" vertical="center" shrinkToFit="1"/>
    </xf>
    <xf numFmtId="0" fontId="3" fillId="0" borderId="29" xfId="0" applyFont="1" applyFill="1" applyBorder="1" applyAlignment="1">
      <alignment horizontal="left" vertical="center" shrinkToFit="1"/>
    </xf>
    <xf numFmtId="0" fontId="3" fillId="0" borderId="0" xfId="0" applyNumberFormat="1" applyFont="1" applyFill="1" applyBorder="1" applyAlignment="1">
      <alignment horizontal="center" vertical="center"/>
    </xf>
    <xf numFmtId="0" fontId="2" fillId="0" borderId="0" xfId="0" applyFont="1" applyFill="1" applyBorder="1" applyAlignment="1">
      <alignment horizontal="center" vertical="center"/>
    </xf>
    <xf numFmtId="0" fontId="3" fillId="0" borderId="1" xfId="0" applyFont="1" applyFill="1" applyBorder="1" applyAlignment="1">
      <alignment horizontal="center" vertical="center"/>
    </xf>
    <xf numFmtId="0" fontId="3" fillId="0" borderId="22" xfId="0" applyFont="1" applyFill="1" applyBorder="1" applyAlignment="1">
      <alignment horizontal="center" vertical="center"/>
    </xf>
    <xf numFmtId="0" fontId="3" fillId="0" borderId="23" xfId="0" applyFont="1" applyFill="1" applyBorder="1" applyAlignment="1">
      <alignment horizontal="center" vertical="center"/>
    </xf>
    <xf numFmtId="0" fontId="3" fillId="0" borderId="24" xfId="0" applyFont="1" applyFill="1" applyBorder="1" applyAlignment="1">
      <alignment horizontal="center" vertical="center"/>
    </xf>
    <xf numFmtId="0" fontId="3" fillId="0" borderId="32" xfId="0" applyFont="1" applyFill="1" applyBorder="1" applyAlignment="1">
      <alignment horizontal="center" vertical="center"/>
    </xf>
    <xf numFmtId="0" fontId="3" fillId="0" borderId="34" xfId="0" applyFont="1" applyFill="1" applyBorder="1" applyAlignment="1">
      <alignment horizontal="center" vertical="center"/>
    </xf>
    <xf numFmtId="0" fontId="3" fillId="0" borderId="8" xfId="0" applyFont="1" applyFill="1" applyBorder="1" applyAlignment="1">
      <alignment horizontal="center" vertical="center"/>
    </xf>
    <xf numFmtId="0" fontId="3" fillId="0" borderId="31" xfId="0" applyFont="1" applyFill="1" applyBorder="1" applyAlignment="1">
      <alignment horizontal="center" vertical="center"/>
    </xf>
    <xf numFmtId="0" fontId="3" fillId="0" borderId="8" xfId="0" applyFont="1" applyFill="1" applyBorder="1" applyAlignment="1">
      <alignment horizontal="left" vertical="top" wrapText="1"/>
    </xf>
    <xf numFmtId="0" fontId="3" fillId="0" borderId="31" xfId="0" applyFont="1" applyFill="1" applyBorder="1" applyAlignment="1">
      <alignment horizontal="left" vertical="top" wrapText="1"/>
    </xf>
    <xf numFmtId="0" fontId="6" fillId="4" borderId="35" xfId="0" applyFont="1" applyFill="1" applyBorder="1" applyAlignment="1">
      <alignment horizontal="left" vertical="center" wrapText="1"/>
    </xf>
    <xf numFmtId="0" fontId="6" fillId="4" borderId="36" xfId="0" applyFont="1" applyFill="1" applyBorder="1" applyAlignment="1">
      <alignment horizontal="left" vertical="center" wrapText="1"/>
    </xf>
    <xf numFmtId="0" fontId="6" fillId="4" borderId="50" xfId="0" applyFont="1" applyFill="1" applyBorder="1" applyAlignment="1">
      <alignment horizontal="left" vertical="center" wrapText="1"/>
    </xf>
    <xf numFmtId="0" fontId="3" fillId="0" borderId="22" xfId="0" applyNumberFormat="1" applyFont="1" applyFill="1" applyBorder="1" applyAlignment="1" applyProtection="1">
      <alignment horizontal="left" vertical="center" wrapText="1"/>
      <protection locked="0"/>
    </xf>
    <xf numFmtId="0" fontId="3" fillId="0" borderId="23" xfId="0" applyNumberFormat="1" applyFont="1" applyFill="1" applyBorder="1" applyAlignment="1" applyProtection="1">
      <alignment horizontal="left" vertical="center" wrapText="1"/>
      <protection locked="0"/>
    </xf>
    <xf numFmtId="0" fontId="3" fillId="0" borderId="24" xfId="0" applyNumberFormat="1" applyFont="1" applyFill="1" applyBorder="1" applyAlignment="1" applyProtection="1">
      <alignment horizontal="left" vertical="center" wrapText="1"/>
      <protection locked="0"/>
    </xf>
    <xf numFmtId="0" fontId="3" fillId="5" borderId="22" xfId="0" applyNumberFormat="1" applyFont="1" applyFill="1" applyBorder="1" applyAlignment="1">
      <alignment horizontal="center" vertical="center" wrapText="1"/>
    </xf>
    <xf numFmtId="0" fontId="3" fillId="5" borderId="23" xfId="0" applyNumberFormat="1" applyFont="1" applyFill="1" applyBorder="1" applyAlignment="1">
      <alignment horizontal="center" vertical="center" wrapText="1"/>
    </xf>
    <xf numFmtId="0" fontId="3" fillId="5" borderId="24" xfId="0" applyNumberFormat="1" applyFont="1" applyFill="1" applyBorder="1" applyAlignment="1">
      <alignment horizontal="center" vertical="center" wrapText="1"/>
    </xf>
    <xf numFmtId="0" fontId="3" fillId="0" borderId="22" xfId="0" applyFont="1" applyBorder="1" applyAlignment="1" applyProtection="1">
      <alignment horizontal="left" vertical="center" wrapText="1"/>
      <protection locked="0"/>
    </xf>
    <xf numFmtId="0" fontId="3" fillId="0" borderId="23" xfId="0" applyFont="1" applyBorder="1" applyAlignment="1" applyProtection="1">
      <alignment horizontal="left" vertical="center" wrapText="1"/>
      <protection locked="0"/>
    </xf>
    <xf numFmtId="0" fontId="3" fillId="0" borderId="24" xfId="0" applyFont="1" applyBorder="1" applyAlignment="1" applyProtection="1">
      <alignment horizontal="left" vertical="center" wrapText="1"/>
      <protection locked="0"/>
    </xf>
    <xf numFmtId="0" fontId="3" fillId="5" borderId="22" xfId="0" applyFont="1" applyFill="1" applyBorder="1" applyAlignment="1">
      <alignment horizontal="center" vertical="center" wrapText="1"/>
    </xf>
    <xf numFmtId="0" fontId="3" fillId="5" borderId="23" xfId="0" applyFont="1" applyFill="1" applyBorder="1" applyAlignment="1">
      <alignment horizontal="center" vertical="center" wrapText="1"/>
    </xf>
    <xf numFmtId="0" fontId="3" fillId="5" borderId="24" xfId="0" applyFont="1" applyFill="1" applyBorder="1" applyAlignment="1">
      <alignment horizontal="center" vertical="center" wrapText="1"/>
    </xf>
    <xf numFmtId="0" fontId="3" fillId="0" borderId="22" xfId="0" applyNumberFormat="1" applyFont="1" applyFill="1" applyBorder="1" applyAlignment="1" applyProtection="1">
      <alignment horizontal="left" vertical="top" wrapText="1"/>
      <protection locked="0"/>
    </xf>
    <xf numFmtId="0" fontId="3" fillId="0" borderId="23" xfId="0" applyNumberFormat="1" applyFont="1" applyFill="1" applyBorder="1" applyAlignment="1" applyProtection="1">
      <alignment horizontal="left" vertical="top" wrapText="1"/>
      <protection locked="0"/>
    </xf>
    <xf numFmtId="0" fontId="3" fillId="0" borderId="24" xfId="0" applyNumberFormat="1" applyFont="1" applyFill="1" applyBorder="1" applyAlignment="1" applyProtection="1">
      <alignment horizontal="left" vertical="top" wrapText="1"/>
      <protection locked="0"/>
    </xf>
    <xf numFmtId="0" fontId="3" fillId="0" borderId="22" xfId="0" applyFont="1" applyBorder="1" applyAlignment="1" applyProtection="1">
      <alignment horizontal="left" vertical="top" wrapText="1"/>
      <protection locked="0"/>
    </xf>
    <xf numFmtId="0" fontId="3" fillId="0" borderId="23" xfId="0" applyFont="1" applyBorder="1" applyAlignment="1" applyProtection="1">
      <alignment horizontal="left" vertical="top" wrapText="1"/>
      <protection locked="0"/>
    </xf>
    <xf numFmtId="0" fontId="3" fillId="0" borderId="24" xfId="0" applyFont="1" applyBorder="1" applyAlignment="1" applyProtection="1">
      <alignment horizontal="left" vertical="top" wrapText="1"/>
      <protection locked="0"/>
    </xf>
    <xf numFmtId="0" fontId="3" fillId="9" borderId="22" xfId="0" applyFont="1" applyFill="1" applyBorder="1" applyAlignment="1">
      <alignment horizontal="left" vertical="center"/>
    </xf>
    <xf numFmtId="0" fontId="3" fillId="9" borderId="23" xfId="0" applyFont="1" applyFill="1" applyBorder="1" applyAlignment="1">
      <alignment horizontal="left" vertical="center"/>
    </xf>
    <xf numFmtId="0" fontId="3" fillId="9" borderId="24" xfId="0" applyFont="1" applyFill="1" applyBorder="1" applyAlignment="1">
      <alignment horizontal="left" vertical="center"/>
    </xf>
    <xf numFmtId="0" fontId="3" fillId="13" borderId="22" xfId="0" applyFont="1" applyFill="1" applyBorder="1" applyAlignment="1">
      <alignment horizontal="left" vertical="center"/>
    </xf>
    <xf numFmtId="0" fontId="3" fillId="13" borderId="23" xfId="0" applyFont="1" applyFill="1" applyBorder="1" applyAlignment="1">
      <alignment horizontal="left" vertical="center"/>
    </xf>
    <xf numFmtId="0" fontId="3" fillId="13" borderId="24" xfId="0" applyFont="1" applyFill="1" applyBorder="1" applyAlignment="1">
      <alignment horizontal="left" vertical="center"/>
    </xf>
    <xf numFmtId="0" fontId="3" fillId="7" borderId="25" xfId="0" applyFont="1" applyFill="1" applyBorder="1" applyAlignment="1">
      <alignment horizontal="left" vertical="center" wrapText="1"/>
    </xf>
    <xf numFmtId="0" fontId="3" fillId="7" borderId="26" xfId="0" applyFont="1" applyFill="1" applyBorder="1" applyAlignment="1">
      <alignment horizontal="left" vertical="center" wrapText="1"/>
    </xf>
    <xf numFmtId="0" fontId="3" fillId="8" borderId="22" xfId="0" applyFont="1" applyFill="1" applyBorder="1" applyAlignment="1">
      <alignment horizontal="left" vertical="center" wrapText="1"/>
    </xf>
    <xf numFmtId="0" fontId="3" fillId="8" borderId="23" xfId="0" applyFont="1" applyFill="1" applyBorder="1" applyAlignment="1">
      <alignment horizontal="left" vertical="center" wrapText="1"/>
    </xf>
    <xf numFmtId="0" fontId="3" fillId="8" borderId="24" xfId="0" applyFont="1" applyFill="1" applyBorder="1" applyAlignment="1">
      <alignment horizontal="left" vertical="center" wrapText="1"/>
    </xf>
    <xf numFmtId="0" fontId="3" fillId="7" borderId="22" xfId="0" applyFont="1" applyFill="1" applyBorder="1" applyAlignment="1">
      <alignment horizontal="left" vertical="center"/>
    </xf>
    <xf numFmtId="0" fontId="3" fillId="7" borderId="23" xfId="0" applyFont="1" applyFill="1" applyBorder="1" applyAlignment="1">
      <alignment horizontal="left" vertical="center"/>
    </xf>
    <xf numFmtId="0" fontId="3" fillId="7" borderId="24" xfId="0" applyFont="1" applyFill="1" applyBorder="1" applyAlignment="1">
      <alignment horizontal="left" vertical="center"/>
    </xf>
    <xf numFmtId="0" fontId="3" fillId="7" borderId="11" xfId="0" applyFont="1" applyFill="1" applyBorder="1" applyAlignment="1">
      <alignment horizontal="left" vertical="center"/>
    </xf>
    <xf numFmtId="0" fontId="10" fillId="6" borderId="22" xfId="0" applyNumberFormat="1" applyFont="1" applyFill="1" applyBorder="1" applyAlignment="1">
      <alignment horizontal="center" vertical="center"/>
    </xf>
    <xf numFmtId="0" fontId="10" fillId="6" borderId="23" xfId="0" applyNumberFormat="1" applyFont="1" applyFill="1" applyBorder="1" applyAlignment="1">
      <alignment horizontal="center" vertical="center"/>
    </xf>
    <xf numFmtId="0" fontId="10" fillId="6" borderId="24" xfId="0" applyNumberFormat="1" applyFont="1" applyFill="1" applyBorder="1" applyAlignment="1">
      <alignment horizontal="center" vertical="center"/>
    </xf>
    <xf numFmtId="0" fontId="3" fillId="7" borderId="37" xfId="0" applyFont="1" applyFill="1" applyBorder="1" applyAlignment="1">
      <alignment horizontal="left" vertical="center"/>
    </xf>
    <xf numFmtId="0" fontId="3" fillId="7" borderId="2" xfId="0" applyFont="1" applyFill="1" applyBorder="1" applyAlignment="1">
      <alignment horizontal="left" vertical="center"/>
    </xf>
    <xf numFmtId="0" fontId="3" fillId="7" borderId="25" xfId="0" applyFont="1" applyFill="1" applyBorder="1" applyAlignment="1">
      <alignment horizontal="left" vertical="center"/>
    </xf>
  </cellXfs>
  <cellStyles count="1">
    <cellStyle name="標準" xfId="0" builtinId="0"/>
  </cellStyles>
  <dxfs count="26">
    <dxf>
      <font>
        <b/>
        <i val="0"/>
        <color rgb="FF00B050"/>
      </font>
    </dxf>
    <dxf>
      <font>
        <b/>
        <i val="0"/>
        <color rgb="FFFF0000"/>
      </font>
    </dxf>
    <dxf>
      <font>
        <b/>
        <i val="0"/>
        <color rgb="FFFF0000"/>
      </font>
    </dxf>
    <dxf>
      <font>
        <b/>
        <i val="0"/>
        <color rgb="FF00B050"/>
      </font>
    </dxf>
    <dxf>
      <font>
        <b/>
        <i val="0"/>
        <color rgb="FFFF0000"/>
      </font>
    </dxf>
    <dxf>
      <font>
        <b/>
        <i val="0"/>
        <color rgb="FFFF0000"/>
      </font>
    </dxf>
    <dxf>
      <font>
        <b/>
        <i val="0"/>
        <color rgb="FF00B050"/>
      </font>
    </dxf>
    <dxf>
      <font>
        <b/>
        <i val="0"/>
        <color rgb="FFFF0000"/>
      </font>
    </dxf>
    <dxf>
      <font>
        <b/>
        <i val="0"/>
        <color rgb="FFFF0000"/>
      </font>
    </dxf>
    <dxf>
      <font>
        <b/>
        <i val="0"/>
        <color rgb="FF00B050"/>
      </font>
    </dxf>
    <dxf>
      <font>
        <b/>
        <i val="0"/>
        <color rgb="FFFF0000"/>
      </font>
    </dxf>
    <dxf>
      <font>
        <b/>
        <i val="0"/>
        <color rgb="FFFF0000"/>
      </font>
    </dxf>
    <dxf>
      <font>
        <b/>
        <i val="0"/>
        <color rgb="FF00B050"/>
      </font>
    </dxf>
    <dxf>
      <font>
        <b/>
        <i val="0"/>
        <color rgb="FFFF0000"/>
      </font>
    </dxf>
    <dxf>
      <font>
        <b/>
        <i val="0"/>
        <color rgb="FFFF0000"/>
      </font>
    </dxf>
    <dxf>
      <font>
        <b/>
        <i val="0"/>
        <color rgb="FF00B050"/>
      </font>
    </dxf>
    <dxf>
      <font>
        <b/>
        <i val="0"/>
        <color rgb="FFFF0000"/>
      </font>
    </dxf>
    <dxf>
      <font>
        <b/>
        <i val="0"/>
        <color rgb="FFFF0000"/>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571500</xdr:colOff>
          <xdr:row>4</xdr:row>
          <xdr:rowOff>28575</xdr:rowOff>
        </xdr:from>
        <xdr:to>
          <xdr:col>17</xdr:col>
          <xdr:colOff>123825</xdr:colOff>
          <xdr:row>5</xdr:row>
          <xdr:rowOff>95250</xdr:rowOff>
        </xdr:to>
        <xdr:sp macro="" textlink="">
          <xdr:nvSpPr>
            <xdr:cNvPr id="15361" name="Button 1" hidden="1">
              <a:extLst>
                <a:ext uri="{63B3BB69-23CF-44E3-9099-C40C66FF867C}">
                  <a14:compatExt spid="_x0000_s1536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データ取込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571500</xdr:colOff>
          <xdr:row>10</xdr:row>
          <xdr:rowOff>76200</xdr:rowOff>
        </xdr:from>
        <xdr:to>
          <xdr:col>17</xdr:col>
          <xdr:colOff>161925</xdr:colOff>
          <xdr:row>11</xdr:row>
          <xdr:rowOff>152400</xdr:rowOff>
        </xdr:to>
        <xdr:sp macro="" textlink="">
          <xdr:nvSpPr>
            <xdr:cNvPr id="15362" name="Button 2" hidden="1">
              <a:extLst>
                <a:ext uri="{63B3BB69-23CF-44E3-9099-C40C66FF867C}">
                  <a14:compatExt spid="_x0000_s1536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通知票 印刷</a:t>
              </a:r>
            </a:p>
          </xdr:txBody>
        </xdr:sp>
        <xdr:clientData fPrintsWithSheet="0"/>
      </xdr:twoCellAnchor>
    </mc:Choice>
    <mc:Fallback/>
  </mc:AlternateContent>
  <xdr:twoCellAnchor>
    <xdr:from>
      <xdr:col>14</xdr:col>
      <xdr:colOff>581024</xdr:colOff>
      <xdr:row>0</xdr:row>
      <xdr:rowOff>114300</xdr:rowOff>
    </xdr:from>
    <xdr:to>
      <xdr:col>22</xdr:col>
      <xdr:colOff>600074</xdr:colOff>
      <xdr:row>3</xdr:row>
      <xdr:rowOff>95250</xdr:rowOff>
    </xdr:to>
    <xdr:sp macro="" textlink="">
      <xdr:nvSpPr>
        <xdr:cNvPr id="4" name="テキスト ボックス 3"/>
        <xdr:cNvSpPr txBox="1"/>
      </xdr:nvSpPr>
      <xdr:spPr>
        <a:xfrm>
          <a:off x="8543924" y="114300"/>
          <a:ext cx="4505325" cy="609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000"/>
            <a:t>【</a:t>
          </a:r>
          <a:r>
            <a:rPr kumimoji="1" lang="ja-JP" altLang="en-US" sz="1000"/>
            <a:t>手順</a:t>
          </a:r>
          <a:r>
            <a:rPr kumimoji="1" lang="en-US" altLang="ja-JP" sz="1000"/>
            <a:t>】</a:t>
          </a:r>
          <a:r>
            <a:rPr kumimoji="1" lang="ja-JP" altLang="en-US" sz="1000"/>
            <a:t>　　① データ取込ボタン押下　② </a:t>
          </a:r>
          <a:r>
            <a:rPr kumimoji="1" lang="ja-JP" altLang="ja-JP" sz="1000">
              <a:solidFill>
                <a:schemeClr val="dk1"/>
              </a:solidFill>
              <a:effectLst/>
              <a:latin typeface="+mn-lt"/>
              <a:ea typeface="+mn-ea"/>
              <a:cs typeface="+mn-cs"/>
            </a:rPr>
            <a:t>印刷したい生徒の番号の範囲を入力</a:t>
          </a:r>
          <a:endParaRPr kumimoji="1" lang="en-US" altLang="ja-JP" sz="1000">
            <a:solidFill>
              <a:schemeClr val="dk1"/>
            </a:solidFill>
            <a:effectLst/>
            <a:latin typeface="+mn-lt"/>
            <a:ea typeface="+mn-ea"/>
            <a:cs typeface="+mn-cs"/>
          </a:endParaRPr>
        </a:p>
        <a:p>
          <a:r>
            <a:rPr kumimoji="1" lang="ja-JP" altLang="en-US" sz="1000">
              <a:solidFill>
                <a:schemeClr val="dk1"/>
              </a:solidFill>
              <a:effectLst/>
              <a:latin typeface="+mn-lt"/>
              <a:ea typeface="+mn-ea"/>
              <a:cs typeface="+mn-cs"/>
            </a:rPr>
            <a:t>　</a:t>
          </a:r>
          <a:r>
            <a:rPr kumimoji="1" lang="ja-JP" altLang="en-US" sz="1000"/>
            <a:t>③ 通常の印刷画面でプリンタを選び、必要に応じてプロパティを変更（選ぶだけ　</a:t>
          </a:r>
          <a:endParaRPr kumimoji="1" lang="en-US" altLang="ja-JP" sz="1000"/>
        </a:p>
        <a:p>
          <a:r>
            <a:rPr kumimoji="1" lang="ja-JP" altLang="en-US" sz="1000"/>
            <a:t>　で印刷はしない）　　④ 通知票印刷 </a:t>
          </a:r>
          <a:r>
            <a:rPr kumimoji="1" lang="en-US" altLang="ja-JP" sz="1000"/>
            <a:t>or </a:t>
          </a:r>
          <a:r>
            <a:rPr kumimoji="1" lang="ja-JP" altLang="en-US" sz="1000"/>
            <a:t>所見集印刷ボタンを押下</a:t>
          </a:r>
        </a:p>
      </xdr:txBody>
    </xdr:sp>
    <xdr:clientData/>
  </xdr:twoCellAnchor>
  <xdr:twoCellAnchor>
    <xdr:from>
      <xdr:col>21</xdr:col>
      <xdr:colOff>104776</xdr:colOff>
      <xdr:row>5</xdr:row>
      <xdr:rowOff>66675</xdr:rowOff>
    </xdr:from>
    <xdr:to>
      <xdr:col>22</xdr:col>
      <xdr:colOff>561976</xdr:colOff>
      <xdr:row>7</xdr:row>
      <xdr:rowOff>114300</xdr:rowOff>
    </xdr:to>
    <xdr:sp macro="" textlink="">
      <xdr:nvSpPr>
        <xdr:cNvPr id="5" name="テキスト ボックス 4"/>
        <xdr:cNvSpPr txBox="1"/>
      </xdr:nvSpPr>
      <xdr:spPr>
        <a:xfrm>
          <a:off x="11868151" y="1171575"/>
          <a:ext cx="1143000" cy="5238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800"/>
            <a:t>一度、データ取込ボタンを押すと、この名簿が正しく表示されます。</a:t>
          </a:r>
        </a:p>
      </xdr:txBody>
    </xdr:sp>
    <xdr:clientData/>
  </xdr:twoCellAnchor>
  <mc:AlternateContent xmlns:mc="http://schemas.openxmlformats.org/markup-compatibility/2006">
    <mc:Choice xmlns:a14="http://schemas.microsoft.com/office/drawing/2010/main" Requires="a14">
      <xdr:twoCellAnchor>
        <xdr:from>
          <xdr:col>14</xdr:col>
          <xdr:colOff>571500</xdr:colOff>
          <xdr:row>12</xdr:row>
          <xdr:rowOff>47625</xdr:rowOff>
        </xdr:from>
        <xdr:to>
          <xdr:col>17</xdr:col>
          <xdr:colOff>161925</xdr:colOff>
          <xdr:row>13</xdr:row>
          <xdr:rowOff>123825</xdr:rowOff>
        </xdr:to>
        <xdr:sp macro="" textlink="">
          <xdr:nvSpPr>
            <xdr:cNvPr id="15363" name="Button 3" hidden="1">
              <a:extLst>
                <a:ext uri="{63B3BB69-23CF-44E3-9099-C40C66FF867C}">
                  <a14:compatExt spid="_x0000_s1536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所見集 印刷</a:t>
              </a:r>
            </a:p>
          </xdr:txBody>
        </xdr:sp>
        <xdr:clientData fPrintsWithSheet="0"/>
      </xdr:twoCellAnchor>
    </mc:Choice>
    <mc:Fallback/>
  </mc:AlternateContent>
  <xdr:twoCellAnchor>
    <xdr:from>
      <xdr:col>21</xdr:col>
      <xdr:colOff>104776</xdr:colOff>
      <xdr:row>5</xdr:row>
      <xdr:rowOff>66675</xdr:rowOff>
    </xdr:from>
    <xdr:to>
      <xdr:col>22</xdr:col>
      <xdr:colOff>561976</xdr:colOff>
      <xdr:row>7</xdr:row>
      <xdr:rowOff>114300</xdr:rowOff>
    </xdr:to>
    <xdr:sp macro="" textlink="">
      <xdr:nvSpPr>
        <xdr:cNvPr id="7" name="テキスト ボックス 6"/>
        <xdr:cNvSpPr txBox="1"/>
      </xdr:nvSpPr>
      <xdr:spPr>
        <a:xfrm>
          <a:off x="12087226" y="1133475"/>
          <a:ext cx="809625" cy="5048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800"/>
            <a:t>一度、データ取込ボタンを押すと、この名簿が正しく表示されます。</a:t>
          </a:r>
        </a:p>
      </xdr:txBody>
    </xdr:sp>
    <xdr:clientData/>
  </xdr:twoCellAnchor>
  <xdr:twoCellAnchor>
    <xdr:from>
      <xdr:col>21</xdr:col>
      <xdr:colOff>104776</xdr:colOff>
      <xdr:row>5</xdr:row>
      <xdr:rowOff>66675</xdr:rowOff>
    </xdr:from>
    <xdr:to>
      <xdr:col>22</xdr:col>
      <xdr:colOff>561976</xdr:colOff>
      <xdr:row>7</xdr:row>
      <xdr:rowOff>114300</xdr:rowOff>
    </xdr:to>
    <xdr:sp macro="" textlink="">
      <xdr:nvSpPr>
        <xdr:cNvPr id="8" name="テキスト ボックス 7"/>
        <xdr:cNvSpPr txBox="1"/>
      </xdr:nvSpPr>
      <xdr:spPr>
        <a:xfrm>
          <a:off x="12087226" y="1133475"/>
          <a:ext cx="809625" cy="5048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800"/>
            <a:t>一度、データ取込ボタンを押すと、この名簿が正しく表示されます。</a:t>
          </a:r>
        </a:p>
      </xdr:txBody>
    </xdr:sp>
    <xdr:clientData/>
  </xdr:twoCellAnchor>
  <xdr:twoCellAnchor>
    <xdr:from>
      <xdr:col>20</xdr:col>
      <xdr:colOff>1247776</xdr:colOff>
      <xdr:row>5</xdr:row>
      <xdr:rowOff>76200</xdr:rowOff>
    </xdr:from>
    <xdr:to>
      <xdr:col>22</xdr:col>
      <xdr:colOff>666750</xdr:colOff>
      <xdr:row>10</xdr:row>
      <xdr:rowOff>171451</xdr:rowOff>
    </xdr:to>
    <xdr:sp macro="" textlink="">
      <xdr:nvSpPr>
        <xdr:cNvPr id="9" name="テキスト ボックス 8"/>
        <xdr:cNvSpPr txBox="1"/>
      </xdr:nvSpPr>
      <xdr:spPr>
        <a:xfrm>
          <a:off x="11915776" y="1143000"/>
          <a:ext cx="1085849" cy="12382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800"/>
            <a:t>「所見」シートの</a:t>
          </a:r>
          <a:endParaRPr kumimoji="1" lang="en-US" altLang="ja-JP" sz="800"/>
        </a:p>
        <a:p>
          <a:r>
            <a:rPr kumimoji="1" lang="ja-JP" altLang="en-US" sz="800"/>
            <a:t>「総合所見」の見出し行（紫色の行）の行番号を入れる。</a:t>
          </a:r>
          <a:endParaRPr kumimoji="1" lang="en-US" altLang="ja-JP" sz="800"/>
        </a:p>
        <a:p>
          <a:endParaRPr kumimoji="1" lang="en-US" altLang="ja-JP" sz="800"/>
        </a:p>
        <a:p>
          <a:r>
            <a:rPr kumimoji="1" lang="ja-JP" altLang="en-US" sz="800"/>
            <a:t>（生徒増により所見シートの行数が増えた場合に対応するため）</a:t>
          </a:r>
        </a:p>
      </xdr:txBody>
    </xdr:sp>
    <xdr:clientData/>
  </xdr:twoCellAnchor>
  <mc:AlternateContent xmlns:mc="http://schemas.openxmlformats.org/markup-compatibility/2006">
    <mc:Choice xmlns:a14="http://schemas.microsoft.com/office/drawing/2010/main" Requires="a14">
      <xdr:twoCellAnchor>
        <xdr:from>
          <xdr:col>15</xdr:col>
          <xdr:colOff>66675</xdr:colOff>
          <xdr:row>83</xdr:row>
          <xdr:rowOff>200025</xdr:rowOff>
        </xdr:from>
        <xdr:to>
          <xdr:col>16</xdr:col>
          <xdr:colOff>9525</xdr:colOff>
          <xdr:row>85</xdr:row>
          <xdr:rowOff>19050</xdr:rowOff>
        </xdr:to>
        <xdr:sp macro="" textlink="">
          <xdr:nvSpPr>
            <xdr:cNvPr id="15364" name="Button 4" hidden="1">
              <a:extLst>
                <a:ext uri="{63B3BB69-23CF-44E3-9099-C40C66FF867C}">
                  <a14:compatExt spid="_x0000_s1536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133350</xdr:colOff>
          <xdr:row>83</xdr:row>
          <xdr:rowOff>200025</xdr:rowOff>
        </xdr:from>
        <xdr:to>
          <xdr:col>17</xdr:col>
          <xdr:colOff>438150</xdr:colOff>
          <xdr:row>85</xdr:row>
          <xdr:rowOff>19050</xdr:rowOff>
        </xdr:to>
        <xdr:sp macro="" textlink="">
          <xdr:nvSpPr>
            <xdr:cNvPr id="15365" name="Button 5" hidden="1">
              <a:extLst>
                <a:ext uri="{63B3BB69-23CF-44E3-9099-C40C66FF867C}">
                  <a14:compatExt spid="_x0000_s1536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66675</xdr:colOff>
          <xdr:row>17</xdr:row>
          <xdr:rowOff>200025</xdr:rowOff>
        </xdr:from>
        <xdr:to>
          <xdr:col>16</xdr:col>
          <xdr:colOff>9525</xdr:colOff>
          <xdr:row>19</xdr:row>
          <xdr:rowOff>19050</xdr:rowOff>
        </xdr:to>
        <xdr:sp macro="" textlink="">
          <xdr:nvSpPr>
            <xdr:cNvPr id="15366" name="Button 6" hidden="1">
              <a:extLst>
                <a:ext uri="{63B3BB69-23CF-44E3-9099-C40C66FF867C}">
                  <a14:compatExt spid="_x0000_s1536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133350</xdr:colOff>
          <xdr:row>17</xdr:row>
          <xdr:rowOff>200025</xdr:rowOff>
        </xdr:from>
        <xdr:to>
          <xdr:col>17</xdr:col>
          <xdr:colOff>438150</xdr:colOff>
          <xdr:row>19</xdr:row>
          <xdr:rowOff>19050</xdr:rowOff>
        </xdr:to>
        <xdr:sp macro="" textlink="">
          <xdr:nvSpPr>
            <xdr:cNvPr id="15367" name="Button 7" hidden="1">
              <a:extLst>
                <a:ext uri="{63B3BB69-23CF-44E3-9099-C40C66FF867C}">
                  <a14:compatExt spid="_x0000_s1536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V95"/>
  <sheetViews>
    <sheetView tabSelected="1" view="pageBreakPreview" zoomScaleNormal="100" zoomScaleSheetLayoutView="100" workbookViewId="0">
      <selection activeCell="U11" sqref="U11"/>
    </sheetView>
  </sheetViews>
  <sheetFormatPr defaultRowHeight="13.5"/>
  <cols>
    <col min="1" max="2" width="4.25" style="4" customWidth="1"/>
    <col min="3" max="3" width="20.375" style="4" customWidth="1"/>
    <col min="4" max="5" width="4" style="4" customWidth="1"/>
    <col min="6" max="6" width="18.375" style="4" customWidth="1"/>
    <col min="7" max="7" width="7.375" style="4" customWidth="1"/>
    <col min="8" max="8" width="4.375" style="4" customWidth="1"/>
    <col min="9" max="9" width="4.625" style="4" customWidth="1"/>
    <col min="10" max="10" width="3.625" style="4" customWidth="1"/>
    <col min="11" max="11" width="12.25" style="4" customWidth="1"/>
    <col min="12" max="12" width="7.25" style="4" bestFit="1" customWidth="1"/>
    <col min="13" max="13" width="3" style="4" customWidth="1"/>
    <col min="14" max="14" width="5.625" style="4" customWidth="1"/>
    <col min="15" max="15" width="9" style="4"/>
    <col min="16" max="17" width="4.75" style="4" customWidth="1"/>
    <col min="18" max="18" width="9" style="4"/>
    <col min="19" max="19" width="4.75" style="4" customWidth="1"/>
    <col min="20" max="20" width="4.375" style="4" customWidth="1"/>
    <col min="21" max="21" width="17.25" style="4" customWidth="1"/>
    <col min="22" max="22" width="4.625" style="4" customWidth="1"/>
    <col min="23" max="23" width="13.25" style="4" customWidth="1"/>
    <col min="24" max="16384" width="9" style="4"/>
  </cols>
  <sheetData>
    <row r="1" spans="1:22" ht="18" customHeight="1">
      <c r="A1" s="156" t="str">
        <f ca="1">MID(CELL("filename",A1),FIND("[",CELL("filename",A1))+1,3)</f>
        <v>８－２</v>
      </c>
      <c r="B1" s="156"/>
      <c r="C1" s="157" t="str">
        <f ca="1">RIGHT(LEFT(CELL("filename",A1),FIND("[",CELL("filename",A1))-2),3)</f>
        <v>1学期</v>
      </c>
      <c r="D1" s="157"/>
      <c r="E1" s="157"/>
      <c r="F1" s="157"/>
      <c r="G1" s="157"/>
      <c r="H1" s="157"/>
      <c r="I1" s="157"/>
      <c r="J1" s="157"/>
      <c r="K1" s="157"/>
      <c r="L1" s="157"/>
      <c r="M1" s="2"/>
      <c r="N1" s="2"/>
    </row>
    <row r="2" spans="1:22" ht="18" customHeight="1">
      <c r="A2" s="1" t="s">
        <v>15</v>
      </c>
      <c r="B2" s="61">
        <v>10</v>
      </c>
      <c r="C2" s="63"/>
      <c r="D2" s="63"/>
      <c r="E2" s="63"/>
      <c r="F2" s="63"/>
      <c r="G2" s="63"/>
      <c r="K2" s="61" t="s">
        <v>14</v>
      </c>
      <c r="L2" s="158" t="str">
        <f ca="1">INDIRECT("'所見'!A"&amp;8+$B$2)</f>
        <v>林 果菜</v>
      </c>
      <c r="M2" s="158"/>
      <c r="N2" s="158"/>
    </row>
    <row r="3" spans="1:22" ht="12" customHeight="1">
      <c r="C3" s="5"/>
      <c r="D3" s="5"/>
      <c r="E3" s="5"/>
      <c r="F3" s="5"/>
      <c r="G3" s="5"/>
      <c r="H3" s="5"/>
      <c r="I3" s="5"/>
      <c r="J3" s="5"/>
      <c r="K3" s="5"/>
      <c r="L3" s="5"/>
      <c r="M3" s="5"/>
      <c r="N3" s="5"/>
    </row>
    <row r="4" spans="1:22" ht="18" customHeight="1">
      <c r="A4" s="159" t="s">
        <v>16</v>
      </c>
      <c r="B4" s="160"/>
      <c r="C4" s="160"/>
      <c r="D4" s="160"/>
      <c r="E4" s="160"/>
      <c r="F4" s="160"/>
      <c r="G4" s="160"/>
      <c r="H4" s="160"/>
      <c r="I4" s="160"/>
      <c r="J4" s="160"/>
      <c r="K4" s="160"/>
      <c r="L4" s="160"/>
      <c r="M4" s="160"/>
      <c r="N4" s="161"/>
    </row>
    <row r="5" spans="1:22" ht="18" customHeight="1">
      <c r="A5" s="13" t="s">
        <v>1</v>
      </c>
      <c r="B5" s="162" t="s">
        <v>2</v>
      </c>
      <c r="C5" s="160"/>
      <c r="D5" s="160"/>
      <c r="E5" s="160"/>
      <c r="F5" s="160"/>
      <c r="G5" s="160"/>
      <c r="H5" s="160"/>
      <c r="I5" s="160"/>
      <c r="J5" s="160"/>
      <c r="K5" s="163"/>
      <c r="L5" s="62" t="s">
        <v>3</v>
      </c>
      <c r="M5" s="164" t="s">
        <v>4</v>
      </c>
      <c r="N5" s="165"/>
      <c r="V5" s="75">
        <v>60</v>
      </c>
    </row>
    <row r="6" spans="1:22" ht="18" customHeight="1" thickBot="1">
      <c r="A6" s="108" t="s">
        <v>5</v>
      </c>
      <c r="B6" s="143" t="str">
        <f>国語!B2</f>
        <v>知識・技能（定期テスト・漢字テスト・文法理解）</v>
      </c>
      <c r="C6" s="144"/>
      <c r="D6" s="144"/>
      <c r="E6" s="144"/>
      <c r="F6" s="144"/>
      <c r="G6" s="144"/>
      <c r="H6" s="144"/>
      <c r="I6" s="144"/>
      <c r="J6" s="144"/>
      <c r="K6" s="145"/>
      <c r="L6" s="14" t="str">
        <f ca="1">OFFSET(国語!C2,0,$B$2)</f>
        <v>C</v>
      </c>
      <c r="M6" s="146">
        <f ca="1">OFFSET(国語!C12,0,$B$2)</f>
        <v>3</v>
      </c>
      <c r="N6" s="147"/>
      <c r="T6" s="4">
        <v>1</v>
      </c>
      <c r="U6" s="42" t="str">
        <f ca="1">INDIRECT("'出欠'!A"&amp;9+T6)</f>
        <v>岡田 明日香</v>
      </c>
    </row>
    <row r="7" spans="1:22" ht="18" customHeight="1" thickBot="1">
      <c r="A7" s="109"/>
      <c r="B7" s="152" t="str">
        <f>国語!B3</f>
        <v>思考力・表現力・判断力（定期テスト・リスニングテスト・作文・音読・話し合い活動）</v>
      </c>
      <c r="C7" s="141"/>
      <c r="D7" s="141"/>
      <c r="E7" s="141"/>
      <c r="F7" s="141"/>
      <c r="G7" s="141"/>
      <c r="H7" s="141"/>
      <c r="I7" s="141"/>
      <c r="J7" s="141"/>
      <c r="K7" s="142"/>
      <c r="L7" s="11" t="str">
        <f ca="1">OFFSET(国語!C3,0,$B$2)</f>
        <v>C</v>
      </c>
      <c r="M7" s="148"/>
      <c r="N7" s="149"/>
      <c r="P7" s="95" t="s">
        <v>22</v>
      </c>
      <c r="Q7" s="96"/>
      <c r="T7" s="4">
        <v>2</v>
      </c>
      <c r="U7" s="42" t="str">
        <f t="shared" ref="U7:U30" ca="1" si="0">INDIRECT("'出欠'!A"&amp;9+T7)</f>
        <v>荻原 知香</v>
      </c>
    </row>
    <row r="8" spans="1:22" ht="18" customHeight="1" thickBot="1">
      <c r="A8" s="109"/>
      <c r="B8" s="152" t="str">
        <f>国語!B4</f>
        <v>主体的に学習に取り組む態度</v>
      </c>
      <c r="C8" s="141"/>
      <c r="D8" s="141"/>
      <c r="E8" s="141"/>
      <c r="F8" s="141"/>
      <c r="G8" s="141"/>
      <c r="H8" s="141"/>
      <c r="I8" s="141"/>
      <c r="J8" s="141"/>
      <c r="K8" s="142"/>
      <c r="L8" s="11" t="str">
        <f ca="1">OFFSET(国語!C4,0,$B$2)</f>
        <v>A</v>
      </c>
      <c r="M8" s="148"/>
      <c r="N8" s="149"/>
      <c r="P8" s="41" t="s">
        <v>23</v>
      </c>
      <c r="Q8" s="41" t="s">
        <v>24</v>
      </c>
      <c r="T8" s="4">
        <v>3</v>
      </c>
      <c r="U8" s="42" t="str">
        <f t="shared" ca="1" si="0"/>
        <v>片桐 葵</v>
      </c>
    </row>
    <row r="9" spans="1:22" ht="18" customHeight="1" thickBot="1">
      <c r="A9" s="109"/>
      <c r="B9" s="152">
        <f>国語!B5</f>
        <v>0</v>
      </c>
      <c r="C9" s="141"/>
      <c r="D9" s="141"/>
      <c r="E9" s="141"/>
      <c r="F9" s="141"/>
      <c r="G9" s="141"/>
      <c r="H9" s="141"/>
      <c r="I9" s="141"/>
      <c r="J9" s="141"/>
      <c r="K9" s="142"/>
      <c r="L9" s="11">
        <f ca="1">OFFSET(国語!C5,0,$B$2)</f>
        <v>0</v>
      </c>
      <c r="M9" s="148"/>
      <c r="N9" s="149"/>
      <c r="P9" s="40">
        <v>9</v>
      </c>
      <c r="Q9" s="40">
        <v>9</v>
      </c>
      <c r="T9" s="4">
        <v>4</v>
      </c>
      <c r="U9" s="42" t="str">
        <f t="shared" ca="1" si="0"/>
        <v>上島 碧依</v>
      </c>
    </row>
    <row r="10" spans="1:22" ht="18" customHeight="1">
      <c r="A10" s="109"/>
      <c r="B10" s="152">
        <f>国語!B6</f>
        <v>0</v>
      </c>
      <c r="C10" s="141"/>
      <c r="D10" s="141"/>
      <c r="E10" s="141"/>
      <c r="F10" s="141"/>
      <c r="G10" s="141"/>
      <c r="H10" s="141"/>
      <c r="I10" s="141"/>
      <c r="J10" s="141"/>
      <c r="K10" s="142"/>
      <c r="L10" s="11">
        <f ca="1">OFFSET(国語!C6,0,$B$2)</f>
        <v>0</v>
      </c>
      <c r="M10" s="148"/>
      <c r="N10" s="149"/>
      <c r="T10" s="4">
        <v>5</v>
      </c>
      <c r="U10" s="42" t="str">
        <f t="shared" ca="1" si="0"/>
        <v>藏井 陽菜乃</v>
      </c>
    </row>
    <row r="11" spans="1:22" ht="18" customHeight="1">
      <c r="A11" s="109"/>
      <c r="B11" s="152">
        <f>国語!B7</f>
        <v>0</v>
      </c>
      <c r="C11" s="141"/>
      <c r="D11" s="141"/>
      <c r="E11" s="141"/>
      <c r="F11" s="141"/>
      <c r="G11" s="141"/>
      <c r="H11" s="141"/>
      <c r="I11" s="141"/>
      <c r="J11" s="141"/>
      <c r="K11" s="142"/>
      <c r="L11" s="11">
        <f ca="1">OFFSET(国語!C7,0,$B$2)</f>
        <v>0</v>
      </c>
      <c r="M11" s="148"/>
      <c r="N11" s="149"/>
      <c r="T11" s="4">
        <v>6</v>
      </c>
      <c r="U11" s="42" t="str">
        <f t="shared" ca="1" si="0"/>
        <v>小松 雅治</v>
      </c>
    </row>
    <row r="12" spans="1:22" ht="18" customHeight="1">
      <c r="A12" s="109"/>
      <c r="B12" s="152">
        <f>国語!B8</f>
        <v>0</v>
      </c>
      <c r="C12" s="141"/>
      <c r="D12" s="141"/>
      <c r="E12" s="141"/>
      <c r="F12" s="141"/>
      <c r="G12" s="141"/>
      <c r="H12" s="141"/>
      <c r="I12" s="141"/>
      <c r="J12" s="141"/>
      <c r="K12" s="142"/>
      <c r="L12" s="11">
        <f ca="1">OFFSET(国語!C8,0,$B$2)</f>
        <v>0</v>
      </c>
      <c r="M12" s="148"/>
      <c r="N12" s="149"/>
      <c r="T12" s="4">
        <v>7</v>
      </c>
      <c r="U12" s="42" t="str">
        <f t="shared" ca="1" si="0"/>
        <v>須藤 爽斗</v>
      </c>
    </row>
    <row r="13" spans="1:22" ht="18" customHeight="1">
      <c r="A13" s="109"/>
      <c r="B13" s="153">
        <f>国語!B9</f>
        <v>0</v>
      </c>
      <c r="C13" s="154"/>
      <c r="D13" s="154"/>
      <c r="E13" s="154"/>
      <c r="F13" s="154"/>
      <c r="G13" s="154"/>
      <c r="H13" s="154"/>
      <c r="I13" s="154"/>
      <c r="J13" s="154"/>
      <c r="K13" s="155"/>
      <c r="L13" s="11">
        <f ca="1">OFFSET(国語!C9,0,$B$2)</f>
        <v>0</v>
      </c>
      <c r="M13" s="148"/>
      <c r="N13" s="149"/>
      <c r="T13" s="4">
        <v>8</v>
      </c>
      <c r="U13" s="42" t="str">
        <f t="shared" ca="1" si="0"/>
        <v>滝 陽香</v>
      </c>
    </row>
    <row r="14" spans="1:22" ht="18" customHeight="1">
      <c r="A14" s="108" t="s">
        <v>32</v>
      </c>
      <c r="B14" s="143" t="str">
        <f>数学!B2</f>
        <v>知識・技能（単元テスト・定期テスト）</v>
      </c>
      <c r="C14" s="144"/>
      <c r="D14" s="144"/>
      <c r="E14" s="144"/>
      <c r="F14" s="144"/>
      <c r="G14" s="144"/>
      <c r="H14" s="144"/>
      <c r="I14" s="144"/>
      <c r="J14" s="144"/>
      <c r="K14" s="145"/>
      <c r="L14" s="14" t="str">
        <f ca="1">OFFSET(数学!C2,0,$B$2)</f>
        <v>B</v>
      </c>
      <c r="M14" s="146">
        <f ca="1">OFFSET(数学!C12,0,$B$2)</f>
        <v>3</v>
      </c>
      <c r="N14" s="147"/>
      <c r="T14" s="4">
        <v>9</v>
      </c>
      <c r="U14" s="42" t="str">
        <f t="shared" ca="1" si="0"/>
        <v>永江 仁</v>
      </c>
    </row>
    <row r="15" spans="1:22" ht="18" customHeight="1">
      <c r="A15" s="109"/>
      <c r="B15" s="152" t="str">
        <f>数学!B3</f>
        <v>思考力・表現力・判断力（単元テスト・定期テスト）</v>
      </c>
      <c r="C15" s="141"/>
      <c r="D15" s="141"/>
      <c r="E15" s="141"/>
      <c r="F15" s="141"/>
      <c r="G15" s="141"/>
      <c r="H15" s="141"/>
      <c r="I15" s="141"/>
      <c r="J15" s="141"/>
      <c r="K15" s="142"/>
      <c r="L15" s="11" t="str">
        <f ca="1">OFFSET(数学!C3,0,$B$2)</f>
        <v>B</v>
      </c>
      <c r="M15" s="148"/>
      <c r="N15" s="149"/>
      <c r="T15" s="4">
        <v>10</v>
      </c>
      <c r="U15" s="42" t="str">
        <f t="shared" ca="1" si="0"/>
        <v>林 果菜</v>
      </c>
    </row>
    <row r="16" spans="1:22" ht="18" customHeight="1">
      <c r="A16" s="109"/>
      <c r="B16" s="152" t="str">
        <f>数学!B4</f>
        <v>主体的に学習に取り組む態度</v>
      </c>
      <c r="C16" s="141"/>
      <c r="D16" s="141"/>
      <c r="E16" s="141"/>
      <c r="F16" s="141"/>
      <c r="G16" s="141"/>
      <c r="H16" s="141"/>
      <c r="I16" s="141"/>
      <c r="J16" s="141"/>
      <c r="K16" s="142"/>
      <c r="L16" s="11" t="str">
        <f ca="1">OFFSET(数学!C4,0,$B$2)</f>
        <v>A</v>
      </c>
      <c r="M16" s="148"/>
      <c r="N16" s="149"/>
      <c r="T16" s="4">
        <v>11</v>
      </c>
      <c r="U16" s="42" t="str">
        <f t="shared" ca="1" si="0"/>
        <v>原 維香</v>
      </c>
    </row>
    <row r="17" spans="1:21" ht="18" customHeight="1">
      <c r="A17" s="109"/>
      <c r="B17" s="152">
        <f>数学!B5</f>
        <v>0</v>
      </c>
      <c r="C17" s="141"/>
      <c r="D17" s="141"/>
      <c r="E17" s="141"/>
      <c r="F17" s="141"/>
      <c r="G17" s="141"/>
      <c r="H17" s="141"/>
      <c r="I17" s="141"/>
      <c r="J17" s="141"/>
      <c r="K17" s="142"/>
      <c r="L17" s="11">
        <f ca="1">OFFSET(数学!C5,0,$B$2)</f>
        <v>0</v>
      </c>
      <c r="M17" s="148"/>
      <c r="N17" s="149"/>
      <c r="Q17" s="18"/>
      <c r="R17" s="18"/>
      <c r="T17" s="4">
        <v>12</v>
      </c>
      <c r="U17" s="42" t="str">
        <f t="shared" ca="1" si="0"/>
        <v>丸山 心音</v>
      </c>
    </row>
    <row r="18" spans="1:21" ht="18" customHeight="1">
      <c r="A18" s="109"/>
      <c r="B18" s="152">
        <f>数学!B6</f>
        <v>0</v>
      </c>
      <c r="C18" s="141"/>
      <c r="D18" s="141"/>
      <c r="E18" s="141"/>
      <c r="F18" s="141"/>
      <c r="G18" s="141"/>
      <c r="H18" s="141"/>
      <c r="I18" s="141"/>
      <c r="J18" s="141"/>
      <c r="K18" s="142"/>
      <c r="L18" s="11">
        <f ca="1">OFFSET(数学!C6,0,$B$2)</f>
        <v>0</v>
      </c>
      <c r="M18" s="148"/>
      <c r="N18" s="149"/>
      <c r="Q18" s="18"/>
      <c r="R18" s="18"/>
      <c r="T18" s="4">
        <v>13</v>
      </c>
      <c r="U18" s="42" t="str">
        <f t="shared" ca="1" si="0"/>
        <v>森本 浩士</v>
      </c>
    </row>
    <row r="19" spans="1:21" ht="18" customHeight="1">
      <c r="A19" s="109"/>
      <c r="B19" s="152">
        <f>数学!B7</f>
        <v>0</v>
      </c>
      <c r="C19" s="141"/>
      <c r="D19" s="141"/>
      <c r="E19" s="141"/>
      <c r="F19" s="141"/>
      <c r="G19" s="141"/>
      <c r="H19" s="141"/>
      <c r="I19" s="141"/>
      <c r="J19" s="141"/>
      <c r="K19" s="142"/>
      <c r="L19" s="11">
        <f ca="1">OFFSET(数学!C7,0,$B$2)</f>
        <v>0</v>
      </c>
      <c r="M19" s="148"/>
      <c r="N19" s="149"/>
      <c r="Q19" s="76">
        <f>番号</f>
        <v>10</v>
      </c>
      <c r="R19" s="18"/>
      <c r="T19" s="4">
        <v>14</v>
      </c>
      <c r="U19" s="42" t="str">
        <f t="shared" ca="1" si="0"/>
        <v>栁沢 美緒</v>
      </c>
    </row>
    <row r="20" spans="1:21" ht="18" customHeight="1">
      <c r="A20" s="109"/>
      <c r="B20" s="152">
        <f>数学!B8</f>
        <v>0</v>
      </c>
      <c r="C20" s="141"/>
      <c r="D20" s="141"/>
      <c r="E20" s="141"/>
      <c r="F20" s="141"/>
      <c r="G20" s="141"/>
      <c r="H20" s="141"/>
      <c r="I20" s="141"/>
      <c r="J20" s="141"/>
      <c r="K20" s="142"/>
      <c r="L20" s="11">
        <f ca="1">OFFSET(数学!C8,0,$B$2)</f>
        <v>0</v>
      </c>
      <c r="M20" s="148"/>
      <c r="N20" s="149"/>
      <c r="Q20" s="18"/>
      <c r="R20" s="18"/>
      <c r="T20" s="4">
        <v>15</v>
      </c>
      <c r="U20" s="42" t="str">
        <f t="shared" ca="1" si="0"/>
        <v>横山 麟太</v>
      </c>
    </row>
    <row r="21" spans="1:21" ht="18" customHeight="1">
      <c r="A21" s="109"/>
      <c r="B21" s="153">
        <f>数学!B9</f>
        <v>0</v>
      </c>
      <c r="C21" s="154"/>
      <c r="D21" s="154"/>
      <c r="E21" s="154"/>
      <c r="F21" s="154"/>
      <c r="G21" s="154"/>
      <c r="H21" s="154"/>
      <c r="I21" s="154"/>
      <c r="J21" s="154"/>
      <c r="K21" s="155"/>
      <c r="L21" s="11">
        <f ca="1">OFFSET(数学!C9,0,$B$2)</f>
        <v>0</v>
      </c>
      <c r="M21" s="148"/>
      <c r="N21" s="149"/>
      <c r="T21" s="4">
        <v>16</v>
      </c>
      <c r="U21" s="42" t="str">
        <f t="shared" ca="1" si="0"/>
        <v>渡邊 了介</v>
      </c>
    </row>
    <row r="22" spans="1:21" ht="18" customHeight="1">
      <c r="A22" s="108" t="s">
        <v>29</v>
      </c>
      <c r="B22" s="143" t="str">
        <f>理科!B2</f>
        <v>知識・技能(定期テスト・レポート・週末課題・単元テスト）</v>
      </c>
      <c r="C22" s="144"/>
      <c r="D22" s="144"/>
      <c r="E22" s="144"/>
      <c r="F22" s="144"/>
      <c r="G22" s="144"/>
      <c r="H22" s="144"/>
      <c r="I22" s="144"/>
      <c r="J22" s="144"/>
      <c r="K22" s="145"/>
      <c r="L22" s="14" t="str">
        <f ca="1">OFFSET(理科!C2,0,$B$2)</f>
        <v>B</v>
      </c>
      <c r="M22" s="146">
        <f ca="1">OFFSET(理科!C12,0,$B$2)</f>
        <v>3</v>
      </c>
      <c r="N22" s="147"/>
      <c r="T22" s="4">
        <v>17</v>
      </c>
      <c r="U22" s="42">
        <f t="shared" ca="1" si="0"/>
        <v>0</v>
      </c>
    </row>
    <row r="23" spans="1:21" ht="18" customHeight="1">
      <c r="A23" s="109"/>
      <c r="B23" s="152" t="str">
        <f>理科!B3</f>
        <v>思考・判断・表現（レポート・単元テスト・実験の考察）</v>
      </c>
      <c r="C23" s="141"/>
      <c r="D23" s="141"/>
      <c r="E23" s="141"/>
      <c r="F23" s="141"/>
      <c r="G23" s="141"/>
      <c r="H23" s="141"/>
      <c r="I23" s="141"/>
      <c r="J23" s="141"/>
      <c r="K23" s="142"/>
      <c r="L23" s="11" t="str">
        <f ca="1">OFFSET(理科!C3,0,$B$2)</f>
        <v>B</v>
      </c>
      <c r="M23" s="148"/>
      <c r="N23" s="149"/>
      <c r="T23" s="4">
        <v>18</v>
      </c>
      <c r="U23" s="42">
        <f t="shared" ca="1" si="0"/>
        <v>0</v>
      </c>
    </row>
    <row r="24" spans="1:21" ht="18" customHeight="1">
      <c r="A24" s="109"/>
      <c r="B24" s="152" t="str">
        <f>理科!B4</f>
        <v>主体的に学習に取り組む態度</v>
      </c>
      <c r="C24" s="141"/>
      <c r="D24" s="141"/>
      <c r="E24" s="141"/>
      <c r="F24" s="141"/>
      <c r="G24" s="141"/>
      <c r="H24" s="141"/>
      <c r="I24" s="141"/>
      <c r="J24" s="141"/>
      <c r="K24" s="142"/>
      <c r="L24" s="11" t="str">
        <f ca="1">OFFSET(理科!C4,0,$B$2)</f>
        <v>A</v>
      </c>
      <c r="M24" s="148"/>
      <c r="N24" s="149"/>
      <c r="T24" s="4">
        <v>19</v>
      </c>
      <c r="U24" s="42">
        <f t="shared" ca="1" si="0"/>
        <v>0</v>
      </c>
    </row>
    <row r="25" spans="1:21" ht="18" customHeight="1">
      <c r="A25" s="109"/>
      <c r="B25" s="152">
        <f>理科!B5</f>
        <v>0</v>
      </c>
      <c r="C25" s="141"/>
      <c r="D25" s="141"/>
      <c r="E25" s="141"/>
      <c r="F25" s="141"/>
      <c r="G25" s="141"/>
      <c r="H25" s="141"/>
      <c r="I25" s="141"/>
      <c r="J25" s="141"/>
      <c r="K25" s="142"/>
      <c r="L25" s="11">
        <f ca="1">OFFSET(理科!C5,0,$B$2)</f>
        <v>0</v>
      </c>
      <c r="M25" s="148"/>
      <c r="N25" s="149"/>
      <c r="T25" s="4">
        <v>20</v>
      </c>
      <c r="U25" s="42">
        <f t="shared" ca="1" si="0"/>
        <v>0</v>
      </c>
    </row>
    <row r="26" spans="1:21" ht="18" customHeight="1">
      <c r="A26" s="109"/>
      <c r="B26" s="152">
        <f>理科!B6</f>
        <v>0</v>
      </c>
      <c r="C26" s="141"/>
      <c r="D26" s="141"/>
      <c r="E26" s="141"/>
      <c r="F26" s="141"/>
      <c r="G26" s="141"/>
      <c r="H26" s="141"/>
      <c r="I26" s="141"/>
      <c r="J26" s="141"/>
      <c r="K26" s="142"/>
      <c r="L26" s="11">
        <f ca="1">OFFSET(理科!C6,0,$B$2)</f>
        <v>0</v>
      </c>
      <c r="M26" s="148"/>
      <c r="N26" s="149"/>
      <c r="T26" s="4">
        <v>21</v>
      </c>
      <c r="U26" s="42">
        <f t="shared" ca="1" si="0"/>
        <v>0</v>
      </c>
    </row>
    <row r="27" spans="1:21" ht="18" customHeight="1">
      <c r="A27" s="109"/>
      <c r="B27" s="152">
        <f>理科!B7</f>
        <v>0</v>
      </c>
      <c r="C27" s="141"/>
      <c r="D27" s="141"/>
      <c r="E27" s="141"/>
      <c r="F27" s="141"/>
      <c r="G27" s="141"/>
      <c r="H27" s="141"/>
      <c r="I27" s="141"/>
      <c r="J27" s="141"/>
      <c r="K27" s="142"/>
      <c r="L27" s="11">
        <f ca="1">OFFSET(理科!C7,0,$B$2)</f>
        <v>0</v>
      </c>
      <c r="M27" s="148"/>
      <c r="N27" s="149"/>
      <c r="T27" s="4">
        <v>22</v>
      </c>
      <c r="U27" s="42">
        <f t="shared" ca="1" si="0"/>
        <v>0</v>
      </c>
    </row>
    <row r="28" spans="1:21" ht="18" customHeight="1">
      <c r="A28" s="109"/>
      <c r="B28" s="152">
        <f>理科!B8</f>
        <v>0</v>
      </c>
      <c r="C28" s="141"/>
      <c r="D28" s="141"/>
      <c r="E28" s="141"/>
      <c r="F28" s="141"/>
      <c r="G28" s="141"/>
      <c r="H28" s="141"/>
      <c r="I28" s="141"/>
      <c r="J28" s="141"/>
      <c r="K28" s="142"/>
      <c r="L28" s="11">
        <f ca="1">OFFSET(理科!C8,0,$B$2)</f>
        <v>0</v>
      </c>
      <c r="M28" s="148"/>
      <c r="N28" s="149"/>
      <c r="T28" s="4">
        <v>23</v>
      </c>
      <c r="U28" s="42">
        <f t="shared" ca="1" si="0"/>
        <v>0</v>
      </c>
    </row>
    <row r="29" spans="1:21" ht="18" customHeight="1">
      <c r="A29" s="109"/>
      <c r="B29" s="153">
        <f>理科!B9</f>
        <v>0</v>
      </c>
      <c r="C29" s="154"/>
      <c r="D29" s="154"/>
      <c r="E29" s="154"/>
      <c r="F29" s="154"/>
      <c r="G29" s="154"/>
      <c r="H29" s="154"/>
      <c r="I29" s="154"/>
      <c r="J29" s="154"/>
      <c r="K29" s="155"/>
      <c r="L29" s="11">
        <f ca="1">OFFSET(理科!C9,0,$B$2)</f>
        <v>0</v>
      </c>
      <c r="M29" s="148"/>
      <c r="N29" s="149"/>
      <c r="T29" s="4">
        <v>24</v>
      </c>
      <c r="U29" s="42">
        <f t="shared" ca="1" si="0"/>
        <v>0</v>
      </c>
    </row>
    <row r="30" spans="1:21" ht="18" customHeight="1">
      <c r="A30" s="108" t="s">
        <v>30</v>
      </c>
      <c r="B30" s="143" t="str">
        <f>社会!B2</f>
        <v>知識・技能（単元テスト・定期テスト）</v>
      </c>
      <c r="C30" s="144"/>
      <c r="D30" s="144"/>
      <c r="E30" s="144"/>
      <c r="F30" s="144"/>
      <c r="G30" s="144"/>
      <c r="H30" s="144"/>
      <c r="I30" s="144"/>
      <c r="J30" s="144"/>
      <c r="K30" s="145"/>
      <c r="L30" s="14" t="str">
        <f ca="1">OFFSET(社会!C2,0,$B$2)</f>
        <v>B</v>
      </c>
      <c r="M30" s="146">
        <f ca="1">OFFSET(社会!C12,0,$B$2)</f>
        <v>3</v>
      </c>
      <c r="N30" s="147"/>
      <c r="T30" s="4">
        <v>25</v>
      </c>
      <c r="U30" s="42">
        <f t="shared" ca="1" si="0"/>
        <v>0</v>
      </c>
    </row>
    <row r="31" spans="1:21" ht="18" customHeight="1">
      <c r="A31" s="109"/>
      <c r="B31" s="152" t="str">
        <f>社会!B3</f>
        <v>思考力・表現力・判断力（単元テスト・定期テスト）</v>
      </c>
      <c r="C31" s="141"/>
      <c r="D31" s="141"/>
      <c r="E31" s="141"/>
      <c r="F31" s="141"/>
      <c r="G31" s="141"/>
      <c r="H31" s="141"/>
      <c r="I31" s="141"/>
      <c r="J31" s="141"/>
      <c r="K31" s="142"/>
      <c r="L31" s="11" t="str">
        <f ca="1">OFFSET(社会!C3,0,$B$2)</f>
        <v>C</v>
      </c>
      <c r="M31" s="148"/>
      <c r="N31" s="149"/>
    </row>
    <row r="32" spans="1:21" ht="18" customHeight="1">
      <c r="A32" s="109"/>
      <c r="B32" s="152" t="str">
        <f>社会!B4</f>
        <v>主体的に学習に取り組む態度</v>
      </c>
      <c r="C32" s="141"/>
      <c r="D32" s="141"/>
      <c r="E32" s="141"/>
      <c r="F32" s="141"/>
      <c r="G32" s="141"/>
      <c r="H32" s="141"/>
      <c r="I32" s="141"/>
      <c r="J32" s="141"/>
      <c r="K32" s="142"/>
      <c r="L32" s="11" t="str">
        <f ca="1">OFFSET(社会!C4,0,$B$2)</f>
        <v>A</v>
      </c>
      <c r="M32" s="148"/>
      <c r="N32" s="149"/>
    </row>
    <row r="33" spans="1:14" ht="18" customHeight="1">
      <c r="A33" s="109"/>
      <c r="B33" s="152">
        <f>社会!B5</f>
        <v>0</v>
      </c>
      <c r="C33" s="141"/>
      <c r="D33" s="141"/>
      <c r="E33" s="141"/>
      <c r="F33" s="141"/>
      <c r="G33" s="141"/>
      <c r="H33" s="141"/>
      <c r="I33" s="141"/>
      <c r="J33" s="141"/>
      <c r="K33" s="142"/>
      <c r="L33" s="11">
        <f ca="1">OFFSET(社会!C5,0,$B$2)</f>
        <v>0</v>
      </c>
      <c r="M33" s="148"/>
      <c r="N33" s="149"/>
    </row>
    <row r="34" spans="1:14" ht="18" customHeight="1">
      <c r="A34" s="109"/>
      <c r="B34" s="152">
        <f>社会!B6</f>
        <v>0</v>
      </c>
      <c r="C34" s="141"/>
      <c r="D34" s="141"/>
      <c r="E34" s="141"/>
      <c r="F34" s="141"/>
      <c r="G34" s="141"/>
      <c r="H34" s="141"/>
      <c r="I34" s="141"/>
      <c r="J34" s="141"/>
      <c r="K34" s="142"/>
      <c r="L34" s="11">
        <f ca="1">OFFSET(社会!C6,0,$B$2)</f>
        <v>0</v>
      </c>
      <c r="M34" s="148"/>
      <c r="N34" s="149"/>
    </row>
    <row r="35" spans="1:14" ht="18" customHeight="1">
      <c r="A35" s="109"/>
      <c r="B35" s="152">
        <f>社会!B7</f>
        <v>0</v>
      </c>
      <c r="C35" s="141"/>
      <c r="D35" s="141"/>
      <c r="E35" s="141"/>
      <c r="F35" s="141"/>
      <c r="G35" s="141"/>
      <c r="H35" s="141"/>
      <c r="I35" s="141"/>
      <c r="J35" s="141"/>
      <c r="K35" s="142"/>
      <c r="L35" s="11">
        <f ca="1">OFFSET(社会!C7,0,$B$2)</f>
        <v>0</v>
      </c>
      <c r="M35" s="148"/>
      <c r="N35" s="149"/>
    </row>
    <row r="36" spans="1:14" ht="18" customHeight="1">
      <c r="A36" s="109"/>
      <c r="B36" s="152">
        <f>社会!B8</f>
        <v>0</v>
      </c>
      <c r="C36" s="141"/>
      <c r="D36" s="141"/>
      <c r="E36" s="141"/>
      <c r="F36" s="141"/>
      <c r="G36" s="141"/>
      <c r="H36" s="141"/>
      <c r="I36" s="141"/>
      <c r="J36" s="141"/>
      <c r="K36" s="142"/>
      <c r="L36" s="11">
        <f ca="1">OFFSET(社会!C8,0,$B$2)</f>
        <v>0</v>
      </c>
      <c r="M36" s="148"/>
      <c r="N36" s="149"/>
    </row>
    <row r="37" spans="1:14" ht="18" customHeight="1">
      <c r="A37" s="109"/>
      <c r="B37" s="153">
        <f>社会!B9</f>
        <v>0</v>
      </c>
      <c r="C37" s="154"/>
      <c r="D37" s="154"/>
      <c r="E37" s="154"/>
      <c r="F37" s="154"/>
      <c r="G37" s="154"/>
      <c r="H37" s="154"/>
      <c r="I37" s="154"/>
      <c r="J37" s="154"/>
      <c r="K37" s="155"/>
      <c r="L37" s="11">
        <f ca="1">OFFSET(社会!C9,0,$B$2)</f>
        <v>0</v>
      </c>
      <c r="M37" s="148"/>
      <c r="N37" s="149"/>
    </row>
    <row r="38" spans="1:14" ht="18" customHeight="1">
      <c r="A38" s="108" t="s">
        <v>6</v>
      </c>
      <c r="B38" s="143" t="str">
        <f>英語!B2</f>
        <v>知識・技能（期末テストワークテスト）</v>
      </c>
      <c r="C38" s="144"/>
      <c r="D38" s="144"/>
      <c r="E38" s="144"/>
      <c r="F38" s="144"/>
      <c r="G38" s="144"/>
      <c r="H38" s="144"/>
      <c r="I38" s="144"/>
      <c r="J38" s="144"/>
      <c r="K38" s="145"/>
      <c r="L38" s="14" t="str">
        <f ca="1">OFFSET(英語!C2,0,$B$2)</f>
        <v>C</v>
      </c>
      <c r="M38" s="146" t="str">
        <f ca="1">OFFSET(英語!C12,0,$B$2)</f>
        <v>3</v>
      </c>
      <c r="N38" s="147"/>
    </row>
    <row r="39" spans="1:14" ht="18" customHeight="1">
      <c r="A39" s="109"/>
      <c r="B39" s="152" t="str">
        <f>英語!B3</f>
        <v>思考力・判断力・表現力（オンライン授業・リスニング・英作文）</v>
      </c>
      <c r="C39" s="141"/>
      <c r="D39" s="141"/>
      <c r="E39" s="141"/>
      <c r="F39" s="141"/>
      <c r="G39" s="141"/>
      <c r="H39" s="141"/>
      <c r="I39" s="141"/>
      <c r="J39" s="141"/>
      <c r="K39" s="142"/>
      <c r="L39" s="11" t="str">
        <f ca="1">OFFSET(英語!C3,0,$B$2)</f>
        <v>B</v>
      </c>
      <c r="M39" s="148"/>
      <c r="N39" s="149"/>
    </row>
    <row r="40" spans="1:14" ht="18" customHeight="1">
      <c r="A40" s="109"/>
      <c r="B40" s="152" t="str">
        <f>英語!B4</f>
        <v>主体的に取り組む態度（提出物・授業態度）</v>
      </c>
      <c r="C40" s="141"/>
      <c r="D40" s="141"/>
      <c r="E40" s="141"/>
      <c r="F40" s="141"/>
      <c r="G40" s="141"/>
      <c r="H40" s="141"/>
      <c r="I40" s="141"/>
      <c r="J40" s="141"/>
      <c r="K40" s="142"/>
      <c r="L40" s="11" t="str">
        <f ca="1">OFFSET(英語!C4,0,$B$2)</f>
        <v>A</v>
      </c>
      <c r="M40" s="148"/>
      <c r="N40" s="149"/>
    </row>
    <row r="41" spans="1:14" ht="18" customHeight="1">
      <c r="A41" s="109"/>
      <c r="B41" s="152">
        <f>英語!B5</f>
        <v>0</v>
      </c>
      <c r="C41" s="141"/>
      <c r="D41" s="141"/>
      <c r="E41" s="141"/>
      <c r="F41" s="141"/>
      <c r="G41" s="141"/>
      <c r="H41" s="141"/>
      <c r="I41" s="141"/>
      <c r="J41" s="141"/>
      <c r="K41" s="142"/>
      <c r="L41" s="11">
        <f ca="1">OFFSET(英語!C5,0,$B$2)</f>
        <v>0</v>
      </c>
      <c r="M41" s="148"/>
      <c r="N41" s="149"/>
    </row>
    <row r="42" spans="1:14" ht="18" customHeight="1">
      <c r="A42" s="109"/>
      <c r="B42" s="152">
        <f>英語!B6</f>
        <v>0</v>
      </c>
      <c r="C42" s="141"/>
      <c r="D42" s="141"/>
      <c r="E42" s="141"/>
      <c r="F42" s="141"/>
      <c r="G42" s="141"/>
      <c r="H42" s="141"/>
      <c r="I42" s="141"/>
      <c r="J42" s="141"/>
      <c r="K42" s="142"/>
      <c r="L42" s="11">
        <f ca="1">OFFSET(英語!C6,0,$B$2)</f>
        <v>0</v>
      </c>
      <c r="M42" s="148"/>
      <c r="N42" s="149"/>
    </row>
    <row r="43" spans="1:14" ht="18" customHeight="1">
      <c r="A43" s="109"/>
      <c r="B43" s="152">
        <f>英語!B7</f>
        <v>0</v>
      </c>
      <c r="C43" s="141"/>
      <c r="D43" s="141"/>
      <c r="E43" s="141"/>
      <c r="F43" s="141"/>
      <c r="G43" s="141"/>
      <c r="H43" s="141"/>
      <c r="I43" s="141"/>
      <c r="J43" s="141"/>
      <c r="K43" s="142"/>
      <c r="L43" s="11">
        <f ca="1">OFFSET(英語!C7,0,$B$2)</f>
        <v>0</v>
      </c>
      <c r="M43" s="148"/>
      <c r="N43" s="149"/>
    </row>
    <row r="44" spans="1:14" ht="18" customHeight="1">
      <c r="A44" s="109"/>
      <c r="B44" s="152">
        <f>英語!B8</f>
        <v>0</v>
      </c>
      <c r="C44" s="141"/>
      <c r="D44" s="141"/>
      <c r="E44" s="141"/>
      <c r="F44" s="141"/>
      <c r="G44" s="141"/>
      <c r="H44" s="141"/>
      <c r="I44" s="141"/>
      <c r="J44" s="141"/>
      <c r="K44" s="142"/>
      <c r="L44" s="11">
        <f ca="1">OFFSET(英語!C8,0,$B$2)</f>
        <v>0</v>
      </c>
      <c r="M44" s="148"/>
      <c r="N44" s="149"/>
    </row>
    <row r="45" spans="1:14" ht="18" customHeight="1">
      <c r="A45" s="109"/>
      <c r="B45" s="153">
        <f>英語!B9</f>
        <v>0</v>
      </c>
      <c r="C45" s="154"/>
      <c r="D45" s="154"/>
      <c r="E45" s="154"/>
      <c r="F45" s="154"/>
      <c r="G45" s="154"/>
      <c r="H45" s="154"/>
      <c r="I45" s="154"/>
      <c r="J45" s="154"/>
      <c r="K45" s="155"/>
      <c r="L45" s="11">
        <f ca="1">OFFSET(英語!C9,0,$B$2)</f>
        <v>0</v>
      </c>
      <c r="M45" s="148"/>
      <c r="N45" s="149"/>
    </row>
    <row r="46" spans="1:14" ht="18" customHeight="1">
      <c r="A46" s="108" t="s">
        <v>0</v>
      </c>
      <c r="B46" s="143" t="str">
        <f>音楽!B2</f>
        <v>知識・技能(提出物、演奏聴取、ワークシート、定期テスト)</v>
      </c>
      <c r="C46" s="144"/>
      <c r="D46" s="144"/>
      <c r="E46" s="144"/>
      <c r="F46" s="144"/>
      <c r="G46" s="144"/>
      <c r="H46" s="144"/>
      <c r="I46" s="144"/>
      <c r="J46" s="144"/>
      <c r="K46" s="145"/>
      <c r="L46" s="14" t="str">
        <f ca="1">OFFSET(音楽!C2,0,$B$2)</f>
        <v>B</v>
      </c>
      <c r="M46" s="146">
        <f ca="1">OFFSET(音楽!C12,0,$B$2)</f>
        <v>3</v>
      </c>
      <c r="N46" s="147"/>
    </row>
    <row r="47" spans="1:14" ht="18" customHeight="1">
      <c r="A47" s="109"/>
      <c r="B47" s="152" t="str">
        <f>音楽!B3</f>
        <v>思考力・判断力・表現力(提出物、演奏聴取、ワークシート、定期テスト)</v>
      </c>
      <c r="C47" s="141"/>
      <c r="D47" s="141"/>
      <c r="E47" s="141"/>
      <c r="F47" s="141"/>
      <c r="G47" s="141"/>
      <c r="H47" s="141"/>
      <c r="I47" s="141"/>
      <c r="J47" s="141"/>
      <c r="K47" s="142"/>
      <c r="L47" s="11" t="str">
        <f ca="1">OFFSET(音楽!C3,0,$B$2)</f>
        <v>B</v>
      </c>
      <c r="M47" s="148"/>
      <c r="N47" s="149"/>
    </row>
    <row r="48" spans="1:14" ht="18" customHeight="1">
      <c r="A48" s="109"/>
      <c r="B48" s="152" t="str">
        <f>音楽!B4</f>
        <v>主体的に学習に取り組む態度</v>
      </c>
      <c r="C48" s="141"/>
      <c r="D48" s="141"/>
      <c r="E48" s="141"/>
      <c r="F48" s="141"/>
      <c r="G48" s="141"/>
      <c r="H48" s="141"/>
      <c r="I48" s="141"/>
      <c r="J48" s="141"/>
      <c r="K48" s="142"/>
      <c r="L48" s="11" t="str">
        <f ca="1">OFFSET(音楽!C4,0,$B$2)</f>
        <v>A</v>
      </c>
      <c r="M48" s="148"/>
      <c r="N48" s="149"/>
    </row>
    <row r="49" spans="1:14" ht="18" customHeight="1">
      <c r="A49" s="109"/>
      <c r="B49" s="152">
        <f>音楽!B5</f>
        <v>0</v>
      </c>
      <c r="C49" s="141"/>
      <c r="D49" s="141"/>
      <c r="E49" s="141"/>
      <c r="F49" s="141"/>
      <c r="G49" s="141"/>
      <c r="H49" s="141"/>
      <c r="I49" s="141"/>
      <c r="J49" s="141"/>
      <c r="K49" s="142"/>
      <c r="L49" s="11">
        <f ca="1">OFFSET(音楽!C5,0,$B$2)</f>
        <v>0</v>
      </c>
      <c r="M49" s="148"/>
      <c r="N49" s="149"/>
    </row>
    <row r="50" spans="1:14" ht="18" customHeight="1">
      <c r="A50" s="109"/>
      <c r="B50" s="152">
        <f>音楽!B6</f>
        <v>0</v>
      </c>
      <c r="C50" s="141"/>
      <c r="D50" s="141"/>
      <c r="E50" s="141"/>
      <c r="F50" s="141"/>
      <c r="G50" s="141"/>
      <c r="H50" s="141"/>
      <c r="I50" s="141"/>
      <c r="J50" s="141"/>
      <c r="K50" s="142"/>
      <c r="L50" s="11">
        <f ca="1">OFFSET(音楽!C6,0,$B$2)</f>
        <v>0</v>
      </c>
      <c r="M50" s="148"/>
      <c r="N50" s="149"/>
    </row>
    <row r="51" spans="1:14" ht="18" customHeight="1">
      <c r="A51" s="109"/>
      <c r="B51" s="152">
        <f>音楽!B7</f>
        <v>0</v>
      </c>
      <c r="C51" s="141"/>
      <c r="D51" s="141"/>
      <c r="E51" s="141"/>
      <c r="F51" s="141"/>
      <c r="G51" s="141"/>
      <c r="H51" s="141"/>
      <c r="I51" s="141"/>
      <c r="J51" s="141"/>
      <c r="K51" s="142"/>
      <c r="L51" s="11">
        <f ca="1">OFFSET(音楽!C7,0,$B$2)</f>
        <v>0</v>
      </c>
      <c r="M51" s="148"/>
      <c r="N51" s="149"/>
    </row>
    <row r="52" spans="1:14" ht="18" customHeight="1">
      <c r="A52" s="109"/>
      <c r="B52" s="152">
        <f>音楽!B8</f>
        <v>0</v>
      </c>
      <c r="C52" s="141"/>
      <c r="D52" s="141"/>
      <c r="E52" s="141"/>
      <c r="F52" s="141"/>
      <c r="G52" s="141"/>
      <c r="H52" s="141"/>
      <c r="I52" s="141"/>
      <c r="J52" s="141"/>
      <c r="K52" s="142"/>
      <c r="L52" s="11">
        <f ca="1">OFFSET(音楽!C8,0,$B$2)</f>
        <v>0</v>
      </c>
      <c r="M52" s="148"/>
      <c r="N52" s="149"/>
    </row>
    <row r="53" spans="1:14" ht="18" customHeight="1">
      <c r="A53" s="109"/>
      <c r="B53" s="153">
        <f>音楽!B9</f>
        <v>0</v>
      </c>
      <c r="C53" s="154"/>
      <c r="D53" s="154"/>
      <c r="E53" s="154"/>
      <c r="F53" s="154"/>
      <c r="G53" s="154"/>
      <c r="H53" s="154"/>
      <c r="I53" s="154"/>
      <c r="J53" s="154"/>
      <c r="K53" s="155"/>
      <c r="L53" s="11">
        <f ca="1">OFFSET(音楽!C9,0,$B$2)</f>
        <v>0</v>
      </c>
      <c r="M53" s="148"/>
      <c r="N53" s="149"/>
    </row>
    <row r="54" spans="1:14" ht="6.75" customHeight="1">
      <c r="A54" s="3"/>
      <c r="B54" s="19"/>
      <c r="C54" s="6"/>
      <c r="D54" s="6"/>
      <c r="E54" s="6"/>
      <c r="F54" s="6"/>
      <c r="G54" s="6"/>
      <c r="H54" s="6"/>
      <c r="I54" s="6"/>
      <c r="J54" s="6"/>
      <c r="K54" s="6"/>
      <c r="L54" s="3"/>
      <c r="M54" s="59"/>
      <c r="N54" s="59"/>
    </row>
    <row r="55" spans="1:14" ht="19.5" customHeight="1">
      <c r="A55" s="61"/>
      <c r="B55" s="20"/>
      <c r="C55" s="7"/>
      <c r="D55" s="7"/>
      <c r="E55" s="7"/>
      <c r="F55" s="7"/>
      <c r="G55" s="7"/>
      <c r="H55" s="7"/>
      <c r="I55" s="7"/>
      <c r="J55" s="7"/>
      <c r="K55" s="7"/>
      <c r="L55" s="61"/>
      <c r="M55" s="60"/>
      <c r="N55" s="60"/>
    </row>
    <row r="56" spans="1:14" ht="18" customHeight="1">
      <c r="A56" s="108" t="s">
        <v>33</v>
      </c>
      <c r="B56" s="143" t="str">
        <f>美術!B2</f>
        <v>知識・技能（ワークシート・テスト）</v>
      </c>
      <c r="C56" s="144"/>
      <c r="D56" s="144"/>
      <c r="E56" s="144"/>
      <c r="F56" s="144"/>
      <c r="G56" s="144"/>
      <c r="H56" s="144"/>
      <c r="I56" s="144"/>
      <c r="J56" s="144"/>
      <c r="K56" s="145"/>
      <c r="L56" s="14" t="str">
        <f ca="1">OFFSET(美術!C2,0,$B$2)</f>
        <v>C</v>
      </c>
      <c r="M56" s="146">
        <f ca="1">OFFSET(美術!C12,0,$B$2)</f>
        <v>2</v>
      </c>
      <c r="N56" s="147"/>
    </row>
    <row r="57" spans="1:14" ht="18" customHeight="1">
      <c r="A57" s="109"/>
      <c r="B57" s="152" t="str">
        <f>美術!B3</f>
        <v>思考・判断・表現（作品・テスト・クロッキー）</v>
      </c>
      <c r="C57" s="141"/>
      <c r="D57" s="141"/>
      <c r="E57" s="141"/>
      <c r="F57" s="141"/>
      <c r="G57" s="141"/>
      <c r="H57" s="141"/>
      <c r="I57" s="141"/>
      <c r="J57" s="141"/>
      <c r="K57" s="142"/>
      <c r="L57" s="11" t="str">
        <f ca="1">OFFSET(美術!C3,0,$B$2)</f>
        <v>B</v>
      </c>
      <c r="M57" s="148"/>
      <c r="N57" s="149"/>
    </row>
    <row r="58" spans="1:14" ht="18" customHeight="1">
      <c r="A58" s="109"/>
      <c r="B58" s="152" t="str">
        <f>美術!B4</f>
        <v>主体的な態度（振り返りシート・授業態度・提出物・持ち物）</v>
      </c>
      <c r="C58" s="141"/>
      <c r="D58" s="141"/>
      <c r="E58" s="141"/>
      <c r="F58" s="141"/>
      <c r="G58" s="141"/>
      <c r="H58" s="141"/>
      <c r="I58" s="141"/>
      <c r="J58" s="141"/>
      <c r="K58" s="142"/>
      <c r="L58" s="11" t="str">
        <f ca="1">OFFSET(美術!C4,0,$B$2)</f>
        <v>B</v>
      </c>
      <c r="M58" s="148"/>
      <c r="N58" s="149"/>
    </row>
    <row r="59" spans="1:14" ht="18" customHeight="1">
      <c r="A59" s="109"/>
      <c r="B59" s="152">
        <f>美術!B5</f>
        <v>0</v>
      </c>
      <c r="C59" s="141"/>
      <c r="D59" s="141"/>
      <c r="E59" s="141"/>
      <c r="F59" s="141"/>
      <c r="G59" s="141"/>
      <c r="H59" s="141"/>
      <c r="I59" s="141"/>
      <c r="J59" s="141"/>
      <c r="K59" s="142"/>
      <c r="L59" s="11">
        <f ca="1">OFFSET(美術!C5,0,$B$2)</f>
        <v>0</v>
      </c>
      <c r="M59" s="148"/>
      <c r="N59" s="149"/>
    </row>
    <row r="60" spans="1:14" ht="18" customHeight="1">
      <c r="A60" s="109"/>
      <c r="B60" s="152">
        <f>美術!B6</f>
        <v>0</v>
      </c>
      <c r="C60" s="141"/>
      <c r="D60" s="141"/>
      <c r="E60" s="141"/>
      <c r="F60" s="141"/>
      <c r="G60" s="141"/>
      <c r="H60" s="141"/>
      <c r="I60" s="141"/>
      <c r="J60" s="141"/>
      <c r="K60" s="142"/>
      <c r="L60" s="11">
        <f ca="1">OFFSET(美術!C6,0,$B$2)</f>
        <v>0</v>
      </c>
      <c r="M60" s="148"/>
      <c r="N60" s="149"/>
    </row>
    <row r="61" spans="1:14" ht="18" customHeight="1">
      <c r="A61" s="109"/>
      <c r="B61" s="152">
        <f>美術!B7</f>
        <v>0</v>
      </c>
      <c r="C61" s="141"/>
      <c r="D61" s="141"/>
      <c r="E61" s="141"/>
      <c r="F61" s="141"/>
      <c r="G61" s="141"/>
      <c r="H61" s="141"/>
      <c r="I61" s="141"/>
      <c r="J61" s="141"/>
      <c r="K61" s="142"/>
      <c r="L61" s="11">
        <f ca="1">OFFSET(美術!C7,0,$B$2)</f>
        <v>0</v>
      </c>
      <c r="M61" s="148"/>
      <c r="N61" s="149"/>
    </row>
    <row r="62" spans="1:14" ht="18" customHeight="1">
      <c r="A62" s="109"/>
      <c r="B62" s="152">
        <f>美術!B8</f>
        <v>0</v>
      </c>
      <c r="C62" s="141"/>
      <c r="D62" s="141"/>
      <c r="E62" s="141"/>
      <c r="F62" s="141"/>
      <c r="G62" s="141"/>
      <c r="H62" s="141"/>
      <c r="I62" s="141"/>
      <c r="J62" s="141"/>
      <c r="K62" s="142"/>
      <c r="L62" s="11">
        <f ca="1">OFFSET(美術!C8,0,$B$2)</f>
        <v>0</v>
      </c>
      <c r="M62" s="148"/>
      <c r="N62" s="149"/>
    </row>
    <row r="63" spans="1:14" ht="18" customHeight="1">
      <c r="A63" s="109"/>
      <c r="B63" s="153">
        <f>美術!B9</f>
        <v>0</v>
      </c>
      <c r="C63" s="154"/>
      <c r="D63" s="154"/>
      <c r="E63" s="154"/>
      <c r="F63" s="154"/>
      <c r="G63" s="154"/>
      <c r="H63" s="154"/>
      <c r="I63" s="154"/>
      <c r="J63" s="154"/>
      <c r="K63" s="155"/>
      <c r="L63" s="11">
        <f ca="1">OFFSET(美術!C9,0,$B$2)</f>
        <v>0</v>
      </c>
      <c r="M63" s="148"/>
      <c r="N63" s="149"/>
    </row>
    <row r="64" spans="1:14" ht="18" customHeight="1">
      <c r="A64" s="108" t="s">
        <v>34</v>
      </c>
      <c r="B64" s="143" t="str">
        <f>保体!B2</f>
        <v>知識・技能（実技・定期テスト）</v>
      </c>
      <c r="C64" s="144"/>
      <c r="D64" s="144"/>
      <c r="E64" s="144"/>
      <c r="F64" s="144"/>
      <c r="G64" s="144"/>
      <c r="H64" s="144"/>
      <c r="I64" s="144"/>
      <c r="J64" s="144"/>
      <c r="K64" s="145"/>
      <c r="L64" s="14" t="str">
        <f ca="1">OFFSET(保体!C2,0,$B$2)</f>
        <v>B</v>
      </c>
      <c r="M64" s="146">
        <f ca="1">OFFSET(保体!C12,0,$B$2)</f>
        <v>4</v>
      </c>
      <c r="N64" s="147"/>
    </row>
    <row r="65" spans="1:19" ht="18" customHeight="1">
      <c r="A65" s="109"/>
      <c r="B65" s="152" t="str">
        <f>保体!B3</f>
        <v>思考力・表現力・判断力（実技）</v>
      </c>
      <c r="C65" s="141"/>
      <c r="D65" s="141"/>
      <c r="E65" s="141"/>
      <c r="F65" s="141"/>
      <c r="G65" s="141"/>
      <c r="H65" s="141"/>
      <c r="I65" s="141"/>
      <c r="J65" s="141"/>
      <c r="K65" s="142"/>
      <c r="L65" s="11" t="str">
        <f ca="1">OFFSET(保体!C3,0,$B$2)</f>
        <v>A</v>
      </c>
      <c r="M65" s="148"/>
      <c r="N65" s="149"/>
    </row>
    <row r="66" spans="1:19" ht="18" customHeight="1">
      <c r="A66" s="109"/>
      <c r="B66" s="152" t="str">
        <f>保体!B4</f>
        <v>主体的に学習に取り組む態度</v>
      </c>
      <c r="C66" s="141"/>
      <c r="D66" s="141"/>
      <c r="E66" s="141"/>
      <c r="F66" s="141"/>
      <c r="G66" s="141"/>
      <c r="H66" s="141"/>
      <c r="I66" s="141"/>
      <c r="J66" s="141"/>
      <c r="K66" s="142"/>
      <c r="L66" s="11" t="str">
        <f ca="1">OFFSET(保体!C4,0,$B$2)</f>
        <v>A</v>
      </c>
      <c r="M66" s="148"/>
      <c r="N66" s="149"/>
    </row>
    <row r="67" spans="1:19" ht="18" customHeight="1">
      <c r="A67" s="109"/>
      <c r="B67" s="152">
        <f>保体!B5</f>
        <v>0</v>
      </c>
      <c r="C67" s="141"/>
      <c r="D67" s="141"/>
      <c r="E67" s="141"/>
      <c r="F67" s="141"/>
      <c r="G67" s="141"/>
      <c r="H67" s="141"/>
      <c r="I67" s="141"/>
      <c r="J67" s="141"/>
      <c r="K67" s="142"/>
      <c r="L67" s="11">
        <f ca="1">OFFSET(保体!C5,0,$B$2)</f>
        <v>0</v>
      </c>
      <c r="M67" s="148"/>
      <c r="N67" s="149"/>
    </row>
    <row r="68" spans="1:19" ht="18" customHeight="1">
      <c r="A68" s="109"/>
      <c r="B68" s="152">
        <f>保体!B6</f>
        <v>0</v>
      </c>
      <c r="C68" s="141"/>
      <c r="D68" s="141"/>
      <c r="E68" s="141"/>
      <c r="F68" s="141"/>
      <c r="G68" s="141"/>
      <c r="H68" s="141"/>
      <c r="I68" s="141"/>
      <c r="J68" s="141"/>
      <c r="K68" s="142"/>
      <c r="L68" s="11">
        <f ca="1">OFFSET(保体!C6,0,$B$2)</f>
        <v>0</v>
      </c>
      <c r="M68" s="148"/>
      <c r="N68" s="149"/>
    </row>
    <row r="69" spans="1:19" ht="18" customHeight="1">
      <c r="A69" s="109"/>
      <c r="B69" s="152">
        <f>保体!B7</f>
        <v>0</v>
      </c>
      <c r="C69" s="141"/>
      <c r="D69" s="141"/>
      <c r="E69" s="141"/>
      <c r="F69" s="141"/>
      <c r="G69" s="141"/>
      <c r="H69" s="141"/>
      <c r="I69" s="141"/>
      <c r="J69" s="141"/>
      <c r="K69" s="142"/>
      <c r="L69" s="11">
        <f ca="1">OFFSET(保体!C7,0,$B$2)</f>
        <v>0</v>
      </c>
      <c r="M69" s="148"/>
      <c r="N69" s="149"/>
    </row>
    <row r="70" spans="1:19" ht="18" customHeight="1">
      <c r="A70" s="109"/>
      <c r="B70" s="152">
        <f>保体!B8</f>
        <v>0</v>
      </c>
      <c r="C70" s="141"/>
      <c r="D70" s="141"/>
      <c r="E70" s="141"/>
      <c r="F70" s="141"/>
      <c r="G70" s="141"/>
      <c r="H70" s="141"/>
      <c r="I70" s="141"/>
      <c r="J70" s="141"/>
      <c r="K70" s="142"/>
      <c r="L70" s="11">
        <f ca="1">OFFSET(保体!C8,0,$B$2)</f>
        <v>0</v>
      </c>
      <c r="M70" s="148"/>
      <c r="N70" s="149"/>
    </row>
    <row r="71" spans="1:19" ht="18" customHeight="1">
      <c r="A71" s="109"/>
      <c r="B71" s="153">
        <f>保体!B9</f>
        <v>0</v>
      </c>
      <c r="C71" s="154"/>
      <c r="D71" s="154"/>
      <c r="E71" s="154"/>
      <c r="F71" s="154"/>
      <c r="G71" s="154"/>
      <c r="H71" s="154"/>
      <c r="I71" s="154"/>
      <c r="J71" s="154"/>
      <c r="K71" s="155"/>
      <c r="L71" s="11">
        <f ca="1">OFFSET(保体!C9,0,$B$2)</f>
        <v>0</v>
      </c>
      <c r="M71" s="148"/>
      <c r="N71" s="149"/>
    </row>
    <row r="72" spans="1:19" ht="18" customHeight="1">
      <c r="A72" s="108" t="s">
        <v>35</v>
      </c>
      <c r="B72" s="143" t="str">
        <f>技家!B2</f>
        <v>知識・技能(定期テスト・学習ノート・電池チェッカーの製作・テーブルタップの組立）</v>
      </c>
      <c r="C72" s="144"/>
      <c r="D72" s="144"/>
      <c r="E72" s="144"/>
      <c r="F72" s="144"/>
      <c r="G72" s="144"/>
      <c r="H72" s="144"/>
      <c r="I72" s="144"/>
      <c r="J72" s="144"/>
      <c r="K72" s="145"/>
      <c r="L72" s="14" t="str">
        <f ca="1">OFFSET(技家!C2,0,$B$2)</f>
        <v>B</v>
      </c>
      <c r="M72" s="146">
        <f ca="1">OFFSET(技家!C12,0,$B$2)</f>
        <v>3</v>
      </c>
      <c r="N72" s="147"/>
    </row>
    <row r="73" spans="1:19" ht="18" customHeight="1">
      <c r="A73" s="109"/>
      <c r="B73" s="152" t="str">
        <f>技家!B3</f>
        <v>思考・判断・表現（電気図記号を使った電気回路の製作・半田付・部屋の平面計画・授業プリント）</v>
      </c>
      <c r="C73" s="141"/>
      <c r="D73" s="141"/>
      <c r="E73" s="141"/>
      <c r="F73" s="141"/>
      <c r="G73" s="141"/>
      <c r="H73" s="141"/>
      <c r="I73" s="141"/>
      <c r="J73" s="141"/>
      <c r="K73" s="142"/>
      <c r="L73" s="11" t="str">
        <f ca="1">OFFSET(技家!C3,0,$B$2)</f>
        <v>B</v>
      </c>
      <c r="M73" s="148"/>
      <c r="N73" s="149"/>
    </row>
    <row r="74" spans="1:19" ht="18" customHeight="1">
      <c r="A74" s="109"/>
      <c r="B74" s="152" t="str">
        <f>技家!B4</f>
        <v>主体的に学習に取り組む態度</v>
      </c>
      <c r="C74" s="141"/>
      <c r="D74" s="141"/>
      <c r="E74" s="141"/>
      <c r="F74" s="141"/>
      <c r="G74" s="141"/>
      <c r="H74" s="141"/>
      <c r="I74" s="141"/>
      <c r="J74" s="141"/>
      <c r="K74" s="142"/>
      <c r="L74" s="11" t="str">
        <f ca="1">OFFSET(技家!C4,0,$B$2)</f>
        <v>B</v>
      </c>
      <c r="M74" s="148"/>
      <c r="N74" s="149"/>
    </row>
    <row r="75" spans="1:19" ht="18" customHeight="1">
      <c r="A75" s="109"/>
      <c r="B75" s="152">
        <f>技家!B5</f>
        <v>0</v>
      </c>
      <c r="C75" s="141"/>
      <c r="D75" s="141"/>
      <c r="E75" s="141"/>
      <c r="F75" s="141"/>
      <c r="G75" s="141"/>
      <c r="H75" s="141"/>
      <c r="I75" s="141"/>
      <c r="J75" s="141"/>
      <c r="K75" s="142"/>
      <c r="L75" s="11">
        <f ca="1">OFFSET(技家!C5,0,$B$2)</f>
        <v>0</v>
      </c>
      <c r="M75" s="148"/>
      <c r="N75" s="149"/>
    </row>
    <row r="76" spans="1:19" ht="18" customHeight="1">
      <c r="A76" s="109"/>
      <c r="B76" s="152">
        <f>技家!B6</f>
        <v>0</v>
      </c>
      <c r="C76" s="141"/>
      <c r="D76" s="141"/>
      <c r="E76" s="141"/>
      <c r="F76" s="141"/>
      <c r="G76" s="141"/>
      <c r="H76" s="141"/>
      <c r="I76" s="141"/>
      <c r="J76" s="141"/>
      <c r="K76" s="142"/>
      <c r="L76" s="11">
        <f ca="1">OFFSET(技家!C6,0,$B$2)</f>
        <v>0</v>
      </c>
      <c r="M76" s="148"/>
      <c r="N76" s="149"/>
      <c r="S76" s="8"/>
    </row>
    <row r="77" spans="1:19" ht="18" customHeight="1">
      <c r="A77" s="109"/>
      <c r="B77" s="152">
        <f>技家!B7</f>
        <v>0</v>
      </c>
      <c r="C77" s="141"/>
      <c r="D77" s="141"/>
      <c r="E77" s="141"/>
      <c r="F77" s="141"/>
      <c r="G77" s="141"/>
      <c r="H77" s="141"/>
      <c r="I77" s="141"/>
      <c r="J77" s="141"/>
      <c r="K77" s="142"/>
      <c r="L77" s="11">
        <f ca="1">OFFSET(技家!C7,0,$B$2)</f>
        <v>0</v>
      </c>
      <c r="M77" s="148"/>
      <c r="N77" s="149"/>
      <c r="Q77" s="10"/>
      <c r="R77" s="8"/>
      <c r="S77" s="18"/>
    </row>
    <row r="78" spans="1:19" ht="18" customHeight="1">
      <c r="A78" s="109"/>
      <c r="B78" s="152">
        <f>技家!B8</f>
        <v>0</v>
      </c>
      <c r="C78" s="141"/>
      <c r="D78" s="141"/>
      <c r="E78" s="141"/>
      <c r="F78" s="141"/>
      <c r="G78" s="141"/>
      <c r="H78" s="141"/>
      <c r="I78" s="141"/>
      <c r="J78" s="141"/>
      <c r="K78" s="142"/>
      <c r="L78" s="11">
        <f ca="1">OFFSET(技家!C8,0,$B$2)</f>
        <v>0</v>
      </c>
      <c r="M78" s="148"/>
      <c r="N78" s="149"/>
      <c r="Q78" s="10"/>
      <c r="R78" s="18"/>
      <c r="S78" s="18"/>
    </row>
    <row r="79" spans="1:19" ht="18" customHeight="1">
      <c r="A79" s="110"/>
      <c r="B79" s="153">
        <f>技家!B9</f>
        <v>0</v>
      </c>
      <c r="C79" s="154"/>
      <c r="D79" s="154"/>
      <c r="E79" s="154"/>
      <c r="F79" s="154"/>
      <c r="G79" s="154"/>
      <c r="H79" s="154"/>
      <c r="I79" s="154"/>
      <c r="J79" s="154"/>
      <c r="K79" s="155"/>
      <c r="L79" s="12">
        <f ca="1">OFFSET(技家!C9,0,$B$2)</f>
        <v>0</v>
      </c>
      <c r="M79" s="150"/>
      <c r="N79" s="151"/>
      <c r="Q79" s="18"/>
      <c r="R79" s="18"/>
      <c r="S79" s="18"/>
    </row>
    <row r="80" spans="1:19" ht="75" customHeight="1">
      <c r="A80" s="64" t="s">
        <v>19</v>
      </c>
      <c r="B80" s="130" t="str">
        <f ca="1">INDIRECT("'道徳'!B"&amp;2+$B$2)</f>
        <v>道徳の授業で学ぶべき、社会生活を送るうえで大切な考え方について、友達と話し合い再確認する『道徳で何を学ぶの？』の単元では、「これから生活していく中で、節度や節制を大切にしていきたい。また節度は保ちつつ、今を楽しむことを忘れないでいたい」と振り返りました。またグループ間での発表を通し、「責任や信頼の意識を持つことも大切にしたい」と話していました。今後の活動でも実践していきましょう。</v>
      </c>
      <c r="C80" s="131"/>
      <c r="D80" s="131"/>
      <c r="E80" s="131"/>
      <c r="F80" s="131"/>
      <c r="G80" s="131"/>
      <c r="H80" s="131"/>
      <c r="I80" s="131"/>
      <c r="J80" s="131"/>
      <c r="K80" s="131"/>
      <c r="L80" s="131"/>
      <c r="M80" s="131"/>
      <c r="N80" s="132"/>
      <c r="Q80" s="18"/>
      <c r="R80" s="18"/>
      <c r="S80" s="18"/>
    </row>
    <row r="81" spans="1:19" ht="18" customHeight="1">
      <c r="F81" s="133" t="s">
        <v>36</v>
      </c>
      <c r="G81" s="133"/>
      <c r="I81" s="65"/>
      <c r="K81" s="8"/>
      <c r="Q81" s="18"/>
      <c r="R81" s="18"/>
      <c r="S81" s="18"/>
    </row>
    <row r="82" spans="1:19" ht="18" customHeight="1">
      <c r="A82" s="134" t="s">
        <v>37</v>
      </c>
      <c r="B82" s="137" t="str">
        <f>所見!B2</f>
        <v>基本的な生活習慣（礼節，欠席，遅刻，体調管理など）</v>
      </c>
      <c r="C82" s="138"/>
      <c r="D82" s="138"/>
      <c r="E82" s="138"/>
      <c r="F82" s="138"/>
      <c r="G82" s="66" t="str">
        <f ca="1">OFFSET(所見!C2,0,$B$2)</f>
        <v>B</v>
      </c>
      <c r="H82" s="67"/>
      <c r="I82" s="108" t="s">
        <v>7</v>
      </c>
      <c r="J82" s="139" t="s">
        <v>9</v>
      </c>
      <c r="K82" s="139"/>
      <c r="L82" s="140"/>
      <c r="M82" s="140"/>
      <c r="N82" s="15">
        <f ca="1">OFFSET(出欠!C2,0,$B$2)</f>
        <v>76</v>
      </c>
      <c r="Q82" s="18"/>
      <c r="R82" s="18"/>
      <c r="S82" s="18"/>
    </row>
    <row r="83" spans="1:19" ht="18" customHeight="1">
      <c r="A83" s="135"/>
      <c r="B83" s="126" t="str">
        <f>所見!B3</f>
        <v>自主・自律（主体的な行動，計画性，整理整頓，宿題，提出物など）</v>
      </c>
      <c r="C83" s="127"/>
      <c r="D83" s="127"/>
      <c r="E83" s="127"/>
      <c r="F83" s="127"/>
      <c r="G83" s="9" t="str">
        <f ca="1">OFFSET(所見!C3,0,$B$2)</f>
        <v>A</v>
      </c>
      <c r="H83" s="67"/>
      <c r="I83" s="109"/>
      <c r="J83" s="97" t="s">
        <v>10</v>
      </c>
      <c r="K83" s="97"/>
      <c r="L83" s="98"/>
      <c r="M83" s="98"/>
      <c r="N83" s="9">
        <f ca="1">OFFSET(出欠!C3,0,$B$2)</f>
        <v>0</v>
      </c>
      <c r="Q83" s="18"/>
      <c r="R83" s="18"/>
      <c r="S83" s="18"/>
    </row>
    <row r="84" spans="1:19" ht="18" customHeight="1">
      <c r="A84" s="135"/>
      <c r="B84" s="126" t="str">
        <f>所見!B4</f>
        <v>責任感（係，委員会，役割など）</v>
      </c>
      <c r="C84" s="127"/>
      <c r="D84" s="127"/>
      <c r="E84" s="127"/>
      <c r="F84" s="127"/>
      <c r="G84" s="9" t="str">
        <f ca="1">OFFSET(所見!C4,0,$B$2)</f>
        <v>A</v>
      </c>
      <c r="H84" s="68"/>
      <c r="I84" s="109"/>
      <c r="J84" s="141" t="s">
        <v>17</v>
      </c>
      <c r="K84" s="141"/>
      <c r="L84" s="141"/>
      <c r="M84" s="142"/>
      <c r="N84" s="9">
        <f ca="1">OFFSET(出欠!C4,0,$B$2)</f>
        <v>76</v>
      </c>
      <c r="Q84" s="18"/>
      <c r="R84" s="18"/>
      <c r="S84" s="18"/>
    </row>
    <row r="85" spans="1:19" ht="18" customHeight="1">
      <c r="A85" s="135"/>
      <c r="B85" s="126" t="str">
        <f>所見!B5</f>
        <v>思いやり・協力（友人関係，共同作業，協調性など）</v>
      </c>
      <c r="C85" s="127"/>
      <c r="D85" s="127"/>
      <c r="E85" s="127"/>
      <c r="F85" s="127"/>
      <c r="G85" s="9" t="str">
        <f ca="1">OFFSET(所見!C5,0,$B$2)</f>
        <v>A</v>
      </c>
      <c r="H85" s="67"/>
      <c r="I85" s="109"/>
      <c r="J85" s="97" t="s">
        <v>11</v>
      </c>
      <c r="K85" s="97"/>
      <c r="L85" s="98"/>
      <c r="M85" s="98"/>
      <c r="N85" s="9">
        <f ca="1">OFFSET(出欠!C5,0,$B$2)</f>
        <v>73</v>
      </c>
      <c r="Q85" s="76">
        <f>番号</f>
        <v>10</v>
      </c>
      <c r="R85" s="18"/>
      <c r="S85" s="18"/>
    </row>
    <row r="86" spans="1:19" ht="18" customHeight="1">
      <c r="A86" s="135"/>
      <c r="B86" s="126" t="str">
        <f>所見!B6</f>
        <v>勤労・奉仕（清掃，給食，奉仕活動など）</v>
      </c>
      <c r="C86" s="127"/>
      <c r="D86" s="127"/>
      <c r="E86" s="127"/>
      <c r="F86" s="127"/>
      <c r="G86" s="9" t="str">
        <f ca="1">OFFSET(所見!C6,0,$B$2)</f>
        <v>A</v>
      </c>
      <c r="H86" s="68"/>
      <c r="I86" s="109"/>
      <c r="J86" s="97" t="s">
        <v>18</v>
      </c>
      <c r="K86" s="97"/>
      <c r="L86" s="98"/>
      <c r="M86" s="98"/>
      <c r="N86" s="9">
        <f ca="1">OFFSET(出欠!C6,0,$B$2)</f>
        <v>3</v>
      </c>
      <c r="Q86" s="18"/>
      <c r="R86" s="18"/>
      <c r="S86" s="18"/>
    </row>
    <row r="87" spans="1:19" ht="18" customHeight="1">
      <c r="A87" s="136"/>
      <c r="B87" s="128" t="str">
        <f>所見!B7</f>
        <v>公正・公平（規則，マナー，平等など）</v>
      </c>
      <c r="C87" s="129"/>
      <c r="D87" s="129"/>
      <c r="E87" s="129"/>
      <c r="F87" s="129"/>
      <c r="G87" s="69" t="str">
        <f ca="1">OFFSET(所見!C7,0,$B$2)</f>
        <v>B</v>
      </c>
      <c r="H87" s="67"/>
      <c r="I87" s="109"/>
      <c r="J87" s="97" t="s">
        <v>12</v>
      </c>
      <c r="K87" s="97"/>
      <c r="L87" s="98"/>
      <c r="M87" s="98"/>
      <c r="N87" s="9">
        <f ca="1">OFFSET(出欠!C7,0,$B$2)</f>
        <v>2</v>
      </c>
      <c r="Q87" s="18"/>
      <c r="R87" s="18"/>
      <c r="S87" s="17"/>
    </row>
    <row r="88" spans="1:19" ht="18" customHeight="1">
      <c r="F88" s="70"/>
      <c r="G88" s="70"/>
      <c r="H88" s="67"/>
      <c r="I88" s="109"/>
      <c r="J88" s="97" t="s">
        <v>13</v>
      </c>
      <c r="K88" s="97"/>
      <c r="L88" s="98"/>
      <c r="M88" s="98"/>
      <c r="N88" s="9">
        <f ca="1">OFFSET(出欠!C8,0,$B$2)</f>
        <v>0</v>
      </c>
      <c r="Q88" s="17"/>
      <c r="R88" s="17"/>
      <c r="S88" s="17"/>
    </row>
    <row r="89" spans="1:19" ht="18" customHeight="1">
      <c r="A89" s="99" t="s">
        <v>38</v>
      </c>
      <c r="B89" s="102" t="str">
        <f ca="1">INDIRECT("'所見'!B"&amp;34+$B$2)</f>
        <v>進路ガイダンス、職業調べ、STEAM学習（弘法山清掃活動、、さいきょう祭ミュージカル準備）、宿泊研修事前・事後学習（乗鞍キャンプ）</v>
      </c>
      <c r="C89" s="103"/>
      <c r="E89" s="108" t="s">
        <v>39</v>
      </c>
      <c r="F89" s="111" t="str">
        <f ca="1">INDIRECT("'所見'!B"&amp;8+$B$2)</f>
        <v>社会係、園芸委員会</v>
      </c>
      <c r="G89" s="112"/>
      <c r="H89" s="67"/>
      <c r="I89" s="109"/>
      <c r="J89" s="117" t="s">
        <v>40</v>
      </c>
      <c r="K89" s="120" t="str">
        <f ca="1">"備考： "&amp;INDIRECT("'出欠'!B"&amp;9+$B$2)</f>
        <v>備考： 欠席３（腹痛３）、遅刻２（腹痛２）</v>
      </c>
      <c r="L89" s="120"/>
      <c r="M89" s="120"/>
      <c r="N89" s="121"/>
      <c r="Q89" s="17"/>
      <c r="R89" s="17"/>
    </row>
    <row r="90" spans="1:19" ht="18" customHeight="1">
      <c r="A90" s="100"/>
      <c r="B90" s="104"/>
      <c r="C90" s="105"/>
      <c r="E90" s="109"/>
      <c r="F90" s="113"/>
      <c r="G90" s="114"/>
      <c r="H90" s="71"/>
      <c r="I90" s="109"/>
      <c r="J90" s="118"/>
      <c r="K90" s="122"/>
      <c r="L90" s="122"/>
      <c r="M90" s="122"/>
      <c r="N90" s="123"/>
    </row>
    <row r="91" spans="1:19" ht="18" customHeight="1">
      <c r="A91" s="100"/>
      <c r="B91" s="104"/>
      <c r="C91" s="105"/>
      <c r="E91" s="109"/>
      <c r="F91" s="113"/>
      <c r="G91" s="114"/>
      <c r="H91" s="67"/>
      <c r="I91" s="109"/>
      <c r="J91" s="118"/>
      <c r="K91" s="122"/>
      <c r="L91" s="122"/>
      <c r="M91" s="122"/>
      <c r="N91" s="123"/>
    </row>
    <row r="92" spans="1:19" ht="18" customHeight="1">
      <c r="A92" s="100"/>
      <c r="B92" s="104"/>
      <c r="C92" s="105"/>
      <c r="E92" s="109"/>
      <c r="F92" s="113"/>
      <c r="G92" s="114"/>
      <c r="H92" s="67"/>
      <c r="I92" s="109"/>
      <c r="J92" s="118"/>
      <c r="K92" s="122"/>
      <c r="L92" s="122"/>
      <c r="M92" s="122"/>
      <c r="N92" s="123"/>
    </row>
    <row r="93" spans="1:19" ht="18" customHeight="1">
      <c r="A93" s="101"/>
      <c r="B93" s="106"/>
      <c r="C93" s="107"/>
      <c r="E93" s="110"/>
      <c r="F93" s="115"/>
      <c r="G93" s="116"/>
      <c r="H93" s="72"/>
      <c r="I93" s="110"/>
      <c r="J93" s="119"/>
      <c r="K93" s="124"/>
      <c r="L93" s="124"/>
      <c r="M93" s="124"/>
      <c r="N93" s="125"/>
    </row>
    <row r="94" spans="1:19" ht="15" customHeight="1">
      <c r="H94" s="10"/>
    </row>
    <row r="95" spans="1:19" ht="187.5" customHeight="1">
      <c r="A95" s="64" t="s">
        <v>8</v>
      </c>
      <c r="B95" s="92" t="str">
        <f ca="1">INDIRECT("'所見'!B"&amp;$V$5+$B$2)</f>
        <v>学習面では授業態度も真面目で、提出物もしっかりと出すことができています。試験の点数を上げていく上では、まず知識を定着させることを心がけていきましょう。そのためにも計画をしっかりと立て、段取りを良くし、効率的な学習方法を考えていくことを意識していきましょう。1日どのくらい勉強するか、具体的な数字を設定することも大切です。生活面では友人関係も良好で、男女の分け隔てなく多くの仲間と会話ができています。クラスの空気が緩んでいる際は、全体に注意を呼び掛けるなど、担任として頼りにする場面もありました。笑顔を絶やさないはつらつとした姿は、クラスの雰囲気を明るくしてくれています。本人も振り返っていましたが、言葉遣いの乱れが少々あったので、その場に適切な言葉運びをするよう気を付けましょう。規則正しい生活も心がけていきましょう。習い事も日々の練習に励み、熱心に、積極的に取り組んでいた様子が見受けられます。学習面との両立ができるよう頑張りましょう。１学期よく頑張りましたね。２学期も果菜さんらしさを忘れず、いろんなことにチャレンジしていきましょう。</v>
      </c>
      <c r="C95" s="93"/>
      <c r="D95" s="93"/>
      <c r="E95" s="93"/>
      <c r="F95" s="93"/>
      <c r="G95" s="93"/>
      <c r="H95" s="93"/>
      <c r="I95" s="93"/>
      <c r="J95" s="93"/>
      <c r="K95" s="93"/>
      <c r="L95" s="93"/>
      <c r="M95" s="93"/>
      <c r="N95" s="94"/>
    </row>
  </sheetData>
  <mergeCells count="121">
    <mergeCell ref="A1:B1"/>
    <mergeCell ref="C1:L1"/>
    <mergeCell ref="L2:N2"/>
    <mergeCell ref="A4:N4"/>
    <mergeCell ref="B5:K5"/>
    <mergeCell ref="M5:N5"/>
    <mergeCell ref="A6:A13"/>
    <mergeCell ref="B6:K6"/>
    <mergeCell ref="M6:N13"/>
    <mergeCell ref="B7:K7"/>
    <mergeCell ref="B8:K8"/>
    <mergeCell ref="B9:K9"/>
    <mergeCell ref="B10:K10"/>
    <mergeCell ref="B11:K11"/>
    <mergeCell ref="B12:K12"/>
    <mergeCell ref="B13:K13"/>
    <mergeCell ref="A14:A21"/>
    <mergeCell ref="B14:K14"/>
    <mergeCell ref="M14:N21"/>
    <mergeCell ref="B15:K15"/>
    <mergeCell ref="B16:K16"/>
    <mergeCell ref="B17:K17"/>
    <mergeCell ref="B18:K18"/>
    <mergeCell ref="B19:K19"/>
    <mergeCell ref="B20:K20"/>
    <mergeCell ref="B21:K21"/>
    <mergeCell ref="A22:A29"/>
    <mergeCell ref="B22:K22"/>
    <mergeCell ref="M22:N29"/>
    <mergeCell ref="B23:K23"/>
    <mergeCell ref="B24:K24"/>
    <mergeCell ref="B25:K25"/>
    <mergeCell ref="B26:K26"/>
    <mergeCell ref="B27:K27"/>
    <mergeCell ref="B28:K28"/>
    <mergeCell ref="B29:K29"/>
    <mergeCell ref="A30:A37"/>
    <mergeCell ref="B30:K30"/>
    <mergeCell ref="M30:N37"/>
    <mergeCell ref="B31:K31"/>
    <mergeCell ref="B32:K32"/>
    <mergeCell ref="B33:K33"/>
    <mergeCell ref="B34:K34"/>
    <mergeCell ref="B35:K35"/>
    <mergeCell ref="B36:K36"/>
    <mergeCell ref="B37:K37"/>
    <mergeCell ref="A38:A45"/>
    <mergeCell ref="B38:K38"/>
    <mergeCell ref="M38:N45"/>
    <mergeCell ref="B39:K39"/>
    <mergeCell ref="B40:K40"/>
    <mergeCell ref="B41:K41"/>
    <mergeCell ref="B42:K42"/>
    <mergeCell ref="B43:K43"/>
    <mergeCell ref="B44:K44"/>
    <mergeCell ref="B45:K45"/>
    <mergeCell ref="A46:A53"/>
    <mergeCell ref="B46:K46"/>
    <mergeCell ref="M46:N53"/>
    <mergeCell ref="B47:K47"/>
    <mergeCell ref="B48:K48"/>
    <mergeCell ref="B49:K49"/>
    <mergeCell ref="B50:K50"/>
    <mergeCell ref="B51:K51"/>
    <mergeCell ref="B52:K52"/>
    <mergeCell ref="B53:K53"/>
    <mergeCell ref="A56:A63"/>
    <mergeCell ref="B56:K56"/>
    <mergeCell ref="M56:N63"/>
    <mergeCell ref="B57:K57"/>
    <mergeCell ref="B58:K58"/>
    <mergeCell ref="B59:K59"/>
    <mergeCell ref="B60:K60"/>
    <mergeCell ref="B61:K61"/>
    <mergeCell ref="B62:K62"/>
    <mergeCell ref="B63:K63"/>
    <mergeCell ref="A64:A71"/>
    <mergeCell ref="B64:K64"/>
    <mergeCell ref="M64:N71"/>
    <mergeCell ref="B65:K65"/>
    <mergeCell ref="B66:K66"/>
    <mergeCell ref="B67:K67"/>
    <mergeCell ref="B68:K68"/>
    <mergeCell ref="B69:K69"/>
    <mergeCell ref="B70:K70"/>
    <mergeCell ref="B71:K71"/>
    <mergeCell ref="J84:M84"/>
    <mergeCell ref="A72:A79"/>
    <mergeCell ref="B72:K72"/>
    <mergeCell ref="M72:N79"/>
    <mergeCell ref="B73:K73"/>
    <mergeCell ref="B74:K74"/>
    <mergeCell ref="B75:K75"/>
    <mergeCell ref="B76:K76"/>
    <mergeCell ref="B77:K77"/>
    <mergeCell ref="B78:K78"/>
    <mergeCell ref="B79:K79"/>
    <mergeCell ref="B95:N95"/>
    <mergeCell ref="P7:Q7"/>
    <mergeCell ref="J88:M88"/>
    <mergeCell ref="A89:A93"/>
    <mergeCell ref="B89:C93"/>
    <mergeCell ref="E89:E93"/>
    <mergeCell ref="F89:G93"/>
    <mergeCell ref="J89:J93"/>
    <mergeCell ref="K89:N93"/>
    <mergeCell ref="B85:F85"/>
    <mergeCell ref="J85:M85"/>
    <mergeCell ref="B86:F86"/>
    <mergeCell ref="J86:M86"/>
    <mergeCell ref="B87:F87"/>
    <mergeCell ref="J87:M87"/>
    <mergeCell ref="B80:N80"/>
    <mergeCell ref="F81:G81"/>
    <mergeCell ref="A82:A87"/>
    <mergeCell ref="B82:F82"/>
    <mergeCell ref="I82:I93"/>
    <mergeCell ref="J82:M82"/>
    <mergeCell ref="B83:F83"/>
    <mergeCell ref="J83:M83"/>
    <mergeCell ref="B84:F84"/>
  </mergeCells>
  <phoneticPr fontId="1"/>
  <conditionalFormatting sqref="K89 L6:L79 B6:B53 F89 B56:B80 G82:G87 H93 B82 B95 C54:K55 B89">
    <cfRule type="cellIs" dxfId="25" priority="5" stopIfTrue="1" operator="equal">
      <formula>0</formula>
    </cfRule>
  </conditionalFormatting>
  <conditionalFormatting sqref="B83:B87">
    <cfRule type="cellIs" dxfId="24" priority="4" stopIfTrue="1" operator="equal">
      <formula>0</formula>
    </cfRule>
  </conditionalFormatting>
  <conditionalFormatting sqref="Q87:R89 S77:S88">
    <cfRule type="cellIs" dxfId="23" priority="3" stopIfTrue="1" operator="equal">
      <formula>0</formula>
    </cfRule>
  </conditionalFormatting>
  <conditionalFormatting sqref="Q79:R86 R78">
    <cfRule type="cellIs" dxfId="22" priority="2" stopIfTrue="1" operator="equal">
      <formula>0</formula>
    </cfRule>
  </conditionalFormatting>
  <conditionalFormatting sqref="Q17:R20">
    <cfRule type="cellIs" dxfId="21" priority="1" stopIfTrue="1" operator="equal">
      <formula>0</formula>
    </cfRule>
  </conditionalFormatting>
  <printOptions horizontalCentered="1"/>
  <pageMargins left="0.59055118110236227" right="0.19685039370078741" top="0.39370078740157483" bottom="0.39370078740157483" header="0.35433070866141736" footer="0.19685039370078741"/>
  <pageSetup paperSize="13" scale="73" fitToHeight="2" orientation="portrait" horizontalDpi="300" verticalDpi="300" r:id="rId1"/>
  <headerFooter alignWithMargins="0"/>
  <rowBreaks count="1" manualBreakCount="1">
    <brk id="54" max="13" man="1"/>
  </rowBreaks>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元データ取込">
                <anchor moveWithCells="1" sizeWithCells="1">
                  <from>
                    <xdr:col>14</xdr:col>
                    <xdr:colOff>571500</xdr:colOff>
                    <xdr:row>4</xdr:row>
                    <xdr:rowOff>28575</xdr:rowOff>
                  </from>
                  <to>
                    <xdr:col>17</xdr:col>
                    <xdr:colOff>123825</xdr:colOff>
                    <xdr:row>5</xdr:row>
                    <xdr:rowOff>95250</xdr:rowOff>
                  </to>
                </anchor>
              </controlPr>
            </control>
          </mc:Choice>
        </mc:AlternateContent>
        <mc:AlternateContent xmlns:mc="http://schemas.openxmlformats.org/markup-compatibility/2006">
          <mc:Choice Requires="x14">
            <control shapeId="15362" r:id="rId5" name="Button 2">
              <controlPr defaultSize="0" print="0" autoFill="0" autoPict="0" macro="[0]!通知票印刷">
                <anchor moveWithCells="1" sizeWithCells="1">
                  <from>
                    <xdr:col>14</xdr:col>
                    <xdr:colOff>571500</xdr:colOff>
                    <xdr:row>10</xdr:row>
                    <xdr:rowOff>76200</xdr:rowOff>
                  </from>
                  <to>
                    <xdr:col>17</xdr:col>
                    <xdr:colOff>161925</xdr:colOff>
                    <xdr:row>11</xdr:row>
                    <xdr:rowOff>152400</xdr:rowOff>
                  </to>
                </anchor>
              </controlPr>
            </control>
          </mc:Choice>
        </mc:AlternateContent>
        <mc:AlternateContent xmlns:mc="http://schemas.openxmlformats.org/markup-compatibility/2006">
          <mc:Choice Requires="x14">
            <control shapeId="15363" r:id="rId6" name="Button 3">
              <controlPr defaultSize="0" print="0" autoFill="0" autoPict="0" macro="[0]!所見集印刷">
                <anchor moveWithCells="1" sizeWithCells="1">
                  <from>
                    <xdr:col>14</xdr:col>
                    <xdr:colOff>571500</xdr:colOff>
                    <xdr:row>12</xdr:row>
                    <xdr:rowOff>47625</xdr:rowOff>
                  </from>
                  <to>
                    <xdr:col>17</xdr:col>
                    <xdr:colOff>161925</xdr:colOff>
                    <xdr:row>13</xdr:row>
                    <xdr:rowOff>123825</xdr:rowOff>
                  </to>
                </anchor>
              </controlPr>
            </control>
          </mc:Choice>
        </mc:AlternateContent>
        <mc:AlternateContent xmlns:mc="http://schemas.openxmlformats.org/markup-compatibility/2006">
          <mc:Choice Requires="x14">
            <control shapeId="15364" r:id="rId7" name="Button 4">
              <controlPr defaultSize="0" print="0" autoFill="0" autoPict="0" macro="[0]!前">
                <anchor moveWithCells="1" sizeWithCells="1">
                  <from>
                    <xdr:col>15</xdr:col>
                    <xdr:colOff>66675</xdr:colOff>
                    <xdr:row>83</xdr:row>
                    <xdr:rowOff>200025</xdr:rowOff>
                  </from>
                  <to>
                    <xdr:col>16</xdr:col>
                    <xdr:colOff>9525</xdr:colOff>
                    <xdr:row>85</xdr:row>
                    <xdr:rowOff>19050</xdr:rowOff>
                  </to>
                </anchor>
              </controlPr>
            </control>
          </mc:Choice>
        </mc:AlternateContent>
        <mc:AlternateContent xmlns:mc="http://schemas.openxmlformats.org/markup-compatibility/2006">
          <mc:Choice Requires="x14">
            <control shapeId="15365" r:id="rId8" name="Button 5">
              <controlPr defaultSize="0" print="0" autoFill="0" autoPict="0" macro="[0]!先">
                <anchor moveWithCells="1" sizeWithCells="1">
                  <from>
                    <xdr:col>17</xdr:col>
                    <xdr:colOff>133350</xdr:colOff>
                    <xdr:row>83</xdr:row>
                    <xdr:rowOff>200025</xdr:rowOff>
                  </from>
                  <to>
                    <xdr:col>17</xdr:col>
                    <xdr:colOff>438150</xdr:colOff>
                    <xdr:row>85</xdr:row>
                    <xdr:rowOff>19050</xdr:rowOff>
                  </to>
                </anchor>
              </controlPr>
            </control>
          </mc:Choice>
        </mc:AlternateContent>
        <mc:AlternateContent xmlns:mc="http://schemas.openxmlformats.org/markup-compatibility/2006">
          <mc:Choice Requires="x14">
            <control shapeId="15366" r:id="rId9" name="Button 6">
              <controlPr defaultSize="0" print="0" autoFill="0" autoPict="0" macro="[0]!前">
                <anchor moveWithCells="1" sizeWithCells="1">
                  <from>
                    <xdr:col>15</xdr:col>
                    <xdr:colOff>66675</xdr:colOff>
                    <xdr:row>17</xdr:row>
                    <xdr:rowOff>200025</xdr:rowOff>
                  </from>
                  <to>
                    <xdr:col>16</xdr:col>
                    <xdr:colOff>9525</xdr:colOff>
                    <xdr:row>19</xdr:row>
                    <xdr:rowOff>19050</xdr:rowOff>
                  </to>
                </anchor>
              </controlPr>
            </control>
          </mc:Choice>
        </mc:AlternateContent>
        <mc:AlternateContent xmlns:mc="http://schemas.openxmlformats.org/markup-compatibility/2006">
          <mc:Choice Requires="x14">
            <control shapeId="15367" r:id="rId10" name="Button 7">
              <controlPr defaultSize="0" print="0" autoFill="0" autoPict="0" macro="[0]!先">
                <anchor moveWithCells="1" sizeWithCells="1">
                  <from>
                    <xdr:col>17</xdr:col>
                    <xdr:colOff>133350</xdr:colOff>
                    <xdr:row>17</xdr:row>
                    <xdr:rowOff>200025</xdr:rowOff>
                  </from>
                  <to>
                    <xdr:col>17</xdr:col>
                    <xdr:colOff>438150</xdr:colOff>
                    <xdr:row>19</xdr:row>
                    <xdr:rowOff>19050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1"/>
    <pageSetUpPr fitToPage="1"/>
  </sheetPr>
  <dimension ref="A1:C16"/>
  <sheetViews>
    <sheetView view="pageBreakPreview" zoomScaleNormal="70" zoomScaleSheetLayoutView="100" workbookViewId="0">
      <selection activeCell="C7" sqref="C7"/>
    </sheetView>
  </sheetViews>
  <sheetFormatPr defaultRowHeight="13.5"/>
  <cols>
    <col min="1" max="2" width="4.25" style="4" customWidth="1"/>
    <col min="3" max="3" width="95" style="4" customWidth="1"/>
    <col min="4" max="16384" width="9" style="4"/>
  </cols>
  <sheetData>
    <row r="1" spans="1:3" ht="18.75" customHeight="1">
      <c r="A1" s="156" t="str">
        <f ca="1">通知票!A1</f>
        <v>８－２</v>
      </c>
      <c r="B1" s="156"/>
      <c r="C1" s="43" t="str">
        <f ca="1">通知票!C1</f>
        <v>1学期</v>
      </c>
    </row>
    <row r="2" spans="1:3" ht="18.75" customHeight="1">
      <c r="A2" s="44" t="s">
        <v>25</v>
      </c>
      <c r="B2" s="43">
        <v>17</v>
      </c>
      <c r="C2" s="55">
        <f ca="1">INDIRECT("'所見'!A"&amp;8+$B$2)</f>
        <v>0</v>
      </c>
    </row>
    <row r="3" spans="1:3" ht="12" customHeight="1">
      <c r="C3" s="5"/>
    </row>
    <row r="4" spans="1:3" ht="18.75" customHeight="1">
      <c r="A4" s="45" t="s">
        <v>1</v>
      </c>
      <c r="B4" s="46" t="s">
        <v>3</v>
      </c>
      <c r="C4" s="15" t="s">
        <v>26</v>
      </c>
    </row>
    <row r="5" spans="1:3" ht="67.5" customHeight="1">
      <c r="A5" s="47" t="s">
        <v>5</v>
      </c>
      <c r="B5" s="48">
        <f ca="1">OFFSET(国語!C12,0,$B$2)</f>
        <v>0</v>
      </c>
      <c r="C5" s="49">
        <f ca="1">INDIRECT("'国語'!B"&amp;12+$B$2)</f>
        <v>0</v>
      </c>
    </row>
    <row r="6" spans="1:3" ht="67.5" customHeight="1">
      <c r="A6" s="50" t="s">
        <v>45</v>
      </c>
      <c r="B6" s="51">
        <f ca="1">OFFSET(数学!C12,0,$B$2)</f>
        <v>0</v>
      </c>
      <c r="C6" s="52" t="str">
        <f ca="1">INDIRECT("'数学'!B"&amp;12+$B$2)</f>
        <v>宿題提出率７６％、授業用ノート評価A、発言ポイント１０（No.1）。積極的に授業を受けられています。ミスもどうにかしようとする努力もできています。まずは提出１００％を意識しましょう。</v>
      </c>
    </row>
    <row r="7" spans="1:3" ht="67.5" customHeight="1">
      <c r="A7" s="47" t="s">
        <v>29</v>
      </c>
      <c r="B7" s="48">
        <f ca="1">OFFSET(理科!C12,0,$B$2)</f>
        <v>0</v>
      </c>
      <c r="C7" s="49" t="str">
        <f ca="1">INDIRECT("'理科'!B"&amp;12+$B$2)</f>
        <v>・課題等の提出がよくない。実験・観察態度は積極的でよい。</v>
      </c>
    </row>
    <row r="8" spans="1:3" ht="67.5" customHeight="1">
      <c r="A8" s="47" t="s">
        <v>30</v>
      </c>
      <c r="B8" s="48">
        <f ca="1">OFFSET(社会!C12,0,$B$2)</f>
        <v>0</v>
      </c>
      <c r="C8" s="49">
        <f ca="1">INDIRECT("'社会'!B"&amp;12+$B$2)</f>
        <v>0</v>
      </c>
    </row>
    <row r="9" spans="1:3" ht="67.5" customHeight="1">
      <c r="A9" s="50" t="s">
        <v>6</v>
      </c>
      <c r="B9" s="51">
        <f ca="1">OFFSET(英語!C12,0,$B$2)</f>
        <v>0</v>
      </c>
      <c r="C9" s="52" t="str">
        <f ca="1">INDIRECT("'英語'!B"&amp;12+$B$2)</f>
        <v>提出率６５％。提出物がAになるだけでも救われることはあるはずなので、宿題の習慣化ができるとよい。</v>
      </c>
    </row>
    <row r="10" spans="1:3" ht="67.5" customHeight="1">
      <c r="A10" s="47" t="s">
        <v>0</v>
      </c>
      <c r="B10" s="48">
        <f ca="1">OFFSET(音楽!C12,0,$B$2)</f>
        <v>0</v>
      </c>
      <c r="C10" s="49">
        <f ca="1">INDIRECT("'音楽'!B"&amp;12+$B$2)</f>
        <v>0</v>
      </c>
    </row>
    <row r="11" spans="1:3" ht="67.5" customHeight="1">
      <c r="A11" s="50" t="s">
        <v>46</v>
      </c>
      <c r="B11" s="51">
        <f ca="1">OFFSET(美術!C12,0,$B$2)</f>
        <v>0</v>
      </c>
      <c r="C11" s="52">
        <f ca="1">INDIRECT("'美術'!B"&amp;12+$B$2)</f>
        <v>0</v>
      </c>
    </row>
    <row r="12" spans="1:3" ht="67.5" customHeight="1">
      <c r="A12" s="47" t="s">
        <v>48</v>
      </c>
      <c r="B12" s="48">
        <f ca="1">OFFSET(保体!C12,0,$B$2)</f>
        <v>0</v>
      </c>
      <c r="C12" s="49">
        <f ca="1">INDIRECT("'保体'!B"&amp;12+$B$2)</f>
        <v>0</v>
      </c>
    </row>
    <row r="13" spans="1:3" ht="67.5" customHeight="1">
      <c r="A13" s="47" t="s">
        <v>47</v>
      </c>
      <c r="B13" s="48">
        <f ca="1">OFFSET(技家!C12,0,$B$2)</f>
        <v>0</v>
      </c>
      <c r="C13" s="49">
        <f ca="1">INDIRECT("'技家'!B"&amp;12+$B$2)</f>
        <v>0</v>
      </c>
    </row>
    <row r="14" spans="1:3" ht="67.5" customHeight="1">
      <c r="A14" s="47" t="s">
        <v>19</v>
      </c>
      <c r="B14" s="166">
        <f ca="1">INDIRECT("'道徳'!B"&amp;2+$B$2)</f>
        <v>0</v>
      </c>
      <c r="C14" s="167"/>
    </row>
    <row r="15" spans="1:3" ht="15" customHeight="1">
      <c r="C15" s="53"/>
    </row>
    <row r="16" spans="1:3" ht="224.25" customHeight="1">
      <c r="A16" s="16" t="s">
        <v>8</v>
      </c>
      <c r="B16" s="54"/>
      <c r="C16" s="49">
        <f ca="1">INDIRECT("'所見'!B"&amp;通知票!$V$5+$B$2)</f>
        <v>0</v>
      </c>
    </row>
  </sheetData>
  <mergeCells count="2">
    <mergeCell ref="A1:B1"/>
    <mergeCell ref="B14:C14"/>
  </mergeCells>
  <phoneticPr fontId="1"/>
  <conditionalFormatting sqref="C16 C5:C7 C9:C12">
    <cfRule type="cellIs" dxfId="20" priority="3" stopIfTrue="1" operator="equal">
      <formula>0</formula>
    </cfRule>
  </conditionalFormatting>
  <conditionalFormatting sqref="C8">
    <cfRule type="cellIs" dxfId="19" priority="2" stopIfTrue="1" operator="equal">
      <formula>0</formula>
    </cfRule>
  </conditionalFormatting>
  <conditionalFormatting sqref="C13">
    <cfRule type="cellIs" dxfId="18" priority="1" stopIfTrue="1" operator="equal">
      <formula>0</formula>
    </cfRule>
  </conditionalFormatting>
  <printOptions horizontalCentered="1"/>
  <pageMargins left="0.59055118110236227" right="0.39370078740157483" top="0.39370078740157483" bottom="0.39370078740157483" header="0.35433070866141736" footer="0.19685039370078741"/>
  <pageSetup paperSize="9" scale="86" orientation="portrait" horizontalDpi="4294967293" verticalDpi="300"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1"/>
  </sheetPr>
  <dimension ref="A1:AD193"/>
  <sheetViews>
    <sheetView workbookViewId="0">
      <selection sqref="A1:XFD1048576"/>
    </sheetView>
  </sheetViews>
  <sheetFormatPr defaultRowHeight="13.5"/>
  <cols>
    <col min="1" max="1" width="13.5" style="4" customWidth="1"/>
    <col min="2" max="2" width="79.125" style="4" customWidth="1"/>
    <col min="3" max="3" width="9.375" style="4" customWidth="1"/>
    <col min="4" max="28" width="4.125" style="4" customWidth="1"/>
    <col min="29" max="16384" width="9" style="4"/>
  </cols>
  <sheetData>
    <row r="1" spans="1:30" ht="85.5" customHeight="1">
      <c r="A1" s="21" t="str">
        <f ca="1">MID(CELL("filename",A1),FIND("[",CELL("filename",A1))+1,3)</f>
        <v>８－２</v>
      </c>
      <c r="B1" s="22" t="str">
        <f ca="1">RIGHT(CELL("filename",B1),LEN(CELL("filename",B1))-FIND("]",CELL("filename",B1)))</f>
        <v>国語</v>
      </c>
      <c r="C1" s="23" t="s">
        <v>60</v>
      </c>
      <c r="D1" s="24" t="str">
        <f>A15</f>
        <v>岡田 明日香</v>
      </c>
      <c r="E1" s="24" t="str">
        <f>A16</f>
        <v>荻原 知香</v>
      </c>
      <c r="F1" s="24" t="str">
        <f>A17</f>
        <v>片桐 葵</v>
      </c>
      <c r="G1" s="24" t="str">
        <f>A18</f>
        <v>上島 碧依</v>
      </c>
      <c r="H1" s="24" t="str">
        <f>A19</f>
        <v>藏井 陽菜乃</v>
      </c>
      <c r="I1" s="24" t="str">
        <f>A20</f>
        <v>小松 雅治</v>
      </c>
      <c r="J1" s="24" t="str">
        <f>A21</f>
        <v>須藤 爽斗</v>
      </c>
      <c r="K1" s="24" t="str">
        <f>A22</f>
        <v>滝 陽香</v>
      </c>
      <c r="L1" s="24" t="str">
        <f>A23</f>
        <v>永江 仁</v>
      </c>
      <c r="M1" s="24" t="str">
        <f>A24</f>
        <v>林 果菜</v>
      </c>
      <c r="N1" s="24" t="str">
        <f>A25</f>
        <v>原 維香</v>
      </c>
      <c r="O1" s="24" t="str">
        <f>A26</f>
        <v>丸山 心音</v>
      </c>
      <c r="P1" s="24" t="str">
        <f>A27</f>
        <v>森本 浩士</v>
      </c>
      <c r="Q1" s="24" t="str">
        <f>A28</f>
        <v>栁沢 美緒</v>
      </c>
      <c r="R1" s="24" t="str">
        <f>A29</f>
        <v>横山 麟太</v>
      </c>
      <c r="S1" s="24" t="str">
        <f>A30</f>
        <v>渡邊 了介</v>
      </c>
      <c r="T1" s="24">
        <f>A31</f>
        <v>0</v>
      </c>
      <c r="U1" s="24">
        <f>A32</f>
        <v>0</v>
      </c>
      <c r="V1" s="24">
        <f>A33</f>
        <v>0</v>
      </c>
      <c r="W1" s="24">
        <f>A34</f>
        <v>0</v>
      </c>
      <c r="X1" s="24">
        <f>A35</f>
        <v>0</v>
      </c>
      <c r="Y1" s="24">
        <f>A36</f>
        <v>0</v>
      </c>
      <c r="Z1" s="24">
        <f>A37</f>
        <v>0</v>
      </c>
      <c r="AA1" s="24">
        <f>A38</f>
        <v>0</v>
      </c>
      <c r="AB1" s="24">
        <f>A39</f>
        <v>0</v>
      </c>
      <c r="AC1" s="25"/>
    </row>
    <row r="2" spans="1:30" ht="22.5" customHeight="1">
      <c r="A2" s="168" t="s">
        <v>197</v>
      </c>
      <c r="B2" s="58" t="s">
        <v>58</v>
      </c>
      <c r="C2" s="26" t="s">
        <v>61</v>
      </c>
      <c r="D2" s="79" t="s">
        <v>198</v>
      </c>
      <c r="E2" s="79" t="s">
        <v>199</v>
      </c>
      <c r="F2" s="79" t="s">
        <v>198</v>
      </c>
      <c r="G2" s="79" t="s">
        <v>200</v>
      </c>
      <c r="H2" s="79" t="s">
        <v>198</v>
      </c>
      <c r="I2" s="79" t="s">
        <v>200</v>
      </c>
      <c r="J2" s="79" t="s">
        <v>198</v>
      </c>
      <c r="K2" s="79" t="s">
        <v>198</v>
      </c>
      <c r="L2" s="79" t="s">
        <v>200</v>
      </c>
      <c r="M2" s="79" t="s">
        <v>201</v>
      </c>
      <c r="N2" s="79" t="s">
        <v>202</v>
      </c>
      <c r="O2" s="79" t="s">
        <v>198</v>
      </c>
      <c r="P2" s="79" t="s">
        <v>198</v>
      </c>
      <c r="Q2" s="79" t="s">
        <v>198</v>
      </c>
      <c r="R2" s="79" t="s">
        <v>202</v>
      </c>
      <c r="S2" s="79" t="s">
        <v>202</v>
      </c>
      <c r="T2" s="27"/>
      <c r="U2" s="27"/>
      <c r="V2" s="27"/>
      <c r="W2" s="27"/>
      <c r="X2" s="27"/>
      <c r="Y2" s="27"/>
      <c r="Z2" s="27"/>
      <c r="AA2" s="27"/>
      <c r="AB2" s="27"/>
      <c r="AC2" s="28" t="s">
        <v>198</v>
      </c>
      <c r="AD2" s="28">
        <v>1</v>
      </c>
    </row>
    <row r="3" spans="1:30" ht="22.5" customHeight="1">
      <c r="A3" s="169"/>
      <c r="B3" s="58" t="s">
        <v>59</v>
      </c>
      <c r="C3" s="26" t="s">
        <v>61</v>
      </c>
      <c r="D3" s="79" t="s">
        <v>202</v>
      </c>
      <c r="E3" s="79" t="s">
        <v>200</v>
      </c>
      <c r="F3" s="79" t="s">
        <v>202</v>
      </c>
      <c r="G3" s="79" t="s">
        <v>199</v>
      </c>
      <c r="H3" s="79" t="s">
        <v>199</v>
      </c>
      <c r="I3" s="79" t="s">
        <v>199</v>
      </c>
      <c r="J3" s="79" t="s">
        <v>199</v>
      </c>
      <c r="K3" s="79" t="s">
        <v>198</v>
      </c>
      <c r="L3" s="79" t="s">
        <v>199</v>
      </c>
      <c r="M3" s="79" t="s">
        <v>203</v>
      </c>
      <c r="N3" s="79" t="s">
        <v>202</v>
      </c>
      <c r="O3" s="79" t="s">
        <v>202</v>
      </c>
      <c r="P3" s="79" t="s">
        <v>199</v>
      </c>
      <c r="Q3" s="79" t="s">
        <v>198</v>
      </c>
      <c r="R3" s="79" t="s">
        <v>200</v>
      </c>
      <c r="S3" s="79" t="s">
        <v>202</v>
      </c>
      <c r="T3" s="27"/>
      <c r="U3" s="27"/>
      <c r="V3" s="27"/>
      <c r="W3" s="27"/>
      <c r="X3" s="27"/>
      <c r="Y3" s="27"/>
      <c r="Z3" s="27"/>
      <c r="AA3" s="27"/>
      <c r="AB3" s="27"/>
      <c r="AC3" s="28" t="s">
        <v>200</v>
      </c>
      <c r="AD3" s="28">
        <v>2</v>
      </c>
    </row>
    <row r="4" spans="1:30" ht="22.5" customHeight="1">
      <c r="A4" s="169"/>
      <c r="B4" s="58" t="s">
        <v>204</v>
      </c>
      <c r="C4" s="26" t="s">
        <v>61</v>
      </c>
      <c r="D4" s="79" t="s">
        <v>199</v>
      </c>
      <c r="E4" s="79" t="s">
        <v>199</v>
      </c>
      <c r="F4" s="79" t="s">
        <v>199</v>
      </c>
      <c r="G4" s="79" t="s">
        <v>199</v>
      </c>
      <c r="H4" s="79" t="s">
        <v>198</v>
      </c>
      <c r="I4" s="79" t="s">
        <v>199</v>
      </c>
      <c r="J4" s="79" t="s">
        <v>198</v>
      </c>
      <c r="K4" s="79" t="s">
        <v>202</v>
      </c>
      <c r="L4" s="79" t="s">
        <v>201</v>
      </c>
      <c r="M4" s="79" t="s">
        <v>199</v>
      </c>
      <c r="N4" s="79" t="s">
        <v>201</v>
      </c>
      <c r="O4" s="79" t="s">
        <v>199</v>
      </c>
      <c r="P4" s="79" t="s">
        <v>198</v>
      </c>
      <c r="Q4" s="79" t="s">
        <v>199</v>
      </c>
      <c r="R4" s="79" t="s">
        <v>199</v>
      </c>
      <c r="S4" s="79" t="s">
        <v>198</v>
      </c>
      <c r="T4" s="27"/>
      <c r="U4" s="27"/>
      <c r="V4" s="27"/>
      <c r="W4" s="27"/>
      <c r="X4" s="27"/>
      <c r="Y4" s="27"/>
      <c r="Z4" s="27"/>
      <c r="AA4" s="27"/>
      <c r="AB4" s="27"/>
      <c r="AC4" s="28" t="s">
        <v>203</v>
      </c>
      <c r="AD4" s="28">
        <v>3</v>
      </c>
    </row>
    <row r="5" spans="1:30" ht="22.5" customHeight="1">
      <c r="A5" s="169"/>
      <c r="B5" s="78"/>
      <c r="C5" s="26" t="s">
        <v>61</v>
      </c>
      <c r="D5" s="27"/>
      <c r="E5" s="27"/>
      <c r="F5" s="27"/>
      <c r="G5" s="27"/>
      <c r="H5" s="27"/>
      <c r="I5" s="27"/>
      <c r="J5" s="27"/>
      <c r="K5" s="27"/>
      <c r="L5" s="27"/>
      <c r="M5" s="27"/>
      <c r="N5" s="27"/>
      <c r="O5" s="27"/>
      <c r="P5" s="27"/>
      <c r="Q5" s="27"/>
      <c r="R5" s="27"/>
      <c r="S5" s="27"/>
      <c r="T5" s="27"/>
      <c r="U5" s="27"/>
      <c r="V5" s="27"/>
      <c r="W5" s="27"/>
      <c r="X5" s="27"/>
      <c r="Y5" s="27"/>
      <c r="Z5" s="27"/>
      <c r="AA5" s="27"/>
      <c r="AB5" s="27"/>
      <c r="AC5" s="28" t="s">
        <v>205</v>
      </c>
      <c r="AD5" s="28">
        <v>4</v>
      </c>
    </row>
    <row r="6" spans="1:30" ht="22.5" customHeight="1">
      <c r="A6" s="169"/>
      <c r="B6" s="78"/>
      <c r="C6" s="26" t="s">
        <v>61</v>
      </c>
      <c r="D6" s="27"/>
      <c r="E6" s="27"/>
      <c r="F6" s="27"/>
      <c r="G6" s="27"/>
      <c r="H6" s="27"/>
      <c r="I6" s="27"/>
      <c r="J6" s="27"/>
      <c r="K6" s="27"/>
      <c r="L6" s="27"/>
      <c r="M6" s="27"/>
      <c r="N6" s="27"/>
      <c r="O6" s="27"/>
      <c r="P6" s="27"/>
      <c r="Q6" s="27"/>
      <c r="R6" s="27"/>
      <c r="S6" s="27"/>
      <c r="T6" s="27"/>
      <c r="U6" s="27"/>
      <c r="V6" s="27"/>
      <c r="W6" s="27"/>
      <c r="X6" s="27"/>
      <c r="Y6" s="27"/>
      <c r="Z6" s="27"/>
      <c r="AA6" s="27"/>
      <c r="AB6" s="27"/>
      <c r="AC6" s="28"/>
      <c r="AD6" s="28">
        <v>5</v>
      </c>
    </row>
    <row r="7" spans="1:30" ht="22.5" customHeight="1">
      <c r="A7" s="169"/>
      <c r="B7" s="78"/>
      <c r="C7" s="26" t="s">
        <v>61</v>
      </c>
      <c r="D7" s="27"/>
      <c r="E7" s="27"/>
      <c r="F7" s="27"/>
      <c r="G7" s="27"/>
      <c r="H7" s="27"/>
      <c r="I7" s="27"/>
      <c r="J7" s="27"/>
      <c r="K7" s="27"/>
      <c r="L7" s="27"/>
      <c r="M7" s="27"/>
      <c r="N7" s="27"/>
      <c r="O7" s="27"/>
      <c r="P7" s="27"/>
      <c r="Q7" s="27"/>
      <c r="R7" s="27"/>
      <c r="S7" s="27"/>
      <c r="T7" s="27"/>
      <c r="U7" s="27"/>
      <c r="V7" s="27"/>
      <c r="W7" s="27"/>
      <c r="X7" s="27"/>
      <c r="Y7" s="27"/>
      <c r="Z7" s="27"/>
      <c r="AA7" s="27"/>
      <c r="AB7" s="27"/>
      <c r="AC7" s="28"/>
      <c r="AD7" s="28" t="s">
        <v>205</v>
      </c>
    </row>
    <row r="8" spans="1:30" ht="22.5" customHeight="1">
      <c r="A8" s="169"/>
      <c r="B8" s="78"/>
      <c r="C8" s="26" t="s">
        <v>61</v>
      </c>
      <c r="D8" s="27"/>
      <c r="E8" s="27"/>
      <c r="F8" s="27"/>
      <c r="G8" s="27"/>
      <c r="H8" s="27"/>
      <c r="I8" s="27"/>
      <c r="J8" s="27"/>
      <c r="K8" s="27"/>
      <c r="L8" s="27"/>
      <c r="M8" s="27"/>
      <c r="N8" s="27"/>
      <c r="O8" s="27"/>
      <c r="P8" s="27"/>
      <c r="Q8" s="27"/>
      <c r="R8" s="27"/>
      <c r="S8" s="27"/>
      <c r="T8" s="27"/>
      <c r="U8" s="27"/>
      <c r="V8" s="27"/>
      <c r="W8" s="27"/>
      <c r="X8" s="27"/>
      <c r="Y8" s="27"/>
      <c r="Z8" s="27"/>
      <c r="AA8" s="27"/>
      <c r="AB8" s="27"/>
    </row>
    <row r="9" spans="1:30" ht="22.5" customHeight="1">
      <c r="A9" s="169"/>
      <c r="B9" s="78"/>
      <c r="C9" s="26" t="s">
        <v>61</v>
      </c>
      <c r="D9" s="27"/>
      <c r="E9" s="27"/>
      <c r="F9" s="27"/>
      <c r="G9" s="27"/>
      <c r="H9" s="27"/>
      <c r="I9" s="27"/>
      <c r="J9" s="27"/>
      <c r="K9" s="27"/>
      <c r="L9" s="27"/>
      <c r="M9" s="27"/>
      <c r="N9" s="27"/>
      <c r="O9" s="27"/>
      <c r="P9" s="27"/>
      <c r="Q9" s="27"/>
      <c r="R9" s="27"/>
      <c r="S9" s="27"/>
      <c r="T9" s="27"/>
      <c r="U9" s="27"/>
      <c r="V9" s="27"/>
      <c r="W9" s="27"/>
      <c r="X9" s="27"/>
      <c r="Y9" s="27"/>
      <c r="Z9" s="27"/>
      <c r="AA9" s="27"/>
      <c r="AB9" s="27"/>
    </row>
    <row r="10" spans="1:30" ht="22.5" customHeight="1">
      <c r="A10" s="169"/>
      <c r="B10" s="78"/>
      <c r="C10" s="26" t="s">
        <v>61</v>
      </c>
      <c r="D10" s="27"/>
      <c r="E10" s="27"/>
      <c r="F10" s="27"/>
      <c r="G10" s="27"/>
      <c r="H10" s="27"/>
      <c r="I10" s="27"/>
      <c r="J10" s="27"/>
      <c r="K10" s="27"/>
      <c r="L10" s="27"/>
      <c r="M10" s="27"/>
      <c r="N10" s="27"/>
      <c r="O10" s="27"/>
      <c r="P10" s="27"/>
      <c r="Q10" s="27"/>
      <c r="R10" s="27"/>
      <c r="S10" s="27"/>
      <c r="T10" s="27"/>
      <c r="U10" s="27"/>
      <c r="V10" s="27"/>
      <c r="W10" s="27"/>
      <c r="X10" s="27"/>
      <c r="Y10" s="27"/>
      <c r="Z10" s="27"/>
      <c r="AA10" s="27"/>
      <c r="AB10" s="27"/>
    </row>
    <row r="11" spans="1:30" ht="22.5" customHeight="1">
      <c r="A11" s="169"/>
      <c r="B11" s="78"/>
      <c r="C11" s="26" t="s">
        <v>61</v>
      </c>
      <c r="D11" s="27"/>
      <c r="E11" s="27"/>
      <c r="F11" s="27"/>
      <c r="G11" s="27"/>
      <c r="H11" s="27"/>
      <c r="I11" s="27"/>
      <c r="J11" s="27"/>
      <c r="K11" s="27"/>
      <c r="L11" s="27"/>
      <c r="M11" s="27"/>
      <c r="N11" s="27"/>
      <c r="O11" s="27"/>
      <c r="P11" s="27"/>
      <c r="Q11" s="27"/>
      <c r="R11" s="27"/>
      <c r="S11" s="27"/>
      <c r="T11" s="27"/>
      <c r="U11" s="27"/>
      <c r="V11" s="27"/>
      <c r="W11" s="27"/>
      <c r="X11" s="27"/>
      <c r="Y11" s="27"/>
      <c r="Z11" s="27"/>
      <c r="AA11" s="27"/>
      <c r="AB11" s="27"/>
    </row>
    <row r="12" spans="1:30" ht="30" customHeight="1">
      <c r="A12" s="170"/>
      <c r="B12" s="29"/>
      <c r="C12" s="85" t="s">
        <v>62</v>
      </c>
      <c r="D12" s="79">
        <v>4</v>
      </c>
      <c r="E12" s="79">
        <v>4</v>
      </c>
      <c r="F12" s="79">
        <v>4</v>
      </c>
      <c r="G12" s="79">
        <v>4</v>
      </c>
      <c r="H12" s="79">
        <v>5</v>
      </c>
      <c r="I12" s="79">
        <v>4</v>
      </c>
      <c r="J12" s="79">
        <v>5</v>
      </c>
      <c r="K12" s="79">
        <v>4</v>
      </c>
      <c r="L12" s="79">
        <v>3</v>
      </c>
      <c r="M12" s="79">
        <v>3</v>
      </c>
      <c r="N12" s="79">
        <v>3</v>
      </c>
      <c r="O12" s="79">
        <v>4</v>
      </c>
      <c r="P12" s="79">
        <v>5</v>
      </c>
      <c r="Q12" s="79">
        <v>5</v>
      </c>
      <c r="R12" s="79">
        <v>3</v>
      </c>
      <c r="S12" s="79">
        <v>3</v>
      </c>
      <c r="T12" s="27"/>
      <c r="U12" s="27"/>
      <c r="V12" s="27"/>
      <c r="W12" s="27"/>
      <c r="X12" s="27"/>
      <c r="Y12" s="27"/>
      <c r="Z12" s="27"/>
      <c r="AA12" s="27"/>
      <c r="AB12" s="27"/>
    </row>
    <row r="13" spans="1:30" ht="26.25" customHeight="1">
      <c r="A13" s="30"/>
      <c r="B13" s="30"/>
      <c r="C13" s="77" t="s">
        <v>49</v>
      </c>
      <c r="D13" s="27"/>
      <c r="E13" s="27"/>
      <c r="F13" s="27"/>
      <c r="G13" s="27"/>
      <c r="H13" s="27"/>
      <c r="I13" s="27"/>
      <c r="J13" s="27"/>
      <c r="K13" s="27"/>
      <c r="L13" s="27"/>
      <c r="M13" s="27"/>
      <c r="N13" s="27"/>
      <c r="O13" s="27"/>
      <c r="P13" s="27"/>
      <c r="Q13" s="27"/>
      <c r="R13" s="27"/>
      <c r="S13" s="27"/>
      <c r="T13" s="27"/>
      <c r="U13" s="27"/>
      <c r="V13" s="27"/>
      <c r="W13" s="27"/>
      <c r="X13" s="27"/>
      <c r="Y13" s="27"/>
      <c r="Z13" s="27"/>
      <c r="AA13" s="27"/>
      <c r="AB13" s="27"/>
    </row>
    <row r="14" spans="1:30" ht="22.5" customHeight="1">
      <c r="A14" s="31" t="s">
        <v>20</v>
      </c>
      <c r="B14" s="174" t="s">
        <v>63</v>
      </c>
      <c r="C14" s="175"/>
      <c r="D14" s="175"/>
      <c r="E14" s="175"/>
      <c r="F14" s="175"/>
      <c r="G14" s="175"/>
      <c r="H14" s="175"/>
      <c r="I14" s="175"/>
      <c r="J14" s="175"/>
      <c r="K14" s="175"/>
      <c r="L14" s="175"/>
      <c r="M14" s="175"/>
      <c r="N14" s="175"/>
      <c r="O14" s="175"/>
      <c r="P14" s="175"/>
      <c r="Q14" s="175"/>
      <c r="R14" s="175"/>
      <c r="S14" s="175"/>
      <c r="T14" s="175"/>
      <c r="U14" s="175"/>
      <c r="V14" s="175"/>
      <c r="W14" s="175"/>
      <c r="X14" s="175"/>
      <c r="Y14" s="175"/>
      <c r="Z14" s="175"/>
      <c r="AA14" s="175"/>
      <c r="AB14" s="176"/>
    </row>
    <row r="15" spans="1:30" ht="59.25" customHeight="1">
      <c r="A15" s="32" t="s">
        <v>64</v>
      </c>
      <c r="B15" s="171"/>
      <c r="C15" s="172"/>
      <c r="D15" s="172"/>
      <c r="E15" s="172"/>
      <c r="F15" s="172"/>
      <c r="G15" s="172"/>
      <c r="H15" s="172"/>
      <c r="I15" s="172"/>
      <c r="J15" s="172"/>
      <c r="K15" s="172"/>
      <c r="L15" s="172"/>
      <c r="M15" s="172"/>
      <c r="N15" s="172"/>
      <c r="O15" s="172"/>
      <c r="P15" s="172"/>
      <c r="Q15" s="172"/>
      <c r="R15" s="172"/>
      <c r="S15" s="172"/>
      <c r="T15" s="172"/>
      <c r="U15" s="172"/>
      <c r="V15" s="172"/>
      <c r="W15" s="172"/>
      <c r="X15" s="172"/>
      <c r="Y15" s="172"/>
      <c r="Z15" s="172"/>
      <c r="AA15" s="172"/>
      <c r="AB15" s="173"/>
    </row>
    <row r="16" spans="1:30" ht="59.25" customHeight="1">
      <c r="A16" s="32" t="s">
        <v>65</v>
      </c>
      <c r="B16" s="171"/>
      <c r="C16" s="172"/>
      <c r="D16" s="172"/>
      <c r="E16" s="172"/>
      <c r="F16" s="172"/>
      <c r="G16" s="172"/>
      <c r="H16" s="172"/>
      <c r="I16" s="172"/>
      <c r="J16" s="172"/>
      <c r="K16" s="172"/>
      <c r="L16" s="172"/>
      <c r="M16" s="172"/>
      <c r="N16" s="172"/>
      <c r="O16" s="172"/>
      <c r="P16" s="172"/>
      <c r="Q16" s="172"/>
      <c r="R16" s="172"/>
      <c r="S16" s="172"/>
      <c r="T16" s="172"/>
      <c r="U16" s="172"/>
      <c r="V16" s="172"/>
      <c r="W16" s="172"/>
      <c r="X16" s="172"/>
      <c r="Y16" s="172"/>
      <c r="Z16" s="172"/>
      <c r="AA16" s="172"/>
      <c r="AB16" s="173"/>
    </row>
    <row r="17" spans="1:28" ht="59.25" customHeight="1">
      <c r="A17" s="32" t="s">
        <v>66</v>
      </c>
      <c r="B17" s="171"/>
      <c r="C17" s="172"/>
      <c r="D17" s="172"/>
      <c r="E17" s="172"/>
      <c r="F17" s="172"/>
      <c r="G17" s="172"/>
      <c r="H17" s="172"/>
      <c r="I17" s="172"/>
      <c r="J17" s="172"/>
      <c r="K17" s="172"/>
      <c r="L17" s="172"/>
      <c r="M17" s="172"/>
      <c r="N17" s="172"/>
      <c r="O17" s="172"/>
      <c r="P17" s="172"/>
      <c r="Q17" s="172"/>
      <c r="R17" s="172"/>
      <c r="S17" s="172"/>
      <c r="T17" s="172"/>
      <c r="U17" s="172"/>
      <c r="V17" s="172"/>
      <c r="W17" s="172"/>
      <c r="X17" s="172"/>
      <c r="Y17" s="172"/>
      <c r="Z17" s="172"/>
      <c r="AA17" s="172"/>
      <c r="AB17" s="173"/>
    </row>
    <row r="18" spans="1:28" ht="59.25" customHeight="1">
      <c r="A18" s="32" t="s">
        <v>67</v>
      </c>
      <c r="B18" s="171"/>
      <c r="C18" s="172"/>
      <c r="D18" s="172"/>
      <c r="E18" s="172"/>
      <c r="F18" s="172"/>
      <c r="G18" s="172"/>
      <c r="H18" s="172"/>
      <c r="I18" s="172"/>
      <c r="J18" s="172"/>
      <c r="K18" s="172"/>
      <c r="L18" s="172"/>
      <c r="M18" s="172"/>
      <c r="N18" s="172"/>
      <c r="O18" s="172"/>
      <c r="P18" s="172"/>
      <c r="Q18" s="172"/>
      <c r="R18" s="172"/>
      <c r="S18" s="172"/>
      <c r="T18" s="172"/>
      <c r="U18" s="172"/>
      <c r="V18" s="172"/>
      <c r="W18" s="172"/>
      <c r="X18" s="172"/>
      <c r="Y18" s="172"/>
      <c r="Z18" s="172"/>
      <c r="AA18" s="172"/>
      <c r="AB18" s="173"/>
    </row>
    <row r="19" spans="1:28" ht="59.25" customHeight="1">
      <c r="A19" s="32" t="s">
        <v>68</v>
      </c>
      <c r="B19" s="171"/>
      <c r="C19" s="172"/>
      <c r="D19" s="172"/>
      <c r="E19" s="172"/>
      <c r="F19" s="172"/>
      <c r="G19" s="172"/>
      <c r="H19" s="172"/>
      <c r="I19" s="172"/>
      <c r="J19" s="172"/>
      <c r="K19" s="172"/>
      <c r="L19" s="172"/>
      <c r="M19" s="172"/>
      <c r="N19" s="172"/>
      <c r="O19" s="172"/>
      <c r="P19" s="172"/>
      <c r="Q19" s="172"/>
      <c r="R19" s="172"/>
      <c r="S19" s="172"/>
      <c r="T19" s="172"/>
      <c r="U19" s="172"/>
      <c r="V19" s="172"/>
      <c r="W19" s="172"/>
      <c r="X19" s="172"/>
      <c r="Y19" s="172"/>
      <c r="Z19" s="172"/>
      <c r="AA19" s="172"/>
      <c r="AB19" s="173"/>
    </row>
    <row r="20" spans="1:28" ht="59.25" customHeight="1">
      <c r="A20" s="32" t="s">
        <v>69</v>
      </c>
      <c r="B20" s="171"/>
      <c r="C20" s="172"/>
      <c r="D20" s="172"/>
      <c r="E20" s="172"/>
      <c r="F20" s="172"/>
      <c r="G20" s="172"/>
      <c r="H20" s="172"/>
      <c r="I20" s="172"/>
      <c r="J20" s="172"/>
      <c r="K20" s="172"/>
      <c r="L20" s="172"/>
      <c r="M20" s="172"/>
      <c r="N20" s="172"/>
      <c r="O20" s="172"/>
      <c r="P20" s="172"/>
      <c r="Q20" s="172"/>
      <c r="R20" s="172"/>
      <c r="S20" s="172"/>
      <c r="T20" s="172"/>
      <c r="U20" s="172"/>
      <c r="V20" s="172"/>
      <c r="W20" s="172"/>
      <c r="X20" s="172"/>
      <c r="Y20" s="172"/>
      <c r="Z20" s="172"/>
      <c r="AA20" s="172"/>
      <c r="AB20" s="173"/>
    </row>
    <row r="21" spans="1:28" ht="59.25" customHeight="1">
      <c r="A21" s="32" t="s">
        <v>70</v>
      </c>
      <c r="B21" s="171"/>
      <c r="C21" s="172"/>
      <c r="D21" s="172"/>
      <c r="E21" s="172"/>
      <c r="F21" s="172"/>
      <c r="G21" s="172"/>
      <c r="H21" s="172"/>
      <c r="I21" s="172"/>
      <c r="J21" s="172"/>
      <c r="K21" s="172"/>
      <c r="L21" s="172"/>
      <c r="M21" s="172"/>
      <c r="N21" s="172"/>
      <c r="O21" s="172"/>
      <c r="P21" s="172"/>
      <c r="Q21" s="172"/>
      <c r="R21" s="172"/>
      <c r="S21" s="172"/>
      <c r="T21" s="172"/>
      <c r="U21" s="172"/>
      <c r="V21" s="172"/>
      <c r="W21" s="172"/>
      <c r="X21" s="172"/>
      <c r="Y21" s="172"/>
      <c r="Z21" s="172"/>
      <c r="AA21" s="172"/>
      <c r="AB21" s="173"/>
    </row>
    <row r="22" spans="1:28" ht="59.25" customHeight="1">
      <c r="A22" s="32" t="s">
        <v>71</v>
      </c>
      <c r="B22" s="171"/>
      <c r="C22" s="172"/>
      <c r="D22" s="172"/>
      <c r="E22" s="172"/>
      <c r="F22" s="172"/>
      <c r="G22" s="172"/>
      <c r="H22" s="172"/>
      <c r="I22" s="172"/>
      <c r="J22" s="172"/>
      <c r="K22" s="172"/>
      <c r="L22" s="172"/>
      <c r="M22" s="172"/>
      <c r="N22" s="172"/>
      <c r="O22" s="172"/>
      <c r="P22" s="172"/>
      <c r="Q22" s="172"/>
      <c r="R22" s="172"/>
      <c r="S22" s="172"/>
      <c r="T22" s="172"/>
      <c r="U22" s="172"/>
      <c r="V22" s="172"/>
      <c r="W22" s="172"/>
      <c r="X22" s="172"/>
      <c r="Y22" s="172"/>
      <c r="Z22" s="172"/>
      <c r="AA22" s="172"/>
      <c r="AB22" s="173"/>
    </row>
    <row r="23" spans="1:28" ht="59.25" customHeight="1">
      <c r="A23" s="32" t="s">
        <v>72</v>
      </c>
      <c r="B23" s="171"/>
      <c r="C23" s="172"/>
      <c r="D23" s="172"/>
      <c r="E23" s="172"/>
      <c r="F23" s="172"/>
      <c r="G23" s="172"/>
      <c r="H23" s="172"/>
      <c r="I23" s="172"/>
      <c r="J23" s="172"/>
      <c r="K23" s="172"/>
      <c r="L23" s="172"/>
      <c r="M23" s="172"/>
      <c r="N23" s="172"/>
      <c r="O23" s="172"/>
      <c r="P23" s="172"/>
      <c r="Q23" s="172"/>
      <c r="R23" s="172"/>
      <c r="S23" s="172"/>
      <c r="T23" s="172"/>
      <c r="U23" s="172"/>
      <c r="V23" s="172"/>
      <c r="W23" s="172"/>
      <c r="X23" s="172"/>
      <c r="Y23" s="172"/>
      <c r="Z23" s="172"/>
      <c r="AA23" s="172"/>
      <c r="AB23" s="173"/>
    </row>
    <row r="24" spans="1:28" ht="59.25" customHeight="1">
      <c r="A24" s="32" t="s">
        <v>73</v>
      </c>
      <c r="B24" s="171"/>
      <c r="C24" s="172"/>
      <c r="D24" s="172"/>
      <c r="E24" s="172"/>
      <c r="F24" s="172"/>
      <c r="G24" s="172"/>
      <c r="H24" s="172"/>
      <c r="I24" s="172"/>
      <c r="J24" s="172"/>
      <c r="K24" s="172"/>
      <c r="L24" s="172"/>
      <c r="M24" s="172"/>
      <c r="N24" s="172"/>
      <c r="O24" s="172"/>
      <c r="P24" s="172"/>
      <c r="Q24" s="172"/>
      <c r="R24" s="172"/>
      <c r="S24" s="172"/>
      <c r="T24" s="172"/>
      <c r="U24" s="172"/>
      <c r="V24" s="172"/>
      <c r="W24" s="172"/>
      <c r="X24" s="172"/>
      <c r="Y24" s="172"/>
      <c r="Z24" s="172"/>
      <c r="AA24" s="172"/>
      <c r="AB24" s="173"/>
    </row>
    <row r="25" spans="1:28" ht="59.25" customHeight="1">
      <c r="A25" s="32" t="s">
        <v>74</v>
      </c>
      <c r="B25" s="171"/>
      <c r="C25" s="172"/>
      <c r="D25" s="172"/>
      <c r="E25" s="172"/>
      <c r="F25" s="172"/>
      <c r="G25" s="172"/>
      <c r="H25" s="172"/>
      <c r="I25" s="172"/>
      <c r="J25" s="172"/>
      <c r="K25" s="172"/>
      <c r="L25" s="172"/>
      <c r="M25" s="172"/>
      <c r="N25" s="172"/>
      <c r="O25" s="172"/>
      <c r="P25" s="172"/>
      <c r="Q25" s="172"/>
      <c r="R25" s="172"/>
      <c r="S25" s="172"/>
      <c r="T25" s="172"/>
      <c r="U25" s="172"/>
      <c r="V25" s="172"/>
      <c r="W25" s="172"/>
      <c r="X25" s="172"/>
      <c r="Y25" s="172"/>
      <c r="Z25" s="172"/>
      <c r="AA25" s="172"/>
      <c r="AB25" s="173"/>
    </row>
    <row r="26" spans="1:28" ht="59.25" customHeight="1">
      <c r="A26" s="32" t="s">
        <v>75</v>
      </c>
      <c r="B26" s="171"/>
      <c r="C26" s="172"/>
      <c r="D26" s="172"/>
      <c r="E26" s="172"/>
      <c r="F26" s="172"/>
      <c r="G26" s="172"/>
      <c r="H26" s="172"/>
      <c r="I26" s="172"/>
      <c r="J26" s="172"/>
      <c r="K26" s="172"/>
      <c r="L26" s="172"/>
      <c r="M26" s="172"/>
      <c r="N26" s="172"/>
      <c r="O26" s="172"/>
      <c r="P26" s="172"/>
      <c r="Q26" s="172"/>
      <c r="R26" s="172"/>
      <c r="S26" s="172"/>
      <c r="T26" s="172"/>
      <c r="U26" s="172"/>
      <c r="V26" s="172"/>
      <c r="W26" s="172"/>
      <c r="X26" s="172"/>
      <c r="Y26" s="172"/>
      <c r="Z26" s="172"/>
      <c r="AA26" s="172"/>
      <c r="AB26" s="173"/>
    </row>
    <row r="27" spans="1:28" ht="59.25" customHeight="1">
      <c r="A27" s="32" t="s">
        <v>76</v>
      </c>
      <c r="B27" s="171"/>
      <c r="C27" s="172"/>
      <c r="D27" s="172"/>
      <c r="E27" s="172"/>
      <c r="F27" s="172"/>
      <c r="G27" s="172"/>
      <c r="H27" s="172"/>
      <c r="I27" s="172"/>
      <c r="J27" s="172"/>
      <c r="K27" s="172"/>
      <c r="L27" s="172"/>
      <c r="M27" s="172"/>
      <c r="N27" s="172"/>
      <c r="O27" s="172"/>
      <c r="P27" s="172"/>
      <c r="Q27" s="172"/>
      <c r="R27" s="172"/>
      <c r="S27" s="172"/>
      <c r="T27" s="172"/>
      <c r="U27" s="172"/>
      <c r="V27" s="172"/>
      <c r="W27" s="172"/>
      <c r="X27" s="172"/>
      <c r="Y27" s="172"/>
      <c r="Z27" s="172"/>
      <c r="AA27" s="172"/>
      <c r="AB27" s="173"/>
    </row>
    <row r="28" spans="1:28" ht="59.25" customHeight="1">
      <c r="A28" s="32" t="s">
        <v>77</v>
      </c>
      <c r="B28" s="171"/>
      <c r="C28" s="172"/>
      <c r="D28" s="172"/>
      <c r="E28" s="172"/>
      <c r="F28" s="172"/>
      <c r="G28" s="172"/>
      <c r="H28" s="172"/>
      <c r="I28" s="172"/>
      <c r="J28" s="172"/>
      <c r="K28" s="172"/>
      <c r="L28" s="172"/>
      <c r="M28" s="172"/>
      <c r="N28" s="172"/>
      <c r="O28" s="172"/>
      <c r="P28" s="172"/>
      <c r="Q28" s="172"/>
      <c r="R28" s="172"/>
      <c r="S28" s="172"/>
      <c r="T28" s="172"/>
      <c r="U28" s="172"/>
      <c r="V28" s="172"/>
      <c r="W28" s="172"/>
      <c r="X28" s="172"/>
      <c r="Y28" s="172"/>
      <c r="Z28" s="172"/>
      <c r="AA28" s="172"/>
      <c r="AB28" s="173"/>
    </row>
    <row r="29" spans="1:28" ht="59.25" customHeight="1">
      <c r="A29" s="32" t="s">
        <v>78</v>
      </c>
      <c r="B29" s="171"/>
      <c r="C29" s="172"/>
      <c r="D29" s="172"/>
      <c r="E29" s="172"/>
      <c r="F29" s="172"/>
      <c r="G29" s="172"/>
      <c r="H29" s="172"/>
      <c r="I29" s="172"/>
      <c r="J29" s="172"/>
      <c r="K29" s="172"/>
      <c r="L29" s="172"/>
      <c r="M29" s="172"/>
      <c r="N29" s="172"/>
      <c r="O29" s="172"/>
      <c r="P29" s="172"/>
      <c r="Q29" s="172"/>
      <c r="R29" s="172"/>
      <c r="S29" s="172"/>
      <c r="T29" s="172"/>
      <c r="U29" s="172"/>
      <c r="V29" s="172"/>
      <c r="W29" s="172"/>
      <c r="X29" s="172"/>
      <c r="Y29" s="172"/>
      <c r="Z29" s="172"/>
      <c r="AA29" s="172"/>
      <c r="AB29" s="173"/>
    </row>
    <row r="30" spans="1:28" ht="59.25" customHeight="1">
      <c r="A30" s="32" t="s">
        <v>79</v>
      </c>
      <c r="B30" s="171"/>
      <c r="C30" s="172"/>
      <c r="D30" s="172"/>
      <c r="E30" s="172"/>
      <c r="F30" s="172"/>
      <c r="G30" s="172"/>
      <c r="H30" s="172"/>
      <c r="I30" s="172"/>
      <c r="J30" s="172"/>
      <c r="K30" s="172"/>
      <c r="L30" s="172"/>
      <c r="M30" s="172"/>
      <c r="N30" s="172"/>
      <c r="O30" s="172"/>
      <c r="P30" s="172"/>
      <c r="Q30" s="172"/>
      <c r="R30" s="172"/>
      <c r="S30" s="172"/>
      <c r="T30" s="172"/>
      <c r="U30" s="172"/>
      <c r="V30" s="172"/>
      <c r="W30" s="172"/>
      <c r="X30" s="172"/>
      <c r="Y30" s="172"/>
      <c r="Z30" s="172"/>
      <c r="AA30" s="172"/>
      <c r="AB30" s="173"/>
    </row>
    <row r="31" spans="1:28" ht="59.25" customHeight="1">
      <c r="A31" s="32"/>
      <c r="B31" s="171"/>
      <c r="C31" s="172"/>
      <c r="D31" s="172"/>
      <c r="E31" s="172"/>
      <c r="F31" s="172"/>
      <c r="G31" s="172"/>
      <c r="H31" s="172"/>
      <c r="I31" s="172"/>
      <c r="J31" s="172"/>
      <c r="K31" s="172"/>
      <c r="L31" s="172"/>
      <c r="M31" s="172"/>
      <c r="N31" s="172"/>
      <c r="O31" s="172"/>
      <c r="P31" s="172"/>
      <c r="Q31" s="172"/>
      <c r="R31" s="172"/>
      <c r="S31" s="172"/>
      <c r="T31" s="172"/>
      <c r="U31" s="172"/>
      <c r="V31" s="172"/>
      <c r="W31" s="172"/>
      <c r="X31" s="172"/>
      <c r="Y31" s="172"/>
      <c r="Z31" s="172"/>
      <c r="AA31" s="172"/>
      <c r="AB31" s="173"/>
    </row>
    <row r="32" spans="1:28" ht="59.25" customHeight="1">
      <c r="A32" s="32"/>
      <c r="B32" s="171"/>
      <c r="C32" s="172"/>
      <c r="D32" s="172"/>
      <c r="E32" s="172"/>
      <c r="F32" s="172"/>
      <c r="G32" s="172"/>
      <c r="H32" s="172"/>
      <c r="I32" s="172"/>
      <c r="J32" s="172"/>
      <c r="K32" s="172"/>
      <c r="L32" s="172"/>
      <c r="M32" s="172"/>
      <c r="N32" s="172"/>
      <c r="O32" s="172"/>
      <c r="P32" s="172"/>
      <c r="Q32" s="172"/>
      <c r="R32" s="172"/>
      <c r="S32" s="172"/>
      <c r="T32" s="172"/>
      <c r="U32" s="172"/>
      <c r="V32" s="172"/>
      <c r="W32" s="172"/>
      <c r="X32" s="172"/>
      <c r="Y32" s="172"/>
      <c r="Z32" s="172"/>
      <c r="AA32" s="172"/>
      <c r="AB32" s="173"/>
    </row>
    <row r="33" spans="1:28" ht="59.25" customHeight="1">
      <c r="A33" s="32"/>
      <c r="B33" s="171"/>
      <c r="C33" s="172"/>
      <c r="D33" s="172"/>
      <c r="E33" s="172"/>
      <c r="F33" s="172"/>
      <c r="G33" s="172"/>
      <c r="H33" s="172"/>
      <c r="I33" s="172"/>
      <c r="J33" s="172"/>
      <c r="K33" s="172"/>
      <c r="L33" s="172"/>
      <c r="M33" s="172"/>
      <c r="N33" s="172"/>
      <c r="O33" s="172"/>
      <c r="P33" s="172"/>
      <c r="Q33" s="172"/>
      <c r="R33" s="172"/>
      <c r="S33" s="172"/>
      <c r="T33" s="172"/>
      <c r="U33" s="172"/>
      <c r="V33" s="172"/>
      <c r="W33" s="172"/>
      <c r="X33" s="172"/>
      <c r="Y33" s="172"/>
      <c r="Z33" s="172"/>
      <c r="AA33" s="172"/>
      <c r="AB33" s="173"/>
    </row>
    <row r="34" spans="1:28" ht="59.25" customHeight="1">
      <c r="A34" s="32"/>
      <c r="B34" s="171"/>
      <c r="C34" s="172"/>
      <c r="D34" s="172"/>
      <c r="E34" s="172"/>
      <c r="F34" s="172"/>
      <c r="G34" s="172"/>
      <c r="H34" s="172"/>
      <c r="I34" s="172"/>
      <c r="J34" s="172"/>
      <c r="K34" s="172"/>
      <c r="L34" s="172"/>
      <c r="M34" s="172"/>
      <c r="N34" s="172"/>
      <c r="O34" s="172"/>
      <c r="P34" s="172"/>
      <c r="Q34" s="172"/>
      <c r="R34" s="172"/>
      <c r="S34" s="172"/>
      <c r="T34" s="172"/>
      <c r="U34" s="172"/>
      <c r="V34" s="172"/>
      <c r="W34" s="172"/>
      <c r="X34" s="172"/>
      <c r="Y34" s="172"/>
      <c r="Z34" s="172"/>
      <c r="AA34" s="172"/>
      <c r="AB34" s="173"/>
    </row>
    <row r="35" spans="1:28" ht="59.25" customHeight="1">
      <c r="A35" s="32"/>
      <c r="B35" s="171"/>
      <c r="C35" s="172"/>
      <c r="D35" s="172"/>
      <c r="E35" s="172"/>
      <c r="F35" s="172"/>
      <c r="G35" s="172"/>
      <c r="H35" s="172"/>
      <c r="I35" s="172"/>
      <c r="J35" s="172"/>
      <c r="K35" s="172"/>
      <c r="L35" s="172"/>
      <c r="M35" s="172"/>
      <c r="N35" s="172"/>
      <c r="O35" s="172"/>
      <c r="P35" s="172"/>
      <c r="Q35" s="172"/>
      <c r="R35" s="172"/>
      <c r="S35" s="172"/>
      <c r="T35" s="172"/>
      <c r="U35" s="172"/>
      <c r="V35" s="172"/>
      <c r="W35" s="172"/>
      <c r="X35" s="172"/>
      <c r="Y35" s="172"/>
      <c r="Z35" s="172"/>
      <c r="AA35" s="172"/>
      <c r="AB35" s="173"/>
    </row>
    <row r="36" spans="1:28" ht="59.25" customHeight="1">
      <c r="A36" s="32"/>
      <c r="B36" s="171"/>
      <c r="C36" s="172"/>
      <c r="D36" s="172"/>
      <c r="E36" s="172"/>
      <c r="F36" s="172"/>
      <c r="G36" s="172"/>
      <c r="H36" s="172"/>
      <c r="I36" s="172"/>
      <c r="J36" s="172"/>
      <c r="K36" s="172"/>
      <c r="L36" s="172"/>
      <c r="M36" s="172"/>
      <c r="N36" s="172"/>
      <c r="O36" s="172"/>
      <c r="P36" s="172"/>
      <c r="Q36" s="172"/>
      <c r="R36" s="172"/>
      <c r="S36" s="172"/>
      <c r="T36" s="172"/>
      <c r="U36" s="172"/>
      <c r="V36" s="172"/>
      <c r="W36" s="172"/>
      <c r="X36" s="172"/>
      <c r="Y36" s="172"/>
      <c r="Z36" s="172"/>
      <c r="AA36" s="172"/>
      <c r="AB36" s="173"/>
    </row>
    <row r="37" spans="1:28" ht="59.25" customHeight="1">
      <c r="A37" s="32"/>
      <c r="B37" s="171"/>
      <c r="C37" s="172"/>
      <c r="D37" s="172"/>
      <c r="E37" s="172"/>
      <c r="F37" s="172"/>
      <c r="G37" s="172"/>
      <c r="H37" s="172"/>
      <c r="I37" s="172"/>
      <c r="J37" s="172"/>
      <c r="K37" s="172"/>
      <c r="L37" s="172"/>
      <c r="M37" s="172"/>
      <c r="N37" s="172"/>
      <c r="O37" s="172"/>
      <c r="P37" s="172"/>
      <c r="Q37" s="172"/>
      <c r="R37" s="172"/>
      <c r="S37" s="172"/>
      <c r="T37" s="172"/>
      <c r="U37" s="172"/>
      <c r="V37" s="172"/>
      <c r="W37" s="172"/>
      <c r="X37" s="172"/>
      <c r="Y37" s="172"/>
      <c r="Z37" s="172"/>
      <c r="AA37" s="172"/>
      <c r="AB37" s="173"/>
    </row>
    <row r="38" spans="1:28" ht="59.25" customHeight="1">
      <c r="A38" s="32"/>
      <c r="B38" s="171"/>
      <c r="C38" s="172"/>
      <c r="D38" s="172"/>
      <c r="E38" s="172"/>
      <c r="F38" s="172"/>
      <c r="G38" s="172"/>
      <c r="H38" s="172"/>
      <c r="I38" s="172"/>
      <c r="J38" s="172"/>
      <c r="K38" s="172"/>
      <c r="L38" s="172"/>
      <c r="M38" s="172"/>
      <c r="N38" s="172"/>
      <c r="O38" s="172"/>
      <c r="P38" s="172"/>
      <c r="Q38" s="172"/>
      <c r="R38" s="172"/>
      <c r="S38" s="172"/>
      <c r="T38" s="172"/>
      <c r="U38" s="172"/>
      <c r="V38" s="172"/>
      <c r="W38" s="172"/>
      <c r="X38" s="172"/>
      <c r="Y38" s="172"/>
      <c r="Z38" s="172"/>
      <c r="AA38" s="172"/>
      <c r="AB38" s="173"/>
    </row>
    <row r="39" spans="1:28" ht="59.25" customHeight="1">
      <c r="A39" s="32"/>
      <c r="B39" s="171"/>
      <c r="C39" s="172"/>
      <c r="D39" s="172"/>
      <c r="E39" s="172"/>
      <c r="F39" s="172"/>
      <c r="G39" s="172"/>
      <c r="H39" s="172"/>
      <c r="I39" s="172"/>
      <c r="J39" s="172"/>
      <c r="K39" s="172"/>
      <c r="L39" s="172"/>
      <c r="M39" s="172"/>
      <c r="N39" s="172"/>
      <c r="O39" s="172"/>
      <c r="P39" s="172"/>
      <c r="Q39" s="172"/>
      <c r="R39" s="172"/>
      <c r="S39" s="172"/>
      <c r="T39" s="172"/>
      <c r="U39" s="172"/>
      <c r="V39" s="172"/>
      <c r="W39" s="172"/>
      <c r="X39" s="172"/>
      <c r="Y39" s="172"/>
      <c r="Z39" s="172"/>
      <c r="AA39" s="172"/>
      <c r="AB39" s="173"/>
    </row>
    <row r="40" spans="1:28" ht="22.5" customHeight="1"/>
    <row r="41" spans="1:28" ht="22.5" customHeight="1"/>
    <row r="42" spans="1:28" ht="22.5" customHeight="1"/>
    <row r="43" spans="1:28" ht="22.5" customHeight="1"/>
    <row r="44" spans="1:28" ht="17.25" customHeight="1"/>
    <row r="45" spans="1:28" ht="17.25" customHeight="1"/>
    <row r="46" spans="1:28" ht="17.25" customHeight="1"/>
    <row r="47" spans="1:28" ht="17.25" customHeight="1"/>
    <row r="48" spans="1:28" ht="17.25" customHeight="1"/>
    <row r="49" ht="17.25" customHeight="1"/>
    <row r="50" ht="17.25" customHeight="1"/>
    <row r="51" ht="17.25" customHeight="1"/>
    <row r="52" ht="17.25" customHeight="1"/>
    <row r="53" ht="17.25" customHeight="1"/>
    <row r="54" ht="17.25" customHeight="1"/>
    <row r="55" ht="17.25" customHeight="1"/>
    <row r="56" ht="17.25" customHeight="1"/>
    <row r="57" ht="17.25" customHeight="1"/>
    <row r="58" ht="17.25" customHeight="1"/>
    <row r="59" ht="17.25" customHeight="1"/>
    <row r="60" ht="17.25" customHeight="1"/>
    <row r="61" ht="17.25" customHeight="1"/>
    <row r="62" ht="17.25" customHeight="1"/>
    <row r="63" ht="17.25" customHeight="1"/>
    <row r="64"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row r="155" ht="17.25" customHeight="1"/>
    <row r="156" ht="17.25" customHeight="1"/>
    <row r="157" ht="17.25" customHeight="1"/>
    <row r="158" ht="17.25" customHeight="1"/>
    <row r="159" ht="17.25" customHeight="1"/>
    <row r="160" ht="17.25" customHeight="1"/>
    <row r="161" ht="17.25" customHeight="1"/>
    <row r="162" ht="17.25" customHeight="1"/>
    <row r="163" ht="17.25" customHeight="1"/>
    <row r="164" ht="17.25" customHeight="1"/>
    <row r="165" ht="17.25" customHeight="1"/>
    <row r="166" ht="17.25" customHeight="1"/>
    <row r="167" ht="17.25" customHeight="1"/>
    <row r="168" ht="17.25" customHeight="1"/>
    <row r="169" ht="17.25" customHeight="1"/>
    <row r="170" ht="17.25" customHeight="1"/>
    <row r="171" ht="17.25" customHeight="1"/>
    <row r="172" ht="17.25" customHeight="1"/>
    <row r="173" ht="17.25" customHeight="1"/>
    <row r="174" ht="17.25" customHeight="1"/>
    <row r="175" ht="17.25" customHeight="1"/>
    <row r="176" ht="17.25" customHeight="1"/>
    <row r="177" ht="17.25" customHeight="1"/>
    <row r="178" ht="17.25" customHeight="1"/>
    <row r="179" ht="17.25" customHeight="1"/>
    <row r="180" ht="17.25" customHeight="1"/>
    <row r="181" ht="17.25" customHeight="1"/>
    <row r="182" ht="17.25" customHeight="1"/>
    <row r="183" ht="17.25" customHeight="1"/>
    <row r="184" ht="17.25" customHeight="1"/>
    <row r="185" ht="17.25" customHeight="1"/>
    <row r="186" ht="17.25" customHeight="1"/>
    <row r="187" ht="17.25" customHeight="1"/>
    <row r="188" ht="17.25" customHeight="1"/>
    <row r="189" ht="17.25" customHeight="1"/>
    <row r="190" ht="17.25" customHeight="1"/>
    <row r="191" ht="17.25" customHeight="1"/>
    <row r="192" ht="17.25" customHeight="1"/>
    <row r="193" ht="17.25" customHeight="1"/>
  </sheetData>
  <mergeCells count="27">
    <mergeCell ref="B38:AB38"/>
    <mergeCell ref="B39:AB39"/>
    <mergeCell ref="B23:AB23"/>
    <mergeCell ref="B24:AB24"/>
    <mergeCell ref="B14:AB14"/>
    <mergeCell ref="B15:AB15"/>
    <mergeCell ref="B16:AB16"/>
    <mergeCell ref="B17:AB17"/>
    <mergeCell ref="B18:AB18"/>
    <mergeCell ref="B19:AB19"/>
    <mergeCell ref="B20:AB20"/>
    <mergeCell ref="B21:AB21"/>
    <mergeCell ref="B22:AB22"/>
    <mergeCell ref="A2:A12"/>
    <mergeCell ref="B35:AB35"/>
    <mergeCell ref="B36:AB36"/>
    <mergeCell ref="B37:AB37"/>
    <mergeCell ref="B25:AB25"/>
    <mergeCell ref="B26:AB26"/>
    <mergeCell ref="B27:AB27"/>
    <mergeCell ref="B28:AB28"/>
    <mergeCell ref="B29:AB29"/>
    <mergeCell ref="B30:AB30"/>
    <mergeCell ref="B31:AB31"/>
    <mergeCell ref="B32:AB32"/>
    <mergeCell ref="B33:AB33"/>
    <mergeCell ref="B34:AB34"/>
  </mergeCells>
  <phoneticPr fontId="1"/>
  <dataValidations count="2">
    <dataValidation type="list" allowBlank="1" showDropDown="1" showInputMessage="1" showErrorMessage="1" sqref="D2:AB11">
      <formula1>$AC$2:$AC$5</formula1>
    </dataValidation>
    <dataValidation type="list" allowBlank="1" showDropDown="1" showInputMessage="1" showErrorMessage="1" errorTitle="文字エラー" error="半角数字1～5か、評価不能の場合は-（半角マイナス）を入れて下さい。" sqref="D12:AB13">
      <formula1>$AD$2:$AD$7</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1"/>
  </sheetPr>
  <dimension ref="A1:AD193"/>
  <sheetViews>
    <sheetView workbookViewId="0">
      <selection sqref="A1:XFD1048576"/>
    </sheetView>
  </sheetViews>
  <sheetFormatPr defaultRowHeight="13.5"/>
  <cols>
    <col min="1" max="1" width="13.5" style="4" customWidth="1"/>
    <col min="2" max="2" width="79.125" style="4" customWidth="1"/>
    <col min="3" max="3" width="9.375" style="4" customWidth="1"/>
    <col min="4" max="28" width="4.125" style="4" customWidth="1"/>
    <col min="29" max="16384" width="9" style="4"/>
  </cols>
  <sheetData>
    <row r="1" spans="1:30" ht="85.5" customHeight="1">
      <c r="A1" s="21" t="str">
        <f ca="1">MID(CELL("filename",A1),FIND("[",CELL("filename",A1))+1,3)</f>
        <v>８－２</v>
      </c>
      <c r="B1" s="22" t="str">
        <f ca="1">RIGHT(CELL("filename",B1),LEN(CELL("filename",B1))-FIND("]",CELL("filename",B1)))</f>
        <v>数学</v>
      </c>
      <c r="C1" s="23" t="s">
        <v>60</v>
      </c>
      <c r="D1" s="24" t="str">
        <f>A15</f>
        <v>岡田 明日香</v>
      </c>
      <c r="E1" s="24" t="str">
        <f>A16</f>
        <v>荻原 知香</v>
      </c>
      <c r="F1" s="24" t="str">
        <f>A17</f>
        <v>片桐 葵</v>
      </c>
      <c r="G1" s="24" t="str">
        <f>A18</f>
        <v>上島 碧依</v>
      </c>
      <c r="H1" s="24" t="str">
        <f>A19</f>
        <v>藏井 陽菜乃</v>
      </c>
      <c r="I1" s="24" t="str">
        <f>A20</f>
        <v>小松 雅治</v>
      </c>
      <c r="J1" s="24" t="str">
        <f>A21</f>
        <v>須藤 爽斗</v>
      </c>
      <c r="K1" s="24" t="str">
        <f>A22</f>
        <v>滝 陽香</v>
      </c>
      <c r="L1" s="24" t="str">
        <f>A23</f>
        <v>永江 仁</v>
      </c>
      <c r="M1" s="24" t="str">
        <f>A24</f>
        <v>林 果菜</v>
      </c>
      <c r="N1" s="24" t="str">
        <f>A25</f>
        <v>原 維香</v>
      </c>
      <c r="O1" s="24" t="str">
        <f>A26</f>
        <v>丸山 心音</v>
      </c>
      <c r="P1" s="24" t="str">
        <f>A27</f>
        <v>森本 浩士</v>
      </c>
      <c r="Q1" s="24" t="str">
        <f>A28</f>
        <v>栁沢 美緒</v>
      </c>
      <c r="R1" s="24" t="str">
        <f>A29</f>
        <v>横山 麟太</v>
      </c>
      <c r="S1" s="24" t="str">
        <f>A30</f>
        <v>渡邊 了介</v>
      </c>
      <c r="T1" s="24">
        <f>A31</f>
        <v>0</v>
      </c>
      <c r="U1" s="24">
        <f>A32</f>
        <v>0</v>
      </c>
      <c r="V1" s="24">
        <f>A33</f>
        <v>0</v>
      </c>
      <c r="W1" s="24">
        <f>A34</f>
        <v>0</v>
      </c>
      <c r="X1" s="24">
        <f>A35</f>
        <v>0</v>
      </c>
      <c r="Y1" s="24">
        <f>A36</f>
        <v>0</v>
      </c>
      <c r="Z1" s="24">
        <f>A37</f>
        <v>0</v>
      </c>
      <c r="AA1" s="24">
        <f>A38</f>
        <v>0</v>
      </c>
      <c r="AB1" s="24">
        <f>A39</f>
        <v>0</v>
      </c>
      <c r="AC1" s="25"/>
    </row>
    <row r="2" spans="1:30" ht="22.5" customHeight="1">
      <c r="A2" s="168" t="s">
        <v>206</v>
      </c>
      <c r="B2" s="58" t="s">
        <v>50</v>
      </c>
      <c r="C2" s="26" t="s">
        <v>61</v>
      </c>
      <c r="D2" s="27" t="s">
        <v>27</v>
      </c>
      <c r="E2" s="27" t="s">
        <v>28</v>
      </c>
      <c r="F2" s="27" t="s">
        <v>27</v>
      </c>
      <c r="G2" s="27" t="s">
        <v>28</v>
      </c>
      <c r="H2" s="27" t="s">
        <v>28</v>
      </c>
      <c r="I2" s="27" t="s">
        <v>27</v>
      </c>
      <c r="J2" s="27" t="s">
        <v>28</v>
      </c>
      <c r="K2" s="27" t="s">
        <v>27</v>
      </c>
      <c r="L2" s="27" t="s">
        <v>27</v>
      </c>
      <c r="M2" s="27" t="s">
        <v>27</v>
      </c>
      <c r="N2" s="27" t="s">
        <v>27</v>
      </c>
      <c r="O2" s="27" t="s">
        <v>27</v>
      </c>
      <c r="P2" s="27" t="s">
        <v>28</v>
      </c>
      <c r="Q2" s="27" t="s">
        <v>28</v>
      </c>
      <c r="R2" s="27" t="s">
        <v>27</v>
      </c>
      <c r="S2" s="27" t="s">
        <v>28</v>
      </c>
      <c r="T2" s="27"/>
      <c r="U2" s="27"/>
      <c r="V2" s="27"/>
      <c r="W2" s="27"/>
      <c r="X2" s="27"/>
      <c r="Y2" s="27"/>
      <c r="Z2" s="27"/>
      <c r="AA2" s="27"/>
      <c r="AB2" s="27"/>
      <c r="AC2" s="28" t="s">
        <v>207</v>
      </c>
      <c r="AD2" s="28">
        <v>1</v>
      </c>
    </row>
    <row r="3" spans="1:30" ht="22.5" customHeight="1">
      <c r="A3" s="169"/>
      <c r="B3" s="58" t="s">
        <v>208</v>
      </c>
      <c r="C3" s="26" t="s">
        <v>61</v>
      </c>
      <c r="D3" s="27" t="s">
        <v>27</v>
      </c>
      <c r="E3" s="27" t="s">
        <v>27</v>
      </c>
      <c r="F3" s="27" t="s">
        <v>27</v>
      </c>
      <c r="G3" s="27" t="s">
        <v>28</v>
      </c>
      <c r="H3" s="27" t="s">
        <v>28</v>
      </c>
      <c r="I3" s="27" t="s">
        <v>28</v>
      </c>
      <c r="J3" s="27" t="s">
        <v>28</v>
      </c>
      <c r="K3" s="27" t="s">
        <v>27</v>
      </c>
      <c r="L3" s="27" t="s">
        <v>27</v>
      </c>
      <c r="M3" s="27" t="s">
        <v>27</v>
      </c>
      <c r="N3" s="27" t="s">
        <v>27</v>
      </c>
      <c r="O3" s="27" t="s">
        <v>27</v>
      </c>
      <c r="P3" s="27" t="s">
        <v>28</v>
      </c>
      <c r="Q3" s="27" t="s">
        <v>28</v>
      </c>
      <c r="R3" s="27" t="s">
        <v>27</v>
      </c>
      <c r="S3" s="27" t="s">
        <v>28</v>
      </c>
      <c r="T3" s="27"/>
      <c r="U3" s="27"/>
      <c r="V3" s="27"/>
      <c r="W3" s="27"/>
      <c r="X3" s="27"/>
      <c r="Y3" s="27"/>
      <c r="Z3" s="27"/>
      <c r="AA3" s="27"/>
      <c r="AB3" s="27"/>
      <c r="AC3" s="28" t="s">
        <v>209</v>
      </c>
      <c r="AD3" s="28">
        <v>2</v>
      </c>
    </row>
    <row r="4" spans="1:30" ht="22.5" customHeight="1">
      <c r="A4" s="169"/>
      <c r="B4" s="58" t="s">
        <v>210</v>
      </c>
      <c r="C4" s="26" t="s">
        <v>61</v>
      </c>
      <c r="D4" s="27" t="s">
        <v>28</v>
      </c>
      <c r="E4" s="27" t="s">
        <v>28</v>
      </c>
      <c r="F4" s="27" t="s">
        <v>28</v>
      </c>
      <c r="G4" s="27" t="s">
        <v>28</v>
      </c>
      <c r="H4" s="27" t="s">
        <v>28</v>
      </c>
      <c r="I4" s="27" t="s">
        <v>28</v>
      </c>
      <c r="J4" s="27" t="s">
        <v>27</v>
      </c>
      <c r="K4" s="27" t="s">
        <v>28</v>
      </c>
      <c r="L4" s="27" t="s">
        <v>27</v>
      </c>
      <c r="M4" s="27" t="s">
        <v>28</v>
      </c>
      <c r="N4" s="27" t="s">
        <v>31</v>
      </c>
      <c r="O4" s="27" t="s">
        <v>28</v>
      </c>
      <c r="P4" s="27" t="s">
        <v>28</v>
      </c>
      <c r="Q4" s="27" t="s">
        <v>28</v>
      </c>
      <c r="R4" s="27" t="s">
        <v>27</v>
      </c>
      <c r="S4" s="27" t="s">
        <v>28</v>
      </c>
      <c r="T4" s="27"/>
      <c r="U4" s="27"/>
      <c r="V4" s="27"/>
      <c r="W4" s="27"/>
      <c r="X4" s="27"/>
      <c r="Y4" s="27"/>
      <c r="Z4" s="27"/>
      <c r="AA4" s="27"/>
      <c r="AB4" s="27"/>
      <c r="AC4" s="28" t="s">
        <v>211</v>
      </c>
      <c r="AD4" s="28">
        <v>3</v>
      </c>
    </row>
    <row r="5" spans="1:30" ht="22.5" customHeight="1">
      <c r="A5" s="169"/>
      <c r="B5" s="78"/>
      <c r="C5" s="26" t="s">
        <v>61</v>
      </c>
      <c r="D5" s="27"/>
      <c r="E5" s="27"/>
      <c r="F5" s="27"/>
      <c r="G5" s="27"/>
      <c r="H5" s="27"/>
      <c r="I5" s="27"/>
      <c r="J5" s="27"/>
      <c r="K5" s="27"/>
      <c r="L5" s="27"/>
      <c r="M5" s="27"/>
      <c r="N5" s="27"/>
      <c r="O5" s="27"/>
      <c r="P5" s="27"/>
      <c r="Q5" s="27"/>
      <c r="R5" s="27"/>
      <c r="S5" s="27"/>
      <c r="T5" s="27"/>
      <c r="U5" s="27"/>
      <c r="V5" s="27"/>
      <c r="W5" s="27"/>
      <c r="X5" s="27"/>
      <c r="Y5" s="27"/>
      <c r="Z5" s="27"/>
      <c r="AA5" s="27"/>
      <c r="AB5" s="27"/>
      <c r="AC5" s="28" t="s">
        <v>212</v>
      </c>
      <c r="AD5" s="28">
        <v>4</v>
      </c>
    </row>
    <row r="6" spans="1:30" ht="22.5" customHeight="1">
      <c r="A6" s="169"/>
      <c r="B6" s="78"/>
      <c r="C6" s="26" t="s">
        <v>61</v>
      </c>
      <c r="D6" s="27"/>
      <c r="E6" s="27"/>
      <c r="F6" s="27"/>
      <c r="G6" s="27"/>
      <c r="H6" s="27"/>
      <c r="I6" s="27"/>
      <c r="J6" s="27"/>
      <c r="K6" s="27"/>
      <c r="L6" s="27"/>
      <c r="M6" s="27"/>
      <c r="N6" s="27"/>
      <c r="O6" s="27"/>
      <c r="P6" s="27"/>
      <c r="Q6" s="27"/>
      <c r="R6" s="27"/>
      <c r="S6" s="27"/>
      <c r="T6" s="27"/>
      <c r="U6" s="27"/>
      <c r="V6" s="27"/>
      <c r="W6" s="27"/>
      <c r="X6" s="27"/>
      <c r="Y6" s="27"/>
      <c r="Z6" s="27"/>
      <c r="AA6" s="27"/>
      <c r="AB6" s="27"/>
      <c r="AC6" s="28"/>
      <c r="AD6" s="28">
        <v>5</v>
      </c>
    </row>
    <row r="7" spans="1:30" ht="22.5" customHeight="1">
      <c r="A7" s="169"/>
      <c r="B7" s="78"/>
      <c r="C7" s="26" t="s">
        <v>61</v>
      </c>
      <c r="D7" s="27"/>
      <c r="E7" s="27"/>
      <c r="F7" s="27"/>
      <c r="G7" s="27"/>
      <c r="H7" s="27"/>
      <c r="I7" s="27"/>
      <c r="J7" s="27"/>
      <c r="K7" s="27"/>
      <c r="L7" s="27"/>
      <c r="M7" s="27"/>
      <c r="N7" s="27"/>
      <c r="O7" s="27"/>
      <c r="P7" s="27"/>
      <c r="Q7" s="27"/>
      <c r="R7" s="27"/>
      <c r="S7" s="27"/>
      <c r="T7" s="27"/>
      <c r="U7" s="27"/>
      <c r="V7" s="27"/>
      <c r="W7" s="27"/>
      <c r="X7" s="27"/>
      <c r="Y7" s="27"/>
      <c r="Z7" s="27"/>
      <c r="AA7" s="27"/>
      <c r="AB7" s="27"/>
      <c r="AC7" s="28"/>
      <c r="AD7" s="28" t="s">
        <v>212</v>
      </c>
    </row>
    <row r="8" spans="1:30" ht="22.5" customHeight="1">
      <c r="A8" s="169"/>
      <c r="B8" s="78"/>
      <c r="C8" s="26" t="s">
        <v>61</v>
      </c>
      <c r="D8" s="27"/>
      <c r="E8" s="27"/>
      <c r="F8" s="27"/>
      <c r="G8" s="27"/>
      <c r="H8" s="27"/>
      <c r="I8" s="27"/>
      <c r="J8" s="27"/>
      <c r="K8" s="27"/>
      <c r="L8" s="27"/>
      <c r="M8" s="27"/>
      <c r="N8" s="27"/>
      <c r="O8" s="27"/>
      <c r="P8" s="27"/>
      <c r="Q8" s="27"/>
      <c r="R8" s="27"/>
      <c r="S8" s="27"/>
      <c r="T8" s="27"/>
      <c r="U8" s="27"/>
      <c r="V8" s="27"/>
      <c r="W8" s="27"/>
      <c r="X8" s="27"/>
      <c r="Y8" s="27"/>
      <c r="Z8" s="27"/>
      <c r="AA8" s="27"/>
      <c r="AB8" s="27"/>
    </row>
    <row r="9" spans="1:30" ht="22.5" customHeight="1">
      <c r="A9" s="169"/>
      <c r="B9" s="78"/>
      <c r="C9" s="26" t="s">
        <v>61</v>
      </c>
      <c r="D9" s="27"/>
      <c r="E9" s="27"/>
      <c r="F9" s="27"/>
      <c r="G9" s="27"/>
      <c r="H9" s="27"/>
      <c r="I9" s="27"/>
      <c r="J9" s="27"/>
      <c r="K9" s="27"/>
      <c r="L9" s="27"/>
      <c r="M9" s="27"/>
      <c r="N9" s="27"/>
      <c r="O9" s="27"/>
      <c r="P9" s="27"/>
      <c r="Q9" s="27"/>
      <c r="R9" s="27"/>
      <c r="S9" s="27"/>
      <c r="T9" s="27"/>
      <c r="U9" s="27"/>
      <c r="V9" s="27"/>
      <c r="W9" s="27"/>
      <c r="X9" s="27"/>
      <c r="Y9" s="27"/>
      <c r="Z9" s="27"/>
      <c r="AA9" s="27"/>
      <c r="AB9" s="27"/>
    </row>
    <row r="10" spans="1:30" ht="22.5" customHeight="1">
      <c r="A10" s="169"/>
      <c r="B10" s="78"/>
      <c r="C10" s="26" t="s">
        <v>61</v>
      </c>
      <c r="D10" s="27"/>
      <c r="E10" s="27"/>
      <c r="F10" s="27"/>
      <c r="G10" s="27"/>
      <c r="H10" s="27"/>
      <c r="I10" s="27"/>
      <c r="J10" s="27"/>
      <c r="K10" s="27"/>
      <c r="L10" s="27"/>
      <c r="M10" s="27"/>
      <c r="N10" s="27"/>
      <c r="O10" s="27"/>
      <c r="P10" s="27"/>
      <c r="Q10" s="27"/>
      <c r="R10" s="27"/>
      <c r="S10" s="27"/>
      <c r="T10" s="27"/>
      <c r="U10" s="27"/>
      <c r="V10" s="27"/>
      <c r="W10" s="27"/>
      <c r="X10" s="27"/>
      <c r="Y10" s="27"/>
      <c r="Z10" s="27"/>
      <c r="AA10" s="27"/>
      <c r="AB10" s="27"/>
    </row>
    <row r="11" spans="1:30" ht="22.5" customHeight="1">
      <c r="A11" s="169"/>
      <c r="B11" s="78"/>
      <c r="C11" s="26" t="s">
        <v>61</v>
      </c>
      <c r="D11" s="27"/>
      <c r="E11" s="27"/>
      <c r="F11" s="27"/>
      <c r="G11" s="27"/>
      <c r="H11" s="27"/>
      <c r="I11" s="27"/>
      <c r="J11" s="27"/>
      <c r="K11" s="27"/>
      <c r="L11" s="27"/>
      <c r="M11" s="27"/>
      <c r="N11" s="27"/>
      <c r="O11" s="27"/>
      <c r="P11" s="27"/>
      <c r="Q11" s="27"/>
      <c r="R11" s="27"/>
      <c r="S11" s="27"/>
      <c r="T11" s="27"/>
      <c r="U11" s="27"/>
      <c r="V11" s="27"/>
      <c r="W11" s="27"/>
      <c r="X11" s="27"/>
      <c r="Y11" s="27"/>
      <c r="Z11" s="27"/>
      <c r="AA11" s="27"/>
      <c r="AB11" s="27"/>
    </row>
    <row r="12" spans="1:30" ht="30" customHeight="1">
      <c r="A12" s="170"/>
      <c r="B12" s="29"/>
      <c r="C12" s="85" t="s">
        <v>62</v>
      </c>
      <c r="D12" s="27">
        <v>3</v>
      </c>
      <c r="E12" s="27">
        <v>4</v>
      </c>
      <c r="F12" s="27">
        <v>3</v>
      </c>
      <c r="G12" s="27">
        <v>5</v>
      </c>
      <c r="H12" s="27">
        <v>5</v>
      </c>
      <c r="I12" s="27">
        <v>4</v>
      </c>
      <c r="J12" s="27">
        <v>4</v>
      </c>
      <c r="K12" s="27">
        <v>3</v>
      </c>
      <c r="L12" s="27">
        <v>3</v>
      </c>
      <c r="M12" s="27">
        <v>3</v>
      </c>
      <c r="N12" s="27">
        <v>3</v>
      </c>
      <c r="O12" s="27">
        <v>3</v>
      </c>
      <c r="P12" s="27">
        <v>5</v>
      </c>
      <c r="Q12" s="27">
        <v>5</v>
      </c>
      <c r="R12" s="27">
        <v>3</v>
      </c>
      <c r="S12" s="27">
        <v>5</v>
      </c>
      <c r="T12" s="27"/>
      <c r="U12" s="27"/>
      <c r="V12" s="27"/>
      <c r="W12" s="27"/>
      <c r="X12" s="27"/>
      <c r="Y12" s="27"/>
      <c r="Z12" s="27"/>
      <c r="AA12" s="27"/>
      <c r="AB12" s="27"/>
    </row>
    <row r="13" spans="1:30" ht="26.25" customHeight="1">
      <c r="A13" s="30"/>
      <c r="B13" s="30"/>
      <c r="C13" s="77" t="s">
        <v>49</v>
      </c>
      <c r="D13" s="27"/>
      <c r="E13" s="27"/>
      <c r="F13" s="27"/>
      <c r="G13" s="27"/>
      <c r="H13" s="27"/>
      <c r="I13" s="27"/>
      <c r="J13" s="27"/>
      <c r="K13" s="27"/>
      <c r="L13" s="27"/>
      <c r="M13" s="27"/>
      <c r="N13" s="27"/>
      <c r="O13" s="27"/>
      <c r="P13" s="27"/>
      <c r="Q13" s="27"/>
      <c r="R13" s="27"/>
      <c r="S13" s="27"/>
      <c r="T13" s="27"/>
      <c r="U13" s="27"/>
      <c r="V13" s="27"/>
      <c r="W13" s="27"/>
      <c r="X13" s="27"/>
      <c r="Y13" s="27"/>
      <c r="Z13" s="27"/>
      <c r="AA13" s="27"/>
      <c r="AB13" s="27"/>
    </row>
    <row r="14" spans="1:30" ht="22.5" customHeight="1">
      <c r="A14" s="31" t="s">
        <v>20</v>
      </c>
      <c r="B14" s="174" t="s">
        <v>63</v>
      </c>
      <c r="C14" s="175"/>
      <c r="D14" s="175"/>
      <c r="E14" s="175"/>
      <c r="F14" s="175"/>
      <c r="G14" s="175"/>
      <c r="H14" s="175"/>
      <c r="I14" s="175"/>
      <c r="J14" s="175"/>
      <c r="K14" s="175"/>
      <c r="L14" s="175"/>
      <c r="M14" s="175"/>
      <c r="N14" s="175"/>
      <c r="O14" s="175"/>
      <c r="P14" s="175"/>
      <c r="Q14" s="175"/>
      <c r="R14" s="175"/>
      <c r="S14" s="175"/>
      <c r="T14" s="175"/>
      <c r="U14" s="175"/>
      <c r="V14" s="175"/>
      <c r="W14" s="175"/>
      <c r="X14" s="175"/>
      <c r="Y14" s="175"/>
      <c r="Z14" s="175"/>
      <c r="AA14" s="175"/>
      <c r="AB14" s="176"/>
    </row>
    <row r="15" spans="1:30" ht="59.25" customHeight="1">
      <c r="A15" s="32" t="s">
        <v>64</v>
      </c>
      <c r="B15" s="171" t="s">
        <v>80</v>
      </c>
      <c r="C15" s="172"/>
      <c r="D15" s="172"/>
      <c r="E15" s="172"/>
      <c r="F15" s="172"/>
      <c r="G15" s="172"/>
      <c r="H15" s="172"/>
      <c r="I15" s="172"/>
      <c r="J15" s="172"/>
      <c r="K15" s="172"/>
      <c r="L15" s="172"/>
      <c r="M15" s="172"/>
      <c r="N15" s="172"/>
      <c r="O15" s="172"/>
      <c r="P15" s="172"/>
      <c r="Q15" s="172"/>
      <c r="R15" s="172"/>
      <c r="S15" s="172"/>
      <c r="T15" s="172"/>
      <c r="U15" s="172"/>
      <c r="V15" s="172"/>
      <c r="W15" s="172"/>
      <c r="X15" s="172"/>
      <c r="Y15" s="172"/>
      <c r="Z15" s="172"/>
      <c r="AA15" s="172"/>
      <c r="AB15" s="173"/>
    </row>
    <row r="16" spans="1:30" ht="59.25" customHeight="1">
      <c r="A16" s="32" t="s">
        <v>65</v>
      </c>
      <c r="B16" s="171"/>
      <c r="C16" s="172"/>
      <c r="D16" s="172"/>
      <c r="E16" s="172"/>
      <c r="F16" s="172"/>
      <c r="G16" s="172"/>
      <c r="H16" s="172"/>
      <c r="I16" s="172"/>
      <c r="J16" s="172"/>
      <c r="K16" s="172"/>
      <c r="L16" s="172"/>
      <c r="M16" s="172"/>
      <c r="N16" s="172"/>
      <c r="O16" s="172"/>
      <c r="P16" s="172"/>
      <c r="Q16" s="172"/>
      <c r="R16" s="172"/>
      <c r="S16" s="172"/>
      <c r="T16" s="172"/>
      <c r="U16" s="172"/>
      <c r="V16" s="172"/>
      <c r="W16" s="172"/>
      <c r="X16" s="172"/>
      <c r="Y16" s="172"/>
      <c r="Z16" s="172"/>
      <c r="AA16" s="172"/>
      <c r="AB16" s="173"/>
    </row>
    <row r="17" spans="1:28" ht="59.25" customHeight="1">
      <c r="A17" s="32" t="s">
        <v>66</v>
      </c>
      <c r="B17" s="171" t="s">
        <v>81</v>
      </c>
      <c r="C17" s="172"/>
      <c r="D17" s="172"/>
      <c r="E17" s="172"/>
      <c r="F17" s="172"/>
      <c r="G17" s="172"/>
      <c r="H17" s="172"/>
      <c r="I17" s="172"/>
      <c r="J17" s="172"/>
      <c r="K17" s="172"/>
      <c r="L17" s="172"/>
      <c r="M17" s="172"/>
      <c r="N17" s="172"/>
      <c r="O17" s="172"/>
      <c r="P17" s="172"/>
      <c r="Q17" s="172"/>
      <c r="R17" s="172"/>
      <c r="S17" s="172"/>
      <c r="T17" s="172"/>
      <c r="U17" s="172"/>
      <c r="V17" s="172"/>
      <c r="W17" s="172"/>
      <c r="X17" s="172"/>
      <c r="Y17" s="172"/>
      <c r="Z17" s="172"/>
      <c r="AA17" s="172"/>
      <c r="AB17" s="173"/>
    </row>
    <row r="18" spans="1:28" ht="59.25" customHeight="1">
      <c r="A18" s="32" t="s">
        <v>67</v>
      </c>
      <c r="B18" s="171"/>
      <c r="C18" s="172"/>
      <c r="D18" s="172"/>
      <c r="E18" s="172"/>
      <c r="F18" s="172"/>
      <c r="G18" s="172"/>
      <c r="H18" s="172"/>
      <c r="I18" s="172"/>
      <c r="J18" s="172"/>
      <c r="K18" s="172"/>
      <c r="L18" s="172"/>
      <c r="M18" s="172"/>
      <c r="N18" s="172"/>
      <c r="O18" s="172"/>
      <c r="P18" s="172"/>
      <c r="Q18" s="172"/>
      <c r="R18" s="172"/>
      <c r="S18" s="172"/>
      <c r="T18" s="172"/>
      <c r="U18" s="172"/>
      <c r="V18" s="172"/>
      <c r="W18" s="172"/>
      <c r="X18" s="172"/>
      <c r="Y18" s="172"/>
      <c r="Z18" s="172"/>
      <c r="AA18" s="172"/>
      <c r="AB18" s="173"/>
    </row>
    <row r="19" spans="1:28" ht="59.25" customHeight="1">
      <c r="A19" s="32" t="s">
        <v>68</v>
      </c>
      <c r="B19" s="171"/>
      <c r="C19" s="172"/>
      <c r="D19" s="172"/>
      <c r="E19" s="172"/>
      <c r="F19" s="172"/>
      <c r="G19" s="172"/>
      <c r="H19" s="172"/>
      <c r="I19" s="172"/>
      <c r="J19" s="172"/>
      <c r="K19" s="172"/>
      <c r="L19" s="172"/>
      <c r="M19" s="172"/>
      <c r="N19" s="172"/>
      <c r="O19" s="172"/>
      <c r="P19" s="172"/>
      <c r="Q19" s="172"/>
      <c r="R19" s="172"/>
      <c r="S19" s="172"/>
      <c r="T19" s="172"/>
      <c r="U19" s="172"/>
      <c r="V19" s="172"/>
      <c r="W19" s="172"/>
      <c r="X19" s="172"/>
      <c r="Y19" s="172"/>
      <c r="Z19" s="172"/>
      <c r="AA19" s="172"/>
      <c r="AB19" s="173"/>
    </row>
    <row r="20" spans="1:28" ht="59.25" customHeight="1">
      <c r="A20" s="32" t="s">
        <v>69</v>
      </c>
      <c r="B20" s="171" t="s">
        <v>82</v>
      </c>
      <c r="C20" s="172"/>
      <c r="D20" s="172"/>
      <c r="E20" s="172"/>
      <c r="F20" s="172"/>
      <c r="G20" s="172"/>
      <c r="H20" s="172"/>
      <c r="I20" s="172"/>
      <c r="J20" s="172"/>
      <c r="K20" s="172"/>
      <c r="L20" s="172"/>
      <c r="M20" s="172"/>
      <c r="N20" s="172"/>
      <c r="O20" s="172"/>
      <c r="P20" s="172"/>
      <c r="Q20" s="172"/>
      <c r="R20" s="172"/>
      <c r="S20" s="172"/>
      <c r="T20" s="172"/>
      <c r="U20" s="172"/>
      <c r="V20" s="172"/>
      <c r="W20" s="172"/>
      <c r="X20" s="172"/>
      <c r="Y20" s="172"/>
      <c r="Z20" s="172"/>
      <c r="AA20" s="172"/>
      <c r="AB20" s="173"/>
    </row>
    <row r="21" spans="1:28" ht="59.25" customHeight="1">
      <c r="A21" s="32" t="s">
        <v>70</v>
      </c>
      <c r="B21" s="171" t="s">
        <v>83</v>
      </c>
      <c r="C21" s="172"/>
      <c r="D21" s="172"/>
      <c r="E21" s="172"/>
      <c r="F21" s="172"/>
      <c r="G21" s="172"/>
      <c r="H21" s="172"/>
      <c r="I21" s="172"/>
      <c r="J21" s="172"/>
      <c r="K21" s="172"/>
      <c r="L21" s="172"/>
      <c r="M21" s="172"/>
      <c r="N21" s="172"/>
      <c r="O21" s="172"/>
      <c r="P21" s="172"/>
      <c r="Q21" s="172"/>
      <c r="R21" s="172"/>
      <c r="S21" s="172"/>
      <c r="T21" s="172"/>
      <c r="U21" s="172"/>
      <c r="V21" s="172"/>
      <c r="W21" s="172"/>
      <c r="X21" s="172"/>
      <c r="Y21" s="172"/>
      <c r="Z21" s="172"/>
      <c r="AA21" s="172"/>
      <c r="AB21" s="173"/>
    </row>
    <row r="22" spans="1:28" ht="59.25" customHeight="1">
      <c r="A22" s="32" t="s">
        <v>71</v>
      </c>
      <c r="B22" s="171" t="s">
        <v>84</v>
      </c>
      <c r="C22" s="172"/>
      <c r="D22" s="172"/>
      <c r="E22" s="172"/>
      <c r="F22" s="172"/>
      <c r="G22" s="172"/>
      <c r="H22" s="172"/>
      <c r="I22" s="172"/>
      <c r="J22" s="172"/>
      <c r="K22" s="172"/>
      <c r="L22" s="172"/>
      <c r="M22" s="172"/>
      <c r="N22" s="172"/>
      <c r="O22" s="172"/>
      <c r="P22" s="172"/>
      <c r="Q22" s="172"/>
      <c r="R22" s="172"/>
      <c r="S22" s="172"/>
      <c r="T22" s="172"/>
      <c r="U22" s="172"/>
      <c r="V22" s="172"/>
      <c r="W22" s="172"/>
      <c r="X22" s="172"/>
      <c r="Y22" s="172"/>
      <c r="Z22" s="172"/>
      <c r="AA22" s="172"/>
      <c r="AB22" s="173"/>
    </row>
    <row r="23" spans="1:28" ht="59.25" customHeight="1">
      <c r="A23" s="32" t="s">
        <v>72</v>
      </c>
      <c r="B23" s="171" t="s">
        <v>85</v>
      </c>
      <c r="C23" s="172"/>
      <c r="D23" s="172"/>
      <c r="E23" s="172"/>
      <c r="F23" s="172"/>
      <c r="G23" s="172"/>
      <c r="H23" s="172"/>
      <c r="I23" s="172"/>
      <c r="J23" s="172"/>
      <c r="K23" s="172"/>
      <c r="L23" s="172"/>
      <c r="M23" s="172"/>
      <c r="N23" s="172"/>
      <c r="O23" s="172"/>
      <c r="P23" s="172"/>
      <c r="Q23" s="172"/>
      <c r="R23" s="172"/>
      <c r="S23" s="172"/>
      <c r="T23" s="172"/>
      <c r="U23" s="172"/>
      <c r="V23" s="172"/>
      <c r="W23" s="172"/>
      <c r="X23" s="172"/>
      <c r="Y23" s="172"/>
      <c r="Z23" s="172"/>
      <c r="AA23" s="172"/>
      <c r="AB23" s="173"/>
    </row>
    <row r="24" spans="1:28" ht="59.25" customHeight="1">
      <c r="A24" s="32" t="s">
        <v>73</v>
      </c>
      <c r="B24" s="171" t="s">
        <v>86</v>
      </c>
      <c r="C24" s="172"/>
      <c r="D24" s="172"/>
      <c r="E24" s="172"/>
      <c r="F24" s="172"/>
      <c r="G24" s="172"/>
      <c r="H24" s="172"/>
      <c r="I24" s="172"/>
      <c r="J24" s="172"/>
      <c r="K24" s="172"/>
      <c r="L24" s="172"/>
      <c r="M24" s="172"/>
      <c r="N24" s="172"/>
      <c r="O24" s="172"/>
      <c r="P24" s="172"/>
      <c r="Q24" s="172"/>
      <c r="R24" s="172"/>
      <c r="S24" s="172"/>
      <c r="T24" s="172"/>
      <c r="U24" s="172"/>
      <c r="V24" s="172"/>
      <c r="W24" s="172"/>
      <c r="X24" s="172"/>
      <c r="Y24" s="172"/>
      <c r="Z24" s="172"/>
      <c r="AA24" s="172"/>
      <c r="AB24" s="173"/>
    </row>
    <row r="25" spans="1:28" ht="59.25" customHeight="1">
      <c r="A25" s="32" t="s">
        <v>74</v>
      </c>
      <c r="B25" s="171" t="s">
        <v>87</v>
      </c>
      <c r="C25" s="172"/>
      <c r="D25" s="172"/>
      <c r="E25" s="172"/>
      <c r="F25" s="172"/>
      <c r="G25" s="172"/>
      <c r="H25" s="172"/>
      <c r="I25" s="172"/>
      <c r="J25" s="172"/>
      <c r="K25" s="172"/>
      <c r="L25" s="172"/>
      <c r="M25" s="172"/>
      <c r="N25" s="172"/>
      <c r="O25" s="172"/>
      <c r="P25" s="172"/>
      <c r="Q25" s="172"/>
      <c r="R25" s="172"/>
      <c r="S25" s="172"/>
      <c r="T25" s="172"/>
      <c r="U25" s="172"/>
      <c r="V25" s="172"/>
      <c r="W25" s="172"/>
      <c r="X25" s="172"/>
      <c r="Y25" s="172"/>
      <c r="Z25" s="172"/>
      <c r="AA25" s="172"/>
      <c r="AB25" s="173"/>
    </row>
    <row r="26" spans="1:28" ht="59.25" customHeight="1">
      <c r="A26" s="32" t="s">
        <v>75</v>
      </c>
      <c r="B26" s="171" t="s">
        <v>88</v>
      </c>
      <c r="C26" s="172"/>
      <c r="D26" s="172"/>
      <c r="E26" s="172"/>
      <c r="F26" s="172"/>
      <c r="G26" s="172"/>
      <c r="H26" s="172"/>
      <c r="I26" s="172"/>
      <c r="J26" s="172"/>
      <c r="K26" s="172"/>
      <c r="L26" s="172"/>
      <c r="M26" s="172"/>
      <c r="N26" s="172"/>
      <c r="O26" s="172"/>
      <c r="P26" s="172"/>
      <c r="Q26" s="172"/>
      <c r="R26" s="172"/>
      <c r="S26" s="172"/>
      <c r="T26" s="172"/>
      <c r="U26" s="172"/>
      <c r="V26" s="172"/>
      <c r="W26" s="172"/>
      <c r="X26" s="172"/>
      <c r="Y26" s="172"/>
      <c r="Z26" s="172"/>
      <c r="AA26" s="172"/>
      <c r="AB26" s="173"/>
    </row>
    <row r="27" spans="1:28" ht="59.25" customHeight="1">
      <c r="A27" s="32" t="s">
        <v>76</v>
      </c>
      <c r="B27" s="171"/>
      <c r="C27" s="172"/>
      <c r="D27" s="172"/>
      <c r="E27" s="172"/>
      <c r="F27" s="172"/>
      <c r="G27" s="172"/>
      <c r="H27" s="172"/>
      <c r="I27" s="172"/>
      <c r="J27" s="172"/>
      <c r="K27" s="172"/>
      <c r="L27" s="172"/>
      <c r="M27" s="172"/>
      <c r="N27" s="172"/>
      <c r="O27" s="172"/>
      <c r="P27" s="172"/>
      <c r="Q27" s="172"/>
      <c r="R27" s="172"/>
      <c r="S27" s="172"/>
      <c r="T27" s="172"/>
      <c r="U27" s="172"/>
      <c r="V27" s="172"/>
      <c r="W27" s="172"/>
      <c r="X27" s="172"/>
      <c r="Y27" s="172"/>
      <c r="Z27" s="172"/>
      <c r="AA27" s="172"/>
      <c r="AB27" s="173"/>
    </row>
    <row r="28" spans="1:28" ht="59.25" customHeight="1">
      <c r="A28" s="32" t="s">
        <v>77</v>
      </c>
      <c r="B28" s="171"/>
      <c r="C28" s="172"/>
      <c r="D28" s="172"/>
      <c r="E28" s="172"/>
      <c r="F28" s="172"/>
      <c r="G28" s="172"/>
      <c r="H28" s="172"/>
      <c r="I28" s="172"/>
      <c r="J28" s="172"/>
      <c r="K28" s="172"/>
      <c r="L28" s="172"/>
      <c r="M28" s="172"/>
      <c r="N28" s="172"/>
      <c r="O28" s="172"/>
      <c r="P28" s="172"/>
      <c r="Q28" s="172"/>
      <c r="R28" s="172"/>
      <c r="S28" s="172"/>
      <c r="T28" s="172"/>
      <c r="U28" s="172"/>
      <c r="V28" s="172"/>
      <c r="W28" s="172"/>
      <c r="X28" s="172"/>
      <c r="Y28" s="172"/>
      <c r="Z28" s="172"/>
      <c r="AA28" s="172"/>
      <c r="AB28" s="173"/>
    </row>
    <row r="29" spans="1:28" ht="59.25" customHeight="1">
      <c r="A29" s="32" t="s">
        <v>78</v>
      </c>
      <c r="B29" s="171" t="s">
        <v>89</v>
      </c>
      <c r="C29" s="172"/>
      <c r="D29" s="172"/>
      <c r="E29" s="172"/>
      <c r="F29" s="172"/>
      <c r="G29" s="172"/>
      <c r="H29" s="172"/>
      <c r="I29" s="172"/>
      <c r="J29" s="172"/>
      <c r="K29" s="172"/>
      <c r="L29" s="172"/>
      <c r="M29" s="172"/>
      <c r="N29" s="172"/>
      <c r="O29" s="172"/>
      <c r="P29" s="172"/>
      <c r="Q29" s="172"/>
      <c r="R29" s="172"/>
      <c r="S29" s="172"/>
      <c r="T29" s="172"/>
      <c r="U29" s="172"/>
      <c r="V29" s="172"/>
      <c r="W29" s="172"/>
      <c r="X29" s="172"/>
      <c r="Y29" s="172"/>
      <c r="Z29" s="172"/>
      <c r="AA29" s="172"/>
      <c r="AB29" s="173"/>
    </row>
    <row r="30" spans="1:28" ht="59.25" customHeight="1">
      <c r="A30" s="32" t="s">
        <v>79</v>
      </c>
      <c r="B30" s="171"/>
      <c r="C30" s="172"/>
      <c r="D30" s="172"/>
      <c r="E30" s="172"/>
      <c r="F30" s="172"/>
      <c r="G30" s="172"/>
      <c r="H30" s="172"/>
      <c r="I30" s="172"/>
      <c r="J30" s="172"/>
      <c r="K30" s="172"/>
      <c r="L30" s="172"/>
      <c r="M30" s="172"/>
      <c r="N30" s="172"/>
      <c r="O30" s="172"/>
      <c r="P30" s="172"/>
      <c r="Q30" s="172"/>
      <c r="R30" s="172"/>
      <c r="S30" s="172"/>
      <c r="T30" s="172"/>
      <c r="U30" s="172"/>
      <c r="V30" s="172"/>
      <c r="W30" s="172"/>
      <c r="X30" s="172"/>
      <c r="Y30" s="172"/>
      <c r="Z30" s="172"/>
      <c r="AA30" s="172"/>
      <c r="AB30" s="173"/>
    </row>
    <row r="31" spans="1:28" ht="59.25" customHeight="1">
      <c r="A31" s="32"/>
      <c r="B31" s="171"/>
      <c r="C31" s="172"/>
      <c r="D31" s="172"/>
      <c r="E31" s="172"/>
      <c r="F31" s="172"/>
      <c r="G31" s="172"/>
      <c r="H31" s="172"/>
      <c r="I31" s="172"/>
      <c r="J31" s="172"/>
      <c r="K31" s="172"/>
      <c r="L31" s="172"/>
      <c r="M31" s="172"/>
      <c r="N31" s="172"/>
      <c r="O31" s="172"/>
      <c r="P31" s="172"/>
      <c r="Q31" s="172"/>
      <c r="R31" s="172"/>
      <c r="S31" s="172"/>
      <c r="T31" s="172"/>
      <c r="U31" s="172"/>
      <c r="V31" s="172"/>
      <c r="W31" s="172"/>
      <c r="X31" s="172"/>
      <c r="Y31" s="172"/>
      <c r="Z31" s="172"/>
      <c r="AA31" s="172"/>
      <c r="AB31" s="173"/>
    </row>
    <row r="32" spans="1:28" ht="59.25" customHeight="1">
      <c r="A32" s="32"/>
      <c r="B32" s="171"/>
      <c r="C32" s="172"/>
      <c r="D32" s="172"/>
      <c r="E32" s="172"/>
      <c r="F32" s="172"/>
      <c r="G32" s="172"/>
      <c r="H32" s="172"/>
      <c r="I32" s="172"/>
      <c r="J32" s="172"/>
      <c r="K32" s="172"/>
      <c r="L32" s="172"/>
      <c r="M32" s="172"/>
      <c r="N32" s="172"/>
      <c r="O32" s="172"/>
      <c r="P32" s="172"/>
      <c r="Q32" s="172"/>
      <c r="R32" s="172"/>
      <c r="S32" s="172"/>
      <c r="T32" s="172"/>
      <c r="U32" s="172"/>
      <c r="V32" s="172"/>
      <c r="W32" s="172"/>
      <c r="X32" s="172"/>
      <c r="Y32" s="172"/>
      <c r="Z32" s="172"/>
      <c r="AA32" s="172"/>
      <c r="AB32" s="173"/>
    </row>
    <row r="33" spans="1:28" ht="59.25" customHeight="1">
      <c r="A33" s="32"/>
      <c r="B33" s="171"/>
      <c r="C33" s="172"/>
      <c r="D33" s="172"/>
      <c r="E33" s="172"/>
      <c r="F33" s="172"/>
      <c r="G33" s="172"/>
      <c r="H33" s="172"/>
      <c r="I33" s="172"/>
      <c r="J33" s="172"/>
      <c r="K33" s="172"/>
      <c r="L33" s="172"/>
      <c r="M33" s="172"/>
      <c r="N33" s="172"/>
      <c r="O33" s="172"/>
      <c r="P33" s="172"/>
      <c r="Q33" s="172"/>
      <c r="R33" s="172"/>
      <c r="S33" s="172"/>
      <c r="T33" s="172"/>
      <c r="U33" s="172"/>
      <c r="V33" s="172"/>
      <c r="W33" s="172"/>
      <c r="X33" s="172"/>
      <c r="Y33" s="172"/>
      <c r="Z33" s="172"/>
      <c r="AA33" s="172"/>
      <c r="AB33" s="173"/>
    </row>
    <row r="34" spans="1:28" ht="59.25" customHeight="1">
      <c r="A34" s="32"/>
      <c r="B34" s="171"/>
      <c r="C34" s="172"/>
      <c r="D34" s="172"/>
      <c r="E34" s="172"/>
      <c r="F34" s="172"/>
      <c r="G34" s="172"/>
      <c r="H34" s="172"/>
      <c r="I34" s="172"/>
      <c r="J34" s="172"/>
      <c r="K34" s="172"/>
      <c r="L34" s="172"/>
      <c r="M34" s="172"/>
      <c r="N34" s="172"/>
      <c r="O34" s="172"/>
      <c r="P34" s="172"/>
      <c r="Q34" s="172"/>
      <c r="R34" s="172"/>
      <c r="S34" s="172"/>
      <c r="T34" s="172"/>
      <c r="U34" s="172"/>
      <c r="V34" s="172"/>
      <c r="W34" s="172"/>
      <c r="X34" s="172"/>
      <c r="Y34" s="172"/>
      <c r="Z34" s="172"/>
      <c r="AA34" s="172"/>
      <c r="AB34" s="173"/>
    </row>
    <row r="35" spans="1:28" ht="59.25" customHeight="1">
      <c r="A35" s="32"/>
      <c r="B35" s="171"/>
      <c r="C35" s="172"/>
      <c r="D35" s="172"/>
      <c r="E35" s="172"/>
      <c r="F35" s="172"/>
      <c r="G35" s="172"/>
      <c r="H35" s="172"/>
      <c r="I35" s="172"/>
      <c r="J35" s="172"/>
      <c r="K35" s="172"/>
      <c r="L35" s="172"/>
      <c r="M35" s="172"/>
      <c r="N35" s="172"/>
      <c r="O35" s="172"/>
      <c r="P35" s="172"/>
      <c r="Q35" s="172"/>
      <c r="R35" s="172"/>
      <c r="S35" s="172"/>
      <c r="T35" s="172"/>
      <c r="U35" s="172"/>
      <c r="V35" s="172"/>
      <c r="W35" s="172"/>
      <c r="X35" s="172"/>
      <c r="Y35" s="172"/>
      <c r="Z35" s="172"/>
      <c r="AA35" s="172"/>
      <c r="AB35" s="173"/>
    </row>
    <row r="36" spans="1:28" ht="59.25" customHeight="1">
      <c r="A36" s="32"/>
      <c r="B36" s="171"/>
      <c r="C36" s="172"/>
      <c r="D36" s="172"/>
      <c r="E36" s="172"/>
      <c r="F36" s="172"/>
      <c r="G36" s="172"/>
      <c r="H36" s="172"/>
      <c r="I36" s="172"/>
      <c r="J36" s="172"/>
      <c r="K36" s="172"/>
      <c r="L36" s="172"/>
      <c r="M36" s="172"/>
      <c r="N36" s="172"/>
      <c r="O36" s="172"/>
      <c r="P36" s="172"/>
      <c r="Q36" s="172"/>
      <c r="R36" s="172"/>
      <c r="S36" s="172"/>
      <c r="T36" s="172"/>
      <c r="U36" s="172"/>
      <c r="V36" s="172"/>
      <c r="W36" s="172"/>
      <c r="X36" s="172"/>
      <c r="Y36" s="172"/>
      <c r="Z36" s="172"/>
      <c r="AA36" s="172"/>
      <c r="AB36" s="173"/>
    </row>
    <row r="37" spans="1:28" ht="59.25" customHeight="1">
      <c r="A37" s="32"/>
      <c r="B37" s="171"/>
      <c r="C37" s="172"/>
      <c r="D37" s="172"/>
      <c r="E37" s="172"/>
      <c r="F37" s="172"/>
      <c r="G37" s="172"/>
      <c r="H37" s="172"/>
      <c r="I37" s="172"/>
      <c r="J37" s="172"/>
      <c r="K37" s="172"/>
      <c r="L37" s="172"/>
      <c r="M37" s="172"/>
      <c r="N37" s="172"/>
      <c r="O37" s="172"/>
      <c r="P37" s="172"/>
      <c r="Q37" s="172"/>
      <c r="R37" s="172"/>
      <c r="S37" s="172"/>
      <c r="T37" s="172"/>
      <c r="U37" s="172"/>
      <c r="V37" s="172"/>
      <c r="W37" s="172"/>
      <c r="X37" s="172"/>
      <c r="Y37" s="172"/>
      <c r="Z37" s="172"/>
      <c r="AA37" s="172"/>
      <c r="AB37" s="173"/>
    </row>
    <row r="38" spans="1:28" ht="59.25" customHeight="1">
      <c r="A38" s="32"/>
      <c r="B38" s="171"/>
      <c r="C38" s="172"/>
      <c r="D38" s="172"/>
      <c r="E38" s="172"/>
      <c r="F38" s="172"/>
      <c r="G38" s="172"/>
      <c r="H38" s="172"/>
      <c r="I38" s="172"/>
      <c r="J38" s="172"/>
      <c r="K38" s="172"/>
      <c r="L38" s="172"/>
      <c r="M38" s="172"/>
      <c r="N38" s="172"/>
      <c r="O38" s="172"/>
      <c r="P38" s="172"/>
      <c r="Q38" s="172"/>
      <c r="R38" s="172"/>
      <c r="S38" s="172"/>
      <c r="T38" s="172"/>
      <c r="U38" s="172"/>
      <c r="V38" s="172"/>
      <c r="W38" s="172"/>
      <c r="X38" s="172"/>
      <c r="Y38" s="172"/>
      <c r="Z38" s="172"/>
      <c r="AA38" s="172"/>
      <c r="AB38" s="173"/>
    </row>
    <row r="39" spans="1:28" ht="59.25" customHeight="1">
      <c r="A39" s="32"/>
      <c r="B39" s="171"/>
      <c r="C39" s="172"/>
      <c r="D39" s="172"/>
      <c r="E39" s="172"/>
      <c r="F39" s="172"/>
      <c r="G39" s="172"/>
      <c r="H39" s="172"/>
      <c r="I39" s="172"/>
      <c r="J39" s="172"/>
      <c r="K39" s="172"/>
      <c r="L39" s="172"/>
      <c r="M39" s="172"/>
      <c r="N39" s="172"/>
      <c r="O39" s="172"/>
      <c r="P39" s="172"/>
      <c r="Q39" s="172"/>
      <c r="R39" s="172"/>
      <c r="S39" s="172"/>
      <c r="T39" s="172"/>
      <c r="U39" s="172"/>
      <c r="V39" s="172"/>
      <c r="W39" s="172"/>
      <c r="X39" s="172"/>
      <c r="Y39" s="172"/>
      <c r="Z39" s="172"/>
      <c r="AA39" s="172"/>
      <c r="AB39" s="173"/>
    </row>
    <row r="40" spans="1:28" ht="22.5" customHeight="1"/>
    <row r="41" spans="1:28" ht="22.5" customHeight="1"/>
    <row r="42" spans="1:28" ht="22.5" customHeight="1"/>
    <row r="43" spans="1:28" ht="22.5" customHeight="1"/>
    <row r="44" spans="1:28" ht="17.25" customHeight="1"/>
    <row r="45" spans="1:28" ht="17.25" customHeight="1"/>
    <row r="46" spans="1:28" ht="17.25" customHeight="1"/>
    <row r="47" spans="1:28" ht="17.25" customHeight="1"/>
    <row r="48" spans="1:28" ht="17.25" customHeight="1"/>
    <row r="49" ht="17.25" customHeight="1"/>
    <row r="50" ht="17.25" customHeight="1"/>
    <row r="51" ht="17.25" customHeight="1"/>
    <row r="52" ht="17.25" customHeight="1"/>
    <row r="53" ht="17.25" customHeight="1"/>
    <row r="54" ht="17.25" customHeight="1"/>
    <row r="55" ht="17.25" customHeight="1"/>
    <row r="56" ht="17.25" customHeight="1"/>
    <row r="57" ht="17.25" customHeight="1"/>
    <row r="58" ht="17.25" customHeight="1"/>
    <row r="59" ht="17.25" customHeight="1"/>
    <row r="60" ht="17.25" customHeight="1"/>
    <row r="61" ht="17.25" customHeight="1"/>
    <row r="62" ht="17.25" customHeight="1"/>
    <row r="63" ht="17.25" customHeight="1"/>
    <row r="64"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row r="155" ht="17.25" customHeight="1"/>
    <row r="156" ht="17.25" customHeight="1"/>
    <row r="157" ht="17.25" customHeight="1"/>
    <row r="158" ht="17.25" customHeight="1"/>
    <row r="159" ht="17.25" customHeight="1"/>
    <row r="160" ht="17.25" customHeight="1"/>
    <row r="161" ht="17.25" customHeight="1"/>
    <row r="162" ht="17.25" customHeight="1"/>
    <row r="163" ht="17.25" customHeight="1"/>
    <row r="164" ht="17.25" customHeight="1"/>
    <row r="165" ht="17.25" customHeight="1"/>
    <row r="166" ht="17.25" customHeight="1"/>
    <row r="167" ht="17.25" customHeight="1"/>
    <row r="168" ht="17.25" customHeight="1"/>
    <row r="169" ht="17.25" customHeight="1"/>
    <row r="170" ht="17.25" customHeight="1"/>
    <row r="171" ht="17.25" customHeight="1"/>
    <row r="172" ht="17.25" customHeight="1"/>
    <row r="173" ht="17.25" customHeight="1"/>
    <row r="174" ht="17.25" customHeight="1"/>
    <row r="175" ht="17.25" customHeight="1"/>
    <row r="176" ht="17.25" customHeight="1"/>
    <row r="177" ht="17.25" customHeight="1"/>
    <row r="178" ht="17.25" customHeight="1"/>
    <row r="179" ht="17.25" customHeight="1"/>
    <row r="180" ht="17.25" customHeight="1"/>
    <row r="181" ht="17.25" customHeight="1"/>
    <row r="182" ht="17.25" customHeight="1"/>
    <row r="183" ht="17.25" customHeight="1"/>
    <row r="184" ht="17.25" customHeight="1"/>
    <row r="185" ht="17.25" customHeight="1"/>
    <row r="186" ht="17.25" customHeight="1"/>
    <row r="187" ht="17.25" customHeight="1"/>
    <row r="188" ht="17.25" customHeight="1"/>
    <row r="189" ht="17.25" customHeight="1"/>
    <row r="190" ht="17.25" customHeight="1"/>
    <row r="191" ht="17.25" customHeight="1"/>
    <row r="192" ht="17.25" customHeight="1"/>
    <row r="193" ht="17.25" customHeight="1"/>
  </sheetData>
  <mergeCells count="27">
    <mergeCell ref="B38:AB38"/>
    <mergeCell ref="B39:AB39"/>
    <mergeCell ref="B23:AB23"/>
    <mergeCell ref="B24:AB24"/>
    <mergeCell ref="B14:AB14"/>
    <mergeCell ref="B15:AB15"/>
    <mergeCell ref="B16:AB16"/>
    <mergeCell ref="B17:AB17"/>
    <mergeCell ref="B18:AB18"/>
    <mergeCell ref="B19:AB19"/>
    <mergeCell ref="B20:AB20"/>
    <mergeCell ref="B21:AB21"/>
    <mergeCell ref="B22:AB22"/>
    <mergeCell ref="A2:A12"/>
    <mergeCell ref="B35:AB35"/>
    <mergeCell ref="B36:AB36"/>
    <mergeCell ref="B37:AB37"/>
    <mergeCell ref="B25:AB25"/>
    <mergeCell ref="B26:AB26"/>
    <mergeCell ref="B27:AB27"/>
    <mergeCell ref="B28:AB28"/>
    <mergeCell ref="B29:AB29"/>
    <mergeCell ref="B30:AB30"/>
    <mergeCell ref="B31:AB31"/>
    <mergeCell ref="B32:AB32"/>
    <mergeCell ref="B33:AB33"/>
    <mergeCell ref="B34:AB34"/>
  </mergeCells>
  <phoneticPr fontId="1"/>
  <dataValidations count="2">
    <dataValidation type="list" allowBlank="1" showDropDown="1" showInputMessage="1" showErrorMessage="1" sqref="D2:AB11">
      <formula1>$AC$2:$AC$5</formula1>
    </dataValidation>
    <dataValidation type="list" allowBlank="1" showDropDown="1" showInputMessage="1" showErrorMessage="1" errorTitle="文字エラー" error="半角数字1～5か、評価不能の場合は-（半角マイナス）を入れて下さい。" sqref="D12:AB13">
      <formula1>$AD$2:$AD$7</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1"/>
  </sheetPr>
  <dimension ref="A1:AD193"/>
  <sheetViews>
    <sheetView workbookViewId="0">
      <selection sqref="A1:XFD1048576"/>
    </sheetView>
  </sheetViews>
  <sheetFormatPr defaultRowHeight="13.5"/>
  <cols>
    <col min="1" max="1" width="13.5" style="4" customWidth="1"/>
    <col min="2" max="2" width="79.125" style="4" customWidth="1"/>
    <col min="3" max="3" width="9.375" style="4" customWidth="1"/>
    <col min="4" max="28" width="4.125" style="4" customWidth="1"/>
    <col min="29" max="16384" width="9" style="4"/>
  </cols>
  <sheetData>
    <row r="1" spans="1:30" ht="85.5" customHeight="1">
      <c r="A1" s="21" t="str">
        <f ca="1">MID(CELL("filename",A1),FIND("[",CELL("filename",A1))+1,3)</f>
        <v>８－２</v>
      </c>
      <c r="B1" s="22" t="str">
        <f ca="1">RIGHT(CELL("filename",B1),LEN(CELL("filename",B1))-FIND("]",CELL("filename",B1)))</f>
        <v>理科</v>
      </c>
      <c r="C1" s="23" t="s">
        <v>60</v>
      </c>
      <c r="D1" s="24" t="str">
        <f>A15</f>
        <v>・+A15である。知識の定着も確実でよい。B15</v>
      </c>
      <c r="E1" s="24" t="str">
        <f>A16</f>
        <v>荻原 知香</v>
      </c>
      <c r="F1" s="24" t="str">
        <f>A17</f>
        <v>片桐 葵</v>
      </c>
      <c r="G1" s="24" t="str">
        <f>A18</f>
        <v>上島 碧依</v>
      </c>
      <c r="H1" s="24" t="str">
        <f>A19</f>
        <v>藏井 陽菜乃</v>
      </c>
      <c r="I1" s="24" t="str">
        <f>A20</f>
        <v>小松 雅治</v>
      </c>
      <c r="J1" s="24" t="str">
        <f>A21</f>
        <v>須藤 爽斗</v>
      </c>
      <c r="K1" s="24" t="str">
        <f>A22</f>
        <v>滝 陽香</v>
      </c>
      <c r="L1" s="24" t="str">
        <f>A23</f>
        <v>永江 仁</v>
      </c>
      <c r="M1" s="24" t="str">
        <f>A24</f>
        <v>林 果菜</v>
      </c>
      <c r="N1" s="24" t="str">
        <f>A25</f>
        <v>原 維香</v>
      </c>
      <c r="O1" s="24" t="str">
        <f>A26</f>
        <v>丸山 心音</v>
      </c>
      <c r="P1" s="24" t="str">
        <f>A27</f>
        <v>森本 浩士</v>
      </c>
      <c r="Q1" s="24" t="str">
        <f>A28</f>
        <v>栁沢 美緒</v>
      </c>
      <c r="R1" s="24" t="str">
        <f>A29</f>
        <v>横山 麟太</v>
      </c>
      <c r="S1" s="24" t="str">
        <f>A30</f>
        <v>渡邊 了介</v>
      </c>
      <c r="T1" s="24">
        <f>A31</f>
        <v>0</v>
      </c>
      <c r="U1" s="24">
        <f>A32</f>
        <v>0</v>
      </c>
      <c r="V1" s="24">
        <f>A33</f>
        <v>0</v>
      </c>
      <c r="W1" s="24">
        <f>A34</f>
        <v>0</v>
      </c>
      <c r="X1" s="24">
        <f>A35</f>
        <v>0</v>
      </c>
      <c r="Y1" s="24">
        <f>A36</f>
        <v>0</v>
      </c>
      <c r="Z1" s="24">
        <f>A37</f>
        <v>0</v>
      </c>
      <c r="AA1" s="24">
        <f>A38</f>
        <v>0</v>
      </c>
      <c r="AB1" s="24">
        <f>A39</f>
        <v>0</v>
      </c>
      <c r="AC1" s="25"/>
    </row>
    <row r="2" spans="1:30" ht="22.5" customHeight="1">
      <c r="A2" s="168" t="s">
        <v>213</v>
      </c>
      <c r="B2" s="58" t="s">
        <v>90</v>
      </c>
      <c r="C2" s="26" t="s">
        <v>61</v>
      </c>
      <c r="D2" s="79" t="s">
        <v>214</v>
      </c>
      <c r="E2" s="79" t="s">
        <v>195</v>
      </c>
      <c r="F2" s="79" t="s">
        <v>214</v>
      </c>
      <c r="G2" s="79" t="s">
        <v>194</v>
      </c>
      <c r="H2" s="79" t="s">
        <v>215</v>
      </c>
      <c r="I2" s="79" t="s">
        <v>214</v>
      </c>
      <c r="J2" s="79" t="s">
        <v>215</v>
      </c>
      <c r="K2" s="79" t="s">
        <v>214</v>
      </c>
      <c r="L2" s="79" t="s">
        <v>216</v>
      </c>
      <c r="M2" s="79" t="s">
        <v>214</v>
      </c>
      <c r="N2" s="79" t="s">
        <v>214</v>
      </c>
      <c r="O2" s="79" t="s">
        <v>214</v>
      </c>
      <c r="P2" s="79" t="s">
        <v>215</v>
      </c>
      <c r="Q2" s="79" t="s">
        <v>216</v>
      </c>
      <c r="R2" s="79" t="s">
        <v>216</v>
      </c>
      <c r="S2" s="79" t="s">
        <v>215</v>
      </c>
      <c r="T2" s="27"/>
      <c r="U2" s="27"/>
      <c r="V2" s="27"/>
      <c r="W2" s="27"/>
      <c r="X2" s="27"/>
      <c r="Y2" s="27"/>
      <c r="Z2" s="27"/>
      <c r="AA2" s="27"/>
      <c r="AB2" s="27"/>
      <c r="AC2" s="28" t="s">
        <v>180</v>
      </c>
      <c r="AD2" s="28">
        <v>1</v>
      </c>
    </row>
    <row r="3" spans="1:30" ht="22.5" customHeight="1">
      <c r="A3" s="169"/>
      <c r="B3" s="58" t="s">
        <v>91</v>
      </c>
      <c r="C3" s="26" t="s">
        <v>61</v>
      </c>
      <c r="D3" s="79" t="s">
        <v>215</v>
      </c>
      <c r="E3" s="79" t="s">
        <v>195</v>
      </c>
      <c r="F3" s="79" t="s">
        <v>216</v>
      </c>
      <c r="G3" s="79" t="s">
        <v>217</v>
      </c>
      <c r="H3" s="79" t="s">
        <v>215</v>
      </c>
      <c r="I3" s="79" t="s">
        <v>217</v>
      </c>
      <c r="J3" s="79" t="s">
        <v>217</v>
      </c>
      <c r="K3" s="79" t="s">
        <v>217</v>
      </c>
      <c r="L3" s="79" t="s">
        <v>217</v>
      </c>
      <c r="M3" s="79" t="s">
        <v>216</v>
      </c>
      <c r="N3" s="79" t="s">
        <v>216</v>
      </c>
      <c r="O3" s="79" t="s">
        <v>217</v>
      </c>
      <c r="P3" s="79" t="s">
        <v>217</v>
      </c>
      <c r="Q3" s="79" t="s">
        <v>217</v>
      </c>
      <c r="R3" s="79" t="s">
        <v>217</v>
      </c>
      <c r="S3" s="79" t="s">
        <v>217</v>
      </c>
      <c r="T3" s="27"/>
      <c r="U3" s="27"/>
      <c r="V3" s="27"/>
      <c r="W3" s="27"/>
      <c r="X3" s="27"/>
      <c r="Y3" s="27"/>
      <c r="Z3" s="27"/>
      <c r="AA3" s="27"/>
      <c r="AB3" s="27"/>
      <c r="AC3" s="28" t="s">
        <v>202</v>
      </c>
      <c r="AD3" s="28">
        <v>2</v>
      </c>
    </row>
    <row r="4" spans="1:30" ht="22.5" customHeight="1">
      <c r="A4" s="169"/>
      <c r="B4" s="83" t="s">
        <v>56</v>
      </c>
      <c r="C4" s="26" t="s">
        <v>61</v>
      </c>
      <c r="D4" s="79" t="s">
        <v>217</v>
      </c>
      <c r="E4" s="79" t="s">
        <v>217</v>
      </c>
      <c r="F4" s="79" t="s">
        <v>216</v>
      </c>
      <c r="G4" s="79" t="s">
        <v>217</v>
      </c>
      <c r="H4" s="79" t="s">
        <v>217</v>
      </c>
      <c r="I4" s="79" t="s">
        <v>217</v>
      </c>
      <c r="J4" s="79" t="s">
        <v>217</v>
      </c>
      <c r="K4" s="79" t="s">
        <v>217</v>
      </c>
      <c r="L4" s="79" t="s">
        <v>217</v>
      </c>
      <c r="M4" s="79" t="s">
        <v>215</v>
      </c>
      <c r="N4" s="79" t="s">
        <v>217</v>
      </c>
      <c r="O4" s="79" t="s">
        <v>215</v>
      </c>
      <c r="P4" s="79" t="s">
        <v>217</v>
      </c>
      <c r="Q4" s="79" t="s">
        <v>215</v>
      </c>
      <c r="R4" s="79" t="s">
        <v>216</v>
      </c>
      <c r="S4" s="79" t="s">
        <v>217</v>
      </c>
      <c r="T4" s="27"/>
      <c r="U4" s="27"/>
      <c r="V4" s="27"/>
      <c r="W4" s="27"/>
      <c r="X4" s="27"/>
      <c r="Y4" s="27"/>
      <c r="Z4" s="27"/>
      <c r="AA4" s="27"/>
      <c r="AB4" s="27"/>
      <c r="AC4" s="28" t="s">
        <v>203</v>
      </c>
      <c r="AD4" s="28">
        <v>3</v>
      </c>
    </row>
    <row r="5" spans="1:30" ht="22.5" customHeight="1">
      <c r="A5" s="169"/>
      <c r="B5" s="78"/>
      <c r="C5" s="26" t="s">
        <v>61</v>
      </c>
      <c r="D5" s="79"/>
      <c r="E5" s="79"/>
      <c r="F5" s="79"/>
      <c r="G5" s="79"/>
      <c r="H5" s="79"/>
      <c r="I5" s="79"/>
      <c r="J5" s="79"/>
      <c r="K5" s="79"/>
      <c r="L5" s="79"/>
      <c r="M5" s="79"/>
      <c r="N5" s="79"/>
      <c r="O5" s="79"/>
      <c r="P5" s="79"/>
      <c r="Q5" s="79"/>
      <c r="R5" s="79"/>
      <c r="S5" s="79"/>
      <c r="T5" s="27"/>
      <c r="U5" s="27"/>
      <c r="V5" s="27"/>
      <c r="W5" s="27"/>
      <c r="X5" s="27"/>
      <c r="Y5" s="27"/>
      <c r="Z5" s="27"/>
      <c r="AA5" s="27"/>
      <c r="AB5" s="27"/>
      <c r="AC5" s="28" t="s">
        <v>205</v>
      </c>
      <c r="AD5" s="28">
        <v>4</v>
      </c>
    </row>
    <row r="6" spans="1:30" ht="22.5" customHeight="1">
      <c r="A6" s="169"/>
      <c r="B6" s="78"/>
      <c r="C6" s="26" t="s">
        <v>61</v>
      </c>
      <c r="D6" s="79"/>
      <c r="E6" s="79"/>
      <c r="F6" s="79"/>
      <c r="G6" s="79"/>
      <c r="H6" s="79"/>
      <c r="I6" s="79"/>
      <c r="J6" s="79"/>
      <c r="K6" s="79"/>
      <c r="L6" s="79"/>
      <c r="M6" s="79"/>
      <c r="N6" s="79"/>
      <c r="O6" s="79"/>
      <c r="P6" s="79"/>
      <c r="Q6" s="79"/>
      <c r="R6" s="79"/>
      <c r="S6" s="79"/>
      <c r="T6" s="27"/>
      <c r="U6" s="27"/>
      <c r="V6" s="27"/>
      <c r="W6" s="27"/>
      <c r="X6" s="27"/>
      <c r="Y6" s="27"/>
      <c r="Z6" s="27"/>
      <c r="AA6" s="27"/>
      <c r="AB6" s="27"/>
      <c r="AC6" s="28"/>
      <c r="AD6" s="28">
        <v>5</v>
      </c>
    </row>
    <row r="7" spans="1:30" ht="22.5" customHeight="1">
      <c r="A7" s="169"/>
      <c r="B7" s="78"/>
      <c r="C7" s="26" t="s">
        <v>61</v>
      </c>
      <c r="D7" s="79"/>
      <c r="E7" s="79"/>
      <c r="F7" s="79"/>
      <c r="G7" s="79"/>
      <c r="H7" s="79"/>
      <c r="I7" s="79"/>
      <c r="J7" s="79"/>
      <c r="K7" s="79"/>
      <c r="L7" s="79"/>
      <c r="M7" s="79"/>
      <c r="N7" s="79"/>
      <c r="O7" s="79"/>
      <c r="P7" s="79"/>
      <c r="Q7" s="79"/>
      <c r="R7" s="79"/>
      <c r="S7" s="79"/>
      <c r="T7" s="27"/>
      <c r="U7" s="27"/>
      <c r="V7" s="27"/>
      <c r="W7" s="27"/>
      <c r="X7" s="27"/>
      <c r="Y7" s="27"/>
      <c r="Z7" s="27"/>
      <c r="AA7" s="27"/>
      <c r="AB7" s="27"/>
      <c r="AC7" s="28"/>
      <c r="AD7" s="28" t="s">
        <v>205</v>
      </c>
    </row>
    <row r="8" spans="1:30" ht="22.5" customHeight="1">
      <c r="A8" s="169"/>
      <c r="B8" s="78"/>
      <c r="C8" s="26" t="s">
        <v>61</v>
      </c>
      <c r="D8" s="79"/>
      <c r="E8" s="79"/>
      <c r="F8" s="79"/>
      <c r="G8" s="79"/>
      <c r="H8" s="79"/>
      <c r="I8" s="79"/>
      <c r="J8" s="79"/>
      <c r="K8" s="79"/>
      <c r="L8" s="79"/>
      <c r="M8" s="79"/>
      <c r="N8" s="79"/>
      <c r="O8" s="79"/>
      <c r="P8" s="79"/>
      <c r="Q8" s="79"/>
      <c r="R8" s="79"/>
      <c r="S8" s="79"/>
      <c r="T8" s="27"/>
      <c r="U8" s="27"/>
      <c r="V8" s="27"/>
      <c r="W8" s="27"/>
      <c r="X8" s="27"/>
      <c r="Y8" s="27"/>
      <c r="Z8" s="27"/>
      <c r="AA8" s="27"/>
      <c r="AB8" s="27"/>
    </row>
    <row r="9" spans="1:30" ht="22.5" customHeight="1">
      <c r="A9" s="169"/>
      <c r="B9" s="78"/>
      <c r="C9" s="26" t="s">
        <v>61</v>
      </c>
      <c r="D9" s="79"/>
      <c r="E9" s="79"/>
      <c r="F9" s="79"/>
      <c r="G9" s="79"/>
      <c r="H9" s="79"/>
      <c r="I9" s="79"/>
      <c r="J9" s="79"/>
      <c r="K9" s="79"/>
      <c r="L9" s="79"/>
      <c r="M9" s="79"/>
      <c r="N9" s="79"/>
      <c r="O9" s="79"/>
      <c r="P9" s="79"/>
      <c r="Q9" s="79"/>
      <c r="R9" s="79"/>
      <c r="S9" s="79"/>
      <c r="T9" s="27"/>
      <c r="U9" s="27"/>
      <c r="V9" s="27"/>
      <c r="W9" s="27"/>
      <c r="X9" s="27"/>
      <c r="Y9" s="27"/>
      <c r="Z9" s="27"/>
      <c r="AA9" s="27"/>
      <c r="AB9" s="27"/>
    </row>
    <row r="10" spans="1:30" ht="22.5" customHeight="1">
      <c r="A10" s="169"/>
      <c r="B10" s="78"/>
      <c r="C10" s="26" t="s">
        <v>61</v>
      </c>
      <c r="D10" s="79"/>
      <c r="E10" s="79"/>
      <c r="F10" s="79"/>
      <c r="G10" s="79"/>
      <c r="H10" s="79"/>
      <c r="I10" s="79"/>
      <c r="J10" s="79"/>
      <c r="K10" s="79"/>
      <c r="L10" s="79"/>
      <c r="M10" s="79"/>
      <c r="N10" s="79"/>
      <c r="O10" s="79"/>
      <c r="P10" s="79"/>
      <c r="Q10" s="79"/>
      <c r="R10" s="79"/>
      <c r="S10" s="79"/>
      <c r="T10" s="27"/>
      <c r="U10" s="27"/>
      <c r="V10" s="27"/>
      <c r="W10" s="27"/>
      <c r="X10" s="27"/>
      <c r="Y10" s="27"/>
      <c r="Z10" s="27"/>
      <c r="AA10" s="27"/>
      <c r="AB10" s="27"/>
    </row>
    <row r="11" spans="1:30" ht="22.5" customHeight="1">
      <c r="A11" s="169"/>
      <c r="B11" s="78"/>
      <c r="C11" s="26" t="s">
        <v>61</v>
      </c>
      <c r="D11" s="27"/>
      <c r="E11" s="27"/>
      <c r="F11" s="27"/>
      <c r="G11" s="27"/>
      <c r="H11" s="27"/>
      <c r="I11" s="27"/>
      <c r="J11" s="27"/>
      <c r="K11" s="27"/>
      <c r="L11" s="27"/>
      <c r="M11" s="27"/>
      <c r="N11" s="27"/>
      <c r="O11" s="27"/>
      <c r="P11" s="27"/>
      <c r="Q11" s="27"/>
      <c r="R11" s="27"/>
      <c r="S11" s="27"/>
      <c r="T11" s="27"/>
      <c r="U11" s="27"/>
      <c r="V11" s="27"/>
      <c r="W11" s="27"/>
      <c r="X11" s="27"/>
      <c r="Y11" s="27"/>
      <c r="Z11" s="27"/>
      <c r="AA11" s="27"/>
      <c r="AB11" s="27"/>
    </row>
    <row r="12" spans="1:30" ht="30" customHeight="1">
      <c r="A12" s="170"/>
      <c r="B12" s="29"/>
      <c r="C12" s="85" t="s">
        <v>62</v>
      </c>
      <c r="D12" s="79">
        <v>4</v>
      </c>
      <c r="E12" s="79">
        <v>5</v>
      </c>
      <c r="F12" s="79">
        <v>3</v>
      </c>
      <c r="G12" s="79">
        <v>4</v>
      </c>
      <c r="H12" s="79">
        <v>5</v>
      </c>
      <c r="I12" s="79">
        <v>4</v>
      </c>
      <c r="J12" s="79">
        <v>5</v>
      </c>
      <c r="K12" s="79">
        <v>4</v>
      </c>
      <c r="L12" s="79">
        <v>4</v>
      </c>
      <c r="M12" s="79">
        <v>3</v>
      </c>
      <c r="N12" s="79">
        <v>3</v>
      </c>
      <c r="O12" s="79">
        <v>4</v>
      </c>
      <c r="P12" s="79">
        <v>5</v>
      </c>
      <c r="Q12" s="79">
        <v>4</v>
      </c>
      <c r="R12" s="79">
        <v>3</v>
      </c>
      <c r="S12" s="79">
        <v>5</v>
      </c>
      <c r="T12" s="27"/>
      <c r="U12" s="27"/>
      <c r="V12" s="27"/>
      <c r="W12" s="27"/>
      <c r="X12" s="27"/>
      <c r="Y12" s="27"/>
      <c r="Z12" s="27"/>
      <c r="AA12" s="27"/>
      <c r="AB12" s="27"/>
    </row>
    <row r="13" spans="1:30" ht="26.25" customHeight="1">
      <c r="A13" s="30"/>
      <c r="B13" s="30"/>
      <c r="C13" s="77" t="s">
        <v>49</v>
      </c>
      <c r="D13" s="27"/>
      <c r="E13" s="27"/>
      <c r="F13" s="27"/>
      <c r="G13" s="27"/>
      <c r="H13" s="27"/>
      <c r="I13" s="27"/>
      <c r="J13" s="27"/>
      <c r="K13" s="27"/>
      <c r="L13" s="27"/>
      <c r="M13" s="27"/>
      <c r="N13" s="27"/>
      <c r="O13" s="27"/>
      <c r="P13" s="27"/>
      <c r="Q13" s="27"/>
      <c r="R13" s="27"/>
      <c r="S13" s="27"/>
      <c r="T13" s="27"/>
      <c r="U13" s="27"/>
      <c r="V13" s="27"/>
      <c r="W13" s="27"/>
      <c r="X13" s="27"/>
      <c r="Y13" s="27"/>
      <c r="Z13" s="27"/>
      <c r="AA13" s="27"/>
      <c r="AB13" s="27"/>
    </row>
    <row r="14" spans="1:30" ht="22.5" customHeight="1">
      <c r="A14" s="31" t="s">
        <v>20</v>
      </c>
      <c r="B14" s="174" t="s">
        <v>63</v>
      </c>
      <c r="C14" s="175"/>
      <c r="D14" s="175"/>
      <c r="E14" s="175"/>
      <c r="F14" s="175"/>
      <c r="G14" s="175"/>
      <c r="H14" s="175"/>
      <c r="I14" s="175"/>
      <c r="J14" s="175"/>
      <c r="K14" s="175"/>
      <c r="L14" s="175"/>
      <c r="M14" s="175"/>
      <c r="N14" s="175"/>
      <c r="O14" s="175"/>
      <c r="P14" s="175"/>
      <c r="Q14" s="175"/>
      <c r="R14" s="175"/>
      <c r="S14" s="175"/>
      <c r="T14" s="175"/>
      <c r="U14" s="175"/>
      <c r="V14" s="175"/>
      <c r="W14" s="175"/>
      <c r="X14" s="175"/>
      <c r="Y14" s="175"/>
      <c r="Z14" s="175"/>
      <c r="AA14" s="175"/>
      <c r="AB14" s="176"/>
    </row>
    <row r="15" spans="1:30" ht="59.25" customHeight="1">
      <c r="A15" s="39" t="s">
        <v>92</v>
      </c>
      <c r="B15" s="171" t="s">
        <v>93</v>
      </c>
      <c r="C15" s="172"/>
      <c r="D15" s="172"/>
      <c r="E15" s="172"/>
      <c r="F15" s="172"/>
      <c r="G15" s="172"/>
      <c r="H15" s="172"/>
      <c r="I15" s="172"/>
      <c r="J15" s="172"/>
      <c r="K15" s="172"/>
      <c r="L15" s="172"/>
      <c r="M15" s="172"/>
      <c r="N15" s="172"/>
      <c r="O15" s="172"/>
      <c r="P15" s="172"/>
      <c r="Q15" s="172"/>
      <c r="R15" s="172"/>
      <c r="S15" s="172"/>
      <c r="T15" s="172"/>
      <c r="U15" s="172"/>
      <c r="V15" s="172"/>
      <c r="W15" s="172"/>
      <c r="X15" s="172"/>
      <c r="Y15" s="172"/>
      <c r="Z15" s="172"/>
      <c r="AA15" s="172"/>
      <c r="AB15" s="173"/>
    </row>
    <row r="16" spans="1:30" ht="59.25" customHeight="1">
      <c r="A16" s="32" t="s">
        <v>65</v>
      </c>
      <c r="B16" s="171" t="s">
        <v>94</v>
      </c>
      <c r="C16" s="172"/>
      <c r="D16" s="172"/>
      <c r="E16" s="172"/>
      <c r="F16" s="172"/>
      <c r="G16" s="172"/>
      <c r="H16" s="172"/>
      <c r="I16" s="172"/>
      <c r="J16" s="172"/>
      <c r="K16" s="172"/>
      <c r="L16" s="172"/>
      <c r="M16" s="172"/>
      <c r="N16" s="172"/>
      <c r="O16" s="172"/>
      <c r="P16" s="172"/>
      <c r="Q16" s="172"/>
      <c r="R16" s="172"/>
      <c r="S16" s="172"/>
      <c r="T16" s="172"/>
      <c r="U16" s="172"/>
      <c r="V16" s="172"/>
      <c r="W16" s="172"/>
      <c r="X16" s="172"/>
      <c r="Y16" s="172"/>
      <c r="Z16" s="172"/>
      <c r="AA16" s="172"/>
      <c r="AB16" s="173"/>
    </row>
    <row r="17" spans="1:28" ht="59.25" customHeight="1">
      <c r="A17" s="32" t="s">
        <v>66</v>
      </c>
      <c r="B17" s="171" t="s">
        <v>95</v>
      </c>
      <c r="C17" s="172"/>
      <c r="D17" s="172"/>
      <c r="E17" s="172"/>
      <c r="F17" s="172"/>
      <c r="G17" s="172"/>
      <c r="H17" s="172"/>
      <c r="I17" s="172"/>
      <c r="J17" s="172"/>
      <c r="K17" s="172"/>
      <c r="L17" s="172"/>
      <c r="M17" s="172"/>
      <c r="N17" s="172"/>
      <c r="O17" s="172"/>
      <c r="P17" s="172"/>
      <c r="Q17" s="172"/>
      <c r="R17" s="172"/>
      <c r="S17" s="172"/>
      <c r="T17" s="172"/>
      <c r="U17" s="172"/>
      <c r="V17" s="172"/>
      <c r="W17" s="172"/>
      <c r="X17" s="172"/>
      <c r="Y17" s="172"/>
      <c r="Z17" s="172"/>
      <c r="AA17" s="172"/>
      <c r="AB17" s="173"/>
    </row>
    <row r="18" spans="1:28" ht="59.25" customHeight="1">
      <c r="A18" s="32" t="s">
        <v>67</v>
      </c>
      <c r="B18" s="171" t="s">
        <v>96</v>
      </c>
      <c r="C18" s="172"/>
      <c r="D18" s="172"/>
      <c r="E18" s="172"/>
      <c r="F18" s="172"/>
      <c r="G18" s="172"/>
      <c r="H18" s="172"/>
      <c r="I18" s="172"/>
      <c r="J18" s="172"/>
      <c r="K18" s="172"/>
      <c r="L18" s="172"/>
      <c r="M18" s="172"/>
      <c r="N18" s="172"/>
      <c r="O18" s="172"/>
      <c r="P18" s="172"/>
      <c r="Q18" s="172"/>
      <c r="R18" s="172"/>
      <c r="S18" s="172"/>
      <c r="T18" s="172"/>
      <c r="U18" s="172"/>
      <c r="V18" s="172"/>
      <c r="W18" s="172"/>
      <c r="X18" s="172"/>
      <c r="Y18" s="172"/>
      <c r="Z18" s="172"/>
      <c r="AA18" s="172"/>
      <c r="AB18" s="173"/>
    </row>
    <row r="19" spans="1:28" ht="59.25" customHeight="1">
      <c r="A19" s="32" t="s">
        <v>68</v>
      </c>
      <c r="B19" s="171" t="s">
        <v>97</v>
      </c>
      <c r="C19" s="172"/>
      <c r="D19" s="172"/>
      <c r="E19" s="172"/>
      <c r="F19" s="172"/>
      <c r="G19" s="172"/>
      <c r="H19" s="172"/>
      <c r="I19" s="172"/>
      <c r="J19" s="172"/>
      <c r="K19" s="172"/>
      <c r="L19" s="172"/>
      <c r="M19" s="172"/>
      <c r="N19" s="172"/>
      <c r="O19" s="172"/>
      <c r="P19" s="172"/>
      <c r="Q19" s="172"/>
      <c r="R19" s="172"/>
      <c r="S19" s="172"/>
      <c r="T19" s="172"/>
      <c r="U19" s="172"/>
      <c r="V19" s="172"/>
      <c r="W19" s="172"/>
      <c r="X19" s="172"/>
      <c r="Y19" s="172"/>
      <c r="Z19" s="172"/>
      <c r="AA19" s="172"/>
      <c r="AB19" s="173"/>
    </row>
    <row r="20" spans="1:28" ht="59.25" customHeight="1">
      <c r="A20" s="32" t="s">
        <v>69</v>
      </c>
      <c r="B20" s="171" t="s">
        <v>98</v>
      </c>
      <c r="C20" s="172"/>
      <c r="D20" s="172"/>
      <c r="E20" s="172"/>
      <c r="F20" s="172"/>
      <c r="G20" s="172"/>
      <c r="H20" s="172"/>
      <c r="I20" s="172"/>
      <c r="J20" s="172"/>
      <c r="K20" s="172"/>
      <c r="L20" s="172"/>
      <c r="M20" s="172"/>
      <c r="N20" s="172"/>
      <c r="O20" s="172"/>
      <c r="P20" s="172"/>
      <c r="Q20" s="172"/>
      <c r="R20" s="172"/>
      <c r="S20" s="172"/>
      <c r="T20" s="172"/>
      <c r="U20" s="172"/>
      <c r="V20" s="172"/>
      <c r="W20" s="172"/>
      <c r="X20" s="172"/>
      <c r="Y20" s="172"/>
      <c r="Z20" s="172"/>
      <c r="AA20" s="172"/>
      <c r="AB20" s="173"/>
    </row>
    <row r="21" spans="1:28" ht="59.25" customHeight="1">
      <c r="A21" s="32" t="s">
        <v>70</v>
      </c>
      <c r="B21" s="171" t="s">
        <v>99</v>
      </c>
      <c r="C21" s="172"/>
      <c r="D21" s="172"/>
      <c r="E21" s="172"/>
      <c r="F21" s="172"/>
      <c r="G21" s="172"/>
      <c r="H21" s="172"/>
      <c r="I21" s="172"/>
      <c r="J21" s="172"/>
      <c r="K21" s="172"/>
      <c r="L21" s="172"/>
      <c r="M21" s="172"/>
      <c r="N21" s="172"/>
      <c r="O21" s="172"/>
      <c r="P21" s="172"/>
      <c r="Q21" s="172"/>
      <c r="R21" s="172"/>
      <c r="S21" s="172"/>
      <c r="T21" s="172"/>
      <c r="U21" s="172"/>
      <c r="V21" s="172"/>
      <c r="W21" s="172"/>
      <c r="X21" s="172"/>
      <c r="Y21" s="172"/>
      <c r="Z21" s="172"/>
      <c r="AA21" s="172"/>
      <c r="AB21" s="173"/>
    </row>
    <row r="22" spans="1:28" ht="59.25" customHeight="1">
      <c r="A22" s="32" t="s">
        <v>71</v>
      </c>
      <c r="B22" s="171" t="s">
        <v>100</v>
      </c>
      <c r="C22" s="172"/>
      <c r="D22" s="172"/>
      <c r="E22" s="172"/>
      <c r="F22" s="172"/>
      <c r="G22" s="172"/>
      <c r="H22" s="172"/>
      <c r="I22" s="172"/>
      <c r="J22" s="172"/>
      <c r="K22" s="172"/>
      <c r="L22" s="172"/>
      <c r="M22" s="172"/>
      <c r="N22" s="172"/>
      <c r="O22" s="172"/>
      <c r="P22" s="172"/>
      <c r="Q22" s="172"/>
      <c r="R22" s="172"/>
      <c r="S22" s="172"/>
      <c r="T22" s="172"/>
      <c r="U22" s="172"/>
      <c r="V22" s="172"/>
      <c r="W22" s="172"/>
      <c r="X22" s="172"/>
      <c r="Y22" s="172"/>
      <c r="Z22" s="172"/>
      <c r="AA22" s="172"/>
      <c r="AB22" s="173"/>
    </row>
    <row r="23" spans="1:28" ht="59.25" customHeight="1">
      <c r="A23" s="32" t="s">
        <v>72</v>
      </c>
      <c r="B23" s="171" t="s">
        <v>101</v>
      </c>
      <c r="C23" s="172"/>
      <c r="D23" s="172"/>
      <c r="E23" s="172"/>
      <c r="F23" s="172"/>
      <c r="G23" s="172"/>
      <c r="H23" s="172"/>
      <c r="I23" s="172"/>
      <c r="J23" s="172"/>
      <c r="K23" s="172"/>
      <c r="L23" s="172"/>
      <c r="M23" s="172"/>
      <c r="N23" s="172"/>
      <c r="O23" s="172"/>
      <c r="P23" s="172"/>
      <c r="Q23" s="172"/>
      <c r="R23" s="172"/>
      <c r="S23" s="172"/>
      <c r="T23" s="172"/>
      <c r="U23" s="172"/>
      <c r="V23" s="172"/>
      <c r="W23" s="172"/>
      <c r="X23" s="172"/>
      <c r="Y23" s="172"/>
      <c r="Z23" s="172"/>
      <c r="AA23" s="172"/>
      <c r="AB23" s="173"/>
    </row>
    <row r="24" spans="1:28" ht="59.25" customHeight="1">
      <c r="A24" s="32" t="s">
        <v>73</v>
      </c>
      <c r="B24" s="171" t="s">
        <v>102</v>
      </c>
      <c r="C24" s="172"/>
      <c r="D24" s="172"/>
      <c r="E24" s="172"/>
      <c r="F24" s="172"/>
      <c r="G24" s="172"/>
      <c r="H24" s="172"/>
      <c r="I24" s="172"/>
      <c r="J24" s="172"/>
      <c r="K24" s="172"/>
      <c r="L24" s="172"/>
      <c r="M24" s="172"/>
      <c r="N24" s="172"/>
      <c r="O24" s="172"/>
      <c r="P24" s="172"/>
      <c r="Q24" s="172"/>
      <c r="R24" s="172"/>
      <c r="S24" s="172"/>
      <c r="T24" s="172"/>
      <c r="U24" s="172"/>
      <c r="V24" s="172"/>
      <c r="W24" s="172"/>
      <c r="X24" s="172"/>
      <c r="Y24" s="172"/>
      <c r="Z24" s="172"/>
      <c r="AA24" s="172"/>
      <c r="AB24" s="173"/>
    </row>
    <row r="25" spans="1:28" ht="59.25" customHeight="1">
      <c r="A25" s="32" t="s">
        <v>74</v>
      </c>
      <c r="B25" s="171" t="s">
        <v>103</v>
      </c>
      <c r="C25" s="172"/>
      <c r="D25" s="172"/>
      <c r="E25" s="172"/>
      <c r="F25" s="172"/>
      <c r="G25" s="172"/>
      <c r="H25" s="172"/>
      <c r="I25" s="172"/>
      <c r="J25" s="172"/>
      <c r="K25" s="172"/>
      <c r="L25" s="172"/>
      <c r="M25" s="172"/>
      <c r="N25" s="172"/>
      <c r="O25" s="172"/>
      <c r="P25" s="172"/>
      <c r="Q25" s="172"/>
      <c r="R25" s="172"/>
      <c r="S25" s="172"/>
      <c r="T25" s="172"/>
      <c r="U25" s="172"/>
      <c r="V25" s="172"/>
      <c r="W25" s="172"/>
      <c r="X25" s="172"/>
      <c r="Y25" s="172"/>
      <c r="Z25" s="172"/>
      <c r="AA25" s="172"/>
      <c r="AB25" s="173"/>
    </row>
    <row r="26" spans="1:28" ht="59.25" customHeight="1">
      <c r="A26" s="32" t="s">
        <v>75</v>
      </c>
      <c r="B26" s="171" t="s">
        <v>104</v>
      </c>
      <c r="C26" s="172"/>
      <c r="D26" s="172"/>
      <c r="E26" s="172"/>
      <c r="F26" s="172"/>
      <c r="G26" s="172"/>
      <c r="H26" s="172"/>
      <c r="I26" s="172"/>
      <c r="J26" s="172"/>
      <c r="K26" s="172"/>
      <c r="L26" s="172"/>
      <c r="M26" s="172"/>
      <c r="N26" s="172"/>
      <c r="O26" s="172"/>
      <c r="P26" s="172"/>
      <c r="Q26" s="172"/>
      <c r="R26" s="172"/>
      <c r="S26" s="172"/>
      <c r="T26" s="172"/>
      <c r="U26" s="172"/>
      <c r="V26" s="172"/>
      <c r="W26" s="172"/>
      <c r="X26" s="172"/>
      <c r="Y26" s="172"/>
      <c r="Z26" s="172"/>
      <c r="AA26" s="172"/>
      <c r="AB26" s="173"/>
    </row>
    <row r="27" spans="1:28" ht="59.25" customHeight="1">
      <c r="A27" s="32" t="s">
        <v>76</v>
      </c>
      <c r="B27" s="171" t="s">
        <v>105</v>
      </c>
      <c r="C27" s="172"/>
      <c r="D27" s="172"/>
      <c r="E27" s="172"/>
      <c r="F27" s="172"/>
      <c r="G27" s="172"/>
      <c r="H27" s="172"/>
      <c r="I27" s="172"/>
      <c r="J27" s="172"/>
      <c r="K27" s="172"/>
      <c r="L27" s="172"/>
      <c r="M27" s="172"/>
      <c r="N27" s="172"/>
      <c r="O27" s="172"/>
      <c r="P27" s="172"/>
      <c r="Q27" s="172"/>
      <c r="R27" s="172"/>
      <c r="S27" s="172"/>
      <c r="T27" s="172"/>
      <c r="U27" s="172"/>
      <c r="V27" s="172"/>
      <c r="W27" s="172"/>
      <c r="X27" s="172"/>
      <c r="Y27" s="172"/>
      <c r="Z27" s="172"/>
      <c r="AA27" s="172"/>
      <c r="AB27" s="173"/>
    </row>
    <row r="28" spans="1:28" ht="59.25" customHeight="1">
      <c r="A28" s="32" t="s">
        <v>77</v>
      </c>
      <c r="B28" s="171" t="s">
        <v>106</v>
      </c>
      <c r="C28" s="172"/>
      <c r="D28" s="172"/>
      <c r="E28" s="172"/>
      <c r="F28" s="172"/>
      <c r="G28" s="172"/>
      <c r="H28" s="172"/>
      <c r="I28" s="172"/>
      <c r="J28" s="172"/>
      <c r="K28" s="172"/>
      <c r="L28" s="172"/>
      <c r="M28" s="172"/>
      <c r="N28" s="172"/>
      <c r="O28" s="172"/>
      <c r="P28" s="172"/>
      <c r="Q28" s="172"/>
      <c r="R28" s="172"/>
      <c r="S28" s="172"/>
      <c r="T28" s="172"/>
      <c r="U28" s="172"/>
      <c r="V28" s="172"/>
      <c r="W28" s="172"/>
      <c r="X28" s="172"/>
      <c r="Y28" s="172"/>
      <c r="Z28" s="172"/>
      <c r="AA28" s="172"/>
      <c r="AB28" s="173"/>
    </row>
    <row r="29" spans="1:28" ht="59.25" customHeight="1">
      <c r="A29" s="32" t="s">
        <v>78</v>
      </c>
      <c r="B29" s="171" t="s">
        <v>101</v>
      </c>
      <c r="C29" s="172"/>
      <c r="D29" s="172"/>
      <c r="E29" s="172"/>
      <c r="F29" s="172"/>
      <c r="G29" s="172"/>
      <c r="H29" s="172"/>
      <c r="I29" s="172"/>
      <c r="J29" s="172"/>
      <c r="K29" s="172"/>
      <c r="L29" s="172"/>
      <c r="M29" s="172"/>
      <c r="N29" s="172"/>
      <c r="O29" s="172"/>
      <c r="P29" s="172"/>
      <c r="Q29" s="172"/>
      <c r="R29" s="172"/>
      <c r="S29" s="172"/>
      <c r="T29" s="172"/>
      <c r="U29" s="172"/>
      <c r="V29" s="172"/>
      <c r="W29" s="172"/>
      <c r="X29" s="172"/>
      <c r="Y29" s="172"/>
      <c r="Z29" s="172"/>
      <c r="AA29" s="172"/>
      <c r="AB29" s="173"/>
    </row>
    <row r="30" spans="1:28" ht="59.25" customHeight="1">
      <c r="A30" s="32" t="s">
        <v>79</v>
      </c>
      <c r="B30" s="171" t="s">
        <v>107</v>
      </c>
      <c r="C30" s="172"/>
      <c r="D30" s="172"/>
      <c r="E30" s="172"/>
      <c r="F30" s="172"/>
      <c r="G30" s="172"/>
      <c r="H30" s="172"/>
      <c r="I30" s="172"/>
      <c r="J30" s="172"/>
      <c r="K30" s="172"/>
      <c r="L30" s="172"/>
      <c r="M30" s="172"/>
      <c r="N30" s="172"/>
      <c r="O30" s="172"/>
      <c r="P30" s="172"/>
      <c r="Q30" s="172"/>
      <c r="R30" s="172"/>
      <c r="S30" s="172"/>
      <c r="T30" s="172"/>
      <c r="U30" s="172"/>
      <c r="V30" s="172"/>
      <c r="W30" s="172"/>
      <c r="X30" s="172"/>
      <c r="Y30" s="172"/>
      <c r="Z30" s="172"/>
      <c r="AA30" s="172"/>
      <c r="AB30" s="173"/>
    </row>
    <row r="31" spans="1:28" ht="59.25" customHeight="1">
      <c r="A31" s="32"/>
      <c r="B31" s="171"/>
      <c r="C31" s="172"/>
      <c r="D31" s="172"/>
      <c r="E31" s="172"/>
      <c r="F31" s="172"/>
      <c r="G31" s="172"/>
      <c r="H31" s="172"/>
      <c r="I31" s="172"/>
      <c r="J31" s="172"/>
      <c r="K31" s="172"/>
      <c r="L31" s="172"/>
      <c r="M31" s="172"/>
      <c r="N31" s="172"/>
      <c r="O31" s="172"/>
      <c r="P31" s="172"/>
      <c r="Q31" s="172"/>
      <c r="R31" s="172"/>
      <c r="S31" s="172"/>
      <c r="T31" s="172"/>
      <c r="U31" s="172"/>
      <c r="V31" s="172"/>
      <c r="W31" s="172"/>
      <c r="X31" s="172"/>
      <c r="Y31" s="172"/>
      <c r="Z31" s="172"/>
      <c r="AA31" s="172"/>
      <c r="AB31" s="173"/>
    </row>
    <row r="32" spans="1:28" ht="59.25" customHeight="1">
      <c r="A32" s="32"/>
      <c r="B32" s="171"/>
      <c r="C32" s="172"/>
      <c r="D32" s="172"/>
      <c r="E32" s="172"/>
      <c r="F32" s="172"/>
      <c r="G32" s="172"/>
      <c r="H32" s="172"/>
      <c r="I32" s="172"/>
      <c r="J32" s="172"/>
      <c r="K32" s="172"/>
      <c r="L32" s="172"/>
      <c r="M32" s="172"/>
      <c r="N32" s="172"/>
      <c r="O32" s="172"/>
      <c r="P32" s="172"/>
      <c r="Q32" s="172"/>
      <c r="R32" s="172"/>
      <c r="S32" s="172"/>
      <c r="T32" s="172"/>
      <c r="U32" s="172"/>
      <c r="V32" s="172"/>
      <c r="W32" s="172"/>
      <c r="X32" s="172"/>
      <c r="Y32" s="172"/>
      <c r="Z32" s="172"/>
      <c r="AA32" s="172"/>
      <c r="AB32" s="173"/>
    </row>
    <row r="33" spans="1:28" ht="59.25" customHeight="1">
      <c r="A33" s="32"/>
      <c r="B33" s="171"/>
      <c r="C33" s="172"/>
      <c r="D33" s="172"/>
      <c r="E33" s="172"/>
      <c r="F33" s="172"/>
      <c r="G33" s="172"/>
      <c r="H33" s="172"/>
      <c r="I33" s="172"/>
      <c r="J33" s="172"/>
      <c r="K33" s="172"/>
      <c r="L33" s="172"/>
      <c r="M33" s="172"/>
      <c r="N33" s="172"/>
      <c r="O33" s="172"/>
      <c r="P33" s="172"/>
      <c r="Q33" s="172"/>
      <c r="R33" s="172"/>
      <c r="S33" s="172"/>
      <c r="T33" s="172"/>
      <c r="U33" s="172"/>
      <c r="V33" s="172"/>
      <c r="W33" s="172"/>
      <c r="X33" s="172"/>
      <c r="Y33" s="172"/>
      <c r="Z33" s="172"/>
      <c r="AA33" s="172"/>
      <c r="AB33" s="173"/>
    </row>
    <row r="34" spans="1:28" ht="59.25" customHeight="1">
      <c r="A34" s="32"/>
      <c r="B34" s="171"/>
      <c r="C34" s="172"/>
      <c r="D34" s="172"/>
      <c r="E34" s="172"/>
      <c r="F34" s="172"/>
      <c r="G34" s="172"/>
      <c r="H34" s="172"/>
      <c r="I34" s="172"/>
      <c r="J34" s="172"/>
      <c r="K34" s="172"/>
      <c r="L34" s="172"/>
      <c r="M34" s="172"/>
      <c r="N34" s="172"/>
      <c r="O34" s="172"/>
      <c r="P34" s="172"/>
      <c r="Q34" s="172"/>
      <c r="R34" s="172"/>
      <c r="S34" s="172"/>
      <c r="T34" s="172"/>
      <c r="U34" s="172"/>
      <c r="V34" s="172"/>
      <c r="W34" s="172"/>
      <c r="X34" s="172"/>
      <c r="Y34" s="172"/>
      <c r="Z34" s="172"/>
      <c r="AA34" s="172"/>
      <c r="AB34" s="173"/>
    </row>
    <row r="35" spans="1:28" ht="59.25" customHeight="1">
      <c r="A35" s="32"/>
      <c r="B35" s="171"/>
      <c r="C35" s="172"/>
      <c r="D35" s="172"/>
      <c r="E35" s="172"/>
      <c r="F35" s="172"/>
      <c r="G35" s="172"/>
      <c r="H35" s="172"/>
      <c r="I35" s="172"/>
      <c r="J35" s="172"/>
      <c r="K35" s="172"/>
      <c r="L35" s="172"/>
      <c r="M35" s="172"/>
      <c r="N35" s="172"/>
      <c r="O35" s="172"/>
      <c r="P35" s="172"/>
      <c r="Q35" s="172"/>
      <c r="R35" s="172"/>
      <c r="S35" s="172"/>
      <c r="T35" s="172"/>
      <c r="U35" s="172"/>
      <c r="V35" s="172"/>
      <c r="W35" s="172"/>
      <c r="X35" s="172"/>
      <c r="Y35" s="172"/>
      <c r="Z35" s="172"/>
      <c r="AA35" s="172"/>
      <c r="AB35" s="173"/>
    </row>
    <row r="36" spans="1:28" ht="59.25" customHeight="1">
      <c r="A36" s="32"/>
      <c r="B36" s="171"/>
      <c r="C36" s="172"/>
      <c r="D36" s="172"/>
      <c r="E36" s="172"/>
      <c r="F36" s="172"/>
      <c r="G36" s="172"/>
      <c r="H36" s="172"/>
      <c r="I36" s="172"/>
      <c r="J36" s="172"/>
      <c r="K36" s="172"/>
      <c r="L36" s="172"/>
      <c r="M36" s="172"/>
      <c r="N36" s="172"/>
      <c r="O36" s="172"/>
      <c r="P36" s="172"/>
      <c r="Q36" s="172"/>
      <c r="R36" s="172"/>
      <c r="S36" s="172"/>
      <c r="T36" s="172"/>
      <c r="U36" s="172"/>
      <c r="V36" s="172"/>
      <c r="W36" s="172"/>
      <c r="X36" s="172"/>
      <c r="Y36" s="172"/>
      <c r="Z36" s="172"/>
      <c r="AA36" s="172"/>
      <c r="AB36" s="173"/>
    </row>
    <row r="37" spans="1:28" ht="59.25" customHeight="1">
      <c r="A37" s="32"/>
      <c r="B37" s="171"/>
      <c r="C37" s="172"/>
      <c r="D37" s="172"/>
      <c r="E37" s="172"/>
      <c r="F37" s="172"/>
      <c r="G37" s="172"/>
      <c r="H37" s="172"/>
      <c r="I37" s="172"/>
      <c r="J37" s="172"/>
      <c r="K37" s="172"/>
      <c r="L37" s="172"/>
      <c r="M37" s="172"/>
      <c r="N37" s="172"/>
      <c r="O37" s="172"/>
      <c r="P37" s="172"/>
      <c r="Q37" s="172"/>
      <c r="R37" s="172"/>
      <c r="S37" s="172"/>
      <c r="T37" s="172"/>
      <c r="U37" s="172"/>
      <c r="V37" s="172"/>
      <c r="W37" s="172"/>
      <c r="X37" s="172"/>
      <c r="Y37" s="172"/>
      <c r="Z37" s="172"/>
      <c r="AA37" s="172"/>
      <c r="AB37" s="173"/>
    </row>
    <row r="38" spans="1:28" ht="59.25" customHeight="1">
      <c r="A38" s="32"/>
      <c r="B38" s="171"/>
      <c r="C38" s="172"/>
      <c r="D38" s="172"/>
      <c r="E38" s="172"/>
      <c r="F38" s="172"/>
      <c r="G38" s="172"/>
      <c r="H38" s="172"/>
      <c r="I38" s="172"/>
      <c r="J38" s="172"/>
      <c r="K38" s="172"/>
      <c r="L38" s="172"/>
      <c r="M38" s="172"/>
      <c r="N38" s="172"/>
      <c r="O38" s="172"/>
      <c r="P38" s="172"/>
      <c r="Q38" s="172"/>
      <c r="R38" s="172"/>
      <c r="S38" s="172"/>
      <c r="T38" s="172"/>
      <c r="U38" s="172"/>
      <c r="V38" s="172"/>
      <c r="W38" s="172"/>
      <c r="X38" s="172"/>
      <c r="Y38" s="172"/>
      <c r="Z38" s="172"/>
      <c r="AA38" s="172"/>
      <c r="AB38" s="173"/>
    </row>
    <row r="39" spans="1:28" ht="59.25" customHeight="1">
      <c r="A39" s="32"/>
      <c r="B39" s="171"/>
      <c r="C39" s="172"/>
      <c r="D39" s="172"/>
      <c r="E39" s="172"/>
      <c r="F39" s="172"/>
      <c r="G39" s="172"/>
      <c r="H39" s="172"/>
      <c r="I39" s="172"/>
      <c r="J39" s="172"/>
      <c r="K39" s="172"/>
      <c r="L39" s="172"/>
      <c r="M39" s="172"/>
      <c r="N39" s="172"/>
      <c r="O39" s="172"/>
      <c r="P39" s="172"/>
      <c r="Q39" s="172"/>
      <c r="R39" s="172"/>
      <c r="S39" s="172"/>
      <c r="T39" s="172"/>
      <c r="U39" s="172"/>
      <c r="V39" s="172"/>
      <c r="W39" s="172"/>
      <c r="X39" s="172"/>
      <c r="Y39" s="172"/>
      <c r="Z39" s="172"/>
      <c r="AA39" s="172"/>
      <c r="AB39" s="173"/>
    </row>
    <row r="40" spans="1:28" ht="22.5" customHeight="1"/>
    <row r="41" spans="1:28" ht="22.5" customHeight="1"/>
    <row r="42" spans="1:28" ht="22.5" customHeight="1"/>
    <row r="43" spans="1:28" ht="22.5" customHeight="1"/>
    <row r="44" spans="1:28" ht="17.25" customHeight="1"/>
    <row r="45" spans="1:28" ht="17.25" customHeight="1"/>
    <row r="46" spans="1:28" ht="17.25" customHeight="1"/>
    <row r="47" spans="1:28" ht="17.25" customHeight="1"/>
    <row r="48" spans="1:28" ht="17.25" customHeight="1"/>
    <row r="49" ht="17.25" customHeight="1"/>
    <row r="50" ht="17.25" customHeight="1"/>
    <row r="51" ht="17.25" customHeight="1"/>
    <row r="52" ht="17.25" customHeight="1"/>
    <row r="53" ht="17.25" customHeight="1"/>
    <row r="54" ht="17.25" customHeight="1"/>
    <row r="55" ht="17.25" customHeight="1"/>
    <row r="56" ht="17.25" customHeight="1"/>
    <row r="57" ht="17.25" customHeight="1"/>
    <row r="58" ht="17.25" customHeight="1"/>
    <row r="59" ht="17.25" customHeight="1"/>
    <row r="60" ht="17.25" customHeight="1"/>
    <row r="61" ht="17.25" customHeight="1"/>
    <row r="62" ht="17.25" customHeight="1"/>
    <row r="63" ht="17.25" customHeight="1"/>
    <row r="64"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row r="155" ht="17.25" customHeight="1"/>
    <row r="156" ht="17.25" customHeight="1"/>
    <row r="157" ht="17.25" customHeight="1"/>
    <row r="158" ht="17.25" customHeight="1"/>
    <row r="159" ht="17.25" customHeight="1"/>
    <row r="160" ht="17.25" customHeight="1"/>
    <row r="161" ht="17.25" customHeight="1"/>
    <row r="162" ht="17.25" customHeight="1"/>
    <row r="163" ht="17.25" customHeight="1"/>
    <row r="164" ht="17.25" customHeight="1"/>
    <row r="165" ht="17.25" customHeight="1"/>
    <row r="166" ht="17.25" customHeight="1"/>
    <row r="167" ht="17.25" customHeight="1"/>
    <row r="168" ht="17.25" customHeight="1"/>
    <row r="169" ht="17.25" customHeight="1"/>
    <row r="170" ht="17.25" customHeight="1"/>
    <row r="171" ht="17.25" customHeight="1"/>
    <row r="172" ht="17.25" customHeight="1"/>
    <row r="173" ht="17.25" customHeight="1"/>
    <row r="174" ht="17.25" customHeight="1"/>
    <row r="175" ht="17.25" customHeight="1"/>
    <row r="176" ht="17.25" customHeight="1"/>
    <row r="177" ht="17.25" customHeight="1"/>
    <row r="178" ht="17.25" customHeight="1"/>
    <row r="179" ht="17.25" customHeight="1"/>
    <row r="180" ht="17.25" customHeight="1"/>
    <row r="181" ht="17.25" customHeight="1"/>
    <row r="182" ht="17.25" customHeight="1"/>
    <row r="183" ht="17.25" customHeight="1"/>
    <row r="184" ht="17.25" customHeight="1"/>
    <row r="185" ht="17.25" customHeight="1"/>
    <row r="186" ht="17.25" customHeight="1"/>
    <row r="187" ht="17.25" customHeight="1"/>
    <row r="188" ht="17.25" customHeight="1"/>
    <row r="189" ht="17.25" customHeight="1"/>
    <row r="190" ht="17.25" customHeight="1"/>
    <row r="191" ht="17.25" customHeight="1"/>
    <row r="192" ht="17.25" customHeight="1"/>
    <row r="193" ht="17.25" customHeight="1"/>
  </sheetData>
  <mergeCells count="27">
    <mergeCell ref="B38:AB38"/>
    <mergeCell ref="B39:AB39"/>
    <mergeCell ref="B23:AB23"/>
    <mergeCell ref="B24:AB24"/>
    <mergeCell ref="B14:AB14"/>
    <mergeCell ref="B15:AB15"/>
    <mergeCell ref="B16:AB16"/>
    <mergeCell ref="B17:AB17"/>
    <mergeCell ref="B18:AB18"/>
    <mergeCell ref="B19:AB19"/>
    <mergeCell ref="B20:AB20"/>
    <mergeCell ref="B21:AB21"/>
    <mergeCell ref="B22:AB22"/>
    <mergeCell ref="A2:A12"/>
    <mergeCell ref="B35:AB35"/>
    <mergeCell ref="B36:AB36"/>
    <mergeCell ref="B37:AB37"/>
    <mergeCell ref="B25:AB25"/>
    <mergeCell ref="B26:AB26"/>
    <mergeCell ref="B27:AB27"/>
    <mergeCell ref="B28:AB28"/>
    <mergeCell ref="B29:AB29"/>
    <mergeCell ref="B30:AB30"/>
    <mergeCell ref="B31:AB31"/>
    <mergeCell ref="B32:AB32"/>
    <mergeCell ref="B33:AB33"/>
    <mergeCell ref="B34:AB34"/>
  </mergeCells>
  <phoneticPr fontId="1"/>
  <dataValidations count="2">
    <dataValidation type="list" allowBlank="1" showDropDown="1" showInputMessage="1" showErrorMessage="1" sqref="D2:AB11">
      <formula1>$AC$2:$AC$5</formula1>
    </dataValidation>
    <dataValidation type="list" allowBlank="1" showDropDown="1" showInputMessage="1" showErrorMessage="1" errorTitle="文字エラー" error="半角数字1～5か、評価不能の場合は-（半角マイナス）を入れて下さい。" sqref="D12:AB13">
      <formula1>$AD$2:$AD$7</formula1>
    </dataValidation>
  </dataValidations>
  <pageMargins left="0.7" right="0.7" top="0.75" bottom="0.75" header="0.3" footer="0.3"/>
  <pageSetup paperSize="9" orientation="portrait" horizontalDpi="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1"/>
  </sheetPr>
  <dimension ref="A1:AD193"/>
  <sheetViews>
    <sheetView workbookViewId="0">
      <selection sqref="A1:XFD1048576"/>
    </sheetView>
  </sheetViews>
  <sheetFormatPr defaultColWidth="9" defaultRowHeight="13.5"/>
  <cols>
    <col min="1" max="1" width="13.5" style="81" customWidth="1"/>
    <col min="2" max="2" width="79.125" style="81" customWidth="1"/>
    <col min="3" max="3" width="9.375" style="81" customWidth="1"/>
    <col min="4" max="28" width="4.125" style="81" customWidth="1"/>
    <col min="29" max="16384" width="9" style="81"/>
  </cols>
  <sheetData>
    <row r="1" spans="1:30" ht="85.5" customHeight="1">
      <c r="A1" s="86" t="str">
        <f ca="1">MID(CELL("filename",A1),FIND("[",CELL("filename",A1))+1,3)</f>
        <v>８－２</v>
      </c>
      <c r="B1" s="22" t="str">
        <f ca="1">RIGHT(CELL("filename",B1),LEN(CELL("filename",B1))-FIND("]",CELL("filename",B1)))</f>
        <v>社会</v>
      </c>
      <c r="C1" s="23" t="s">
        <v>60</v>
      </c>
      <c r="D1" s="24" t="str">
        <f>A15</f>
        <v>岡田 明日香</v>
      </c>
      <c r="E1" s="24" t="str">
        <f>A16</f>
        <v>荻原 知香</v>
      </c>
      <c r="F1" s="24" t="str">
        <f>A17</f>
        <v>片桐 葵</v>
      </c>
      <c r="G1" s="24" t="str">
        <f>A18</f>
        <v>上島 碧依</v>
      </c>
      <c r="H1" s="24" t="str">
        <f>A19</f>
        <v>藏井 陽菜乃</v>
      </c>
      <c r="I1" s="24" t="str">
        <f>A20</f>
        <v>小松 雅治</v>
      </c>
      <c r="J1" s="24" t="str">
        <f>A21</f>
        <v>須藤 爽斗</v>
      </c>
      <c r="K1" s="24" t="str">
        <f>A22</f>
        <v>滝 陽香</v>
      </c>
      <c r="L1" s="24" t="str">
        <f>A23</f>
        <v>永江 仁</v>
      </c>
      <c r="M1" s="24" t="str">
        <f>A24</f>
        <v>林 果菜</v>
      </c>
      <c r="N1" s="24" t="str">
        <f>A25</f>
        <v>原 維香</v>
      </c>
      <c r="O1" s="24" t="str">
        <f>A26</f>
        <v>丸山 心音</v>
      </c>
      <c r="P1" s="24" t="str">
        <f>A27</f>
        <v>森本 浩士</v>
      </c>
      <c r="Q1" s="24" t="str">
        <f>A28</f>
        <v>栁沢 美緒</v>
      </c>
      <c r="R1" s="24" t="str">
        <f>A29</f>
        <v>横山 麟太</v>
      </c>
      <c r="S1" s="24" t="str">
        <f>A30</f>
        <v>渡邊 了介</v>
      </c>
      <c r="T1" s="24">
        <f>A31</f>
        <v>0</v>
      </c>
      <c r="U1" s="24">
        <f>A32</f>
        <v>0</v>
      </c>
      <c r="V1" s="24">
        <f>A33</f>
        <v>0</v>
      </c>
      <c r="W1" s="24">
        <f>A34</f>
        <v>0</v>
      </c>
      <c r="X1" s="24">
        <f>A35</f>
        <v>0</v>
      </c>
      <c r="Y1" s="24">
        <f>A36</f>
        <v>0</v>
      </c>
      <c r="Z1" s="24">
        <f>A37</f>
        <v>0</v>
      </c>
      <c r="AA1" s="24">
        <f>A38</f>
        <v>0</v>
      </c>
      <c r="AB1" s="24">
        <f>A39</f>
        <v>0</v>
      </c>
      <c r="AC1" s="80"/>
    </row>
    <row r="2" spans="1:30" ht="22.5" customHeight="1">
      <c r="A2" s="168" t="s">
        <v>197</v>
      </c>
      <c r="B2" s="58" t="s">
        <v>218</v>
      </c>
      <c r="C2" s="26" t="s">
        <v>61</v>
      </c>
      <c r="D2" s="79" t="s">
        <v>198</v>
      </c>
      <c r="E2" s="79" t="s">
        <v>198</v>
      </c>
      <c r="F2" s="79" t="s">
        <v>200</v>
      </c>
      <c r="G2" s="79" t="s">
        <v>198</v>
      </c>
      <c r="H2" s="79" t="s">
        <v>198</v>
      </c>
      <c r="I2" s="79" t="s">
        <v>198</v>
      </c>
      <c r="J2" s="79" t="s">
        <v>198</v>
      </c>
      <c r="K2" s="79" t="s">
        <v>200</v>
      </c>
      <c r="L2" s="79" t="s">
        <v>198</v>
      </c>
      <c r="M2" s="79" t="s">
        <v>200</v>
      </c>
      <c r="N2" s="79" t="s">
        <v>200</v>
      </c>
      <c r="O2" s="79" t="s">
        <v>202</v>
      </c>
      <c r="P2" s="79" t="s">
        <v>198</v>
      </c>
      <c r="Q2" s="79" t="s">
        <v>199</v>
      </c>
      <c r="R2" s="79" t="s">
        <v>200</v>
      </c>
      <c r="S2" s="79" t="s">
        <v>198</v>
      </c>
      <c r="T2" s="79"/>
      <c r="U2" s="79"/>
      <c r="V2" s="79"/>
      <c r="W2" s="79"/>
      <c r="X2" s="79"/>
      <c r="Y2" s="79"/>
      <c r="Z2" s="79"/>
      <c r="AA2" s="79"/>
      <c r="AB2" s="79"/>
      <c r="AC2" s="82" t="s">
        <v>198</v>
      </c>
      <c r="AD2" s="82">
        <v>1</v>
      </c>
    </row>
    <row r="3" spans="1:30" ht="22.5" customHeight="1">
      <c r="A3" s="169"/>
      <c r="B3" s="58" t="s">
        <v>51</v>
      </c>
      <c r="C3" s="26" t="s">
        <v>61</v>
      </c>
      <c r="D3" s="79" t="s">
        <v>200</v>
      </c>
      <c r="E3" s="79" t="s">
        <v>200</v>
      </c>
      <c r="F3" s="79" t="s">
        <v>201</v>
      </c>
      <c r="G3" s="79" t="s">
        <v>200</v>
      </c>
      <c r="H3" s="79" t="s">
        <v>199</v>
      </c>
      <c r="I3" s="79" t="s">
        <v>202</v>
      </c>
      <c r="J3" s="79" t="s">
        <v>199</v>
      </c>
      <c r="K3" s="79" t="s">
        <v>198</v>
      </c>
      <c r="L3" s="79" t="s">
        <v>202</v>
      </c>
      <c r="M3" s="79" t="s">
        <v>201</v>
      </c>
      <c r="N3" s="79" t="s">
        <v>202</v>
      </c>
      <c r="O3" s="79" t="s">
        <v>202</v>
      </c>
      <c r="P3" s="79" t="s">
        <v>199</v>
      </c>
      <c r="Q3" s="79" t="s">
        <v>198</v>
      </c>
      <c r="R3" s="79" t="s">
        <v>200</v>
      </c>
      <c r="S3" s="79" t="s">
        <v>202</v>
      </c>
      <c r="T3" s="79"/>
      <c r="U3" s="79"/>
      <c r="V3" s="79"/>
      <c r="W3" s="79"/>
      <c r="X3" s="79"/>
      <c r="Y3" s="79"/>
      <c r="Z3" s="79"/>
      <c r="AA3" s="79"/>
      <c r="AB3" s="79"/>
      <c r="AC3" s="82" t="s">
        <v>202</v>
      </c>
      <c r="AD3" s="82">
        <v>2</v>
      </c>
    </row>
    <row r="4" spans="1:30" ht="22.5" customHeight="1">
      <c r="A4" s="169"/>
      <c r="B4" s="58" t="s">
        <v>204</v>
      </c>
      <c r="C4" s="26" t="s">
        <v>61</v>
      </c>
      <c r="D4" s="79" t="s">
        <v>199</v>
      </c>
      <c r="E4" s="79" t="s">
        <v>199</v>
      </c>
      <c r="F4" s="79" t="s">
        <v>199</v>
      </c>
      <c r="G4" s="79" t="s">
        <v>199</v>
      </c>
      <c r="H4" s="79" t="s">
        <v>199</v>
      </c>
      <c r="I4" s="79" t="s">
        <v>199</v>
      </c>
      <c r="J4" s="79" t="s">
        <v>199</v>
      </c>
      <c r="K4" s="79" t="s">
        <v>202</v>
      </c>
      <c r="L4" s="79" t="s">
        <v>202</v>
      </c>
      <c r="M4" s="79" t="s">
        <v>199</v>
      </c>
      <c r="N4" s="79" t="s">
        <v>200</v>
      </c>
      <c r="O4" s="79" t="s">
        <v>199</v>
      </c>
      <c r="P4" s="79" t="s">
        <v>199</v>
      </c>
      <c r="Q4" s="79" t="s">
        <v>199</v>
      </c>
      <c r="R4" s="79" t="s">
        <v>199</v>
      </c>
      <c r="S4" s="79" t="s">
        <v>199</v>
      </c>
      <c r="T4" s="79"/>
      <c r="U4" s="79"/>
      <c r="V4" s="79"/>
      <c r="W4" s="79"/>
      <c r="X4" s="79"/>
      <c r="Y4" s="79"/>
      <c r="Z4" s="79"/>
      <c r="AA4" s="79"/>
      <c r="AB4" s="79"/>
      <c r="AC4" s="82" t="s">
        <v>203</v>
      </c>
      <c r="AD4" s="82">
        <v>3</v>
      </c>
    </row>
    <row r="5" spans="1:30" ht="22.5" customHeight="1">
      <c r="A5" s="169"/>
      <c r="B5" s="78"/>
      <c r="C5" s="26" t="s">
        <v>61</v>
      </c>
      <c r="D5" s="79"/>
      <c r="E5" s="79"/>
      <c r="F5" s="79"/>
      <c r="G5" s="79"/>
      <c r="H5" s="79"/>
      <c r="I5" s="79"/>
      <c r="J5" s="79"/>
      <c r="K5" s="79"/>
      <c r="L5" s="79"/>
      <c r="M5" s="79"/>
      <c r="N5" s="79"/>
      <c r="O5" s="79"/>
      <c r="P5" s="79"/>
      <c r="Q5" s="79"/>
      <c r="R5" s="79"/>
      <c r="S5" s="79"/>
      <c r="T5" s="79"/>
      <c r="U5" s="79"/>
      <c r="V5" s="79"/>
      <c r="W5" s="79"/>
      <c r="X5" s="79"/>
      <c r="Y5" s="79"/>
      <c r="Z5" s="79"/>
      <c r="AA5" s="79"/>
      <c r="AB5" s="79"/>
      <c r="AC5" s="82" t="s">
        <v>205</v>
      </c>
      <c r="AD5" s="82">
        <v>4</v>
      </c>
    </row>
    <row r="6" spans="1:30" ht="22.5" customHeight="1">
      <c r="A6" s="169"/>
      <c r="B6" s="78"/>
      <c r="C6" s="26" t="s">
        <v>61</v>
      </c>
      <c r="D6" s="79"/>
      <c r="E6" s="79"/>
      <c r="F6" s="79"/>
      <c r="G6" s="79"/>
      <c r="H6" s="79"/>
      <c r="I6" s="79"/>
      <c r="J6" s="79"/>
      <c r="K6" s="79"/>
      <c r="L6" s="79"/>
      <c r="M6" s="79"/>
      <c r="N6" s="79"/>
      <c r="O6" s="79"/>
      <c r="P6" s="79"/>
      <c r="Q6" s="79"/>
      <c r="R6" s="79"/>
      <c r="S6" s="79"/>
      <c r="T6" s="79"/>
      <c r="U6" s="79"/>
      <c r="V6" s="79"/>
      <c r="W6" s="79"/>
      <c r="X6" s="79"/>
      <c r="Y6" s="79"/>
      <c r="Z6" s="79"/>
      <c r="AA6" s="79"/>
      <c r="AB6" s="79"/>
      <c r="AC6" s="82"/>
      <c r="AD6" s="82">
        <v>5</v>
      </c>
    </row>
    <row r="7" spans="1:30" ht="22.5" customHeight="1">
      <c r="A7" s="169"/>
      <c r="B7" s="78"/>
      <c r="C7" s="26" t="s">
        <v>61</v>
      </c>
      <c r="D7" s="79"/>
      <c r="E7" s="79"/>
      <c r="F7" s="79"/>
      <c r="G7" s="79"/>
      <c r="H7" s="79"/>
      <c r="I7" s="79"/>
      <c r="J7" s="79"/>
      <c r="K7" s="79"/>
      <c r="L7" s="79"/>
      <c r="M7" s="79"/>
      <c r="N7" s="79"/>
      <c r="O7" s="79"/>
      <c r="P7" s="79"/>
      <c r="Q7" s="79"/>
      <c r="R7" s="79"/>
      <c r="S7" s="79"/>
      <c r="T7" s="79"/>
      <c r="U7" s="79"/>
      <c r="V7" s="79"/>
      <c r="W7" s="79"/>
      <c r="X7" s="79"/>
      <c r="Y7" s="79"/>
      <c r="Z7" s="79"/>
      <c r="AA7" s="79"/>
      <c r="AB7" s="79"/>
      <c r="AC7" s="82"/>
      <c r="AD7" s="82" t="s">
        <v>205</v>
      </c>
    </row>
    <row r="8" spans="1:30" ht="22.5" customHeight="1">
      <c r="A8" s="169"/>
      <c r="B8" s="78"/>
      <c r="C8" s="26" t="s">
        <v>61</v>
      </c>
      <c r="D8" s="79"/>
      <c r="E8" s="79"/>
      <c r="F8" s="79"/>
      <c r="G8" s="79"/>
      <c r="H8" s="79"/>
      <c r="I8" s="79"/>
      <c r="J8" s="79"/>
      <c r="K8" s="79"/>
      <c r="L8" s="79"/>
      <c r="M8" s="79"/>
      <c r="N8" s="79"/>
      <c r="O8" s="79"/>
      <c r="P8" s="79"/>
      <c r="Q8" s="79"/>
      <c r="R8" s="79"/>
      <c r="S8" s="79"/>
      <c r="T8" s="79"/>
      <c r="U8" s="79"/>
      <c r="V8" s="79"/>
      <c r="W8" s="79"/>
      <c r="X8" s="79"/>
      <c r="Y8" s="79"/>
      <c r="Z8" s="79"/>
      <c r="AA8" s="79"/>
      <c r="AB8" s="79"/>
    </row>
    <row r="9" spans="1:30" ht="22.5" customHeight="1">
      <c r="A9" s="169"/>
      <c r="B9" s="78"/>
      <c r="C9" s="26" t="s">
        <v>61</v>
      </c>
      <c r="D9" s="79"/>
      <c r="E9" s="79"/>
      <c r="F9" s="79"/>
      <c r="G9" s="79"/>
      <c r="H9" s="79"/>
      <c r="I9" s="79"/>
      <c r="J9" s="79"/>
      <c r="K9" s="79"/>
      <c r="L9" s="79"/>
      <c r="M9" s="79"/>
      <c r="N9" s="79"/>
      <c r="O9" s="79"/>
      <c r="P9" s="79"/>
      <c r="Q9" s="79"/>
      <c r="R9" s="79"/>
      <c r="S9" s="79"/>
      <c r="T9" s="79"/>
      <c r="U9" s="79"/>
      <c r="V9" s="79"/>
      <c r="W9" s="79"/>
      <c r="X9" s="79"/>
      <c r="Y9" s="79"/>
      <c r="Z9" s="79"/>
      <c r="AA9" s="79"/>
      <c r="AB9" s="79"/>
    </row>
    <row r="10" spans="1:30" ht="22.5" customHeight="1">
      <c r="A10" s="169"/>
      <c r="B10" s="78"/>
      <c r="C10" s="26" t="s">
        <v>61</v>
      </c>
      <c r="D10" s="79"/>
      <c r="E10" s="79"/>
      <c r="F10" s="79"/>
      <c r="G10" s="79"/>
      <c r="H10" s="79"/>
      <c r="I10" s="79"/>
      <c r="J10" s="79"/>
      <c r="K10" s="79"/>
      <c r="L10" s="79"/>
      <c r="M10" s="79"/>
      <c r="N10" s="79"/>
      <c r="O10" s="79"/>
      <c r="P10" s="79"/>
      <c r="Q10" s="79"/>
      <c r="R10" s="79"/>
      <c r="S10" s="79"/>
      <c r="T10" s="79"/>
      <c r="U10" s="79"/>
      <c r="V10" s="79"/>
      <c r="W10" s="79"/>
      <c r="X10" s="79"/>
      <c r="Y10" s="79"/>
      <c r="Z10" s="79"/>
      <c r="AA10" s="79"/>
      <c r="AB10" s="79"/>
    </row>
    <row r="11" spans="1:30" ht="22.5" customHeight="1">
      <c r="A11" s="169"/>
      <c r="B11" s="78"/>
      <c r="C11" s="26" t="s">
        <v>61</v>
      </c>
      <c r="D11" s="79"/>
      <c r="E11" s="79"/>
      <c r="F11" s="79"/>
      <c r="G11" s="79"/>
      <c r="H11" s="79"/>
      <c r="I11" s="79"/>
      <c r="J11" s="79"/>
      <c r="K11" s="79"/>
      <c r="L11" s="79"/>
      <c r="M11" s="79"/>
      <c r="N11" s="79"/>
      <c r="O11" s="79"/>
      <c r="P11" s="79"/>
      <c r="Q11" s="79"/>
      <c r="R11" s="79"/>
      <c r="S11" s="79"/>
      <c r="T11" s="79"/>
      <c r="U11" s="79"/>
      <c r="V11" s="79"/>
      <c r="W11" s="79"/>
      <c r="X11" s="79"/>
      <c r="Y11" s="79"/>
      <c r="Z11" s="79"/>
      <c r="AA11" s="79"/>
      <c r="AB11" s="79"/>
    </row>
    <row r="12" spans="1:30" ht="30" customHeight="1">
      <c r="A12" s="170"/>
      <c r="B12" s="29"/>
      <c r="C12" s="85" t="s">
        <v>62</v>
      </c>
      <c r="D12" s="79">
        <v>4</v>
      </c>
      <c r="E12" s="79">
        <v>4</v>
      </c>
      <c r="F12" s="79">
        <v>3</v>
      </c>
      <c r="G12" s="79">
        <v>4</v>
      </c>
      <c r="H12" s="79">
        <v>5</v>
      </c>
      <c r="I12" s="79">
        <v>4</v>
      </c>
      <c r="J12" s="79">
        <v>5</v>
      </c>
      <c r="K12" s="79">
        <v>3</v>
      </c>
      <c r="L12" s="79">
        <v>3</v>
      </c>
      <c r="M12" s="79">
        <v>3</v>
      </c>
      <c r="N12" s="79">
        <v>3</v>
      </c>
      <c r="O12" s="79">
        <v>3</v>
      </c>
      <c r="P12" s="79">
        <v>5</v>
      </c>
      <c r="Q12" s="79">
        <v>5</v>
      </c>
      <c r="R12" s="79">
        <v>3</v>
      </c>
      <c r="S12" s="79">
        <v>4</v>
      </c>
      <c r="T12" s="79"/>
      <c r="U12" s="79"/>
      <c r="V12" s="79"/>
      <c r="W12" s="79"/>
      <c r="X12" s="79"/>
      <c r="Y12" s="79"/>
      <c r="Z12" s="79"/>
      <c r="AA12" s="79"/>
      <c r="AB12" s="79"/>
    </row>
    <row r="13" spans="1:30" ht="26.25" customHeight="1">
      <c r="A13" s="84"/>
      <c r="B13" s="84"/>
      <c r="C13" s="77" t="s">
        <v>49</v>
      </c>
      <c r="D13" s="79"/>
      <c r="E13" s="79"/>
      <c r="F13" s="79"/>
      <c r="G13" s="79"/>
      <c r="H13" s="79"/>
      <c r="I13" s="79"/>
      <c r="J13" s="79"/>
      <c r="K13" s="79"/>
      <c r="L13" s="79"/>
      <c r="M13" s="79"/>
      <c r="N13" s="79"/>
      <c r="O13" s="79"/>
      <c r="P13" s="79"/>
      <c r="Q13" s="79"/>
      <c r="R13" s="79"/>
      <c r="S13" s="79"/>
      <c r="T13" s="79"/>
      <c r="U13" s="79"/>
      <c r="V13" s="79"/>
      <c r="W13" s="79"/>
      <c r="X13" s="79"/>
      <c r="Y13" s="79"/>
      <c r="Z13" s="79"/>
      <c r="AA13" s="79"/>
      <c r="AB13" s="79"/>
    </row>
    <row r="14" spans="1:30" ht="22.5" customHeight="1">
      <c r="A14" s="31" t="s">
        <v>20</v>
      </c>
      <c r="B14" s="180" t="s">
        <v>63</v>
      </c>
      <c r="C14" s="181"/>
      <c r="D14" s="181"/>
      <c r="E14" s="181"/>
      <c r="F14" s="181"/>
      <c r="G14" s="181"/>
      <c r="H14" s="181"/>
      <c r="I14" s="181"/>
      <c r="J14" s="181"/>
      <c r="K14" s="181"/>
      <c r="L14" s="181"/>
      <c r="M14" s="181"/>
      <c r="N14" s="181"/>
      <c r="O14" s="181"/>
      <c r="P14" s="181"/>
      <c r="Q14" s="181"/>
      <c r="R14" s="181"/>
      <c r="S14" s="181"/>
      <c r="T14" s="181"/>
      <c r="U14" s="181"/>
      <c r="V14" s="181"/>
      <c r="W14" s="181"/>
      <c r="X14" s="181"/>
      <c r="Y14" s="181"/>
      <c r="Z14" s="181"/>
      <c r="AA14" s="181"/>
      <c r="AB14" s="182"/>
    </row>
    <row r="15" spans="1:30" ht="59.25" customHeight="1">
      <c r="A15" s="87" t="s">
        <v>64</v>
      </c>
      <c r="B15" s="177"/>
      <c r="C15" s="178"/>
      <c r="D15" s="178"/>
      <c r="E15" s="178"/>
      <c r="F15" s="178"/>
      <c r="G15" s="178"/>
      <c r="H15" s="178"/>
      <c r="I15" s="178"/>
      <c r="J15" s="178"/>
      <c r="K15" s="178"/>
      <c r="L15" s="178"/>
      <c r="M15" s="178"/>
      <c r="N15" s="178"/>
      <c r="O15" s="178"/>
      <c r="P15" s="178"/>
      <c r="Q15" s="178"/>
      <c r="R15" s="178"/>
      <c r="S15" s="178"/>
      <c r="T15" s="178"/>
      <c r="U15" s="178"/>
      <c r="V15" s="178"/>
      <c r="W15" s="178"/>
      <c r="X15" s="178"/>
      <c r="Y15" s="178"/>
      <c r="Z15" s="178"/>
      <c r="AA15" s="178"/>
      <c r="AB15" s="179"/>
    </row>
    <row r="16" spans="1:30" ht="59.25" customHeight="1">
      <c r="A16" s="87" t="s">
        <v>65</v>
      </c>
      <c r="B16" s="177"/>
      <c r="C16" s="178"/>
      <c r="D16" s="178"/>
      <c r="E16" s="178"/>
      <c r="F16" s="178"/>
      <c r="G16" s="178"/>
      <c r="H16" s="178"/>
      <c r="I16" s="178"/>
      <c r="J16" s="178"/>
      <c r="K16" s="178"/>
      <c r="L16" s="178"/>
      <c r="M16" s="178"/>
      <c r="N16" s="178"/>
      <c r="O16" s="178"/>
      <c r="P16" s="178"/>
      <c r="Q16" s="178"/>
      <c r="R16" s="178"/>
      <c r="S16" s="178"/>
      <c r="T16" s="178"/>
      <c r="U16" s="178"/>
      <c r="V16" s="178"/>
      <c r="W16" s="178"/>
      <c r="X16" s="178"/>
      <c r="Y16" s="178"/>
      <c r="Z16" s="178"/>
      <c r="AA16" s="178"/>
      <c r="AB16" s="179"/>
    </row>
    <row r="17" spans="1:28" ht="59.25" customHeight="1">
      <c r="A17" s="87" t="s">
        <v>66</v>
      </c>
      <c r="B17" s="177"/>
      <c r="C17" s="178"/>
      <c r="D17" s="178"/>
      <c r="E17" s="178"/>
      <c r="F17" s="178"/>
      <c r="G17" s="178"/>
      <c r="H17" s="178"/>
      <c r="I17" s="178"/>
      <c r="J17" s="178"/>
      <c r="K17" s="178"/>
      <c r="L17" s="178"/>
      <c r="M17" s="178"/>
      <c r="N17" s="178"/>
      <c r="O17" s="178"/>
      <c r="P17" s="178"/>
      <c r="Q17" s="178"/>
      <c r="R17" s="178"/>
      <c r="S17" s="178"/>
      <c r="T17" s="178"/>
      <c r="U17" s="178"/>
      <c r="V17" s="178"/>
      <c r="W17" s="178"/>
      <c r="X17" s="178"/>
      <c r="Y17" s="178"/>
      <c r="Z17" s="178"/>
      <c r="AA17" s="178"/>
      <c r="AB17" s="179"/>
    </row>
    <row r="18" spans="1:28" ht="59.25" customHeight="1">
      <c r="A18" s="87" t="s">
        <v>67</v>
      </c>
      <c r="B18" s="177"/>
      <c r="C18" s="178"/>
      <c r="D18" s="178"/>
      <c r="E18" s="178"/>
      <c r="F18" s="178"/>
      <c r="G18" s="178"/>
      <c r="H18" s="178"/>
      <c r="I18" s="178"/>
      <c r="J18" s="178"/>
      <c r="K18" s="178"/>
      <c r="L18" s="178"/>
      <c r="M18" s="178"/>
      <c r="N18" s="178"/>
      <c r="O18" s="178"/>
      <c r="P18" s="178"/>
      <c r="Q18" s="178"/>
      <c r="R18" s="178"/>
      <c r="S18" s="178"/>
      <c r="T18" s="178"/>
      <c r="U18" s="178"/>
      <c r="V18" s="178"/>
      <c r="W18" s="178"/>
      <c r="X18" s="178"/>
      <c r="Y18" s="178"/>
      <c r="Z18" s="178"/>
      <c r="AA18" s="178"/>
      <c r="AB18" s="179"/>
    </row>
    <row r="19" spans="1:28" ht="59.25" customHeight="1">
      <c r="A19" s="87" t="s">
        <v>68</v>
      </c>
      <c r="B19" s="177"/>
      <c r="C19" s="178"/>
      <c r="D19" s="178"/>
      <c r="E19" s="178"/>
      <c r="F19" s="178"/>
      <c r="G19" s="178"/>
      <c r="H19" s="178"/>
      <c r="I19" s="178"/>
      <c r="J19" s="178"/>
      <c r="K19" s="178"/>
      <c r="L19" s="178"/>
      <c r="M19" s="178"/>
      <c r="N19" s="178"/>
      <c r="O19" s="178"/>
      <c r="P19" s="178"/>
      <c r="Q19" s="178"/>
      <c r="R19" s="178"/>
      <c r="S19" s="178"/>
      <c r="T19" s="178"/>
      <c r="U19" s="178"/>
      <c r="V19" s="178"/>
      <c r="W19" s="178"/>
      <c r="X19" s="178"/>
      <c r="Y19" s="178"/>
      <c r="Z19" s="178"/>
      <c r="AA19" s="178"/>
      <c r="AB19" s="179"/>
    </row>
    <row r="20" spans="1:28" ht="59.25" customHeight="1">
      <c r="A20" s="87" t="s">
        <v>69</v>
      </c>
      <c r="B20" s="177"/>
      <c r="C20" s="178"/>
      <c r="D20" s="178"/>
      <c r="E20" s="178"/>
      <c r="F20" s="178"/>
      <c r="G20" s="178"/>
      <c r="H20" s="178"/>
      <c r="I20" s="178"/>
      <c r="J20" s="178"/>
      <c r="K20" s="178"/>
      <c r="L20" s="178"/>
      <c r="M20" s="178"/>
      <c r="N20" s="178"/>
      <c r="O20" s="178"/>
      <c r="P20" s="178"/>
      <c r="Q20" s="178"/>
      <c r="R20" s="178"/>
      <c r="S20" s="178"/>
      <c r="T20" s="178"/>
      <c r="U20" s="178"/>
      <c r="V20" s="178"/>
      <c r="W20" s="178"/>
      <c r="X20" s="178"/>
      <c r="Y20" s="178"/>
      <c r="Z20" s="178"/>
      <c r="AA20" s="178"/>
      <c r="AB20" s="179"/>
    </row>
    <row r="21" spans="1:28" ht="59.25" customHeight="1">
      <c r="A21" s="87" t="s">
        <v>70</v>
      </c>
      <c r="B21" s="177"/>
      <c r="C21" s="178"/>
      <c r="D21" s="178"/>
      <c r="E21" s="178"/>
      <c r="F21" s="178"/>
      <c r="G21" s="178"/>
      <c r="H21" s="178"/>
      <c r="I21" s="178"/>
      <c r="J21" s="178"/>
      <c r="K21" s="178"/>
      <c r="L21" s="178"/>
      <c r="M21" s="178"/>
      <c r="N21" s="178"/>
      <c r="O21" s="178"/>
      <c r="P21" s="178"/>
      <c r="Q21" s="178"/>
      <c r="R21" s="178"/>
      <c r="S21" s="178"/>
      <c r="T21" s="178"/>
      <c r="U21" s="178"/>
      <c r="V21" s="178"/>
      <c r="W21" s="178"/>
      <c r="X21" s="178"/>
      <c r="Y21" s="178"/>
      <c r="Z21" s="178"/>
      <c r="AA21" s="178"/>
      <c r="AB21" s="179"/>
    </row>
    <row r="22" spans="1:28" ht="59.25" customHeight="1">
      <c r="A22" s="87" t="s">
        <v>71</v>
      </c>
      <c r="B22" s="177"/>
      <c r="C22" s="178"/>
      <c r="D22" s="178"/>
      <c r="E22" s="178"/>
      <c r="F22" s="178"/>
      <c r="G22" s="178"/>
      <c r="H22" s="178"/>
      <c r="I22" s="178"/>
      <c r="J22" s="178"/>
      <c r="K22" s="178"/>
      <c r="L22" s="178"/>
      <c r="M22" s="178"/>
      <c r="N22" s="178"/>
      <c r="O22" s="178"/>
      <c r="P22" s="178"/>
      <c r="Q22" s="178"/>
      <c r="R22" s="178"/>
      <c r="S22" s="178"/>
      <c r="T22" s="178"/>
      <c r="U22" s="178"/>
      <c r="V22" s="178"/>
      <c r="W22" s="178"/>
      <c r="X22" s="178"/>
      <c r="Y22" s="178"/>
      <c r="Z22" s="178"/>
      <c r="AA22" s="178"/>
      <c r="AB22" s="179"/>
    </row>
    <row r="23" spans="1:28" ht="59.25" customHeight="1">
      <c r="A23" s="87" t="s">
        <v>72</v>
      </c>
      <c r="B23" s="177"/>
      <c r="C23" s="178"/>
      <c r="D23" s="178"/>
      <c r="E23" s="178"/>
      <c r="F23" s="178"/>
      <c r="G23" s="178"/>
      <c r="H23" s="178"/>
      <c r="I23" s="178"/>
      <c r="J23" s="178"/>
      <c r="K23" s="178"/>
      <c r="L23" s="178"/>
      <c r="M23" s="178"/>
      <c r="N23" s="178"/>
      <c r="O23" s="178"/>
      <c r="P23" s="178"/>
      <c r="Q23" s="178"/>
      <c r="R23" s="178"/>
      <c r="S23" s="178"/>
      <c r="T23" s="178"/>
      <c r="U23" s="178"/>
      <c r="V23" s="178"/>
      <c r="W23" s="178"/>
      <c r="X23" s="178"/>
      <c r="Y23" s="178"/>
      <c r="Z23" s="178"/>
      <c r="AA23" s="178"/>
      <c r="AB23" s="179"/>
    </row>
    <row r="24" spans="1:28" ht="59.25" customHeight="1">
      <c r="A24" s="87" t="s">
        <v>73</v>
      </c>
      <c r="B24" s="177"/>
      <c r="C24" s="178"/>
      <c r="D24" s="178"/>
      <c r="E24" s="178"/>
      <c r="F24" s="178"/>
      <c r="G24" s="178"/>
      <c r="H24" s="178"/>
      <c r="I24" s="178"/>
      <c r="J24" s="178"/>
      <c r="K24" s="178"/>
      <c r="L24" s="178"/>
      <c r="M24" s="178"/>
      <c r="N24" s="178"/>
      <c r="O24" s="178"/>
      <c r="P24" s="178"/>
      <c r="Q24" s="178"/>
      <c r="R24" s="178"/>
      <c r="S24" s="178"/>
      <c r="T24" s="178"/>
      <c r="U24" s="178"/>
      <c r="V24" s="178"/>
      <c r="W24" s="178"/>
      <c r="X24" s="178"/>
      <c r="Y24" s="178"/>
      <c r="Z24" s="178"/>
      <c r="AA24" s="178"/>
      <c r="AB24" s="179"/>
    </row>
    <row r="25" spans="1:28" ht="59.25" customHeight="1">
      <c r="A25" s="87" t="s">
        <v>74</v>
      </c>
      <c r="B25" s="177"/>
      <c r="C25" s="178"/>
      <c r="D25" s="178"/>
      <c r="E25" s="178"/>
      <c r="F25" s="178"/>
      <c r="G25" s="178"/>
      <c r="H25" s="178"/>
      <c r="I25" s="178"/>
      <c r="J25" s="178"/>
      <c r="K25" s="178"/>
      <c r="L25" s="178"/>
      <c r="M25" s="178"/>
      <c r="N25" s="178"/>
      <c r="O25" s="178"/>
      <c r="P25" s="178"/>
      <c r="Q25" s="178"/>
      <c r="R25" s="178"/>
      <c r="S25" s="178"/>
      <c r="T25" s="178"/>
      <c r="U25" s="178"/>
      <c r="V25" s="178"/>
      <c r="W25" s="178"/>
      <c r="X25" s="178"/>
      <c r="Y25" s="178"/>
      <c r="Z25" s="178"/>
      <c r="AA25" s="178"/>
      <c r="AB25" s="179"/>
    </row>
    <row r="26" spans="1:28" ht="59.25" customHeight="1">
      <c r="A26" s="87" t="s">
        <v>75</v>
      </c>
      <c r="B26" s="177"/>
      <c r="C26" s="178"/>
      <c r="D26" s="178"/>
      <c r="E26" s="178"/>
      <c r="F26" s="178"/>
      <c r="G26" s="178"/>
      <c r="H26" s="178"/>
      <c r="I26" s="178"/>
      <c r="J26" s="178"/>
      <c r="K26" s="178"/>
      <c r="L26" s="178"/>
      <c r="M26" s="178"/>
      <c r="N26" s="178"/>
      <c r="O26" s="178"/>
      <c r="P26" s="178"/>
      <c r="Q26" s="178"/>
      <c r="R26" s="178"/>
      <c r="S26" s="178"/>
      <c r="T26" s="178"/>
      <c r="U26" s="178"/>
      <c r="V26" s="178"/>
      <c r="W26" s="178"/>
      <c r="X26" s="178"/>
      <c r="Y26" s="178"/>
      <c r="Z26" s="178"/>
      <c r="AA26" s="178"/>
      <c r="AB26" s="179"/>
    </row>
    <row r="27" spans="1:28" ht="59.25" customHeight="1">
      <c r="A27" s="87" t="s">
        <v>76</v>
      </c>
      <c r="B27" s="177"/>
      <c r="C27" s="178"/>
      <c r="D27" s="178"/>
      <c r="E27" s="178"/>
      <c r="F27" s="178"/>
      <c r="G27" s="178"/>
      <c r="H27" s="178"/>
      <c r="I27" s="178"/>
      <c r="J27" s="178"/>
      <c r="K27" s="178"/>
      <c r="L27" s="178"/>
      <c r="M27" s="178"/>
      <c r="N27" s="178"/>
      <c r="O27" s="178"/>
      <c r="P27" s="178"/>
      <c r="Q27" s="178"/>
      <c r="R27" s="178"/>
      <c r="S27" s="178"/>
      <c r="T27" s="178"/>
      <c r="U27" s="178"/>
      <c r="V27" s="178"/>
      <c r="W27" s="178"/>
      <c r="X27" s="178"/>
      <c r="Y27" s="178"/>
      <c r="Z27" s="178"/>
      <c r="AA27" s="178"/>
      <c r="AB27" s="179"/>
    </row>
    <row r="28" spans="1:28" ht="59.25" customHeight="1">
      <c r="A28" s="87" t="s">
        <v>77</v>
      </c>
      <c r="B28" s="177"/>
      <c r="C28" s="178"/>
      <c r="D28" s="178"/>
      <c r="E28" s="178"/>
      <c r="F28" s="178"/>
      <c r="G28" s="178"/>
      <c r="H28" s="178"/>
      <c r="I28" s="178"/>
      <c r="J28" s="178"/>
      <c r="K28" s="178"/>
      <c r="L28" s="178"/>
      <c r="M28" s="178"/>
      <c r="N28" s="178"/>
      <c r="O28" s="178"/>
      <c r="P28" s="178"/>
      <c r="Q28" s="178"/>
      <c r="R28" s="178"/>
      <c r="S28" s="178"/>
      <c r="T28" s="178"/>
      <c r="U28" s="178"/>
      <c r="V28" s="178"/>
      <c r="W28" s="178"/>
      <c r="X28" s="178"/>
      <c r="Y28" s="178"/>
      <c r="Z28" s="178"/>
      <c r="AA28" s="178"/>
      <c r="AB28" s="179"/>
    </row>
    <row r="29" spans="1:28" ht="59.25" customHeight="1">
      <c r="A29" s="87" t="s">
        <v>78</v>
      </c>
      <c r="B29" s="177"/>
      <c r="C29" s="178"/>
      <c r="D29" s="178"/>
      <c r="E29" s="178"/>
      <c r="F29" s="178"/>
      <c r="G29" s="178"/>
      <c r="H29" s="178"/>
      <c r="I29" s="178"/>
      <c r="J29" s="178"/>
      <c r="K29" s="178"/>
      <c r="L29" s="178"/>
      <c r="M29" s="178"/>
      <c r="N29" s="178"/>
      <c r="O29" s="178"/>
      <c r="P29" s="178"/>
      <c r="Q29" s="178"/>
      <c r="R29" s="178"/>
      <c r="S29" s="178"/>
      <c r="T29" s="178"/>
      <c r="U29" s="178"/>
      <c r="V29" s="178"/>
      <c r="W29" s="178"/>
      <c r="X29" s="178"/>
      <c r="Y29" s="178"/>
      <c r="Z29" s="178"/>
      <c r="AA29" s="178"/>
      <c r="AB29" s="179"/>
    </row>
    <row r="30" spans="1:28" ht="59.25" customHeight="1">
      <c r="A30" s="87" t="s">
        <v>79</v>
      </c>
      <c r="B30" s="177"/>
      <c r="C30" s="178"/>
      <c r="D30" s="178"/>
      <c r="E30" s="178"/>
      <c r="F30" s="178"/>
      <c r="G30" s="178"/>
      <c r="H30" s="178"/>
      <c r="I30" s="178"/>
      <c r="J30" s="178"/>
      <c r="K30" s="178"/>
      <c r="L30" s="178"/>
      <c r="M30" s="178"/>
      <c r="N30" s="178"/>
      <c r="O30" s="178"/>
      <c r="P30" s="178"/>
      <c r="Q30" s="178"/>
      <c r="R30" s="178"/>
      <c r="S30" s="178"/>
      <c r="T30" s="178"/>
      <c r="U30" s="178"/>
      <c r="V30" s="178"/>
      <c r="W30" s="178"/>
      <c r="X30" s="178"/>
      <c r="Y30" s="178"/>
      <c r="Z30" s="178"/>
      <c r="AA30" s="178"/>
      <c r="AB30" s="179"/>
    </row>
    <row r="31" spans="1:28" ht="59.25" customHeight="1">
      <c r="A31" s="87"/>
      <c r="B31" s="177"/>
      <c r="C31" s="178"/>
      <c r="D31" s="178"/>
      <c r="E31" s="178"/>
      <c r="F31" s="178"/>
      <c r="G31" s="178"/>
      <c r="H31" s="178"/>
      <c r="I31" s="178"/>
      <c r="J31" s="178"/>
      <c r="K31" s="178"/>
      <c r="L31" s="178"/>
      <c r="M31" s="178"/>
      <c r="N31" s="178"/>
      <c r="O31" s="178"/>
      <c r="P31" s="178"/>
      <c r="Q31" s="178"/>
      <c r="R31" s="178"/>
      <c r="S31" s="178"/>
      <c r="T31" s="178"/>
      <c r="U31" s="178"/>
      <c r="V31" s="178"/>
      <c r="W31" s="178"/>
      <c r="X31" s="178"/>
      <c r="Y31" s="178"/>
      <c r="Z31" s="178"/>
      <c r="AA31" s="178"/>
      <c r="AB31" s="179"/>
    </row>
    <row r="32" spans="1:28" ht="59.25" customHeight="1">
      <c r="A32" s="87"/>
      <c r="B32" s="177"/>
      <c r="C32" s="178"/>
      <c r="D32" s="178"/>
      <c r="E32" s="178"/>
      <c r="F32" s="178"/>
      <c r="G32" s="178"/>
      <c r="H32" s="178"/>
      <c r="I32" s="178"/>
      <c r="J32" s="178"/>
      <c r="K32" s="178"/>
      <c r="L32" s="178"/>
      <c r="M32" s="178"/>
      <c r="N32" s="178"/>
      <c r="O32" s="178"/>
      <c r="P32" s="178"/>
      <c r="Q32" s="178"/>
      <c r="R32" s="178"/>
      <c r="S32" s="178"/>
      <c r="T32" s="178"/>
      <c r="U32" s="178"/>
      <c r="V32" s="178"/>
      <c r="W32" s="178"/>
      <c r="X32" s="178"/>
      <c r="Y32" s="178"/>
      <c r="Z32" s="178"/>
      <c r="AA32" s="178"/>
      <c r="AB32" s="179"/>
    </row>
    <row r="33" spans="1:28" ht="59.25" customHeight="1">
      <c r="A33" s="87"/>
      <c r="B33" s="177"/>
      <c r="C33" s="178"/>
      <c r="D33" s="178"/>
      <c r="E33" s="178"/>
      <c r="F33" s="178"/>
      <c r="G33" s="178"/>
      <c r="H33" s="178"/>
      <c r="I33" s="178"/>
      <c r="J33" s="178"/>
      <c r="K33" s="178"/>
      <c r="L33" s="178"/>
      <c r="M33" s="178"/>
      <c r="N33" s="178"/>
      <c r="O33" s="178"/>
      <c r="P33" s="178"/>
      <c r="Q33" s="178"/>
      <c r="R33" s="178"/>
      <c r="S33" s="178"/>
      <c r="T33" s="178"/>
      <c r="U33" s="178"/>
      <c r="V33" s="178"/>
      <c r="W33" s="178"/>
      <c r="X33" s="178"/>
      <c r="Y33" s="178"/>
      <c r="Z33" s="178"/>
      <c r="AA33" s="178"/>
      <c r="AB33" s="179"/>
    </row>
    <row r="34" spans="1:28" ht="59.25" customHeight="1">
      <c r="A34" s="87"/>
      <c r="B34" s="177"/>
      <c r="C34" s="178"/>
      <c r="D34" s="178"/>
      <c r="E34" s="178"/>
      <c r="F34" s="178"/>
      <c r="G34" s="178"/>
      <c r="H34" s="178"/>
      <c r="I34" s="178"/>
      <c r="J34" s="178"/>
      <c r="K34" s="178"/>
      <c r="L34" s="178"/>
      <c r="M34" s="178"/>
      <c r="N34" s="178"/>
      <c r="O34" s="178"/>
      <c r="P34" s="178"/>
      <c r="Q34" s="178"/>
      <c r="R34" s="178"/>
      <c r="S34" s="178"/>
      <c r="T34" s="178"/>
      <c r="U34" s="178"/>
      <c r="V34" s="178"/>
      <c r="W34" s="178"/>
      <c r="X34" s="178"/>
      <c r="Y34" s="178"/>
      <c r="Z34" s="178"/>
      <c r="AA34" s="178"/>
      <c r="AB34" s="179"/>
    </row>
    <row r="35" spans="1:28" ht="59.25" customHeight="1">
      <c r="A35" s="87"/>
      <c r="B35" s="177"/>
      <c r="C35" s="178"/>
      <c r="D35" s="178"/>
      <c r="E35" s="178"/>
      <c r="F35" s="178"/>
      <c r="G35" s="178"/>
      <c r="H35" s="178"/>
      <c r="I35" s="178"/>
      <c r="J35" s="178"/>
      <c r="K35" s="178"/>
      <c r="L35" s="178"/>
      <c r="M35" s="178"/>
      <c r="N35" s="178"/>
      <c r="O35" s="178"/>
      <c r="P35" s="178"/>
      <c r="Q35" s="178"/>
      <c r="R35" s="178"/>
      <c r="S35" s="178"/>
      <c r="T35" s="178"/>
      <c r="U35" s="178"/>
      <c r="V35" s="178"/>
      <c r="W35" s="178"/>
      <c r="X35" s="178"/>
      <c r="Y35" s="178"/>
      <c r="Z35" s="178"/>
      <c r="AA35" s="178"/>
      <c r="AB35" s="179"/>
    </row>
    <row r="36" spans="1:28" ht="59.25" customHeight="1">
      <c r="A36" s="87"/>
      <c r="B36" s="177"/>
      <c r="C36" s="178"/>
      <c r="D36" s="178"/>
      <c r="E36" s="178"/>
      <c r="F36" s="178"/>
      <c r="G36" s="178"/>
      <c r="H36" s="178"/>
      <c r="I36" s="178"/>
      <c r="J36" s="178"/>
      <c r="K36" s="178"/>
      <c r="L36" s="178"/>
      <c r="M36" s="178"/>
      <c r="N36" s="178"/>
      <c r="O36" s="178"/>
      <c r="P36" s="178"/>
      <c r="Q36" s="178"/>
      <c r="R36" s="178"/>
      <c r="S36" s="178"/>
      <c r="T36" s="178"/>
      <c r="U36" s="178"/>
      <c r="V36" s="178"/>
      <c r="W36" s="178"/>
      <c r="X36" s="178"/>
      <c r="Y36" s="178"/>
      <c r="Z36" s="178"/>
      <c r="AA36" s="178"/>
      <c r="AB36" s="179"/>
    </row>
    <row r="37" spans="1:28" ht="59.25" customHeight="1">
      <c r="A37" s="87"/>
      <c r="B37" s="177"/>
      <c r="C37" s="178"/>
      <c r="D37" s="178"/>
      <c r="E37" s="178"/>
      <c r="F37" s="178"/>
      <c r="G37" s="178"/>
      <c r="H37" s="178"/>
      <c r="I37" s="178"/>
      <c r="J37" s="178"/>
      <c r="K37" s="178"/>
      <c r="L37" s="178"/>
      <c r="M37" s="178"/>
      <c r="N37" s="178"/>
      <c r="O37" s="178"/>
      <c r="P37" s="178"/>
      <c r="Q37" s="178"/>
      <c r="R37" s="178"/>
      <c r="S37" s="178"/>
      <c r="T37" s="178"/>
      <c r="U37" s="178"/>
      <c r="V37" s="178"/>
      <c r="W37" s="178"/>
      <c r="X37" s="178"/>
      <c r="Y37" s="178"/>
      <c r="Z37" s="178"/>
      <c r="AA37" s="178"/>
      <c r="AB37" s="179"/>
    </row>
    <row r="38" spans="1:28" ht="59.25" customHeight="1">
      <c r="A38" s="87"/>
      <c r="B38" s="177"/>
      <c r="C38" s="178"/>
      <c r="D38" s="178"/>
      <c r="E38" s="178"/>
      <c r="F38" s="178"/>
      <c r="G38" s="178"/>
      <c r="H38" s="178"/>
      <c r="I38" s="178"/>
      <c r="J38" s="178"/>
      <c r="K38" s="178"/>
      <c r="L38" s="178"/>
      <c r="M38" s="178"/>
      <c r="N38" s="178"/>
      <c r="O38" s="178"/>
      <c r="P38" s="178"/>
      <c r="Q38" s="178"/>
      <c r="R38" s="178"/>
      <c r="S38" s="178"/>
      <c r="T38" s="178"/>
      <c r="U38" s="178"/>
      <c r="V38" s="178"/>
      <c r="W38" s="178"/>
      <c r="X38" s="178"/>
      <c r="Y38" s="178"/>
      <c r="Z38" s="178"/>
      <c r="AA38" s="178"/>
      <c r="AB38" s="179"/>
    </row>
    <row r="39" spans="1:28" ht="59.25" customHeight="1">
      <c r="A39" s="87"/>
      <c r="B39" s="177"/>
      <c r="C39" s="178"/>
      <c r="D39" s="178"/>
      <c r="E39" s="178"/>
      <c r="F39" s="178"/>
      <c r="G39" s="178"/>
      <c r="H39" s="178"/>
      <c r="I39" s="178"/>
      <c r="J39" s="178"/>
      <c r="K39" s="178"/>
      <c r="L39" s="178"/>
      <c r="M39" s="178"/>
      <c r="N39" s="178"/>
      <c r="O39" s="178"/>
      <c r="P39" s="178"/>
      <c r="Q39" s="178"/>
      <c r="R39" s="178"/>
      <c r="S39" s="178"/>
      <c r="T39" s="178"/>
      <c r="U39" s="178"/>
      <c r="V39" s="178"/>
      <c r="W39" s="178"/>
      <c r="X39" s="178"/>
      <c r="Y39" s="178"/>
      <c r="Z39" s="178"/>
      <c r="AA39" s="178"/>
      <c r="AB39" s="179"/>
    </row>
    <row r="40" spans="1:28" ht="22.5" customHeight="1"/>
    <row r="41" spans="1:28" ht="22.5" customHeight="1"/>
    <row r="42" spans="1:28" ht="22.5" customHeight="1"/>
    <row r="43" spans="1:28" ht="22.5" customHeight="1"/>
    <row r="44" spans="1:28" ht="17.25" customHeight="1"/>
    <row r="45" spans="1:28" ht="17.25" customHeight="1"/>
    <row r="46" spans="1:28" ht="17.25" customHeight="1"/>
    <row r="47" spans="1:28" ht="17.25" customHeight="1"/>
    <row r="48" spans="1:28" ht="17.25" customHeight="1"/>
    <row r="49" ht="17.25" customHeight="1"/>
    <row r="50" ht="17.25" customHeight="1"/>
    <row r="51" ht="17.25" customHeight="1"/>
    <row r="52" ht="17.25" customHeight="1"/>
    <row r="53" ht="17.25" customHeight="1"/>
    <row r="54" ht="17.25" customHeight="1"/>
    <row r="55" ht="17.25" customHeight="1"/>
    <row r="56" ht="17.25" customHeight="1"/>
    <row r="57" ht="17.25" customHeight="1"/>
    <row r="58" ht="17.25" customHeight="1"/>
    <row r="59" ht="17.25" customHeight="1"/>
    <row r="60" ht="17.25" customHeight="1"/>
    <row r="61" ht="17.25" customHeight="1"/>
    <row r="62" ht="17.25" customHeight="1"/>
    <row r="63" ht="17.25" customHeight="1"/>
    <row r="64"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row r="155" ht="17.25" customHeight="1"/>
    <row r="156" ht="17.25" customHeight="1"/>
    <row r="157" ht="17.25" customHeight="1"/>
    <row r="158" ht="17.25" customHeight="1"/>
    <row r="159" ht="17.25" customHeight="1"/>
    <row r="160" ht="17.25" customHeight="1"/>
    <row r="161" ht="17.25" customHeight="1"/>
    <row r="162" ht="17.25" customHeight="1"/>
    <row r="163" ht="17.25" customHeight="1"/>
    <row r="164" ht="17.25" customHeight="1"/>
    <row r="165" ht="17.25" customHeight="1"/>
    <row r="166" ht="17.25" customHeight="1"/>
    <row r="167" ht="17.25" customHeight="1"/>
    <row r="168" ht="17.25" customHeight="1"/>
    <row r="169" ht="17.25" customHeight="1"/>
    <row r="170" ht="17.25" customHeight="1"/>
    <row r="171" ht="17.25" customHeight="1"/>
    <row r="172" ht="17.25" customHeight="1"/>
    <row r="173" ht="17.25" customHeight="1"/>
    <row r="174" ht="17.25" customHeight="1"/>
    <row r="175" ht="17.25" customHeight="1"/>
    <row r="176" ht="17.25" customHeight="1"/>
    <row r="177" ht="17.25" customHeight="1"/>
    <row r="178" ht="17.25" customHeight="1"/>
    <row r="179" ht="17.25" customHeight="1"/>
    <row r="180" ht="17.25" customHeight="1"/>
    <row r="181" ht="17.25" customHeight="1"/>
    <row r="182" ht="17.25" customHeight="1"/>
    <row r="183" ht="17.25" customHeight="1"/>
    <row r="184" ht="17.25" customHeight="1"/>
    <row r="185" ht="17.25" customHeight="1"/>
    <row r="186" ht="17.25" customHeight="1"/>
    <row r="187" ht="17.25" customHeight="1"/>
    <row r="188" ht="17.25" customHeight="1"/>
    <row r="189" ht="17.25" customHeight="1"/>
    <row r="190" ht="17.25" customHeight="1"/>
    <row r="191" ht="17.25" customHeight="1"/>
    <row r="192" ht="17.25" customHeight="1"/>
    <row r="193" ht="17.25" customHeight="1"/>
  </sheetData>
  <mergeCells count="27">
    <mergeCell ref="B38:AB38"/>
    <mergeCell ref="B39:AB39"/>
    <mergeCell ref="B31:AB31"/>
    <mergeCell ref="B32:AB32"/>
    <mergeCell ref="B26:AB26"/>
    <mergeCell ref="B27:AB27"/>
    <mergeCell ref="B28:AB28"/>
    <mergeCell ref="B29:AB29"/>
    <mergeCell ref="B30:AB30"/>
    <mergeCell ref="B35:AB35"/>
    <mergeCell ref="B36:AB36"/>
    <mergeCell ref="B37:AB37"/>
    <mergeCell ref="B14:AB14"/>
    <mergeCell ref="B15:AB15"/>
    <mergeCell ref="A2:A12"/>
    <mergeCell ref="B16:AB16"/>
    <mergeCell ref="B17:AB17"/>
    <mergeCell ref="B18:AB18"/>
    <mergeCell ref="B19:AB19"/>
    <mergeCell ref="B20:AB20"/>
    <mergeCell ref="B21:AB21"/>
    <mergeCell ref="B22:AB22"/>
    <mergeCell ref="B23:AB23"/>
    <mergeCell ref="B24:AB24"/>
    <mergeCell ref="B25:AB25"/>
    <mergeCell ref="B33:AB33"/>
    <mergeCell ref="B34:AB34"/>
  </mergeCells>
  <phoneticPr fontId="1"/>
  <dataValidations count="2">
    <dataValidation type="list" allowBlank="1" showDropDown="1" showInputMessage="1" showErrorMessage="1" sqref="D2:AB11">
      <formula1>$AC$2:$AC$5</formula1>
    </dataValidation>
    <dataValidation type="list" allowBlank="1" showDropDown="1" showInputMessage="1" showErrorMessage="1" errorTitle="文字エラー" error="半角数字1～5か、評価不能の場合は-（半角マイナス）を入れて下さい。" sqref="D12:AB13">
      <formula1>$AD$2:$AD$7</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1"/>
  </sheetPr>
  <dimension ref="A1:AD193"/>
  <sheetViews>
    <sheetView workbookViewId="0">
      <selection sqref="A1:XFD1048576"/>
    </sheetView>
  </sheetViews>
  <sheetFormatPr defaultRowHeight="13.5"/>
  <cols>
    <col min="1" max="1" width="13.5" style="4" customWidth="1"/>
    <col min="2" max="2" width="79.125" style="4" customWidth="1"/>
    <col min="3" max="3" width="9.375" style="4" customWidth="1"/>
    <col min="4" max="28" width="4.125" style="4" customWidth="1"/>
    <col min="29" max="16384" width="9" style="4"/>
  </cols>
  <sheetData>
    <row r="1" spans="1:30" ht="85.5" customHeight="1">
      <c r="A1" s="21" t="str">
        <f ca="1">MID(CELL("filename",A1),FIND("[",CELL("filename",A1))+1,3)</f>
        <v>８－２</v>
      </c>
      <c r="B1" s="22" t="str">
        <f ca="1">RIGHT(CELL("filename",B1),LEN(CELL("filename",B1))-FIND("]",CELL("filename",B1)))</f>
        <v>英語</v>
      </c>
      <c r="C1" s="23" t="s">
        <v>60</v>
      </c>
      <c r="D1" s="24" t="str">
        <f>A15</f>
        <v>岡田 明日香</v>
      </c>
      <c r="E1" s="24" t="str">
        <f>A16</f>
        <v>荻原 知香</v>
      </c>
      <c r="F1" s="24" t="str">
        <f>A17</f>
        <v>片桐 葵</v>
      </c>
      <c r="G1" s="24" t="str">
        <f>A18</f>
        <v>上島 碧依</v>
      </c>
      <c r="H1" s="24" t="str">
        <f>A19</f>
        <v>藏井 陽菜乃</v>
      </c>
      <c r="I1" s="24" t="str">
        <f>A20</f>
        <v>小松 雅治</v>
      </c>
      <c r="J1" s="24" t="str">
        <f>A21</f>
        <v>須藤 爽斗</v>
      </c>
      <c r="K1" s="24" t="str">
        <f>A22</f>
        <v>滝 陽香</v>
      </c>
      <c r="L1" s="24" t="str">
        <f>A23</f>
        <v>永江 仁</v>
      </c>
      <c r="M1" s="24" t="str">
        <f>A24</f>
        <v>林 果菜</v>
      </c>
      <c r="N1" s="24" t="str">
        <f>A25</f>
        <v>原 維香</v>
      </c>
      <c r="O1" s="24" t="str">
        <f>A26</f>
        <v>丸山 心音</v>
      </c>
      <c r="P1" s="24" t="str">
        <f>A27</f>
        <v>森本 浩士</v>
      </c>
      <c r="Q1" s="24" t="str">
        <f>A28</f>
        <v>栁沢 美緒</v>
      </c>
      <c r="R1" s="24" t="str">
        <f>A29</f>
        <v>横山 麟太</v>
      </c>
      <c r="S1" s="24" t="str">
        <f>A30</f>
        <v>渡邊 了介</v>
      </c>
      <c r="T1" s="24">
        <f>A31</f>
        <v>0</v>
      </c>
      <c r="U1" s="24">
        <f>A32</f>
        <v>0</v>
      </c>
      <c r="V1" s="24">
        <f>A33</f>
        <v>0</v>
      </c>
      <c r="W1" s="24">
        <f>A34</f>
        <v>0</v>
      </c>
      <c r="X1" s="24">
        <f>A35</f>
        <v>0</v>
      </c>
      <c r="Y1" s="24">
        <f>A36</f>
        <v>0</v>
      </c>
      <c r="Z1" s="24">
        <f>A37</f>
        <v>0</v>
      </c>
      <c r="AA1" s="24">
        <f>A38</f>
        <v>0</v>
      </c>
      <c r="AB1" s="24">
        <f>A39</f>
        <v>0</v>
      </c>
      <c r="AC1" s="25"/>
    </row>
    <row r="2" spans="1:30" ht="22.5" customHeight="1">
      <c r="A2" s="168" t="s">
        <v>219</v>
      </c>
      <c r="B2" s="58" t="s">
        <v>108</v>
      </c>
      <c r="C2" s="26" t="s">
        <v>61</v>
      </c>
      <c r="D2" s="27" t="s">
        <v>27</v>
      </c>
      <c r="E2" s="27" t="s">
        <v>28</v>
      </c>
      <c r="F2" s="27" t="s">
        <v>31</v>
      </c>
      <c r="G2" s="27" t="s">
        <v>27</v>
      </c>
      <c r="H2" s="27" t="s">
        <v>28</v>
      </c>
      <c r="I2" s="27" t="s">
        <v>31</v>
      </c>
      <c r="J2" s="27" t="s">
        <v>28</v>
      </c>
      <c r="K2" s="27" t="s">
        <v>27</v>
      </c>
      <c r="L2" s="27" t="s">
        <v>27</v>
      </c>
      <c r="M2" s="27" t="s">
        <v>31</v>
      </c>
      <c r="N2" s="27" t="s">
        <v>31</v>
      </c>
      <c r="O2" s="27" t="s">
        <v>27</v>
      </c>
      <c r="P2" s="27" t="s">
        <v>28</v>
      </c>
      <c r="Q2" s="27" t="s">
        <v>28</v>
      </c>
      <c r="R2" s="27" t="s">
        <v>27</v>
      </c>
      <c r="S2" s="27" t="s">
        <v>28</v>
      </c>
      <c r="T2" s="27"/>
      <c r="U2" s="27"/>
      <c r="V2" s="27"/>
      <c r="W2" s="27"/>
      <c r="X2" s="27"/>
      <c r="Y2" s="27"/>
      <c r="Z2" s="27"/>
      <c r="AA2" s="27"/>
      <c r="AB2" s="27"/>
      <c r="AC2" s="28" t="s">
        <v>220</v>
      </c>
      <c r="AD2" s="28">
        <v>1</v>
      </c>
    </row>
    <row r="3" spans="1:30" ht="22.5" customHeight="1">
      <c r="A3" s="169"/>
      <c r="B3" s="58" t="s">
        <v>109</v>
      </c>
      <c r="C3" s="26" t="s">
        <v>61</v>
      </c>
      <c r="D3" s="27" t="s">
        <v>28</v>
      </c>
      <c r="E3" s="27" t="s">
        <v>28</v>
      </c>
      <c r="F3" s="27" t="s">
        <v>31</v>
      </c>
      <c r="G3" s="27" t="s">
        <v>28</v>
      </c>
      <c r="H3" s="27" t="s">
        <v>28</v>
      </c>
      <c r="I3" s="27" t="s">
        <v>28</v>
      </c>
      <c r="J3" s="27" t="s">
        <v>28</v>
      </c>
      <c r="K3" s="27" t="s">
        <v>28</v>
      </c>
      <c r="L3" s="27" t="s">
        <v>28</v>
      </c>
      <c r="M3" s="27" t="s">
        <v>27</v>
      </c>
      <c r="N3" s="27" t="s">
        <v>28</v>
      </c>
      <c r="O3" s="27" t="s">
        <v>28</v>
      </c>
      <c r="P3" s="27" t="s">
        <v>28</v>
      </c>
      <c r="Q3" s="27" t="s">
        <v>28</v>
      </c>
      <c r="R3" s="27" t="s">
        <v>28</v>
      </c>
      <c r="S3" s="27" t="s">
        <v>28</v>
      </c>
      <c r="T3" s="27"/>
      <c r="U3" s="27"/>
      <c r="V3" s="27"/>
      <c r="W3" s="27"/>
      <c r="X3" s="27"/>
      <c r="Y3" s="27"/>
      <c r="Z3" s="27"/>
      <c r="AA3" s="27"/>
      <c r="AB3" s="27"/>
      <c r="AC3" s="28" t="s">
        <v>221</v>
      </c>
      <c r="AD3" s="28">
        <v>2</v>
      </c>
    </row>
    <row r="4" spans="1:30" ht="22.5" customHeight="1">
      <c r="A4" s="169"/>
      <c r="B4" s="58" t="s">
        <v>110</v>
      </c>
      <c r="C4" s="26" t="s">
        <v>61</v>
      </c>
      <c r="D4" s="27" t="s">
        <v>28</v>
      </c>
      <c r="E4" s="27" t="s">
        <v>28</v>
      </c>
      <c r="F4" s="27" t="s">
        <v>28</v>
      </c>
      <c r="G4" s="27" t="s">
        <v>28</v>
      </c>
      <c r="H4" s="27" t="s">
        <v>28</v>
      </c>
      <c r="I4" s="27" t="s">
        <v>28</v>
      </c>
      <c r="J4" s="27" t="s">
        <v>221</v>
      </c>
      <c r="K4" s="27" t="s">
        <v>28</v>
      </c>
      <c r="L4" s="27" t="s">
        <v>27</v>
      </c>
      <c r="M4" s="27" t="s">
        <v>28</v>
      </c>
      <c r="N4" s="27" t="s">
        <v>27</v>
      </c>
      <c r="O4" s="27" t="s">
        <v>28</v>
      </c>
      <c r="P4" s="27" t="s">
        <v>28</v>
      </c>
      <c r="Q4" s="27" t="s">
        <v>28</v>
      </c>
      <c r="R4" s="27" t="s">
        <v>28</v>
      </c>
      <c r="S4" s="27" t="s">
        <v>28</v>
      </c>
      <c r="T4" s="27"/>
      <c r="U4" s="27"/>
      <c r="V4" s="27"/>
      <c r="W4" s="27"/>
      <c r="X4" s="27"/>
      <c r="Y4" s="27"/>
      <c r="Z4" s="27"/>
      <c r="AA4" s="27"/>
      <c r="AB4" s="27"/>
      <c r="AC4" s="28" t="s">
        <v>222</v>
      </c>
      <c r="AD4" s="28">
        <v>3</v>
      </c>
    </row>
    <row r="5" spans="1:30" ht="22.5" customHeight="1">
      <c r="A5" s="169"/>
      <c r="B5" s="78"/>
      <c r="C5" s="26" t="s">
        <v>61</v>
      </c>
      <c r="D5" s="27"/>
      <c r="E5" s="27"/>
      <c r="F5" s="27"/>
      <c r="G5" s="27"/>
      <c r="H5" s="27"/>
      <c r="I5" s="27"/>
      <c r="J5" s="27"/>
      <c r="K5" s="27"/>
      <c r="L5" s="27"/>
      <c r="M5" s="27"/>
      <c r="N5" s="27"/>
      <c r="O5" s="27"/>
      <c r="P5" s="27"/>
      <c r="Q5" s="27"/>
      <c r="R5" s="27"/>
      <c r="S5" s="27"/>
      <c r="T5" s="27"/>
      <c r="U5" s="27"/>
      <c r="V5" s="27"/>
      <c r="W5" s="27"/>
      <c r="X5" s="27"/>
      <c r="Y5" s="27"/>
      <c r="Z5" s="27"/>
      <c r="AA5" s="27"/>
      <c r="AB5" s="27"/>
      <c r="AC5" s="28" t="s">
        <v>223</v>
      </c>
      <c r="AD5" s="28">
        <v>4</v>
      </c>
    </row>
    <row r="6" spans="1:30" ht="22.5" customHeight="1">
      <c r="A6" s="169"/>
      <c r="B6" s="78"/>
      <c r="C6" s="26" t="s">
        <v>61</v>
      </c>
      <c r="D6" s="27"/>
      <c r="E6" s="27"/>
      <c r="F6" s="27"/>
      <c r="G6" s="27"/>
      <c r="H6" s="27"/>
      <c r="I6" s="27"/>
      <c r="J6" s="27"/>
      <c r="K6" s="27"/>
      <c r="L6" s="27"/>
      <c r="M6" s="27"/>
      <c r="N6" s="27"/>
      <c r="O6" s="27"/>
      <c r="P6" s="27"/>
      <c r="Q6" s="27"/>
      <c r="R6" s="27"/>
      <c r="S6" s="27"/>
      <c r="T6" s="27"/>
      <c r="U6" s="27"/>
      <c r="V6" s="27"/>
      <c r="W6" s="27"/>
      <c r="X6" s="27"/>
      <c r="Y6" s="27"/>
      <c r="Z6" s="27"/>
      <c r="AA6" s="27"/>
      <c r="AB6" s="27"/>
      <c r="AC6" s="28"/>
      <c r="AD6" s="28">
        <v>5</v>
      </c>
    </row>
    <row r="7" spans="1:30" ht="22.5" customHeight="1">
      <c r="A7" s="169"/>
      <c r="B7" s="78"/>
      <c r="C7" s="26" t="s">
        <v>61</v>
      </c>
      <c r="D7" s="27"/>
      <c r="E7" s="27"/>
      <c r="F7" s="27"/>
      <c r="G7" s="27"/>
      <c r="H7" s="27"/>
      <c r="I7" s="27"/>
      <c r="J7" s="27"/>
      <c r="K7" s="27"/>
      <c r="L7" s="27"/>
      <c r="M7" s="27"/>
      <c r="N7" s="27"/>
      <c r="O7" s="27"/>
      <c r="P7" s="27"/>
      <c r="Q7" s="27"/>
      <c r="R7" s="27"/>
      <c r="S7" s="27"/>
      <c r="T7" s="27"/>
      <c r="U7" s="27"/>
      <c r="V7" s="27"/>
      <c r="W7" s="27"/>
      <c r="X7" s="27"/>
      <c r="Y7" s="27"/>
      <c r="Z7" s="27"/>
      <c r="AA7" s="27"/>
      <c r="AB7" s="27"/>
      <c r="AC7" s="28"/>
      <c r="AD7" s="28" t="s">
        <v>224</v>
      </c>
    </row>
    <row r="8" spans="1:30" ht="22.5" customHeight="1">
      <c r="A8" s="169"/>
      <c r="B8" s="78"/>
      <c r="C8" s="26" t="s">
        <v>61</v>
      </c>
      <c r="D8" s="27"/>
      <c r="E8" s="27"/>
      <c r="F8" s="27"/>
      <c r="G8" s="27"/>
      <c r="H8" s="27"/>
      <c r="I8" s="27"/>
      <c r="J8" s="27"/>
      <c r="K8" s="27"/>
      <c r="L8" s="27"/>
      <c r="M8" s="27"/>
      <c r="N8" s="27"/>
      <c r="O8" s="27"/>
      <c r="P8" s="27"/>
      <c r="Q8" s="27"/>
      <c r="R8" s="27"/>
      <c r="S8" s="27"/>
      <c r="T8" s="27"/>
      <c r="U8" s="27"/>
      <c r="V8" s="27"/>
      <c r="W8" s="27"/>
      <c r="X8" s="27"/>
      <c r="Y8" s="27"/>
      <c r="Z8" s="27"/>
      <c r="AA8" s="27"/>
      <c r="AB8" s="27"/>
    </row>
    <row r="9" spans="1:30" ht="22.5" customHeight="1">
      <c r="A9" s="169"/>
      <c r="B9" s="78"/>
      <c r="C9" s="26" t="s">
        <v>61</v>
      </c>
      <c r="D9" s="27"/>
      <c r="E9" s="27"/>
      <c r="F9" s="27"/>
      <c r="G9" s="27"/>
      <c r="H9" s="27"/>
      <c r="I9" s="27"/>
      <c r="J9" s="27"/>
      <c r="K9" s="27"/>
      <c r="L9" s="27"/>
      <c r="M9" s="27"/>
      <c r="N9" s="27"/>
      <c r="O9" s="27"/>
      <c r="P9" s="27"/>
      <c r="Q9" s="27"/>
      <c r="R9" s="27"/>
      <c r="S9" s="27"/>
      <c r="T9" s="27"/>
      <c r="U9" s="27"/>
      <c r="V9" s="27"/>
      <c r="W9" s="27"/>
      <c r="X9" s="27"/>
      <c r="Y9" s="27"/>
      <c r="Z9" s="27"/>
      <c r="AA9" s="27"/>
      <c r="AB9" s="27"/>
    </row>
    <row r="10" spans="1:30" ht="22.5" customHeight="1">
      <c r="A10" s="169"/>
      <c r="B10" s="78"/>
      <c r="C10" s="26" t="s">
        <v>61</v>
      </c>
      <c r="D10" s="27"/>
      <c r="E10" s="27"/>
      <c r="F10" s="27"/>
      <c r="G10" s="27"/>
      <c r="H10" s="27"/>
      <c r="I10" s="27"/>
      <c r="J10" s="27"/>
      <c r="K10" s="27"/>
      <c r="L10" s="27"/>
      <c r="M10" s="27"/>
      <c r="N10" s="27"/>
      <c r="O10" s="27"/>
      <c r="P10" s="27"/>
      <c r="Q10" s="27"/>
      <c r="R10" s="27"/>
      <c r="S10" s="27"/>
      <c r="T10" s="27"/>
      <c r="U10" s="27"/>
      <c r="V10" s="27"/>
      <c r="W10" s="27"/>
      <c r="X10" s="27"/>
      <c r="Y10" s="27"/>
      <c r="Z10" s="27"/>
      <c r="AA10" s="27"/>
      <c r="AB10" s="27"/>
    </row>
    <row r="11" spans="1:30" ht="22.5" customHeight="1">
      <c r="A11" s="169"/>
      <c r="B11" s="78"/>
      <c r="C11" s="26" t="s">
        <v>61</v>
      </c>
      <c r="D11" s="27"/>
      <c r="E11" s="27"/>
      <c r="F11" s="27"/>
      <c r="G11" s="27"/>
      <c r="H11" s="27"/>
      <c r="I11" s="27"/>
      <c r="J11" s="27"/>
      <c r="K11" s="27"/>
      <c r="L11" s="27"/>
      <c r="M11" s="27"/>
      <c r="N11" s="27"/>
      <c r="O11" s="27"/>
      <c r="P11" s="27"/>
      <c r="Q11" s="27"/>
      <c r="R11" s="27"/>
      <c r="S11" s="27"/>
      <c r="T11" s="27"/>
      <c r="U11" s="27"/>
      <c r="V11" s="27"/>
      <c r="W11" s="27"/>
      <c r="X11" s="27"/>
      <c r="Y11" s="27"/>
      <c r="Z11" s="27"/>
      <c r="AA11" s="27"/>
      <c r="AB11" s="27"/>
    </row>
    <row r="12" spans="1:30" ht="30" customHeight="1">
      <c r="A12" s="170"/>
      <c r="B12" s="29"/>
      <c r="C12" s="85" t="s">
        <v>62</v>
      </c>
      <c r="D12" s="27" t="s">
        <v>54</v>
      </c>
      <c r="E12" s="27" t="s">
        <v>53</v>
      </c>
      <c r="F12" s="27" t="s">
        <v>55</v>
      </c>
      <c r="G12" s="27" t="s">
        <v>54</v>
      </c>
      <c r="H12" s="27" t="s">
        <v>53</v>
      </c>
      <c r="I12" s="27" t="s">
        <v>55</v>
      </c>
      <c r="J12" s="27">
        <v>4</v>
      </c>
      <c r="K12" s="27" t="s">
        <v>54</v>
      </c>
      <c r="L12" s="27" t="s">
        <v>55</v>
      </c>
      <c r="M12" s="27" t="s">
        <v>55</v>
      </c>
      <c r="N12" s="27" t="s">
        <v>55</v>
      </c>
      <c r="O12" s="27" t="s">
        <v>54</v>
      </c>
      <c r="P12" s="27" t="s">
        <v>53</v>
      </c>
      <c r="Q12" s="27" t="s">
        <v>53</v>
      </c>
      <c r="R12" s="27" t="s">
        <v>54</v>
      </c>
      <c r="S12" s="27" t="s">
        <v>53</v>
      </c>
      <c r="T12" s="27"/>
      <c r="U12" s="27"/>
      <c r="V12" s="27"/>
      <c r="W12" s="27"/>
      <c r="X12" s="27"/>
      <c r="Y12" s="27"/>
      <c r="Z12" s="27"/>
      <c r="AA12" s="27"/>
      <c r="AB12" s="27"/>
    </row>
    <row r="13" spans="1:30" ht="26.25" customHeight="1">
      <c r="A13" s="30"/>
      <c r="B13" s="30"/>
      <c r="C13" s="77" t="s">
        <v>49</v>
      </c>
      <c r="D13" s="27"/>
      <c r="E13" s="27"/>
      <c r="F13" s="27"/>
      <c r="G13" s="27"/>
      <c r="H13" s="27"/>
      <c r="I13" s="27"/>
      <c r="J13" s="27"/>
      <c r="K13" s="27"/>
      <c r="L13" s="27"/>
      <c r="M13" s="27"/>
      <c r="N13" s="27"/>
      <c r="O13" s="27"/>
      <c r="P13" s="27"/>
      <c r="Q13" s="27"/>
      <c r="R13" s="27"/>
      <c r="S13" s="27"/>
      <c r="T13" s="27"/>
      <c r="U13" s="27"/>
      <c r="V13" s="27"/>
      <c r="W13" s="27"/>
      <c r="X13" s="27"/>
      <c r="Y13" s="27"/>
      <c r="Z13" s="27"/>
      <c r="AA13" s="27"/>
      <c r="AB13" s="27"/>
    </row>
    <row r="14" spans="1:30" ht="22.5" customHeight="1">
      <c r="A14" s="31" t="s">
        <v>20</v>
      </c>
      <c r="B14" s="174" t="s">
        <v>63</v>
      </c>
      <c r="C14" s="175"/>
      <c r="D14" s="175"/>
      <c r="E14" s="175"/>
      <c r="F14" s="175"/>
      <c r="G14" s="175"/>
      <c r="H14" s="175"/>
      <c r="I14" s="175"/>
      <c r="J14" s="175"/>
      <c r="K14" s="175"/>
      <c r="L14" s="175"/>
      <c r="M14" s="175"/>
      <c r="N14" s="175"/>
      <c r="O14" s="175"/>
      <c r="P14" s="175"/>
      <c r="Q14" s="175"/>
      <c r="R14" s="175"/>
      <c r="S14" s="175"/>
      <c r="T14" s="175"/>
      <c r="U14" s="175"/>
      <c r="V14" s="175"/>
      <c r="W14" s="175"/>
      <c r="X14" s="175"/>
      <c r="Y14" s="175"/>
      <c r="Z14" s="175"/>
      <c r="AA14" s="175"/>
      <c r="AB14" s="176"/>
    </row>
    <row r="15" spans="1:30" ht="59.25" customHeight="1">
      <c r="A15" s="32" t="s">
        <v>64</v>
      </c>
      <c r="B15" s="171" t="s">
        <v>111</v>
      </c>
      <c r="C15" s="172"/>
      <c r="D15" s="172"/>
      <c r="E15" s="172"/>
      <c r="F15" s="172"/>
      <c r="G15" s="172"/>
      <c r="H15" s="172"/>
      <c r="I15" s="172"/>
      <c r="J15" s="172"/>
      <c r="K15" s="172"/>
      <c r="L15" s="172"/>
      <c r="M15" s="172"/>
      <c r="N15" s="172"/>
      <c r="O15" s="172"/>
      <c r="P15" s="172"/>
      <c r="Q15" s="172"/>
      <c r="R15" s="172"/>
      <c r="S15" s="172"/>
      <c r="T15" s="172"/>
      <c r="U15" s="172"/>
      <c r="V15" s="172"/>
      <c r="W15" s="172"/>
      <c r="X15" s="172"/>
      <c r="Y15" s="172"/>
      <c r="Z15" s="172"/>
      <c r="AA15" s="172"/>
      <c r="AB15" s="173"/>
    </row>
    <row r="16" spans="1:30" ht="59.25" customHeight="1">
      <c r="A16" s="32" t="s">
        <v>65</v>
      </c>
      <c r="B16" s="171" t="s">
        <v>112</v>
      </c>
      <c r="C16" s="172"/>
      <c r="D16" s="172"/>
      <c r="E16" s="172"/>
      <c r="F16" s="172"/>
      <c r="G16" s="172"/>
      <c r="H16" s="172"/>
      <c r="I16" s="172"/>
      <c r="J16" s="172"/>
      <c r="K16" s="172"/>
      <c r="L16" s="172"/>
      <c r="M16" s="172"/>
      <c r="N16" s="172"/>
      <c r="O16" s="172"/>
      <c r="P16" s="172"/>
      <c r="Q16" s="172"/>
      <c r="R16" s="172"/>
      <c r="S16" s="172"/>
      <c r="T16" s="172"/>
      <c r="U16" s="172"/>
      <c r="V16" s="172"/>
      <c r="W16" s="172"/>
      <c r="X16" s="172"/>
      <c r="Y16" s="172"/>
      <c r="Z16" s="172"/>
      <c r="AA16" s="172"/>
      <c r="AB16" s="173"/>
    </row>
    <row r="17" spans="1:28" ht="59.25" customHeight="1">
      <c r="A17" s="32" t="s">
        <v>66</v>
      </c>
      <c r="B17" s="171" t="s">
        <v>113</v>
      </c>
      <c r="C17" s="172"/>
      <c r="D17" s="172"/>
      <c r="E17" s="172"/>
      <c r="F17" s="172"/>
      <c r="G17" s="172"/>
      <c r="H17" s="172"/>
      <c r="I17" s="172"/>
      <c r="J17" s="172"/>
      <c r="K17" s="172"/>
      <c r="L17" s="172"/>
      <c r="M17" s="172"/>
      <c r="N17" s="172"/>
      <c r="O17" s="172"/>
      <c r="P17" s="172"/>
      <c r="Q17" s="172"/>
      <c r="R17" s="172"/>
      <c r="S17" s="172"/>
      <c r="T17" s="172"/>
      <c r="U17" s="172"/>
      <c r="V17" s="172"/>
      <c r="W17" s="172"/>
      <c r="X17" s="172"/>
      <c r="Y17" s="172"/>
      <c r="Z17" s="172"/>
      <c r="AA17" s="172"/>
      <c r="AB17" s="173"/>
    </row>
    <row r="18" spans="1:28" ht="59.25" customHeight="1">
      <c r="A18" s="32" t="s">
        <v>67</v>
      </c>
      <c r="B18" s="171" t="s">
        <v>114</v>
      </c>
      <c r="C18" s="172"/>
      <c r="D18" s="172"/>
      <c r="E18" s="172"/>
      <c r="F18" s="172"/>
      <c r="G18" s="172"/>
      <c r="H18" s="172"/>
      <c r="I18" s="172"/>
      <c r="J18" s="172"/>
      <c r="K18" s="172"/>
      <c r="L18" s="172"/>
      <c r="M18" s="172"/>
      <c r="N18" s="172"/>
      <c r="O18" s="172"/>
      <c r="P18" s="172"/>
      <c r="Q18" s="172"/>
      <c r="R18" s="172"/>
      <c r="S18" s="172"/>
      <c r="T18" s="172"/>
      <c r="U18" s="172"/>
      <c r="V18" s="172"/>
      <c r="W18" s="172"/>
      <c r="X18" s="172"/>
      <c r="Y18" s="172"/>
      <c r="Z18" s="172"/>
      <c r="AA18" s="172"/>
      <c r="AB18" s="173"/>
    </row>
    <row r="19" spans="1:28" ht="59.25" customHeight="1">
      <c r="A19" s="32" t="s">
        <v>68</v>
      </c>
      <c r="B19" s="171" t="s">
        <v>115</v>
      </c>
      <c r="C19" s="172"/>
      <c r="D19" s="172"/>
      <c r="E19" s="172"/>
      <c r="F19" s="172"/>
      <c r="G19" s="172"/>
      <c r="H19" s="172"/>
      <c r="I19" s="172"/>
      <c r="J19" s="172"/>
      <c r="K19" s="172"/>
      <c r="L19" s="172"/>
      <c r="M19" s="172"/>
      <c r="N19" s="172"/>
      <c r="O19" s="172"/>
      <c r="P19" s="172"/>
      <c r="Q19" s="172"/>
      <c r="R19" s="172"/>
      <c r="S19" s="172"/>
      <c r="T19" s="172"/>
      <c r="U19" s="172"/>
      <c r="V19" s="172"/>
      <c r="W19" s="172"/>
      <c r="X19" s="172"/>
      <c r="Y19" s="172"/>
      <c r="Z19" s="172"/>
      <c r="AA19" s="172"/>
      <c r="AB19" s="173"/>
    </row>
    <row r="20" spans="1:28" ht="59.25" customHeight="1">
      <c r="A20" s="32" t="s">
        <v>69</v>
      </c>
      <c r="B20" s="171" t="s">
        <v>116</v>
      </c>
      <c r="C20" s="172"/>
      <c r="D20" s="172"/>
      <c r="E20" s="172"/>
      <c r="F20" s="172"/>
      <c r="G20" s="172"/>
      <c r="H20" s="172"/>
      <c r="I20" s="172"/>
      <c r="J20" s="172"/>
      <c r="K20" s="172"/>
      <c r="L20" s="172"/>
      <c r="M20" s="172"/>
      <c r="N20" s="172"/>
      <c r="O20" s="172"/>
      <c r="P20" s="172"/>
      <c r="Q20" s="172"/>
      <c r="R20" s="172"/>
      <c r="S20" s="172"/>
      <c r="T20" s="172"/>
      <c r="U20" s="172"/>
      <c r="V20" s="172"/>
      <c r="W20" s="172"/>
      <c r="X20" s="172"/>
      <c r="Y20" s="172"/>
      <c r="Z20" s="172"/>
      <c r="AA20" s="172"/>
      <c r="AB20" s="173"/>
    </row>
    <row r="21" spans="1:28" ht="59.25" customHeight="1">
      <c r="A21" s="32" t="s">
        <v>70</v>
      </c>
      <c r="B21" s="171" t="s">
        <v>117</v>
      </c>
      <c r="C21" s="172"/>
      <c r="D21" s="172"/>
      <c r="E21" s="172"/>
      <c r="F21" s="172"/>
      <c r="G21" s="172"/>
      <c r="H21" s="172"/>
      <c r="I21" s="172"/>
      <c r="J21" s="172"/>
      <c r="K21" s="172"/>
      <c r="L21" s="172"/>
      <c r="M21" s="172"/>
      <c r="N21" s="172"/>
      <c r="O21" s="172"/>
      <c r="P21" s="172"/>
      <c r="Q21" s="172"/>
      <c r="R21" s="172"/>
      <c r="S21" s="172"/>
      <c r="T21" s="172"/>
      <c r="U21" s="172"/>
      <c r="V21" s="172"/>
      <c r="W21" s="172"/>
      <c r="X21" s="172"/>
      <c r="Y21" s="172"/>
      <c r="Z21" s="172"/>
      <c r="AA21" s="172"/>
      <c r="AB21" s="173"/>
    </row>
    <row r="22" spans="1:28" ht="59.25" customHeight="1">
      <c r="A22" s="32" t="s">
        <v>71</v>
      </c>
      <c r="B22" s="171" t="s">
        <v>118</v>
      </c>
      <c r="C22" s="172"/>
      <c r="D22" s="172"/>
      <c r="E22" s="172"/>
      <c r="F22" s="172"/>
      <c r="G22" s="172"/>
      <c r="H22" s="172"/>
      <c r="I22" s="172"/>
      <c r="J22" s="172"/>
      <c r="K22" s="172"/>
      <c r="L22" s="172"/>
      <c r="M22" s="172"/>
      <c r="N22" s="172"/>
      <c r="O22" s="172"/>
      <c r="P22" s="172"/>
      <c r="Q22" s="172"/>
      <c r="R22" s="172"/>
      <c r="S22" s="172"/>
      <c r="T22" s="172"/>
      <c r="U22" s="172"/>
      <c r="V22" s="172"/>
      <c r="W22" s="172"/>
      <c r="X22" s="172"/>
      <c r="Y22" s="172"/>
      <c r="Z22" s="172"/>
      <c r="AA22" s="172"/>
      <c r="AB22" s="173"/>
    </row>
    <row r="23" spans="1:28" ht="59.25" customHeight="1">
      <c r="A23" s="32" t="s">
        <v>72</v>
      </c>
      <c r="B23" s="171" t="s">
        <v>119</v>
      </c>
      <c r="C23" s="172"/>
      <c r="D23" s="172"/>
      <c r="E23" s="172"/>
      <c r="F23" s="172"/>
      <c r="G23" s="172"/>
      <c r="H23" s="172"/>
      <c r="I23" s="172"/>
      <c r="J23" s="172"/>
      <c r="K23" s="172"/>
      <c r="L23" s="172"/>
      <c r="M23" s="172"/>
      <c r="N23" s="172"/>
      <c r="O23" s="172"/>
      <c r="P23" s="172"/>
      <c r="Q23" s="172"/>
      <c r="R23" s="172"/>
      <c r="S23" s="172"/>
      <c r="T23" s="172"/>
      <c r="U23" s="172"/>
      <c r="V23" s="172"/>
      <c r="W23" s="172"/>
      <c r="X23" s="172"/>
      <c r="Y23" s="172"/>
      <c r="Z23" s="172"/>
      <c r="AA23" s="172"/>
      <c r="AB23" s="173"/>
    </row>
    <row r="24" spans="1:28" ht="59.25" customHeight="1">
      <c r="A24" s="32" t="s">
        <v>73</v>
      </c>
      <c r="B24" s="171" t="s">
        <v>120</v>
      </c>
      <c r="C24" s="172"/>
      <c r="D24" s="172"/>
      <c r="E24" s="172"/>
      <c r="F24" s="172"/>
      <c r="G24" s="172"/>
      <c r="H24" s="172"/>
      <c r="I24" s="172"/>
      <c r="J24" s="172"/>
      <c r="K24" s="172"/>
      <c r="L24" s="172"/>
      <c r="M24" s="172"/>
      <c r="N24" s="172"/>
      <c r="O24" s="172"/>
      <c r="P24" s="172"/>
      <c r="Q24" s="172"/>
      <c r="R24" s="172"/>
      <c r="S24" s="172"/>
      <c r="T24" s="172"/>
      <c r="U24" s="172"/>
      <c r="V24" s="172"/>
      <c r="W24" s="172"/>
      <c r="X24" s="172"/>
      <c r="Y24" s="172"/>
      <c r="Z24" s="172"/>
      <c r="AA24" s="172"/>
      <c r="AB24" s="173"/>
    </row>
    <row r="25" spans="1:28" ht="59.25" customHeight="1">
      <c r="A25" s="32" t="s">
        <v>74</v>
      </c>
      <c r="B25" s="171" t="s">
        <v>121</v>
      </c>
      <c r="C25" s="172"/>
      <c r="D25" s="172"/>
      <c r="E25" s="172"/>
      <c r="F25" s="172"/>
      <c r="G25" s="172"/>
      <c r="H25" s="172"/>
      <c r="I25" s="172"/>
      <c r="J25" s="172"/>
      <c r="K25" s="172"/>
      <c r="L25" s="172"/>
      <c r="M25" s="172"/>
      <c r="N25" s="172"/>
      <c r="O25" s="172"/>
      <c r="P25" s="172"/>
      <c r="Q25" s="172"/>
      <c r="R25" s="172"/>
      <c r="S25" s="172"/>
      <c r="T25" s="172"/>
      <c r="U25" s="172"/>
      <c r="V25" s="172"/>
      <c r="W25" s="172"/>
      <c r="X25" s="172"/>
      <c r="Y25" s="172"/>
      <c r="Z25" s="172"/>
      <c r="AA25" s="172"/>
      <c r="AB25" s="173"/>
    </row>
    <row r="26" spans="1:28" ht="59.25" customHeight="1">
      <c r="A26" s="32" t="s">
        <v>75</v>
      </c>
      <c r="B26" s="171" t="s">
        <v>122</v>
      </c>
      <c r="C26" s="172"/>
      <c r="D26" s="172"/>
      <c r="E26" s="172"/>
      <c r="F26" s="172"/>
      <c r="G26" s="172"/>
      <c r="H26" s="172"/>
      <c r="I26" s="172"/>
      <c r="J26" s="172"/>
      <c r="K26" s="172"/>
      <c r="L26" s="172"/>
      <c r="M26" s="172"/>
      <c r="N26" s="172"/>
      <c r="O26" s="172"/>
      <c r="P26" s="172"/>
      <c r="Q26" s="172"/>
      <c r="R26" s="172"/>
      <c r="S26" s="172"/>
      <c r="T26" s="172"/>
      <c r="U26" s="172"/>
      <c r="V26" s="172"/>
      <c r="W26" s="172"/>
      <c r="X26" s="172"/>
      <c r="Y26" s="172"/>
      <c r="Z26" s="172"/>
      <c r="AA26" s="172"/>
      <c r="AB26" s="173"/>
    </row>
    <row r="27" spans="1:28" ht="59.25" customHeight="1">
      <c r="A27" s="32" t="s">
        <v>76</v>
      </c>
      <c r="B27" s="171" t="s">
        <v>123</v>
      </c>
      <c r="C27" s="172"/>
      <c r="D27" s="172"/>
      <c r="E27" s="172"/>
      <c r="F27" s="172"/>
      <c r="G27" s="172"/>
      <c r="H27" s="172"/>
      <c r="I27" s="172"/>
      <c r="J27" s="172"/>
      <c r="K27" s="172"/>
      <c r="L27" s="172"/>
      <c r="M27" s="172"/>
      <c r="N27" s="172"/>
      <c r="O27" s="172"/>
      <c r="P27" s="172"/>
      <c r="Q27" s="172"/>
      <c r="R27" s="172"/>
      <c r="S27" s="172"/>
      <c r="T27" s="172"/>
      <c r="U27" s="172"/>
      <c r="V27" s="172"/>
      <c r="W27" s="172"/>
      <c r="X27" s="172"/>
      <c r="Y27" s="172"/>
      <c r="Z27" s="172"/>
      <c r="AA27" s="172"/>
      <c r="AB27" s="173"/>
    </row>
    <row r="28" spans="1:28" ht="59.25" customHeight="1">
      <c r="A28" s="32" t="s">
        <v>77</v>
      </c>
      <c r="B28" s="171" t="s">
        <v>124</v>
      </c>
      <c r="C28" s="172"/>
      <c r="D28" s="172"/>
      <c r="E28" s="172"/>
      <c r="F28" s="172"/>
      <c r="G28" s="172"/>
      <c r="H28" s="172"/>
      <c r="I28" s="172"/>
      <c r="J28" s="172"/>
      <c r="K28" s="172"/>
      <c r="L28" s="172"/>
      <c r="M28" s="172"/>
      <c r="N28" s="172"/>
      <c r="O28" s="172"/>
      <c r="P28" s="172"/>
      <c r="Q28" s="172"/>
      <c r="R28" s="172"/>
      <c r="S28" s="172"/>
      <c r="T28" s="172"/>
      <c r="U28" s="172"/>
      <c r="V28" s="172"/>
      <c r="W28" s="172"/>
      <c r="X28" s="172"/>
      <c r="Y28" s="172"/>
      <c r="Z28" s="172"/>
      <c r="AA28" s="172"/>
      <c r="AB28" s="173"/>
    </row>
    <row r="29" spans="1:28" ht="59.25" customHeight="1">
      <c r="A29" s="32" t="s">
        <v>78</v>
      </c>
      <c r="B29" s="171" t="s">
        <v>125</v>
      </c>
      <c r="C29" s="172"/>
      <c r="D29" s="172"/>
      <c r="E29" s="172"/>
      <c r="F29" s="172"/>
      <c r="G29" s="172"/>
      <c r="H29" s="172"/>
      <c r="I29" s="172"/>
      <c r="J29" s="172"/>
      <c r="K29" s="172"/>
      <c r="L29" s="172"/>
      <c r="M29" s="172"/>
      <c r="N29" s="172"/>
      <c r="O29" s="172"/>
      <c r="P29" s="172"/>
      <c r="Q29" s="172"/>
      <c r="R29" s="172"/>
      <c r="S29" s="172"/>
      <c r="T29" s="172"/>
      <c r="U29" s="172"/>
      <c r="V29" s="172"/>
      <c r="W29" s="172"/>
      <c r="X29" s="172"/>
      <c r="Y29" s="172"/>
      <c r="Z29" s="172"/>
      <c r="AA29" s="172"/>
      <c r="AB29" s="173"/>
    </row>
    <row r="30" spans="1:28" ht="59.25" customHeight="1">
      <c r="A30" s="32" t="s">
        <v>79</v>
      </c>
      <c r="B30" s="171" t="s">
        <v>126</v>
      </c>
      <c r="C30" s="172"/>
      <c r="D30" s="172"/>
      <c r="E30" s="172"/>
      <c r="F30" s="172"/>
      <c r="G30" s="172"/>
      <c r="H30" s="172"/>
      <c r="I30" s="172"/>
      <c r="J30" s="172"/>
      <c r="K30" s="172"/>
      <c r="L30" s="172"/>
      <c r="M30" s="172"/>
      <c r="N30" s="172"/>
      <c r="O30" s="172"/>
      <c r="P30" s="172"/>
      <c r="Q30" s="172"/>
      <c r="R30" s="172"/>
      <c r="S30" s="172"/>
      <c r="T30" s="172"/>
      <c r="U30" s="172"/>
      <c r="V30" s="172"/>
      <c r="W30" s="172"/>
      <c r="X30" s="172"/>
      <c r="Y30" s="172"/>
      <c r="Z30" s="172"/>
      <c r="AA30" s="172"/>
      <c r="AB30" s="173"/>
    </row>
    <row r="31" spans="1:28" ht="59.25" customHeight="1">
      <c r="A31" s="32"/>
      <c r="B31" s="171"/>
      <c r="C31" s="172"/>
      <c r="D31" s="172"/>
      <c r="E31" s="172"/>
      <c r="F31" s="172"/>
      <c r="G31" s="172"/>
      <c r="H31" s="172"/>
      <c r="I31" s="172"/>
      <c r="J31" s="172"/>
      <c r="K31" s="172"/>
      <c r="L31" s="172"/>
      <c r="M31" s="172"/>
      <c r="N31" s="172"/>
      <c r="O31" s="172"/>
      <c r="P31" s="172"/>
      <c r="Q31" s="172"/>
      <c r="R31" s="172"/>
      <c r="S31" s="172"/>
      <c r="T31" s="172"/>
      <c r="U31" s="172"/>
      <c r="V31" s="172"/>
      <c r="W31" s="172"/>
      <c r="X31" s="172"/>
      <c r="Y31" s="172"/>
      <c r="Z31" s="172"/>
      <c r="AA31" s="172"/>
      <c r="AB31" s="173"/>
    </row>
    <row r="32" spans="1:28" ht="59.25" customHeight="1">
      <c r="A32" s="32"/>
      <c r="B32" s="171"/>
      <c r="C32" s="172"/>
      <c r="D32" s="172"/>
      <c r="E32" s="172"/>
      <c r="F32" s="172"/>
      <c r="G32" s="172"/>
      <c r="H32" s="172"/>
      <c r="I32" s="172"/>
      <c r="J32" s="172"/>
      <c r="K32" s="172"/>
      <c r="L32" s="172"/>
      <c r="M32" s="172"/>
      <c r="N32" s="172"/>
      <c r="O32" s="172"/>
      <c r="P32" s="172"/>
      <c r="Q32" s="172"/>
      <c r="R32" s="172"/>
      <c r="S32" s="172"/>
      <c r="T32" s="172"/>
      <c r="U32" s="172"/>
      <c r="V32" s="172"/>
      <c r="W32" s="172"/>
      <c r="X32" s="172"/>
      <c r="Y32" s="172"/>
      <c r="Z32" s="172"/>
      <c r="AA32" s="172"/>
      <c r="AB32" s="173"/>
    </row>
    <row r="33" spans="1:28" ht="59.25" customHeight="1">
      <c r="A33" s="32"/>
      <c r="B33" s="171"/>
      <c r="C33" s="172"/>
      <c r="D33" s="172"/>
      <c r="E33" s="172"/>
      <c r="F33" s="172"/>
      <c r="G33" s="172"/>
      <c r="H33" s="172"/>
      <c r="I33" s="172"/>
      <c r="J33" s="172"/>
      <c r="K33" s="172"/>
      <c r="L33" s="172"/>
      <c r="M33" s="172"/>
      <c r="N33" s="172"/>
      <c r="O33" s="172"/>
      <c r="P33" s="172"/>
      <c r="Q33" s="172"/>
      <c r="R33" s="172"/>
      <c r="S33" s="172"/>
      <c r="T33" s="172"/>
      <c r="U33" s="172"/>
      <c r="V33" s="172"/>
      <c r="W33" s="172"/>
      <c r="X33" s="172"/>
      <c r="Y33" s="172"/>
      <c r="Z33" s="172"/>
      <c r="AA33" s="172"/>
      <c r="AB33" s="173"/>
    </row>
    <row r="34" spans="1:28" ht="59.25" customHeight="1">
      <c r="A34" s="32"/>
      <c r="B34" s="171"/>
      <c r="C34" s="172"/>
      <c r="D34" s="172"/>
      <c r="E34" s="172"/>
      <c r="F34" s="172"/>
      <c r="G34" s="172"/>
      <c r="H34" s="172"/>
      <c r="I34" s="172"/>
      <c r="J34" s="172"/>
      <c r="K34" s="172"/>
      <c r="L34" s="172"/>
      <c r="M34" s="172"/>
      <c r="N34" s="172"/>
      <c r="O34" s="172"/>
      <c r="P34" s="172"/>
      <c r="Q34" s="172"/>
      <c r="R34" s="172"/>
      <c r="S34" s="172"/>
      <c r="T34" s="172"/>
      <c r="U34" s="172"/>
      <c r="V34" s="172"/>
      <c r="W34" s="172"/>
      <c r="X34" s="172"/>
      <c r="Y34" s="172"/>
      <c r="Z34" s="172"/>
      <c r="AA34" s="172"/>
      <c r="AB34" s="173"/>
    </row>
    <row r="35" spans="1:28" ht="59.25" customHeight="1">
      <c r="A35" s="32"/>
      <c r="B35" s="171"/>
      <c r="C35" s="172"/>
      <c r="D35" s="172"/>
      <c r="E35" s="172"/>
      <c r="F35" s="172"/>
      <c r="G35" s="172"/>
      <c r="H35" s="172"/>
      <c r="I35" s="172"/>
      <c r="J35" s="172"/>
      <c r="K35" s="172"/>
      <c r="L35" s="172"/>
      <c r="M35" s="172"/>
      <c r="N35" s="172"/>
      <c r="O35" s="172"/>
      <c r="P35" s="172"/>
      <c r="Q35" s="172"/>
      <c r="R35" s="172"/>
      <c r="S35" s="172"/>
      <c r="T35" s="172"/>
      <c r="U35" s="172"/>
      <c r="V35" s="172"/>
      <c r="W35" s="172"/>
      <c r="X35" s="172"/>
      <c r="Y35" s="172"/>
      <c r="Z35" s="172"/>
      <c r="AA35" s="172"/>
      <c r="AB35" s="173"/>
    </row>
    <row r="36" spans="1:28" ht="59.25" customHeight="1">
      <c r="A36" s="32"/>
      <c r="B36" s="171"/>
      <c r="C36" s="172"/>
      <c r="D36" s="172"/>
      <c r="E36" s="172"/>
      <c r="F36" s="172"/>
      <c r="G36" s="172"/>
      <c r="H36" s="172"/>
      <c r="I36" s="172"/>
      <c r="J36" s="172"/>
      <c r="K36" s="172"/>
      <c r="L36" s="172"/>
      <c r="M36" s="172"/>
      <c r="N36" s="172"/>
      <c r="O36" s="172"/>
      <c r="P36" s="172"/>
      <c r="Q36" s="172"/>
      <c r="R36" s="172"/>
      <c r="S36" s="172"/>
      <c r="T36" s="172"/>
      <c r="U36" s="172"/>
      <c r="V36" s="172"/>
      <c r="W36" s="172"/>
      <c r="X36" s="172"/>
      <c r="Y36" s="172"/>
      <c r="Z36" s="172"/>
      <c r="AA36" s="172"/>
      <c r="AB36" s="173"/>
    </row>
    <row r="37" spans="1:28" ht="59.25" customHeight="1">
      <c r="A37" s="32"/>
      <c r="B37" s="171"/>
      <c r="C37" s="172"/>
      <c r="D37" s="172"/>
      <c r="E37" s="172"/>
      <c r="F37" s="172"/>
      <c r="G37" s="172"/>
      <c r="H37" s="172"/>
      <c r="I37" s="172"/>
      <c r="J37" s="172"/>
      <c r="K37" s="172"/>
      <c r="L37" s="172"/>
      <c r="M37" s="172"/>
      <c r="N37" s="172"/>
      <c r="O37" s="172"/>
      <c r="P37" s="172"/>
      <c r="Q37" s="172"/>
      <c r="R37" s="172"/>
      <c r="S37" s="172"/>
      <c r="T37" s="172"/>
      <c r="U37" s="172"/>
      <c r="V37" s="172"/>
      <c r="W37" s="172"/>
      <c r="X37" s="172"/>
      <c r="Y37" s="172"/>
      <c r="Z37" s="172"/>
      <c r="AA37" s="172"/>
      <c r="AB37" s="173"/>
    </row>
    <row r="38" spans="1:28" ht="59.25" customHeight="1">
      <c r="A38" s="32"/>
      <c r="B38" s="171"/>
      <c r="C38" s="172"/>
      <c r="D38" s="172"/>
      <c r="E38" s="172"/>
      <c r="F38" s="172"/>
      <c r="G38" s="172"/>
      <c r="H38" s="172"/>
      <c r="I38" s="172"/>
      <c r="J38" s="172"/>
      <c r="K38" s="172"/>
      <c r="L38" s="172"/>
      <c r="M38" s="172"/>
      <c r="N38" s="172"/>
      <c r="O38" s="172"/>
      <c r="P38" s="172"/>
      <c r="Q38" s="172"/>
      <c r="R38" s="172"/>
      <c r="S38" s="172"/>
      <c r="T38" s="172"/>
      <c r="U38" s="172"/>
      <c r="V38" s="172"/>
      <c r="W38" s="172"/>
      <c r="X38" s="172"/>
      <c r="Y38" s="172"/>
      <c r="Z38" s="172"/>
      <c r="AA38" s="172"/>
      <c r="AB38" s="173"/>
    </row>
    <row r="39" spans="1:28" ht="59.25" customHeight="1">
      <c r="A39" s="32"/>
      <c r="B39" s="171"/>
      <c r="C39" s="172"/>
      <c r="D39" s="172"/>
      <c r="E39" s="172"/>
      <c r="F39" s="172"/>
      <c r="G39" s="172"/>
      <c r="H39" s="172"/>
      <c r="I39" s="172"/>
      <c r="J39" s="172"/>
      <c r="K39" s="172"/>
      <c r="L39" s="172"/>
      <c r="M39" s="172"/>
      <c r="N39" s="172"/>
      <c r="O39" s="172"/>
      <c r="P39" s="172"/>
      <c r="Q39" s="172"/>
      <c r="R39" s="172"/>
      <c r="S39" s="172"/>
      <c r="T39" s="172"/>
      <c r="U39" s="172"/>
      <c r="V39" s="172"/>
      <c r="W39" s="172"/>
      <c r="X39" s="172"/>
      <c r="Y39" s="172"/>
      <c r="Z39" s="172"/>
      <c r="AA39" s="172"/>
      <c r="AB39" s="173"/>
    </row>
    <row r="40" spans="1:28" ht="22.5" customHeight="1"/>
    <row r="41" spans="1:28" ht="22.5" customHeight="1"/>
    <row r="42" spans="1:28" ht="22.5" customHeight="1"/>
    <row r="43" spans="1:28" ht="22.5" customHeight="1"/>
    <row r="44" spans="1:28" ht="17.25" customHeight="1"/>
    <row r="45" spans="1:28" ht="17.25" customHeight="1"/>
    <row r="46" spans="1:28" ht="17.25" customHeight="1"/>
    <row r="47" spans="1:28" ht="17.25" customHeight="1"/>
    <row r="48" spans="1:28" ht="17.25" customHeight="1"/>
    <row r="49" ht="17.25" customHeight="1"/>
    <row r="50" ht="17.25" customHeight="1"/>
    <row r="51" ht="17.25" customHeight="1"/>
    <row r="52" ht="17.25" customHeight="1"/>
    <row r="53" ht="17.25" customHeight="1"/>
    <row r="54" ht="17.25" customHeight="1"/>
    <row r="55" ht="17.25" customHeight="1"/>
    <row r="56" ht="17.25" customHeight="1"/>
    <row r="57" ht="17.25" customHeight="1"/>
    <row r="58" ht="17.25" customHeight="1"/>
    <row r="59" ht="17.25" customHeight="1"/>
    <row r="60" ht="17.25" customHeight="1"/>
    <row r="61" ht="17.25" customHeight="1"/>
    <row r="62" ht="17.25" customHeight="1"/>
    <row r="63" ht="17.25" customHeight="1"/>
    <row r="64"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row r="155" ht="17.25" customHeight="1"/>
    <row r="156" ht="17.25" customHeight="1"/>
    <row r="157" ht="17.25" customHeight="1"/>
    <row r="158" ht="17.25" customHeight="1"/>
    <row r="159" ht="17.25" customHeight="1"/>
    <row r="160" ht="17.25" customHeight="1"/>
    <row r="161" ht="17.25" customHeight="1"/>
    <row r="162" ht="17.25" customHeight="1"/>
    <row r="163" ht="17.25" customHeight="1"/>
    <row r="164" ht="17.25" customHeight="1"/>
    <row r="165" ht="17.25" customHeight="1"/>
    <row r="166" ht="17.25" customHeight="1"/>
    <row r="167" ht="17.25" customHeight="1"/>
    <row r="168" ht="17.25" customHeight="1"/>
    <row r="169" ht="17.25" customHeight="1"/>
    <row r="170" ht="17.25" customHeight="1"/>
    <row r="171" ht="17.25" customHeight="1"/>
    <row r="172" ht="17.25" customHeight="1"/>
    <row r="173" ht="17.25" customHeight="1"/>
    <row r="174" ht="17.25" customHeight="1"/>
    <row r="175" ht="17.25" customHeight="1"/>
    <row r="176" ht="17.25" customHeight="1"/>
    <row r="177" ht="17.25" customHeight="1"/>
    <row r="178" ht="17.25" customHeight="1"/>
    <row r="179" ht="17.25" customHeight="1"/>
    <row r="180" ht="17.25" customHeight="1"/>
    <row r="181" ht="17.25" customHeight="1"/>
    <row r="182" ht="17.25" customHeight="1"/>
    <row r="183" ht="17.25" customHeight="1"/>
    <row r="184" ht="17.25" customHeight="1"/>
    <row r="185" ht="17.25" customHeight="1"/>
    <row r="186" ht="17.25" customHeight="1"/>
    <row r="187" ht="17.25" customHeight="1"/>
    <row r="188" ht="17.25" customHeight="1"/>
    <row r="189" ht="17.25" customHeight="1"/>
    <row r="190" ht="17.25" customHeight="1"/>
    <row r="191" ht="17.25" customHeight="1"/>
    <row r="192" ht="17.25" customHeight="1"/>
    <row r="193" ht="17.25" customHeight="1"/>
  </sheetData>
  <mergeCells count="27">
    <mergeCell ref="B38:AB38"/>
    <mergeCell ref="B39:AB39"/>
    <mergeCell ref="B23:AB23"/>
    <mergeCell ref="B24:AB24"/>
    <mergeCell ref="B14:AB14"/>
    <mergeCell ref="B15:AB15"/>
    <mergeCell ref="B16:AB16"/>
    <mergeCell ref="B17:AB17"/>
    <mergeCell ref="B18:AB18"/>
    <mergeCell ref="B19:AB19"/>
    <mergeCell ref="B20:AB20"/>
    <mergeCell ref="B21:AB21"/>
    <mergeCell ref="B22:AB22"/>
    <mergeCell ref="A2:A12"/>
    <mergeCell ref="B35:AB35"/>
    <mergeCell ref="B36:AB36"/>
    <mergeCell ref="B37:AB37"/>
    <mergeCell ref="B25:AB25"/>
    <mergeCell ref="B26:AB26"/>
    <mergeCell ref="B27:AB27"/>
    <mergeCell ref="B28:AB28"/>
    <mergeCell ref="B29:AB29"/>
    <mergeCell ref="B30:AB30"/>
    <mergeCell ref="B31:AB31"/>
    <mergeCell ref="B32:AB32"/>
    <mergeCell ref="B33:AB33"/>
    <mergeCell ref="B34:AB34"/>
  </mergeCells>
  <phoneticPr fontId="1"/>
  <dataValidations count="2">
    <dataValidation type="list" allowBlank="1" showDropDown="1" showInputMessage="1" showErrorMessage="1" sqref="D2:AB11">
      <formula1>$AC$2:$AC$5</formula1>
    </dataValidation>
    <dataValidation type="list" allowBlank="1" showDropDown="1" showInputMessage="1" showErrorMessage="1" errorTitle="文字エラー" error="半角数字1～5か、評価不能の場合は-（半角マイナス）を入れて下さい。" sqref="D12:AB13">
      <formula1>$AD$2:$AD$7</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1"/>
  </sheetPr>
  <dimension ref="A1:AD193"/>
  <sheetViews>
    <sheetView workbookViewId="0">
      <selection sqref="A1:XFD1048576"/>
    </sheetView>
  </sheetViews>
  <sheetFormatPr defaultRowHeight="13.5"/>
  <cols>
    <col min="1" max="1" width="13.5" style="4" customWidth="1"/>
    <col min="2" max="2" width="79.125" style="4" customWidth="1"/>
    <col min="3" max="3" width="9.375" style="4" customWidth="1"/>
    <col min="4" max="28" width="4.125" style="4" customWidth="1"/>
    <col min="29" max="16384" width="9" style="4"/>
  </cols>
  <sheetData>
    <row r="1" spans="1:30" ht="85.5" customHeight="1">
      <c r="A1" s="21" t="str">
        <f ca="1">MID(CELL("filename",A1),FIND("[",CELL("filename",A1))+1,3)</f>
        <v>８－２</v>
      </c>
      <c r="B1" s="22" t="str">
        <f ca="1">RIGHT(CELL("filename",B1),LEN(CELL("filename",B1))-FIND("]",CELL("filename",B1)))</f>
        <v>音楽</v>
      </c>
      <c r="C1" s="23" t="s">
        <v>60</v>
      </c>
      <c r="D1" s="24" t="str">
        <f>A15</f>
        <v>岡田 明日香</v>
      </c>
      <c r="E1" s="24" t="str">
        <f>A16</f>
        <v>荻原 知香</v>
      </c>
      <c r="F1" s="24" t="str">
        <f>A17</f>
        <v>片桐 葵</v>
      </c>
      <c r="G1" s="24" t="str">
        <f>A18</f>
        <v>上島 碧依</v>
      </c>
      <c r="H1" s="24" t="str">
        <f>A19</f>
        <v>藏井 陽菜乃</v>
      </c>
      <c r="I1" s="24" t="str">
        <f>A20</f>
        <v>小松 雅治</v>
      </c>
      <c r="J1" s="24" t="str">
        <f>A21</f>
        <v>須藤 爽斗</v>
      </c>
      <c r="K1" s="24" t="str">
        <f>A22</f>
        <v>滝 陽香</v>
      </c>
      <c r="L1" s="24" t="str">
        <f>A23</f>
        <v>永江 仁</v>
      </c>
      <c r="M1" s="24" t="str">
        <f>A24</f>
        <v>林 果菜</v>
      </c>
      <c r="N1" s="24" t="str">
        <f>A25</f>
        <v>原 維香</v>
      </c>
      <c r="O1" s="24" t="str">
        <f>A26</f>
        <v>丸山 心音</v>
      </c>
      <c r="P1" s="24" t="str">
        <f>A27</f>
        <v>森本 浩士</v>
      </c>
      <c r="Q1" s="24" t="str">
        <f>A28</f>
        <v>栁沢 美緒</v>
      </c>
      <c r="R1" s="24" t="str">
        <f>A29</f>
        <v>横山 麟太</v>
      </c>
      <c r="S1" s="24" t="str">
        <f>A30</f>
        <v>渡邊 了介</v>
      </c>
      <c r="T1" s="24">
        <f>A31</f>
        <v>0</v>
      </c>
      <c r="U1" s="24">
        <f>A32</f>
        <v>0</v>
      </c>
      <c r="V1" s="24">
        <f>A33</f>
        <v>0</v>
      </c>
      <c r="W1" s="24">
        <f>A34</f>
        <v>0</v>
      </c>
      <c r="X1" s="24">
        <f>A35</f>
        <v>0</v>
      </c>
      <c r="Y1" s="24">
        <f>A36</f>
        <v>0</v>
      </c>
      <c r="Z1" s="24">
        <f>A37</f>
        <v>0</v>
      </c>
      <c r="AA1" s="24">
        <f>A38</f>
        <v>0</v>
      </c>
      <c r="AB1" s="24">
        <f>A39</f>
        <v>0</v>
      </c>
      <c r="AC1" s="25"/>
    </row>
    <row r="2" spans="1:30" ht="22.5" customHeight="1">
      <c r="A2" s="168" t="s">
        <v>225</v>
      </c>
      <c r="B2" s="58" t="s">
        <v>127</v>
      </c>
      <c r="C2" s="26" t="s">
        <v>61</v>
      </c>
      <c r="D2" s="27" t="s">
        <v>28</v>
      </c>
      <c r="E2" s="27" t="s">
        <v>28</v>
      </c>
      <c r="F2" s="27" t="s">
        <v>27</v>
      </c>
      <c r="G2" s="27" t="s">
        <v>27</v>
      </c>
      <c r="H2" s="27" t="s">
        <v>28</v>
      </c>
      <c r="I2" s="27" t="s">
        <v>27</v>
      </c>
      <c r="J2" s="27" t="s">
        <v>28</v>
      </c>
      <c r="K2" s="27" t="s">
        <v>27</v>
      </c>
      <c r="L2" s="27" t="s">
        <v>27</v>
      </c>
      <c r="M2" s="27" t="s">
        <v>27</v>
      </c>
      <c r="N2" s="27" t="s">
        <v>27</v>
      </c>
      <c r="O2" s="27" t="s">
        <v>27</v>
      </c>
      <c r="P2" s="27" t="s">
        <v>28</v>
      </c>
      <c r="Q2" s="27" t="s">
        <v>28</v>
      </c>
      <c r="R2" s="27" t="s">
        <v>28</v>
      </c>
      <c r="S2" s="27" t="s">
        <v>28</v>
      </c>
      <c r="T2" s="27"/>
      <c r="U2" s="27"/>
      <c r="V2" s="27"/>
      <c r="W2" s="27"/>
      <c r="X2" s="27"/>
      <c r="Y2" s="27"/>
      <c r="Z2" s="27"/>
      <c r="AA2" s="27"/>
      <c r="AB2" s="27"/>
      <c r="AC2" s="28" t="s">
        <v>226</v>
      </c>
      <c r="AD2" s="28">
        <v>1</v>
      </c>
    </row>
    <row r="3" spans="1:30" ht="22.5" customHeight="1">
      <c r="A3" s="169"/>
      <c r="B3" s="58" t="s">
        <v>128</v>
      </c>
      <c r="C3" s="26" t="s">
        <v>61</v>
      </c>
      <c r="D3" s="27" t="s">
        <v>28</v>
      </c>
      <c r="E3" s="27" t="s">
        <v>28</v>
      </c>
      <c r="F3" s="27" t="s">
        <v>27</v>
      </c>
      <c r="G3" s="27" t="s">
        <v>28</v>
      </c>
      <c r="H3" s="27" t="s">
        <v>28</v>
      </c>
      <c r="I3" s="27" t="s">
        <v>28</v>
      </c>
      <c r="J3" s="27" t="s">
        <v>28</v>
      </c>
      <c r="K3" s="27" t="s">
        <v>28</v>
      </c>
      <c r="L3" s="27" t="s">
        <v>28</v>
      </c>
      <c r="M3" s="27" t="s">
        <v>27</v>
      </c>
      <c r="N3" s="27" t="s">
        <v>28</v>
      </c>
      <c r="O3" s="27" t="s">
        <v>27</v>
      </c>
      <c r="P3" s="27" t="s">
        <v>28</v>
      </c>
      <c r="Q3" s="27" t="s">
        <v>28</v>
      </c>
      <c r="R3" s="27" t="s">
        <v>27</v>
      </c>
      <c r="S3" s="27" t="s">
        <v>27</v>
      </c>
      <c r="T3" s="27"/>
      <c r="U3" s="27"/>
      <c r="V3" s="27"/>
      <c r="W3" s="27"/>
      <c r="X3" s="27"/>
      <c r="Y3" s="27"/>
      <c r="Z3" s="27"/>
      <c r="AA3" s="27"/>
      <c r="AB3" s="27"/>
      <c r="AC3" s="28" t="s">
        <v>227</v>
      </c>
      <c r="AD3" s="28">
        <v>2</v>
      </c>
    </row>
    <row r="4" spans="1:30" ht="22.5" customHeight="1">
      <c r="A4" s="169"/>
      <c r="B4" s="58" t="s">
        <v>129</v>
      </c>
      <c r="C4" s="26" t="s">
        <v>61</v>
      </c>
      <c r="D4" s="27" t="s">
        <v>28</v>
      </c>
      <c r="E4" s="27" t="s">
        <v>28</v>
      </c>
      <c r="F4" s="27" t="s">
        <v>27</v>
      </c>
      <c r="G4" s="27" t="s">
        <v>28</v>
      </c>
      <c r="H4" s="27" t="s">
        <v>28</v>
      </c>
      <c r="I4" s="27" t="s">
        <v>28</v>
      </c>
      <c r="J4" s="27" t="s">
        <v>28</v>
      </c>
      <c r="K4" s="27" t="s">
        <v>28</v>
      </c>
      <c r="L4" s="27" t="s">
        <v>27</v>
      </c>
      <c r="M4" s="27" t="s">
        <v>28</v>
      </c>
      <c r="N4" s="27" t="s">
        <v>28</v>
      </c>
      <c r="O4" s="27" t="s">
        <v>28</v>
      </c>
      <c r="P4" s="27" t="s">
        <v>28</v>
      </c>
      <c r="Q4" s="27" t="s">
        <v>28</v>
      </c>
      <c r="R4" s="27" t="s">
        <v>28</v>
      </c>
      <c r="S4" s="27" t="s">
        <v>28</v>
      </c>
      <c r="T4" s="27"/>
      <c r="U4" s="27"/>
      <c r="V4" s="27"/>
      <c r="W4" s="27"/>
      <c r="X4" s="27"/>
      <c r="Y4" s="27"/>
      <c r="Z4" s="27"/>
      <c r="AA4" s="27"/>
      <c r="AB4" s="27"/>
      <c r="AC4" s="28" t="s">
        <v>203</v>
      </c>
      <c r="AD4" s="28">
        <v>3</v>
      </c>
    </row>
    <row r="5" spans="1:30" ht="22.5" customHeight="1">
      <c r="A5" s="169"/>
      <c r="B5" s="78"/>
      <c r="C5" s="26" t="s">
        <v>61</v>
      </c>
      <c r="D5" s="27"/>
      <c r="E5" s="27"/>
      <c r="F5" s="27"/>
      <c r="G5" s="27"/>
      <c r="H5" s="27"/>
      <c r="I5" s="27"/>
      <c r="J5" s="27"/>
      <c r="K5" s="27"/>
      <c r="L5" s="27"/>
      <c r="M5" s="27"/>
      <c r="N5" s="27"/>
      <c r="O5" s="27"/>
      <c r="P5" s="27"/>
      <c r="Q5" s="27"/>
      <c r="R5" s="27"/>
      <c r="S5" s="27"/>
      <c r="T5" s="27"/>
      <c r="U5" s="27"/>
      <c r="V5" s="27"/>
      <c r="W5" s="27"/>
      <c r="X5" s="27"/>
      <c r="Y5" s="27"/>
      <c r="Z5" s="27"/>
      <c r="AA5" s="27"/>
      <c r="AB5" s="27"/>
      <c r="AC5" s="28" t="s">
        <v>228</v>
      </c>
      <c r="AD5" s="28">
        <v>4</v>
      </c>
    </row>
    <row r="6" spans="1:30" ht="22.5" customHeight="1">
      <c r="A6" s="169"/>
      <c r="B6" s="78"/>
      <c r="C6" s="26" t="s">
        <v>61</v>
      </c>
      <c r="D6" s="27"/>
      <c r="E6" s="27"/>
      <c r="F6" s="27"/>
      <c r="G6" s="27"/>
      <c r="H6" s="27"/>
      <c r="I6" s="27"/>
      <c r="J6" s="27"/>
      <c r="K6" s="27"/>
      <c r="L6" s="27"/>
      <c r="M6" s="27"/>
      <c r="N6" s="27"/>
      <c r="O6" s="27"/>
      <c r="P6" s="27"/>
      <c r="Q6" s="27"/>
      <c r="R6" s="27"/>
      <c r="S6" s="27"/>
      <c r="T6" s="27"/>
      <c r="U6" s="27"/>
      <c r="V6" s="27"/>
      <c r="W6" s="27"/>
      <c r="X6" s="27"/>
      <c r="Y6" s="27"/>
      <c r="Z6" s="27"/>
      <c r="AA6" s="27"/>
      <c r="AB6" s="27"/>
      <c r="AC6" s="28"/>
      <c r="AD6" s="28">
        <v>5</v>
      </c>
    </row>
    <row r="7" spans="1:30" ht="22.5" customHeight="1">
      <c r="A7" s="169"/>
      <c r="B7" s="78"/>
      <c r="C7" s="26" t="s">
        <v>61</v>
      </c>
      <c r="D7" s="27"/>
      <c r="E7" s="27"/>
      <c r="F7" s="27"/>
      <c r="G7" s="27"/>
      <c r="H7" s="27"/>
      <c r="I7" s="27"/>
      <c r="J7" s="27"/>
      <c r="K7" s="27"/>
      <c r="L7" s="27"/>
      <c r="M7" s="27"/>
      <c r="N7" s="27"/>
      <c r="O7" s="27"/>
      <c r="P7" s="27"/>
      <c r="Q7" s="27"/>
      <c r="R7" s="27"/>
      <c r="S7" s="27"/>
      <c r="T7" s="27"/>
      <c r="U7" s="27"/>
      <c r="V7" s="27"/>
      <c r="W7" s="27"/>
      <c r="X7" s="27"/>
      <c r="Y7" s="27"/>
      <c r="Z7" s="27"/>
      <c r="AA7" s="27"/>
      <c r="AB7" s="27"/>
      <c r="AC7" s="28"/>
      <c r="AD7" s="28" t="s">
        <v>205</v>
      </c>
    </row>
    <row r="8" spans="1:30" ht="22.5" customHeight="1">
      <c r="A8" s="169"/>
      <c r="B8" s="78"/>
      <c r="C8" s="26" t="s">
        <v>61</v>
      </c>
      <c r="D8" s="27"/>
      <c r="E8" s="27"/>
      <c r="F8" s="27"/>
      <c r="G8" s="27"/>
      <c r="H8" s="27"/>
      <c r="I8" s="27"/>
      <c r="J8" s="27"/>
      <c r="K8" s="27"/>
      <c r="L8" s="27"/>
      <c r="M8" s="27"/>
      <c r="N8" s="27"/>
      <c r="O8" s="27"/>
      <c r="P8" s="27"/>
      <c r="Q8" s="27"/>
      <c r="R8" s="27"/>
      <c r="S8" s="27"/>
      <c r="T8" s="27"/>
      <c r="U8" s="27"/>
      <c r="V8" s="27"/>
      <c r="W8" s="27"/>
      <c r="X8" s="27"/>
      <c r="Y8" s="27"/>
      <c r="Z8" s="27"/>
      <c r="AA8" s="27"/>
      <c r="AB8" s="27"/>
    </row>
    <row r="9" spans="1:30" ht="22.5" customHeight="1">
      <c r="A9" s="169"/>
      <c r="B9" s="78"/>
      <c r="C9" s="26" t="s">
        <v>61</v>
      </c>
      <c r="D9" s="27"/>
      <c r="E9" s="27"/>
      <c r="F9" s="27"/>
      <c r="G9" s="27"/>
      <c r="H9" s="27"/>
      <c r="I9" s="27"/>
      <c r="J9" s="27"/>
      <c r="K9" s="27"/>
      <c r="L9" s="27"/>
      <c r="M9" s="27"/>
      <c r="N9" s="27"/>
      <c r="O9" s="27"/>
      <c r="P9" s="27"/>
      <c r="Q9" s="27"/>
      <c r="R9" s="27"/>
      <c r="S9" s="27"/>
      <c r="T9" s="27"/>
      <c r="U9" s="27"/>
      <c r="V9" s="27"/>
      <c r="W9" s="27"/>
      <c r="X9" s="27"/>
      <c r="Y9" s="27"/>
      <c r="Z9" s="27"/>
      <c r="AA9" s="27"/>
      <c r="AB9" s="27"/>
    </row>
    <row r="10" spans="1:30" ht="22.5" customHeight="1">
      <c r="A10" s="169"/>
      <c r="B10" s="78"/>
      <c r="C10" s="26" t="s">
        <v>61</v>
      </c>
      <c r="D10" s="27"/>
      <c r="E10" s="27"/>
      <c r="F10" s="27"/>
      <c r="G10" s="27"/>
      <c r="H10" s="27"/>
      <c r="I10" s="27"/>
      <c r="J10" s="27"/>
      <c r="K10" s="27"/>
      <c r="L10" s="27"/>
      <c r="M10" s="27"/>
      <c r="N10" s="27"/>
      <c r="O10" s="27"/>
      <c r="P10" s="27"/>
      <c r="Q10" s="27"/>
      <c r="R10" s="27"/>
      <c r="S10" s="27"/>
      <c r="T10" s="27"/>
      <c r="U10" s="27"/>
      <c r="V10" s="27"/>
      <c r="W10" s="27"/>
      <c r="X10" s="27"/>
      <c r="Y10" s="27"/>
      <c r="Z10" s="27"/>
      <c r="AA10" s="27"/>
      <c r="AB10" s="27"/>
    </row>
    <row r="11" spans="1:30" ht="22.5" customHeight="1">
      <c r="A11" s="169"/>
      <c r="B11" s="78"/>
      <c r="C11" s="26" t="s">
        <v>61</v>
      </c>
      <c r="D11" s="27"/>
      <c r="E11" s="27"/>
      <c r="F11" s="27"/>
      <c r="G11" s="27"/>
      <c r="H11" s="27"/>
      <c r="I11" s="27"/>
      <c r="J11" s="27"/>
      <c r="K11" s="27"/>
      <c r="L11" s="27"/>
      <c r="M11" s="27"/>
      <c r="N11" s="27"/>
      <c r="O11" s="27"/>
      <c r="P11" s="27"/>
      <c r="Q11" s="27"/>
      <c r="R11" s="27"/>
      <c r="S11" s="27"/>
      <c r="T11" s="27"/>
      <c r="U11" s="27"/>
      <c r="V11" s="27"/>
      <c r="W11" s="27"/>
      <c r="X11" s="27"/>
      <c r="Y11" s="27"/>
      <c r="Z11" s="27"/>
      <c r="AA11" s="27"/>
      <c r="AB11" s="27"/>
    </row>
    <row r="12" spans="1:30" ht="30" customHeight="1">
      <c r="A12" s="170"/>
      <c r="B12" s="29"/>
      <c r="C12" s="85" t="s">
        <v>62</v>
      </c>
      <c r="D12" s="27">
        <v>5</v>
      </c>
      <c r="E12" s="27">
        <v>5</v>
      </c>
      <c r="F12" s="27">
        <v>3</v>
      </c>
      <c r="G12" s="27">
        <v>4</v>
      </c>
      <c r="H12" s="27">
        <v>5</v>
      </c>
      <c r="I12" s="27">
        <v>4</v>
      </c>
      <c r="J12" s="27">
        <v>5</v>
      </c>
      <c r="K12" s="27">
        <v>4</v>
      </c>
      <c r="L12" s="27">
        <v>3</v>
      </c>
      <c r="M12" s="27">
        <v>3</v>
      </c>
      <c r="N12" s="27">
        <v>4</v>
      </c>
      <c r="O12" s="27">
        <v>3</v>
      </c>
      <c r="P12" s="27">
        <v>5</v>
      </c>
      <c r="Q12" s="27">
        <v>5</v>
      </c>
      <c r="R12" s="27">
        <v>4</v>
      </c>
      <c r="S12" s="27">
        <v>4</v>
      </c>
      <c r="T12" s="27"/>
      <c r="U12" s="27"/>
      <c r="V12" s="27"/>
      <c r="W12" s="27"/>
      <c r="X12" s="27"/>
      <c r="Y12" s="27"/>
      <c r="Z12" s="27"/>
      <c r="AA12" s="27"/>
      <c r="AB12" s="27"/>
    </row>
    <row r="13" spans="1:30" ht="26.25" customHeight="1">
      <c r="A13" s="30"/>
      <c r="B13" s="30"/>
      <c r="C13" s="77" t="s">
        <v>49</v>
      </c>
      <c r="D13" s="27"/>
      <c r="E13" s="27"/>
      <c r="F13" s="27"/>
      <c r="G13" s="27"/>
      <c r="H13" s="27"/>
      <c r="I13" s="27"/>
      <c r="J13" s="27"/>
      <c r="K13" s="27"/>
      <c r="L13" s="27"/>
      <c r="M13" s="27"/>
      <c r="N13" s="27"/>
      <c r="O13" s="27"/>
      <c r="P13" s="27"/>
      <c r="Q13" s="27"/>
      <c r="R13" s="27"/>
      <c r="S13" s="27"/>
      <c r="T13" s="27"/>
      <c r="U13" s="27"/>
      <c r="V13" s="27"/>
      <c r="W13" s="27"/>
      <c r="X13" s="27"/>
      <c r="Y13" s="27"/>
      <c r="Z13" s="27"/>
      <c r="AA13" s="27"/>
      <c r="AB13" s="27"/>
    </row>
    <row r="14" spans="1:30" ht="22.5" customHeight="1">
      <c r="A14" s="31" t="s">
        <v>20</v>
      </c>
      <c r="B14" s="174" t="s">
        <v>63</v>
      </c>
      <c r="C14" s="175"/>
      <c r="D14" s="175"/>
      <c r="E14" s="175"/>
      <c r="F14" s="175"/>
      <c r="G14" s="175"/>
      <c r="H14" s="175"/>
      <c r="I14" s="175"/>
      <c r="J14" s="175"/>
      <c r="K14" s="175"/>
      <c r="L14" s="175"/>
      <c r="M14" s="175"/>
      <c r="N14" s="175"/>
      <c r="O14" s="175"/>
      <c r="P14" s="175"/>
      <c r="Q14" s="175"/>
      <c r="R14" s="175"/>
      <c r="S14" s="175"/>
      <c r="T14" s="175"/>
      <c r="U14" s="175"/>
      <c r="V14" s="175"/>
      <c r="W14" s="175"/>
      <c r="X14" s="175"/>
      <c r="Y14" s="175"/>
      <c r="Z14" s="175"/>
      <c r="AA14" s="175"/>
      <c r="AB14" s="176"/>
    </row>
    <row r="15" spans="1:30" ht="59.25" customHeight="1">
      <c r="A15" s="32" t="s">
        <v>64</v>
      </c>
      <c r="B15" s="171"/>
      <c r="C15" s="172"/>
      <c r="D15" s="172"/>
      <c r="E15" s="172"/>
      <c r="F15" s="172"/>
      <c r="G15" s="172"/>
      <c r="H15" s="172"/>
      <c r="I15" s="172"/>
      <c r="J15" s="172"/>
      <c r="K15" s="172"/>
      <c r="L15" s="172"/>
      <c r="M15" s="172"/>
      <c r="N15" s="172"/>
      <c r="O15" s="172"/>
      <c r="P15" s="172"/>
      <c r="Q15" s="172"/>
      <c r="R15" s="172"/>
      <c r="S15" s="172"/>
      <c r="T15" s="172"/>
      <c r="U15" s="172"/>
      <c r="V15" s="172"/>
      <c r="W15" s="172"/>
      <c r="X15" s="172"/>
      <c r="Y15" s="172"/>
      <c r="Z15" s="172"/>
      <c r="AA15" s="172"/>
      <c r="AB15" s="173"/>
    </row>
    <row r="16" spans="1:30" ht="59.25" customHeight="1">
      <c r="A16" s="32" t="s">
        <v>65</v>
      </c>
      <c r="B16" s="171"/>
      <c r="C16" s="172"/>
      <c r="D16" s="172"/>
      <c r="E16" s="172"/>
      <c r="F16" s="172"/>
      <c r="G16" s="172"/>
      <c r="H16" s="172"/>
      <c r="I16" s="172"/>
      <c r="J16" s="172"/>
      <c r="K16" s="172"/>
      <c r="L16" s="172"/>
      <c r="M16" s="172"/>
      <c r="N16" s="172"/>
      <c r="O16" s="172"/>
      <c r="P16" s="172"/>
      <c r="Q16" s="172"/>
      <c r="R16" s="172"/>
      <c r="S16" s="172"/>
      <c r="T16" s="172"/>
      <c r="U16" s="172"/>
      <c r="V16" s="172"/>
      <c r="W16" s="172"/>
      <c r="X16" s="172"/>
      <c r="Y16" s="172"/>
      <c r="Z16" s="172"/>
      <c r="AA16" s="172"/>
      <c r="AB16" s="173"/>
    </row>
    <row r="17" spans="1:28" ht="59.25" customHeight="1">
      <c r="A17" s="32" t="s">
        <v>66</v>
      </c>
      <c r="B17" s="171"/>
      <c r="C17" s="172"/>
      <c r="D17" s="172"/>
      <c r="E17" s="172"/>
      <c r="F17" s="172"/>
      <c r="G17" s="172"/>
      <c r="H17" s="172"/>
      <c r="I17" s="172"/>
      <c r="J17" s="172"/>
      <c r="K17" s="172"/>
      <c r="L17" s="172"/>
      <c r="M17" s="172"/>
      <c r="N17" s="172"/>
      <c r="O17" s="172"/>
      <c r="P17" s="172"/>
      <c r="Q17" s="172"/>
      <c r="R17" s="172"/>
      <c r="S17" s="172"/>
      <c r="T17" s="172"/>
      <c r="U17" s="172"/>
      <c r="V17" s="172"/>
      <c r="W17" s="172"/>
      <c r="X17" s="172"/>
      <c r="Y17" s="172"/>
      <c r="Z17" s="172"/>
      <c r="AA17" s="172"/>
      <c r="AB17" s="173"/>
    </row>
    <row r="18" spans="1:28" ht="59.25" customHeight="1">
      <c r="A18" s="32" t="s">
        <v>67</v>
      </c>
      <c r="B18" s="171"/>
      <c r="C18" s="172"/>
      <c r="D18" s="172"/>
      <c r="E18" s="172"/>
      <c r="F18" s="172"/>
      <c r="G18" s="172"/>
      <c r="H18" s="172"/>
      <c r="I18" s="172"/>
      <c r="J18" s="172"/>
      <c r="K18" s="172"/>
      <c r="L18" s="172"/>
      <c r="M18" s="172"/>
      <c r="N18" s="172"/>
      <c r="O18" s="172"/>
      <c r="P18" s="172"/>
      <c r="Q18" s="172"/>
      <c r="R18" s="172"/>
      <c r="S18" s="172"/>
      <c r="T18" s="172"/>
      <c r="U18" s="172"/>
      <c r="V18" s="172"/>
      <c r="W18" s="172"/>
      <c r="X18" s="172"/>
      <c r="Y18" s="172"/>
      <c r="Z18" s="172"/>
      <c r="AA18" s="172"/>
      <c r="AB18" s="173"/>
    </row>
    <row r="19" spans="1:28" ht="59.25" customHeight="1">
      <c r="A19" s="32" t="s">
        <v>68</v>
      </c>
      <c r="B19" s="171"/>
      <c r="C19" s="172"/>
      <c r="D19" s="172"/>
      <c r="E19" s="172"/>
      <c r="F19" s="172"/>
      <c r="G19" s="172"/>
      <c r="H19" s="172"/>
      <c r="I19" s="172"/>
      <c r="J19" s="172"/>
      <c r="K19" s="172"/>
      <c r="L19" s="172"/>
      <c r="M19" s="172"/>
      <c r="N19" s="172"/>
      <c r="O19" s="172"/>
      <c r="P19" s="172"/>
      <c r="Q19" s="172"/>
      <c r="R19" s="172"/>
      <c r="S19" s="172"/>
      <c r="T19" s="172"/>
      <c r="U19" s="172"/>
      <c r="V19" s="172"/>
      <c r="W19" s="172"/>
      <c r="X19" s="172"/>
      <c r="Y19" s="172"/>
      <c r="Z19" s="172"/>
      <c r="AA19" s="172"/>
      <c r="AB19" s="173"/>
    </row>
    <row r="20" spans="1:28" ht="59.25" customHeight="1">
      <c r="A20" s="32" t="s">
        <v>69</v>
      </c>
      <c r="B20" s="171"/>
      <c r="C20" s="172"/>
      <c r="D20" s="172"/>
      <c r="E20" s="172"/>
      <c r="F20" s="172"/>
      <c r="G20" s="172"/>
      <c r="H20" s="172"/>
      <c r="I20" s="172"/>
      <c r="J20" s="172"/>
      <c r="K20" s="172"/>
      <c r="L20" s="172"/>
      <c r="M20" s="172"/>
      <c r="N20" s="172"/>
      <c r="O20" s="172"/>
      <c r="P20" s="172"/>
      <c r="Q20" s="172"/>
      <c r="R20" s="172"/>
      <c r="S20" s="172"/>
      <c r="T20" s="172"/>
      <c r="U20" s="172"/>
      <c r="V20" s="172"/>
      <c r="W20" s="172"/>
      <c r="X20" s="172"/>
      <c r="Y20" s="172"/>
      <c r="Z20" s="172"/>
      <c r="AA20" s="172"/>
      <c r="AB20" s="173"/>
    </row>
    <row r="21" spans="1:28" ht="59.25" customHeight="1">
      <c r="A21" s="32" t="s">
        <v>70</v>
      </c>
      <c r="B21" s="171"/>
      <c r="C21" s="172"/>
      <c r="D21" s="172"/>
      <c r="E21" s="172"/>
      <c r="F21" s="172"/>
      <c r="G21" s="172"/>
      <c r="H21" s="172"/>
      <c r="I21" s="172"/>
      <c r="J21" s="172"/>
      <c r="K21" s="172"/>
      <c r="L21" s="172"/>
      <c r="M21" s="172"/>
      <c r="N21" s="172"/>
      <c r="O21" s="172"/>
      <c r="P21" s="172"/>
      <c r="Q21" s="172"/>
      <c r="R21" s="172"/>
      <c r="S21" s="172"/>
      <c r="T21" s="172"/>
      <c r="U21" s="172"/>
      <c r="V21" s="172"/>
      <c r="W21" s="172"/>
      <c r="X21" s="172"/>
      <c r="Y21" s="172"/>
      <c r="Z21" s="172"/>
      <c r="AA21" s="172"/>
      <c r="AB21" s="173"/>
    </row>
    <row r="22" spans="1:28" ht="59.25" customHeight="1">
      <c r="A22" s="32" t="s">
        <v>71</v>
      </c>
      <c r="B22" s="171"/>
      <c r="C22" s="172"/>
      <c r="D22" s="172"/>
      <c r="E22" s="172"/>
      <c r="F22" s="172"/>
      <c r="G22" s="172"/>
      <c r="H22" s="172"/>
      <c r="I22" s="172"/>
      <c r="J22" s="172"/>
      <c r="K22" s="172"/>
      <c r="L22" s="172"/>
      <c r="M22" s="172"/>
      <c r="N22" s="172"/>
      <c r="O22" s="172"/>
      <c r="P22" s="172"/>
      <c r="Q22" s="172"/>
      <c r="R22" s="172"/>
      <c r="S22" s="172"/>
      <c r="T22" s="172"/>
      <c r="U22" s="172"/>
      <c r="V22" s="172"/>
      <c r="W22" s="172"/>
      <c r="X22" s="172"/>
      <c r="Y22" s="172"/>
      <c r="Z22" s="172"/>
      <c r="AA22" s="172"/>
      <c r="AB22" s="173"/>
    </row>
    <row r="23" spans="1:28" ht="59.25" customHeight="1">
      <c r="A23" s="32" t="s">
        <v>72</v>
      </c>
      <c r="B23" s="171"/>
      <c r="C23" s="172"/>
      <c r="D23" s="172"/>
      <c r="E23" s="172"/>
      <c r="F23" s="172"/>
      <c r="G23" s="172"/>
      <c r="H23" s="172"/>
      <c r="I23" s="172"/>
      <c r="J23" s="172"/>
      <c r="K23" s="172"/>
      <c r="L23" s="172"/>
      <c r="M23" s="172"/>
      <c r="N23" s="172"/>
      <c r="O23" s="172"/>
      <c r="P23" s="172"/>
      <c r="Q23" s="172"/>
      <c r="R23" s="172"/>
      <c r="S23" s="172"/>
      <c r="T23" s="172"/>
      <c r="U23" s="172"/>
      <c r="V23" s="172"/>
      <c r="W23" s="172"/>
      <c r="X23" s="172"/>
      <c r="Y23" s="172"/>
      <c r="Z23" s="172"/>
      <c r="AA23" s="172"/>
      <c r="AB23" s="173"/>
    </row>
    <row r="24" spans="1:28" ht="59.25" customHeight="1">
      <c r="A24" s="32" t="s">
        <v>73</v>
      </c>
      <c r="B24" s="171"/>
      <c r="C24" s="172"/>
      <c r="D24" s="172"/>
      <c r="E24" s="172"/>
      <c r="F24" s="172"/>
      <c r="G24" s="172"/>
      <c r="H24" s="172"/>
      <c r="I24" s="172"/>
      <c r="J24" s="172"/>
      <c r="K24" s="172"/>
      <c r="L24" s="172"/>
      <c r="M24" s="172"/>
      <c r="N24" s="172"/>
      <c r="O24" s="172"/>
      <c r="P24" s="172"/>
      <c r="Q24" s="172"/>
      <c r="R24" s="172"/>
      <c r="S24" s="172"/>
      <c r="T24" s="172"/>
      <c r="U24" s="172"/>
      <c r="V24" s="172"/>
      <c r="W24" s="172"/>
      <c r="X24" s="172"/>
      <c r="Y24" s="172"/>
      <c r="Z24" s="172"/>
      <c r="AA24" s="172"/>
      <c r="AB24" s="173"/>
    </row>
    <row r="25" spans="1:28" ht="59.25" customHeight="1">
      <c r="A25" s="32" t="s">
        <v>74</v>
      </c>
      <c r="B25" s="171"/>
      <c r="C25" s="172"/>
      <c r="D25" s="172"/>
      <c r="E25" s="172"/>
      <c r="F25" s="172"/>
      <c r="G25" s="172"/>
      <c r="H25" s="172"/>
      <c r="I25" s="172"/>
      <c r="J25" s="172"/>
      <c r="K25" s="172"/>
      <c r="L25" s="172"/>
      <c r="M25" s="172"/>
      <c r="N25" s="172"/>
      <c r="O25" s="172"/>
      <c r="P25" s="172"/>
      <c r="Q25" s="172"/>
      <c r="R25" s="172"/>
      <c r="S25" s="172"/>
      <c r="T25" s="172"/>
      <c r="U25" s="172"/>
      <c r="V25" s="172"/>
      <c r="W25" s="172"/>
      <c r="X25" s="172"/>
      <c r="Y25" s="172"/>
      <c r="Z25" s="172"/>
      <c r="AA25" s="172"/>
      <c r="AB25" s="173"/>
    </row>
    <row r="26" spans="1:28" ht="59.25" customHeight="1">
      <c r="A26" s="32" t="s">
        <v>75</v>
      </c>
      <c r="B26" s="171"/>
      <c r="C26" s="172"/>
      <c r="D26" s="172"/>
      <c r="E26" s="172"/>
      <c r="F26" s="172"/>
      <c r="G26" s="172"/>
      <c r="H26" s="172"/>
      <c r="I26" s="172"/>
      <c r="J26" s="172"/>
      <c r="K26" s="172"/>
      <c r="L26" s="172"/>
      <c r="M26" s="172"/>
      <c r="N26" s="172"/>
      <c r="O26" s="172"/>
      <c r="P26" s="172"/>
      <c r="Q26" s="172"/>
      <c r="R26" s="172"/>
      <c r="S26" s="172"/>
      <c r="T26" s="172"/>
      <c r="U26" s="172"/>
      <c r="V26" s="172"/>
      <c r="W26" s="172"/>
      <c r="X26" s="172"/>
      <c r="Y26" s="172"/>
      <c r="Z26" s="172"/>
      <c r="AA26" s="172"/>
      <c r="AB26" s="173"/>
    </row>
    <row r="27" spans="1:28" ht="59.25" customHeight="1">
      <c r="A27" s="32" t="s">
        <v>76</v>
      </c>
      <c r="B27" s="171"/>
      <c r="C27" s="172"/>
      <c r="D27" s="172"/>
      <c r="E27" s="172"/>
      <c r="F27" s="172"/>
      <c r="G27" s="172"/>
      <c r="H27" s="172"/>
      <c r="I27" s="172"/>
      <c r="J27" s="172"/>
      <c r="K27" s="172"/>
      <c r="L27" s="172"/>
      <c r="M27" s="172"/>
      <c r="N27" s="172"/>
      <c r="O27" s="172"/>
      <c r="P27" s="172"/>
      <c r="Q27" s="172"/>
      <c r="R27" s="172"/>
      <c r="S27" s="172"/>
      <c r="T27" s="172"/>
      <c r="U27" s="172"/>
      <c r="V27" s="172"/>
      <c r="W27" s="172"/>
      <c r="X27" s="172"/>
      <c r="Y27" s="172"/>
      <c r="Z27" s="172"/>
      <c r="AA27" s="172"/>
      <c r="AB27" s="173"/>
    </row>
    <row r="28" spans="1:28" ht="59.25" customHeight="1">
      <c r="A28" s="32" t="s">
        <v>77</v>
      </c>
      <c r="B28" s="171"/>
      <c r="C28" s="172"/>
      <c r="D28" s="172"/>
      <c r="E28" s="172"/>
      <c r="F28" s="172"/>
      <c r="G28" s="172"/>
      <c r="H28" s="172"/>
      <c r="I28" s="172"/>
      <c r="J28" s="172"/>
      <c r="K28" s="172"/>
      <c r="L28" s="172"/>
      <c r="M28" s="172"/>
      <c r="N28" s="172"/>
      <c r="O28" s="172"/>
      <c r="P28" s="172"/>
      <c r="Q28" s="172"/>
      <c r="R28" s="172"/>
      <c r="S28" s="172"/>
      <c r="T28" s="172"/>
      <c r="U28" s="172"/>
      <c r="V28" s="172"/>
      <c r="W28" s="172"/>
      <c r="X28" s="172"/>
      <c r="Y28" s="172"/>
      <c r="Z28" s="172"/>
      <c r="AA28" s="172"/>
      <c r="AB28" s="173"/>
    </row>
    <row r="29" spans="1:28" ht="59.25" customHeight="1">
      <c r="A29" s="32" t="s">
        <v>78</v>
      </c>
      <c r="B29" s="171"/>
      <c r="C29" s="172"/>
      <c r="D29" s="172"/>
      <c r="E29" s="172"/>
      <c r="F29" s="172"/>
      <c r="G29" s="172"/>
      <c r="H29" s="172"/>
      <c r="I29" s="172"/>
      <c r="J29" s="172"/>
      <c r="K29" s="172"/>
      <c r="L29" s="172"/>
      <c r="M29" s="172"/>
      <c r="N29" s="172"/>
      <c r="O29" s="172"/>
      <c r="P29" s="172"/>
      <c r="Q29" s="172"/>
      <c r="R29" s="172"/>
      <c r="S29" s="172"/>
      <c r="T29" s="172"/>
      <c r="U29" s="172"/>
      <c r="V29" s="172"/>
      <c r="W29" s="172"/>
      <c r="X29" s="172"/>
      <c r="Y29" s="172"/>
      <c r="Z29" s="172"/>
      <c r="AA29" s="172"/>
      <c r="AB29" s="173"/>
    </row>
    <row r="30" spans="1:28" ht="59.25" customHeight="1">
      <c r="A30" s="32" t="s">
        <v>79</v>
      </c>
      <c r="B30" s="171"/>
      <c r="C30" s="172"/>
      <c r="D30" s="172"/>
      <c r="E30" s="172"/>
      <c r="F30" s="172"/>
      <c r="G30" s="172"/>
      <c r="H30" s="172"/>
      <c r="I30" s="172"/>
      <c r="J30" s="172"/>
      <c r="K30" s="172"/>
      <c r="L30" s="172"/>
      <c r="M30" s="172"/>
      <c r="N30" s="172"/>
      <c r="O30" s="172"/>
      <c r="P30" s="172"/>
      <c r="Q30" s="172"/>
      <c r="R30" s="172"/>
      <c r="S30" s="172"/>
      <c r="T30" s="172"/>
      <c r="U30" s="172"/>
      <c r="V30" s="172"/>
      <c r="W30" s="172"/>
      <c r="X30" s="172"/>
      <c r="Y30" s="172"/>
      <c r="Z30" s="172"/>
      <c r="AA30" s="172"/>
      <c r="AB30" s="173"/>
    </row>
    <row r="31" spans="1:28" ht="59.25" customHeight="1">
      <c r="A31" s="32"/>
      <c r="B31" s="171"/>
      <c r="C31" s="172"/>
      <c r="D31" s="172"/>
      <c r="E31" s="172"/>
      <c r="F31" s="172"/>
      <c r="G31" s="172"/>
      <c r="H31" s="172"/>
      <c r="I31" s="172"/>
      <c r="J31" s="172"/>
      <c r="K31" s="172"/>
      <c r="L31" s="172"/>
      <c r="M31" s="172"/>
      <c r="N31" s="172"/>
      <c r="O31" s="172"/>
      <c r="P31" s="172"/>
      <c r="Q31" s="172"/>
      <c r="R31" s="172"/>
      <c r="S31" s="172"/>
      <c r="T31" s="172"/>
      <c r="U31" s="172"/>
      <c r="V31" s="172"/>
      <c r="W31" s="172"/>
      <c r="X31" s="172"/>
      <c r="Y31" s="172"/>
      <c r="Z31" s="172"/>
      <c r="AA31" s="172"/>
      <c r="AB31" s="173"/>
    </row>
    <row r="32" spans="1:28" ht="59.25" customHeight="1">
      <c r="A32" s="32"/>
      <c r="B32" s="171"/>
      <c r="C32" s="172"/>
      <c r="D32" s="172"/>
      <c r="E32" s="172"/>
      <c r="F32" s="172"/>
      <c r="G32" s="172"/>
      <c r="H32" s="172"/>
      <c r="I32" s="172"/>
      <c r="J32" s="172"/>
      <c r="K32" s="172"/>
      <c r="L32" s="172"/>
      <c r="M32" s="172"/>
      <c r="N32" s="172"/>
      <c r="O32" s="172"/>
      <c r="P32" s="172"/>
      <c r="Q32" s="172"/>
      <c r="R32" s="172"/>
      <c r="S32" s="172"/>
      <c r="T32" s="172"/>
      <c r="U32" s="172"/>
      <c r="V32" s="172"/>
      <c r="W32" s="172"/>
      <c r="X32" s="172"/>
      <c r="Y32" s="172"/>
      <c r="Z32" s="172"/>
      <c r="AA32" s="172"/>
      <c r="AB32" s="173"/>
    </row>
    <row r="33" spans="1:28" ht="59.25" customHeight="1">
      <c r="A33" s="32"/>
      <c r="B33" s="171"/>
      <c r="C33" s="172"/>
      <c r="D33" s="172"/>
      <c r="E33" s="172"/>
      <c r="F33" s="172"/>
      <c r="G33" s="172"/>
      <c r="H33" s="172"/>
      <c r="I33" s="172"/>
      <c r="J33" s="172"/>
      <c r="K33" s="172"/>
      <c r="L33" s="172"/>
      <c r="M33" s="172"/>
      <c r="N33" s="172"/>
      <c r="O33" s="172"/>
      <c r="P33" s="172"/>
      <c r="Q33" s="172"/>
      <c r="R33" s="172"/>
      <c r="S33" s="172"/>
      <c r="T33" s="172"/>
      <c r="U33" s="172"/>
      <c r="V33" s="172"/>
      <c r="W33" s="172"/>
      <c r="X33" s="172"/>
      <c r="Y33" s="172"/>
      <c r="Z33" s="172"/>
      <c r="AA33" s="172"/>
      <c r="AB33" s="173"/>
    </row>
    <row r="34" spans="1:28" ht="59.25" customHeight="1">
      <c r="A34" s="32"/>
      <c r="B34" s="171"/>
      <c r="C34" s="172"/>
      <c r="D34" s="172"/>
      <c r="E34" s="172"/>
      <c r="F34" s="172"/>
      <c r="G34" s="172"/>
      <c r="H34" s="172"/>
      <c r="I34" s="172"/>
      <c r="J34" s="172"/>
      <c r="K34" s="172"/>
      <c r="L34" s="172"/>
      <c r="M34" s="172"/>
      <c r="N34" s="172"/>
      <c r="O34" s="172"/>
      <c r="P34" s="172"/>
      <c r="Q34" s="172"/>
      <c r="R34" s="172"/>
      <c r="S34" s="172"/>
      <c r="T34" s="172"/>
      <c r="U34" s="172"/>
      <c r="V34" s="172"/>
      <c r="W34" s="172"/>
      <c r="X34" s="172"/>
      <c r="Y34" s="172"/>
      <c r="Z34" s="172"/>
      <c r="AA34" s="172"/>
      <c r="AB34" s="173"/>
    </row>
    <row r="35" spans="1:28" ht="59.25" customHeight="1">
      <c r="A35" s="32"/>
      <c r="B35" s="171"/>
      <c r="C35" s="172"/>
      <c r="D35" s="172"/>
      <c r="E35" s="172"/>
      <c r="F35" s="172"/>
      <c r="G35" s="172"/>
      <c r="H35" s="172"/>
      <c r="I35" s="172"/>
      <c r="J35" s="172"/>
      <c r="K35" s="172"/>
      <c r="L35" s="172"/>
      <c r="M35" s="172"/>
      <c r="N35" s="172"/>
      <c r="O35" s="172"/>
      <c r="P35" s="172"/>
      <c r="Q35" s="172"/>
      <c r="R35" s="172"/>
      <c r="S35" s="172"/>
      <c r="T35" s="172"/>
      <c r="U35" s="172"/>
      <c r="V35" s="172"/>
      <c r="W35" s="172"/>
      <c r="X35" s="172"/>
      <c r="Y35" s="172"/>
      <c r="Z35" s="172"/>
      <c r="AA35" s="172"/>
      <c r="AB35" s="173"/>
    </row>
    <row r="36" spans="1:28" ht="59.25" customHeight="1">
      <c r="A36" s="32"/>
      <c r="B36" s="171"/>
      <c r="C36" s="172"/>
      <c r="D36" s="172"/>
      <c r="E36" s="172"/>
      <c r="F36" s="172"/>
      <c r="G36" s="172"/>
      <c r="H36" s="172"/>
      <c r="I36" s="172"/>
      <c r="J36" s="172"/>
      <c r="K36" s="172"/>
      <c r="L36" s="172"/>
      <c r="M36" s="172"/>
      <c r="N36" s="172"/>
      <c r="O36" s="172"/>
      <c r="P36" s="172"/>
      <c r="Q36" s="172"/>
      <c r="R36" s="172"/>
      <c r="S36" s="172"/>
      <c r="T36" s="172"/>
      <c r="U36" s="172"/>
      <c r="V36" s="172"/>
      <c r="W36" s="172"/>
      <c r="X36" s="172"/>
      <c r="Y36" s="172"/>
      <c r="Z36" s="172"/>
      <c r="AA36" s="172"/>
      <c r="AB36" s="173"/>
    </row>
    <row r="37" spans="1:28" ht="59.25" customHeight="1">
      <c r="A37" s="32"/>
      <c r="B37" s="171"/>
      <c r="C37" s="172"/>
      <c r="D37" s="172"/>
      <c r="E37" s="172"/>
      <c r="F37" s="172"/>
      <c r="G37" s="172"/>
      <c r="H37" s="172"/>
      <c r="I37" s="172"/>
      <c r="J37" s="172"/>
      <c r="K37" s="172"/>
      <c r="L37" s="172"/>
      <c r="M37" s="172"/>
      <c r="N37" s="172"/>
      <c r="O37" s="172"/>
      <c r="P37" s="172"/>
      <c r="Q37" s="172"/>
      <c r="R37" s="172"/>
      <c r="S37" s="172"/>
      <c r="T37" s="172"/>
      <c r="U37" s="172"/>
      <c r="V37" s="172"/>
      <c r="W37" s="172"/>
      <c r="X37" s="172"/>
      <c r="Y37" s="172"/>
      <c r="Z37" s="172"/>
      <c r="AA37" s="172"/>
      <c r="AB37" s="173"/>
    </row>
    <row r="38" spans="1:28" ht="59.25" customHeight="1">
      <c r="A38" s="32"/>
      <c r="B38" s="171"/>
      <c r="C38" s="172"/>
      <c r="D38" s="172"/>
      <c r="E38" s="172"/>
      <c r="F38" s="172"/>
      <c r="G38" s="172"/>
      <c r="H38" s="172"/>
      <c r="I38" s="172"/>
      <c r="J38" s="172"/>
      <c r="K38" s="172"/>
      <c r="L38" s="172"/>
      <c r="M38" s="172"/>
      <c r="N38" s="172"/>
      <c r="O38" s="172"/>
      <c r="P38" s="172"/>
      <c r="Q38" s="172"/>
      <c r="R38" s="172"/>
      <c r="S38" s="172"/>
      <c r="T38" s="172"/>
      <c r="U38" s="172"/>
      <c r="V38" s="172"/>
      <c r="W38" s="172"/>
      <c r="X38" s="172"/>
      <c r="Y38" s="172"/>
      <c r="Z38" s="172"/>
      <c r="AA38" s="172"/>
      <c r="AB38" s="173"/>
    </row>
    <row r="39" spans="1:28" ht="59.25" customHeight="1">
      <c r="A39" s="32"/>
      <c r="B39" s="171"/>
      <c r="C39" s="172"/>
      <c r="D39" s="172"/>
      <c r="E39" s="172"/>
      <c r="F39" s="172"/>
      <c r="G39" s="172"/>
      <c r="H39" s="172"/>
      <c r="I39" s="172"/>
      <c r="J39" s="172"/>
      <c r="K39" s="172"/>
      <c r="L39" s="172"/>
      <c r="M39" s="172"/>
      <c r="N39" s="172"/>
      <c r="O39" s="172"/>
      <c r="P39" s="172"/>
      <c r="Q39" s="172"/>
      <c r="R39" s="172"/>
      <c r="S39" s="172"/>
      <c r="T39" s="172"/>
      <c r="U39" s="172"/>
      <c r="V39" s="172"/>
      <c r="W39" s="172"/>
      <c r="X39" s="172"/>
      <c r="Y39" s="172"/>
      <c r="Z39" s="172"/>
      <c r="AA39" s="172"/>
      <c r="AB39" s="173"/>
    </row>
    <row r="40" spans="1:28" ht="22.5" customHeight="1"/>
    <row r="41" spans="1:28" ht="22.5" customHeight="1"/>
    <row r="42" spans="1:28" ht="22.5" customHeight="1"/>
    <row r="43" spans="1:28" ht="22.5" customHeight="1"/>
    <row r="44" spans="1:28" ht="17.25" customHeight="1"/>
    <row r="45" spans="1:28" ht="17.25" customHeight="1"/>
    <row r="46" spans="1:28" ht="17.25" customHeight="1"/>
    <row r="47" spans="1:28" ht="17.25" customHeight="1"/>
    <row r="48" spans="1:28" ht="17.25" customHeight="1"/>
    <row r="49" ht="17.25" customHeight="1"/>
    <row r="50" ht="17.25" customHeight="1"/>
    <row r="51" ht="17.25" customHeight="1"/>
    <row r="52" ht="17.25" customHeight="1"/>
    <row r="53" ht="17.25" customHeight="1"/>
    <row r="54" ht="17.25" customHeight="1"/>
    <row r="55" ht="17.25" customHeight="1"/>
    <row r="56" ht="17.25" customHeight="1"/>
    <row r="57" ht="17.25" customHeight="1"/>
    <row r="58" ht="17.25" customHeight="1"/>
    <row r="59" ht="17.25" customHeight="1"/>
    <row r="60" ht="17.25" customHeight="1"/>
    <row r="61" ht="17.25" customHeight="1"/>
    <row r="62" ht="17.25" customHeight="1"/>
    <row r="63" ht="17.25" customHeight="1"/>
    <row r="64"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row r="155" ht="17.25" customHeight="1"/>
    <row r="156" ht="17.25" customHeight="1"/>
    <row r="157" ht="17.25" customHeight="1"/>
    <row r="158" ht="17.25" customHeight="1"/>
    <row r="159" ht="17.25" customHeight="1"/>
    <row r="160" ht="17.25" customHeight="1"/>
    <row r="161" ht="17.25" customHeight="1"/>
    <row r="162" ht="17.25" customHeight="1"/>
    <row r="163" ht="17.25" customHeight="1"/>
    <row r="164" ht="17.25" customHeight="1"/>
    <row r="165" ht="17.25" customHeight="1"/>
    <row r="166" ht="17.25" customHeight="1"/>
    <row r="167" ht="17.25" customHeight="1"/>
    <row r="168" ht="17.25" customHeight="1"/>
    <row r="169" ht="17.25" customHeight="1"/>
    <row r="170" ht="17.25" customHeight="1"/>
    <row r="171" ht="17.25" customHeight="1"/>
    <row r="172" ht="17.25" customHeight="1"/>
    <row r="173" ht="17.25" customHeight="1"/>
    <row r="174" ht="17.25" customHeight="1"/>
    <row r="175" ht="17.25" customHeight="1"/>
    <row r="176" ht="17.25" customHeight="1"/>
    <row r="177" ht="17.25" customHeight="1"/>
    <row r="178" ht="17.25" customHeight="1"/>
    <row r="179" ht="17.25" customHeight="1"/>
    <row r="180" ht="17.25" customHeight="1"/>
    <row r="181" ht="17.25" customHeight="1"/>
    <row r="182" ht="17.25" customHeight="1"/>
    <row r="183" ht="17.25" customHeight="1"/>
    <row r="184" ht="17.25" customHeight="1"/>
    <row r="185" ht="17.25" customHeight="1"/>
    <row r="186" ht="17.25" customHeight="1"/>
    <row r="187" ht="17.25" customHeight="1"/>
    <row r="188" ht="17.25" customHeight="1"/>
    <row r="189" ht="17.25" customHeight="1"/>
    <row r="190" ht="17.25" customHeight="1"/>
    <row r="191" ht="17.25" customHeight="1"/>
    <row r="192" ht="17.25" customHeight="1"/>
    <row r="193" ht="17.25" customHeight="1"/>
  </sheetData>
  <mergeCells count="27">
    <mergeCell ref="B38:AB38"/>
    <mergeCell ref="B39:AB39"/>
    <mergeCell ref="B23:AB23"/>
    <mergeCell ref="B24:AB24"/>
    <mergeCell ref="B14:AB14"/>
    <mergeCell ref="B15:AB15"/>
    <mergeCell ref="B16:AB16"/>
    <mergeCell ref="B17:AB17"/>
    <mergeCell ref="B18:AB18"/>
    <mergeCell ref="B19:AB19"/>
    <mergeCell ref="B20:AB20"/>
    <mergeCell ref="B21:AB21"/>
    <mergeCell ref="B22:AB22"/>
    <mergeCell ref="A2:A12"/>
    <mergeCell ref="B35:AB35"/>
    <mergeCell ref="B36:AB36"/>
    <mergeCell ref="B37:AB37"/>
    <mergeCell ref="B25:AB25"/>
    <mergeCell ref="B26:AB26"/>
    <mergeCell ref="B27:AB27"/>
    <mergeCell ref="B28:AB28"/>
    <mergeCell ref="B29:AB29"/>
    <mergeCell ref="B30:AB30"/>
    <mergeCell ref="B31:AB31"/>
    <mergeCell ref="B32:AB32"/>
    <mergeCell ref="B33:AB33"/>
    <mergeCell ref="B34:AB34"/>
  </mergeCells>
  <phoneticPr fontId="1"/>
  <dataValidations count="2">
    <dataValidation type="list" allowBlank="1" showDropDown="1" showInputMessage="1" showErrorMessage="1" sqref="D2:AB11">
      <formula1>$AC$2:$AC$5</formula1>
    </dataValidation>
    <dataValidation type="list" allowBlank="1" showDropDown="1" showInputMessage="1" showErrorMessage="1" errorTitle="文字エラー" error="半角数字1～5か、評価不能の場合は-（半角マイナス）を入れて下さい。" sqref="D12:AB13">
      <formula1>$AD$2:$AD$7</formula1>
    </dataValidation>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1"/>
  </sheetPr>
  <dimension ref="A1:AD193"/>
  <sheetViews>
    <sheetView workbookViewId="0">
      <selection sqref="A1:XFD1048576"/>
    </sheetView>
  </sheetViews>
  <sheetFormatPr defaultRowHeight="13.5"/>
  <cols>
    <col min="1" max="1" width="13.5" style="4" customWidth="1"/>
    <col min="2" max="2" width="79.125" style="4" customWidth="1"/>
    <col min="3" max="3" width="9.375" style="4" customWidth="1"/>
    <col min="4" max="28" width="4.125" style="4" customWidth="1"/>
    <col min="29" max="16384" width="9" style="4"/>
  </cols>
  <sheetData>
    <row r="1" spans="1:30" ht="85.5" customHeight="1">
      <c r="A1" s="21" t="str">
        <f ca="1">MID(CELL("filename",A1),FIND("[",CELL("filename",A1))+1,3)</f>
        <v>８－２</v>
      </c>
      <c r="B1" s="22" t="str">
        <f ca="1">RIGHT(CELL("filename",B1),LEN(CELL("filename",B1))-FIND("]",CELL("filename",B1)))</f>
        <v>美術</v>
      </c>
      <c r="C1" s="23" t="s">
        <v>60</v>
      </c>
      <c r="D1" s="24" t="str">
        <f>A15</f>
        <v>岡田 明日香</v>
      </c>
      <c r="E1" s="24" t="str">
        <f>A16</f>
        <v>荻原 知香</v>
      </c>
      <c r="F1" s="24" t="str">
        <f>A17</f>
        <v>片桐 葵</v>
      </c>
      <c r="G1" s="24" t="str">
        <f>A18</f>
        <v>上島 碧依</v>
      </c>
      <c r="H1" s="24" t="str">
        <f>A19</f>
        <v>藏井 陽菜乃</v>
      </c>
      <c r="I1" s="24" t="str">
        <f>A20</f>
        <v>小松 雅治</v>
      </c>
      <c r="J1" s="24" t="str">
        <f>A21</f>
        <v>須藤 爽斗</v>
      </c>
      <c r="K1" s="24" t="str">
        <f>A22</f>
        <v>滝 陽香</v>
      </c>
      <c r="L1" s="24" t="str">
        <f>A23</f>
        <v>永江 仁</v>
      </c>
      <c r="M1" s="24" t="str">
        <f>A24</f>
        <v>林 果菜</v>
      </c>
      <c r="N1" s="24" t="str">
        <f>A25</f>
        <v>原 維香</v>
      </c>
      <c r="O1" s="24" t="str">
        <f>A26</f>
        <v>丸山 心音</v>
      </c>
      <c r="P1" s="24" t="str">
        <f>A27</f>
        <v>森本 浩士</v>
      </c>
      <c r="Q1" s="24" t="str">
        <f>A28</f>
        <v>栁沢 美緒</v>
      </c>
      <c r="R1" s="24" t="str">
        <f>A29</f>
        <v>横山 麟太</v>
      </c>
      <c r="S1" s="24" t="str">
        <f>A30</f>
        <v>渡邊 了介</v>
      </c>
      <c r="T1" s="24">
        <f>A31</f>
        <v>0</v>
      </c>
      <c r="U1" s="24">
        <f>A32</f>
        <v>0</v>
      </c>
      <c r="V1" s="24">
        <f>A33</f>
        <v>0</v>
      </c>
      <c r="W1" s="24">
        <f>A34</f>
        <v>0</v>
      </c>
      <c r="X1" s="24">
        <f>A35</f>
        <v>0</v>
      </c>
      <c r="Y1" s="24">
        <f>A36</f>
        <v>0</v>
      </c>
      <c r="Z1" s="24">
        <f>A37</f>
        <v>0</v>
      </c>
      <c r="AA1" s="24">
        <f>A38</f>
        <v>0</v>
      </c>
      <c r="AB1" s="24">
        <f>A39</f>
        <v>0</v>
      </c>
      <c r="AC1" s="25"/>
    </row>
    <row r="2" spans="1:30" ht="22.5" customHeight="1">
      <c r="A2" s="168" t="s">
        <v>229</v>
      </c>
      <c r="B2" s="58" t="s">
        <v>130</v>
      </c>
      <c r="C2" s="26" t="s">
        <v>61</v>
      </c>
      <c r="D2" s="27" t="s">
        <v>230</v>
      </c>
      <c r="E2" s="27" t="s">
        <v>230</v>
      </c>
      <c r="F2" s="27" t="s">
        <v>231</v>
      </c>
      <c r="G2" s="27" t="s">
        <v>230</v>
      </c>
      <c r="H2" s="27" t="s">
        <v>232</v>
      </c>
      <c r="I2" s="27" t="s">
        <v>230</v>
      </c>
      <c r="J2" s="27" t="s">
        <v>232</v>
      </c>
      <c r="K2" s="27" t="s">
        <v>202</v>
      </c>
      <c r="L2" s="27" t="s">
        <v>230</v>
      </c>
      <c r="M2" s="27" t="s">
        <v>231</v>
      </c>
      <c r="N2" s="27" t="s">
        <v>203</v>
      </c>
      <c r="O2" s="27" t="s">
        <v>230</v>
      </c>
      <c r="P2" s="27" t="s">
        <v>230</v>
      </c>
      <c r="Q2" s="27" t="s">
        <v>199</v>
      </c>
      <c r="R2" s="27" t="s">
        <v>202</v>
      </c>
      <c r="S2" s="27" t="s">
        <v>202</v>
      </c>
      <c r="T2" s="27"/>
      <c r="U2" s="27"/>
      <c r="V2" s="27"/>
      <c r="W2" s="27"/>
      <c r="X2" s="27"/>
      <c r="Y2" s="27"/>
      <c r="Z2" s="27"/>
      <c r="AA2" s="27"/>
      <c r="AB2" s="27"/>
      <c r="AC2" s="28" t="s">
        <v>232</v>
      </c>
      <c r="AD2" s="28">
        <v>1</v>
      </c>
    </row>
    <row r="3" spans="1:30" ht="22.5" customHeight="1">
      <c r="A3" s="169"/>
      <c r="B3" s="58" t="s">
        <v>131</v>
      </c>
      <c r="C3" s="26" t="s">
        <v>61</v>
      </c>
      <c r="D3" s="27" t="s">
        <v>230</v>
      </c>
      <c r="E3" s="27" t="s">
        <v>232</v>
      </c>
      <c r="F3" s="27" t="s">
        <v>230</v>
      </c>
      <c r="G3" s="27" t="s">
        <v>199</v>
      </c>
      <c r="H3" s="27" t="s">
        <v>199</v>
      </c>
      <c r="I3" s="27" t="s">
        <v>199</v>
      </c>
      <c r="J3" s="27" t="s">
        <v>199</v>
      </c>
      <c r="K3" s="27" t="s">
        <v>232</v>
      </c>
      <c r="L3" s="27" t="s">
        <v>230</v>
      </c>
      <c r="M3" s="27" t="s">
        <v>202</v>
      </c>
      <c r="N3" s="27" t="s">
        <v>202</v>
      </c>
      <c r="O3" s="27" t="s">
        <v>199</v>
      </c>
      <c r="P3" s="27" t="s">
        <v>202</v>
      </c>
      <c r="Q3" s="27" t="s">
        <v>232</v>
      </c>
      <c r="R3" s="27" t="s">
        <v>202</v>
      </c>
      <c r="S3" s="27" t="s">
        <v>202</v>
      </c>
      <c r="T3" s="27"/>
      <c r="U3" s="27"/>
      <c r="V3" s="27"/>
      <c r="W3" s="27"/>
      <c r="X3" s="27"/>
      <c r="Y3" s="27"/>
      <c r="Z3" s="27"/>
      <c r="AA3" s="27"/>
      <c r="AB3" s="27"/>
      <c r="AC3" s="28" t="s">
        <v>202</v>
      </c>
      <c r="AD3" s="28">
        <v>2</v>
      </c>
    </row>
    <row r="4" spans="1:30" ht="22.5" customHeight="1">
      <c r="A4" s="169"/>
      <c r="B4" s="58" t="s">
        <v>132</v>
      </c>
      <c r="C4" s="26" t="s">
        <v>61</v>
      </c>
      <c r="D4" s="27" t="s">
        <v>232</v>
      </c>
      <c r="E4" s="27" t="s">
        <v>202</v>
      </c>
      <c r="F4" s="27" t="s">
        <v>230</v>
      </c>
      <c r="G4" s="27" t="s">
        <v>199</v>
      </c>
      <c r="H4" s="27" t="s">
        <v>232</v>
      </c>
      <c r="I4" s="27" t="s">
        <v>199</v>
      </c>
      <c r="J4" s="27" t="s">
        <v>199</v>
      </c>
      <c r="K4" s="27" t="s">
        <v>199</v>
      </c>
      <c r="L4" s="27" t="s">
        <v>231</v>
      </c>
      <c r="M4" s="27" t="s">
        <v>202</v>
      </c>
      <c r="N4" s="27" t="s">
        <v>230</v>
      </c>
      <c r="O4" s="27" t="s">
        <v>202</v>
      </c>
      <c r="P4" s="27" t="s">
        <v>199</v>
      </c>
      <c r="Q4" s="27" t="s">
        <v>199</v>
      </c>
      <c r="R4" s="27" t="s">
        <v>203</v>
      </c>
      <c r="S4" s="27" t="s">
        <v>202</v>
      </c>
      <c r="T4" s="27"/>
      <c r="U4" s="27"/>
      <c r="V4" s="27"/>
      <c r="W4" s="27"/>
      <c r="X4" s="27"/>
      <c r="Y4" s="27"/>
      <c r="Z4" s="27"/>
      <c r="AA4" s="27"/>
      <c r="AB4" s="27"/>
      <c r="AC4" s="28" t="s">
        <v>203</v>
      </c>
      <c r="AD4" s="28">
        <v>3</v>
      </c>
    </row>
    <row r="5" spans="1:30" ht="22.5" customHeight="1">
      <c r="A5" s="169"/>
      <c r="B5" s="78"/>
      <c r="C5" s="26" t="s">
        <v>61</v>
      </c>
      <c r="D5" s="27"/>
      <c r="E5" s="27"/>
      <c r="F5" s="27"/>
      <c r="G5" s="27"/>
      <c r="H5" s="27"/>
      <c r="I5" s="27"/>
      <c r="J5" s="27"/>
      <c r="K5" s="27"/>
      <c r="L5" s="27"/>
      <c r="M5" s="27"/>
      <c r="N5" s="27"/>
      <c r="O5" s="27"/>
      <c r="P5" s="27"/>
      <c r="Q5" s="27"/>
      <c r="R5" s="27"/>
      <c r="S5" s="27"/>
      <c r="T5" s="27"/>
      <c r="U5" s="27"/>
      <c r="V5" s="27"/>
      <c r="W5" s="27"/>
      <c r="X5" s="27"/>
      <c r="Y5" s="27"/>
      <c r="Z5" s="27"/>
      <c r="AA5" s="27"/>
      <c r="AB5" s="27"/>
      <c r="AC5" s="28" t="s">
        <v>205</v>
      </c>
      <c r="AD5" s="28">
        <v>4</v>
      </c>
    </row>
    <row r="6" spans="1:30" ht="22.5" customHeight="1">
      <c r="A6" s="169"/>
      <c r="B6" s="78"/>
      <c r="C6" s="26" t="s">
        <v>61</v>
      </c>
      <c r="D6" s="27"/>
      <c r="E6" s="27"/>
      <c r="F6" s="27"/>
      <c r="G6" s="27"/>
      <c r="H6" s="27"/>
      <c r="I6" s="27"/>
      <c r="J6" s="27"/>
      <c r="K6" s="27"/>
      <c r="L6" s="27"/>
      <c r="M6" s="27"/>
      <c r="N6" s="27"/>
      <c r="O6" s="27"/>
      <c r="P6" s="27"/>
      <c r="Q6" s="27"/>
      <c r="R6" s="27"/>
      <c r="S6" s="27"/>
      <c r="T6" s="27"/>
      <c r="U6" s="27"/>
      <c r="V6" s="27"/>
      <c r="W6" s="27"/>
      <c r="X6" s="27"/>
      <c r="Y6" s="27"/>
      <c r="Z6" s="27"/>
      <c r="AA6" s="27"/>
      <c r="AB6" s="27"/>
      <c r="AC6" s="28"/>
      <c r="AD6" s="28">
        <v>5</v>
      </c>
    </row>
    <row r="7" spans="1:30" ht="22.5" customHeight="1">
      <c r="A7" s="169"/>
      <c r="B7" s="78"/>
      <c r="C7" s="26" t="s">
        <v>61</v>
      </c>
      <c r="D7" s="27"/>
      <c r="E7" s="27"/>
      <c r="F7" s="27"/>
      <c r="G7" s="27"/>
      <c r="H7" s="27"/>
      <c r="I7" s="27"/>
      <c r="J7" s="27"/>
      <c r="K7" s="27"/>
      <c r="L7" s="27"/>
      <c r="M7" s="27"/>
      <c r="N7" s="27"/>
      <c r="O7" s="27"/>
      <c r="P7" s="27"/>
      <c r="Q7" s="27"/>
      <c r="R7" s="27"/>
      <c r="S7" s="27"/>
      <c r="T7" s="27"/>
      <c r="U7" s="27"/>
      <c r="V7" s="27"/>
      <c r="W7" s="27"/>
      <c r="X7" s="27"/>
      <c r="Y7" s="27"/>
      <c r="Z7" s="27"/>
      <c r="AA7" s="27"/>
      <c r="AB7" s="27"/>
      <c r="AC7" s="28"/>
      <c r="AD7" s="28" t="s">
        <v>233</v>
      </c>
    </row>
    <row r="8" spans="1:30" ht="22.5" customHeight="1">
      <c r="A8" s="169"/>
      <c r="B8" s="78"/>
      <c r="C8" s="26" t="s">
        <v>61</v>
      </c>
      <c r="D8" s="27"/>
      <c r="E8" s="27"/>
      <c r="F8" s="27"/>
      <c r="G8" s="27"/>
      <c r="H8" s="27"/>
      <c r="I8" s="27"/>
      <c r="J8" s="27"/>
      <c r="K8" s="27"/>
      <c r="L8" s="27"/>
      <c r="M8" s="27"/>
      <c r="N8" s="27"/>
      <c r="O8" s="27"/>
      <c r="P8" s="27"/>
      <c r="Q8" s="27"/>
      <c r="R8" s="27"/>
      <c r="S8" s="27"/>
      <c r="T8" s="27"/>
      <c r="U8" s="27"/>
      <c r="V8" s="27"/>
      <c r="W8" s="27"/>
      <c r="X8" s="27"/>
      <c r="Y8" s="27"/>
      <c r="Z8" s="27"/>
      <c r="AA8" s="27"/>
      <c r="AB8" s="27"/>
    </row>
    <row r="9" spans="1:30" ht="22.5" customHeight="1">
      <c r="A9" s="169"/>
      <c r="B9" s="78"/>
      <c r="C9" s="26" t="s">
        <v>61</v>
      </c>
      <c r="D9" s="27"/>
      <c r="E9" s="27"/>
      <c r="F9" s="27"/>
      <c r="G9" s="27"/>
      <c r="H9" s="27"/>
      <c r="I9" s="27"/>
      <c r="J9" s="27"/>
      <c r="K9" s="27"/>
      <c r="L9" s="27"/>
      <c r="M9" s="27"/>
      <c r="N9" s="27"/>
      <c r="O9" s="27"/>
      <c r="P9" s="27"/>
      <c r="Q9" s="27"/>
      <c r="R9" s="27"/>
      <c r="S9" s="27"/>
      <c r="T9" s="27"/>
      <c r="U9" s="27"/>
      <c r="V9" s="27"/>
      <c r="W9" s="27"/>
      <c r="X9" s="27"/>
      <c r="Y9" s="27"/>
      <c r="Z9" s="27"/>
      <c r="AA9" s="27"/>
      <c r="AB9" s="27"/>
    </row>
    <row r="10" spans="1:30" ht="22.5" customHeight="1">
      <c r="A10" s="169"/>
      <c r="B10" s="78"/>
      <c r="C10" s="26" t="s">
        <v>61</v>
      </c>
      <c r="D10" s="27"/>
      <c r="E10" s="27"/>
      <c r="F10" s="27"/>
      <c r="G10" s="27"/>
      <c r="H10" s="27"/>
      <c r="I10" s="27"/>
      <c r="J10" s="27"/>
      <c r="K10" s="27"/>
      <c r="L10" s="27"/>
      <c r="M10" s="27"/>
      <c r="N10" s="27"/>
      <c r="O10" s="27"/>
      <c r="P10" s="27"/>
      <c r="Q10" s="27"/>
      <c r="R10" s="27"/>
      <c r="S10" s="27"/>
      <c r="T10" s="27"/>
      <c r="U10" s="27"/>
      <c r="V10" s="27"/>
      <c r="W10" s="27"/>
      <c r="X10" s="27"/>
      <c r="Y10" s="27"/>
      <c r="Z10" s="27"/>
      <c r="AA10" s="27"/>
      <c r="AB10" s="27"/>
    </row>
    <row r="11" spans="1:30" ht="22.5" customHeight="1">
      <c r="A11" s="169"/>
      <c r="B11" s="78"/>
      <c r="C11" s="26" t="s">
        <v>61</v>
      </c>
      <c r="D11" s="27"/>
      <c r="E11" s="27"/>
      <c r="F11" s="27"/>
      <c r="G11" s="27"/>
      <c r="H11" s="27"/>
      <c r="I11" s="27"/>
      <c r="J11" s="27"/>
      <c r="K11" s="27"/>
      <c r="L11" s="27"/>
      <c r="M11" s="27"/>
      <c r="N11" s="27"/>
      <c r="O11" s="27"/>
      <c r="P11" s="27"/>
      <c r="Q11" s="27"/>
      <c r="R11" s="27"/>
      <c r="S11" s="27"/>
      <c r="T11" s="27"/>
      <c r="U11" s="27"/>
      <c r="V11" s="27"/>
      <c r="W11" s="27"/>
      <c r="X11" s="27"/>
      <c r="Y11" s="27"/>
      <c r="Z11" s="27"/>
      <c r="AA11" s="27"/>
      <c r="AB11" s="27"/>
    </row>
    <row r="12" spans="1:30" ht="30" customHeight="1">
      <c r="A12" s="170"/>
      <c r="B12" s="29"/>
      <c r="C12" s="85" t="s">
        <v>62</v>
      </c>
      <c r="D12" s="27">
        <v>3</v>
      </c>
      <c r="E12" s="27">
        <v>4</v>
      </c>
      <c r="F12" s="27">
        <v>3</v>
      </c>
      <c r="G12" s="27">
        <v>4</v>
      </c>
      <c r="H12" s="27">
        <v>5</v>
      </c>
      <c r="I12" s="27">
        <v>4</v>
      </c>
      <c r="J12" s="27">
        <v>5</v>
      </c>
      <c r="K12" s="27">
        <v>4</v>
      </c>
      <c r="L12" s="27">
        <v>3</v>
      </c>
      <c r="M12" s="27">
        <v>2</v>
      </c>
      <c r="N12" s="27">
        <v>3</v>
      </c>
      <c r="O12" s="27">
        <v>3</v>
      </c>
      <c r="P12" s="27">
        <v>4</v>
      </c>
      <c r="Q12" s="27">
        <v>5</v>
      </c>
      <c r="R12" s="27">
        <v>3</v>
      </c>
      <c r="S12" s="27">
        <v>3</v>
      </c>
      <c r="T12" s="27"/>
      <c r="U12" s="27"/>
      <c r="V12" s="27"/>
      <c r="W12" s="27"/>
      <c r="X12" s="27"/>
      <c r="Y12" s="27"/>
      <c r="Z12" s="27"/>
      <c r="AA12" s="27"/>
      <c r="AB12" s="27"/>
    </row>
    <row r="13" spans="1:30" ht="26.25" customHeight="1">
      <c r="A13" s="30"/>
      <c r="B13" s="30"/>
      <c r="C13" s="77" t="s">
        <v>49</v>
      </c>
      <c r="D13" s="27"/>
      <c r="E13" s="27"/>
      <c r="F13" s="27"/>
      <c r="G13" s="27"/>
      <c r="H13" s="27"/>
      <c r="I13" s="27"/>
      <c r="J13" s="27"/>
      <c r="K13" s="27"/>
      <c r="L13" s="27"/>
      <c r="M13" s="27"/>
      <c r="N13" s="27"/>
      <c r="O13" s="27"/>
      <c r="P13" s="27"/>
      <c r="Q13" s="27"/>
      <c r="R13" s="27"/>
      <c r="S13" s="27"/>
      <c r="T13" s="27"/>
      <c r="U13" s="27"/>
      <c r="V13" s="27"/>
      <c r="W13" s="27"/>
      <c r="X13" s="27"/>
      <c r="Y13" s="27"/>
      <c r="Z13" s="27"/>
      <c r="AA13" s="27"/>
      <c r="AB13" s="27"/>
    </row>
    <row r="14" spans="1:30" ht="22.5" customHeight="1">
      <c r="A14" s="31" t="s">
        <v>20</v>
      </c>
      <c r="B14" s="174" t="s">
        <v>63</v>
      </c>
      <c r="C14" s="175"/>
      <c r="D14" s="175"/>
      <c r="E14" s="175"/>
      <c r="F14" s="175"/>
      <c r="G14" s="175"/>
      <c r="H14" s="175"/>
      <c r="I14" s="175"/>
      <c r="J14" s="175"/>
      <c r="K14" s="175"/>
      <c r="L14" s="175"/>
      <c r="M14" s="175"/>
      <c r="N14" s="175"/>
      <c r="O14" s="175"/>
      <c r="P14" s="175"/>
      <c r="Q14" s="175"/>
      <c r="R14" s="175"/>
      <c r="S14" s="175"/>
      <c r="T14" s="175"/>
      <c r="U14" s="175"/>
      <c r="V14" s="175"/>
      <c r="W14" s="175"/>
      <c r="X14" s="175"/>
      <c r="Y14" s="175"/>
      <c r="Z14" s="175"/>
      <c r="AA14" s="175"/>
      <c r="AB14" s="176"/>
    </row>
    <row r="15" spans="1:30" ht="59.25" customHeight="1">
      <c r="A15" s="32" t="s">
        <v>64</v>
      </c>
      <c r="B15" s="171"/>
      <c r="C15" s="172"/>
      <c r="D15" s="172"/>
      <c r="E15" s="172"/>
      <c r="F15" s="172"/>
      <c r="G15" s="172"/>
      <c r="H15" s="172"/>
      <c r="I15" s="172"/>
      <c r="J15" s="172"/>
      <c r="K15" s="172"/>
      <c r="L15" s="172"/>
      <c r="M15" s="172"/>
      <c r="N15" s="172"/>
      <c r="O15" s="172"/>
      <c r="P15" s="172"/>
      <c r="Q15" s="172"/>
      <c r="R15" s="172"/>
      <c r="S15" s="172"/>
      <c r="T15" s="172"/>
      <c r="U15" s="172"/>
      <c r="V15" s="172"/>
      <c r="W15" s="172"/>
      <c r="X15" s="172"/>
      <c r="Y15" s="172"/>
      <c r="Z15" s="172"/>
      <c r="AA15" s="172"/>
      <c r="AB15" s="173"/>
    </row>
    <row r="16" spans="1:30" ht="59.25" customHeight="1">
      <c r="A16" s="32" t="s">
        <v>65</v>
      </c>
      <c r="B16" s="171"/>
      <c r="C16" s="172"/>
      <c r="D16" s="172"/>
      <c r="E16" s="172"/>
      <c r="F16" s="172"/>
      <c r="G16" s="172"/>
      <c r="H16" s="172"/>
      <c r="I16" s="172"/>
      <c r="J16" s="172"/>
      <c r="K16" s="172"/>
      <c r="L16" s="172"/>
      <c r="M16" s="172"/>
      <c r="N16" s="172"/>
      <c r="O16" s="172"/>
      <c r="P16" s="172"/>
      <c r="Q16" s="172"/>
      <c r="R16" s="172"/>
      <c r="S16" s="172"/>
      <c r="T16" s="172"/>
      <c r="U16" s="172"/>
      <c r="V16" s="172"/>
      <c r="W16" s="172"/>
      <c r="X16" s="172"/>
      <c r="Y16" s="172"/>
      <c r="Z16" s="172"/>
      <c r="AA16" s="172"/>
      <c r="AB16" s="173"/>
    </row>
    <row r="17" spans="1:28" ht="59.25" customHeight="1">
      <c r="A17" s="32" t="s">
        <v>66</v>
      </c>
      <c r="B17" s="171"/>
      <c r="C17" s="172"/>
      <c r="D17" s="172"/>
      <c r="E17" s="172"/>
      <c r="F17" s="172"/>
      <c r="G17" s="172"/>
      <c r="H17" s="172"/>
      <c r="I17" s="172"/>
      <c r="J17" s="172"/>
      <c r="K17" s="172"/>
      <c r="L17" s="172"/>
      <c r="M17" s="172"/>
      <c r="N17" s="172"/>
      <c r="O17" s="172"/>
      <c r="P17" s="172"/>
      <c r="Q17" s="172"/>
      <c r="R17" s="172"/>
      <c r="S17" s="172"/>
      <c r="T17" s="172"/>
      <c r="U17" s="172"/>
      <c r="V17" s="172"/>
      <c r="W17" s="172"/>
      <c r="X17" s="172"/>
      <c r="Y17" s="172"/>
      <c r="Z17" s="172"/>
      <c r="AA17" s="172"/>
      <c r="AB17" s="173"/>
    </row>
    <row r="18" spans="1:28" ht="59.25" customHeight="1">
      <c r="A18" s="32" t="s">
        <v>67</v>
      </c>
      <c r="B18" s="171"/>
      <c r="C18" s="172"/>
      <c r="D18" s="172"/>
      <c r="E18" s="172"/>
      <c r="F18" s="172"/>
      <c r="G18" s="172"/>
      <c r="H18" s="172"/>
      <c r="I18" s="172"/>
      <c r="J18" s="172"/>
      <c r="K18" s="172"/>
      <c r="L18" s="172"/>
      <c r="M18" s="172"/>
      <c r="N18" s="172"/>
      <c r="O18" s="172"/>
      <c r="P18" s="172"/>
      <c r="Q18" s="172"/>
      <c r="R18" s="172"/>
      <c r="S18" s="172"/>
      <c r="T18" s="172"/>
      <c r="U18" s="172"/>
      <c r="V18" s="172"/>
      <c r="W18" s="172"/>
      <c r="X18" s="172"/>
      <c r="Y18" s="172"/>
      <c r="Z18" s="172"/>
      <c r="AA18" s="172"/>
      <c r="AB18" s="173"/>
    </row>
    <row r="19" spans="1:28" ht="59.25" customHeight="1">
      <c r="A19" s="32" t="s">
        <v>68</v>
      </c>
      <c r="B19" s="171"/>
      <c r="C19" s="172"/>
      <c r="D19" s="172"/>
      <c r="E19" s="172"/>
      <c r="F19" s="172"/>
      <c r="G19" s="172"/>
      <c r="H19" s="172"/>
      <c r="I19" s="172"/>
      <c r="J19" s="172"/>
      <c r="K19" s="172"/>
      <c r="L19" s="172"/>
      <c r="M19" s="172"/>
      <c r="N19" s="172"/>
      <c r="O19" s="172"/>
      <c r="P19" s="172"/>
      <c r="Q19" s="172"/>
      <c r="R19" s="172"/>
      <c r="S19" s="172"/>
      <c r="T19" s="172"/>
      <c r="U19" s="172"/>
      <c r="V19" s="172"/>
      <c r="W19" s="172"/>
      <c r="X19" s="172"/>
      <c r="Y19" s="172"/>
      <c r="Z19" s="172"/>
      <c r="AA19" s="172"/>
      <c r="AB19" s="173"/>
    </row>
    <row r="20" spans="1:28" ht="59.25" customHeight="1">
      <c r="A20" s="32" t="s">
        <v>69</v>
      </c>
      <c r="B20" s="171"/>
      <c r="C20" s="172"/>
      <c r="D20" s="172"/>
      <c r="E20" s="172"/>
      <c r="F20" s="172"/>
      <c r="G20" s="172"/>
      <c r="H20" s="172"/>
      <c r="I20" s="172"/>
      <c r="J20" s="172"/>
      <c r="K20" s="172"/>
      <c r="L20" s="172"/>
      <c r="M20" s="172"/>
      <c r="N20" s="172"/>
      <c r="O20" s="172"/>
      <c r="P20" s="172"/>
      <c r="Q20" s="172"/>
      <c r="R20" s="172"/>
      <c r="S20" s="172"/>
      <c r="T20" s="172"/>
      <c r="U20" s="172"/>
      <c r="V20" s="172"/>
      <c r="W20" s="172"/>
      <c r="X20" s="172"/>
      <c r="Y20" s="172"/>
      <c r="Z20" s="172"/>
      <c r="AA20" s="172"/>
      <c r="AB20" s="173"/>
    </row>
    <row r="21" spans="1:28" ht="59.25" customHeight="1">
      <c r="A21" s="32" t="s">
        <v>70</v>
      </c>
      <c r="B21" s="171"/>
      <c r="C21" s="172"/>
      <c r="D21" s="172"/>
      <c r="E21" s="172"/>
      <c r="F21" s="172"/>
      <c r="G21" s="172"/>
      <c r="H21" s="172"/>
      <c r="I21" s="172"/>
      <c r="J21" s="172"/>
      <c r="K21" s="172"/>
      <c r="L21" s="172"/>
      <c r="M21" s="172"/>
      <c r="N21" s="172"/>
      <c r="O21" s="172"/>
      <c r="P21" s="172"/>
      <c r="Q21" s="172"/>
      <c r="R21" s="172"/>
      <c r="S21" s="172"/>
      <c r="T21" s="172"/>
      <c r="U21" s="172"/>
      <c r="V21" s="172"/>
      <c r="W21" s="172"/>
      <c r="X21" s="172"/>
      <c r="Y21" s="172"/>
      <c r="Z21" s="172"/>
      <c r="AA21" s="172"/>
      <c r="AB21" s="173"/>
    </row>
    <row r="22" spans="1:28" ht="59.25" customHeight="1">
      <c r="A22" s="32" t="s">
        <v>71</v>
      </c>
      <c r="B22" s="171"/>
      <c r="C22" s="172"/>
      <c r="D22" s="172"/>
      <c r="E22" s="172"/>
      <c r="F22" s="172"/>
      <c r="G22" s="172"/>
      <c r="H22" s="172"/>
      <c r="I22" s="172"/>
      <c r="J22" s="172"/>
      <c r="K22" s="172"/>
      <c r="L22" s="172"/>
      <c r="M22" s="172"/>
      <c r="N22" s="172"/>
      <c r="O22" s="172"/>
      <c r="P22" s="172"/>
      <c r="Q22" s="172"/>
      <c r="R22" s="172"/>
      <c r="S22" s="172"/>
      <c r="T22" s="172"/>
      <c r="U22" s="172"/>
      <c r="V22" s="172"/>
      <c r="W22" s="172"/>
      <c r="X22" s="172"/>
      <c r="Y22" s="172"/>
      <c r="Z22" s="172"/>
      <c r="AA22" s="172"/>
      <c r="AB22" s="173"/>
    </row>
    <row r="23" spans="1:28" ht="59.25" customHeight="1">
      <c r="A23" s="32" t="s">
        <v>72</v>
      </c>
      <c r="B23" s="171"/>
      <c r="C23" s="172"/>
      <c r="D23" s="172"/>
      <c r="E23" s="172"/>
      <c r="F23" s="172"/>
      <c r="G23" s="172"/>
      <c r="H23" s="172"/>
      <c r="I23" s="172"/>
      <c r="J23" s="172"/>
      <c r="K23" s="172"/>
      <c r="L23" s="172"/>
      <c r="M23" s="172"/>
      <c r="N23" s="172"/>
      <c r="O23" s="172"/>
      <c r="P23" s="172"/>
      <c r="Q23" s="172"/>
      <c r="R23" s="172"/>
      <c r="S23" s="172"/>
      <c r="T23" s="172"/>
      <c r="U23" s="172"/>
      <c r="V23" s="172"/>
      <c r="W23" s="172"/>
      <c r="X23" s="172"/>
      <c r="Y23" s="172"/>
      <c r="Z23" s="172"/>
      <c r="AA23" s="172"/>
      <c r="AB23" s="173"/>
    </row>
    <row r="24" spans="1:28" ht="59.25" customHeight="1">
      <c r="A24" s="32" t="s">
        <v>73</v>
      </c>
      <c r="B24" s="171"/>
      <c r="C24" s="172"/>
      <c r="D24" s="172"/>
      <c r="E24" s="172"/>
      <c r="F24" s="172"/>
      <c r="G24" s="172"/>
      <c r="H24" s="172"/>
      <c r="I24" s="172"/>
      <c r="J24" s="172"/>
      <c r="K24" s="172"/>
      <c r="L24" s="172"/>
      <c r="M24" s="172"/>
      <c r="N24" s="172"/>
      <c r="O24" s="172"/>
      <c r="P24" s="172"/>
      <c r="Q24" s="172"/>
      <c r="R24" s="172"/>
      <c r="S24" s="172"/>
      <c r="T24" s="172"/>
      <c r="U24" s="172"/>
      <c r="V24" s="172"/>
      <c r="W24" s="172"/>
      <c r="X24" s="172"/>
      <c r="Y24" s="172"/>
      <c r="Z24" s="172"/>
      <c r="AA24" s="172"/>
      <c r="AB24" s="173"/>
    </row>
    <row r="25" spans="1:28" ht="59.25" customHeight="1">
      <c r="A25" s="32" t="s">
        <v>74</v>
      </c>
      <c r="B25" s="171"/>
      <c r="C25" s="172"/>
      <c r="D25" s="172"/>
      <c r="E25" s="172"/>
      <c r="F25" s="172"/>
      <c r="G25" s="172"/>
      <c r="H25" s="172"/>
      <c r="I25" s="172"/>
      <c r="J25" s="172"/>
      <c r="K25" s="172"/>
      <c r="L25" s="172"/>
      <c r="M25" s="172"/>
      <c r="N25" s="172"/>
      <c r="O25" s="172"/>
      <c r="P25" s="172"/>
      <c r="Q25" s="172"/>
      <c r="R25" s="172"/>
      <c r="S25" s="172"/>
      <c r="T25" s="172"/>
      <c r="U25" s="172"/>
      <c r="V25" s="172"/>
      <c r="W25" s="172"/>
      <c r="X25" s="172"/>
      <c r="Y25" s="172"/>
      <c r="Z25" s="172"/>
      <c r="AA25" s="172"/>
      <c r="AB25" s="173"/>
    </row>
    <row r="26" spans="1:28" ht="59.25" customHeight="1">
      <c r="A26" s="32" t="s">
        <v>75</v>
      </c>
      <c r="B26" s="171"/>
      <c r="C26" s="172"/>
      <c r="D26" s="172"/>
      <c r="E26" s="172"/>
      <c r="F26" s="172"/>
      <c r="G26" s="172"/>
      <c r="H26" s="172"/>
      <c r="I26" s="172"/>
      <c r="J26" s="172"/>
      <c r="K26" s="172"/>
      <c r="L26" s="172"/>
      <c r="M26" s="172"/>
      <c r="N26" s="172"/>
      <c r="O26" s="172"/>
      <c r="P26" s="172"/>
      <c r="Q26" s="172"/>
      <c r="R26" s="172"/>
      <c r="S26" s="172"/>
      <c r="T26" s="172"/>
      <c r="U26" s="172"/>
      <c r="V26" s="172"/>
      <c r="W26" s="172"/>
      <c r="X26" s="172"/>
      <c r="Y26" s="172"/>
      <c r="Z26" s="172"/>
      <c r="AA26" s="172"/>
      <c r="AB26" s="173"/>
    </row>
    <row r="27" spans="1:28" ht="59.25" customHeight="1">
      <c r="A27" s="32" t="s">
        <v>76</v>
      </c>
      <c r="B27" s="171"/>
      <c r="C27" s="172"/>
      <c r="D27" s="172"/>
      <c r="E27" s="172"/>
      <c r="F27" s="172"/>
      <c r="G27" s="172"/>
      <c r="H27" s="172"/>
      <c r="I27" s="172"/>
      <c r="J27" s="172"/>
      <c r="K27" s="172"/>
      <c r="L27" s="172"/>
      <c r="M27" s="172"/>
      <c r="N27" s="172"/>
      <c r="O27" s="172"/>
      <c r="P27" s="172"/>
      <c r="Q27" s="172"/>
      <c r="R27" s="172"/>
      <c r="S27" s="172"/>
      <c r="T27" s="172"/>
      <c r="U27" s="172"/>
      <c r="V27" s="172"/>
      <c r="W27" s="172"/>
      <c r="X27" s="172"/>
      <c r="Y27" s="172"/>
      <c r="Z27" s="172"/>
      <c r="AA27" s="172"/>
      <c r="AB27" s="173"/>
    </row>
    <row r="28" spans="1:28" ht="59.25" customHeight="1">
      <c r="A28" s="32" t="s">
        <v>77</v>
      </c>
      <c r="B28" s="171"/>
      <c r="C28" s="172"/>
      <c r="D28" s="172"/>
      <c r="E28" s="172"/>
      <c r="F28" s="172"/>
      <c r="G28" s="172"/>
      <c r="H28" s="172"/>
      <c r="I28" s="172"/>
      <c r="J28" s="172"/>
      <c r="K28" s="172"/>
      <c r="L28" s="172"/>
      <c r="M28" s="172"/>
      <c r="N28" s="172"/>
      <c r="O28" s="172"/>
      <c r="P28" s="172"/>
      <c r="Q28" s="172"/>
      <c r="R28" s="172"/>
      <c r="S28" s="172"/>
      <c r="T28" s="172"/>
      <c r="U28" s="172"/>
      <c r="V28" s="172"/>
      <c r="W28" s="172"/>
      <c r="X28" s="172"/>
      <c r="Y28" s="172"/>
      <c r="Z28" s="172"/>
      <c r="AA28" s="172"/>
      <c r="AB28" s="173"/>
    </row>
    <row r="29" spans="1:28" ht="59.25" customHeight="1">
      <c r="A29" s="32" t="s">
        <v>78</v>
      </c>
      <c r="B29" s="171"/>
      <c r="C29" s="172"/>
      <c r="D29" s="172"/>
      <c r="E29" s="172"/>
      <c r="F29" s="172"/>
      <c r="G29" s="172"/>
      <c r="H29" s="172"/>
      <c r="I29" s="172"/>
      <c r="J29" s="172"/>
      <c r="K29" s="172"/>
      <c r="L29" s="172"/>
      <c r="M29" s="172"/>
      <c r="N29" s="172"/>
      <c r="O29" s="172"/>
      <c r="P29" s="172"/>
      <c r="Q29" s="172"/>
      <c r="R29" s="172"/>
      <c r="S29" s="172"/>
      <c r="T29" s="172"/>
      <c r="U29" s="172"/>
      <c r="V29" s="172"/>
      <c r="W29" s="172"/>
      <c r="X29" s="172"/>
      <c r="Y29" s="172"/>
      <c r="Z29" s="172"/>
      <c r="AA29" s="172"/>
      <c r="AB29" s="173"/>
    </row>
    <row r="30" spans="1:28" ht="59.25" customHeight="1">
      <c r="A30" s="32" t="s">
        <v>79</v>
      </c>
      <c r="B30" s="171"/>
      <c r="C30" s="172"/>
      <c r="D30" s="172"/>
      <c r="E30" s="172"/>
      <c r="F30" s="172"/>
      <c r="G30" s="172"/>
      <c r="H30" s="172"/>
      <c r="I30" s="172"/>
      <c r="J30" s="172"/>
      <c r="K30" s="172"/>
      <c r="L30" s="172"/>
      <c r="M30" s="172"/>
      <c r="N30" s="172"/>
      <c r="O30" s="172"/>
      <c r="P30" s="172"/>
      <c r="Q30" s="172"/>
      <c r="R30" s="172"/>
      <c r="S30" s="172"/>
      <c r="T30" s="172"/>
      <c r="U30" s="172"/>
      <c r="V30" s="172"/>
      <c r="W30" s="172"/>
      <c r="X30" s="172"/>
      <c r="Y30" s="172"/>
      <c r="Z30" s="172"/>
      <c r="AA30" s="172"/>
      <c r="AB30" s="173"/>
    </row>
    <row r="31" spans="1:28" ht="59.25" customHeight="1">
      <c r="A31" s="32"/>
      <c r="B31" s="171"/>
      <c r="C31" s="172"/>
      <c r="D31" s="172"/>
      <c r="E31" s="172"/>
      <c r="F31" s="172"/>
      <c r="G31" s="172"/>
      <c r="H31" s="172"/>
      <c r="I31" s="172"/>
      <c r="J31" s="172"/>
      <c r="K31" s="172"/>
      <c r="L31" s="172"/>
      <c r="M31" s="172"/>
      <c r="N31" s="172"/>
      <c r="O31" s="172"/>
      <c r="P31" s="172"/>
      <c r="Q31" s="172"/>
      <c r="R31" s="172"/>
      <c r="S31" s="172"/>
      <c r="T31" s="172"/>
      <c r="U31" s="172"/>
      <c r="V31" s="172"/>
      <c r="W31" s="172"/>
      <c r="X31" s="172"/>
      <c r="Y31" s="172"/>
      <c r="Z31" s="172"/>
      <c r="AA31" s="172"/>
      <c r="AB31" s="173"/>
    </row>
    <row r="32" spans="1:28" ht="59.25" customHeight="1">
      <c r="A32" s="32"/>
      <c r="B32" s="171"/>
      <c r="C32" s="172"/>
      <c r="D32" s="172"/>
      <c r="E32" s="172"/>
      <c r="F32" s="172"/>
      <c r="G32" s="172"/>
      <c r="H32" s="172"/>
      <c r="I32" s="172"/>
      <c r="J32" s="172"/>
      <c r="K32" s="172"/>
      <c r="L32" s="172"/>
      <c r="M32" s="172"/>
      <c r="N32" s="172"/>
      <c r="O32" s="172"/>
      <c r="P32" s="172"/>
      <c r="Q32" s="172"/>
      <c r="R32" s="172"/>
      <c r="S32" s="172"/>
      <c r="T32" s="172"/>
      <c r="U32" s="172"/>
      <c r="V32" s="172"/>
      <c r="W32" s="172"/>
      <c r="X32" s="172"/>
      <c r="Y32" s="172"/>
      <c r="Z32" s="172"/>
      <c r="AA32" s="172"/>
      <c r="AB32" s="173"/>
    </row>
    <row r="33" spans="1:28" ht="59.25" customHeight="1">
      <c r="A33" s="32"/>
      <c r="B33" s="171"/>
      <c r="C33" s="172"/>
      <c r="D33" s="172"/>
      <c r="E33" s="172"/>
      <c r="F33" s="172"/>
      <c r="G33" s="172"/>
      <c r="H33" s="172"/>
      <c r="I33" s="172"/>
      <c r="J33" s="172"/>
      <c r="K33" s="172"/>
      <c r="L33" s="172"/>
      <c r="M33" s="172"/>
      <c r="N33" s="172"/>
      <c r="O33" s="172"/>
      <c r="P33" s="172"/>
      <c r="Q33" s="172"/>
      <c r="R33" s="172"/>
      <c r="S33" s="172"/>
      <c r="T33" s="172"/>
      <c r="U33" s="172"/>
      <c r="V33" s="172"/>
      <c r="W33" s="172"/>
      <c r="X33" s="172"/>
      <c r="Y33" s="172"/>
      <c r="Z33" s="172"/>
      <c r="AA33" s="172"/>
      <c r="AB33" s="173"/>
    </row>
    <row r="34" spans="1:28" ht="59.25" customHeight="1">
      <c r="A34" s="32"/>
      <c r="B34" s="171"/>
      <c r="C34" s="172"/>
      <c r="D34" s="172"/>
      <c r="E34" s="172"/>
      <c r="F34" s="172"/>
      <c r="G34" s="172"/>
      <c r="H34" s="172"/>
      <c r="I34" s="172"/>
      <c r="J34" s="172"/>
      <c r="K34" s="172"/>
      <c r="L34" s="172"/>
      <c r="M34" s="172"/>
      <c r="N34" s="172"/>
      <c r="O34" s="172"/>
      <c r="P34" s="172"/>
      <c r="Q34" s="172"/>
      <c r="R34" s="172"/>
      <c r="S34" s="172"/>
      <c r="T34" s="172"/>
      <c r="U34" s="172"/>
      <c r="V34" s="172"/>
      <c r="W34" s="172"/>
      <c r="X34" s="172"/>
      <c r="Y34" s="172"/>
      <c r="Z34" s="172"/>
      <c r="AA34" s="172"/>
      <c r="AB34" s="173"/>
    </row>
    <row r="35" spans="1:28" ht="59.25" customHeight="1">
      <c r="A35" s="32"/>
      <c r="B35" s="171"/>
      <c r="C35" s="172"/>
      <c r="D35" s="172"/>
      <c r="E35" s="172"/>
      <c r="F35" s="172"/>
      <c r="G35" s="172"/>
      <c r="H35" s="172"/>
      <c r="I35" s="172"/>
      <c r="J35" s="172"/>
      <c r="K35" s="172"/>
      <c r="L35" s="172"/>
      <c r="M35" s="172"/>
      <c r="N35" s="172"/>
      <c r="O35" s="172"/>
      <c r="P35" s="172"/>
      <c r="Q35" s="172"/>
      <c r="R35" s="172"/>
      <c r="S35" s="172"/>
      <c r="T35" s="172"/>
      <c r="U35" s="172"/>
      <c r="V35" s="172"/>
      <c r="W35" s="172"/>
      <c r="X35" s="172"/>
      <c r="Y35" s="172"/>
      <c r="Z35" s="172"/>
      <c r="AA35" s="172"/>
      <c r="AB35" s="173"/>
    </row>
    <row r="36" spans="1:28" ht="59.25" customHeight="1">
      <c r="A36" s="32"/>
      <c r="B36" s="171"/>
      <c r="C36" s="172"/>
      <c r="D36" s="172"/>
      <c r="E36" s="172"/>
      <c r="F36" s="172"/>
      <c r="G36" s="172"/>
      <c r="H36" s="172"/>
      <c r="I36" s="172"/>
      <c r="J36" s="172"/>
      <c r="K36" s="172"/>
      <c r="L36" s="172"/>
      <c r="M36" s="172"/>
      <c r="N36" s="172"/>
      <c r="O36" s="172"/>
      <c r="P36" s="172"/>
      <c r="Q36" s="172"/>
      <c r="R36" s="172"/>
      <c r="S36" s="172"/>
      <c r="T36" s="172"/>
      <c r="U36" s="172"/>
      <c r="V36" s="172"/>
      <c r="W36" s="172"/>
      <c r="X36" s="172"/>
      <c r="Y36" s="172"/>
      <c r="Z36" s="172"/>
      <c r="AA36" s="172"/>
      <c r="AB36" s="173"/>
    </row>
    <row r="37" spans="1:28" ht="59.25" customHeight="1">
      <c r="A37" s="32"/>
      <c r="B37" s="171"/>
      <c r="C37" s="172"/>
      <c r="D37" s="172"/>
      <c r="E37" s="172"/>
      <c r="F37" s="172"/>
      <c r="G37" s="172"/>
      <c r="H37" s="172"/>
      <c r="I37" s="172"/>
      <c r="J37" s="172"/>
      <c r="K37" s="172"/>
      <c r="L37" s="172"/>
      <c r="M37" s="172"/>
      <c r="N37" s="172"/>
      <c r="O37" s="172"/>
      <c r="P37" s="172"/>
      <c r="Q37" s="172"/>
      <c r="R37" s="172"/>
      <c r="S37" s="172"/>
      <c r="T37" s="172"/>
      <c r="U37" s="172"/>
      <c r="V37" s="172"/>
      <c r="W37" s="172"/>
      <c r="X37" s="172"/>
      <c r="Y37" s="172"/>
      <c r="Z37" s="172"/>
      <c r="AA37" s="172"/>
      <c r="AB37" s="173"/>
    </row>
    <row r="38" spans="1:28" ht="59.25" customHeight="1">
      <c r="A38" s="32"/>
      <c r="B38" s="171"/>
      <c r="C38" s="172"/>
      <c r="D38" s="172"/>
      <c r="E38" s="172"/>
      <c r="F38" s="172"/>
      <c r="G38" s="172"/>
      <c r="H38" s="172"/>
      <c r="I38" s="172"/>
      <c r="J38" s="172"/>
      <c r="K38" s="172"/>
      <c r="L38" s="172"/>
      <c r="M38" s="172"/>
      <c r="N38" s="172"/>
      <c r="O38" s="172"/>
      <c r="P38" s="172"/>
      <c r="Q38" s="172"/>
      <c r="R38" s="172"/>
      <c r="S38" s="172"/>
      <c r="T38" s="172"/>
      <c r="U38" s="172"/>
      <c r="V38" s="172"/>
      <c r="W38" s="172"/>
      <c r="X38" s="172"/>
      <c r="Y38" s="172"/>
      <c r="Z38" s="172"/>
      <c r="AA38" s="172"/>
      <c r="AB38" s="173"/>
    </row>
    <row r="39" spans="1:28" ht="59.25" customHeight="1">
      <c r="A39" s="32"/>
      <c r="B39" s="171"/>
      <c r="C39" s="172"/>
      <c r="D39" s="172"/>
      <c r="E39" s="172"/>
      <c r="F39" s="172"/>
      <c r="G39" s="172"/>
      <c r="H39" s="172"/>
      <c r="I39" s="172"/>
      <c r="J39" s="172"/>
      <c r="K39" s="172"/>
      <c r="L39" s="172"/>
      <c r="M39" s="172"/>
      <c r="N39" s="172"/>
      <c r="O39" s="172"/>
      <c r="P39" s="172"/>
      <c r="Q39" s="172"/>
      <c r="R39" s="172"/>
      <c r="S39" s="172"/>
      <c r="T39" s="172"/>
      <c r="U39" s="172"/>
      <c r="V39" s="172"/>
      <c r="W39" s="172"/>
      <c r="X39" s="172"/>
      <c r="Y39" s="172"/>
      <c r="Z39" s="172"/>
      <c r="AA39" s="172"/>
      <c r="AB39" s="173"/>
    </row>
    <row r="40" spans="1:28" ht="22.5" customHeight="1"/>
    <row r="41" spans="1:28" ht="22.5" customHeight="1"/>
    <row r="42" spans="1:28" ht="22.5" customHeight="1"/>
    <row r="43" spans="1:28" ht="22.5" customHeight="1"/>
    <row r="44" spans="1:28" ht="17.25" customHeight="1"/>
    <row r="45" spans="1:28" ht="17.25" customHeight="1"/>
    <row r="46" spans="1:28" ht="17.25" customHeight="1"/>
    <row r="47" spans="1:28" ht="17.25" customHeight="1"/>
    <row r="48" spans="1:28" ht="17.25" customHeight="1"/>
    <row r="49" ht="17.25" customHeight="1"/>
    <row r="50" ht="17.25" customHeight="1"/>
    <row r="51" ht="17.25" customHeight="1"/>
    <row r="52" ht="17.25" customHeight="1"/>
    <row r="53" ht="17.25" customHeight="1"/>
    <row r="54" ht="17.25" customHeight="1"/>
    <row r="55" ht="17.25" customHeight="1"/>
    <row r="56" ht="17.25" customHeight="1"/>
    <row r="57" ht="17.25" customHeight="1"/>
    <row r="58" ht="17.25" customHeight="1"/>
    <row r="59" ht="17.25" customHeight="1"/>
    <row r="60" ht="17.25" customHeight="1"/>
    <row r="61" ht="17.25" customHeight="1"/>
    <row r="62" ht="17.25" customHeight="1"/>
    <row r="63" ht="17.25" customHeight="1"/>
    <row r="64"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row r="155" ht="17.25" customHeight="1"/>
    <row r="156" ht="17.25" customHeight="1"/>
    <row r="157" ht="17.25" customHeight="1"/>
    <row r="158" ht="17.25" customHeight="1"/>
    <row r="159" ht="17.25" customHeight="1"/>
    <row r="160" ht="17.25" customHeight="1"/>
    <row r="161" ht="17.25" customHeight="1"/>
    <row r="162" ht="17.25" customHeight="1"/>
    <row r="163" ht="17.25" customHeight="1"/>
    <row r="164" ht="17.25" customHeight="1"/>
    <row r="165" ht="17.25" customHeight="1"/>
    <row r="166" ht="17.25" customHeight="1"/>
    <row r="167" ht="17.25" customHeight="1"/>
    <row r="168" ht="17.25" customHeight="1"/>
    <row r="169" ht="17.25" customHeight="1"/>
    <row r="170" ht="17.25" customHeight="1"/>
    <row r="171" ht="17.25" customHeight="1"/>
    <row r="172" ht="17.25" customHeight="1"/>
    <row r="173" ht="17.25" customHeight="1"/>
    <row r="174" ht="17.25" customHeight="1"/>
    <row r="175" ht="17.25" customHeight="1"/>
    <row r="176" ht="17.25" customHeight="1"/>
    <row r="177" ht="17.25" customHeight="1"/>
    <row r="178" ht="17.25" customHeight="1"/>
    <row r="179" ht="17.25" customHeight="1"/>
    <row r="180" ht="17.25" customHeight="1"/>
    <row r="181" ht="17.25" customHeight="1"/>
    <row r="182" ht="17.25" customHeight="1"/>
    <row r="183" ht="17.25" customHeight="1"/>
    <row r="184" ht="17.25" customHeight="1"/>
    <row r="185" ht="17.25" customHeight="1"/>
    <row r="186" ht="17.25" customHeight="1"/>
    <row r="187" ht="17.25" customHeight="1"/>
    <row r="188" ht="17.25" customHeight="1"/>
    <row r="189" ht="17.25" customHeight="1"/>
    <row r="190" ht="17.25" customHeight="1"/>
    <row r="191" ht="17.25" customHeight="1"/>
    <row r="192" ht="17.25" customHeight="1"/>
    <row r="193" ht="17.25" customHeight="1"/>
  </sheetData>
  <mergeCells count="27">
    <mergeCell ref="B38:AB38"/>
    <mergeCell ref="B39:AB39"/>
    <mergeCell ref="B23:AB23"/>
    <mergeCell ref="B24:AB24"/>
    <mergeCell ref="B14:AB14"/>
    <mergeCell ref="B15:AB15"/>
    <mergeCell ref="B16:AB16"/>
    <mergeCell ref="B17:AB17"/>
    <mergeCell ref="B18:AB18"/>
    <mergeCell ref="B19:AB19"/>
    <mergeCell ref="B20:AB20"/>
    <mergeCell ref="B21:AB21"/>
    <mergeCell ref="B22:AB22"/>
    <mergeCell ref="A2:A12"/>
    <mergeCell ref="B35:AB35"/>
    <mergeCell ref="B36:AB36"/>
    <mergeCell ref="B37:AB37"/>
    <mergeCell ref="B25:AB25"/>
    <mergeCell ref="B26:AB26"/>
    <mergeCell ref="B27:AB27"/>
    <mergeCell ref="B28:AB28"/>
    <mergeCell ref="B29:AB29"/>
    <mergeCell ref="B30:AB30"/>
    <mergeCell ref="B31:AB31"/>
    <mergeCell ref="B32:AB32"/>
    <mergeCell ref="B33:AB33"/>
    <mergeCell ref="B34:AB34"/>
  </mergeCells>
  <phoneticPr fontId="1"/>
  <dataValidations count="2">
    <dataValidation type="list" allowBlank="1" showDropDown="1" showInputMessage="1" showErrorMessage="1" sqref="D2:AB11">
      <formula1>$AC$2:$AC$5</formula1>
    </dataValidation>
    <dataValidation type="list" allowBlank="1" showDropDown="1" showInputMessage="1" showErrorMessage="1" errorTitle="文字エラー" error="半角数字1～5か、評価不能の場合は-（半角マイナス）を入れて下さい。" sqref="D12:AB13">
      <formula1>$AD$2:$AD$7</formula1>
    </dataValidation>
  </dataValidation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1"/>
  </sheetPr>
  <dimension ref="A1:AD193"/>
  <sheetViews>
    <sheetView workbookViewId="0">
      <selection sqref="A1:XFD1048576"/>
    </sheetView>
  </sheetViews>
  <sheetFormatPr defaultRowHeight="13.5"/>
  <cols>
    <col min="1" max="1" width="13.5" style="4" customWidth="1"/>
    <col min="2" max="2" width="79.125" style="4" customWidth="1"/>
    <col min="3" max="3" width="9.375" style="4" customWidth="1"/>
    <col min="4" max="28" width="4.125" style="4" customWidth="1"/>
    <col min="29" max="16384" width="9" style="4"/>
  </cols>
  <sheetData>
    <row r="1" spans="1:30" ht="85.5" customHeight="1">
      <c r="A1" s="21" t="str">
        <f ca="1">MID(CELL("filename",A1),FIND("[",CELL("filename",A1))+1,3)</f>
        <v>８－２</v>
      </c>
      <c r="B1" s="22" t="str">
        <f ca="1">RIGHT(CELL("filename",B1),LEN(CELL("filename",B1))-FIND("]",CELL("filename",B1)))</f>
        <v>保体</v>
      </c>
      <c r="C1" s="23" t="s">
        <v>60</v>
      </c>
      <c r="D1" s="24" t="str">
        <f>A15</f>
        <v>岡田 明日香</v>
      </c>
      <c r="E1" s="24" t="str">
        <f>A16</f>
        <v>荻原 知香</v>
      </c>
      <c r="F1" s="24" t="str">
        <f>A17</f>
        <v>片桐 葵</v>
      </c>
      <c r="G1" s="24" t="str">
        <f>A18</f>
        <v>上島 碧依</v>
      </c>
      <c r="H1" s="24" t="str">
        <f>A19</f>
        <v>藏井 陽菜乃</v>
      </c>
      <c r="I1" s="24" t="str">
        <f>A20</f>
        <v>小松 雅治</v>
      </c>
      <c r="J1" s="24" t="str">
        <f>A21</f>
        <v>須藤 爽斗</v>
      </c>
      <c r="K1" s="24" t="str">
        <f>A22</f>
        <v>滝 陽香</v>
      </c>
      <c r="L1" s="24" t="str">
        <f>A23</f>
        <v>永江 仁</v>
      </c>
      <c r="M1" s="24" t="str">
        <f>A24</f>
        <v>林 果菜</v>
      </c>
      <c r="N1" s="24" t="str">
        <f>A25</f>
        <v>原 維香</v>
      </c>
      <c r="O1" s="24" t="str">
        <f>A26</f>
        <v>丸山 心音</v>
      </c>
      <c r="P1" s="24" t="str">
        <f>A27</f>
        <v>森本 浩士</v>
      </c>
      <c r="Q1" s="24" t="str">
        <f>A28</f>
        <v>栁沢 美緒</v>
      </c>
      <c r="R1" s="24" t="str">
        <f>A29</f>
        <v>横山 麟太</v>
      </c>
      <c r="S1" s="24" t="str">
        <f>A30</f>
        <v>渡邊 了介</v>
      </c>
      <c r="T1" s="24">
        <f>A31</f>
        <v>0</v>
      </c>
      <c r="U1" s="24">
        <f>A32</f>
        <v>0</v>
      </c>
      <c r="V1" s="24">
        <f>A33</f>
        <v>0</v>
      </c>
      <c r="W1" s="24">
        <f>A34</f>
        <v>0</v>
      </c>
      <c r="X1" s="24">
        <f>A35</f>
        <v>0</v>
      </c>
      <c r="Y1" s="24">
        <f>A36</f>
        <v>0</v>
      </c>
      <c r="Z1" s="24">
        <f>A37</f>
        <v>0</v>
      </c>
      <c r="AA1" s="24">
        <f>A38</f>
        <v>0</v>
      </c>
      <c r="AB1" s="24">
        <f>A39</f>
        <v>0</v>
      </c>
      <c r="AC1" s="25"/>
    </row>
    <row r="2" spans="1:30" ht="22.5" customHeight="1">
      <c r="A2" s="168" t="s">
        <v>234</v>
      </c>
      <c r="B2" s="58" t="s">
        <v>133</v>
      </c>
      <c r="C2" s="26" t="s">
        <v>61</v>
      </c>
      <c r="D2" s="27" t="s">
        <v>27</v>
      </c>
      <c r="E2" s="27" t="s">
        <v>28</v>
      </c>
      <c r="F2" s="27" t="s">
        <v>31</v>
      </c>
      <c r="G2" s="27" t="s">
        <v>27</v>
      </c>
      <c r="H2" s="27" t="s">
        <v>28</v>
      </c>
      <c r="I2" s="27" t="s">
        <v>27</v>
      </c>
      <c r="J2" s="27" t="s">
        <v>27</v>
      </c>
      <c r="K2" s="27" t="s">
        <v>28</v>
      </c>
      <c r="L2" s="27" t="s">
        <v>27</v>
      </c>
      <c r="M2" s="27" t="s">
        <v>27</v>
      </c>
      <c r="N2" s="27" t="s">
        <v>31</v>
      </c>
      <c r="O2" s="27" t="s">
        <v>27</v>
      </c>
      <c r="P2" s="27" t="s">
        <v>27</v>
      </c>
      <c r="Q2" s="27" t="s">
        <v>27</v>
      </c>
      <c r="R2" s="27" t="s">
        <v>27</v>
      </c>
      <c r="S2" s="27" t="s">
        <v>27</v>
      </c>
      <c r="T2" s="27"/>
      <c r="U2" s="27"/>
      <c r="V2" s="27"/>
      <c r="W2" s="27"/>
      <c r="X2" s="27"/>
      <c r="Y2" s="27"/>
      <c r="Z2" s="27"/>
      <c r="AA2" s="27"/>
      <c r="AB2" s="27"/>
      <c r="AC2" s="28" t="s">
        <v>235</v>
      </c>
      <c r="AD2" s="28">
        <v>1</v>
      </c>
    </row>
    <row r="3" spans="1:30" ht="22.5" customHeight="1">
      <c r="A3" s="169"/>
      <c r="B3" s="58" t="s">
        <v>57</v>
      </c>
      <c r="C3" s="26" t="s">
        <v>61</v>
      </c>
      <c r="D3" s="27" t="s">
        <v>28</v>
      </c>
      <c r="E3" s="27" t="s">
        <v>28</v>
      </c>
      <c r="F3" s="27" t="s">
        <v>27</v>
      </c>
      <c r="G3" s="27" t="s">
        <v>28</v>
      </c>
      <c r="H3" s="27" t="s">
        <v>28</v>
      </c>
      <c r="I3" s="27" t="s">
        <v>28</v>
      </c>
      <c r="J3" s="27" t="s">
        <v>28</v>
      </c>
      <c r="K3" s="27" t="s">
        <v>28</v>
      </c>
      <c r="L3" s="27" t="s">
        <v>28</v>
      </c>
      <c r="M3" s="27" t="s">
        <v>28</v>
      </c>
      <c r="N3" s="27" t="s">
        <v>27</v>
      </c>
      <c r="O3" s="27" t="s">
        <v>28</v>
      </c>
      <c r="P3" s="27" t="s">
        <v>27</v>
      </c>
      <c r="Q3" s="27" t="s">
        <v>28</v>
      </c>
      <c r="R3" s="27" t="s">
        <v>28</v>
      </c>
      <c r="S3" s="27" t="s">
        <v>28</v>
      </c>
      <c r="T3" s="27"/>
      <c r="U3" s="27"/>
      <c r="V3" s="27"/>
      <c r="W3" s="27"/>
      <c r="X3" s="27"/>
      <c r="Y3" s="27"/>
      <c r="Z3" s="27"/>
      <c r="AA3" s="27"/>
      <c r="AB3" s="27"/>
      <c r="AC3" s="28" t="s">
        <v>236</v>
      </c>
      <c r="AD3" s="28">
        <v>2</v>
      </c>
    </row>
    <row r="4" spans="1:30" ht="22.5" customHeight="1">
      <c r="A4" s="169"/>
      <c r="B4" s="58" t="s">
        <v>52</v>
      </c>
      <c r="C4" s="26" t="s">
        <v>61</v>
      </c>
      <c r="D4" s="27" t="s">
        <v>28</v>
      </c>
      <c r="E4" s="27" t="s">
        <v>28</v>
      </c>
      <c r="F4" s="27" t="s">
        <v>27</v>
      </c>
      <c r="G4" s="27" t="s">
        <v>28</v>
      </c>
      <c r="H4" s="27" t="s">
        <v>28</v>
      </c>
      <c r="I4" s="27" t="s">
        <v>28</v>
      </c>
      <c r="J4" s="27" t="s">
        <v>28</v>
      </c>
      <c r="K4" s="27" t="s">
        <v>28</v>
      </c>
      <c r="L4" s="27" t="s">
        <v>27</v>
      </c>
      <c r="M4" s="27" t="s">
        <v>28</v>
      </c>
      <c r="N4" s="27" t="s">
        <v>27</v>
      </c>
      <c r="O4" s="27" t="s">
        <v>28</v>
      </c>
      <c r="P4" s="27" t="s">
        <v>27</v>
      </c>
      <c r="Q4" s="27" t="s">
        <v>28</v>
      </c>
      <c r="R4" s="27" t="s">
        <v>28</v>
      </c>
      <c r="S4" s="27" t="s">
        <v>28</v>
      </c>
      <c r="T4" s="27"/>
      <c r="U4" s="27"/>
      <c r="V4" s="27"/>
      <c r="W4" s="27"/>
      <c r="X4" s="27"/>
      <c r="Y4" s="27"/>
      <c r="Z4" s="27"/>
      <c r="AA4" s="27"/>
      <c r="AB4" s="27"/>
      <c r="AC4" s="28" t="s">
        <v>203</v>
      </c>
      <c r="AD4" s="28">
        <v>3</v>
      </c>
    </row>
    <row r="5" spans="1:30" ht="22.5" customHeight="1">
      <c r="A5" s="169"/>
      <c r="B5" s="78"/>
      <c r="C5" s="26" t="s">
        <v>61</v>
      </c>
      <c r="D5" s="27"/>
      <c r="E5" s="27"/>
      <c r="F5" s="27"/>
      <c r="G5" s="27"/>
      <c r="H5" s="27"/>
      <c r="I5" s="27"/>
      <c r="J5" s="27"/>
      <c r="K5" s="27"/>
      <c r="L5" s="27"/>
      <c r="M5" s="27"/>
      <c r="N5" s="27"/>
      <c r="O5" s="27"/>
      <c r="P5" s="27"/>
      <c r="Q5" s="27"/>
      <c r="R5" s="27"/>
      <c r="S5" s="27"/>
      <c r="T5" s="27"/>
      <c r="U5" s="27"/>
      <c r="V5" s="27"/>
      <c r="W5" s="27"/>
      <c r="X5" s="27"/>
      <c r="Y5" s="27"/>
      <c r="Z5" s="27"/>
      <c r="AA5" s="27"/>
      <c r="AB5" s="27"/>
      <c r="AC5" s="28" t="s">
        <v>205</v>
      </c>
      <c r="AD5" s="28">
        <v>4</v>
      </c>
    </row>
    <row r="6" spans="1:30" ht="22.5" customHeight="1">
      <c r="A6" s="169"/>
      <c r="B6" s="78"/>
      <c r="C6" s="26" t="s">
        <v>61</v>
      </c>
      <c r="D6" s="27"/>
      <c r="E6" s="27"/>
      <c r="F6" s="27"/>
      <c r="G6" s="27"/>
      <c r="H6" s="27"/>
      <c r="I6" s="27"/>
      <c r="J6" s="27"/>
      <c r="K6" s="27"/>
      <c r="L6" s="27"/>
      <c r="M6" s="27"/>
      <c r="N6" s="27"/>
      <c r="O6" s="27"/>
      <c r="P6" s="27"/>
      <c r="Q6" s="27"/>
      <c r="R6" s="27"/>
      <c r="S6" s="27"/>
      <c r="T6" s="27"/>
      <c r="U6" s="27"/>
      <c r="V6" s="27"/>
      <c r="W6" s="27"/>
      <c r="X6" s="27"/>
      <c r="Y6" s="27"/>
      <c r="Z6" s="27"/>
      <c r="AA6" s="27"/>
      <c r="AB6" s="27"/>
      <c r="AC6" s="28"/>
      <c r="AD6" s="28">
        <v>5</v>
      </c>
    </row>
    <row r="7" spans="1:30" ht="22.5" customHeight="1">
      <c r="A7" s="169"/>
      <c r="B7" s="78"/>
      <c r="C7" s="26" t="s">
        <v>61</v>
      </c>
      <c r="D7" s="27"/>
      <c r="E7" s="27"/>
      <c r="F7" s="27"/>
      <c r="G7" s="27"/>
      <c r="H7" s="27"/>
      <c r="I7" s="27"/>
      <c r="J7" s="27"/>
      <c r="K7" s="27"/>
      <c r="L7" s="27"/>
      <c r="M7" s="27"/>
      <c r="N7" s="27"/>
      <c r="O7" s="27"/>
      <c r="P7" s="27"/>
      <c r="Q7" s="27"/>
      <c r="R7" s="27"/>
      <c r="S7" s="27"/>
      <c r="T7" s="27"/>
      <c r="U7" s="27"/>
      <c r="V7" s="27"/>
      <c r="W7" s="27"/>
      <c r="X7" s="27"/>
      <c r="Y7" s="27"/>
      <c r="Z7" s="27"/>
      <c r="AA7" s="27"/>
      <c r="AB7" s="27"/>
      <c r="AC7" s="28"/>
      <c r="AD7" s="28" t="s">
        <v>237</v>
      </c>
    </row>
    <row r="8" spans="1:30" ht="22.5" customHeight="1">
      <c r="A8" s="169"/>
      <c r="B8" s="78"/>
      <c r="C8" s="26" t="s">
        <v>61</v>
      </c>
      <c r="D8" s="27"/>
      <c r="E8" s="27"/>
      <c r="F8" s="27"/>
      <c r="G8" s="27"/>
      <c r="H8" s="27"/>
      <c r="I8" s="27"/>
      <c r="J8" s="27"/>
      <c r="K8" s="27"/>
      <c r="L8" s="27"/>
      <c r="M8" s="27"/>
      <c r="N8" s="27"/>
      <c r="O8" s="27"/>
      <c r="P8" s="27"/>
      <c r="Q8" s="27"/>
      <c r="R8" s="27"/>
      <c r="S8" s="27"/>
      <c r="T8" s="27"/>
      <c r="U8" s="27"/>
      <c r="V8" s="27"/>
      <c r="W8" s="27"/>
      <c r="X8" s="27"/>
      <c r="Y8" s="27"/>
      <c r="Z8" s="27"/>
      <c r="AA8" s="27"/>
      <c r="AB8" s="27"/>
    </row>
    <row r="9" spans="1:30" ht="22.5" customHeight="1">
      <c r="A9" s="169"/>
      <c r="B9" s="78"/>
      <c r="C9" s="26" t="s">
        <v>61</v>
      </c>
      <c r="D9" s="27"/>
      <c r="E9" s="27"/>
      <c r="F9" s="27"/>
      <c r="G9" s="27"/>
      <c r="H9" s="27"/>
      <c r="I9" s="27"/>
      <c r="J9" s="27"/>
      <c r="K9" s="27"/>
      <c r="L9" s="27"/>
      <c r="M9" s="27"/>
      <c r="N9" s="27"/>
      <c r="O9" s="27"/>
      <c r="P9" s="27"/>
      <c r="Q9" s="27"/>
      <c r="R9" s="27"/>
      <c r="S9" s="27"/>
      <c r="T9" s="27"/>
      <c r="U9" s="27"/>
      <c r="V9" s="27"/>
      <c r="W9" s="27"/>
      <c r="X9" s="27"/>
      <c r="Y9" s="27"/>
      <c r="Z9" s="27"/>
      <c r="AA9" s="27"/>
      <c r="AB9" s="27"/>
    </row>
    <row r="10" spans="1:30" ht="22.5" customHeight="1">
      <c r="A10" s="169"/>
      <c r="B10" s="78"/>
      <c r="C10" s="26" t="s">
        <v>61</v>
      </c>
      <c r="D10" s="27"/>
      <c r="E10" s="27"/>
      <c r="F10" s="27"/>
      <c r="G10" s="27"/>
      <c r="H10" s="27"/>
      <c r="I10" s="27"/>
      <c r="J10" s="27"/>
      <c r="K10" s="27"/>
      <c r="L10" s="27"/>
      <c r="M10" s="27"/>
      <c r="N10" s="27"/>
      <c r="O10" s="27"/>
      <c r="P10" s="27"/>
      <c r="Q10" s="27"/>
      <c r="R10" s="27"/>
      <c r="S10" s="27"/>
      <c r="T10" s="27"/>
      <c r="U10" s="27"/>
      <c r="V10" s="27"/>
      <c r="W10" s="27"/>
      <c r="X10" s="27"/>
      <c r="Y10" s="27"/>
      <c r="Z10" s="27"/>
      <c r="AA10" s="27"/>
      <c r="AB10" s="27"/>
    </row>
    <row r="11" spans="1:30" ht="22.5" customHeight="1">
      <c r="A11" s="169"/>
      <c r="B11" s="78"/>
      <c r="C11" s="26" t="s">
        <v>61</v>
      </c>
      <c r="D11" s="27"/>
      <c r="E11" s="27"/>
      <c r="F11" s="27"/>
      <c r="G11" s="27"/>
      <c r="H11" s="27"/>
      <c r="I11" s="27"/>
      <c r="J11" s="27"/>
      <c r="K11" s="27"/>
      <c r="L11" s="27"/>
      <c r="M11" s="27"/>
      <c r="N11" s="27"/>
      <c r="O11" s="27"/>
      <c r="P11" s="27"/>
      <c r="Q11" s="27"/>
      <c r="R11" s="27"/>
      <c r="S11" s="27"/>
      <c r="T11" s="27"/>
      <c r="U11" s="27"/>
      <c r="V11" s="27"/>
      <c r="W11" s="27"/>
      <c r="X11" s="27"/>
      <c r="Y11" s="27"/>
      <c r="Z11" s="27"/>
      <c r="AA11" s="27"/>
      <c r="AB11" s="27"/>
    </row>
    <row r="12" spans="1:30" ht="30" customHeight="1">
      <c r="A12" s="170"/>
      <c r="B12" s="29"/>
      <c r="C12" s="85" t="s">
        <v>62</v>
      </c>
      <c r="D12" s="27">
        <v>4</v>
      </c>
      <c r="E12" s="27">
        <v>5</v>
      </c>
      <c r="F12" s="27">
        <v>2</v>
      </c>
      <c r="G12" s="27">
        <v>4</v>
      </c>
      <c r="H12" s="27">
        <v>5</v>
      </c>
      <c r="I12" s="27">
        <v>4</v>
      </c>
      <c r="J12" s="27">
        <v>4</v>
      </c>
      <c r="K12" s="27">
        <v>5</v>
      </c>
      <c r="L12" s="27">
        <v>3</v>
      </c>
      <c r="M12" s="27">
        <v>4</v>
      </c>
      <c r="N12" s="27">
        <v>2</v>
      </c>
      <c r="O12" s="27">
        <v>4</v>
      </c>
      <c r="P12" s="27">
        <v>3</v>
      </c>
      <c r="Q12" s="27">
        <v>4</v>
      </c>
      <c r="R12" s="27">
        <v>4</v>
      </c>
      <c r="S12" s="27">
        <v>4</v>
      </c>
      <c r="T12" s="27"/>
      <c r="U12" s="27"/>
      <c r="V12" s="27"/>
      <c r="W12" s="27"/>
      <c r="X12" s="27"/>
      <c r="Y12" s="27"/>
      <c r="Z12" s="27"/>
      <c r="AA12" s="27"/>
      <c r="AB12" s="27"/>
    </row>
    <row r="13" spans="1:30" ht="26.25" customHeight="1">
      <c r="A13" s="30"/>
      <c r="B13" s="30"/>
      <c r="C13" s="77" t="s">
        <v>49</v>
      </c>
      <c r="D13" s="27"/>
      <c r="E13" s="27"/>
      <c r="F13" s="27"/>
      <c r="G13" s="27"/>
      <c r="H13" s="27"/>
      <c r="I13" s="27"/>
      <c r="J13" s="27"/>
      <c r="K13" s="27"/>
      <c r="L13" s="27"/>
      <c r="M13" s="27"/>
      <c r="N13" s="27"/>
      <c r="O13" s="27"/>
      <c r="P13" s="27"/>
      <c r="Q13" s="27"/>
      <c r="R13" s="27"/>
      <c r="S13" s="27"/>
      <c r="T13" s="27"/>
      <c r="U13" s="27"/>
      <c r="V13" s="27"/>
      <c r="W13" s="27"/>
      <c r="X13" s="27"/>
      <c r="Y13" s="27"/>
      <c r="Z13" s="27"/>
      <c r="AA13" s="27"/>
      <c r="AB13" s="27"/>
    </row>
    <row r="14" spans="1:30" ht="22.5" customHeight="1">
      <c r="A14" s="31" t="s">
        <v>20</v>
      </c>
      <c r="B14" s="174" t="s">
        <v>63</v>
      </c>
      <c r="C14" s="175"/>
      <c r="D14" s="175"/>
      <c r="E14" s="175"/>
      <c r="F14" s="175"/>
      <c r="G14" s="175"/>
      <c r="H14" s="175"/>
      <c r="I14" s="175"/>
      <c r="J14" s="175"/>
      <c r="K14" s="175"/>
      <c r="L14" s="175"/>
      <c r="M14" s="175"/>
      <c r="N14" s="175"/>
      <c r="O14" s="175"/>
      <c r="P14" s="175"/>
      <c r="Q14" s="175"/>
      <c r="R14" s="175"/>
      <c r="S14" s="175"/>
      <c r="T14" s="175"/>
      <c r="U14" s="175"/>
      <c r="V14" s="175"/>
      <c r="W14" s="175"/>
      <c r="X14" s="175"/>
      <c r="Y14" s="175"/>
      <c r="Z14" s="175"/>
      <c r="AA14" s="175"/>
      <c r="AB14" s="176"/>
    </row>
    <row r="15" spans="1:30" ht="59.25" customHeight="1">
      <c r="A15" s="32" t="s">
        <v>64</v>
      </c>
      <c r="B15" s="171"/>
      <c r="C15" s="172"/>
      <c r="D15" s="172"/>
      <c r="E15" s="172"/>
      <c r="F15" s="172"/>
      <c r="G15" s="172"/>
      <c r="H15" s="172"/>
      <c r="I15" s="172"/>
      <c r="J15" s="172"/>
      <c r="K15" s="172"/>
      <c r="L15" s="172"/>
      <c r="M15" s="172"/>
      <c r="N15" s="172"/>
      <c r="O15" s="172"/>
      <c r="P15" s="172"/>
      <c r="Q15" s="172"/>
      <c r="R15" s="172"/>
      <c r="S15" s="172"/>
      <c r="T15" s="172"/>
      <c r="U15" s="172"/>
      <c r="V15" s="172"/>
      <c r="W15" s="172"/>
      <c r="X15" s="172"/>
      <c r="Y15" s="172"/>
      <c r="Z15" s="172"/>
      <c r="AA15" s="172"/>
      <c r="AB15" s="173"/>
    </row>
    <row r="16" spans="1:30" ht="59.25" customHeight="1">
      <c r="A16" s="32" t="s">
        <v>65</v>
      </c>
      <c r="B16" s="171"/>
      <c r="C16" s="172"/>
      <c r="D16" s="172"/>
      <c r="E16" s="172"/>
      <c r="F16" s="172"/>
      <c r="G16" s="172"/>
      <c r="H16" s="172"/>
      <c r="I16" s="172"/>
      <c r="J16" s="172"/>
      <c r="K16" s="172"/>
      <c r="L16" s="172"/>
      <c r="M16" s="172"/>
      <c r="N16" s="172"/>
      <c r="O16" s="172"/>
      <c r="P16" s="172"/>
      <c r="Q16" s="172"/>
      <c r="R16" s="172"/>
      <c r="S16" s="172"/>
      <c r="T16" s="172"/>
      <c r="U16" s="172"/>
      <c r="V16" s="172"/>
      <c r="W16" s="172"/>
      <c r="X16" s="172"/>
      <c r="Y16" s="172"/>
      <c r="Z16" s="172"/>
      <c r="AA16" s="172"/>
      <c r="AB16" s="173"/>
    </row>
    <row r="17" spans="1:28" ht="59.25" customHeight="1">
      <c r="A17" s="32" t="s">
        <v>66</v>
      </c>
      <c r="B17" s="171"/>
      <c r="C17" s="172"/>
      <c r="D17" s="172"/>
      <c r="E17" s="172"/>
      <c r="F17" s="172"/>
      <c r="G17" s="172"/>
      <c r="H17" s="172"/>
      <c r="I17" s="172"/>
      <c r="J17" s="172"/>
      <c r="K17" s="172"/>
      <c r="L17" s="172"/>
      <c r="M17" s="172"/>
      <c r="N17" s="172"/>
      <c r="O17" s="172"/>
      <c r="P17" s="172"/>
      <c r="Q17" s="172"/>
      <c r="R17" s="172"/>
      <c r="S17" s="172"/>
      <c r="T17" s="172"/>
      <c r="U17" s="172"/>
      <c r="V17" s="172"/>
      <c r="W17" s="172"/>
      <c r="X17" s="172"/>
      <c r="Y17" s="172"/>
      <c r="Z17" s="172"/>
      <c r="AA17" s="172"/>
      <c r="AB17" s="173"/>
    </row>
    <row r="18" spans="1:28" ht="59.25" customHeight="1">
      <c r="A18" s="32" t="s">
        <v>67</v>
      </c>
      <c r="B18" s="171"/>
      <c r="C18" s="172"/>
      <c r="D18" s="172"/>
      <c r="E18" s="172"/>
      <c r="F18" s="172"/>
      <c r="G18" s="172"/>
      <c r="H18" s="172"/>
      <c r="I18" s="172"/>
      <c r="J18" s="172"/>
      <c r="K18" s="172"/>
      <c r="L18" s="172"/>
      <c r="M18" s="172"/>
      <c r="N18" s="172"/>
      <c r="O18" s="172"/>
      <c r="P18" s="172"/>
      <c r="Q18" s="172"/>
      <c r="R18" s="172"/>
      <c r="S18" s="172"/>
      <c r="T18" s="172"/>
      <c r="U18" s="172"/>
      <c r="V18" s="172"/>
      <c r="W18" s="172"/>
      <c r="X18" s="172"/>
      <c r="Y18" s="172"/>
      <c r="Z18" s="172"/>
      <c r="AA18" s="172"/>
      <c r="AB18" s="173"/>
    </row>
    <row r="19" spans="1:28" ht="59.25" customHeight="1">
      <c r="A19" s="32" t="s">
        <v>68</v>
      </c>
      <c r="B19" s="171"/>
      <c r="C19" s="172"/>
      <c r="D19" s="172"/>
      <c r="E19" s="172"/>
      <c r="F19" s="172"/>
      <c r="G19" s="172"/>
      <c r="H19" s="172"/>
      <c r="I19" s="172"/>
      <c r="J19" s="172"/>
      <c r="K19" s="172"/>
      <c r="L19" s="172"/>
      <c r="M19" s="172"/>
      <c r="N19" s="172"/>
      <c r="O19" s="172"/>
      <c r="P19" s="172"/>
      <c r="Q19" s="172"/>
      <c r="R19" s="172"/>
      <c r="S19" s="172"/>
      <c r="T19" s="172"/>
      <c r="U19" s="172"/>
      <c r="V19" s="172"/>
      <c r="W19" s="172"/>
      <c r="X19" s="172"/>
      <c r="Y19" s="172"/>
      <c r="Z19" s="172"/>
      <c r="AA19" s="172"/>
      <c r="AB19" s="173"/>
    </row>
    <row r="20" spans="1:28" ht="59.25" customHeight="1">
      <c r="A20" s="32" t="s">
        <v>69</v>
      </c>
      <c r="B20" s="171"/>
      <c r="C20" s="172"/>
      <c r="D20" s="172"/>
      <c r="E20" s="172"/>
      <c r="F20" s="172"/>
      <c r="G20" s="172"/>
      <c r="H20" s="172"/>
      <c r="I20" s="172"/>
      <c r="J20" s="172"/>
      <c r="K20" s="172"/>
      <c r="L20" s="172"/>
      <c r="M20" s="172"/>
      <c r="N20" s="172"/>
      <c r="O20" s="172"/>
      <c r="P20" s="172"/>
      <c r="Q20" s="172"/>
      <c r="R20" s="172"/>
      <c r="S20" s="172"/>
      <c r="T20" s="172"/>
      <c r="U20" s="172"/>
      <c r="V20" s="172"/>
      <c r="W20" s="172"/>
      <c r="X20" s="172"/>
      <c r="Y20" s="172"/>
      <c r="Z20" s="172"/>
      <c r="AA20" s="172"/>
      <c r="AB20" s="173"/>
    </row>
    <row r="21" spans="1:28" ht="59.25" customHeight="1">
      <c r="A21" s="32" t="s">
        <v>70</v>
      </c>
      <c r="B21" s="171"/>
      <c r="C21" s="172"/>
      <c r="D21" s="172"/>
      <c r="E21" s="172"/>
      <c r="F21" s="172"/>
      <c r="G21" s="172"/>
      <c r="H21" s="172"/>
      <c r="I21" s="172"/>
      <c r="J21" s="172"/>
      <c r="K21" s="172"/>
      <c r="L21" s="172"/>
      <c r="M21" s="172"/>
      <c r="N21" s="172"/>
      <c r="O21" s="172"/>
      <c r="P21" s="172"/>
      <c r="Q21" s="172"/>
      <c r="R21" s="172"/>
      <c r="S21" s="172"/>
      <c r="T21" s="172"/>
      <c r="U21" s="172"/>
      <c r="V21" s="172"/>
      <c r="W21" s="172"/>
      <c r="X21" s="172"/>
      <c r="Y21" s="172"/>
      <c r="Z21" s="172"/>
      <c r="AA21" s="172"/>
      <c r="AB21" s="173"/>
    </row>
    <row r="22" spans="1:28" ht="59.25" customHeight="1">
      <c r="A22" s="32" t="s">
        <v>71</v>
      </c>
      <c r="B22" s="171"/>
      <c r="C22" s="172"/>
      <c r="D22" s="172"/>
      <c r="E22" s="172"/>
      <c r="F22" s="172"/>
      <c r="G22" s="172"/>
      <c r="H22" s="172"/>
      <c r="I22" s="172"/>
      <c r="J22" s="172"/>
      <c r="K22" s="172"/>
      <c r="L22" s="172"/>
      <c r="M22" s="172"/>
      <c r="N22" s="172"/>
      <c r="O22" s="172"/>
      <c r="P22" s="172"/>
      <c r="Q22" s="172"/>
      <c r="R22" s="172"/>
      <c r="S22" s="172"/>
      <c r="T22" s="172"/>
      <c r="U22" s="172"/>
      <c r="V22" s="172"/>
      <c r="W22" s="172"/>
      <c r="X22" s="172"/>
      <c r="Y22" s="172"/>
      <c r="Z22" s="172"/>
      <c r="AA22" s="172"/>
      <c r="AB22" s="173"/>
    </row>
    <row r="23" spans="1:28" ht="59.25" customHeight="1">
      <c r="A23" s="32" t="s">
        <v>72</v>
      </c>
      <c r="B23" s="171"/>
      <c r="C23" s="172"/>
      <c r="D23" s="172"/>
      <c r="E23" s="172"/>
      <c r="F23" s="172"/>
      <c r="G23" s="172"/>
      <c r="H23" s="172"/>
      <c r="I23" s="172"/>
      <c r="J23" s="172"/>
      <c r="K23" s="172"/>
      <c r="L23" s="172"/>
      <c r="M23" s="172"/>
      <c r="N23" s="172"/>
      <c r="O23" s="172"/>
      <c r="P23" s="172"/>
      <c r="Q23" s="172"/>
      <c r="R23" s="172"/>
      <c r="S23" s="172"/>
      <c r="T23" s="172"/>
      <c r="U23" s="172"/>
      <c r="V23" s="172"/>
      <c r="W23" s="172"/>
      <c r="X23" s="172"/>
      <c r="Y23" s="172"/>
      <c r="Z23" s="172"/>
      <c r="AA23" s="172"/>
      <c r="AB23" s="173"/>
    </row>
    <row r="24" spans="1:28" ht="59.25" customHeight="1">
      <c r="A24" s="32" t="s">
        <v>73</v>
      </c>
      <c r="B24" s="171"/>
      <c r="C24" s="172"/>
      <c r="D24" s="172"/>
      <c r="E24" s="172"/>
      <c r="F24" s="172"/>
      <c r="G24" s="172"/>
      <c r="H24" s="172"/>
      <c r="I24" s="172"/>
      <c r="J24" s="172"/>
      <c r="K24" s="172"/>
      <c r="L24" s="172"/>
      <c r="M24" s="172"/>
      <c r="N24" s="172"/>
      <c r="O24" s="172"/>
      <c r="P24" s="172"/>
      <c r="Q24" s="172"/>
      <c r="R24" s="172"/>
      <c r="S24" s="172"/>
      <c r="T24" s="172"/>
      <c r="U24" s="172"/>
      <c r="V24" s="172"/>
      <c r="W24" s="172"/>
      <c r="X24" s="172"/>
      <c r="Y24" s="172"/>
      <c r="Z24" s="172"/>
      <c r="AA24" s="172"/>
      <c r="AB24" s="173"/>
    </row>
    <row r="25" spans="1:28" ht="59.25" customHeight="1">
      <c r="A25" s="32" t="s">
        <v>74</v>
      </c>
      <c r="B25" s="171"/>
      <c r="C25" s="172"/>
      <c r="D25" s="172"/>
      <c r="E25" s="172"/>
      <c r="F25" s="172"/>
      <c r="G25" s="172"/>
      <c r="H25" s="172"/>
      <c r="I25" s="172"/>
      <c r="J25" s="172"/>
      <c r="K25" s="172"/>
      <c r="L25" s="172"/>
      <c r="M25" s="172"/>
      <c r="N25" s="172"/>
      <c r="O25" s="172"/>
      <c r="P25" s="172"/>
      <c r="Q25" s="172"/>
      <c r="R25" s="172"/>
      <c r="S25" s="172"/>
      <c r="T25" s="172"/>
      <c r="U25" s="172"/>
      <c r="V25" s="172"/>
      <c r="W25" s="172"/>
      <c r="X25" s="172"/>
      <c r="Y25" s="172"/>
      <c r="Z25" s="172"/>
      <c r="AA25" s="172"/>
      <c r="AB25" s="173"/>
    </row>
    <row r="26" spans="1:28" ht="59.25" customHeight="1">
      <c r="A26" s="32" t="s">
        <v>75</v>
      </c>
      <c r="B26" s="171"/>
      <c r="C26" s="172"/>
      <c r="D26" s="172"/>
      <c r="E26" s="172"/>
      <c r="F26" s="172"/>
      <c r="G26" s="172"/>
      <c r="H26" s="172"/>
      <c r="I26" s="172"/>
      <c r="J26" s="172"/>
      <c r="K26" s="172"/>
      <c r="L26" s="172"/>
      <c r="M26" s="172"/>
      <c r="N26" s="172"/>
      <c r="O26" s="172"/>
      <c r="P26" s="172"/>
      <c r="Q26" s="172"/>
      <c r="R26" s="172"/>
      <c r="S26" s="172"/>
      <c r="T26" s="172"/>
      <c r="U26" s="172"/>
      <c r="V26" s="172"/>
      <c r="W26" s="172"/>
      <c r="X26" s="172"/>
      <c r="Y26" s="172"/>
      <c r="Z26" s="172"/>
      <c r="AA26" s="172"/>
      <c r="AB26" s="173"/>
    </row>
    <row r="27" spans="1:28" ht="59.25" customHeight="1">
      <c r="A27" s="32" t="s">
        <v>76</v>
      </c>
      <c r="B27" s="171"/>
      <c r="C27" s="172"/>
      <c r="D27" s="172"/>
      <c r="E27" s="172"/>
      <c r="F27" s="172"/>
      <c r="G27" s="172"/>
      <c r="H27" s="172"/>
      <c r="I27" s="172"/>
      <c r="J27" s="172"/>
      <c r="K27" s="172"/>
      <c r="L27" s="172"/>
      <c r="M27" s="172"/>
      <c r="N27" s="172"/>
      <c r="O27" s="172"/>
      <c r="P27" s="172"/>
      <c r="Q27" s="172"/>
      <c r="R27" s="172"/>
      <c r="S27" s="172"/>
      <c r="T27" s="172"/>
      <c r="U27" s="172"/>
      <c r="V27" s="172"/>
      <c r="W27" s="172"/>
      <c r="X27" s="172"/>
      <c r="Y27" s="172"/>
      <c r="Z27" s="172"/>
      <c r="AA27" s="172"/>
      <c r="AB27" s="173"/>
    </row>
    <row r="28" spans="1:28" ht="59.25" customHeight="1">
      <c r="A28" s="32" t="s">
        <v>77</v>
      </c>
      <c r="B28" s="171"/>
      <c r="C28" s="172"/>
      <c r="D28" s="172"/>
      <c r="E28" s="172"/>
      <c r="F28" s="172"/>
      <c r="G28" s="172"/>
      <c r="H28" s="172"/>
      <c r="I28" s="172"/>
      <c r="J28" s="172"/>
      <c r="K28" s="172"/>
      <c r="L28" s="172"/>
      <c r="M28" s="172"/>
      <c r="N28" s="172"/>
      <c r="O28" s="172"/>
      <c r="P28" s="172"/>
      <c r="Q28" s="172"/>
      <c r="R28" s="172"/>
      <c r="S28" s="172"/>
      <c r="T28" s="172"/>
      <c r="U28" s="172"/>
      <c r="V28" s="172"/>
      <c r="W28" s="172"/>
      <c r="X28" s="172"/>
      <c r="Y28" s="172"/>
      <c r="Z28" s="172"/>
      <c r="AA28" s="172"/>
      <c r="AB28" s="173"/>
    </row>
    <row r="29" spans="1:28" ht="59.25" customHeight="1">
      <c r="A29" s="32" t="s">
        <v>78</v>
      </c>
      <c r="B29" s="171"/>
      <c r="C29" s="172"/>
      <c r="D29" s="172"/>
      <c r="E29" s="172"/>
      <c r="F29" s="172"/>
      <c r="G29" s="172"/>
      <c r="H29" s="172"/>
      <c r="I29" s="172"/>
      <c r="J29" s="172"/>
      <c r="K29" s="172"/>
      <c r="L29" s="172"/>
      <c r="M29" s="172"/>
      <c r="N29" s="172"/>
      <c r="O29" s="172"/>
      <c r="P29" s="172"/>
      <c r="Q29" s="172"/>
      <c r="R29" s="172"/>
      <c r="S29" s="172"/>
      <c r="T29" s="172"/>
      <c r="U29" s="172"/>
      <c r="V29" s="172"/>
      <c r="W29" s="172"/>
      <c r="X29" s="172"/>
      <c r="Y29" s="172"/>
      <c r="Z29" s="172"/>
      <c r="AA29" s="172"/>
      <c r="AB29" s="173"/>
    </row>
    <row r="30" spans="1:28" ht="59.25" customHeight="1">
      <c r="A30" s="32" t="s">
        <v>79</v>
      </c>
      <c r="B30" s="171"/>
      <c r="C30" s="172"/>
      <c r="D30" s="172"/>
      <c r="E30" s="172"/>
      <c r="F30" s="172"/>
      <c r="G30" s="172"/>
      <c r="H30" s="172"/>
      <c r="I30" s="172"/>
      <c r="J30" s="172"/>
      <c r="K30" s="172"/>
      <c r="L30" s="172"/>
      <c r="M30" s="172"/>
      <c r="N30" s="172"/>
      <c r="O30" s="172"/>
      <c r="P30" s="172"/>
      <c r="Q30" s="172"/>
      <c r="R30" s="172"/>
      <c r="S30" s="172"/>
      <c r="T30" s="172"/>
      <c r="U30" s="172"/>
      <c r="V30" s="172"/>
      <c r="W30" s="172"/>
      <c r="X30" s="172"/>
      <c r="Y30" s="172"/>
      <c r="Z30" s="172"/>
      <c r="AA30" s="172"/>
      <c r="AB30" s="173"/>
    </row>
    <row r="31" spans="1:28" ht="59.25" customHeight="1">
      <c r="A31" s="32"/>
      <c r="B31" s="171"/>
      <c r="C31" s="172"/>
      <c r="D31" s="172"/>
      <c r="E31" s="172"/>
      <c r="F31" s="172"/>
      <c r="G31" s="172"/>
      <c r="H31" s="172"/>
      <c r="I31" s="172"/>
      <c r="J31" s="172"/>
      <c r="K31" s="172"/>
      <c r="L31" s="172"/>
      <c r="M31" s="172"/>
      <c r="N31" s="172"/>
      <c r="O31" s="172"/>
      <c r="P31" s="172"/>
      <c r="Q31" s="172"/>
      <c r="R31" s="172"/>
      <c r="S31" s="172"/>
      <c r="T31" s="172"/>
      <c r="U31" s="172"/>
      <c r="V31" s="172"/>
      <c r="W31" s="172"/>
      <c r="X31" s="172"/>
      <c r="Y31" s="172"/>
      <c r="Z31" s="172"/>
      <c r="AA31" s="172"/>
      <c r="AB31" s="173"/>
    </row>
    <row r="32" spans="1:28" ht="59.25" customHeight="1">
      <c r="A32" s="32"/>
      <c r="B32" s="171"/>
      <c r="C32" s="172"/>
      <c r="D32" s="172"/>
      <c r="E32" s="172"/>
      <c r="F32" s="172"/>
      <c r="G32" s="172"/>
      <c r="H32" s="172"/>
      <c r="I32" s="172"/>
      <c r="J32" s="172"/>
      <c r="K32" s="172"/>
      <c r="L32" s="172"/>
      <c r="M32" s="172"/>
      <c r="N32" s="172"/>
      <c r="O32" s="172"/>
      <c r="P32" s="172"/>
      <c r="Q32" s="172"/>
      <c r="R32" s="172"/>
      <c r="S32" s="172"/>
      <c r="T32" s="172"/>
      <c r="U32" s="172"/>
      <c r="V32" s="172"/>
      <c r="W32" s="172"/>
      <c r="X32" s="172"/>
      <c r="Y32" s="172"/>
      <c r="Z32" s="172"/>
      <c r="AA32" s="172"/>
      <c r="AB32" s="173"/>
    </row>
    <row r="33" spans="1:28" ht="59.25" customHeight="1">
      <c r="A33" s="32"/>
      <c r="B33" s="171"/>
      <c r="C33" s="172"/>
      <c r="D33" s="172"/>
      <c r="E33" s="172"/>
      <c r="F33" s="172"/>
      <c r="G33" s="172"/>
      <c r="H33" s="172"/>
      <c r="I33" s="172"/>
      <c r="J33" s="172"/>
      <c r="K33" s="172"/>
      <c r="L33" s="172"/>
      <c r="M33" s="172"/>
      <c r="N33" s="172"/>
      <c r="O33" s="172"/>
      <c r="P33" s="172"/>
      <c r="Q33" s="172"/>
      <c r="R33" s="172"/>
      <c r="S33" s="172"/>
      <c r="T33" s="172"/>
      <c r="U33" s="172"/>
      <c r="V33" s="172"/>
      <c r="W33" s="172"/>
      <c r="X33" s="172"/>
      <c r="Y33" s="172"/>
      <c r="Z33" s="172"/>
      <c r="AA33" s="172"/>
      <c r="AB33" s="173"/>
    </row>
    <row r="34" spans="1:28" ht="59.25" customHeight="1">
      <c r="A34" s="32"/>
      <c r="B34" s="171"/>
      <c r="C34" s="172"/>
      <c r="D34" s="172"/>
      <c r="E34" s="172"/>
      <c r="F34" s="172"/>
      <c r="G34" s="172"/>
      <c r="H34" s="172"/>
      <c r="I34" s="172"/>
      <c r="J34" s="172"/>
      <c r="K34" s="172"/>
      <c r="L34" s="172"/>
      <c r="M34" s="172"/>
      <c r="N34" s="172"/>
      <c r="O34" s="172"/>
      <c r="P34" s="172"/>
      <c r="Q34" s="172"/>
      <c r="R34" s="172"/>
      <c r="S34" s="172"/>
      <c r="T34" s="172"/>
      <c r="U34" s="172"/>
      <c r="V34" s="172"/>
      <c r="W34" s="172"/>
      <c r="X34" s="172"/>
      <c r="Y34" s="172"/>
      <c r="Z34" s="172"/>
      <c r="AA34" s="172"/>
      <c r="AB34" s="173"/>
    </row>
    <row r="35" spans="1:28" ht="59.25" customHeight="1">
      <c r="A35" s="32"/>
      <c r="B35" s="171"/>
      <c r="C35" s="172"/>
      <c r="D35" s="172"/>
      <c r="E35" s="172"/>
      <c r="F35" s="172"/>
      <c r="G35" s="172"/>
      <c r="H35" s="172"/>
      <c r="I35" s="172"/>
      <c r="J35" s="172"/>
      <c r="K35" s="172"/>
      <c r="L35" s="172"/>
      <c r="M35" s="172"/>
      <c r="N35" s="172"/>
      <c r="O35" s="172"/>
      <c r="P35" s="172"/>
      <c r="Q35" s="172"/>
      <c r="R35" s="172"/>
      <c r="S35" s="172"/>
      <c r="T35" s="172"/>
      <c r="U35" s="172"/>
      <c r="V35" s="172"/>
      <c r="W35" s="172"/>
      <c r="X35" s="172"/>
      <c r="Y35" s="172"/>
      <c r="Z35" s="172"/>
      <c r="AA35" s="172"/>
      <c r="AB35" s="173"/>
    </row>
    <row r="36" spans="1:28" ht="59.25" customHeight="1">
      <c r="A36" s="32"/>
      <c r="B36" s="171"/>
      <c r="C36" s="172"/>
      <c r="D36" s="172"/>
      <c r="E36" s="172"/>
      <c r="F36" s="172"/>
      <c r="G36" s="172"/>
      <c r="H36" s="172"/>
      <c r="I36" s="172"/>
      <c r="J36" s="172"/>
      <c r="K36" s="172"/>
      <c r="L36" s="172"/>
      <c r="M36" s="172"/>
      <c r="N36" s="172"/>
      <c r="O36" s="172"/>
      <c r="P36" s="172"/>
      <c r="Q36" s="172"/>
      <c r="R36" s="172"/>
      <c r="S36" s="172"/>
      <c r="T36" s="172"/>
      <c r="U36" s="172"/>
      <c r="V36" s="172"/>
      <c r="W36" s="172"/>
      <c r="X36" s="172"/>
      <c r="Y36" s="172"/>
      <c r="Z36" s="172"/>
      <c r="AA36" s="172"/>
      <c r="AB36" s="173"/>
    </row>
    <row r="37" spans="1:28" ht="59.25" customHeight="1">
      <c r="A37" s="32"/>
      <c r="B37" s="171"/>
      <c r="C37" s="172"/>
      <c r="D37" s="172"/>
      <c r="E37" s="172"/>
      <c r="F37" s="172"/>
      <c r="G37" s="172"/>
      <c r="H37" s="172"/>
      <c r="I37" s="172"/>
      <c r="J37" s="172"/>
      <c r="K37" s="172"/>
      <c r="L37" s="172"/>
      <c r="M37" s="172"/>
      <c r="N37" s="172"/>
      <c r="O37" s="172"/>
      <c r="P37" s="172"/>
      <c r="Q37" s="172"/>
      <c r="R37" s="172"/>
      <c r="S37" s="172"/>
      <c r="T37" s="172"/>
      <c r="U37" s="172"/>
      <c r="V37" s="172"/>
      <c r="W37" s="172"/>
      <c r="X37" s="172"/>
      <c r="Y37" s="172"/>
      <c r="Z37" s="172"/>
      <c r="AA37" s="172"/>
      <c r="AB37" s="173"/>
    </row>
    <row r="38" spans="1:28" ht="59.25" customHeight="1">
      <c r="A38" s="32"/>
      <c r="B38" s="171"/>
      <c r="C38" s="172"/>
      <c r="D38" s="172"/>
      <c r="E38" s="172"/>
      <c r="F38" s="172"/>
      <c r="G38" s="172"/>
      <c r="H38" s="172"/>
      <c r="I38" s="172"/>
      <c r="J38" s="172"/>
      <c r="K38" s="172"/>
      <c r="L38" s="172"/>
      <c r="M38" s="172"/>
      <c r="N38" s="172"/>
      <c r="O38" s="172"/>
      <c r="P38" s="172"/>
      <c r="Q38" s="172"/>
      <c r="R38" s="172"/>
      <c r="S38" s="172"/>
      <c r="T38" s="172"/>
      <c r="U38" s="172"/>
      <c r="V38" s="172"/>
      <c r="W38" s="172"/>
      <c r="X38" s="172"/>
      <c r="Y38" s="172"/>
      <c r="Z38" s="172"/>
      <c r="AA38" s="172"/>
      <c r="AB38" s="173"/>
    </row>
    <row r="39" spans="1:28" ht="59.25" customHeight="1">
      <c r="A39" s="32"/>
      <c r="B39" s="171"/>
      <c r="C39" s="172"/>
      <c r="D39" s="172"/>
      <c r="E39" s="172"/>
      <c r="F39" s="172"/>
      <c r="G39" s="172"/>
      <c r="H39" s="172"/>
      <c r="I39" s="172"/>
      <c r="J39" s="172"/>
      <c r="K39" s="172"/>
      <c r="L39" s="172"/>
      <c r="M39" s="172"/>
      <c r="N39" s="172"/>
      <c r="O39" s="172"/>
      <c r="P39" s="172"/>
      <c r="Q39" s="172"/>
      <c r="R39" s="172"/>
      <c r="S39" s="172"/>
      <c r="T39" s="172"/>
      <c r="U39" s="172"/>
      <c r="V39" s="172"/>
      <c r="W39" s="172"/>
      <c r="X39" s="172"/>
      <c r="Y39" s="172"/>
      <c r="Z39" s="172"/>
      <c r="AA39" s="172"/>
      <c r="AB39" s="173"/>
    </row>
    <row r="40" spans="1:28" ht="22.5" customHeight="1"/>
    <row r="41" spans="1:28" ht="22.5" customHeight="1"/>
    <row r="42" spans="1:28" ht="22.5" customHeight="1"/>
    <row r="43" spans="1:28" ht="22.5" customHeight="1"/>
    <row r="44" spans="1:28" ht="17.25" customHeight="1"/>
    <row r="45" spans="1:28" ht="17.25" customHeight="1"/>
    <row r="46" spans="1:28" ht="17.25" customHeight="1"/>
    <row r="47" spans="1:28" ht="17.25" customHeight="1"/>
    <row r="48" spans="1:28" ht="17.25" customHeight="1"/>
    <row r="49" ht="17.25" customHeight="1"/>
    <row r="50" ht="17.25" customHeight="1"/>
    <row r="51" ht="17.25" customHeight="1"/>
    <row r="52" ht="17.25" customHeight="1"/>
    <row r="53" ht="17.25" customHeight="1"/>
    <row r="54" ht="17.25" customHeight="1"/>
    <row r="55" ht="17.25" customHeight="1"/>
    <row r="56" ht="17.25" customHeight="1"/>
    <row r="57" ht="17.25" customHeight="1"/>
    <row r="58" ht="17.25" customHeight="1"/>
    <row r="59" ht="17.25" customHeight="1"/>
    <row r="60" ht="17.25" customHeight="1"/>
    <row r="61" ht="17.25" customHeight="1"/>
    <row r="62" ht="17.25" customHeight="1"/>
    <row r="63" ht="17.25" customHeight="1"/>
    <row r="64"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row r="155" ht="17.25" customHeight="1"/>
    <row r="156" ht="17.25" customHeight="1"/>
    <row r="157" ht="17.25" customHeight="1"/>
    <row r="158" ht="17.25" customHeight="1"/>
    <row r="159" ht="17.25" customHeight="1"/>
    <row r="160" ht="17.25" customHeight="1"/>
    <row r="161" ht="17.25" customHeight="1"/>
    <row r="162" ht="17.25" customHeight="1"/>
    <row r="163" ht="17.25" customHeight="1"/>
    <row r="164" ht="17.25" customHeight="1"/>
    <row r="165" ht="17.25" customHeight="1"/>
    <row r="166" ht="17.25" customHeight="1"/>
    <row r="167" ht="17.25" customHeight="1"/>
    <row r="168" ht="17.25" customHeight="1"/>
    <row r="169" ht="17.25" customHeight="1"/>
    <row r="170" ht="17.25" customHeight="1"/>
    <row r="171" ht="17.25" customHeight="1"/>
    <row r="172" ht="17.25" customHeight="1"/>
    <row r="173" ht="17.25" customHeight="1"/>
    <row r="174" ht="17.25" customHeight="1"/>
    <row r="175" ht="17.25" customHeight="1"/>
    <row r="176" ht="17.25" customHeight="1"/>
    <row r="177" ht="17.25" customHeight="1"/>
    <row r="178" ht="17.25" customHeight="1"/>
    <row r="179" ht="17.25" customHeight="1"/>
    <row r="180" ht="17.25" customHeight="1"/>
    <row r="181" ht="17.25" customHeight="1"/>
    <row r="182" ht="17.25" customHeight="1"/>
    <row r="183" ht="17.25" customHeight="1"/>
    <row r="184" ht="17.25" customHeight="1"/>
    <row r="185" ht="17.25" customHeight="1"/>
    <row r="186" ht="17.25" customHeight="1"/>
    <row r="187" ht="17.25" customHeight="1"/>
    <row r="188" ht="17.25" customHeight="1"/>
    <row r="189" ht="17.25" customHeight="1"/>
    <row r="190" ht="17.25" customHeight="1"/>
    <row r="191" ht="17.25" customHeight="1"/>
    <row r="192" ht="17.25" customHeight="1"/>
    <row r="193" ht="17.25" customHeight="1"/>
  </sheetData>
  <mergeCells count="27">
    <mergeCell ref="B38:AB38"/>
    <mergeCell ref="B39:AB39"/>
    <mergeCell ref="B23:AB23"/>
    <mergeCell ref="B24:AB24"/>
    <mergeCell ref="B14:AB14"/>
    <mergeCell ref="B15:AB15"/>
    <mergeCell ref="B16:AB16"/>
    <mergeCell ref="B17:AB17"/>
    <mergeCell ref="B18:AB18"/>
    <mergeCell ref="B19:AB19"/>
    <mergeCell ref="B20:AB20"/>
    <mergeCell ref="B21:AB21"/>
    <mergeCell ref="B22:AB22"/>
    <mergeCell ref="A2:A12"/>
    <mergeCell ref="B35:AB35"/>
    <mergeCell ref="B36:AB36"/>
    <mergeCell ref="B37:AB37"/>
    <mergeCell ref="B25:AB25"/>
    <mergeCell ref="B26:AB26"/>
    <mergeCell ref="B27:AB27"/>
    <mergeCell ref="B28:AB28"/>
    <mergeCell ref="B29:AB29"/>
    <mergeCell ref="B30:AB30"/>
    <mergeCell ref="B31:AB31"/>
    <mergeCell ref="B32:AB32"/>
    <mergeCell ref="B33:AB33"/>
    <mergeCell ref="B34:AB34"/>
  </mergeCells>
  <phoneticPr fontId="1"/>
  <dataValidations count="2">
    <dataValidation type="list" allowBlank="1" showDropDown="1" showInputMessage="1" showErrorMessage="1" sqref="D2:AB11">
      <formula1>$AC$2:$AC$5</formula1>
    </dataValidation>
    <dataValidation type="list" allowBlank="1" showDropDown="1" showInputMessage="1" showErrorMessage="1" errorTitle="文字エラー" error="半角数字1～5か、評価不能の場合は-（半角マイナス）を入れて下さい。" sqref="D12:AB13">
      <formula1>$AD$2:$AD$7</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1"/>
  </sheetPr>
  <dimension ref="A1:AD193"/>
  <sheetViews>
    <sheetView workbookViewId="0">
      <selection sqref="A1:XFD1048576"/>
    </sheetView>
  </sheetViews>
  <sheetFormatPr defaultRowHeight="13.5"/>
  <cols>
    <col min="1" max="1" width="13.5" style="4" customWidth="1"/>
    <col min="2" max="2" width="79.125" style="4" customWidth="1"/>
    <col min="3" max="3" width="9.375" style="4" customWidth="1"/>
    <col min="4" max="28" width="4.125" style="4" customWidth="1"/>
    <col min="29" max="16384" width="9" style="4"/>
  </cols>
  <sheetData>
    <row r="1" spans="1:30" ht="85.5" customHeight="1">
      <c r="A1" s="21" t="str">
        <f ca="1">MID(CELL("filename",A1),FIND("[",CELL("filename",A1))+1,3)</f>
        <v>８－２</v>
      </c>
      <c r="B1" s="22" t="str">
        <f ca="1">RIGHT(CELL("filename",B1),LEN(CELL("filename",B1))-FIND("]",CELL("filename",B1)))</f>
        <v>技家</v>
      </c>
      <c r="C1" s="23" t="s">
        <v>60</v>
      </c>
      <c r="D1" s="24" t="str">
        <f>A15</f>
        <v>岡田 明日香</v>
      </c>
      <c r="E1" s="24" t="str">
        <f>A16</f>
        <v>荻原 知香</v>
      </c>
      <c r="F1" s="24" t="str">
        <f>A17</f>
        <v>片桐 葵</v>
      </c>
      <c r="G1" s="24" t="str">
        <f>A18</f>
        <v>上島 碧依</v>
      </c>
      <c r="H1" s="24" t="str">
        <f>A19</f>
        <v>藏井 陽菜乃</v>
      </c>
      <c r="I1" s="24" t="str">
        <f>A20</f>
        <v>小松 雅治</v>
      </c>
      <c r="J1" s="24" t="str">
        <f>A21</f>
        <v>須藤 爽斗</v>
      </c>
      <c r="K1" s="24" t="str">
        <f>A22</f>
        <v>滝 陽香</v>
      </c>
      <c r="L1" s="24" t="str">
        <f>A23</f>
        <v>永江 仁</v>
      </c>
      <c r="M1" s="24" t="str">
        <f>A24</f>
        <v>林 果菜</v>
      </c>
      <c r="N1" s="24" t="str">
        <f>A25</f>
        <v>原 維香</v>
      </c>
      <c r="O1" s="24" t="str">
        <f>A26</f>
        <v>丸山 心音</v>
      </c>
      <c r="P1" s="24" t="str">
        <f>A27</f>
        <v>森本 浩士</v>
      </c>
      <c r="Q1" s="24" t="str">
        <f>A28</f>
        <v>栁沢 美緒</v>
      </c>
      <c r="R1" s="24" t="str">
        <f>A29</f>
        <v>横山 麟太</v>
      </c>
      <c r="S1" s="24" t="str">
        <f>A30</f>
        <v>渡邊 了介</v>
      </c>
      <c r="T1" s="24">
        <f>A31</f>
        <v>0</v>
      </c>
      <c r="U1" s="24">
        <f>A32</f>
        <v>0</v>
      </c>
      <c r="V1" s="24">
        <f>A33</f>
        <v>0</v>
      </c>
      <c r="W1" s="24">
        <f>A34</f>
        <v>0</v>
      </c>
      <c r="X1" s="24">
        <f>A35</f>
        <v>0</v>
      </c>
      <c r="Y1" s="24">
        <f>A36</f>
        <v>0</v>
      </c>
      <c r="Z1" s="24">
        <f>A37</f>
        <v>0</v>
      </c>
      <c r="AA1" s="24">
        <f>A38</f>
        <v>0</v>
      </c>
      <c r="AB1" s="24">
        <f>A39</f>
        <v>0</v>
      </c>
      <c r="AC1" s="25"/>
    </row>
    <row r="2" spans="1:30" ht="22.5" customHeight="1">
      <c r="A2" s="168" t="s">
        <v>238</v>
      </c>
      <c r="B2" s="58" t="s">
        <v>134</v>
      </c>
      <c r="C2" s="26" t="s">
        <v>61</v>
      </c>
      <c r="D2" s="79" t="s">
        <v>239</v>
      </c>
      <c r="E2" s="79" t="s">
        <v>240</v>
      </c>
      <c r="F2" s="79" t="s">
        <v>239</v>
      </c>
      <c r="G2" s="79" t="s">
        <v>240</v>
      </c>
      <c r="H2" s="79" t="s">
        <v>240</v>
      </c>
      <c r="I2" s="79" t="s">
        <v>239</v>
      </c>
      <c r="J2" s="79" t="s">
        <v>240</v>
      </c>
      <c r="K2" s="79" t="s">
        <v>239</v>
      </c>
      <c r="L2" s="79" t="s">
        <v>239</v>
      </c>
      <c r="M2" s="79" t="s">
        <v>216</v>
      </c>
      <c r="N2" s="79" t="s">
        <v>239</v>
      </c>
      <c r="O2" s="79" t="s">
        <v>239</v>
      </c>
      <c r="P2" s="79" t="s">
        <v>217</v>
      </c>
      <c r="Q2" s="79" t="s">
        <v>217</v>
      </c>
      <c r="R2" s="79" t="s">
        <v>239</v>
      </c>
      <c r="S2" s="79" t="s">
        <v>240</v>
      </c>
      <c r="T2" s="27"/>
      <c r="U2" s="27"/>
      <c r="V2" s="27"/>
      <c r="W2" s="27"/>
      <c r="X2" s="27"/>
      <c r="Y2" s="27"/>
      <c r="Z2" s="27"/>
      <c r="AA2" s="27"/>
      <c r="AB2" s="27"/>
      <c r="AC2" s="28" t="s">
        <v>241</v>
      </c>
      <c r="AD2" s="28">
        <v>1</v>
      </c>
    </row>
    <row r="3" spans="1:30" ht="22.5" customHeight="1">
      <c r="A3" s="169"/>
      <c r="B3" s="58" t="s">
        <v>135</v>
      </c>
      <c r="C3" s="26" t="s">
        <v>61</v>
      </c>
      <c r="D3" s="79" t="s">
        <v>239</v>
      </c>
      <c r="E3" s="79" t="s">
        <v>217</v>
      </c>
      <c r="F3" s="79" t="s">
        <v>239</v>
      </c>
      <c r="G3" s="79" t="s">
        <v>239</v>
      </c>
      <c r="H3" s="79" t="s">
        <v>240</v>
      </c>
      <c r="I3" s="79" t="s">
        <v>217</v>
      </c>
      <c r="J3" s="79" t="s">
        <v>217</v>
      </c>
      <c r="K3" s="79" t="s">
        <v>217</v>
      </c>
      <c r="L3" s="79" t="s">
        <v>216</v>
      </c>
      <c r="M3" s="79" t="s">
        <v>239</v>
      </c>
      <c r="N3" s="79" t="s">
        <v>216</v>
      </c>
      <c r="O3" s="79" t="s">
        <v>240</v>
      </c>
      <c r="P3" s="79" t="s">
        <v>217</v>
      </c>
      <c r="Q3" s="79" t="s">
        <v>217</v>
      </c>
      <c r="R3" s="79" t="s">
        <v>216</v>
      </c>
      <c r="S3" s="79" t="s">
        <v>240</v>
      </c>
      <c r="T3" s="27"/>
      <c r="U3" s="27"/>
      <c r="V3" s="27"/>
      <c r="W3" s="27"/>
      <c r="X3" s="27"/>
      <c r="Y3" s="27"/>
      <c r="Z3" s="27"/>
      <c r="AA3" s="27"/>
      <c r="AB3" s="27"/>
      <c r="AC3" s="28" t="s">
        <v>202</v>
      </c>
      <c r="AD3" s="28">
        <v>2</v>
      </c>
    </row>
    <row r="4" spans="1:30" ht="22.5" customHeight="1">
      <c r="A4" s="169"/>
      <c r="B4" s="83" t="s">
        <v>56</v>
      </c>
      <c r="C4" s="26" t="s">
        <v>61</v>
      </c>
      <c r="D4" s="79" t="s">
        <v>240</v>
      </c>
      <c r="E4" s="79" t="s">
        <v>240</v>
      </c>
      <c r="F4" s="79" t="s">
        <v>239</v>
      </c>
      <c r="G4" s="79" t="s">
        <v>240</v>
      </c>
      <c r="H4" s="79" t="s">
        <v>217</v>
      </c>
      <c r="I4" s="79" t="s">
        <v>240</v>
      </c>
      <c r="J4" s="79" t="s">
        <v>240</v>
      </c>
      <c r="K4" s="79" t="s">
        <v>217</v>
      </c>
      <c r="L4" s="79" t="s">
        <v>216</v>
      </c>
      <c r="M4" s="79" t="s">
        <v>216</v>
      </c>
      <c r="N4" s="79" t="s">
        <v>216</v>
      </c>
      <c r="O4" s="79" t="s">
        <v>217</v>
      </c>
      <c r="P4" s="79" t="s">
        <v>240</v>
      </c>
      <c r="Q4" s="79" t="s">
        <v>240</v>
      </c>
      <c r="R4" s="79" t="s">
        <v>217</v>
      </c>
      <c r="S4" s="79" t="s">
        <v>217</v>
      </c>
      <c r="T4" s="27"/>
      <c r="U4" s="27"/>
      <c r="V4" s="27"/>
      <c r="W4" s="27"/>
      <c r="X4" s="27"/>
      <c r="Y4" s="27"/>
      <c r="Z4" s="27"/>
      <c r="AA4" s="27"/>
      <c r="AB4" s="27"/>
      <c r="AC4" s="28" t="s">
        <v>242</v>
      </c>
      <c r="AD4" s="28">
        <v>3</v>
      </c>
    </row>
    <row r="5" spans="1:30" ht="22.5" customHeight="1">
      <c r="A5" s="169"/>
      <c r="B5" s="78"/>
      <c r="C5" s="26" t="s">
        <v>61</v>
      </c>
      <c r="D5" s="79"/>
      <c r="E5" s="79"/>
      <c r="F5" s="79"/>
      <c r="G5" s="79"/>
      <c r="H5" s="79"/>
      <c r="I5" s="79"/>
      <c r="J5" s="79"/>
      <c r="K5" s="79"/>
      <c r="L5" s="79"/>
      <c r="M5" s="79"/>
      <c r="N5" s="79"/>
      <c r="O5" s="79"/>
      <c r="P5" s="79"/>
      <c r="Q5" s="79"/>
      <c r="R5" s="79"/>
      <c r="S5" s="79"/>
      <c r="T5" s="27"/>
      <c r="U5" s="27"/>
      <c r="V5" s="27"/>
      <c r="W5" s="27"/>
      <c r="X5" s="27"/>
      <c r="Y5" s="27"/>
      <c r="Z5" s="27"/>
      <c r="AA5" s="27"/>
      <c r="AB5" s="27"/>
      <c r="AC5" s="28" t="s">
        <v>205</v>
      </c>
      <c r="AD5" s="28">
        <v>4</v>
      </c>
    </row>
    <row r="6" spans="1:30" ht="22.5" customHeight="1">
      <c r="A6" s="169"/>
      <c r="B6" s="78"/>
      <c r="C6" s="26" t="s">
        <v>61</v>
      </c>
      <c r="D6" s="79"/>
      <c r="E6" s="79"/>
      <c r="F6" s="79"/>
      <c r="G6" s="79"/>
      <c r="H6" s="79"/>
      <c r="I6" s="79"/>
      <c r="J6" s="79"/>
      <c r="K6" s="79"/>
      <c r="L6" s="79"/>
      <c r="M6" s="79"/>
      <c r="N6" s="79"/>
      <c r="O6" s="79"/>
      <c r="P6" s="79"/>
      <c r="Q6" s="79"/>
      <c r="R6" s="79"/>
      <c r="S6" s="79"/>
      <c r="T6" s="27"/>
      <c r="U6" s="27"/>
      <c r="V6" s="27"/>
      <c r="W6" s="27"/>
      <c r="X6" s="27"/>
      <c r="Y6" s="27"/>
      <c r="Z6" s="27"/>
      <c r="AA6" s="27"/>
      <c r="AB6" s="27"/>
      <c r="AC6" s="28"/>
      <c r="AD6" s="28">
        <v>5</v>
      </c>
    </row>
    <row r="7" spans="1:30" ht="22.5" customHeight="1">
      <c r="A7" s="169"/>
      <c r="B7" s="78"/>
      <c r="C7" s="26" t="s">
        <v>61</v>
      </c>
      <c r="D7" s="79"/>
      <c r="E7" s="79"/>
      <c r="F7" s="79"/>
      <c r="G7" s="79"/>
      <c r="H7" s="79"/>
      <c r="I7" s="79"/>
      <c r="J7" s="79"/>
      <c r="K7" s="79"/>
      <c r="L7" s="79"/>
      <c r="M7" s="79"/>
      <c r="N7" s="79"/>
      <c r="O7" s="79"/>
      <c r="P7" s="79"/>
      <c r="Q7" s="79"/>
      <c r="R7" s="79"/>
      <c r="S7" s="79"/>
      <c r="T7" s="27"/>
      <c r="U7" s="27"/>
      <c r="V7" s="27"/>
      <c r="W7" s="27"/>
      <c r="X7" s="27"/>
      <c r="Y7" s="27"/>
      <c r="Z7" s="27"/>
      <c r="AA7" s="27"/>
      <c r="AB7" s="27"/>
      <c r="AC7" s="28"/>
      <c r="AD7" s="28" t="s">
        <v>205</v>
      </c>
    </row>
    <row r="8" spans="1:30" ht="22.5" customHeight="1">
      <c r="A8" s="169"/>
      <c r="B8" s="78"/>
      <c r="C8" s="26" t="s">
        <v>61</v>
      </c>
      <c r="D8" s="79"/>
      <c r="E8" s="79"/>
      <c r="F8" s="79"/>
      <c r="G8" s="79"/>
      <c r="H8" s="79"/>
      <c r="I8" s="79"/>
      <c r="J8" s="79"/>
      <c r="K8" s="79"/>
      <c r="L8" s="79"/>
      <c r="M8" s="79"/>
      <c r="N8" s="79"/>
      <c r="O8" s="79"/>
      <c r="P8" s="79"/>
      <c r="Q8" s="79"/>
      <c r="R8" s="79"/>
      <c r="S8" s="79"/>
      <c r="T8" s="27"/>
      <c r="U8" s="27"/>
      <c r="V8" s="27"/>
      <c r="W8" s="27"/>
      <c r="X8" s="27"/>
      <c r="Y8" s="27"/>
      <c r="Z8" s="27"/>
      <c r="AA8" s="27"/>
      <c r="AB8" s="27"/>
    </row>
    <row r="9" spans="1:30" ht="22.5" customHeight="1">
      <c r="A9" s="169"/>
      <c r="B9" s="78"/>
      <c r="C9" s="26" t="s">
        <v>61</v>
      </c>
      <c r="D9" s="79"/>
      <c r="E9" s="79"/>
      <c r="F9" s="79"/>
      <c r="G9" s="79"/>
      <c r="H9" s="79"/>
      <c r="I9" s="79"/>
      <c r="J9" s="79"/>
      <c r="K9" s="79"/>
      <c r="L9" s="79"/>
      <c r="M9" s="79"/>
      <c r="N9" s="79"/>
      <c r="O9" s="79"/>
      <c r="P9" s="79"/>
      <c r="Q9" s="79"/>
      <c r="R9" s="79"/>
      <c r="S9" s="79"/>
      <c r="T9" s="27"/>
      <c r="U9" s="27"/>
      <c r="V9" s="27"/>
      <c r="W9" s="27"/>
      <c r="X9" s="27"/>
      <c r="Y9" s="27"/>
      <c r="Z9" s="27"/>
      <c r="AA9" s="27"/>
      <c r="AB9" s="27"/>
    </row>
    <row r="10" spans="1:30" ht="22.5" customHeight="1">
      <c r="A10" s="169"/>
      <c r="B10" s="78"/>
      <c r="C10" s="26" t="s">
        <v>61</v>
      </c>
      <c r="D10" s="79"/>
      <c r="E10" s="79"/>
      <c r="F10" s="79"/>
      <c r="G10" s="79"/>
      <c r="H10" s="79"/>
      <c r="I10" s="79"/>
      <c r="J10" s="79"/>
      <c r="K10" s="79"/>
      <c r="L10" s="79"/>
      <c r="M10" s="79"/>
      <c r="N10" s="79"/>
      <c r="O10" s="79"/>
      <c r="P10" s="79"/>
      <c r="Q10" s="79"/>
      <c r="R10" s="79"/>
      <c r="S10" s="79"/>
      <c r="T10" s="27"/>
      <c r="U10" s="27"/>
      <c r="V10" s="27"/>
      <c r="W10" s="27"/>
      <c r="X10" s="27"/>
      <c r="Y10" s="27"/>
      <c r="Z10" s="27"/>
      <c r="AA10" s="27"/>
      <c r="AB10" s="27"/>
    </row>
    <row r="11" spans="1:30" ht="22.5" customHeight="1">
      <c r="A11" s="169"/>
      <c r="B11" s="78"/>
      <c r="C11" s="26" t="s">
        <v>61</v>
      </c>
      <c r="D11" s="27"/>
      <c r="E11" s="27"/>
      <c r="F11" s="27"/>
      <c r="G11" s="27"/>
      <c r="H11" s="27"/>
      <c r="I11" s="27"/>
      <c r="J11" s="27"/>
      <c r="K11" s="27"/>
      <c r="L11" s="27"/>
      <c r="M11" s="27"/>
      <c r="N11" s="27"/>
      <c r="O11" s="27"/>
      <c r="P11" s="27"/>
      <c r="Q11" s="27"/>
      <c r="R11" s="27"/>
      <c r="S11" s="27"/>
      <c r="T11" s="27"/>
      <c r="U11" s="27"/>
      <c r="V11" s="27"/>
      <c r="W11" s="27"/>
      <c r="X11" s="27"/>
      <c r="Y11" s="27"/>
      <c r="Z11" s="27"/>
      <c r="AA11" s="27"/>
      <c r="AB11" s="27"/>
    </row>
    <row r="12" spans="1:30" ht="30" customHeight="1">
      <c r="A12" s="170"/>
      <c r="B12" s="29"/>
      <c r="C12" s="85" t="s">
        <v>62</v>
      </c>
      <c r="D12" s="79">
        <v>3</v>
      </c>
      <c r="E12" s="79">
        <v>5</v>
      </c>
      <c r="F12" s="79">
        <v>3</v>
      </c>
      <c r="G12" s="79">
        <v>4</v>
      </c>
      <c r="H12" s="79">
        <v>5</v>
      </c>
      <c r="I12" s="79">
        <v>4</v>
      </c>
      <c r="J12" s="79">
        <v>5</v>
      </c>
      <c r="K12" s="79">
        <v>4</v>
      </c>
      <c r="L12" s="79">
        <v>3</v>
      </c>
      <c r="M12" s="79">
        <v>3</v>
      </c>
      <c r="N12" s="79">
        <v>3</v>
      </c>
      <c r="O12" s="79">
        <v>4</v>
      </c>
      <c r="P12" s="79">
        <v>5</v>
      </c>
      <c r="Q12" s="79">
        <v>5</v>
      </c>
      <c r="R12" s="79">
        <v>3</v>
      </c>
      <c r="S12" s="79">
        <v>5</v>
      </c>
      <c r="T12" s="27"/>
      <c r="U12" s="27"/>
      <c r="V12" s="27"/>
      <c r="W12" s="27"/>
      <c r="X12" s="27"/>
      <c r="Y12" s="27"/>
      <c r="Z12" s="27"/>
      <c r="AA12" s="27"/>
      <c r="AB12" s="27"/>
    </row>
    <row r="13" spans="1:30" ht="26.25" customHeight="1">
      <c r="A13" s="30"/>
      <c r="B13" s="30"/>
      <c r="C13" s="77" t="s">
        <v>49</v>
      </c>
      <c r="D13" s="27"/>
      <c r="E13" s="27"/>
      <c r="F13" s="27"/>
      <c r="G13" s="27"/>
      <c r="H13" s="27"/>
      <c r="I13" s="27"/>
      <c r="J13" s="27"/>
      <c r="K13" s="27"/>
      <c r="L13" s="27"/>
      <c r="M13" s="27"/>
      <c r="N13" s="27"/>
      <c r="O13" s="27"/>
      <c r="P13" s="27"/>
      <c r="Q13" s="27"/>
      <c r="R13" s="27"/>
      <c r="S13" s="27"/>
      <c r="T13" s="27"/>
      <c r="U13" s="27"/>
      <c r="V13" s="27"/>
      <c r="W13" s="27"/>
      <c r="X13" s="27"/>
      <c r="Y13" s="27"/>
      <c r="Z13" s="27"/>
      <c r="AA13" s="27"/>
      <c r="AB13" s="27"/>
    </row>
    <row r="14" spans="1:30" ht="22.5" customHeight="1">
      <c r="A14" s="31" t="s">
        <v>20</v>
      </c>
      <c r="B14" s="174" t="s">
        <v>63</v>
      </c>
      <c r="C14" s="175"/>
      <c r="D14" s="175"/>
      <c r="E14" s="175"/>
      <c r="F14" s="175"/>
      <c r="G14" s="175"/>
      <c r="H14" s="175"/>
      <c r="I14" s="175"/>
      <c r="J14" s="175"/>
      <c r="K14" s="175"/>
      <c r="L14" s="175"/>
      <c r="M14" s="175"/>
      <c r="N14" s="175"/>
      <c r="O14" s="175"/>
      <c r="P14" s="175"/>
      <c r="Q14" s="175"/>
      <c r="R14" s="175"/>
      <c r="S14" s="175"/>
      <c r="T14" s="175"/>
      <c r="U14" s="175"/>
      <c r="V14" s="175"/>
      <c r="W14" s="175"/>
      <c r="X14" s="175"/>
      <c r="Y14" s="175"/>
      <c r="Z14" s="175"/>
      <c r="AA14" s="175"/>
      <c r="AB14" s="176"/>
    </row>
    <row r="15" spans="1:30" ht="59.25" customHeight="1">
      <c r="A15" s="32" t="s">
        <v>64</v>
      </c>
      <c r="B15" s="171"/>
      <c r="C15" s="172"/>
      <c r="D15" s="172"/>
      <c r="E15" s="172"/>
      <c r="F15" s="172"/>
      <c r="G15" s="172"/>
      <c r="H15" s="172"/>
      <c r="I15" s="172"/>
      <c r="J15" s="172"/>
      <c r="K15" s="172"/>
      <c r="L15" s="172"/>
      <c r="M15" s="172"/>
      <c r="N15" s="172"/>
      <c r="O15" s="172"/>
      <c r="P15" s="172"/>
      <c r="Q15" s="172"/>
      <c r="R15" s="172"/>
      <c r="S15" s="172"/>
      <c r="T15" s="172"/>
      <c r="U15" s="172"/>
      <c r="V15" s="172"/>
      <c r="W15" s="172"/>
      <c r="X15" s="172"/>
      <c r="Y15" s="172"/>
      <c r="Z15" s="172"/>
      <c r="AA15" s="172"/>
      <c r="AB15" s="173"/>
    </row>
    <row r="16" spans="1:30" ht="59.25" customHeight="1">
      <c r="A16" s="32" t="s">
        <v>65</v>
      </c>
      <c r="B16" s="171"/>
      <c r="C16" s="172"/>
      <c r="D16" s="172"/>
      <c r="E16" s="172"/>
      <c r="F16" s="172"/>
      <c r="G16" s="172"/>
      <c r="H16" s="172"/>
      <c r="I16" s="172"/>
      <c r="J16" s="172"/>
      <c r="K16" s="172"/>
      <c r="L16" s="172"/>
      <c r="M16" s="172"/>
      <c r="N16" s="172"/>
      <c r="O16" s="172"/>
      <c r="P16" s="172"/>
      <c r="Q16" s="172"/>
      <c r="R16" s="172"/>
      <c r="S16" s="172"/>
      <c r="T16" s="172"/>
      <c r="U16" s="172"/>
      <c r="V16" s="172"/>
      <c r="W16" s="172"/>
      <c r="X16" s="172"/>
      <c r="Y16" s="172"/>
      <c r="Z16" s="172"/>
      <c r="AA16" s="172"/>
      <c r="AB16" s="173"/>
    </row>
    <row r="17" spans="1:28" ht="59.25" customHeight="1">
      <c r="A17" s="32" t="s">
        <v>66</v>
      </c>
      <c r="B17" s="171"/>
      <c r="C17" s="172"/>
      <c r="D17" s="172"/>
      <c r="E17" s="172"/>
      <c r="F17" s="172"/>
      <c r="G17" s="172"/>
      <c r="H17" s="172"/>
      <c r="I17" s="172"/>
      <c r="J17" s="172"/>
      <c r="K17" s="172"/>
      <c r="L17" s="172"/>
      <c r="M17" s="172"/>
      <c r="N17" s="172"/>
      <c r="O17" s="172"/>
      <c r="P17" s="172"/>
      <c r="Q17" s="172"/>
      <c r="R17" s="172"/>
      <c r="S17" s="172"/>
      <c r="T17" s="172"/>
      <c r="U17" s="172"/>
      <c r="V17" s="172"/>
      <c r="W17" s="172"/>
      <c r="X17" s="172"/>
      <c r="Y17" s="172"/>
      <c r="Z17" s="172"/>
      <c r="AA17" s="172"/>
      <c r="AB17" s="173"/>
    </row>
    <row r="18" spans="1:28" ht="59.25" customHeight="1">
      <c r="A18" s="32" t="s">
        <v>67</v>
      </c>
      <c r="B18" s="171"/>
      <c r="C18" s="172"/>
      <c r="D18" s="172"/>
      <c r="E18" s="172"/>
      <c r="F18" s="172"/>
      <c r="G18" s="172"/>
      <c r="H18" s="172"/>
      <c r="I18" s="172"/>
      <c r="J18" s="172"/>
      <c r="K18" s="172"/>
      <c r="L18" s="172"/>
      <c r="M18" s="172"/>
      <c r="N18" s="172"/>
      <c r="O18" s="172"/>
      <c r="P18" s="172"/>
      <c r="Q18" s="172"/>
      <c r="R18" s="172"/>
      <c r="S18" s="172"/>
      <c r="T18" s="172"/>
      <c r="U18" s="172"/>
      <c r="V18" s="172"/>
      <c r="W18" s="172"/>
      <c r="X18" s="172"/>
      <c r="Y18" s="172"/>
      <c r="Z18" s="172"/>
      <c r="AA18" s="172"/>
      <c r="AB18" s="173"/>
    </row>
    <row r="19" spans="1:28" ht="59.25" customHeight="1">
      <c r="A19" s="32" t="s">
        <v>68</v>
      </c>
      <c r="B19" s="171"/>
      <c r="C19" s="172"/>
      <c r="D19" s="172"/>
      <c r="E19" s="172"/>
      <c r="F19" s="172"/>
      <c r="G19" s="172"/>
      <c r="H19" s="172"/>
      <c r="I19" s="172"/>
      <c r="J19" s="172"/>
      <c r="K19" s="172"/>
      <c r="L19" s="172"/>
      <c r="M19" s="172"/>
      <c r="N19" s="172"/>
      <c r="O19" s="172"/>
      <c r="P19" s="172"/>
      <c r="Q19" s="172"/>
      <c r="R19" s="172"/>
      <c r="S19" s="172"/>
      <c r="T19" s="172"/>
      <c r="U19" s="172"/>
      <c r="V19" s="172"/>
      <c r="W19" s="172"/>
      <c r="X19" s="172"/>
      <c r="Y19" s="172"/>
      <c r="Z19" s="172"/>
      <c r="AA19" s="172"/>
      <c r="AB19" s="173"/>
    </row>
    <row r="20" spans="1:28" ht="59.25" customHeight="1">
      <c r="A20" s="32" t="s">
        <v>69</v>
      </c>
      <c r="B20" s="171"/>
      <c r="C20" s="172"/>
      <c r="D20" s="172"/>
      <c r="E20" s="172"/>
      <c r="F20" s="172"/>
      <c r="G20" s="172"/>
      <c r="H20" s="172"/>
      <c r="I20" s="172"/>
      <c r="J20" s="172"/>
      <c r="K20" s="172"/>
      <c r="L20" s="172"/>
      <c r="M20" s="172"/>
      <c r="N20" s="172"/>
      <c r="O20" s="172"/>
      <c r="P20" s="172"/>
      <c r="Q20" s="172"/>
      <c r="R20" s="172"/>
      <c r="S20" s="172"/>
      <c r="T20" s="172"/>
      <c r="U20" s="172"/>
      <c r="V20" s="172"/>
      <c r="W20" s="172"/>
      <c r="X20" s="172"/>
      <c r="Y20" s="172"/>
      <c r="Z20" s="172"/>
      <c r="AA20" s="172"/>
      <c r="AB20" s="173"/>
    </row>
    <row r="21" spans="1:28" ht="59.25" customHeight="1">
      <c r="A21" s="32" t="s">
        <v>70</v>
      </c>
      <c r="B21" s="171"/>
      <c r="C21" s="172"/>
      <c r="D21" s="172"/>
      <c r="E21" s="172"/>
      <c r="F21" s="172"/>
      <c r="G21" s="172"/>
      <c r="H21" s="172"/>
      <c r="I21" s="172"/>
      <c r="J21" s="172"/>
      <c r="K21" s="172"/>
      <c r="L21" s="172"/>
      <c r="M21" s="172"/>
      <c r="N21" s="172"/>
      <c r="O21" s="172"/>
      <c r="P21" s="172"/>
      <c r="Q21" s="172"/>
      <c r="R21" s="172"/>
      <c r="S21" s="172"/>
      <c r="T21" s="172"/>
      <c r="U21" s="172"/>
      <c r="V21" s="172"/>
      <c r="W21" s="172"/>
      <c r="X21" s="172"/>
      <c r="Y21" s="172"/>
      <c r="Z21" s="172"/>
      <c r="AA21" s="172"/>
      <c r="AB21" s="173"/>
    </row>
    <row r="22" spans="1:28" ht="59.25" customHeight="1">
      <c r="A22" s="32" t="s">
        <v>71</v>
      </c>
      <c r="B22" s="171"/>
      <c r="C22" s="172"/>
      <c r="D22" s="172"/>
      <c r="E22" s="172"/>
      <c r="F22" s="172"/>
      <c r="G22" s="172"/>
      <c r="H22" s="172"/>
      <c r="I22" s="172"/>
      <c r="J22" s="172"/>
      <c r="K22" s="172"/>
      <c r="L22" s="172"/>
      <c r="M22" s="172"/>
      <c r="N22" s="172"/>
      <c r="O22" s="172"/>
      <c r="P22" s="172"/>
      <c r="Q22" s="172"/>
      <c r="R22" s="172"/>
      <c r="S22" s="172"/>
      <c r="T22" s="172"/>
      <c r="U22" s="172"/>
      <c r="V22" s="172"/>
      <c r="W22" s="172"/>
      <c r="X22" s="172"/>
      <c r="Y22" s="172"/>
      <c r="Z22" s="172"/>
      <c r="AA22" s="172"/>
      <c r="AB22" s="173"/>
    </row>
    <row r="23" spans="1:28" ht="59.25" customHeight="1">
      <c r="A23" s="32" t="s">
        <v>72</v>
      </c>
      <c r="B23" s="171" t="s">
        <v>136</v>
      </c>
      <c r="C23" s="172"/>
      <c r="D23" s="172"/>
      <c r="E23" s="172"/>
      <c r="F23" s="172"/>
      <c r="G23" s="172"/>
      <c r="H23" s="172"/>
      <c r="I23" s="172"/>
      <c r="J23" s="172"/>
      <c r="K23" s="172"/>
      <c r="L23" s="172"/>
      <c r="M23" s="172"/>
      <c r="N23" s="172"/>
      <c r="O23" s="172"/>
      <c r="P23" s="172"/>
      <c r="Q23" s="172"/>
      <c r="R23" s="172"/>
      <c r="S23" s="172"/>
      <c r="T23" s="172"/>
      <c r="U23" s="172"/>
      <c r="V23" s="172"/>
      <c r="W23" s="172"/>
      <c r="X23" s="172"/>
      <c r="Y23" s="172"/>
      <c r="Z23" s="172"/>
      <c r="AA23" s="172"/>
      <c r="AB23" s="173"/>
    </row>
    <row r="24" spans="1:28" ht="59.25" customHeight="1">
      <c r="A24" s="32" t="s">
        <v>73</v>
      </c>
      <c r="B24" s="171"/>
      <c r="C24" s="172"/>
      <c r="D24" s="172"/>
      <c r="E24" s="172"/>
      <c r="F24" s="172"/>
      <c r="G24" s="172"/>
      <c r="H24" s="172"/>
      <c r="I24" s="172"/>
      <c r="J24" s="172"/>
      <c r="K24" s="172"/>
      <c r="L24" s="172"/>
      <c r="M24" s="172"/>
      <c r="N24" s="172"/>
      <c r="O24" s="172"/>
      <c r="P24" s="172"/>
      <c r="Q24" s="172"/>
      <c r="R24" s="172"/>
      <c r="S24" s="172"/>
      <c r="T24" s="172"/>
      <c r="U24" s="172"/>
      <c r="V24" s="172"/>
      <c r="W24" s="172"/>
      <c r="X24" s="172"/>
      <c r="Y24" s="172"/>
      <c r="Z24" s="172"/>
      <c r="AA24" s="172"/>
      <c r="AB24" s="173"/>
    </row>
    <row r="25" spans="1:28" ht="59.25" customHeight="1">
      <c r="A25" s="32" t="s">
        <v>74</v>
      </c>
      <c r="B25" s="171"/>
      <c r="C25" s="172"/>
      <c r="D25" s="172"/>
      <c r="E25" s="172"/>
      <c r="F25" s="172"/>
      <c r="G25" s="172"/>
      <c r="H25" s="172"/>
      <c r="I25" s="172"/>
      <c r="J25" s="172"/>
      <c r="K25" s="172"/>
      <c r="L25" s="172"/>
      <c r="M25" s="172"/>
      <c r="N25" s="172"/>
      <c r="O25" s="172"/>
      <c r="P25" s="172"/>
      <c r="Q25" s="172"/>
      <c r="R25" s="172"/>
      <c r="S25" s="172"/>
      <c r="T25" s="172"/>
      <c r="U25" s="172"/>
      <c r="V25" s="172"/>
      <c r="W25" s="172"/>
      <c r="X25" s="172"/>
      <c r="Y25" s="172"/>
      <c r="Z25" s="172"/>
      <c r="AA25" s="172"/>
      <c r="AB25" s="173"/>
    </row>
    <row r="26" spans="1:28" ht="59.25" customHeight="1">
      <c r="A26" s="32" t="s">
        <v>75</v>
      </c>
      <c r="B26" s="171"/>
      <c r="C26" s="172"/>
      <c r="D26" s="172"/>
      <c r="E26" s="172"/>
      <c r="F26" s="172"/>
      <c r="G26" s="172"/>
      <c r="H26" s="172"/>
      <c r="I26" s="172"/>
      <c r="J26" s="172"/>
      <c r="K26" s="172"/>
      <c r="L26" s="172"/>
      <c r="M26" s="172"/>
      <c r="N26" s="172"/>
      <c r="O26" s="172"/>
      <c r="P26" s="172"/>
      <c r="Q26" s="172"/>
      <c r="R26" s="172"/>
      <c r="S26" s="172"/>
      <c r="T26" s="172"/>
      <c r="U26" s="172"/>
      <c r="V26" s="172"/>
      <c r="W26" s="172"/>
      <c r="X26" s="172"/>
      <c r="Y26" s="172"/>
      <c r="Z26" s="172"/>
      <c r="AA26" s="172"/>
      <c r="AB26" s="173"/>
    </row>
    <row r="27" spans="1:28" ht="59.25" customHeight="1">
      <c r="A27" s="32" t="s">
        <v>76</v>
      </c>
      <c r="B27" s="171"/>
      <c r="C27" s="172"/>
      <c r="D27" s="172"/>
      <c r="E27" s="172"/>
      <c r="F27" s="172"/>
      <c r="G27" s="172"/>
      <c r="H27" s="172"/>
      <c r="I27" s="172"/>
      <c r="J27" s="172"/>
      <c r="K27" s="172"/>
      <c r="L27" s="172"/>
      <c r="M27" s="172"/>
      <c r="N27" s="172"/>
      <c r="O27" s="172"/>
      <c r="P27" s="172"/>
      <c r="Q27" s="172"/>
      <c r="R27" s="172"/>
      <c r="S27" s="172"/>
      <c r="T27" s="172"/>
      <c r="U27" s="172"/>
      <c r="V27" s="172"/>
      <c r="W27" s="172"/>
      <c r="X27" s="172"/>
      <c r="Y27" s="172"/>
      <c r="Z27" s="172"/>
      <c r="AA27" s="172"/>
      <c r="AB27" s="173"/>
    </row>
    <row r="28" spans="1:28" ht="59.25" customHeight="1">
      <c r="A28" s="32" t="s">
        <v>77</v>
      </c>
      <c r="B28" s="171"/>
      <c r="C28" s="172"/>
      <c r="D28" s="172"/>
      <c r="E28" s="172"/>
      <c r="F28" s="172"/>
      <c r="G28" s="172"/>
      <c r="H28" s="172"/>
      <c r="I28" s="172"/>
      <c r="J28" s="172"/>
      <c r="K28" s="172"/>
      <c r="L28" s="172"/>
      <c r="M28" s="172"/>
      <c r="N28" s="172"/>
      <c r="O28" s="172"/>
      <c r="P28" s="172"/>
      <c r="Q28" s="172"/>
      <c r="R28" s="172"/>
      <c r="S28" s="172"/>
      <c r="T28" s="172"/>
      <c r="U28" s="172"/>
      <c r="V28" s="172"/>
      <c r="W28" s="172"/>
      <c r="X28" s="172"/>
      <c r="Y28" s="172"/>
      <c r="Z28" s="172"/>
      <c r="AA28" s="172"/>
      <c r="AB28" s="173"/>
    </row>
    <row r="29" spans="1:28" ht="59.25" customHeight="1">
      <c r="A29" s="32" t="s">
        <v>78</v>
      </c>
      <c r="B29" s="171"/>
      <c r="C29" s="172"/>
      <c r="D29" s="172"/>
      <c r="E29" s="172"/>
      <c r="F29" s="172"/>
      <c r="G29" s="172"/>
      <c r="H29" s="172"/>
      <c r="I29" s="172"/>
      <c r="J29" s="172"/>
      <c r="K29" s="172"/>
      <c r="L29" s="172"/>
      <c r="M29" s="172"/>
      <c r="N29" s="172"/>
      <c r="O29" s="172"/>
      <c r="P29" s="172"/>
      <c r="Q29" s="172"/>
      <c r="R29" s="172"/>
      <c r="S29" s="172"/>
      <c r="T29" s="172"/>
      <c r="U29" s="172"/>
      <c r="V29" s="172"/>
      <c r="W29" s="172"/>
      <c r="X29" s="172"/>
      <c r="Y29" s="172"/>
      <c r="Z29" s="172"/>
      <c r="AA29" s="172"/>
      <c r="AB29" s="173"/>
    </row>
    <row r="30" spans="1:28" ht="59.25" customHeight="1">
      <c r="A30" s="32" t="s">
        <v>79</v>
      </c>
      <c r="B30" s="171"/>
      <c r="C30" s="172"/>
      <c r="D30" s="172"/>
      <c r="E30" s="172"/>
      <c r="F30" s="172"/>
      <c r="G30" s="172"/>
      <c r="H30" s="172"/>
      <c r="I30" s="172"/>
      <c r="J30" s="172"/>
      <c r="K30" s="172"/>
      <c r="L30" s="172"/>
      <c r="M30" s="172"/>
      <c r="N30" s="172"/>
      <c r="O30" s="172"/>
      <c r="P30" s="172"/>
      <c r="Q30" s="172"/>
      <c r="R30" s="172"/>
      <c r="S30" s="172"/>
      <c r="T30" s="172"/>
      <c r="U30" s="172"/>
      <c r="V30" s="172"/>
      <c r="W30" s="172"/>
      <c r="X30" s="172"/>
      <c r="Y30" s="172"/>
      <c r="Z30" s="172"/>
      <c r="AA30" s="172"/>
      <c r="AB30" s="173"/>
    </row>
    <row r="31" spans="1:28" ht="59.25" customHeight="1">
      <c r="A31" s="32"/>
      <c r="B31" s="171"/>
      <c r="C31" s="172"/>
      <c r="D31" s="172"/>
      <c r="E31" s="172"/>
      <c r="F31" s="172"/>
      <c r="G31" s="172"/>
      <c r="H31" s="172"/>
      <c r="I31" s="172"/>
      <c r="J31" s="172"/>
      <c r="K31" s="172"/>
      <c r="L31" s="172"/>
      <c r="M31" s="172"/>
      <c r="N31" s="172"/>
      <c r="O31" s="172"/>
      <c r="P31" s="172"/>
      <c r="Q31" s="172"/>
      <c r="R31" s="172"/>
      <c r="S31" s="172"/>
      <c r="T31" s="172"/>
      <c r="U31" s="172"/>
      <c r="V31" s="172"/>
      <c r="W31" s="172"/>
      <c r="X31" s="172"/>
      <c r="Y31" s="172"/>
      <c r="Z31" s="172"/>
      <c r="AA31" s="172"/>
      <c r="AB31" s="173"/>
    </row>
    <row r="32" spans="1:28" ht="59.25" customHeight="1">
      <c r="A32" s="32"/>
      <c r="B32" s="171"/>
      <c r="C32" s="172"/>
      <c r="D32" s="172"/>
      <c r="E32" s="172"/>
      <c r="F32" s="172"/>
      <c r="G32" s="172"/>
      <c r="H32" s="172"/>
      <c r="I32" s="172"/>
      <c r="J32" s="172"/>
      <c r="K32" s="172"/>
      <c r="L32" s="172"/>
      <c r="M32" s="172"/>
      <c r="N32" s="172"/>
      <c r="O32" s="172"/>
      <c r="P32" s="172"/>
      <c r="Q32" s="172"/>
      <c r="R32" s="172"/>
      <c r="S32" s="172"/>
      <c r="T32" s="172"/>
      <c r="U32" s="172"/>
      <c r="V32" s="172"/>
      <c r="W32" s="172"/>
      <c r="X32" s="172"/>
      <c r="Y32" s="172"/>
      <c r="Z32" s="172"/>
      <c r="AA32" s="172"/>
      <c r="AB32" s="173"/>
    </row>
    <row r="33" spans="1:28" ht="59.25" customHeight="1">
      <c r="A33" s="32"/>
      <c r="B33" s="171"/>
      <c r="C33" s="172"/>
      <c r="D33" s="172"/>
      <c r="E33" s="172"/>
      <c r="F33" s="172"/>
      <c r="G33" s="172"/>
      <c r="H33" s="172"/>
      <c r="I33" s="172"/>
      <c r="J33" s="172"/>
      <c r="K33" s="172"/>
      <c r="L33" s="172"/>
      <c r="M33" s="172"/>
      <c r="N33" s="172"/>
      <c r="O33" s="172"/>
      <c r="P33" s="172"/>
      <c r="Q33" s="172"/>
      <c r="R33" s="172"/>
      <c r="S33" s="172"/>
      <c r="T33" s="172"/>
      <c r="U33" s="172"/>
      <c r="V33" s="172"/>
      <c r="W33" s="172"/>
      <c r="X33" s="172"/>
      <c r="Y33" s="172"/>
      <c r="Z33" s="172"/>
      <c r="AA33" s="172"/>
      <c r="AB33" s="173"/>
    </row>
    <row r="34" spans="1:28" ht="59.25" customHeight="1">
      <c r="A34" s="32"/>
      <c r="B34" s="171"/>
      <c r="C34" s="172"/>
      <c r="D34" s="172"/>
      <c r="E34" s="172"/>
      <c r="F34" s="172"/>
      <c r="G34" s="172"/>
      <c r="H34" s="172"/>
      <c r="I34" s="172"/>
      <c r="J34" s="172"/>
      <c r="K34" s="172"/>
      <c r="L34" s="172"/>
      <c r="M34" s="172"/>
      <c r="N34" s="172"/>
      <c r="O34" s="172"/>
      <c r="P34" s="172"/>
      <c r="Q34" s="172"/>
      <c r="R34" s="172"/>
      <c r="S34" s="172"/>
      <c r="T34" s="172"/>
      <c r="U34" s="172"/>
      <c r="V34" s="172"/>
      <c r="W34" s="172"/>
      <c r="X34" s="172"/>
      <c r="Y34" s="172"/>
      <c r="Z34" s="172"/>
      <c r="AA34" s="172"/>
      <c r="AB34" s="173"/>
    </row>
    <row r="35" spans="1:28" ht="59.25" customHeight="1">
      <c r="A35" s="32"/>
      <c r="B35" s="171"/>
      <c r="C35" s="172"/>
      <c r="D35" s="172"/>
      <c r="E35" s="172"/>
      <c r="F35" s="172"/>
      <c r="G35" s="172"/>
      <c r="H35" s="172"/>
      <c r="I35" s="172"/>
      <c r="J35" s="172"/>
      <c r="K35" s="172"/>
      <c r="L35" s="172"/>
      <c r="M35" s="172"/>
      <c r="N35" s="172"/>
      <c r="O35" s="172"/>
      <c r="P35" s="172"/>
      <c r="Q35" s="172"/>
      <c r="R35" s="172"/>
      <c r="S35" s="172"/>
      <c r="T35" s="172"/>
      <c r="U35" s="172"/>
      <c r="V35" s="172"/>
      <c r="W35" s="172"/>
      <c r="X35" s="172"/>
      <c r="Y35" s="172"/>
      <c r="Z35" s="172"/>
      <c r="AA35" s="172"/>
      <c r="AB35" s="173"/>
    </row>
    <row r="36" spans="1:28" ht="59.25" customHeight="1">
      <c r="A36" s="32"/>
      <c r="B36" s="171"/>
      <c r="C36" s="172"/>
      <c r="D36" s="172"/>
      <c r="E36" s="172"/>
      <c r="F36" s="172"/>
      <c r="G36" s="172"/>
      <c r="H36" s="172"/>
      <c r="I36" s="172"/>
      <c r="J36" s="172"/>
      <c r="K36" s="172"/>
      <c r="L36" s="172"/>
      <c r="M36" s="172"/>
      <c r="N36" s="172"/>
      <c r="O36" s="172"/>
      <c r="P36" s="172"/>
      <c r="Q36" s="172"/>
      <c r="R36" s="172"/>
      <c r="S36" s="172"/>
      <c r="T36" s="172"/>
      <c r="U36" s="172"/>
      <c r="V36" s="172"/>
      <c r="W36" s="172"/>
      <c r="X36" s="172"/>
      <c r="Y36" s="172"/>
      <c r="Z36" s="172"/>
      <c r="AA36" s="172"/>
      <c r="AB36" s="173"/>
    </row>
    <row r="37" spans="1:28" ht="59.25" customHeight="1">
      <c r="A37" s="32"/>
      <c r="B37" s="171"/>
      <c r="C37" s="172"/>
      <c r="D37" s="172"/>
      <c r="E37" s="172"/>
      <c r="F37" s="172"/>
      <c r="G37" s="172"/>
      <c r="H37" s="172"/>
      <c r="I37" s="172"/>
      <c r="J37" s="172"/>
      <c r="K37" s="172"/>
      <c r="L37" s="172"/>
      <c r="M37" s="172"/>
      <c r="N37" s="172"/>
      <c r="O37" s="172"/>
      <c r="P37" s="172"/>
      <c r="Q37" s="172"/>
      <c r="R37" s="172"/>
      <c r="S37" s="172"/>
      <c r="T37" s="172"/>
      <c r="U37" s="172"/>
      <c r="V37" s="172"/>
      <c r="W37" s="172"/>
      <c r="X37" s="172"/>
      <c r="Y37" s="172"/>
      <c r="Z37" s="172"/>
      <c r="AA37" s="172"/>
      <c r="AB37" s="173"/>
    </row>
    <row r="38" spans="1:28" ht="59.25" customHeight="1">
      <c r="A38" s="32"/>
      <c r="B38" s="171"/>
      <c r="C38" s="172"/>
      <c r="D38" s="172"/>
      <c r="E38" s="172"/>
      <c r="F38" s="172"/>
      <c r="G38" s="172"/>
      <c r="H38" s="172"/>
      <c r="I38" s="172"/>
      <c r="J38" s="172"/>
      <c r="K38" s="172"/>
      <c r="L38" s="172"/>
      <c r="M38" s="172"/>
      <c r="N38" s="172"/>
      <c r="O38" s="172"/>
      <c r="P38" s="172"/>
      <c r="Q38" s="172"/>
      <c r="R38" s="172"/>
      <c r="S38" s="172"/>
      <c r="T38" s="172"/>
      <c r="U38" s="172"/>
      <c r="V38" s="172"/>
      <c r="W38" s="172"/>
      <c r="X38" s="172"/>
      <c r="Y38" s="172"/>
      <c r="Z38" s="172"/>
      <c r="AA38" s="172"/>
      <c r="AB38" s="173"/>
    </row>
    <row r="39" spans="1:28" ht="59.25" customHeight="1">
      <c r="A39" s="32"/>
      <c r="B39" s="171"/>
      <c r="C39" s="172"/>
      <c r="D39" s="172"/>
      <c r="E39" s="172"/>
      <c r="F39" s="172"/>
      <c r="G39" s="172"/>
      <c r="H39" s="172"/>
      <c r="I39" s="172"/>
      <c r="J39" s="172"/>
      <c r="K39" s="172"/>
      <c r="L39" s="172"/>
      <c r="M39" s="172"/>
      <c r="N39" s="172"/>
      <c r="O39" s="172"/>
      <c r="P39" s="172"/>
      <c r="Q39" s="172"/>
      <c r="R39" s="172"/>
      <c r="S39" s="172"/>
      <c r="T39" s="172"/>
      <c r="U39" s="172"/>
      <c r="V39" s="172"/>
      <c r="W39" s="172"/>
      <c r="X39" s="172"/>
      <c r="Y39" s="172"/>
      <c r="Z39" s="172"/>
      <c r="AA39" s="172"/>
      <c r="AB39" s="173"/>
    </row>
    <row r="40" spans="1:28" ht="22.5" customHeight="1"/>
    <row r="41" spans="1:28" ht="22.5" customHeight="1"/>
    <row r="42" spans="1:28" ht="22.5" customHeight="1"/>
    <row r="43" spans="1:28" ht="22.5" customHeight="1"/>
    <row r="44" spans="1:28" ht="17.25" customHeight="1"/>
    <row r="45" spans="1:28" ht="17.25" customHeight="1"/>
    <row r="46" spans="1:28" ht="17.25" customHeight="1"/>
    <row r="47" spans="1:28" ht="17.25" customHeight="1"/>
    <row r="48" spans="1:28" ht="17.25" customHeight="1"/>
    <row r="49" ht="17.25" customHeight="1"/>
    <row r="50" ht="17.25" customHeight="1"/>
    <row r="51" ht="17.25" customHeight="1"/>
    <row r="52" ht="17.25" customHeight="1"/>
    <row r="53" ht="17.25" customHeight="1"/>
    <row r="54" ht="17.25" customHeight="1"/>
    <row r="55" ht="17.25" customHeight="1"/>
    <row r="56" ht="17.25" customHeight="1"/>
    <row r="57" ht="17.25" customHeight="1"/>
    <row r="58" ht="17.25" customHeight="1"/>
    <row r="59" ht="17.25" customHeight="1"/>
    <row r="60" ht="17.25" customHeight="1"/>
    <row r="61" ht="17.25" customHeight="1"/>
    <row r="62" ht="17.25" customHeight="1"/>
    <row r="63" ht="17.25" customHeight="1"/>
    <row r="64"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row r="155" ht="17.25" customHeight="1"/>
    <row r="156" ht="17.25" customHeight="1"/>
    <row r="157" ht="17.25" customHeight="1"/>
    <row r="158" ht="17.25" customHeight="1"/>
    <row r="159" ht="17.25" customHeight="1"/>
    <row r="160" ht="17.25" customHeight="1"/>
    <row r="161" ht="17.25" customHeight="1"/>
    <row r="162" ht="17.25" customHeight="1"/>
    <row r="163" ht="17.25" customHeight="1"/>
    <row r="164" ht="17.25" customHeight="1"/>
    <row r="165" ht="17.25" customHeight="1"/>
    <row r="166" ht="17.25" customHeight="1"/>
    <row r="167" ht="17.25" customHeight="1"/>
    <row r="168" ht="17.25" customHeight="1"/>
    <row r="169" ht="17.25" customHeight="1"/>
    <row r="170" ht="17.25" customHeight="1"/>
    <row r="171" ht="17.25" customHeight="1"/>
    <row r="172" ht="17.25" customHeight="1"/>
    <row r="173" ht="17.25" customHeight="1"/>
    <row r="174" ht="17.25" customHeight="1"/>
    <row r="175" ht="17.25" customHeight="1"/>
    <row r="176" ht="17.25" customHeight="1"/>
    <row r="177" ht="17.25" customHeight="1"/>
    <row r="178" ht="17.25" customHeight="1"/>
    <row r="179" ht="17.25" customHeight="1"/>
    <row r="180" ht="17.25" customHeight="1"/>
    <row r="181" ht="17.25" customHeight="1"/>
    <row r="182" ht="17.25" customHeight="1"/>
    <row r="183" ht="17.25" customHeight="1"/>
    <row r="184" ht="17.25" customHeight="1"/>
    <row r="185" ht="17.25" customHeight="1"/>
    <row r="186" ht="17.25" customHeight="1"/>
    <row r="187" ht="17.25" customHeight="1"/>
    <row r="188" ht="17.25" customHeight="1"/>
    <row r="189" ht="17.25" customHeight="1"/>
    <row r="190" ht="17.25" customHeight="1"/>
    <row r="191" ht="17.25" customHeight="1"/>
    <row r="192" ht="17.25" customHeight="1"/>
    <row r="193" ht="17.25" customHeight="1"/>
  </sheetData>
  <mergeCells count="27">
    <mergeCell ref="B38:AB38"/>
    <mergeCell ref="B39:AB39"/>
    <mergeCell ref="B31:AB31"/>
    <mergeCell ref="B32:AB32"/>
    <mergeCell ref="B26:AB26"/>
    <mergeCell ref="B27:AB27"/>
    <mergeCell ref="B28:AB28"/>
    <mergeCell ref="B29:AB29"/>
    <mergeCell ref="B30:AB30"/>
    <mergeCell ref="B35:AB35"/>
    <mergeCell ref="B36:AB36"/>
    <mergeCell ref="B37:AB37"/>
    <mergeCell ref="B14:AB14"/>
    <mergeCell ref="B15:AB15"/>
    <mergeCell ref="A2:A12"/>
    <mergeCell ref="B16:AB16"/>
    <mergeCell ref="B17:AB17"/>
    <mergeCell ref="B18:AB18"/>
    <mergeCell ref="B19:AB19"/>
    <mergeCell ref="B20:AB20"/>
    <mergeCell ref="B21:AB21"/>
    <mergeCell ref="B22:AB22"/>
    <mergeCell ref="B23:AB23"/>
    <mergeCell ref="B24:AB24"/>
    <mergeCell ref="B25:AB25"/>
    <mergeCell ref="B33:AB33"/>
    <mergeCell ref="B34:AB34"/>
  </mergeCells>
  <phoneticPr fontId="1"/>
  <dataValidations count="2">
    <dataValidation type="list" allowBlank="1" showDropDown="1" showInputMessage="1" showErrorMessage="1" sqref="D2:AB11">
      <formula1>$AC$2:$AC$5</formula1>
    </dataValidation>
    <dataValidation type="list" allowBlank="1" showDropDown="1" showInputMessage="1" showErrorMessage="1" errorTitle="文字エラー" error="半角数字1～5か、評価不能の場合は-（半角マイナス）を入れて下さい。" sqref="D12:AB13">
      <formula1>$AD$2:$AD$7</formula1>
    </dataValidation>
  </dataValidation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1"/>
  </sheetPr>
  <dimension ref="A1:C179"/>
  <sheetViews>
    <sheetView workbookViewId="0">
      <selection sqref="A1:XFD1048576"/>
    </sheetView>
  </sheetViews>
  <sheetFormatPr defaultRowHeight="13.5"/>
  <cols>
    <col min="1" max="1" width="13.5" style="4" customWidth="1"/>
    <col min="2" max="2" width="147.75" style="4" customWidth="1"/>
    <col min="3" max="16384" width="9" style="4"/>
  </cols>
  <sheetData>
    <row r="1" spans="1:3" ht="27.75" customHeight="1">
      <c r="A1" s="21" t="str">
        <f ca="1">MID(CELL("filename",A1),FIND("[",CELL("filename",A1))+1,3)</f>
        <v>８－２</v>
      </c>
      <c r="B1" s="22" t="str">
        <f ca="1">RIGHT(CELL("filename",B1),LEN(CELL("filename",B1))-FIND("]",CELL("filename",B1)))</f>
        <v>道徳</v>
      </c>
      <c r="C1" s="33" t="s">
        <v>21</v>
      </c>
    </row>
    <row r="2" spans="1:3" ht="22.5" customHeight="1">
      <c r="A2" s="31" t="s">
        <v>20</v>
      </c>
      <c r="B2" s="34" t="s">
        <v>3</v>
      </c>
      <c r="C2" s="4" t="s">
        <v>243</v>
      </c>
    </row>
    <row r="3" spans="1:3" ht="59.25" customHeight="1">
      <c r="A3" s="32" t="s">
        <v>64</v>
      </c>
      <c r="B3" s="35" t="s">
        <v>244</v>
      </c>
      <c r="C3" s="4">
        <f>LEN(B3)</f>
        <v>151</v>
      </c>
    </row>
    <row r="4" spans="1:3" ht="59.25" customHeight="1">
      <c r="A4" s="32" t="s">
        <v>65</v>
      </c>
      <c r="B4" s="35" t="s">
        <v>244</v>
      </c>
      <c r="C4" s="4">
        <f t="shared" ref="C4:C27" si="0">LEN(B4)</f>
        <v>151</v>
      </c>
    </row>
    <row r="5" spans="1:3" ht="59.25" customHeight="1">
      <c r="A5" s="32" t="s">
        <v>66</v>
      </c>
      <c r="B5" s="35" t="s">
        <v>137</v>
      </c>
      <c r="C5" s="4">
        <f t="shared" si="0"/>
        <v>184</v>
      </c>
    </row>
    <row r="6" spans="1:3" ht="59.25" customHeight="1">
      <c r="A6" s="32" t="s">
        <v>67</v>
      </c>
      <c r="B6" s="88" t="s">
        <v>138</v>
      </c>
      <c r="C6" s="4">
        <f t="shared" si="0"/>
        <v>180</v>
      </c>
    </row>
    <row r="7" spans="1:3" ht="59.25" customHeight="1">
      <c r="A7" s="32" t="s">
        <v>139</v>
      </c>
      <c r="B7" s="35" t="s">
        <v>140</v>
      </c>
      <c r="C7" s="4">
        <f t="shared" si="0"/>
        <v>161</v>
      </c>
    </row>
    <row r="8" spans="1:3" ht="59.25" customHeight="1">
      <c r="A8" s="32" t="s">
        <v>69</v>
      </c>
      <c r="B8" s="35" t="s">
        <v>141</v>
      </c>
      <c r="C8" s="4">
        <f t="shared" si="0"/>
        <v>175</v>
      </c>
    </row>
    <row r="9" spans="1:3" ht="59.25" customHeight="1">
      <c r="A9" s="32" t="s">
        <v>70</v>
      </c>
      <c r="B9" s="35" t="s">
        <v>142</v>
      </c>
      <c r="C9" s="4">
        <f t="shared" si="0"/>
        <v>189</v>
      </c>
    </row>
    <row r="10" spans="1:3" ht="59.25" customHeight="1">
      <c r="A10" s="32" t="s">
        <v>71</v>
      </c>
      <c r="B10" s="35" t="s">
        <v>245</v>
      </c>
      <c r="C10" s="4">
        <f t="shared" si="0"/>
        <v>172</v>
      </c>
    </row>
    <row r="11" spans="1:3" ht="59.25" customHeight="1">
      <c r="A11" s="32" t="s">
        <v>72</v>
      </c>
      <c r="B11" s="35" t="s">
        <v>143</v>
      </c>
      <c r="C11" s="4">
        <f t="shared" si="0"/>
        <v>152</v>
      </c>
    </row>
    <row r="12" spans="1:3" ht="59.25" customHeight="1">
      <c r="A12" s="32" t="s">
        <v>73</v>
      </c>
      <c r="B12" s="35" t="s">
        <v>144</v>
      </c>
      <c r="C12" s="4">
        <f t="shared" si="0"/>
        <v>191</v>
      </c>
    </row>
    <row r="13" spans="1:3" ht="59.25" customHeight="1">
      <c r="A13" s="32" t="s">
        <v>74</v>
      </c>
      <c r="B13" s="35" t="s">
        <v>145</v>
      </c>
      <c r="C13" s="4">
        <f t="shared" si="0"/>
        <v>161</v>
      </c>
    </row>
    <row r="14" spans="1:3" ht="59.25" customHeight="1">
      <c r="A14" s="32" t="s">
        <v>75</v>
      </c>
      <c r="B14" s="35" t="s">
        <v>146</v>
      </c>
      <c r="C14" s="4">
        <f t="shared" si="0"/>
        <v>171</v>
      </c>
    </row>
    <row r="15" spans="1:3" ht="59.25" customHeight="1">
      <c r="A15" s="32" t="s">
        <v>76</v>
      </c>
      <c r="B15" s="35" t="s">
        <v>147</v>
      </c>
      <c r="C15" s="4">
        <f t="shared" si="0"/>
        <v>176</v>
      </c>
    </row>
    <row r="16" spans="1:3" ht="59.25" customHeight="1">
      <c r="A16" s="32" t="s">
        <v>77</v>
      </c>
      <c r="B16" s="35" t="s">
        <v>148</v>
      </c>
      <c r="C16" s="4">
        <f t="shared" si="0"/>
        <v>180</v>
      </c>
    </row>
    <row r="17" spans="1:3" ht="59.25" customHeight="1">
      <c r="A17" s="32" t="s">
        <v>78</v>
      </c>
      <c r="B17" s="35" t="s">
        <v>149</v>
      </c>
      <c r="C17" s="4">
        <f t="shared" si="0"/>
        <v>169</v>
      </c>
    </row>
    <row r="18" spans="1:3" ht="59.25" customHeight="1">
      <c r="A18" s="32" t="s">
        <v>79</v>
      </c>
      <c r="B18" s="35" t="s">
        <v>150</v>
      </c>
      <c r="C18" s="4">
        <f t="shared" si="0"/>
        <v>181</v>
      </c>
    </row>
    <row r="19" spans="1:3" ht="59.25" customHeight="1">
      <c r="A19" s="32"/>
      <c r="B19" s="35"/>
      <c r="C19" s="4">
        <f t="shared" si="0"/>
        <v>0</v>
      </c>
    </row>
    <row r="20" spans="1:3" ht="59.25" customHeight="1">
      <c r="A20" s="32"/>
      <c r="B20" s="35"/>
      <c r="C20" s="4">
        <f t="shared" si="0"/>
        <v>0</v>
      </c>
    </row>
    <row r="21" spans="1:3" ht="59.25" customHeight="1">
      <c r="A21" s="32"/>
      <c r="B21" s="35"/>
      <c r="C21" s="4">
        <f t="shared" si="0"/>
        <v>0</v>
      </c>
    </row>
    <row r="22" spans="1:3" ht="59.25" customHeight="1">
      <c r="A22" s="32"/>
      <c r="B22" s="35"/>
      <c r="C22" s="4">
        <f t="shared" si="0"/>
        <v>0</v>
      </c>
    </row>
    <row r="23" spans="1:3" ht="59.25" customHeight="1">
      <c r="A23" s="32"/>
      <c r="B23" s="35"/>
      <c r="C23" s="4">
        <f t="shared" si="0"/>
        <v>0</v>
      </c>
    </row>
    <row r="24" spans="1:3" ht="59.25" customHeight="1">
      <c r="A24" s="32"/>
      <c r="B24" s="35"/>
      <c r="C24" s="4">
        <f t="shared" si="0"/>
        <v>0</v>
      </c>
    </row>
    <row r="25" spans="1:3" ht="59.25" customHeight="1">
      <c r="A25" s="32"/>
      <c r="B25" s="35"/>
      <c r="C25" s="4">
        <f t="shared" si="0"/>
        <v>0</v>
      </c>
    </row>
    <row r="26" spans="1:3" ht="59.25" customHeight="1">
      <c r="A26" s="32"/>
      <c r="B26" s="35"/>
      <c r="C26" s="4">
        <f t="shared" si="0"/>
        <v>0</v>
      </c>
    </row>
    <row r="27" spans="1:3" ht="59.25" customHeight="1">
      <c r="A27" s="32"/>
      <c r="B27" s="35"/>
      <c r="C27" s="4">
        <f t="shared" si="0"/>
        <v>0</v>
      </c>
    </row>
    <row r="28" spans="1:3" ht="22.5" customHeight="1"/>
    <row r="29" spans="1:3" ht="22.5" customHeight="1"/>
    <row r="30" spans="1:3" ht="17.25" customHeight="1"/>
    <row r="31" spans="1:3" ht="17.25" customHeight="1"/>
    <row r="32" spans="1:3" ht="17.25" customHeight="1"/>
    <row r="33" ht="17.25" customHeight="1"/>
    <row r="34" ht="17.25" customHeight="1"/>
    <row r="35" ht="17.25" customHeight="1"/>
    <row r="36" ht="17.25" customHeight="1"/>
    <row r="37" ht="17.25" customHeight="1"/>
    <row r="38" ht="17.25" customHeight="1"/>
    <row r="39" ht="17.25" customHeight="1"/>
    <row r="40" ht="17.25" customHeight="1"/>
    <row r="41" ht="17.25" customHeight="1"/>
    <row r="42" ht="17.25" customHeight="1"/>
    <row r="43" ht="17.25" customHeight="1"/>
    <row r="44" ht="17.25" customHeight="1"/>
    <row r="45" ht="17.25" customHeight="1"/>
    <row r="46" ht="17.25" customHeight="1"/>
    <row r="47" ht="17.25" customHeight="1"/>
    <row r="48" ht="17.25" customHeight="1"/>
    <row r="49" ht="17.25" customHeight="1"/>
    <row r="50" ht="17.25" customHeight="1"/>
    <row r="51" ht="17.25" customHeight="1"/>
    <row r="52" ht="17.25" customHeight="1"/>
    <row r="53" ht="17.25" customHeight="1"/>
    <row r="54" ht="17.25" customHeight="1"/>
    <row r="55" ht="17.25" customHeight="1"/>
    <row r="56" ht="17.25" customHeight="1"/>
    <row r="57" ht="17.25" customHeight="1"/>
    <row r="58" ht="17.25" customHeight="1"/>
    <row r="59" ht="17.25" customHeight="1"/>
    <row r="60" ht="17.25" customHeight="1"/>
    <row r="61" ht="17.25" customHeight="1"/>
    <row r="62" ht="17.25" customHeight="1"/>
    <row r="63" ht="17.25" customHeight="1"/>
    <row r="64"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row r="155" ht="17.25" customHeight="1"/>
    <row r="156" ht="17.25" customHeight="1"/>
    <row r="157" ht="17.25" customHeight="1"/>
    <row r="158" ht="17.25" customHeight="1"/>
    <row r="159" ht="17.25" customHeight="1"/>
    <row r="160" ht="17.25" customHeight="1"/>
    <row r="161" ht="17.25" customHeight="1"/>
    <row r="162" ht="17.25" customHeight="1"/>
    <row r="163" ht="17.25" customHeight="1"/>
    <row r="164" ht="17.25" customHeight="1"/>
    <row r="165" ht="17.25" customHeight="1"/>
    <row r="166" ht="17.25" customHeight="1"/>
    <row r="167" ht="17.25" customHeight="1"/>
    <row r="168" ht="17.25" customHeight="1"/>
    <row r="169" ht="17.25" customHeight="1"/>
    <row r="170" ht="17.25" customHeight="1"/>
    <row r="171" ht="17.25" customHeight="1"/>
    <row r="172" ht="17.25" customHeight="1"/>
    <row r="173" ht="17.25" customHeight="1"/>
    <row r="174" ht="17.25" customHeight="1"/>
    <row r="175" ht="17.25" customHeight="1"/>
    <row r="176" ht="17.25" customHeight="1"/>
    <row r="177" ht="17.25" customHeight="1"/>
    <row r="178" ht="17.25" customHeight="1"/>
    <row r="179" ht="17.25" customHeight="1"/>
  </sheetData>
  <phoneticPr fontId="1"/>
  <conditionalFormatting sqref="C27 C3:C25">
    <cfRule type="cellIs" dxfId="8" priority="4" operator="greaterThan">
      <formula>200</formula>
    </cfRule>
    <cfRule type="cellIs" dxfId="7" priority="5" operator="lessThan">
      <formula>150</formula>
    </cfRule>
    <cfRule type="cellIs" dxfId="6" priority="6" operator="between">
      <formula>150</formula>
      <formula>200</formula>
    </cfRule>
  </conditionalFormatting>
  <conditionalFormatting sqref="C26">
    <cfRule type="cellIs" dxfId="5" priority="1" operator="greaterThan">
      <formula>200</formula>
    </cfRule>
    <cfRule type="cellIs" dxfId="4" priority="2" operator="lessThan">
      <formula>150</formula>
    </cfRule>
    <cfRule type="cellIs" dxfId="3" priority="3" operator="between">
      <formula>150</formula>
      <formula>200</formula>
    </cfRule>
  </conditionalFormatting>
  <pageMargins left="0.7" right="0.7" top="0.75" bottom="0.75" header="0.3" footer="0.3"/>
  <pageSetup paperSize="9" orientation="portrait" horizontalDpi="0"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1"/>
  </sheetPr>
  <dimension ref="A1:AC91"/>
  <sheetViews>
    <sheetView workbookViewId="0">
      <selection sqref="A1:XFD1048576"/>
    </sheetView>
  </sheetViews>
  <sheetFormatPr defaultColWidth="9" defaultRowHeight="13.5"/>
  <cols>
    <col min="1" max="1" width="13.5" style="4" customWidth="1"/>
    <col min="2" max="2" width="64.5" style="4" customWidth="1"/>
    <col min="3" max="3" width="9.375" style="4" customWidth="1"/>
    <col min="4" max="28" width="4.125" style="4" customWidth="1"/>
    <col min="29" max="29" width="6.125" style="4" customWidth="1"/>
    <col min="30" max="16384" width="9" style="4"/>
  </cols>
  <sheetData>
    <row r="1" spans="1:29" ht="93.75" customHeight="1">
      <c r="A1" s="36" t="str">
        <f ca="1">MID(CELL("filename",A1),FIND("[",CELL("filename",A1))+1,3)</f>
        <v>８－２</v>
      </c>
      <c r="B1" s="37" t="s">
        <v>43</v>
      </c>
      <c r="C1" s="38" t="s">
        <v>41</v>
      </c>
      <c r="D1" s="24" t="str">
        <f>A9</f>
        <v>岡田 明日香</v>
      </c>
      <c r="E1" s="24" t="str">
        <f>A10</f>
        <v>荻原 知香</v>
      </c>
      <c r="F1" s="24" t="str">
        <f>A11</f>
        <v>片桐 葵</v>
      </c>
      <c r="G1" s="24" t="str">
        <f>A12</f>
        <v>上島 碧依</v>
      </c>
      <c r="H1" s="24" t="str">
        <f>A13</f>
        <v>藏井 陽菜乃</v>
      </c>
      <c r="I1" s="24" t="str">
        <f>A14</f>
        <v>小松 雅治</v>
      </c>
      <c r="J1" s="24" t="str">
        <f>A15</f>
        <v>須藤 爽斗</v>
      </c>
      <c r="K1" s="24" t="str">
        <f>A16</f>
        <v>滝 陽香</v>
      </c>
      <c r="L1" s="24" t="str">
        <f>A17</f>
        <v>永江 仁</v>
      </c>
      <c r="M1" s="24" t="str">
        <f>A18</f>
        <v>林 果菜</v>
      </c>
      <c r="N1" s="24" t="str">
        <f>A19</f>
        <v>原 維香</v>
      </c>
      <c r="O1" s="24" t="str">
        <f>A20</f>
        <v>丸山 心音</v>
      </c>
      <c r="P1" s="24" t="str">
        <f>A21</f>
        <v>森本 浩士</v>
      </c>
      <c r="Q1" s="24" t="str">
        <f>A22</f>
        <v>栁沢 美緒</v>
      </c>
      <c r="R1" s="24" t="str">
        <f>A23</f>
        <v>横山 麟太</v>
      </c>
      <c r="S1" s="24" t="str">
        <f>A24</f>
        <v>渡邊 了介</v>
      </c>
      <c r="T1" s="24">
        <f>A25</f>
        <v>0</v>
      </c>
      <c r="U1" s="24">
        <f>A26</f>
        <v>0</v>
      </c>
      <c r="V1" s="24">
        <f>A27</f>
        <v>0</v>
      </c>
      <c r="W1" s="24">
        <f>A28</f>
        <v>0</v>
      </c>
      <c r="X1" s="24">
        <f>A29</f>
        <v>0</v>
      </c>
      <c r="Y1" s="24">
        <f>A30</f>
        <v>0</v>
      </c>
      <c r="Z1" s="24">
        <f>A31</f>
        <v>0</v>
      </c>
      <c r="AA1" s="24">
        <f>A32</f>
        <v>0</v>
      </c>
      <c r="AB1" s="24">
        <f>A33</f>
        <v>0</v>
      </c>
      <c r="AC1" s="25"/>
    </row>
    <row r="2" spans="1:29" ht="22.5" customHeight="1">
      <c r="A2" s="195" t="s">
        <v>42</v>
      </c>
      <c r="B2" s="73" t="s">
        <v>196</v>
      </c>
      <c r="C2" s="26" t="s">
        <v>246</v>
      </c>
      <c r="D2" s="27" t="s">
        <v>247</v>
      </c>
      <c r="E2" s="27" t="s">
        <v>247</v>
      </c>
      <c r="F2" s="27" t="s">
        <v>248</v>
      </c>
      <c r="G2" s="27" t="s">
        <v>247</v>
      </c>
      <c r="H2" s="27" t="s">
        <v>247</v>
      </c>
      <c r="I2" s="27" t="s">
        <v>248</v>
      </c>
      <c r="J2" s="27" t="s">
        <v>247</v>
      </c>
      <c r="K2" s="27" t="s">
        <v>199</v>
      </c>
      <c r="L2" s="27" t="s">
        <v>202</v>
      </c>
      <c r="M2" s="27" t="s">
        <v>202</v>
      </c>
      <c r="N2" s="27" t="s">
        <v>202</v>
      </c>
      <c r="O2" s="27" t="s">
        <v>199</v>
      </c>
      <c r="P2" s="27" t="s">
        <v>199</v>
      </c>
      <c r="Q2" s="27" t="s">
        <v>199</v>
      </c>
      <c r="R2" s="27" t="s">
        <v>202</v>
      </c>
      <c r="S2" s="27" t="s">
        <v>199</v>
      </c>
      <c r="T2" s="27"/>
      <c r="U2" s="27"/>
      <c r="V2" s="27"/>
      <c r="W2" s="27"/>
      <c r="X2" s="27"/>
      <c r="Y2" s="27"/>
      <c r="Z2" s="27"/>
      <c r="AA2" s="27"/>
      <c r="AB2" s="27"/>
      <c r="AC2" s="56" t="s">
        <v>247</v>
      </c>
    </row>
    <row r="3" spans="1:29" ht="22.5" customHeight="1">
      <c r="A3" s="196"/>
      <c r="B3" s="73" t="s">
        <v>249</v>
      </c>
      <c r="C3" s="74" t="s">
        <v>246</v>
      </c>
      <c r="D3" s="27" t="s">
        <v>202</v>
      </c>
      <c r="E3" s="27" t="s">
        <v>202</v>
      </c>
      <c r="F3" s="27" t="s">
        <v>202</v>
      </c>
      <c r="G3" s="27" t="s">
        <v>202</v>
      </c>
      <c r="H3" s="27" t="s">
        <v>199</v>
      </c>
      <c r="I3" s="27" t="s">
        <v>199</v>
      </c>
      <c r="J3" s="27" t="s">
        <v>202</v>
      </c>
      <c r="K3" s="27" t="s">
        <v>202</v>
      </c>
      <c r="L3" s="27" t="s">
        <v>203</v>
      </c>
      <c r="M3" s="27" t="s">
        <v>199</v>
      </c>
      <c r="N3" s="27" t="s">
        <v>203</v>
      </c>
      <c r="O3" s="27" t="s">
        <v>202</v>
      </c>
      <c r="P3" s="27" t="s">
        <v>199</v>
      </c>
      <c r="Q3" s="27" t="s">
        <v>199</v>
      </c>
      <c r="R3" s="27" t="s">
        <v>202</v>
      </c>
      <c r="S3" s="27" t="s">
        <v>199</v>
      </c>
      <c r="T3" s="27"/>
      <c r="U3" s="27"/>
      <c r="V3" s="27"/>
      <c r="W3" s="27"/>
      <c r="X3" s="27"/>
      <c r="Y3" s="27"/>
      <c r="Z3" s="27"/>
      <c r="AA3" s="27"/>
      <c r="AB3" s="27"/>
      <c r="AC3" s="56" t="s">
        <v>202</v>
      </c>
    </row>
    <row r="4" spans="1:29" ht="22.5" customHeight="1">
      <c r="A4" s="196"/>
      <c r="B4" s="73" t="s">
        <v>250</v>
      </c>
      <c r="C4" s="26" t="s">
        <v>251</v>
      </c>
      <c r="D4" s="27" t="s">
        <v>202</v>
      </c>
      <c r="E4" s="27" t="s">
        <v>199</v>
      </c>
      <c r="F4" s="27" t="s">
        <v>202</v>
      </c>
      <c r="G4" s="27" t="s">
        <v>199</v>
      </c>
      <c r="H4" s="27" t="s">
        <v>202</v>
      </c>
      <c r="I4" s="27" t="s">
        <v>199</v>
      </c>
      <c r="J4" s="27" t="s">
        <v>199</v>
      </c>
      <c r="K4" s="27" t="s">
        <v>202</v>
      </c>
      <c r="L4" s="27" t="s">
        <v>202</v>
      </c>
      <c r="M4" s="27" t="s">
        <v>199</v>
      </c>
      <c r="N4" s="27" t="s">
        <v>202</v>
      </c>
      <c r="O4" s="27" t="s">
        <v>199</v>
      </c>
      <c r="P4" s="27" t="s">
        <v>199</v>
      </c>
      <c r="Q4" s="27" t="s">
        <v>199</v>
      </c>
      <c r="R4" s="27" t="s">
        <v>202</v>
      </c>
      <c r="S4" s="27" t="s">
        <v>199</v>
      </c>
      <c r="T4" s="27"/>
      <c r="U4" s="27"/>
      <c r="V4" s="27"/>
      <c r="W4" s="27"/>
      <c r="X4" s="27"/>
      <c r="Y4" s="27"/>
      <c r="Z4" s="27"/>
      <c r="AA4" s="27"/>
      <c r="AB4" s="27"/>
      <c r="AC4" s="56" t="s">
        <v>203</v>
      </c>
    </row>
    <row r="5" spans="1:29" ht="22.5" customHeight="1">
      <c r="A5" s="196"/>
      <c r="B5" s="73" t="s">
        <v>252</v>
      </c>
      <c r="C5" s="74" t="s">
        <v>251</v>
      </c>
      <c r="D5" s="27" t="s">
        <v>199</v>
      </c>
      <c r="E5" s="27" t="s">
        <v>199</v>
      </c>
      <c r="F5" s="27" t="s">
        <v>202</v>
      </c>
      <c r="G5" s="27" t="s">
        <v>199</v>
      </c>
      <c r="H5" s="27" t="s">
        <v>199</v>
      </c>
      <c r="I5" s="27" t="s">
        <v>199</v>
      </c>
      <c r="J5" s="27" t="s">
        <v>199</v>
      </c>
      <c r="K5" s="27" t="s">
        <v>199</v>
      </c>
      <c r="L5" s="27" t="s">
        <v>202</v>
      </c>
      <c r="M5" s="27" t="s">
        <v>199</v>
      </c>
      <c r="N5" s="27" t="s">
        <v>199</v>
      </c>
      <c r="O5" s="27" t="s">
        <v>199</v>
      </c>
      <c r="P5" s="27" t="s">
        <v>199</v>
      </c>
      <c r="Q5" s="27" t="s">
        <v>199</v>
      </c>
      <c r="R5" s="27" t="s">
        <v>199</v>
      </c>
      <c r="S5" s="27" t="s">
        <v>199</v>
      </c>
      <c r="T5" s="27"/>
      <c r="U5" s="27"/>
      <c r="V5" s="27"/>
      <c r="W5" s="27"/>
      <c r="X5" s="27"/>
      <c r="Y5" s="27"/>
      <c r="Z5" s="27"/>
      <c r="AA5" s="27"/>
      <c r="AB5" s="27"/>
      <c r="AC5" s="56" t="s">
        <v>205</v>
      </c>
    </row>
    <row r="6" spans="1:29" ht="22.5" customHeight="1">
      <c r="A6" s="196"/>
      <c r="B6" s="73" t="s">
        <v>253</v>
      </c>
      <c r="C6" s="74" t="s">
        <v>251</v>
      </c>
      <c r="D6" s="27" t="s">
        <v>199</v>
      </c>
      <c r="E6" s="27" t="s">
        <v>199</v>
      </c>
      <c r="F6" s="27" t="s">
        <v>199</v>
      </c>
      <c r="G6" s="27" t="s">
        <v>199</v>
      </c>
      <c r="H6" s="27" t="s">
        <v>199</v>
      </c>
      <c r="I6" s="27" t="s">
        <v>199</v>
      </c>
      <c r="J6" s="27" t="s">
        <v>199</v>
      </c>
      <c r="K6" s="27" t="s">
        <v>199</v>
      </c>
      <c r="L6" s="27" t="s">
        <v>199</v>
      </c>
      <c r="M6" s="27" t="s">
        <v>199</v>
      </c>
      <c r="N6" s="27" t="s">
        <v>199</v>
      </c>
      <c r="O6" s="27" t="s">
        <v>202</v>
      </c>
      <c r="P6" s="27" t="s">
        <v>202</v>
      </c>
      <c r="Q6" s="27" t="s">
        <v>199</v>
      </c>
      <c r="R6" s="27" t="s">
        <v>199</v>
      </c>
      <c r="S6" s="27" t="s">
        <v>199</v>
      </c>
      <c r="T6" s="27"/>
      <c r="U6" s="27"/>
      <c r="V6" s="27"/>
      <c r="W6" s="27"/>
      <c r="X6" s="27"/>
      <c r="Y6" s="27"/>
      <c r="Z6" s="27"/>
      <c r="AA6" s="27"/>
      <c r="AB6" s="27"/>
    </row>
    <row r="7" spans="1:29" ht="22.5" customHeight="1">
      <c r="A7" s="196"/>
      <c r="B7" s="73" t="s">
        <v>254</v>
      </c>
      <c r="C7" s="26" t="s">
        <v>251</v>
      </c>
      <c r="D7" s="27" t="s">
        <v>199</v>
      </c>
      <c r="E7" s="27" t="s">
        <v>199</v>
      </c>
      <c r="F7" s="27" t="s">
        <v>199</v>
      </c>
      <c r="G7" s="27" t="s">
        <v>199</v>
      </c>
      <c r="H7" s="27" t="s">
        <v>199</v>
      </c>
      <c r="I7" s="27" t="s">
        <v>199</v>
      </c>
      <c r="J7" s="27" t="s">
        <v>199</v>
      </c>
      <c r="K7" s="27" t="s">
        <v>202</v>
      </c>
      <c r="L7" s="27" t="s">
        <v>202</v>
      </c>
      <c r="M7" s="27" t="s">
        <v>202</v>
      </c>
      <c r="N7" s="27" t="s">
        <v>202</v>
      </c>
      <c r="O7" s="27" t="s">
        <v>199</v>
      </c>
      <c r="P7" s="27" t="s">
        <v>199</v>
      </c>
      <c r="Q7" s="27" t="s">
        <v>199</v>
      </c>
      <c r="R7" s="27" t="s">
        <v>199</v>
      </c>
      <c r="S7" s="27" t="s">
        <v>202</v>
      </c>
      <c r="T7" s="27"/>
      <c r="U7" s="27"/>
      <c r="V7" s="27"/>
      <c r="W7" s="27"/>
      <c r="X7" s="27"/>
      <c r="Y7" s="27"/>
      <c r="Z7" s="27"/>
      <c r="AA7" s="27"/>
      <c r="AB7" s="27"/>
    </row>
    <row r="8" spans="1:29" ht="22.5" customHeight="1">
      <c r="A8" s="197" t="s">
        <v>44</v>
      </c>
      <c r="B8" s="198"/>
      <c r="C8" s="198"/>
      <c r="D8" s="198"/>
      <c r="E8" s="198"/>
      <c r="F8" s="198"/>
      <c r="G8" s="198"/>
      <c r="H8" s="198"/>
      <c r="I8" s="198"/>
      <c r="J8" s="198"/>
      <c r="K8" s="198"/>
      <c r="L8" s="198"/>
      <c r="M8" s="198"/>
      <c r="N8" s="198"/>
      <c r="O8" s="198"/>
      <c r="P8" s="198"/>
      <c r="Q8" s="198"/>
      <c r="R8" s="198"/>
      <c r="S8" s="198"/>
      <c r="T8" s="198"/>
      <c r="U8" s="198"/>
      <c r="V8" s="198"/>
      <c r="W8" s="198"/>
      <c r="X8" s="198"/>
      <c r="Y8" s="198"/>
      <c r="Z8" s="198"/>
      <c r="AA8" s="198"/>
      <c r="AB8" s="199"/>
    </row>
    <row r="9" spans="1:29" ht="22.5" customHeight="1">
      <c r="A9" s="39" t="s">
        <v>64</v>
      </c>
      <c r="B9" s="171" t="s">
        <v>151</v>
      </c>
      <c r="C9" s="172"/>
      <c r="D9" s="172"/>
      <c r="E9" s="172"/>
      <c r="F9" s="172"/>
      <c r="G9" s="172"/>
      <c r="H9" s="172"/>
      <c r="I9" s="172"/>
      <c r="J9" s="172"/>
      <c r="K9" s="172"/>
      <c r="L9" s="172"/>
      <c r="M9" s="172"/>
      <c r="N9" s="172"/>
      <c r="O9" s="172"/>
      <c r="P9" s="172"/>
      <c r="Q9" s="172"/>
      <c r="R9" s="172"/>
      <c r="S9" s="172"/>
      <c r="T9" s="172"/>
      <c r="U9" s="172"/>
      <c r="V9" s="172"/>
      <c r="W9" s="172"/>
      <c r="X9" s="172"/>
      <c r="Y9" s="172"/>
      <c r="Z9" s="172"/>
      <c r="AA9" s="172"/>
      <c r="AB9" s="173"/>
    </row>
    <row r="10" spans="1:29" ht="22.5" customHeight="1">
      <c r="A10" s="39" t="s">
        <v>65</v>
      </c>
      <c r="B10" s="171" t="s">
        <v>152</v>
      </c>
      <c r="C10" s="172"/>
      <c r="D10" s="172"/>
      <c r="E10" s="172"/>
      <c r="F10" s="172"/>
      <c r="G10" s="172"/>
      <c r="H10" s="172"/>
      <c r="I10" s="172"/>
      <c r="J10" s="172"/>
      <c r="K10" s="172"/>
      <c r="L10" s="172"/>
      <c r="M10" s="172"/>
      <c r="N10" s="172"/>
      <c r="O10" s="172"/>
      <c r="P10" s="172"/>
      <c r="Q10" s="172"/>
      <c r="R10" s="172"/>
      <c r="S10" s="172"/>
      <c r="T10" s="172"/>
      <c r="U10" s="172"/>
      <c r="V10" s="172"/>
      <c r="W10" s="172"/>
      <c r="X10" s="172"/>
      <c r="Y10" s="172"/>
      <c r="Z10" s="172"/>
      <c r="AA10" s="172"/>
      <c r="AB10" s="173"/>
    </row>
    <row r="11" spans="1:29" ht="22.5" customHeight="1">
      <c r="A11" s="39" t="s">
        <v>66</v>
      </c>
      <c r="B11" s="171" t="s">
        <v>153</v>
      </c>
      <c r="C11" s="172"/>
      <c r="D11" s="172"/>
      <c r="E11" s="172"/>
      <c r="F11" s="172"/>
      <c r="G11" s="172"/>
      <c r="H11" s="172"/>
      <c r="I11" s="172"/>
      <c r="J11" s="172"/>
      <c r="K11" s="172"/>
      <c r="L11" s="172"/>
      <c r="M11" s="172"/>
      <c r="N11" s="172"/>
      <c r="O11" s="172"/>
      <c r="P11" s="172"/>
      <c r="Q11" s="172"/>
      <c r="R11" s="172"/>
      <c r="S11" s="172"/>
      <c r="T11" s="172"/>
      <c r="U11" s="172"/>
      <c r="V11" s="172"/>
      <c r="W11" s="172"/>
      <c r="X11" s="172"/>
      <c r="Y11" s="172"/>
      <c r="Z11" s="172"/>
      <c r="AA11" s="172"/>
      <c r="AB11" s="173"/>
    </row>
    <row r="12" spans="1:29" ht="22.5" customHeight="1">
      <c r="A12" s="39" t="s">
        <v>67</v>
      </c>
      <c r="B12" s="171" t="s">
        <v>154</v>
      </c>
      <c r="C12" s="172"/>
      <c r="D12" s="172"/>
      <c r="E12" s="172"/>
      <c r="F12" s="172"/>
      <c r="G12" s="172"/>
      <c r="H12" s="172"/>
      <c r="I12" s="172"/>
      <c r="J12" s="172"/>
      <c r="K12" s="172"/>
      <c r="L12" s="172"/>
      <c r="M12" s="172"/>
      <c r="N12" s="172"/>
      <c r="O12" s="172"/>
      <c r="P12" s="172"/>
      <c r="Q12" s="172"/>
      <c r="R12" s="172"/>
      <c r="S12" s="172"/>
      <c r="T12" s="172"/>
      <c r="U12" s="172"/>
      <c r="V12" s="172"/>
      <c r="W12" s="172"/>
      <c r="X12" s="172"/>
      <c r="Y12" s="172"/>
      <c r="Z12" s="172"/>
      <c r="AA12" s="172"/>
      <c r="AB12" s="173"/>
    </row>
    <row r="13" spans="1:29" ht="22.5" customHeight="1">
      <c r="A13" s="39" t="s">
        <v>68</v>
      </c>
      <c r="B13" s="171" t="s">
        <v>155</v>
      </c>
      <c r="C13" s="172"/>
      <c r="D13" s="172"/>
      <c r="E13" s="172"/>
      <c r="F13" s="172"/>
      <c r="G13" s="172"/>
      <c r="H13" s="172"/>
      <c r="I13" s="172"/>
      <c r="J13" s="172"/>
      <c r="K13" s="172"/>
      <c r="L13" s="172"/>
      <c r="M13" s="172"/>
      <c r="N13" s="172"/>
      <c r="O13" s="172"/>
      <c r="P13" s="172"/>
      <c r="Q13" s="172"/>
      <c r="R13" s="172"/>
      <c r="S13" s="172"/>
      <c r="T13" s="172"/>
      <c r="U13" s="172"/>
      <c r="V13" s="172"/>
      <c r="W13" s="172"/>
      <c r="X13" s="172"/>
      <c r="Y13" s="172"/>
      <c r="Z13" s="172"/>
      <c r="AA13" s="172"/>
      <c r="AB13" s="173"/>
    </row>
    <row r="14" spans="1:29" ht="22.5" customHeight="1">
      <c r="A14" s="39" t="s">
        <v>69</v>
      </c>
      <c r="B14" s="171" t="s">
        <v>156</v>
      </c>
      <c r="C14" s="172"/>
      <c r="D14" s="172"/>
      <c r="E14" s="172"/>
      <c r="F14" s="172"/>
      <c r="G14" s="172"/>
      <c r="H14" s="172"/>
      <c r="I14" s="172"/>
      <c r="J14" s="172"/>
      <c r="K14" s="172"/>
      <c r="L14" s="172"/>
      <c r="M14" s="172"/>
      <c r="N14" s="172"/>
      <c r="O14" s="172"/>
      <c r="P14" s="172"/>
      <c r="Q14" s="172"/>
      <c r="R14" s="172"/>
      <c r="S14" s="172"/>
      <c r="T14" s="172"/>
      <c r="U14" s="172"/>
      <c r="V14" s="172"/>
      <c r="W14" s="172"/>
      <c r="X14" s="172"/>
      <c r="Y14" s="172"/>
      <c r="Z14" s="172"/>
      <c r="AA14" s="172"/>
      <c r="AB14" s="173"/>
    </row>
    <row r="15" spans="1:29" ht="22.5" customHeight="1">
      <c r="A15" s="39" t="s">
        <v>70</v>
      </c>
      <c r="B15" s="171" t="s">
        <v>157</v>
      </c>
      <c r="C15" s="172"/>
      <c r="D15" s="172"/>
      <c r="E15" s="172"/>
      <c r="F15" s="172"/>
      <c r="G15" s="172"/>
      <c r="H15" s="172"/>
      <c r="I15" s="172"/>
      <c r="J15" s="172"/>
      <c r="K15" s="172"/>
      <c r="L15" s="172"/>
      <c r="M15" s="172"/>
      <c r="N15" s="172"/>
      <c r="O15" s="172"/>
      <c r="P15" s="172"/>
      <c r="Q15" s="172"/>
      <c r="R15" s="172"/>
      <c r="S15" s="172"/>
      <c r="T15" s="172"/>
      <c r="U15" s="172"/>
      <c r="V15" s="172"/>
      <c r="W15" s="172"/>
      <c r="X15" s="172"/>
      <c r="Y15" s="172"/>
      <c r="Z15" s="172"/>
      <c r="AA15" s="172"/>
      <c r="AB15" s="173"/>
    </row>
    <row r="16" spans="1:29" ht="22.5" customHeight="1">
      <c r="A16" s="39" t="s">
        <v>71</v>
      </c>
      <c r="B16" s="171" t="s">
        <v>158</v>
      </c>
      <c r="C16" s="172"/>
      <c r="D16" s="172"/>
      <c r="E16" s="172"/>
      <c r="F16" s="172"/>
      <c r="G16" s="172"/>
      <c r="H16" s="172"/>
      <c r="I16" s="172"/>
      <c r="J16" s="172"/>
      <c r="K16" s="172"/>
      <c r="L16" s="172"/>
      <c r="M16" s="172"/>
      <c r="N16" s="172"/>
      <c r="O16" s="172"/>
      <c r="P16" s="172"/>
      <c r="Q16" s="172"/>
      <c r="R16" s="172"/>
      <c r="S16" s="172"/>
      <c r="T16" s="172"/>
      <c r="U16" s="172"/>
      <c r="V16" s="172"/>
      <c r="W16" s="172"/>
      <c r="X16" s="172"/>
      <c r="Y16" s="172"/>
      <c r="Z16" s="172"/>
      <c r="AA16" s="172"/>
      <c r="AB16" s="173"/>
    </row>
    <row r="17" spans="1:28" ht="22.5" customHeight="1">
      <c r="A17" s="39" t="s">
        <v>72</v>
      </c>
      <c r="B17" s="171" t="s">
        <v>159</v>
      </c>
      <c r="C17" s="172"/>
      <c r="D17" s="172"/>
      <c r="E17" s="172"/>
      <c r="F17" s="172"/>
      <c r="G17" s="172"/>
      <c r="H17" s="172"/>
      <c r="I17" s="172"/>
      <c r="J17" s="172"/>
      <c r="K17" s="172"/>
      <c r="L17" s="172"/>
      <c r="M17" s="172"/>
      <c r="N17" s="172"/>
      <c r="O17" s="172"/>
      <c r="P17" s="172"/>
      <c r="Q17" s="172"/>
      <c r="R17" s="172"/>
      <c r="S17" s="172"/>
      <c r="T17" s="172"/>
      <c r="U17" s="172"/>
      <c r="V17" s="172"/>
      <c r="W17" s="172"/>
      <c r="X17" s="172"/>
      <c r="Y17" s="172"/>
      <c r="Z17" s="172"/>
      <c r="AA17" s="172"/>
      <c r="AB17" s="173"/>
    </row>
    <row r="18" spans="1:28" ht="22.5" customHeight="1">
      <c r="A18" s="39" t="s">
        <v>73</v>
      </c>
      <c r="B18" s="171" t="s">
        <v>160</v>
      </c>
      <c r="C18" s="172"/>
      <c r="D18" s="172"/>
      <c r="E18" s="172"/>
      <c r="F18" s="172"/>
      <c r="G18" s="172"/>
      <c r="H18" s="172"/>
      <c r="I18" s="172"/>
      <c r="J18" s="172"/>
      <c r="K18" s="172"/>
      <c r="L18" s="172"/>
      <c r="M18" s="172"/>
      <c r="N18" s="172"/>
      <c r="O18" s="172"/>
      <c r="P18" s="172"/>
      <c r="Q18" s="172"/>
      <c r="R18" s="172"/>
      <c r="S18" s="172"/>
      <c r="T18" s="172"/>
      <c r="U18" s="172"/>
      <c r="V18" s="172"/>
      <c r="W18" s="172"/>
      <c r="X18" s="172"/>
      <c r="Y18" s="172"/>
      <c r="Z18" s="172"/>
      <c r="AA18" s="172"/>
      <c r="AB18" s="173"/>
    </row>
    <row r="19" spans="1:28" ht="22.5" customHeight="1">
      <c r="A19" s="39" t="s">
        <v>74</v>
      </c>
      <c r="B19" s="171" t="s">
        <v>161</v>
      </c>
      <c r="C19" s="172"/>
      <c r="D19" s="172"/>
      <c r="E19" s="172"/>
      <c r="F19" s="172"/>
      <c r="G19" s="172"/>
      <c r="H19" s="172"/>
      <c r="I19" s="172"/>
      <c r="J19" s="172"/>
      <c r="K19" s="172"/>
      <c r="L19" s="172"/>
      <c r="M19" s="172"/>
      <c r="N19" s="172"/>
      <c r="O19" s="172"/>
      <c r="P19" s="172"/>
      <c r="Q19" s="172"/>
      <c r="R19" s="172"/>
      <c r="S19" s="172"/>
      <c r="T19" s="172"/>
      <c r="U19" s="172"/>
      <c r="V19" s="172"/>
      <c r="W19" s="172"/>
      <c r="X19" s="172"/>
      <c r="Y19" s="172"/>
      <c r="Z19" s="172"/>
      <c r="AA19" s="172"/>
      <c r="AB19" s="173"/>
    </row>
    <row r="20" spans="1:28" ht="22.5" customHeight="1">
      <c r="A20" s="39" t="s">
        <v>75</v>
      </c>
      <c r="B20" s="171" t="s">
        <v>162</v>
      </c>
      <c r="C20" s="172"/>
      <c r="D20" s="172"/>
      <c r="E20" s="172"/>
      <c r="F20" s="172"/>
      <c r="G20" s="172"/>
      <c r="H20" s="172"/>
      <c r="I20" s="172"/>
      <c r="J20" s="172"/>
      <c r="K20" s="172"/>
      <c r="L20" s="172"/>
      <c r="M20" s="172"/>
      <c r="N20" s="172"/>
      <c r="O20" s="172"/>
      <c r="P20" s="172"/>
      <c r="Q20" s="172"/>
      <c r="R20" s="172"/>
      <c r="S20" s="172"/>
      <c r="T20" s="172"/>
      <c r="U20" s="172"/>
      <c r="V20" s="172"/>
      <c r="W20" s="172"/>
      <c r="X20" s="172"/>
      <c r="Y20" s="172"/>
      <c r="Z20" s="172"/>
      <c r="AA20" s="172"/>
      <c r="AB20" s="173"/>
    </row>
    <row r="21" spans="1:28" ht="22.5" customHeight="1">
      <c r="A21" s="39" t="s">
        <v>76</v>
      </c>
      <c r="B21" s="171" t="s">
        <v>163</v>
      </c>
      <c r="C21" s="172"/>
      <c r="D21" s="172"/>
      <c r="E21" s="172"/>
      <c r="F21" s="172"/>
      <c r="G21" s="172"/>
      <c r="H21" s="172"/>
      <c r="I21" s="172"/>
      <c r="J21" s="172"/>
      <c r="K21" s="172"/>
      <c r="L21" s="172"/>
      <c r="M21" s="172"/>
      <c r="N21" s="172"/>
      <c r="O21" s="172"/>
      <c r="P21" s="172"/>
      <c r="Q21" s="172"/>
      <c r="R21" s="172"/>
      <c r="S21" s="172"/>
      <c r="T21" s="172"/>
      <c r="U21" s="172"/>
      <c r="V21" s="172"/>
      <c r="W21" s="172"/>
      <c r="X21" s="172"/>
      <c r="Y21" s="172"/>
      <c r="Z21" s="172"/>
      <c r="AA21" s="172"/>
      <c r="AB21" s="173"/>
    </row>
    <row r="22" spans="1:28" ht="22.5" customHeight="1">
      <c r="A22" s="39" t="s">
        <v>77</v>
      </c>
      <c r="B22" s="171" t="s">
        <v>164</v>
      </c>
      <c r="C22" s="172"/>
      <c r="D22" s="172"/>
      <c r="E22" s="172"/>
      <c r="F22" s="172"/>
      <c r="G22" s="172"/>
      <c r="H22" s="172"/>
      <c r="I22" s="172"/>
      <c r="J22" s="172"/>
      <c r="K22" s="172"/>
      <c r="L22" s="172"/>
      <c r="M22" s="172"/>
      <c r="N22" s="172"/>
      <c r="O22" s="172"/>
      <c r="P22" s="172"/>
      <c r="Q22" s="172"/>
      <c r="R22" s="172"/>
      <c r="S22" s="172"/>
      <c r="T22" s="172"/>
      <c r="U22" s="172"/>
      <c r="V22" s="172"/>
      <c r="W22" s="172"/>
      <c r="X22" s="172"/>
      <c r="Y22" s="172"/>
      <c r="Z22" s="172"/>
      <c r="AA22" s="172"/>
      <c r="AB22" s="173"/>
    </row>
    <row r="23" spans="1:28" ht="22.5" customHeight="1">
      <c r="A23" s="39" t="s">
        <v>78</v>
      </c>
      <c r="B23" s="171" t="s">
        <v>165</v>
      </c>
      <c r="C23" s="172"/>
      <c r="D23" s="172"/>
      <c r="E23" s="172"/>
      <c r="F23" s="172"/>
      <c r="G23" s="172"/>
      <c r="H23" s="172"/>
      <c r="I23" s="172"/>
      <c r="J23" s="172"/>
      <c r="K23" s="172"/>
      <c r="L23" s="172"/>
      <c r="M23" s="172"/>
      <c r="N23" s="172"/>
      <c r="O23" s="172"/>
      <c r="P23" s="172"/>
      <c r="Q23" s="172"/>
      <c r="R23" s="172"/>
      <c r="S23" s="172"/>
      <c r="T23" s="172"/>
      <c r="U23" s="172"/>
      <c r="V23" s="172"/>
      <c r="W23" s="172"/>
      <c r="X23" s="172"/>
      <c r="Y23" s="172"/>
      <c r="Z23" s="172"/>
      <c r="AA23" s="172"/>
      <c r="AB23" s="173"/>
    </row>
    <row r="24" spans="1:28" ht="22.5" customHeight="1">
      <c r="A24" s="39" t="s">
        <v>79</v>
      </c>
      <c r="B24" s="171" t="s">
        <v>166</v>
      </c>
      <c r="C24" s="172"/>
      <c r="D24" s="172"/>
      <c r="E24" s="172"/>
      <c r="F24" s="172"/>
      <c r="G24" s="172"/>
      <c r="H24" s="172"/>
      <c r="I24" s="172"/>
      <c r="J24" s="172"/>
      <c r="K24" s="172"/>
      <c r="L24" s="172"/>
      <c r="M24" s="172"/>
      <c r="N24" s="172"/>
      <c r="O24" s="172"/>
      <c r="P24" s="172"/>
      <c r="Q24" s="172"/>
      <c r="R24" s="172"/>
      <c r="S24" s="172"/>
      <c r="T24" s="172"/>
      <c r="U24" s="172"/>
      <c r="V24" s="172"/>
      <c r="W24" s="172"/>
      <c r="X24" s="172"/>
      <c r="Y24" s="172"/>
      <c r="Z24" s="172"/>
      <c r="AA24" s="172"/>
      <c r="AB24" s="173"/>
    </row>
    <row r="25" spans="1:28" ht="22.5" customHeight="1">
      <c r="A25" s="39"/>
      <c r="B25" s="171"/>
      <c r="C25" s="172"/>
      <c r="D25" s="172"/>
      <c r="E25" s="172"/>
      <c r="F25" s="172"/>
      <c r="G25" s="172"/>
      <c r="H25" s="172"/>
      <c r="I25" s="172"/>
      <c r="J25" s="172"/>
      <c r="K25" s="172"/>
      <c r="L25" s="172"/>
      <c r="M25" s="172"/>
      <c r="N25" s="172"/>
      <c r="O25" s="172"/>
      <c r="P25" s="172"/>
      <c r="Q25" s="172"/>
      <c r="R25" s="172"/>
      <c r="S25" s="172"/>
      <c r="T25" s="172"/>
      <c r="U25" s="172"/>
      <c r="V25" s="172"/>
      <c r="W25" s="172"/>
      <c r="X25" s="172"/>
      <c r="Y25" s="172"/>
      <c r="Z25" s="172"/>
      <c r="AA25" s="172"/>
      <c r="AB25" s="173"/>
    </row>
    <row r="26" spans="1:28" ht="22.5" customHeight="1">
      <c r="A26" s="39"/>
      <c r="B26" s="171"/>
      <c r="C26" s="172"/>
      <c r="D26" s="172"/>
      <c r="E26" s="172"/>
      <c r="F26" s="172"/>
      <c r="G26" s="172"/>
      <c r="H26" s="172"/>
      <c r="I26" s="172"/>
      <c r="J26" s="172"/>
      <c r="K26" s="172"/>
      <c r="L26" s="172"/>
      <c r="M26" s="172"/>
      <c r="N26" s="172"/>
      <c r="O26" s="172"/>
      <c r="P26" s="172"/>
      <c r="Q26" s="172"/>
      <c r="R26" s="172"/>
      <c r="S26" s="172"/>
      <c r="T26" s="172"/>
      <c r="U26" s="172"/>
      <c r="V26" s="172"/>
      <c r="W26" s="172"/>
      <c r="X26" s="172"/>
      <c r="Y26" s="172"/>
      <c r="Z26" s="172"/>
      <c r="AA26" s="172"/>
      <c r="AB26" s="173"/>
    </row>
    <row r="27" spans="1:28" ht="22.5" customHeight="1">
      <c r="A27" s="39"/>
      <c r="B27" s="171"/>
      <c r="C27" s="172"/>
      <c r="D27" s="172"/>
      <c r="E27" s="172"/>
      <c r="F27" s="172"/>
      <c r="G27" s="172"/>
      <c r="H27" s="172"/>
      <c r="I27" s="172"/>
      <c r="J27" s="172"/>
      <c r="K27" s="172"/>
      <c r="L27" s="172"/>
      <c r="M27" s="172"/>
      <c r="N27" s="172"/>
      <c r="O27" s="172"/>
      <c r="P27" s="172"/>
      <c r="Q27" s="172"/>
      <c r="R27" s="172"/>
      <c r="S27" s="172"/>
      <c r="T27" s="172"/>
      <c r="U27" s="172"/>
      <c r="V27" s="172"/>
      <c r="W27" s="172"/>
      <c r="X27" s="172"/>
      <c r="Y27" s="172"/>
      <c r="Z27" s="172"/>
      <c r="AA27" s="172"/>
      <c r="AB27" s="173"/>
    </row>
    <row r="28" spans="1:28" ht="22.5" customHeight="1">
      <c r="A28" s="39"/>
      <c r="B28" s="171"/>
      <c r="C28" s="172"/>
      <c r="D28" s="172"/>
      <c r="E28" s="172"/>
      <c r="F28" s="172"/>
      <c r="G28" s="172"/>
      <c r="H28" s="172"/>
      <c r="I28" s="172"/>
      <c r="J28" s="172"/>
      <c r="K28" s="172"/>
      <c r="L28" s="172"/>
      <c r="M28" s="172"/>
      <c r="N28" s="172"/>
      <c r="O28" s="172"/>
      <c r="P28" s="172"/>
      <c r="Q28" s="172"/>
      <c r="R28" s="172"/>
      <c r="S28" s="172"/>
      <c r="T28" s="172"/>
      <c r="U28" s="172"/>
      <c r="V28" s="172"/>
      <c r="W28" s="172"/>
      <c r="X28" s="172"/>
      <c r="Y28" s="172"/>
      <c r="Z28" s="172"/>
      <c r="AA28" s="172"/>
      <c r="AB28" s="173"/>
    </row>
    <row r="29" spans="1:28" ht="22.5" customHeight="1">
      <c r="A29" s="39"/>
      <c r="B29" s="171"/>
      <c r="C29" s="172"/>
      <c r="D29" s="172"/>
      <c r="E29" s="172"/>
      <c r="F29" s="172"/>
      <c r="G29" s="172"/>
      <c r="H29" s="172"/>
      <c r="I29" s="172"/>
      <c r="J29" s="172"/>
      <c r="K29" s="172"/>
      <c r="L29" s="172"/>
      <c r="M29" s="172"/>
      <c r="N29" s="172"/>
      <c r="O29" s="172"/>
      <c r="P29" s="172"/>
      <c r="Q29" s="172"/>
      <c r="R29" s="172"/>
      <c r="S29" s="172"/>
      <c r="T29" s="172"/>
      <c r="U29" s="172"/>
      <c r="V29" s="172"/>
      <c r="W29" s="172"/>
      <c r="X29" s="172"/>
      <c r="Y29" s="172"/>
      <c r="Z29" s="172"/>
      <c r="AA29" s="172"/>
      <c r="AB29" s="173"/>
    </row>
    <row r="30" spans="1:28" ht="22.5" customHeight="1">
      <c r="A30" s="39"/>
      <c r="B30" s="171"/>
      <c r="C30" s="172"/>
      <c r="D30" s="172"/>
      <c r="E30" s="172"/>
      <c r="F30" s="172"/>
      <c r="G30" s="172"/>
      <c r="H30" s="172"/>
      <c r="I30" s="172"/>
      <c r="J30" s="172"/>
      <c r="K30" s="172"/>
      <c r="L30" s="172"/>
      <c r="M30" s="172"/>
      <c r="N30" s="172"/>
      <c r="O30" s="172"/>
      <c r="P30" s="172"/>
      <c r="Q30" s="172"/>
      <c r="R30" s="172"/>
      <c r="S30" s="172"/>
      <c r="T30" s="172"/>
      <c r="U30" s="172"/>
      <c r="V30" s="172"/>
      <c r="W30" s="172"/>
      <c r="X30" s="172"/>
      <c r="Y30" s="172"/>
      <c r="Z30" s="172"/>
      <c r="AA30" s="172"/>
      <c r="AB30" s="173"/>
    </row>
    <row r="31" spans="1:28" ht="22.5" customHeight="1">
      <c r="A31" s="39"/>
      <c r="B31" s="171"/>
      <c r="C31" s="172"/>
      <c r="D31" s="172"/>
      <c r="E31" s="172"/>
      <c r="F31" s="172"/>
      <c r="G31" s="172"/>
      <c r="H31" s="172"/>
      <c r="I31" s="172"/>
      <c r="J31" s="172"/>
      <c r="K31" s="172"/>
      <c r="L31" s="172"/>
      <c r="M31" s="172"/>
      <c r="N31" s="172"/>
      <c r="O31" s="172"/>
      <c r="P31" s="172"/>
      <c r="Q31" s="172"/>
      <c r="R31" s="172"/>
      <c r="S31" s="172"/>
      <c r="T31" s="172"/>
      <c r="U31" s="172"/>
      <c r="V31" s="172"/>
      <c r="W31" s="172"/>
      <c r="X31" s="172"/>
      <c r="Y31" s="172"/>
      <c r="Z31" s="172"/>
      <c r="AA31" s="172"/>
      <c r="AB31" s="173"/>
    </row>
    <row r="32" spans="1:28" ht="22.5" customHeight="1">
      <c r="A32" s="39"/>
      <c r="B32" s="171"/>
      <c r="C32" s="172"/>
      <c r="D32" s="172"/>
      <c r="E32" s="172"/>
      <c r="F32" s="172"/>
      <c r="G32" s="172"/>
      <c r="H32" s="172"/>
      <c r="I32" s="172"/>
      <c r="J32" s="172"/>
      <c r="K32" s="172"/>
      <c r="L32" s="172"/>
      <c r="M32" s="172"/>
      <c r="N32" s="172"/>
      <c r="O32" s="172"/>
      <c r="P32" s="172"/>
      <c r="Q32" s="172"/>
      <c r="R32" s="172"/>
      <c r="S32" s="172"/>
      <c r="T32" s="172"/>
      <c r="U32" s="172"/>
      <c r="V32" s="172"/>
      <c r="W32" s="172"/>
      <c r="X32" s="172"/>
      <c r="Y32" s="172"/>
      <c r="Z32" s="172"/>
      <c r="AA32" s="172"/>
      <c r="AB32" s="173"/>
    </row>
    <row r="33" spans="1:28" ht="22.5" customHeight="1">
      <c r="A33" s="39"/>
      <c r="B33" s="171"/>
      <c r="C33" s="172"/>
      <c r="D33" s="172"/>
      <c r="E33" s="172"/>
      <c r="F33" s="172"/>
      <c r="G33" s="172"/>
      <c r="H33" s="172"/>
      <c r="I33" s="172"/>
      <c r="J33" s="172"/>
      <c r="K33" s="172"/>
      <c r="L33" s="172"/>
      <c r="M33" s="172"/>
      <c r="N33" s="172"/>
      <c r="O33" s="172"/>
      <c r="P33" s="172"/>
      <c r="Q33" s="172"/>
      <c r="R33" s="172"/>
      <c r="S33" s="172"/>
      <c r="T33" s="172"/>
      <c r="U33" s="172"/>
      <c r="V33" s="172"/>
      <c r="W33" s="172"/>
      <c r="X33" s="172"/>
      <c r="Y33" s="172"/>
      <c r="Z33" s="172"/>
      <c r="AA33" s="172"/>
      <c r="AB33" s="173"/>
    </row>
    <row r="34" spans="1:28" ht="22.5" customHeight="1">
      <c r="A34" s="192" t="s">
        <v>38</v>
      </c>
      <c r="B34" s="193"/>
      <c r="C34" s="193"/>
      <c r="D34" s="193"/>
      <c r="E34" s="193"/>
      <c r="F34" s="193"/>
      <c r="G34" s="193"/>
      <c r="H34" s="193"/>
      <c r="I34" s="193"/>
      <c r="J34" s="193"/>
      <c r="K34" s="193"/>
      <c r="L34" s="193"/>
      <c r="M34" s="193"/>
      <c r="N34" s="193"/>
      <c r="O34" s="193"/>
      <c r="P34" s="193"/>
      <c r="Q34" s="193"/>
      <c r="R34" s="193"/>
      <c r="S34" s="193"/>
      <c r="T34" s="193"/>
      <c r="U34" s="193"/>
      <c r="V34" s="193"/>
      <c r="W34" s="193"/>
      <c r="X34" s="193"/>
      <c r="Y34" s="193"/>
      <c r="Z34" s="193"/>
      <c r="AA34" s="193"/>
      <c r="AB34" s="194"/>
    </row>
    <row r="35" spans="1:28" ht="22.5" customHeight="1">
      <c r="A35" s="57" t="str">
        <f>A9</f>
        <v>岡田 明日香</v>
      </c>
      <c r="B35" s="177" t="s">
        <v>167</v>
      </c>
      <c r="C35" s="178"/>
      <c r="D35" s="178"/>
      <c r="E35" s="178"/>
      <c r="F35" s="178"/>
      <c r="G35" s="178"/>
      <c r="H35" s="178"/>
      <c r="I35" s="178"/>
      <c r="J35" s="178"/>
      <c r="K35" s="178"/>
      <c r="L35" s="178"/>
      <c r="M35" s="178"/>
      <c r="N35" s="178"/>
      <c r="O35" s="178"/>
      <c r="P35" s="178"/>
      <c r="Q35" s="178"/>
      <c r="R35" s="178"/>
      <c r="S35" s="178"/>
      <c r="T35" s="178"/>
      <c r="U35" s="178"/>
      <c r="V35" s="178"/>
      <c r="W35" s="178"/>
      <c r="X35" s="178"/>
      <c r="Y35" s="178"/>
      <c r="Z35" s="178"/>
      <c r="AA35" s="178"/>
      <c r="AB35" s="179"/>
    </row>
    <row r="36" spans="1:28" ht="22.5" customHeight="1">
      <c r="A36" s="57" t="str">
        <f t="shared" ref="A36:A59" si="0">A10</f>
        <v>荻原 知香</v>
      </c>
      <c r="B36" s="177" t="s">
        <v>167</v>
      </c>
      <c r="C36" s="178"/>
      <c r="D36" s="178"/>
      <c r="E36" s="178"/>
      <c r="F36" s="178"/>
      <c r="G36" s="178"/>
      <c r="H36" s="178"/>
      <c r="I36" s="178"/>
      <c r="J36" s="178"/>
      <c r="K36" s="178"/>
      <c r="L36" s="178"/>
      <c r="M36" s="178"/>
      <c r="N36" s="178"/>
      <c r="O36" s="178"/>
      <c r="P36" s="178"/>
      <c r="Q36" s="178"/>
      <c r="R36" s="178"/>
      <c r="S36" s="178"/>
      <c r="T36" s="178"/>
      <c r="U36" s="178"/>
      <c r="V36" s="178"/>
      <c r="W36" s="178"/>
      <c r="X36" s="178"/>
      <c r="Y36" s="178"/>
      <c r="Z36" s="178"/>
      <c r="AA36" s="178"/>
      <c r="AB36" s="179"/>
    </row>
    <row r="37" spans="1:28" ht="22.5" customHeight="1">
      <c r="A37" s="57" t="str">
        <f t="shared" si="0"/>
        <v>片桐 葵</v>
      </c>
      <c r="B37" s="177" t="s">
        <v>167</v>
      </c>
      <c r="C37" s="178"/>
      <c r="D37" s="178"/>
      <c r="E37" s="178"/>
      <c r="F37" s="178"/>
      <c r="G37" s="178"/>
      <c r="H37" s="178"/>
      <c r="I37" s="178"/>
      <c r="J37" s="178"/>
      <c r="K37" s="178"/>
      <c r="L37" s="178"/>
      <c r="M37" s="178"/>
      <c r="N37" s="178"/>
      <c r="O37" s="178"/>
      <c r="P37" s="178"/>
      <c r="Q37" s="178"/>
      <c r="R37" s="178"/>
      <c r="S37" s="178"/>
      <c r="T37" s="178"/>
      <c r="U37" s="178"/>
      <c r="V37" s="178"/>
      <c r="W37" s="178"/>
      <c r="X37" s="178"/>
      <c r="Y37" s="178"/>
      <c r="Z37" s="178"/>
      <c r="AA37" s="178"/>
      <c r="AB37" s="179"/>
    </row>
    <row r="38" spans="1:28" ht="22.5" customHeight="1">
      <c r="A38" s="57" t="str">
        <f t="shared" si="0"/>
        <v>上島 碧依</v>
      </c>
      <c r="B38" s="177" t="s">
        <v>167</v>
      </c>
      <c r="C38" s="178"/>
      <c r="D38" s="178"/>
      <c r="E38" s="178"/>
      <c r="F38" s="178"/>
      <c r="G38" s="178"/>
      <c r="H38" s="178"/>
      <c r="I38" s="178"/>
      <c r="J38" s="178"/>
      <c r="K38" s="178"/>
      <c r="L38" s="178"/>
      <c r="M38" s="178"/>
      <c r="N38" s="178"/>
      <c r="O38" s="178"/>
      <c r="P38" s="178"/>
      <c r="Q38" s="178"/>
      <c r="R38" s="178"/>
      <c r="S38" s="178"/>
      <c r="T38" s="178"/>
      <c r="U38" s="178"/>
      <c r="V38" s="178"/>
      <c r="W38" s="178"/>
      <c r="X38" s="178"/>
      <c r="Y38" s="178"/>
      <c r="Z38" s="178"/>
      <c r="AA38" s="178"/>
      <c r="AB38" s="179"/>
    </row>
    <row r="39" spans="1:28" ht="22.5" customHeight="1">
      <c r="A39" s="57" t="str">
        <f t="shared" si="0"/>
        <v>藏井 陽菜乃</v>
      </c>
      <c r="B39" s="177" t="s">
        <v>167</v>
      </c>
      <c r="C39" s="178"/>
      <c r="D39" s="178"/>
      <c r="E39" s="178"/>
      <c r="F39" s="178"/>
      <c r="G39" s="178"/>
      <c r="H39" s="178"/>
      <c r="I39" s="178"/>
      <c r="J39" s="178"/>
      <c r="K39" s="178"/>
      <c r="L39" s="178"/>
      <c r="M39" s="178"/>
      <c r="N39" s="178"/>
      <c r="O39" s="178"/>
      <c r="P39" s="178"/>
      <c r="Q39" s="178"/>
      <c r="R39" s="178"/>
      <c r="S39" s="178"/>
      <c r="T39" s="178"/>
      <c r="U39" s="178"/>
      <c r="V39" s="178"/>
      <c r="W39" s="178"/>
      <c r="X39" s="178"/>
      <c r="Y39" s="178"/>
      <c r="Z39" s="178"/>
      <c r="AA39" s="178"/>
      <c r="AB39" s="179"/>
    </row>
    <row r="40" spans="1:28" ht="22.5" customHeight="1">
      <c r="A40" s="57" t="str">
        <f t="shared" si="0"/>
        <v>小松 雅治</v>
      </c>
      <c r="B40" s="177" t="s">
        <v>167</v>
      </c>
      <c r="C40" s="178"/>
      <c r="D40" s="178"/>
      <c r="E40" s="178"/>
      <c r="F40" s="178"/>
      <c r="G40" s="178"/>
      <c r="H40" s="178"/>
      <c r="I40" s="178"/>
      <c r="J40" s="178"/>
      <c r="K40" s="178"/>
      <c r="L40" s="178"/>
      <c r="M40" s="178"/>
      <c r="N40" s="178"/>
      <c r="O40" s="178"/>
      <c r="P40" s="178"/>
      <c r="Q40" s="178"/>
      <c r="R40" s="178"/>
      <c r="S40" s="178"/>
      <c r="T40" s="178"/>
      <c r="U40" s="178"/>
      <c r="V40" s="178"/>
      <c r="W40" s="178"/>
      <c r="X40" s="178"/>
      <c r="Y40" s="178"/>
      <c r="Z40" s="178"/>
      <c r="AA40" s="178"/>
      <c r="AB40" s="179"/>
    </row>
    <row r="41" spans="1:28" ht="22.5" customHeight="1">
      <c r="A41" s="57" t="str">
        <f t="shared" si="0"/>
        <v>須藤 爽斗</v>
      </c>
      <c r="B41" s="177" t="s">
        <v>167</v>
      </c>
      <c r="C41" s="178"/>
      <c r="D41" s="178"/>
      <c r="E41" s="178"/>
      <c r="F41" s="178"/>
      <c r="G41" s="178"/>
      <c r="H41" s="178"/>
      <c r="I41" s="178"/>
      <c r="J41" s="178"/>
      <c r="K41" s="178"/>
      <c r="L41" s="178"/>
      <c r="M41" s="178"/>
      <c r="N41" s="178"/>
      <c r="O41" s="178"/>
      <c r="P41" s="178"/>
      <c r="Q41" s="178"/>
      <c r="R41" s="178"/>
      <c r="S41" s="178"/>
      <c r="T41" s="178"/>
      <c r="U41" s="178"/>
      <c r="V41" s="178"/>
      <c r="W41" s="178"/>
      <c r="X41" s="178"/>
      <c r="Y41" s="178"/>
      <c r="Z41" s="178"/>
      <c r="AA41" s="178"/>
      <c r="AB41" s="179"/>
    </row>
    <row r="42" spans="1:28" ht="22.5" customHeight="1">
      <c r="A42" s="57" t="str">
        <f t="shared" si="0"/>
        <v>滝 陽香</v>
      </c>
      <c r="B42" s="177" t="s">
        <v>167</v>
      </c>
      <c r="C42" s="178"/>
      <c r="D42" s="178"/>
      <c r="E42" s="178"/>
      <c r="F42" s="178"/>
      <c r="G42" s="178"/>
      <c r="H42" s="178"/>
      <c r="I42" s="178"/>
      <c r="J42" s="178"/>
      <c r="K42" s="178"/>
      <c r="L42" s="178"/>
      <c r="M42" s="178"/>
      <c r="N42" s="178"/>
      <c r="O42" s="178"/>
      <c r="P42" s="178"/>
      <c r="Q42" s="178"/>
      <c r="R42" s="178"/>
      <c r="S42" s="178"/>
      <c r="T42" s="178"/>
      <c r="U42" s="178"/>
      <c r="V42" s="178"/>
      <c r="W42" s="178"/>
      <c r="X42" s="178"/>
      <c r="Y42" s="178"/>
      <c r="Z42" s="178"/>
      <c r="AA42" s="178"/>
      <c r="AB42" s="179"/>
    </row>
    <row r="43" spans="1:28" ht="22.5" customHeight="1">
      <c r="A43" s="57" t="str">
        <f t="shared" si="0"/>
        <v>永江 仁</v>
      </c>
      <c r="B43" s="177" t="s">
        <v>167</v>
      </c>
      <c r="C43" s="178"/>
      <c r="D43" s="178"/>
      <c r="E43" s="178"/>
      <c r="F43" s="178"/>
      <c r="G43" s="178"/>
      <c r="H43" s="178"/>
      <c r="I43" s="178"/>
      <c r="J43" s="178"/>
      <c r="K43" s="178"/>
      <c r="L43" s="178"/>
      <c r="M43" s="178"/>
      <c r="N43" s="178"/>
      <c r="O43" s="178"/>
      <c r="P43" s="178"/>
      <c r="Q43" s="178"/>
      <c r="R43" s="178"/>
      <c r="S43" s="178"/>
      <c r="T43" s="178"/>
      <c r="U43" s="178"/>
      <c r="V43" s="178"/>
      <c r="W43" s="178"/>
      <c r="X43" s="178"/>
      <c r="Y43" s="178"/>
      <c r="Z43" s="178"/>
      <c r="AA43" s="178"/>
      <c r="AB43" s="179"/>
    </row>
    <row r="44" spans="1:28" ht="22.5" customHeight="1">
      <c r="A44" s="57" t="str">
        <f t="shared" si="0"/>
        <v>林 果菜</v>
      </c>
      <c r="B44" s="177" t="s">
        <v>167</v>
      </c>
      <c r="C44" s="178"/>
      <c r="D44" s="178"/>
      <c r="E44" s="178"/>
      <c r="F44" s="178"/>
      <c r="G44" s="178"/>
      <c r="H44" s="178"/>
      <c r="I44" s="178"/>
      <c r="J44" s="178"/>
      <c r="K44" s="178"/>
      <c r="L44" s="178"/>
      <c r="M44" s="178"/>
      <c r="N44" s="178"/>
      <c r="O44" s="178"/>
      <c r="P44" s="178"/>
      <c r="Q44" s="178"/>
      <c r="R44" s="178"/>
      <c r="S44" s="178"/>
      <c r="T44" s="178"/>
      <c r="U44" s="178"/>
      <c r="V44" s="178"/>
      <c r="W44" s="178"/>
      <c r="X44" s="178"/>
      <c r="Y44" s="178"/>
      <c r="Z44" s="178"/>
      <c r="AA44" s="178"/>
      <c r="AB44" s="179"/>
    </row>
    <row r="45" spans="1:28" ht="22.5" customHeight="1">
      <c r="A45" s="57" t="str">
        <f t="shared" si="0"/>
        <v>原 維香</v>
      </c>
      <c r="B45" s="177" t="s">
        <v>167</v>
      </c>
      <c r="C45" s="178"/>
      <c r="D45" s="178"/>
      <c r="E45" s="178"/>
      <c r="F45" s="178"/>
      <c r="G45" s="178"/>
      <c r="H45" s="178"/>
      <c r="I45" s="178"/>
      <c r="J45" s="178"/>
      <c r="K45" s="178"/>
      <c r="L45" s="178"/>
      <c r="M45" s="178"/>
      <c r="N45" s="178"/>
      <c r="O45" s="178"/>
      <c r="P45" s="178"/>
      <c r="Q45" s="178"/>
      <c r="R45" s="178"/>
      <c r="S45" s="178"/>
      <c r="T45" s="178"/>
      <c r="U45" s="178"/>
      <c r="V45" s="178"/>
      <c r="W45" s="178"/>
      <c r="X45" s="178"/>
      <c r="Y45" s="178"/>
      <c r="Z45" s="178"/>
      <c r="AA45" s="178"/>
      <c r="AB45" s="179"/>
    </row>
    <row r="46" spans="1:28" ht="22.5" customHeight="1">
      <c r="A46" s="57" t="str">
        <f t="shared" si="0"/>
        <v>丸山 心音</v>
      </c>
      <c r="B46" s="177" t="s">
        <v>167</v>
      </c>
      <c r="C46" s="178"/>
      <c r="D46" s="178"/>
      <c r="E46" s="178"/>
      <c r="F46" s="178"/>
      <c r="G46" s="178"/>
      <c r="H46" s="178"/>
      <c r="I46" s="178"/>
      <c r="J46" s="178"/>
      <c r="K46" s="178"/>
      <c r="L46" s="178"/>
      <c r="M46" s="178"/>
      <c r="N46" s="178"/>
      <c r="O46" s="178"/>
      <c r="P46" s="178"/>
      <c r="Q46" s="178"/>
      <c r="R46" s="178"/>
      <c r="S46" s="178"/>
      <c r="T46" s="178"/>
      <c r="U46" s="178"/>
      <c r="V46" s="178"/>
      <c r="W46" s="178"/>
      <c r="X46" s="178"/>
      <c r="Y46" s="178"/>
      <c r="Z46" s="178"/>
      <c r="AA46" s="178"/>
      <c r="AB46" s="179"/>
    </row>
    <row r="47" spans="1:28" ht="22.5" customHeight="1">
      <c r="A47" s="57" t="str">
        <f t="shared" si="0"/>
        <v>森本 浩士</v>
      </c>
      <c r="B47" s="177" t="s">
        <v>167</v>
      </c>
      <c r="C47" s="178"/>
      <c r="D47" s="178"/>
      <c r="E47" s="178"/>
      <c r="F47" s="178"/>
      <c r="G47" s="178"/>
      <c r="H47" s="178"/>
      <c r="I47" s="178"/>
      <c r="J47" s="178"/>
      <c r="K47" s="178"/>
      <c r="L47" s="178"/>
      <c r="M47" s="178"/>
      <c r="N47" s="178"/>
      <c r="O47" s="178"/>
      <c r="P47" s="178"/>
      <c r="Q47" s="178"/>
      <c r="R47" s="178"/>
      <c r="S47" s="178"/>
      <c r="T47" s="178"/>
      <c r="U47" s="178"/>
      <c r="V47" s="178"/>
      <c r="W47" s="178"/>
      <c r="X47" s="178"/>
      <c r="Y47" s="178"/>
      <c r="Z47" s="178"/>
      <c r="AA47" s="178"/>
      <c r="AB47" s="179"/>
    </row>
    <row r="48" spans="1:28" ht="22.5" customHeight="1">
      <c r="A48" s="57" t="str">
        <f t="shared" si="0"/>
        <v>栁沢 美緒</v>
      </c>
      <c r="B48" s="177" t="s">
        <v>167</v>
      </c>
      <c r="C48" s="178"/>
      <c r="D48" s="178"/>
      <c r="E48" s="178"/>
      <c r="F48" s="178"/>
      <c r="G48" s="178"/>
      <c r="H48" s="178"/>
      <c r="I48" s="178"/>
      <c r="J48" s="178"/>
      <c r="K48" s="178"/>
      <c r="L48" s="178"/>
      <c r="M48" s="178"/>
      <c r="N48" s="178"/>
      <c r="O48" s="178"/>
      <c r="P48" s="178"/>
      <c r="Q48" s="178"/>
      <c r="R48" s="178"/>
      <c r="S48" s="178"/>
      <c r="T48" s="178"/>
      <c r="U48" s="178"/>
      <c r="V48" s="178"/>
      <c r="W48" s="178"/>
      <c r="X48" s="178"/>
      <c r="Y48" s="178"/>
      <c r="Z48" s="178"/>
      <c r="AA48" s="178"/>
      <c r="AB48" s="179"/>
    </row>
    <row r="49" spans="1:29" ht="22.5" customHeight="1">
      <c r="A49" s="57" t="str">
        <f t="shared" si="0"/>
        <v>横山 麟太</v>
      </c>
      <c r="B49" s="177" t="s">
        <v>167</v>
      </c>
      <c r="C49" s="178"/>
      <c r="D49" s="178"/>
      <c r="E49" s="178"/>
      <c r="F49" s="178"/>
      <c r="G49" s="178"/>
      <c r="H49" s="178"/>
      <c r="I49" s="178"/>
      <c r="J49" s="178"/>
      <c r="K49" s="178"/>
      <c r="L49" s="178"/>
      <c r="M49" s="178"/>
      <c r="N49" s="178"/>
      <c r="O49" s="178"/>
      <c r="P49" s="178"/>
      <c r="Q49" s="178"/>
      <c r="R49" s="178"/>
      <c r="S49" s="178"/>
      <c r="T49" s="178"/>
      <c r="U49" s="178"/>
      <c r="V49" s="178"/>
      <c r="W49" s="178"/>
      <c r="X49" s="178"/>
      <c r="Y49" s="178"/>
      <c r="Z49" s="178"/>
      <c r="AA49" s="178"/>
      <c r="AB49" s="179"/>
    </row>
    <row r="50" spans="1:29" ht="22.5" customHeight="1">
      <c r="A50" s="57" t="str">
        <f t="shared" si="0"/>
        <v>渡邊 了介</v>
      </c>
      <c r="B50" s="177" t="s">
        <v>167</v>
      </c>
      <c r="C50" s="178"/>
      <c r="D50" s="178"/>
      <c r="E50" s="178"/>
      <c r="F50" s="178"/>
      <c r="G50" s="178"/>
      <c r="H50" s="178"/>
      <c r="I50" s="178"/>
      <c r="J50" s="178"/>
      <c r="K50" s="178"/>
      <c r="L50" s="178"/>
      <c r="M50" s="178"/>
      <c r="N50" s="178"/>
      <c r="O50" s="178"/>
      <c r="P50" s="178"/>
      <c r="Q50" s="178"/>
      <c r="R50" s="178"/>
      <c r="S50" s="178"/>
      <c r="T50" s="178"/>
      <c r="U50" s="178"/>
      <c r="V50" s="178"/>
      <c r="W50" s="178"/>
      <c r="X50" s="178"/>
      <c r="Y50" s="178"/>
      <c r="Z50" s="178"/>
      <c r="AA50" s="178"/>
      <c r="AB50" s="179"/>
    </row>
    <row r="51" spans="1:29" ht="22.5" customHeight="1">
      <c r="A51" s="57">
        <f t="shared" si="0"/>
        <v>0</v>
      </c>
      <c r="B51" s="171"/>
      <c r="C51" s="172"/>
      <c r="D51" s="172"/>
      <c r="E51" s="172"/>
      <c r="F51" s="172"/>
      <c r="G51" s="172"/>
      <c r="H51" s="172"/>
      <c r="I51" s="172"/>
      <c r="J51" s="172"/>
      <c r="K51" s="172"/>
      <c r="L51" s="172"/>
      <c r="M51" s="172"/>
      <c r="N51" s="172"/>
      <c r="O51" s="172"/>
      <c r="P51" s="172"/>
      <c r="Q51" s="172"/>
      <c r="R51" s="172"/>
      <c r="S51" s="172"/>
      <c r="T51" s="172"/>
      <c r="U51" s="172"/>
      <c r="V51" s="172"/>
      <c r="W51" s="172"/>
      <c r="X51" s="172"/>
      <c r="Y51" s="172"/>
      <c r="Z51" s="172"/>
      <c r="AA51" s="172"/>
      <c r="AB51" s="173"/>
    </row>
    <row r="52" spans="1:29" ht="22.5" customHeight="1">
      <c r="A52" s="57">
        <f t="shared" si="0"/>
        <v>0</v>
      </c>
      <c r="B52" s="171"/>
      <c r="C52" s="172"/>
      <c r="D52" s="172"/>
      <c r="E52" s="172"/>
      <c r="F52" s="172"/>
      <c r="G52" s="172"/>
      <c r="H52" s="172"/>
      <c r="I52" s="172"/>
      <c r="J52" s="172"/>
      <c r="K52" s="172"/>
      <c r="L52" s="172"/>
      <c r="M52" s="172"/>
      <c r="N52" s="172"/>
      <c r="O52" s="172"/>
      <c r="P52" s="172"/>
      <c r="Q52" s="172"/>
      <c r="R52" s="172"/>
      <c r="S52" s="172"/>
      <c r="T52" s="172"/>
      <c r="U52" s="172"/>
      <c r="V52" s="172"/>
      <c r="W52" s="172"/>
      <c r="X52" s="172"/>
      <c r="Y52" s="172"/>
      <c r="Z52" s="172"/>
      <c r="AA52" s="172"/>
      <c r="AB52" s="173"/>
    </row>
    <row r="53" spans="1:29" ht="22.5" customHeight="1">
      <c r="A53" s="57">
        <f t="shared" si="0"/>
        <v>0</v>
      </c>
      <c r="B53" s="171"/>
      <c r="C53" s="172"/>
      <c r="D53" s="172"/>
      <c r="E53" s="172"/>
      <c r="F53" s="172"/>
      <c r="G53" s="172"/>
      <c r="H53" s="172"/>
      <c r="I53" s="172"/>
      <c r="J53" s="172"/>
      <c r="K53" s="172"/>
      <c r="L53" s="172"/>
      <c r="M53" s="172"/>
      <c r="N53" s="172"/>
      <c r="O53" s="172"/>
      <c r="P53" s="172"/>
      <c r="Q53" s="172"/>
      <c r="R53" s="172"/>
      <c r="S53" s="172"/>
      <c r="T53" s="172"/>
      <c r="U53" s="172"/>
      <c r="V53" s="172"/>
      <c r="W53" s="172"/>
      <c r="X53" s="172"/>
      <c r="Y53" s="172"/>
      <c r="Z53" s="172"/>
      <c r="AA53" s="172"/>
      <c r="AB53" s="173"/>
    </row>
    <row r="54" spans="1:29" ht="22.5" customHeight="1">
      <c r="A54" s="57">
        <f t="shared" si="0"/>
        <v>0</v>
      </c>
      <c r="B54" s="171"/>
      <c r="C54" s="172"/>
      <c r="D54" s="172"/>
      <c r="E54" s="172"/>
      <c r="F54" s="172"/>
      <c r="G54" s="172"/>
      <c r="H54" s="172"/>
      <c r="I54" s="172"/>
      <c r="J54" s="172"/>
      <c r="K54" s="172"/>
      <c r="L54" s="172"/>
      <c r="M54" s="172"/>
      <c r="N54" s="172"/>
      <c r="O54" s="172"/>
      <c r="P54" s="172"/>
      <c r="Q54" s="172"/>
      <c r="R54" s="172"/>
      <c r="S54" s="172"/>
      <c r="T54" s="172"/>
      <c r="U54" s="172"/>
      <c r="V54" s="172"/>
      <c r="W54" s="172"/>
      <c r="X54" s="172"/>
      <c r="Y54" s="172"/>
      <c r="Z54" s="172"/>
      <c r="AA54" s="172"/>
      <c r="AB54" s="173"/>
    </row>
    <row r="55" spans="1:29" ht="22.5" customHeight="1">
      <c r="A55" s="57">
        <f t="shared" si="0"/>
        <v>0</v>
      </c>
      <c r="B55" s="171"/>
      <c r="C55" s="172"/>
      <c r="D55" s="172"/>
      <c r="E55" s="172"/>
      <c r="F55" s="172"/>
      <c r="G55" s="172"/>
      <c r="H55" s="172"/>
      <c r="I55" s="172"/>
      <c r="J55" s="172"/>
      <c r="K55" s="172"/>
      <c r="L55" s="172"/>
      <c r="M55" s="172"/>
      <c r="N55" s="172"/>
      <c r="O55" s="172"/>
      <c r="P55" s="172"/>
      <c r="Q55" s="172"/>
      <c r="R55" s="172"/>
      <c r="S55" s="172"/>
      <c r="T55" s="172"/>
      <c r="U55" s="172"/>
      <c r="V55" s="172"/>
      <c r="W55" s="172"/>
      <c r="X55" s="172"/>
      <c r="Y55" s="172"/>
      <c r="Z55" s="172"/>
      <c r="AA55" s="172"/>
      <c r="AB55" s="173"/>
    </row>
    <row r="56" spans="1:29" ht="22.5" customHeight="1">
      <c r="A56" s="57">
        <f t="shared" si="0"/>
        <v>0</v>
      </c>
      <c r="B56" s="171"/>
      <c r="C56" s="172"/>
      <c r="D56" s="172"/>
      <c r="E56" s="172"/>
      <c r="F56" s="172"/>
      <c r="G56" s="172"/>
      <c r="H56" s="172"/>
      <c r="I56" s="172"/>
      <c r="J56" s="172"/>
      <c r="K56" s="172"/>
      <c r="L56" s="172"/>
      <c r="M56" s="172"/>
      <c r="N56" s="172"/>
      <c r="O56" s="172"/>
      <c r="P56" s="172"/>
      <c r="Q56" s="172"/>
      <c r="R56" s="172"/>
      <c r="S56" s="172"/>
      <c r="T56" s="172"/>
      <c r="U56" s="172"/>
      <c r="V56" s="172"/>
      <c r="W56" s="172"/>
      <c r="X56" s="172"/>
      <c r="Y56" s="172"/>
      <c r="Z56" s="172"/>
      <c r="AA56" s="172"/>
      <c r="AB56" s="173"/>
    </row>
    <row r="57" spans="1:29" ht="22.5" customHeight="1">
      <c r="A57" s="57">
        <f t="shared" si="0"/>
        <v>0</v>
      </c>
      <c r="B57" s="171"/>
      <c r="C57" s="172"/>
      <c r="D57" s="172"/>
      <c r="E57" s="172"/>
      <c r="F57" s="172"/>
      <c r="G57" s="172"/>
      <c r="H57" s="172"/>
      <c r="I57" s="172"/>
      <c r="J57" s="172"/>
      <c r="K57" s="172"/>
      <c r="L57" s="172"/>
      <c r="M57" s="172"/>
      <c r="N57" s="172"/>
      <c r="O57" s="172"/>
      <c r="P57" s="172"/>
      <c r="Q57" s="172"/>
      <c r="R57" s="172"/>
      <c r="S57" s="172"/>
      <c r="T57" s="172"/>
      <c r="U57" s="172"/>
      <c r="V57" s="172"/>
      <c r="W57" s="172"/>
      <c r="X57" s="172"/>
      <c r="Y57" s="172"/>
      <c r="Z57" s="172"/>
      <c r="AA57" s="172"/>
      <c r="AB57" s="173"/>
    </row>
    <row r="58" spans="1:29" ht="22.5" customHeight="1">
      <c r="A58" s="57">
        <f t="shared" si="0"/>
        <v>0</v>
      </c>
      <c r="B58" s="171"/>
      <c r="C58" s="172"/>
      <c r="D58" s="172"/>
      <c r="E58" s="172"/>
      <c r="F58" s="172"/>
      <c r="G58" s="172"/>
      <c r="H58" s="172"/>
      <c r="I58" s="172"/>
      <c r="J58" s="172"/>
      <c r="K58" s="172"/>
      <c r="L58" s="172"/>
      <c r="M58" s="172"/>
      <c r="N58" s="172"/>
      <c r="O58" s="172"/>
      <c r="P58" s="172"/>
      <c r="Q58" s="172"/>
      <c r="R58" s="172"/>
      <c r="S58" s="172"/>
      <c r="T58" s="172"/>
      <c r="U58" s="172"/>
      <c r="V58" s="172"/>
      <c r="W58" s="172"/>
      <c r="X58" s="172"/>
      <c r="Y58" s="172"/>
      <c r="Z58" s="172"/>
      <c r="AA58" s="172"/>
      <c r="AB58" s="173"/>
    </row>
    <row r="59" spans="1:29" ht="22.5" customHeight="1">
      <c r="A59" s="57">
        <f t="shared" si="0"/>
        <v>0</v>
      </c>
      <c r="B59" s="171"/>
      <c r="C59" s="172"/>
      <c r="D59" s="172"/>
      <c r="E59" s="172"/>
      <c r="F59" s="172"/>
      <c r="G59" s="172"/>
      <c r="H59" s="172"/>
      <c r="I59" s="172"/>
      <c r="J59" s="172"/>
      <c r="K59" s="172"/>
      <c r="L59" s="172"/>
      <c r="M59" s="172"/>
      <c r="N59" s="172"/>
      <c r="O59" s="172"/>
      <c r="P59" s="172"/>
      <c r="Q59" s="172"/>
      <c r="R59" s="172"/>
      <c r="S59" s="172"/>
      <c r="T59" s="172"/>
      <c r="U59" s="172"/>
      <c r="V59" s="172"/>
      <c r="W59" s="172"/>
      <c r="X59" s="172"/>
      <c r="Y59" s="172"/>
      <c r="Z59" s="172"/>
      <c r="AA59" s="172"/>
      <c r="AB59" s="173"/>
      <c r="AC59" s="33" t="s">
        <v>21</v>
      </c>
    </row>
    <row r="60" spans="1:29" ht="24" customHeight="1">
      <c r="A60" s="189" t="s">
        <v>8</v>
      </c>
      <c r="B60" s="190"/>
      <c r="C60" s="190"/>
      <c r="D60" s="190"/>
      <c r="E60" s="190"/>
      <c r="F60" s="190"/>
      <c r="G60" s="190"/>
      <c r="H60" s="190"/>
      <c r="I60" s="190"/>
      <c r="J60" s="190"/>
      <c r="K60" s="190"/>
      <c r="L60" s="190"/>
      <c r="M60" s="190"/>
      <c r="N60" s="190"/>
      <c r="O60" s="190"/>
      <c r="P60" s="190"/>
      <c r="Q60" s="190"/>
      <c r="R60" s="190"/>
      <c r="S60" s="190"/>
      <c r="T60" s="190"/>
      <c r="U60" s="190"/>
      <c r="V60" s="190"/>
      <c r="W60" s="190"/>
      <c r="X60" s="190"/>
      <c r="Y60" s="190"/>
      <c r="Z60" s="190"/>
      <c r="AA60" s="190"/>
      <c r="AB60" s="191"/>
      <c r="AC60" s="4" t="s">
        <v>255</v>
      </c>
    </row>
    <row r="61" spans="1:29" ht="77.25" customHeight="1">
      <c r="A61" s="57" t="str">
        <f>A35</f>
        <v>岡田 明日香</v>
      </c>
      <c r="B61" s="183" t="s">
        <v>256</v>
      </c>
      <c r="C61" s="184"/>
      <c r="D61" s="184"/>
      <c r="E61" s="184"/>
      <c r="F61" s="184"/>
      <c r="G61" s="184"/>
      <c r="H61" s="184"/>
      <c r="I61" s="184"/>
      <c r="J61" s="184"/>
      <c r="K61" s="184"/>
      <c r="L61" s="184"/>
      <c r="M61" s="184"/>
      <c r="N61" s="184"/>
      <c r="O61" s="184"/>
      <c r="P61" s="184"/>
      <c r="Q61" s="184"/>
      <c r="R61" s="184"/>
      <c r="S61" s="184"/>
      <c r="T61" s="184"/>
      <c r="U61" s="184"/>
      <c r="V61" s="184"/>
      <c r="W61" s="184"/>
      <c r="X61" s="184"/>
      <c r="Y61" s="184"/>
      <c r="Z61" s="184"/>
      <c r="AA61" s="184"/>
      <c r="AB61" s="185"/>
      <c r="AC61" s="4">
        <f>LEN(B61)</f>
        <v>460</v>
      </c>
    </row>
    <row r="62" spans="1:29" ht="77.25" customHeight="1">
      <c r="A62" s="57" t="str">
        <f t="shared" ref="A62:A85" si="1">A36</f>
        <v>荻原 知香</v>
      </c>
      <c r="B62" s="183" t="s">
        <v>257</v>
      </c>
      <c r="C62" s="184"/>
      <c r="D62" s="184"/>
      <c r="E62" s="184"/>
      <c r="F62" s="184"/>
      <c r="G62" s="184"/>
      <c r="H62" s="184"/>
      <c r="I62" s="184"/>
      <c r="J62" s="184"/>
      <c r="K62" s="184"/>
      <c r="L62" s="184"/>
      <c r="M62" s="184"/>
      <c r="N62" s="184"/>
      <c r="O62" s="184"/>
      <c r="P62" s="184"/>
      <c r="Q62" s="184"/>
      <c r="R62" s="184"/>
      <c r="S62" s="184"/>
      <c r="T62" s="184"/>
      <c r="U62" s="184"/>
      <c r="V62" s="184"/>
      <c r="W62" s="184"/>
      <c r="X62" s="184"/>
      <c r="Y62" s="184"/>
      <c r="Z62" s="184"/>
      <c r="AA62" s="184"/>
      <c r="AB62" s="185"/>
      <c r="AC62" s="4">
        <f t="shared" ref="AC62:AC85" si="2">LEN(B62)</f>
        <v>499</v>
      </c>
    </row>
    <row r="63" spans="1:29" ht="77.25" customHeight="1">
      <c r="A63" s="57" t="str">
        <f t="shared" si="1"/>
        <v>片桐 葵</v>
      </c>
      <c r="B63" s="183" t="s">
        <v>168</v>
      </c>
      <c r="C63" s="184"/>
      <c r="D63" s="184"/>
      <c r="E63" s="184"/>
      <c r="F63" s="184"/>
      <c r="G63" s="184"/>
      <c r="H63" s="184"/>
      <c r="I63" s="184"/>
      <c r="J63" s="184"/>
      <c r="K63" s="184"/>
      <c r="L63" s="184"/>
      <c r="M63" s="184"/>
      <c r="N63" s="184"/>
      <c r="O63" s="184"/>
      <c r="P63" s="184"/>
      <c r="Q63" s="184"/>
      <c r="R63" s="184"/>
      <c r="S63" s="184"/>
      <c r="T63" s="184"/>
      <c r="U63" s="184"/>
      <c r="V63" s="184"/>
      <c r="W63" s="184"/>
      <c r="X63" s="184"/>
      <c r="Y63" s="184"/>
      <c r="Z63" s="184"/>
      <c r="AA63" s="184"/>
      <c r="AB63" s="185"/>
      <c r="AC63" s="4">
        <f t="shared" si="2"/>
        <v>456</v>
      </c>
    </row>
    <row r="64" spans="1:29" ht="77.25" customHeight="1">
      <c r="A64" s="57" t="str">
        <f t="shared" si="1"/>
        <v>上島 碧依</v>
      </c>
      <c r="B64" s="183" t="s">
        <v>258</v>
      </c>
      <c r="C64" s="184"/>
      <c r="D64" s="184"/>
      <c r="E64" s="184"/>
      <c r="F64" s="184"/>
      <c r="G64" s="184"/>
      <c r="H64" s="184"/>
      <c r="I64" s="184"/>
      <c r="J64" s="184"/>
      <c r="K64" s="184"/>
      <c r="L64" s="184"/>
      <c r="M64" s="184"/>
      <c r="N64" s="184"/>
      <c r="O64" s="184"/>
      <c r="P64" s="184"/>
      <c r="Q64" s="184"/>
      <c r="R64" s="184"/>
      <c r="S64" s="184"/>
      <c r="T64" s="184"/>
      <c r="U64" s="184"/>
      <c r="V64" s="184"/>
      <c r="W64" s="184"/>
      <c r="X64" s="184"/>
      <c r="Y64" s="184"/>
      <c r="Z64" s="184"/>
      <c r="AA64" s="184"/>
      <c r="AB64" s="185"/>
      <c r="AC64" s="4">
        <f t="shared" si="2"/>
        <v>470</v>
      </c>
    </row>
    <row r="65" spans="1:29" ht="77.25" customHeight="1">
      <c r="A65" s="57" t="str">
        <f t="shared" si="1"/>
        <v>藏井 陽菜乃</v>
      </c>
      <c r="B65" s="183" t="s">
        <v>259</v>
      </c>
      <c r="C65" s="184"/>
      <c r="D65" s="184"/>
      <c r="E65" s="184"/>
      <c r="F65" s="184"/>
      <c r="G65" s="184"/>
      <c r="H65" s="184"/>
      <c r="I65" s="184"/>
      <c r="J65" s="184"/>
      <c r="K65" s="184"/>
      <c r="L65" s="184"/>
      <c r="M65" s="184"/>
      <c r="N65" s="184"/>
      <c r="O65" s="184"/>
      <c r="P65" s="184"/>
      <c r="Q65" s="184"/>
      <c r="R65" s="184"/>
      <c r="S65" s="184"/>
      <c r="T65" s="184"/>
      <c r="U65" s="184"/>
      <c r="V65" s="184"/>
      <c r="W65" s="184"/>
      <c r="X65" s="184"/>
      <c r="Y65" s="184"/>
      <c r="Z65" s="184"/>
      <c r="AA65" s="184"/>
      <c r="AB65" s="185"/>
      <c r="AC65" s="4">
        <f t="shared" si="2"/>
        <v>452</v>
      </c>
    </row>
    <row r="66" spans="1:29" ht="77.25" customHeight="1">
      <c r="A66" s="57" t="str">
        <f t="shared" si="1"/>
        <v>小松 雅治</v>
      </c>
      <c r="B66" s="183" t="s">
        <v>260</v>
      </c>
      <c r="C66" s="184"/>
      <c r="D66" s="184"/>
      <c r="E66" s="184"/>
      <c r="F66" s="184"/>
      <c r="G66" s="184"/>
      <c r="H66" s="184"/>
      <c r="I66" s="184"/>
      <c r="J66" s="184"/>
      <c r="K66" s="184"/>
      <c r="L66" s="184"/>
      <c r="M66" s="184"/>
      <c r="N66" s="184"/>
      <c r="O66" s="184"/>
      <c r="P66" s="184"/>
      <c r="Q66" s="184"/>
      <c r="R66" s="184"/>
      <c r="S66" s="184"/>
      <c r="T66" s="184"/>
      <c r="U66" s="184"/>
      <c r="V66" s="184"/>
      <c r="W66" s="184"/>
      <c r="X66" s="184"/>
      <c r="Y66" s="184"/>
      <c r="Z66" s="184"/>
      <c r="AA66" s="184"/>
      <c r="AB66" s="185"/>
      <c r="AC66" s="4">
        <f t="shared" si="2"/>
        <v>480</v>
      </c>
    </row>
    <row r="67" spans="1:29" ht="77.25" customHeight="1">
      <c r="A67" s="57" t="str">
        <f t="shared" si="1"/>
        <v>須藤 爽斗</v>
      </c>
      <c r="B67" s="183" t="s">
        <v>169</v>
      </c>
      <c r="C67" s="184"/>
      <c r="D67" s="184"/>
      <c r="E67" s="184"/>
      <c r="F67" s="184"/>
      <c r="G67" s="184"/>
      <c r="H67" s="184"/>
      <c r="I67" s="184"/>
      <c r="J67" s="184"/>
      <c r="K67" s="184"/>
      <c r="L67" s="184"/>
      <c r="M67" s="184"/>
      <c r="N67" s="184"/>
      <c r="O67" s="184"/>
      <c r="P67" s="184"/>
      <c r="Q67" s="184"/>
      <c r="R67" s="184"/>
      <c r="S67" s="184"/>
      <c r="T67" s="184"/>
      <c r="U67" s="184"/>
      <c r="V67" s="184"/>
      <c r="W67" s="184"/>
      <c r="X67" s="184"/>
      <c r="Y67" s="184"/>
      <c r="Z67" s="184"/>
      <c r="AA67" s="184"/>
      <c r="AB67" s="185"/>
      <c r="AC67" s="4">
        <f t="shared" si="2"/>
        <v>459</v>
      </c>
    </row>
    <row r="68" spans="1:29" ht="77.25" customHeight="1">
      <c r="A68" s="57" t="str">
        <f t="shared" si="1"/>
        <v>滝 陽香</v>
      </c>
      <c r="B68" s="183" t="s">
        <v>170</v>
      </c>
      <c r="C68" s="184"/>
      <c r="D68" s="184"/>
      <c r="E68" s="184"/>
      <c r="F68" s="184"/>
      <c r="G68" s="184"/>
      <c r="H68" s="184"/>
      <c r="I68" s="184"/>
      <c r="J68" s="184"/>
      <c r="K68" s="184"/>
      <c r="L68" s="184"/>
      <c r="M68" s="184"/>
      <c r="N68" s="184"/>
      <c r="O68" s="184"/>
      <c r="P68" s="184"/>
      <c r="Q68" s="184"/>
      <c r="R68" s="184"/>
      <c r="S68" s="184"/>
      <c r="T68" s="184"/>
      <c r="U68" s="184"/>
      <c r="V68" s="184"/>
      <c r="W68" s="184"/>
      <c r="X68" s="184"/>
      <c r="Y68" s="184"/>
      <c r="Z68" s="184"/>
      <c r="AA68" s="184"/>
      <c r="AB68" s="185"/>
      <c r="AC68" s="4">
        <f t="shared" si="2"/>
        <v>485</v>
      </c>
    </row>
    <row r="69" spans="1:29" ht="77.25" customHeight="1">
      <c r="A69" s="57" t="str">
        <f t="shared" si="1"/>
        <v>永江 仁</v>
      </c>
      <c r="B69" s="183" t="s">
        <v>261</v>
      </c>
      <c r="C69" s="184"/>
      <c r="D69" s="184"/>
      <c r="E69" s="184"/>
      <c r="F69" s="184"/>
      <c r="G69" s="184"/>
      <c r="H69" s="184"/>
      <c r="I69" s="184"/>
      <c r="J69" s="184"/>
      <c r="K69" s="184"/>
      <c r="L69" s="184"/>
      <c r="M69" s="184"/>
      <c r="N69" s="184"/>
      <c r="O69" s="184"/>
      <c r="P69" s="184"/>
      <c r="Q69" s="184"/>
      <c r="R69" s="184"/>
      <c r="S69" s="184"/>
      <c r="T69" s="184"/>
      <c r="U69" s="184"/>
      <c r="V69" s="184"/>
      <c r="W69" s="184"/>
      <c r="X69" s="184"/>
      <c r="Y69" s="184"/>
      <c r="Z69" s="184"/>
      <c r="AA69" s="184"/>
      <c r="AB69" s="185"/>
      <c r="AC69" s="4">
        <f t="shared" si="2"/>
        <v>512</v>
      </c>
    </row>
    <row r="70" spans="1:29" ht="77.25" customHeight="1">
      <c r="A70" s="57" t="str">
        <f t="shared" si="1"/>
        <v>林 果菜</v>
      </c>
      <c r="B70" s="186" t="s">
        <v>171</v>
      </c>
      <c r="C70" s="187"/>
      <c r="D70" s="187"/>
      <c r="E70" s="187"/>
      <c r="F70" s="187"/>
      <c r="G70" s="187"/>
      <c r="H70" s="187"/>
      <c r="I70" s="187"/>
      <c r="J70" s="187"/>
      <c r="K70" s="187"/>
      <c r="L70" s="187"/>
      <c r="M70" s="187"/>
      <c r="N70" s="187"/>
      <c r="O70" s="187"/>
      <c r="P70" s="187"/>
      <c r="Q70" s="187"/>
      <c r="R70" s="187"/>
      <c r="S70" s="187"/>
      <c r="T70" s="187"/>
      <c r="U70" s="187"/>
      <c r="V70" s="187"/>
      <c r="W70" s="187"/>
      <c r="X70" s="187"/>
      <c r="Y70" s="187"/>
      <c r="Z70" s="187"/>
      <c r="AA70" s="187"/>
      <c r="AB70" s="188"/>
      <c r="AC70" s="4">
        <f t="shared" si="2"/>
        <v>469</v>
      </c>
    </row>
    <row r="71" spans="1:29" ht="77.25" customHeight="1">
      <c r="A71" s="57" t="str">
        <f t="shared" si="1"/>
        <v>原 維香</v>
      </c>
      <c r="B71" s="183" t="s">
        <v>262</v>
      </c>
      <c r="C71" s="184"/>
      <c r="D71" s="184"/>
      <c r="E71" s="184"/>
      <c r="F71" s="184"/>
      <c r="G71" s="184"/>
      <c r="H71" s="184"/>
      <c r="I71" s="184"/>
      <c r="J71" s="184"/>
      <c r="K71" s="184"/>
      <c r="L71" s="184"/>
      <c r="M71" s="184"/>
      <c r="N71" s="184"/>
      <c r="O71" s="184"/>
      <c r="P71" s="184"/>
      <c r="Q71" s="184"/>
      <c r="R71" s="184"/>
      <c r="S71" s="184"/>
      <c r="T71" s="184"/>
      <c r="U71" s="184"/>
      <c r="V71" s="184"/>
      <c r="W71" s="184"/>
      <c r="X71" s="184"/>
      <c r="Y71" s="184"/>
      <c r="Z71" s="184"/>
      <c r="AA71" s="184"/>
      <c r="AB71" s="185"/>
      <c r="AC71" s="4">
        <f t="shared" si="2"/>
        <v>512</v>
      </c>
    </row>
    <row r="72" spans="1:29" ht="77.25" customHeight="1">
      <c r="A72" s="57" t="str">
        <f t="shared" si="1"/>
        <v>丸山 心音</v>
      </c>
      <c r="B72" s="183" t="s">
        <v>263</v>
      </c>
      <c r="C72" s="184"/>
      <c r="D72" s="184"/>
      <c r="E72" s="184"/>
      <c r="F72" s="184"/>
      <c r="G72" s="184"/>
      <c r="H72" s="184"/>
      <c r="I72" s="184"/>
      <c r="J72" s="184"/>
      <c r="K72" s="184"/>
      <c r="L72" s="184"/>
      <c r="M72" s="184"/>
      <c r="N72" s="184"/>
      <c r="O72" s="184"/>
      <c r="P72" s="184"/>
      <c r="Q72" s="184"/>
      <c r="R72" s="184"/>
      <c r="S72" s="184"/>
      <c r="T72" s="184"/>
      <c r="U72" s="184"/>
      <c r="V72" s="184"/>
      <c r="W72" s="184"/>
      <c r="X72" s="184"/>
      <c r="Y72" s="184"/>
      <c r="Z72" s="184"/>
      <c r="AA72" s="184"/>
      <c r="AB72" s="185"/>
      <c r="AC72" s="4">
        <f t="shared" si="2"/>
        <v>455</v>
      </c>
    </row>
    <row r="73" spans="1:29" ht="77.25" customHeight="1">
      <c r="A73" s="57" t="str">
        <f t="shared" si="1"/>
        <v>森本 浩士</v>
      </c>
      <c r="B73" s="183" t="s">
        <v>172</v>
      </c>
      <c r="C73" s="184"/>
      <c r="D73" s="184"/>
      <c r="E73" s="184"/>
      <c r="F73" s="184"/>
      <c r="G73" s="184"/>
      <c r="H73" s="184"/>
      <c r="I73" s="184"/>
      <c r="J73" s="184"/>
      <c r="K73" s="184"/>
      <c r="L73" s="184"/>
      <c r="M73" s="184"/>
      <c r="N73" s="184"/>
      <c r="O73" s="184"/>
      <c r="P73" s="184"/>
      <c r="Q73" s="184"/>
      <c r="R73" s="184"/>
      <c r="S73" s="184"/>
      <c r="T73" s="184"/>
      <c r="U73" s="184"/>
      <c r="V73" s="184"/>
      <c r="W73" s="184"/>
      <c r="X73" s="184"/>
      <c r="Y73" s="184"/>
      <c r="Z73" s="184"/>
      <c r="AA73" s="184"/>
      <c r="AB73" s="185"/>
      <c r="AC73" s="4">
        <f t="shared" si="2"/>
        <v>499</v>
      </c>
    </row>
    <row r="74" spans="1:29" ht="77.25" customHeight="1">
      <c r="A74" s="57" t="str">
        <f t="shared" si="1"/>
        <v>栁沢 美緒</v>
      </c>
      <c r="B74" s="183" t="s">
        <v>264</v>
      </c>
      <c r="C74" s="184"/>
      <c r="D74" s="184"/>
      <c r="E74" s="184"/>
      <c r="F74" s="184"/>
      <c r="G74" s="184"/>
      <c r="H74" s="184"/>
      <c r="I74" s="184"/>
      <c r="J74" s="184"/>
      <c r="K74" s="184"/>
      <c r="L74" s="184"/>
      <c r="M74" s="184"/>
      <c r="N74" s="184"/>
      <c r="O74" s="184"/>
      <c r="P74" s="184"/>
      <c r="Q74" s="184"/>
      <c r="R74" s="184"/>
      <c r="S74" s="184"/>
      <c r="T74" s="184"/>
      <c r="U74" s="184"/>
      <c r="V74" s="184"/>
      <c r="W74" s="184"/>
      <c r="X74" s="184"/>
      <c r="Y74" s="184"/>
      <c r="Z74" s="184"/>
      <c r="AA74" s="184"/>
      <c r="AB74" s="185"/>
      <c r="AC74" s="4">
        <f t="shared" si="2"/>
        <v>499</v>
      </c>
    </row>
    <row r="75" spans="1:29" ht="77.25" customHeight="1">
      <c r="A75" s="57" t="str">
        <f t="shared" si="1"/>
        <v>横山 麟太</v>
      </c>
      <c r="B75" s="183" t="s">
        <v>265</v>
      </c>
      <c r="C75" s="184"/>
      <c r="D75" s="184"/>
      <c r="E75" s="184"/>
      <c r="F75" s="184"/>
      <c r="G75" s="184"/>
      <c r="H75" s="184"/>
      <c r="I75" s="184"/>
      <c r="J75" s="184"/>
      <c r="K75" s="184"/>
      <c r="L75" s="184"/>
      <c r="M75" s="184"/>
      <c r="N75" s="184"/>
      <c r="O75" s="184"/>
      <c r="P75" s="184"/>
      <c r="Q75" s="184"/>
      <c r="R75" s="184"/>
      <c r="S75" s="184"/>
      <c r="T75" s="184"/>
      <c r="U75" s="184"/>
      <c r="V75" s="184"/>
      <c r="W75" s="184"/>
      <c r="X75" s="184"/>
      <c r="Y75" s="184"/>
      <c r="Z75" s="184"/>
      <c r="AA75" s="184"/>
      <c r="AB75" s="185"/>
      <c r="AC75" s="4">
        <f t="shared" si="2"/>
        <v>507</v>
      </c>
    </row>
    <row r="76" spans="1:29" ht="77.25" customHeight="1">
      <c r="A76" s="57" t="str">
        <f t="shared" si="1"/>
        <v>渡邊 了介</v>
      </c>
      <c r="B76" s="183" t="s">
        <v>173</v>
      </c>
      <c r="C76" s="184"/>
      <c r="D76" s="184"/>
      <c r="E76" s="184"/>
      <c r="F76" s="184"/>
      <c r="G76" s="184"/>
      <c r="H76" s="184"/>
      <c r="I76" s="184"/>
      <c r="J76" s="184"/>
      <c r="K76" s="184"/>
      <c r="L76" s="184"/>
      <c r="M76" s="184"/>
      <c r="N76" s="184"/>
      <c r="O76" s="184"/>
      <c r="P76" s="184"/>
      <c r="Q76" s="184"/>
      <c r="R76" s="184"/>
      <c r="S76" s="184"/>
      <c r="T76" s="184"/>
      <c r="U76" s="184"/>
      <c r="V76" s="184"/>
      <c r="W76" s="184"/>
      <c r="X76" s="184"/>
      <c r="Y76" s="184"/>
      <c r="Z76" s="184"/>
      <c r="AA76" s="184"/>
      <c r="AB76" s="185"/>
      <c r="AC76" s="4">
        <f t="shared" si="2"/>
        <v>468</v>
      </c>
    </row>
    <row r="77" spans="1:29" ht="77.25" customHeight="1">
      <c r="A77" s="57">
        <f t="shared" si="1"/>
        <v>0</v>
      </c>
      <c r="B77" s="183"/>
      <c r="C77" s="184"/>
      <c r="D77" s="184"/>
      <c r="E77" s="184"/>
      <c r="F77" s="184"/>
      <c r="G77" s="184"/>
      <c r="H77" s="184"/>
      <c r="I77" s="184"/>
      <c r="J77" s="184"/>
      <c r="K77" s="184"/>
      <c r="L77" s="184"/>
      <c r="M77" s="184"/>
      <c r="N77" s="184"/>
      <c r="O77" s="184"/>
      <c r="P77" s="184"/>
      <c r="Q77" s="184"/>
      <c r="R77" s="184"/>
      <c r="S77" s="184"/>
      <c r="T77" s="184"/>
      <c r="U77" s="184"/>
      <c r="V77" s="184"/>
      <c r="W77" s="184"/>
      <c r="X77" s="184"/>
      <c r="Y77" s="184"/>
      <c r="Z77" s="184"/>
      <c r="AA77" s="184"/>
      <c r="AB77" s="185"/>
      <c r="AC77" s="4">
        <f t="shared" si="2"/>
        <v>0</v>
      </c>
    </row>
    <row r="78" spans="1:29" ht="77.25" customHeight="1">
      <c r="A78" s="57">
        <f t="shared" si="1"/>
        <v>0</v>
      </c>
      <c r="B78" s="183"/>
      <c r="C78" s="184"/>
      <c r="D78" s="184"/>
      <c r="E78" s="184"/>
      <c r="F78" s="184"/>
      <c r="G78" s="184"/>
      <c r="H78" s="184"/>
      <c r="I78" s="184"/>
      <c r="J78" s="184"/>
      <c r="K78" s="184"/>
      <c r="L78" s="184"/>
      <c r="M78" s="184"/>
      <c r="N78" s="184"/>
      <c r="O78" s="184"/>
      <c r="P78" s="184"/>
      <c r="Q78" s="184"/>
      <c r="R78" s="184"/>
      <c r="S78" s="184"/>
      <c r="T78" s="184"/>
      <c r="U78" s="184"/>
      <c r="V78" s="184"/>
      <c r="W78" s="184"/>
      <c r="X78" s="184"/>
      <c r="Y78" s="184"/>
      <c r="Z78" s="184"/>
      <c r="AA78" s="184"/>
      <c r="AB78" s="185"/>
      <c r="AC78" s="4">
        <f t="shared" si="2"/>
        <v>0</v>
      </c>
    </row>
    <row r="79" spans="1:29" ht="77.25" customHeight="1">
      <c r="A79" s="57">
        <f t="shared" si="1"/>
        <v>0</v>
      </c>
      <c r="B79" s="183"/>
      <c r="C79" s="184"/>
      <c r="D79" s="184"/>
      <c r="E79" s="184"/>
      <c r="F79" s="184"/>
      <c r="G79" s="184"/>
      <c r="H79" s="184"/>
      <c r="I79" s="184"/>
      <c r="J79" s="184"/>
      <c r="K79" s="184"/>
      <c r="L79" s="184"/>
      <c r="M79" s="184"/>
      <c r="N79" s="184"/>
      <c r="O79" s="184"/>
      <c r="P79" s="184"/>
      <c r="Q79" s="184"/>
      <c r="R79" s="184"/>
      <c r="S79" s="184"/>
      <c r="T79" s="184"/>
      <c r="U79" s="184"/>
      <c r="V79" s="184"/>
      <c r="W79" s="184"/>
      <c r="X79" s="184"/>
      <c r="Y79" s="184"/>
      <c r="Z79" s="184"/>
      <c r="AA79" s="184"/>
      <c r="AB79" s="185"/>
      <c r="AC79" s="4">
        <f t="shared" si="2"/>
        <v>0</v>
      </c>
    </row>
    <row r="80" spans="1:29" ht="77.25" customHeight="1">
      <c r="A80" s="57">
        <f t="shared" si="1"/>
        <v>0</v>
      </c>
      <c r="B80" s="183"/>
      <c r="C80" s="184"/>
      <c r="D80" s="184"/>
      <c r="E80" s="184"/>
      <c r="F80" s="184"/>
      <c r="G80" s="184"/>
      <c r="H80" s="184"/>
      <c r="I80" s="184"/>
      <c r="J80" s="184"/>
      <c r="K80" s="184"/>
      <c r="L80" s="184"/>
      <c r="M80" s="184"/>
      <c r="N80" s="184"/>
      <c r="O80" s="184"/>
      <c r="P80" s="184"/>
      <c r="Q80" s="184"/>
      <c r="R80" s="184"/>
      <c r="S80" s="184"/>
      <c r="T80" s="184"/>
      <c r="U80" s="184"/>
      <c r="V80" s="184"/>
      <c r="W80" s="184"/>
      <c r="X80" s="184"/>
      <c r="Y80" s="184"/>
      <c r="Z80" s="184"/>
      <c r="AA80" s="184"/>
      <c r="AB80" s="185"/>
      <c r="AC80" s="4">
        <f t="shared" si="2"/>
        <v>0</v>
      </c>
    </row>
    <row r="81" spans="1:29" ht="77.25" customHeight="1">
      <c r="A81" s="57">
        <f t="shared" si="1"/>
        <v>0</v>
      </c>
      <c r="B81" s="183"/>
      <c r="C81" s="184"/>
      <c r="D81" s="184"/>
      <c r="E81" s="184"/>
      <c r="F81" s="184"/>
      <c r="G81" s="184"/>
      <c r="H81" s="184"/>
      <c r="I81" s="184"/>
      <c r="J81" s="184"/>
      <c r="K81" s="184"/>
      <c r="L81" s="184"/>
      <c r="M81" s="184"/>
      <c r="N81" s="184"/>
      <c r="O81" s="184"/>
      <c r="P81" s="184"/>
      <c r="Q81" s="184"/>
      <c r="R81" s="184"/>
      <c r="S81" s="184"/>
      <c r="T81" s="184"/>
      <c r="U81" s="184"/>
      <c r="V81" s="184"/>
      <c r="W81" s="184"/>
      <c r="X81" s="184"/>
      <c r="Y81" s="184"/>
      <c r="Z81" s="184"/>
      <c r="AA81" s="184"/>
      <c r="AB81" s="185"/>
      <c r="AC81" s="4">
        <f t="shared" si="2"/>
        <v>0</v>
      </c>
    </row>
    <row r="82" spans="1:29" ht="77.25" customHeight="1">
      <c r="A82" s="57">
        <f t="shared" si="1"/>
        <v>0</v>
      </c>
      <c r="B82" s="183"/>
      <c r="C82" s="184"/>
      <c r="D82" s="184"/>
      <c r="E82" s="184"/>
      <c r="F82" s="184"/>
      <c r="G82" s="184"/>
      <c r="H82" s="184"/>
      <c r="I82" s="184"/>
      <c r="J82" s="184"/>
      <c r="K82" s="184"/>
      <c r="L82" s="184"/>
      <c r="M82" s="184"/>
      <c r="N82" s="184"/>
      <c r="O82" s="184"/>
      <c r="P82" s="184"/>
      <c r="Q82" s="184"/>
      <c r="R82" s="184"/>
      <c r="S82" s="184"/>
      <c r="T82" s="184"/>
      <c r="U82" s="184"/>
      <c r="V82" s="184"/>
      <c r="W82" s="184"/>
      <c r="X82" s="184"/>
      <c r="Y82" s="184"/>
      <c r="Z82" s="184"/>
      <c r="AA82" s="184"/>
      <c r="AB82" s="185"/>
      <c r="AC82" s="4">
        <f t="shared" si="2"/>
        <v>0</v>
      </c>
    </row>
    <row r="83" spans="1:29" ht="77.25" customHeight="1">
      <c r="A83" s="57">
        <f t="shared" si="1"/>
        <v>0</v>
      </c>
      <c r="B83" s="183"/>
      <c r="C83" s="184"/>
      <c r="D83" s="184"/>
      <c r="E83" s="184"/>
      <c r="F83" s="184"/>
      <c r="G83" s="184"/>
      <c r="H83" s="184"/>
      <c r="I83" s="184"/>
      <c r="J83" s="184"/>
      <c r="K83" s="184"/>
      <c r="L83" s="184"/>
      <c r="M83" s="184"/>
      <c r="N83" s="184"/>
      <c r="O83" s="184"/>
      <c r="P83" s="184"/>
      <c r="Q83" s="184"/>
      <c r="R83" s="184"/>
      <c r="S83" s="184"/>
      <c r="T83" s="184"/>
      <c r="U83" s="184"/>
      <c r="V83" s="184"/>
      <c r="W83" s="184"/>
      <c r="X83" s="184"/>
      <c r="Y83" s="184"/>
      <c r="Z83" s="184"/>
      <c r="AA83" s="184"/>
      <c r="AB83" s="185"/>
      <c r="AC83" s="4">
        <f t="shared" si="2"/>
        <v>0</v>
      </c>
    </row>
    <row r="84" spans="1:29" ht="77.25" customHeight="1">
      <c r="A84" s="57">
        <f t="shared" si="1"/>
        <v>0</v>
      </c>
      <c r="B84" s="183"/>
      <c r="C84" s="184"/>
      <c r="D84" s="184"/>
      <c r="E84" s="184"/>
      <c r="F84" s="184"/>
      <c r="G84" s="184"/>
      <c r="H84" s="184"/>
      <c r="I84" s="184"/>
      <c r="J84" s="184"/>
      <c r="K84" s="184"/>
      <c r="L84" s="184"/>
      <c r="M84" s="184"/>
      <c r="N84" s="184"/>
      <c r="O84" s="184"/>
      <c r="P84" s="184"/>
      <c r="Q84" s="184"/>
      <c r="R84" s="184"/>
      <c r="S84" s="184"/>
      <c r="T84" s="184"/>
      <c r="U84" s="184"/>
      <c r="V84" s="184"/>
      <c r="W84" s="184"/>
      <c r="X84" s="184"/>
      <c r="Y84" s="184"/>
      <c r="Z84" s="184"/>
      <c r="AA84" s="184"/>
      <c r="AB84" s="185"/>
      <c r="AC84" s="4">
        <f t="shared" si="2"/>
        <v>0</v>
      </c>
    </row>
    <row r="85" spans="1:29" ht="77.25" customHeight="1">
      <c r="A85" s="57">
        <f t="shared" si="1"/>
        <v>0</v>
      </c>
      <c r="B85" s="183"/>
      <c r="C85" s="184"/>
      <c r="D85" s="184"/>
      <c r="E85" s="184"/>
      <c r="F85" s="184"/>
      <c r="G85" s="184"/>
      <c r="H85" s="184"/>
      <c r="I85" s="184"/>
      <c r="J85" s="184"/>
      <c r="K85" s="184"/>
      <c r="L85" s="184"/>
      <c r="M85" s="184"/>
      <c r="N85" s="184"/>
      <c r="O85" s="184"/>
      <c r="P85" s="184"/>
      <c r="Q85" s="184"/>
      <c r="R85" s="184"/>
      <c r="S85" s="184"/>
      <c r="T85" s="184"/>
      <c r="U85" s="184"/>
      <c r="V85" s="184"/>
      <c r="W85" s="184"/>
      <c r="X85" s="184"/>
      <c r="Y85" s="184"/>
      <c r="Z85" s="184"/>
      <c r="AA85" s="184"/>
      <c r="AB85" s="185"/>
      <c r="AC85" s="4">
        <f t="shared" si="2"/>
        <v>0</v>
      </c>
    </row>
    <row r="86" spans="1:29" ht="17.25" customHeight="1"/>
    <row r="87" spans="1:29" ht="17.25" customHeight="1"/>
    <row r="88" spans="1:29" ht="17.25" customHeight="1"/>
    <row r="89" spans="1:29" ht="17.25" customHeight="1"/>
    <row r="90" spans="1:29" ht="17.25" customHeight="1"/>
    <row r="91" spans="1:29" ht="17.25" customHeight="1"/>
  </sheetData>
  <mergeCells count="79">
    <mergeCell ref="B47:AB47"/>
    <mergeCell ref="B42:AB42"/>
    <mergeCell ref="B43:AB43"/>
    <mergeCell ref="B44:AB44"/>
    <mergeCell ref="B45:AB45"/>
    <mergeCell ref="B46:AB46"/>
    <mergeCell ref="B37:AB37"/>
    <mergeCell ref="B38:AB38"/>
    <mergeCell ref="B39:AB39"/>
    <mergeCell ref="B40:AB40"/>
    <mergeCell ref="B41:AB41"/>
    <mergeCell ref="B56:AB56"/>
    <mergeCell ref="B57:AB57"/>
    <mergeCell ref="B58:AB58"/>
    <mergeCell ref="B59:AB59"/>
    <mergeCell ref="B48:AB48"/>
    <mergeCell ref="B49:AB49"/>
    <mergeCell ref="B50:AB50"/>
    <mergeCell ref="B51:AB51"/>
    <mergeCell ref="B52:AB52"/>
    <mergeCell ref="B53:AB53"/>
    <mergeCell ref="B54:AB54"/>
    <mergeCell ref="B55:AB55"/>
    <mergeCell ref="A2:A7"/>
    <mergeCell ref="A8:AB8"/>
    <mergeCell ref="B9:AB9"/>
    <mergeCell ref="B10:AB10"/>
    <mergeCell ref="B11:AB11"/>
    <mergeCell ref="B12:AB12"/>
    <mergeCell ref="B13:AB13"/>
    <mergeCell ref="B14:AB14"/>
    <mergeCell ref="B15:AB15"/>
    <mergeCell ref="B16:AB16"/>
    <mergeCell ref="B17:AB17"/>
    <mergeCell ref="B18:AB18"/>
    <mergeCell ref="B19:AB19"/>
    <mergeCell ref="B20:AB20"/>
    <mergeCell ref="B21:AB21"/>
    <mergeCell ref="B22:AB22"/>
    <mergeCell ref="B23:AB23"/>
    <mergeCell ref="B24:AB24"/>
    <mergeCell ref="B25:AB25"/>
    <mergeCell ref="B26:AB26"/>
    <mergeCell ref="B27:AB27"/>
    <mergeCell ref="B28:AB28"/>
    <mergeCell ref="B29:AB29"/>
    <mergeCell ref="B30:AB30"/>
    <mergeCell ref="B31:AB31"/>
    <mergeCell ref="B32:AB32"/>
    <mergeCell ref="B33:AB33"/>
    <mergeCell ref="A34:AB34"/>
    <mergeCell ref="B35:AB35"/>
    <mergeCell ref="B36:AB36"/>
    <mergeCell ref="A60:AB60"/>
    <mergeCell ref="B61:AB61"/>
    <mergeCell ref="B62:AB62"/>
    <mergeCell ref="B63:AB63"/>
    <mergeCell ref="B64:AB64"/>
    <mergeCell ref="B65:AB65"/>
    <mergeCell ref="B66:AB66"/>
    <mergeCell ref="B67:AB67"/>
    <mergeCell ref="B68:AB68"/>
    <mergeCell ref="B69:AB69"/>
    <mergeCell ref="B70:AB70"/>
    <mergeCell ref="B71:AB71"/>
    <mergeCell ref="B72:AB72"/>
    <mergeCell ref="B73:AB73"/>
    <mergeCell ref="B74:AB74"/>
    <mergeCell ref="B75:AB75"/>
    <mergeCell ref="B76:AB76"/>
    <mergeCell ref="B77:AB77"/>
    <mergeCell ref="B78:AB78"/>
    <mergeCell ref="B79:AB79"/>
    <mergeCell ref="B85:AB85"/>
    <mergeCell ref="B80:AB80"/>
    <mergeCell ref="B81:AB81"/>
    <mergeCell ref="B82:AB82"/>
    <mergeCell ref="B83:AB83"/>
    <mergeCell ref="B84:AB84"/>
  </mergeCells>
  <phoneticPr fontId="1"/>
  <conditionalFormatting sqref="AC61:AC85">
    <cfRule type="cellIs" dxfId="2" priority="1" operator="greaterThan">
      <formula>450</formula>
    </cfRule>
    <cfRule type="cellIs" dxfId="1" priority="2" operator="lessThan">
      <formula>400</formula>
    </cfRule>
    <cfRule type="cellIs" dxfId="0" priority="3" operator="between">
      <formula>400</formula>
      <formula>450</formula>
    </cfRule>
  </conditionalFormatting>
  <dataValidations count="1">
    <dataValidation type="list" imeMode="off" allowBlank="1" showDropDown="1" showInputMessage="1" showErrorMessage="1" errorTitle="全角文字エラー" error="半角ABCを入れて下さい" sqref="D2:AB7">
      <formula1>$AC$2:$AC$5</formula1>
    </dataValidation>
  </dataValidation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1"/>
  </sheetPr>
  <dimension ref="A1:AC159"/>
  <sheetViews>
    <sheetView workbookViewId="0">
      <selection sqref="A1:XFD1048576"/>
    </sheetView>
  </sheetViews>
  <sheetFormatPr defaultRowHeight="13.5"/>
  <cols>
    <col min="1" max="1" width="13.5" style="4" customWidth="1"/>
    <col min="2" max="2" width="7.5" style="4" customWidth="1"/>
    <col min="3" max="3" width="9.375" style="4" customWidth="1"/>
    <col min="4" max="28" width="6.875" style="4" customWidth="1"/>
    <col min="29" max="16384" width="9" style="4"/>
  </cols>
  <sheetData>
    <row r="1" spans="1:29" ht="85.5" customHeight="1">
      <c r="A1" s="204" t="str">
        <f ca="1">MID(CELL("filename",A1),FIND("[",CELL("filename",A1))+1,3)</f>
        <v>８－２</v>
      </c>
      <c r="B1" s="205"/>
      <c r="C1" s="206"/>
      <c r="D1" s="89" t="str">
        <f>A10</f>
        <v>岡田 明日香</v>
      </c>
      <c r="E1" s="89" t="str">
        <f>A11</f>
        <v>荻原 知香</v>
      </c>
      <c r="F1" s="89" t="str">
        <f>A12</f>
        <v>片桐 葵</v>
      </c>
      <c r="G1" s="89" t="str">
        <f>A13</f>
        <v>上島 碧依</v>
      </c>
      <c r="H1" s="89" t="str">
        <f>A14</f>
        <v>藏井 陽菜乃</v>
      </c>
      <c r="I1" s="89" t="str">
        <f>A15</f>
        <v>小松 雅治</v>
      </c>
      <c r="J1" s="89" t="str">
        <f>A16</f>
        <v>須藤 爽斗</v>
      </c>
      <c r="K1" s="89" t="str">
        <f>A17</f>
        <v>滝 陽香</v>
      </c>
      <c r="L1" s="89" t="str">
        <f>A18</f>
        <v>永江 仁</v>
      </c>
      <c r="M1" s="89" t="str">
        <f>A19</f>
        <v>林 果菜</v>
      </c>
      <c r="N1" s="89" t="str">
        <f>A20</f>
        <v>原 維香</v>
      </c>
      <c r="O1" s="89" t="str">
        <f>A21</f>
        <v>丸山 心音</v>
      </c>
      <c r="P1" s="89" t="str">
        <f>A22</f>
        <v>森本 浩士</v>
      </c>
      <c r="Q1" s="89" t="str">
        <f>A23</f>
        <v>栁沢 美緒</v>
      </c>
      <c r="R1" s="89" t="str">
        <f>A24</f>
        <v>横山 麟太</v>
      </c>
      <c r="S1" s="89" t="str">
        <f>A25</f>
        <v>渡邊 了介</v>
      </c>
      <c r="T1" s="89">
        <f>A26</f>
        <v>0</v>
      </c>
      <c r="U1" s="89">
        <f>A27</f>
        <v>0</v>
      </c>
      <c r="V1" s="89">
        <f>A28</f>
        <v>0</v>
      </c>
      <c r="W1" s="89">
        <f>A29</f>
        <v>0</v>
      </c>
      <c r="X1" s="89">
        <f>A30</f>
        <v>0</v>
      </c>
      <c r="Y1" s="89">
        <f>A31</f>
        <v>0</v>
      </c>
      <c r="Z1" s="89">
        <f>A32</f>
        <v>0</v>
      </c>
      <c r="AA1" s="89">
        <f>A33</f>
        <v>0</v>
      </c>
      <c r="AB1" s="89">
        <f>A34</f>
        <v>0</v>
      </c>
      <c r="AC1" s="25"/>
    </row>
    <row r="2" spans="1:29" ht="22.5" customHeight="1">
      <c r="A2" s="203" t="s">
        <v>174</v>
      </c>
      <c r="B2" s="203"/>
      <c r="C2" s="203"/>
      <c r="D2" s="90">
        <v>76</v>
      </c>
      <c r="E2" s="90">
        <v>76</v>
      </c>
      <c r="F2" s="90">
        <v>76</v>
      </c>
      <c r="G2" s="90">
        <v>76</v>
      </c>
      <c r="H2" s="90">
        <v>76</v>
      </c>
      <c r="I2" s="90">
        <v>76</v>
      </c>
      <c r="J2" s="90">
        <v>76</v>
      </c>
      <c r="K2" s="90">
        <v>76</v>
      </c>
      <c r="L2" s="90">
        <v>76</v>
      </c>
      <c r="M2" s="90">
        <v>76</v>
      </c>
      <c r="N2" s="90">
        <v>76</v>
      </c>
      <c r="O2" s="90">
        <v>76</v>
      </c>
      <c r="P2" s="90">
        <v>76</v>
      </c>
      <c r="Q2" s="90">
        <v>76</v>
      </c>
      <c r="R2" s="90">
        <v>76</v>
      </c>
      <c r="S2" s="90">
        <v>76</v>
      </c>
      <c r="T2" s="90"/>
      <c r="U2" s="90"/>
      <c r="V2" s="90"/>
      <c r="W2" s="90"/>
      <c r="X2" s="90"/>
      <c r="Y2" s="90"/>
      <c r="Z2" s="90"/>
      <c r="AA2" s="90"/>
      <c r="AB2" s="90"/>
    </row>
    <row r="3" spans="1:29" ht="22.5" customHeight="1">
      <c r="A3" s="203" t="s">
        <v>175</v>
      </c>
      <c r="B3" s="203"/>
      <c r="C3" s="203"/>
      <c r="D3" s="90">
        <v>0</v>
      </c>
      <c r="E3" s="90">
        <v>0</v>
      </c>
      <c r="F3" s="90">
        <v>1</v>
      </c>
      <c r="G3" s="90">
        <v>0</v>
      </c>
      <c r="H3" s="90">
        <v>0</v>
      </c>
      <c r="I3" s="90">
        <v>0</v>
      </c>
      <c r="J3" s="90">
        <v>0</v>
      </c>
      <c r="K3" s="90">
        <v>1</v>
      </c>
      <c r="L3" s="90">
        <v>0</v>
      </c>
      <c r="M3" s="90">
        <v>0</v>
      </c>
      <c r="N3" s="90">
        <v>0</v>
      </c>
      <c r="O3" s="90">
        <v>0</v>
      </c>
      <c r="P3" s="90">
        <v>0</v>
      </c>
      <c r="Q3" s="90">
        <v>0</v>
      </c>
      <c r="R3" s="90">
        <v>0</v>
      </c>
      <c r="S3" s="90">
        <v>0</v>
      </c>
      <c r="T3" s="90"/>
      <c r="U3" s="90"/>
      <c r="V3" s="90"/>
      <c r="W3" s="90"/>
      <c r="X3" s="90"/>
      <c r="Y3" s="90"/>
      <c r="Z3" s="90"/>
      <c r="AA3" s="90"/>
      <c r="AB3" s="90"/>
    </row>
    <row r="4" spans="1:29" ht="22.5" customHeight="1">
      <c r="A4" s="203" t="s">
        <v>176</v>
      </c>
      <c r="B4" s="203"/>
      <c r="C4" s="203"/>
      <c r="D4" s="91">
        <f t="shared" ref="D4:AB4" si="0">D2-D3</f>
        <v>76</v>
      </c>
      <c r="E4" s="91">
        <f t="shared" si="0"/>
        <v>76</v>
      </c>
      <c r="F4" s="91">
        <f t="shared" si="0"/>
        <v>75</v>
      </c>
      <c r="G4" s="91">
        <f t="shared" si="0"/>
        <v>76</v>
      </c>
      <c r="H4" s="91">
        <f t="shared" si="0"/>
        <v>76</v>
      </c>
      <c r="I4" s="91">
        <f t="shared" si="0"/>
        <v>76</v>
      </c>
      <c r="J4" s="91">
        <f t="shared" si="0"/>
        <v>76</v>
      </c>
      <c r="K4" s="91">
        <f t="shared" si="0"/>
        <v>75</v>
      </c>
      <c r="L4" s="91">
        <f t="shared" si="0"/>
        <v>76</v>
      </c>
      <c r="M4" s="91">
        <f t="shared" si="0"/>
        <v>76</v>
      </c>
      <c r="N4" s="91">
        <f t="shared" si="0"/>
        <v>76</v>
      </c>
      <c r="O4" s="91">
        <f t="shared" si="0"/>
        <v>76</v>
      </c>
      <c r="P4" s="91">
        <f t="shared" si="0"/>
        <v>76</v>
      </c>
      <c r="Q4" s="91">
        <f t="shared" si="0"/>
        <v>76</v>
      </c>
      <c r="R4" s="91">
        <f t="shared" si="0"/>
        <v>76</v>
      </c>
      <c r="S4" s="91">
        <f t="shared" si="0"/>
        <v>76</v>
      </c>
      <c r="T4" s="91">
        <f t="shared" si="0"/>
        <v>0</v>
      </c>
      <c r="U4" s="91">
        <f t="shared" si="0"/>
        <v>0</v>
      </c>
      <c r="V4" s="91">
        <f t="shared" si="0"/>
        <v>0</v>
      </c>
      <c r="W4" s="91">
        <f t="shared" si="0"/>
        <v>0</v>
      </c>
      <c r="X4" s="91">
        <f t="shared" si="0"/>
        <v>0</v>
      </c>
      <c r="Y4" s="91">
        <f t="shared" si="0"/>
        <v>0</v>
      </c>
      <c r="Z4" s="91">
        <f t="shared" si="0"/>
        <v>0</v>
      </c>
      <c r="AA4" s="91">
        <f t="shared" si="0"/>
        <v>0</v>
      </c>
      <c r="AB4" s="91">
        <f t="shared" si="0"/>
        <v>0</v>
      </c>
    </row>
    <row r="5" spans="1:29" ht="22.5" customHeight="1">
      <c r="A5" s="207" t="s">
        <v>266</v>
      </c>
      <c r="B5" s="208"/>
      <c r="C5" s="209"/>
      <c r="D5" s="91">
        <f t="shared" ref="D5:AB5" si="1">D4-D6</f>
        <v>76</v>
      </c>
      <c r="E5" s="91">
        <f t="shared" si="1"/>
        <v>76</v>
      </c>
      <c r="F5" s="91">
        <f t="shared" si="1"/>
        <v>72</v>
      </c>
      <c r="G5" s="91">
        <f t="shared" si="1"/>
        <v>76</v>
      </c>
      <c r="H5" s="91">
        <f t="shared" si="1"/>
        <v>76</v>
      </c>
      <c r="I5" s="91">
        <f t="shared" si="1"/>
        <v>75</v>
      </c>
      <c r="J5" s="91">
        <f t="shared" si="1"/>
        <v>76</v>
      </c>
      <c r="K5" s="91">
        <f t="shared" si="1"/>
        <v>73</v>
      </c>
      <c r="L5" s="91">
        <f t="shared" si="1"/>
        <v>75</v>
      </c>
      <c r="M5" s="91">
        <f t="shared" si="1"/>
        <v>73</v>
      </c>
      <c r="N5" s="91">
        <f t="shared" si="1"/>
        <v>74</v>
      </c>
      <c r="O5" s="91">
        <f t="shared" si="1"/>
        <v>75</v>
      </c>
      <c r="P5" s="91">
        <f t="shared" si="1"/>
        <v>75</v>
      </c>
      <c r="Q5" s="91">
        <f t="shared" si="1"/>
        <v>76</v>
      </c>
      <c r="R5" s="91">
        <f t="shared" si="1"/>
        <v>76</v>
      </c>
      <c r="S5" s="91">
        <f t="shared" si="1"/>
        <v>76</v>
      </c>
      <c r="T5" s="91">
        <f t="shared" si="1"/>
        <v>0</v>
      </c>
      <c r="U5" s="91">
        <f t="shared" si="1"/>
        <v>0</v>
      </c>
      <c r="V5" s="91">
        <f t="shared" si="1"/>
        <v>0</v>
      </c>
      <c r="W5" s="91">
        <f t="shared" si="1"/>
        <v>0</v>
      </c>
      <c r="X5" s="91">
        <f t="shared" si="1"/>
        <v>0</v>
      </c>
      <c r="Y5" s="91">
        <f t="shared" si="1"/>
        <v>0</v>
      </c>
      <c r="Z5" s="91">
        <f t="shared" si="1"/>
        <v>0</v>
      </c>
      <c r="AA5" s="91">
        <f t="shared" si="1"/>
        <v>0</v>
      </c>
      <c r="AB5" s="91">
        <f t="shared" si="1"/>
        <v>0</v>
      </c>
    </row>
    <row r="6" spans="1:29" ht="22.5" customHeight="1">
      <c r="A6" s="200" t="s">
        <v>267</v>
      </c>
      <c r="B6" s="201"/>
      <c r="C6" s="202"/>
      <c r="D6" s="90">
        <v>0</v>
      </c>
      <c r="E6" s="90">
        <v>0</v>
      </c>
      <c r="F6" s="90">
        <v>3</v>
      </c>
      <c r="G6" s="90">
        <v>0</v>
      </c>
      <c r="H6" s="90">
        <v>0</v>
      </c>
      <c r="I6" s="90">
        <v>1</v>
      </c>
      <c r="J6" s="90">
        <v>0</v>
      </c>
      <c r="K6" s="90">
        <v>2</v>
      </c>
      <c r="L6" s="90">
        <v>1</v>
      </c>
      <c r="M6" s="90">
        <v>3</v>
      </c>
      <c r="N6" s="90">
        <v>2</v>
      </c>
      <c r="O6" s="90">
        <v>1</v>
      </c>
      <c r="P6" s="90">
        <v>1</v>
      </c>
      <c r="Q6" s="90">
        <v>0</v>
      </c>
      <c r="R6" s="90">
        <v>0</v>
      </c>
      <c r="S6" s="90">
        <v>0</v>
      </c>
      <c r="T6" s="90"/>
      <c r="U6" s="90"/>
      <c r="V6" s="90"/>
      <c r="W6" s="90"/>
      <c r="X6" s="90"/>
      <c r="Y6" s="90"/>
      <c r="Z6" s="90"/>
      <c r="AA6" s="90"/>
      <c r="AB6" s="90"/>
    </row>
    <row r="7" spans="1:29" ht="22.5" customHeight="1">
      <c r="A7" s="203" t="s">
        <v>177</v>
      </c>
      <c r="B7" s="203"/>
      <c r="C7" s="203"/>
      <c r="D7" s="90">
        <v>2</v>
      </c>
      <c r="E7" s="90">
        <v>1</v>
      </c>
      <c r="F7" s="90">
        <v>0</v>
      </c>
      <c r="G7" s="90">
        <v>0</v>
      </c>
      <c r="H7" s="90">
        <v>1</v>
      </c>
      <c r="I7" s="90">
        <v>0</v>
      </c>
      <c r="J7" s="90">
        <v>0</v>
      </c>
      <c r="K7" s="90">
        <v>2</v>
      </c>
      <c r="L7" s="90">
        <v>0</v>
      </c>
      <c r="M7" s="90">
        <v>2</v>
      </c>
      <c r="N7" s="90">
        <v>0</v>
      </c>
      <c r="O7" s="90">
        <v>0</v>
      </c>
      <c r="P7" s="90">
        <v>0</v>
      </c>
      <c r="Q7" s="90">
        <v>0</v>
      </c>
      <c r="R7" s="90">
        <v>0</v>
      </c>
      <c r="S7" s="90">
        <v>1</v>
      </c>
      <c r="T7" s="90"/>
      <c r="U7" s="90"/>
      <c r="V7" s="90"/>
      <c r="W7" s="90"/>
      <c r="X7" s="90"/>
      <c r="Y7" s="90"/>
      <c r="Z7" s="90"/>
      <c r="AA7" s="90"/>
      <c r="AB7" s="90"/>
    </row>
    <row r="8" spans="1:29" ht="22.5" customHeight="1">
      <c r="A8" s="203" t="s">
        <v>178</v>
      </c>
      <c r="B8" s="203"/>
      <c r="C8" s="203"/>
      <c r="D8" s="90">
        <v>0</v>
      </c>
      <c r="E8" s="90">
        <v>0</v>
      </c>
      <c r="F8" s="90">
        <v>12</v>
      </c>
      <c r="G8" s="90">
        <v>1</v>
      </c>
      <c r="H8" s="90">
        <v>0</v>
      </c>
      <c r="I8" s="90">
        <v>0</v>
      </c>
      <c r="J8" s="90">
        <v>0</v>
      </c>
      <c r="K8" s="90">
        <v>1</v>
      </c>
      <c r="L8" s="90">
        <v>0</v>
      </c>
      <c r="M8" s="90">
        <v>0</v>
      </c>
      <c r="N8" s="90">
        <v>2</v>
      </c>
      <c r="O8" s="90">
        <v>0</v>
      </c>
      <c r="P8" s="90">
        <v>1</v>
      </c>
      <c r="Q8" s="90">
        <v>0</v>
      </c>
      <c r="R8" s="90">
        <v>0</v>
      </c>
      <c r="S8" s="90">
        <v>0</v>
      </c>
      <c r="T8" s="90"/>
      <c r="U8" s="90"/>
      <c r="V8" s="90"/>
      <c r="W8" s="90"/>
      <c r="X8" s="90"/>
      <c r="Y8" s="90"/>
      <c r="Z8" s="90"/>
      <c r="AA8" s="90"/>
      <c r="AB8" s="90"/>
    </row>
    <row r="9" spans="1:29" ht="22.5" customHeight="1">
      <c r="A9" s="197" t="s">
        <v>179</v>
      </c>
      <c r="B9" s="198"/>
      <c r="C9" s="198"/>
      <c r="D9" s="198"/>
      <c r="E9" s="198"/>
      <c r="F9" s="198"/>
      <c r="G9" s="198"/>
      <c r="H9" s="198"/>
      <c r="I9" s="198"/>
      <c r="J9" s="198"/>
      <c r="K9" s="198"/>
      <c r="L9" s="198"/>
      <c r="M9" s="198"/>
      <c r="N9" s="198"/>
      <c r="O9" s="198"/>
      <c r="P9" s="198"/>
      <c r="Q9" s="198"/>
      <c r="R9" s="198"/>
      <c r="S9" s="198"/>
      <c r="T9" s="198"/>
      <c r="U9" s="198"/>
      <c r="V9" s="198"/>
      <c r="W9" s="198"/>
      <c r="X9" s="198"/>
      <c r="Y9" s="198"/>
      <c r="Z9" s="198"/>
      <c r="AA9" s="198"/>
      <c r="AB9" s="199"/>
    </row>
    <row r="10" spans="1:29" ht="22.5" customHeight="1">
      <c r="A10" s="39" t="s">
        <v>64</v>
      </c>
      <c r="B10" s="171" t="s">
        <v>181</v>
      </c>
      <c r="C10" s="172"/>
      <c r="D10" s="172"/>
      <c r="E10" s="172"/>
      <c r="F10" s="172"/>
      <c r="G10" s="172"/>
      <c r="H10" s="172"/>
      <c r="I10" s="172"/>
      <c r="J10" s="172"/>
      <c r="K10" s="172"/>
      <c r="L10" s="172"/>
      <c r="M10" s="172"/>
      <c r="N10" s="172"/>
      <c r="O10" s="172"/>
      <c r="P10" s="172"/>
      <c r="Q10" s="172"/>
      <c r="R10" s="172"/>
      <c r="S10" s="172"/>
      <c r="T10" s="172"/>
      <c r="U10" s="172"/>
      <c r="V10" s="172"/>
      <c r="W10" s="172"/>
      <c r="X10" s="172"/>
      <c r="Y10" s="172"/>
      <c r="Z10" s="172"/>
      <c r="AA10" s="172"/>
      <c r="AB10" s="173"/>
    </row>
    <row r="11" spans="1:29" ht="22.5" customHeight="1">
      <c r="A11" s="39" t="s">
        <v>65</v>
      </c>
      <c r="B11" s="171" t="s">
        <v>182</v>
      </c>
      <c r="C11" s="172"/>
      <c r="D11" s="172"/>
      <c r="E11" s="172"/>
      <c r="F11" s="172"/>
      <c r="G11" s="172"/>
      <c r="H11" s="172"/>
      <c r="I11" s="172"/>
      <c r="J11" s="172"/>
      <c r="K11" s="172"/>
      <c r="L11" s="172"/>
      <c r="M11" s="172"/>
      <c r="N11" s="172"/>
      <c r="O11" s="172"/>
      <c r="P11" s="172"/>
      <c r="Q11" s="172"/>
      <c r="R11" s="172"/>
      <c r="S11" s="172"/>
      <c r="T11" s="172"/>
      <c r="U11" s="172"/>
      <c r="V11" s="172"/>
      <c r="W11" s="172"/>
      <c r="X11" s="172"/>
      <c r="Y11" s="172"/>
      <c r="Z11" s="172"/>
      <c r="AA11" s="172"/>
      <c r="AB11" s="173"/>
    </row>
    <row r="12" spans="1:29" ht="22.5" customHeight="1">
      <c r="A12" s="39" t="s">
        <v>66</v>
      </c>
      <c r="B12" s="171" t="s">
        <v>183</v>
      </c>
      <c r="C12" s="172"/>
      <c r="D12" s="172"/>
      <c r="E12" s="172"/>
      <c r="F12" s="172"/>
      <c r="G12" s="172"/>
      <c r="H12" s="172"/>
      <c r="I12" s="172"/>
      <c r="J12" s="172"/>
      <c r="K12" s="172"/>
      <c r="L12" s="172"/>
      <c r="M12" s="172"/>
      <c r="N12" s="172"/>
      <c r="O12" s="172"/>
      <c r="P12" s="172"/>
      <c r="Q12" s="172"/>
      <c r="R12" s="172"/>
      <c r="S12" s="172"/>
      <c r="T12" s="172"/>
      <c r="U12" s="172"/>
      <c r="V12" s="172"/>
      <c r="W12" s="172"/>
      <c r="X12" s="172"/>
      <c r="Y12" s="172"/>
      <c r="Z12" s="172"/>
      <c r="AA12" s="172"/>
      <c r="AB12" s="173"/>
    </row>
    <row r="13" spans="1:29" ht="22.5" customHeight="1">
      <c r="A13" s="39" t="s">
        <v>67</v>
      </c>
      <c r="B13" s="171" t="s">
        <v>184</v>
      </c>
      <c r="C13" s="172"/>
      <c r="D13" s="172"/>
      <c r="E13" s="172"/>
      <c r="F13" s="172"/>
      <c r="G13" s="172"/>
      <c r="H13" s="172"/>
      <c r="I13" s="172"/>
      <c r="J13" s="172"/>
      <c r="K13" s="172"/>
      <c r="L13" s="172"/>
      <c r="M13" s="172"/>
      <c r="N13" s="172"/>
      <c r="O13" s="172"/>
      <c r="P13" s="172"/>
      <c r="Q13" s="172"/>
      <c r="R13" s="172"/>
      <c r="S13" s="172"/>
      <c r="T13" s="172"/>
      <c r="U13" s="172"/>
      <c r="V13" s="172"/>
      <c r="W13" s="172"/>
      <c r="X13" s="172"/>
      <c r="Y13" s="172"/>
      <c r="Z13" s="172"/>
      <c r="AA13" s="172"/>
      <c r="AB13" s="173"/>
    </row>
    <row r="14" spans="1:29" ht="22.5" customHeight="1">
      <c r="A14" s="39" t="s">
        <v>68</v>
      </c>
      <c r="B14" s="171" t="s">
        <v>185</v>
      </c>
      <c r="C14" s="172"/>
      <c r="D14" s="172"/>
      <c r="E14" s="172"/>
      <c r="F14" s="172"/>
      <c r="G14" s="172"/>
      <c r="H14" s="172"/>
      <c r="I14" s="172"/>
      <c r="J14" s="172"/>
      <c r="K14" s="172"/>
      <c r="L14" s="172"/>
      <c r="M14" s="172"/>
      <c r="N14" s="172"/>
      <c r="O14" s="172"/>
      <c r="P14" s="172"/>
      <c r="Q14" s="172"/>
      <c r="R14" s="172"/>
      <c r="S14" s="172"/>
      <c r="T14" s="172"/>
      <c r="U14" s="172"/>
      <c r="V14" s="172"/>
      <c r="W14" s="172"/>
      <c r="X14" s="172"/>
      <c r="Y14" s="172"/>
      <c r="Z14" s="172"/>
      <c r="AA14" s="172"/>
      <c r="AB14" s="173"/>
    </row>
    <row r="15" spans="1:29" ht="22.5" customHeight="1">
      <c r="A15" s="39" t="s">
        <v>69</v>
      </c>
      <c r="B15" s="171" t="s">
        <v>186</v>
      </c>
      <c r="C15" s="172"/>
      <c r="D15" s="172"/>
      <c r="E15" s="172"/>
      <c r="F15" s="172"/>
      <c r="G15" s="172"/>
      <c r="H15" s="172"/>
      <c r="I15" s="172"/>
      <c r="J15" s="172"/>
      <c r="K15" s="172"/>
      <c r="L15" s="172"/>
      <c r="M15" s="172"/>
      <c r="N15" s="172"/>
      <c r="O15" s="172"/>
      <c r="P15" s="172"/>
      <c r="Q15" s="172"/>
      <c r="R15" s="172"/>
      <c r="S15" s="172"/>
      <c r="T15" s="172"/>
      <c r="U15" s="172"/>
      <c r="V15" s="172"/>
      <c r="W15" s="172"/>
      <c r="X15" s="172"/>
      <c r="Y15" s="172"/>
      <c r="Z15" s="172"/>
      <c r="AA15" s="172"/>
      <c r="AB15" s="173"/>
    </row>
    <row r="16" spans="1:29" ht="22.5" customHeight="1">
      <c r="A16" s="39" t="s">
        <v>70</v>
      </c>
      <c r="B16" s="171"/>
      <c r="C16" s="172"/>
      <c r="D16" s="172"/>
      <c r="E16" s="172"/>
      <c r="F16" s="172"/>
      <c r="G16" s="172"/>
      <c r="H16" s="172"/>
      <c r="I16" s="172"/>
      <c r="J16" s="172"/>
      <c r="K16" s="172"/>
      <c r="L16" s="172"/>
      <c r="M16" s="172"/>
      <c r="N16" s="172"/>
      <c r="O16" s="172"/>
      <c r="P16" s="172"/>
      <c r="Q16" s="172"/>
      <c r="R16" s="172"/>
      <c r="S16" s="172"/>
      <c r="T16" s="172"/>
      <c r="U16" s="172"/>
      <c r="V16" s="172"/>
      <c r="W16" s="172"/>
      <c r="X16" s="172"/>
      <c r="Y16" s="172"/>
      <c r="Z16" s="172"/>
      <c r="AA16" s="172"/>
      <c r="AB16" s="173"/>
    </row>
    <row r="17" spans="1:28" ht="22.5" customHeight="1">
      <c r="A17" s="39" t="s">
        <v>71</v>
      </c>
      <c r="B17" s="171" t="s">
        <v>187</v>
      </c>
      <c r="C17" s="172"/>
      <c r="D17" s="172"/>
      <c r="E17" s="172"/>
      <c r="F17" s="172"/>
      <c r="G17" s="172"/>
      <c r="H17" s="172"/>
      <c r="I17" s="172"/>
      <c r="J17" s="172"/>
      <c r="K17" s="172"/>
      <c r="L17" s="172"/>
      <c r="M17" s="172"/>
      <c r="N17" s="172"/>
      <c r="O17" s="172"/>
      <c r="P17" s="172"/>
      <c r="Q17" s="172"/>
      <c r="R17" s="172"/>
      <c r="S17" s="172"/>
      <c r="T17" s="172"/>
      <c r="U17" s="172"/>
      <c r="V17" s="172"/>
      <c r="W17" s="172"/>
      <c r="X17" s="172"/>
      <c r="Y17" s="172"/>
      <c r="Z17" s="172"/>
      <c r="AA17" s="172"/>
      <c r="AB17" s="173"/>
    </row>
    <row r="18" spans="1:28" ht="22.5" customHeight="1">
      <c r="A18" s="39" t="s">
        <v>72</v>
      </c>
      <c r="B18" s="171" t="s">
        <v>188</v>
      </c>
      <c r="C18" s="172"/>
      <c r="D18" s="172"/>
      <c r="E18" s="172"/>
      <c r="F18" s="172"/>
      <c r="G18" s="172"/>
      <c r="H18" s="172"/>
      <c r="I18" s="172"/>
      <c r="J18" s="172"/>
      <c r="K18" s="172"/>
      <c r="L18" s="172"/>
      <c r="M18" s="172"/>
      <c r="N18" s="172"/>
      <c r="O18" s="172"/>
      <c r="P18" s="172"/>
      <c r="Q18" s="172"/>
      <c r="R18" s="172"/>
      <c r="S18" s="172"/>
      <c r="T18" s="172"/>
      <c r="U18" s="172"/>
      <c r="V18" s="172"/>
      <c r="W18" s="172"/>
      <c r="X18" s="172"/>
      <c r="Y18" s="172"/>
      <c r="Z18" s="172"/>
      <c r="AA18" s="172"/>
      <c r="AB18" s="173"/>
    </row>
    <row r="19" spans="1:28" ht="22.5" customHeight="1">
      <c r="A19" s="39" t="s">
        <v>73</v>
      </c>
      <c r="B19" s="171" t="s">
        <v>189</v>
      </c>
      <c r="C19" s="172"/>
      <c r="D19" s="172"/>
      <c r="E19" s="172"/>
      <c r="F19" s="172"/>
      <c r="G19" s="172"/>
      <c r="H19" s="172"/>
      <c r="I19" s="172"/>
      <c r="J19" s="172"/>
      <c r="K19" s="172"/>
      <c r="L19" s="172"/>
      <c r="M19" s="172"/>
      <c r="N19" s="172"/>
      <c r="O19" s="172"/>
      <c r="P19" s="172"/>
      <c r="Q19" s="172"/>
      <c r="R19" s="172"/>
      <c r="S19" s="172"/>
      <c r="T19" s="172"/>
      <c r="U19" s="172"/>
      <c r="V19" s="172"/>
      <c r="W19" s="172"/>
      <c r="X19" s="172"/>
      <c r="Y19" s="172"/>
      <c r="Z19" s="172"/>
      <c r="AA19" s="172"/>
      <c r="AB19" s="173"/>
    </row>
    <row r="20" spans="1:28" ht="22.5" customHeight="1">
      <c r="A20" s="39" t="s">
        <v>74</v>
      </c>
      <c r="B20" s="171" t="s">
        <v>190</v>
      </c>
      <c r="C20" s="172"/>
      <c r="D20" s="172"/>
      <c r="E20" s="172"/>
      <c r="F20" s="172"/>
      <c r="G20" s="172"/>
      <c r="H20" s="172"/>
      <c r="I20" s="172"/>
      <c r="J20" s="172"/>
      <c r="K20" s="172"/>
      <c r="L20" s="172"/>
      <c r="M20" s="172"/>
      <c r="N20" s="172"/>
      <c r="O20" s="172"/>
      <c r="P20" s="172"/>
      <c r="Q20" s="172"/>
      <c r="R20" s="172"/>
      <c r="S20" s="172"/>
      <c r="T20" s="172"/>
      <c r="U20" s="172"/>
      <c r="V20" s="172"/>
      <c r="W20" s="172"/>
      <c r="X20" s="172"/>
      <c r="Y20" s="172"/>
      <c r="Z20" s="172"/>
      <c r="AA20" s="172"/>
      <c r="AB20" s="173"/>
    </row>
    <row r="21" spans="1:28" ht="22.5" customHeight="1">
      <c r="A21" s="39" t="s">
        <v>75</v>
      </c>
      <c r="B21" s="171" t="s">
        <v>191</v>
      </c>
      <c r="C21" s="172"/>
      <c r="D21" s="172"/>
      <c r="E21" s="172"/>
      <c r="F21" s="172"/>
      <c r="G21" s="172"/>
      <c r="H21" s="172"/>
      <c r="I21" s="172"/>
      <c r="J21" s="172"/>
      <c r="K21" s="172"/>
      <c r="L21" s="172"/>
      <c r="M21" s="172"/>
      <c r="N21" s="172"/>
      <c r="O21" s="172"/>
      <c r="P21" s="172"/>
      <c r="Q21" s="172"/>
      <c r="R21" s="172"/>
      <c r="S21" s="172"/>
      <c r="T21" s="172"/>
      <c r="U21" s="172"/>
      <c r="V21" s="172"/>
      <c r="W21" s="172"/>
      <c r="X21" s="172"/>
      <c r="Y21" s="172"/>
      <c r="Z21" s="172"/>
      <c r="AA21" s="172"/>
      <c r="AB21" s="173"/>
    </row>
    <row r="22" spans="1:28" ht="22.5" customHeight="1">
      <c r="A22" s="39" t="s">
        <v>76</v>
      </c>
      <c r="B22" s="171" t="s">
        <v>192</v>
      </c>
      <c r="C22" s="172"/>
      <c r="D22" s="172"/>
      <c r="E22" s="172"/>
      <c r="F22" s="172"/>
      <c r="G22" s="172"/>
      <c r="H22" s="172"/>
      <c r="I22" s="172"/>
      <c r="J22" s="172"/>
      <c r="K22" s="172"/>
      <c r="L22" s="172"/>
      <c r="M22" s="172"/>
      <c r="N22" s="172"/>
      <c r="O22" s="172"/>
      <c r="P22" s="172"/>
      <c r="Q22" s="172"/>
      <c r="R22" s="172"/>
      <c r="S22" s="172"/>
      <c r="T22" s="172"/>
      <c r="U22" s="172"/>
      <c r="V22" s="172"/>
      <c r="W22" s="172"/>
      <c r="X22" s="172"/>
      <c r="Y22" s="172"/>
      <c r="Z22" s="172"/>
      <c r="AA22" s="172"/>
      <c r="AB22" s="173"/>
    </row>
    <row r="23" spans="1:28" ht="22.5" customHeight="1">
      <c r="A23" s="39" t="s">
        <v>77</v>
      </c>
      <c r="B23" s="171"/>
      <c r="C23" s="172"/>
      <c r="D23" s="172"/>
      <c r="E23" s="172"/>
      <c r="F23" s="172"/>
      <c r="G23" s="172"/>
      <c r="H23" s="172"/>
      <c r="I23" s="172"/>
      <c r="J23" s="172"/>
      <c r="K23" s="172"/>
      <c r="L23" s="172"/>
      <c r="M23" s="172"/>
      <c r="N23" s="172"/>
      <c r="O23" s="172"/>
      <c r="P23" s="172"/>
      <c r="Q23" s="172"/>
      <c r="R23" s="172"/>
      <c r="S23" s="172"/>
      <c r="T23" s="172"/>
      <c r="U23" s="172"/>
      <c r="V23" s="172"/>
      <c r="W23" s="172"/>
      <c r="X23" s="172"/>
      <c r="Y23" s="172"/>
      <c r="Z23" s="172"/>
      <c r="AA23" s="172"/>
      <c r="AB23" s="173"/>
    </row>
    <row r="24" spans="1:28" ht="22.5" customHeight="1">
      <c r="A24" s="39" t="s">
        <v>78</v>
      </c>
      <c r="B24" s="171"/>
      <c r="C24" s="172"/>
      <c r="D24" s="172"/>
      <c r="E24" s="172"/>
      <c r="F24" s="172"/>
      <c r="G24" s="172"/>
      <c r="H24" s="172"/>
      <c r="I24" s="172"/>
      <c r="J24" s="172"/>
      <c r="K24" s="172"/>
      <c r="L24" s="172"/>
      <c r="M24" s="172"/>
      <c r="N24" s="172"/>
      <c r="O24" s="172"/>
      <c r="P24" s="172"/>
      <c r="Q24" s="172"/>
      <c r="R24" s="172"/>
      <c r="S24" s="172"/>
      <c r="T24" s="172"/>
      <c r="U24" s="172"/>
      <c r="V24" s="172"/>
      <c r="W24" s="172"/>
      <c r="X24" s="172"/>
      <c r="Y24" s="172"/>
      <c r="Z24" s="172"/>
      <c r="AA24" s="172"/>
      <c r="AB24" s="173"/>
    </row>
    <row r="25" spans="1:28" ht="22.5" customHeight="1">
      <c r="A25" s="39" t="s">
        <v>79</v>
      </c>
      <c r="B25" s="171" t="s">
        <v>193</v>
      </c>
      <c r="C25" s="172"/>
      <c r="D25" s="172"/>
      <c r="E25" s="172"/>
      <c r="F25" s="172"/>
      <c r="G25" s="172"/>
      <c r="H25" s="172"/>
      <c r="I25" s="172"/>
      <c r="J25" s="172"/>
      <c r="K25" s="172"/>
      <c r="L25" s="172"/>
      <c r="M25" s="172"/>
      <c r="N25" s="172"/>
      <c r="O25" s="172"/>
      <c r="P25" s="172"/>
      <c r="Q25" s="172"/>
      <c r="R25" s="172"/>
      <c r="S25" s="172"/>
      <c r="T25" s="172"/>
      <c r="U25" s="172"/>
      <c r="V25" s="172"/>
      <c r="W25" s="172"/>
      <c r="X25" s="172"/>
      <c r="Y25" s="172"/>
      <c r="Z25" s="172"/>
      <c r="AA25" s="172"/>
      <c r="AB25" s="173"/>
    </row>
    <row r="26" spans="1:28" ht="22.5" customHeight="1">
      <c r="A26" s="39"/>
      <c r="B26" s="171"/>
      <c r="C26" s="172"/>
      <c r="D26" s="172"/>
      <c r="E26" s="172"/>
      <c r="F26" s="172"/>
      <c r="G26" s="172"/>
      <c r="H26" s="172"/>
      <c r="I26" s="172"/>
      <c r="J26" s="172"/>
      <c r="K26" s="172"/>
      <c r="L26" s="172"/>
      <c r="M26" s="172"/>
      <c r="N26" s="172"/>
      <c r="O26" s="172"/>
      <c r="P26" s="172"/>
      <c r="Q26" s="172"/>
      <c r="R26" s="172"/>
      <c r="S26" s="172"/>
      <c r="T26" s="172"/>
      <c r="U26" s="172"/>
      <c r="V26" s="172"/>
      <c r="W26" s="172"/>
      <c r="X26" s="172"/>
      <c r="Y26" s="172"/>
      <c r="Z26" s="172"/>
      <c r="AA26" s="172"/>
      <c r="AB26" s="173"/>
    </row>
    <row r="27" spans="1:28" ht="22.5" customHeight="1">
      <c r="A27" s="39"/>
      <c r="B27" s="171"/>
      <c r="C27" s="172"/>
      <c r="D27" s="172"/>
      <c r="E27" s="172"/>
      <c r="F27" s="172"/>
      <c r="G27" s="172"/>
      <c r="H27" s="172"/>
      <c r="I27" s="172"/>
      <c r="J27" s="172"/>
      <c r="K27" s="172"/>
      <c r="L27" s="172"/>
      <c r="M27" s="172"/>
      <c r="N27" s="172"/>
      <c r="O27" s="172"/>
      <c r="P27" s="172"/>
      <c r="Q27" s="172"/>
      <c r="R27" s="172"/>
      <c r="S27" s="172"/>
      <c r="T27" s="172"/>
      <c r="U27" s="172"/>
      <c r="V27" s="172"/>
      <c r="W27" s="172"/>
      <c r="X27" s="172"/>
      <c r="Y27" s="172"/>
      <c r="Z27" s="172"/>
      <c r="AA27" s="172"/>
      <c r="AB27" s="173"/>
    </row>
    <row r="28" spans="1:28" ht="22.5" customHeight="1">
      <c r="A28" s="39"/>
      <c r="B28" s="171"/>
      <c r="C28" s="172"/>
      <c r="D28" s="172"/>
      <c r="E28" s="172"/>
      <c r="F28" s="172"/>
      <c r="G28" s="172"/>
      <c r="H28" s="172"/>
      <c r="I28" s="172"/>
      <c r="J28" s="172"/>
      <c r="K28" s="172"/>
      <c r="L28" s="172"/>
      <c r="M28" s="172"/>
      <c r="N28" s="172"/>
      <c r="O28" s="172"/>
      <c r="P28" s="172"/>
      <c r="Q28" s="172"/>
      <c r="R28" s="172"/>
      <c r="S28" s="172"/>
      <c r="T28" s="172"/>
      <c r="U28" s="172"/>
      <c r="V28" s="172"/>
      <c r="W28" s="172"/>
      <c r="X28" s="172"/>
      <c r="Y28" s="172"/>
      <c r="Z28" s="172"/>
      <c r="AA28" s="172"/>
      <c r="AB28" s="173"/>
    </row>
    <row r="29" spans="1:28" ht="22.5" customHeight="1">
      <c r="A29" s="39"/>
      <c r="B29" s="171"/>
      <c r="C29" s="172"/>
      <c r="D29" s="172"/>
      <c r="E29" s="172"/>
      <c r="F29" s="172"/>
      <c r="G29" s="172"/>
      <c r="H29" s="172"/>
      <c r="I29" s="172"/>
      <c r="J29" s="172"/>
      <c r="K29" s="172"/>
      <c r="L29" s="172"/>
      <c r="M29" s="172"/>
      <c r="N29" s="172"/>
      <c r="O29" s="172"/>
      <c r="P29" s="172"/>
      <c r="Q29" s="172"/>
      <c r="R29" s="172"/>
      <c r="S29" s="172"/>
      <c r="T29" s="172"/>
      <c r="U29" s="172"/>
      <c r="V29" s="172"/>
      <c r="W29" s="172"/>
      <c r="X29" s="172"/>
      <c r="Y29" s="172"/>
      <c r="Z29" s="172"/>
      <c r="AA29" s="172"/>
      <c r="AB29" s="173"/>
    </row>
    <row r="30" spans="1:28" ht="22.5" customHeight="1">
      <c r="A30" s="39"/>
      <c r="B30" s="171"/>
      <c r="C30" s="172"/>
      <c r="D30" s="172"/>
      <c r="E30" s="172"/>
      <c r="F30" s="172"/>
      <c r="G30" s="172"/>
      <c r="H30" s="172"/>
      <c r="I30" s="172"/>
      <c r="J30" s="172"/>
      <c r="K30" s="172"/>
      <c r="L30" s="172"/>
      <c r="M30" s="172"/>
      <c r="N30" s="172"/>
      <c r="O30" s="172"/>
      <c r="P30" s="172"/>
      <c r="Q30" s="172"/>
      <c r="R30" s="172"/>
      <c r="S30" s="172"/>
      <c r="T30" s="172"/>
      <c r="U30" s="172"/>
      <c r="V30" s="172"/>
      <c r="W30" s="172"/>
      <c r="X30" s="172"/>
      <c r="Y30" s="172"/>
      <c r="Z30" s="172"/>
      <c r="AA30" s="172"/>
      <c r="AB30" s="173"/>
    </row>
    <row r="31" spans="1:28" ht="22.5" customHeight="1">
      <c r="A31" s="39"/>
      <c r="B31" s="171"/>
      <c r="C31" s="172"/>
      <c r="D31" s="172"/>
      <c r="E31" s="172"/>
      <c r="F31" s="172"/>
      <c r="G31" s="172"/>
      <c r="H31" s="172"/>
      <c r="I31" s="172"/>
      <c r="J31" s="172"/>
      <c r="K31" s="172"/>
      <c r="L31" s="172"/>
      <c r="M31" s="172"/>
      <c r="N31" s="172"/>
      <c r="O31" s="172"/>
      <c r="P31" s="172"/>
      <c r="Q31" s="172"/>
      <c r="R31" s="172"/>
      <c r="S31" s="172"/>
      <c r="T31" s="172"/>
      <c r="U31" s="172"/>
      <c r="V31" s="172"/>
      <c r="W31" s="172"/>
      <c r="X31" s="172"/>
      <c r="Y31" s="172"/>
      <c r="Z31" s="172"/>
      <c r="AA31" s="172"/>
      <c r="AB31" s="173"/>
    </row>
    <row r="32" spans="1:28" ht="22.5" customHeight="1">
      <c r="A32" s="39"/>
      <c r="B32" s="171"/>
      <c r="C32" s="172"/>
      <c r="D32" s="172"/>
      <c r="E32" s="172"/>
      <c r="F32" s="172"/>
      <c r="G32" s="172"/>
      <c r="H32" s="172"/>
      <c r="I32" s="172"/>
      <c r="J32" s="172"/>
      <c r="K32" s="172"/>
      <c r="L32" s="172"/>
      <c r="M32" s="172"/>
      <c r="N32" s="172"/>
      <c r="O32" s="172"/>
      <c r="P32" s="172"/>
      <c r="Q32" s="172"/>
      <c r="R32" s="172"/>
      <c r="S32" s="172"/>
      <c r="T32" s="172"/>
      <c r="U32" s="172"/>
      <c r="V32" s="172"/>
      <c r="W32" s="172"/>
      <c r="X32" s="172"/>
      <c r="Y32" s="172"/>
      <c r="Z32" s="172"/>
      <c r="AA32" s="172"/>
      <c r="AB32" s="173"/>
    </row>
    <row r="33" spans="1:28" ht="22.5" customHeight="1">
      <c r="A33" s="39"/>
      <c r="B33" s="171"/>
      <c r="C33" s="172"/>
      <c r="D33" s="172"/>
      <c r="E33" s="172"/>
      <c r="F33" s="172"/>
      <c r="G33" s="172"/>
      <c r="H33" s="172"/>
      <c r="I33" s="172"/>
      <c r="J33" s="172"/>
      <c r="K33" s="172"/>
      <c r="L33" s="172"/>
      <c r="M33" s="172"/>
      <c r="N33" s="172"/>
      <c r="O33" s="172"/>
      <c r="P33" s="172"/>
      <c r="Q33" s="172"/>
      <c r="R33" s="172"/>
      <c r="S33" s="172"/>
      <c r="T33" s="172"/>
      <c r="U33" s="172"/>
      <c r="V33" s="172"/>
      <c r="W33" s="172"/>
      <c r="X33" s="172"/>
      <c r="Y33" s="172"/>
      <c r="Z33" s="172"/>
      <c r="AA33" s="172"/>
      <c r="AB33" s="173"/>
    </row>
    <row r="34" spans="1:28" ht="22.5" customHeight="1">
      <c r="A34" s="39"/>
      <c r="B34" s="171"/>
      <c r="C34" s="172"/>
      <c r="D34" s="172"/>
      <c r="E34" s="172"/>
      <c r="F34" s="172"/>
      <c r="G34" s="172"/>
      <c r="H34" s="172"/>
      <c r="I34" s="172"/>
      <c r="J34" s="172"/>
      <c r="K34" s="172"/>
      <c r="L34" s="172"/>
      <c r="M34" s="172"/>
      <c r="N34" s="172"/>
      <c r="O34" s="172"/>
      <c r="P34" s="172"/>
      <c r="Q34" s="172"/>
      <c r="R34" s="172"/>
      <c r="S34" s="172"/>
      <c r="T34" s="172"/>
      <c r="U34" s="172"/>
      <c r="V34" s="172"/>
      <c r="W34" s="172"/>
      <c r="X34" s="172"/>
      <c r="Y34" s="172"/>
      <c r="Z34" s="172"/>
      <c r="AA34" s="172"/>
      <c r="AB34" s="173"/>
    </row>
    <row r="35" spans="1:28" ht="17.25" customHeight="1"/>
    <row r="36" spans="1:28" ht="17.25" customHeight="1"/>
    <row r="37" spans="1:28" ht="17.25" customHeight="1"/>
    <row r="38" spans="1:28" ht="17.25" customHeight="1"/>
    <row r="39" spans="1:28" ht="17.25" customHeight="1"/>
    <row r="40" spans="1:28" ht="17.25" customHeight="1"/>
    <row r="41" spans="1:28" ht="17.25" customHeight="1"/>
    <row r="42" spans="1:28" ht="17.25" customHeight="1"/>
    <row r="43" spans="1:28" ht="17.25" customHeight="1"/>
    <row r="44" spans="1:28" ht="17.25" customHeight="1"/>
    <row r="45" spans="1:28" ht="17.25" customHeight="1"/>
    <row r="46" spans="1:28" ht="17.25" customHeight="1"/>
    <row r="47" spans="1:28" ht="17.25" customHeight="1"/>
    <row r="48" spans="1:28" ht="17.25" customHeight="1"/>
    <row r="49" ht="17.25" customHeight="1"/>
    <row r="50" ht="17.25" customHeight="1"/>
    <row r="51" ht="17.25" customHeight="1"/>
    <row r="52" ht="17.25" customHeight="1"/>
    <row r="53" ht="17.25" customHeight="1"/>
    <row r="54" ht="17.25" customHeight="1"/>
    <row r="55" ht="17.25" customHeight="1"/>
    <row r="56" ht="17.25" customHeight="1"/>
    <row r="57" ht="17.25" customHeight="1"/>
    <row r="58" ht="17.25" customHeight="1"/>
    <row r="59" ht="17.25" customHeight="1"/>
    <row r="60" ht="17.25" customHeight="1"/>
    <row r="61" ht="17.25" customHeight="1"/>
    <row r="62" ht="17.25" customHeight="1"/>
    <row r="63" ht="17.25" customHeight="1"/>
    <row r="64"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row r="155" ht="17.25" customHeight="1"/>
    <row r="156" ht="17.25" customHeight="1"/>
    <row r="157" ht="17.25" customHeight="1"/>
    <row r="158" ht="17.25" customHeight="1"/>
    <row r="159" ht="17.25" customHeight="1"/>
  </sheetData>
  <mergeCells count="34">
    <mergeCell ref="A6:C6"/>
    <mergeCell ref="A7:C7"/>
    <mergeCell ref="A8:C8"/>
    <mergeCell ref="A1:C1"/>
    <mergeCell ref="A2:C2"/>
    <mergeCell ref="A3:C3"/>
    <mergeCell ref="A4:C4"/>
    <mergeCell ref="A5:C5"/>
    <mergeCell ref="A9:AB9"/>
    <mergeCell ref="B10:AB10"/>
    <mergeCell ref="B11:AB11"/>
    <mergeCell ref="B12:AB12"/>
    <mergeCell ref="B13:AB13"/>
    <mergeCell ref="B14:AB14"/>
    <mergeCell ref="B15:AB15"/>
    <mergeCell ref="B16:AB16"/>
    <mergeCell ref="B17:AB17"/>
    <mergeCell ref="B18:AB18"/>
    <mergeCell ref="B19:AB19"/>
    <mergeCell ref="B20:AB20"/>
    <mergeCell ref="B21:AB21"/>
    <mergeCell ref="B22:AB22"/>
    <mergeCell ref="B23:AB23"/>
    <mergeCell ref="B33:AB33"/>
    <mergeCell ref="B34:AB34"/>
    <mergeCell ref="B24:AB24"/>
    <mergeCell ref="B25:AB25"/>
    <mergeCell ref="B26:AB26"/>
    <mergeCell ref="B27:AB27"/>
    <mergeCell ref="B28:AB28"/>
    <mergeCell ref="B29:AB29"/>
    <mergeCell ref="B30:AB30"/>
    <mergeCell ref="B31:AB31"/>
    <mergeCell ref="B32:AB32"/>
  </mergeCells>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14</vt:i4>
      </vt:variant>
      <vt:variant>
        <vt:lpstr>名前付き一覧</vt:lpstr>
      </vt:variant>
      <vt:variant>
        <vt:i4>6</vt:i4>
      </vt:variant>
    </vt:vector>
  </HeadingPairs>
  <TitlesOfParts>
    <vt:vector size="20" baseType="lpstr">
      <vt:lpstr>通知票</vt:lpstr>
      <vt:lpstr>所見集</vt:lpstr>
      <vt:lpstr>国語</vt:lpstr>
      <vt:lpstr>数学</vt:lpstr>
      <vt:lpstr>理科</vt:lpstr>
      <vt:lpstr>社会</vt:lpstr>
      <vt:lpstr>英語</vt:lpstr>
      <vt:lpstr>音楽</vt:lpstr>
      <vt:lpstr>美術</vt:lpstr>
      <vt:lpstr>保体</vt:lpstr>
      <vt:lpstr>技家</vt:lpstr>
      <vt:lpstr>道徳</vt:lpstr>
      <vt:lpstr>所見</vt:lpstr>
      <vt:lpstr>出欠</vt:lpstr>
      <vt:lpstr>所見集!Print_Area</vt:lpstr>
      <vt:lpstr>通知票!Print_Area</vt:lpstr>
      <vt:lpstr>至</vt:lpstr>
      <vt:lpstr>自</vt:lpstr>
      <vt:lpstr>番号</vt:lpstr>
      <vt:lpstr>番号2</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saikyo-gakuen</dc:creator>
  <cp:lastModifiedBy>巣山 孝弘</cp:lastModifiedBy>
  <cp:lastPrinted>2024-07-22T03:25:35Z</cp:lastPrinted>
  <dcterms:created xsi:type="dcterms:W3CDTF">2005-07-21T09:07:06Z</dcterms:created>
  <dcterms:modified xsi:type="dcterms:W3CDTF">2024-07-22T03:25:38Z</dcterms:modified>
</cp:coreProperties>
</file>