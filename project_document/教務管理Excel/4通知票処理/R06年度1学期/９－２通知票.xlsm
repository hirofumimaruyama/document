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h-maruyama\Desktop\才教学園_my_dir\教務管理Excel\4通知票処理\R06年度1学期\"/>
    </mc:Choice>
  </mc:AlternateContent>
  <xr:revisionPtr revIDLastSave="0" documentId="13_ncr:1_{4FBC503C-EEA3-4917-A4D0-A2B6976A1AF6}" xr6:coauthVersionLast="47" xr6:coauthVersionMax="47" xr10:uidLastSave="{00000000-0000-0000-0000-000000000000}"/>
  <bookViews>
    <workbookView xWindow="-28920" yWindow="-60" windowWidth="29040" windowHeight="15720" tabRatio="783" xr2:uid="{00000000-000D-0000-FFFF-FFFF00000000}"/>
  </bookViews>
  <sheets>
    <sheet name="質問" sheetId="51" r:id="rId1"/>
    <sheet name="通知票" sheetId="49" r:id="rId2"/>
    <sheet name="所見集" sheetId="46" r:id="rId3"/>
    <sheet name="国語" sheetId="36" r:id="rId4"/>
    <sheet name="数学" sheetId="37" r:id="rId5"/>
    <sheet name="理科" sheetId="38" r:id="rId6"/>
    <sheet name="社会" sheetId="47" r:id="rId7"/>
    <sheet name="英語" sheetId="39" r:id="rId8"/>
    <sheet name="音楽" sheetId="40" r:id="rId9"/>
    <sheet name="美術" sheetId="41" r:id="rId10"/>
    <sheet name="保体" sheetId="42" r:id="rId11"/>
    <sheet name="技家" sheetId="48" r:id="rId12"/>
    <sheet name="道徳" sheetId="50" r:id="rId13"/>
    <sheet name="所見" sheetId="44" r:id="rId14"/>
    <sheet name="出欠" sheetId="45" r:id="rId15"/>
  </sheets>
  <definedNames>
    <definedName name="_xlnm.Print_Area" localSheetId="2">所見集!$A$1:$C$16</definedName>
    <definedName name="_xlnm.Print_Area" localSheetId="1">通知票!$A$1:$N$95</definedName>
    <definedName name="至">通知票!$Q$9</definedName>
    <definedName name="自">通知票!$P$9</definedName>
    <definedName name="番号">通知票!$B$2</definedName>
    <definedName name="番号2">所見集!$B$2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 i="45" l="1"/>
  <c r="F5" i="45"/>
  <c r="AB4" i="45"/>
  <c r="AB5" i="45" s="1"/>
  <c r="AA4" i="45"/>
  <c r="AA5" i="45" s="1"/>
  <c r="Z4" i="45"/>
  <c r="Z5" i="45" s="1"/>
  <c r="Y4" i="45"/>
  <c r="Y5" i="45" s="1"/>
  <c r="X4" i="45"/>
  <c r="X5" i="45" s="1"/>
  <c r="W4" i="45"/>
  <c r="W5" i="45" s="1"/>
  <c r="V4" i="45"/>
  <c r="U4" i="45"/>
  <c r="U5" i="45" s="1"/>
  <c r="T4" i="45"/>
  <c r="T5" i="45" s="1"/>
  <c r="S4" i="45"/>
  <c r="S5" i="45" s="1"/>
  <c r="R4" i="45"/>
  <c r="R5" i="45" s="1"/>
  <c r="Q4" i="45"/>
  <c r="Q5" i="45" s="1"/>
  <c r="P4" i="45"/>
  <c r="P5" i="45" s="1"/>
  <c r="O4" i="45"/>
  <c r="O5" i="45" s="1"/>
  <c r="N4" i="45"/>
  <c r="N5" i="45" s="1"/>
  <c r="M4" i="45"/>
  <c r="M5" i="45" s="1"/>
  <c r="L4" i="45"/>
  <c r="L5" i="45" s="1"/>
  <c r="K4" i="45"/>
  <c r="K5" i="45" s="1"/>
  <c r="J4" i="45"/>
  <c r="J5" i="45" s="1"/>
  <c r="I4" i="45"/>
  <c r="I5" i="45" s="1"/>
  <c r="H4" i="45"/>
  <c r="H5" i="45" s="1"/>
  <c r="G4" i="45"/>
  <c r="G5" i="45" s="1"/>
  <c r="F4" i="45"/>
  <c r="E4" i="45"/>
  <c r="E5" i="45" s="1"/>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85" i="44" l="1"/>
  <c r="AC84" i="44"/>
  <c r="AC83" i="44"/>
  <c r="AC82" i="44"/>
  <c r="AC81" i="44"/>
  <c r="AC80" i="44"/>
  <c r="AC79" i="44"/>
  <c r="AC78" i="44"/>
  <c r="A78" i="44"/>
  <c r="AC77" i="44"/>
  <c r="AC76" i="44"/>
  <c r="AC75" i="44"/>
  <c r="AC74" i="44"/>
  <c r="AC73" i="44"/>
  <c r="AC72" i="44"/>
  <c r="AC71" i="44"/>
  <c r="AC70" i="44"/>
  <c r="AC69" i="44"/>
  <c r="AC68" i="44"/>
  <c r="AC67" i="44"/>
  <c r="AC66" i="44"/>
  <c r="AC65" i="44"/>
  <c r="AC64" i="44"/>
  <c r="AC63" i="44"/>
  <c r="AC62" i="44"/>
  <c r="AC61" i="44"/>
  <c r="A59" i="44"/>
  <c r="A85" i="44" s="1"/>
  <c r="A58" i="44"/>
  <c r="A84" i="44" s="1"/>
  <c r="A57" i="44"/>
  <c r="A83" i="44" s="1"/>
  <c r="A56" i="44"/>
  <c r="A82" i="44" s="1"/>
  <c r="A55" i="44"/>
  <c r="A81" i="44" s="1"/>
  <c r="A54" i="44"/>
  <c r="A80" i="44" s="1"/>
  <c r="A53" i="44"/>
  <c r="A79" i="44" s="1"/>
  <c r="A52" i="44"/>
  <c r="A51" i="44"/>
  <c r="A77" i="44" s="1"/>
  <c r="A50" i="44"/>
  <c r="A76" i="44" s="1"/>
  <c r="A49" i="44"/>
  <c r="A75" i="44" s="1"/>
  <c r="A48" i="44"/>
  <c r="A74" i="44" s="1"/>
  <c r="A47" i="44"/>
  <c r="A73" i="44" s="1"/>
  <c r="A46" i="44"/>
  <c r="A72" i="44" s="1"/>
  <c r="A45" i="44"/>
  <c r="A71" i="44" s="1"/>
  <c r="A44" i="44"/>
  <c r="A70" i="44" s="1"/>
  <c r="A43" i="44"/>
  <c r="A69" i="44" s="1"/>
  <c r="A42" i="44"/>
  <c r="A68" i="44" s="1"/>
  <c r="A41" i="44"/>
  <c r="A67" i="44" s="1"/>
  <c r="A40" i="44"/>
  <c r="A66" i="44" s="1"/>
  <c r="A39" i="44"/>
  <c r="A65" i="44" s="1"/>
  <c r="A38" i="44"/>
  <c r="A64" i="44" s="1"/>
  <c r="A37" i="44"/>
  <c r="A63" i="44" s="1"/>
  <c r="A36" i="44"/>
  <c r="A62" i="44" s="1"/>
  <c r="A35" i="44"/>
  <c r="A61" i="44" s="1"/>
  <c r="AB1" i="44"/>
  <c r="AA1" i="44"/>
  <c r="Z1" i="44"/>
  <c r="Y1" i="44"/>
  <c r="X1" i="44"/>
  <c r="W1" i="44"/>
  <c r="V1" i="44"/>
  <c r="U1" i="44"/>
  <c r="T1" i="44"/>
  <c r="S1" i="44"/>
  <c r="R1" i="44"/>
  <c r="Q1" i="44"/>
  <c r="P1" i="44"/>
  <c r="O1" i="44"/>
  <c r="N1" i="44"/>
  <c r="M1" i="44"/>
  <c r="L1" i="44"/>
  <c r="K1" i="44"/>
  <c r="J1" i="44"/>
  <c r="I1" i="44"/>
  <c r="H1" i="44"/>
  <c r="G1" i="44"/>
  <c r="F1" i="44"/>
  <c r="E1" i="44"/>
  <c r="D1" i="44"/>
  <c r="A1" i="44"/>
  <c r="C27" i="50" l="1"/>
  <c r="C26" i="50"/>
  <c r="C25" i="50"/>
  <c r="C24" i="50"/>
  <c r="C23" i="50"/>
  <c r="C22" i="50"/>
  <c r="C21" i="50"/>
  <c r="C20" i="50"/>
  <c r="C19" i="50"/>
  <c r="C18" i="50"/>
  <c r="C17" i="50"/>
  <c r="C16" i="50"/>
  <c r="C15" i="50"/>
  <c r="C14" i="50"/>
  <c r="C13" i="50"/>
  <c r="C12" i="50"/>
  <c r="C11" i="50"/>
  <c r="C10" i="50"/>
  <c r="C9" i="50"/>
  <c r="C8" i="50"/>
  <c r="C7" i="50"/>
  <c r="C6" i="50"/>
  <c r="C5" i="50"/>
  <c r="C4" i="50"/>
  <c r="C3" i="50"/>
  <c r="B1" i="50"/>
  <c r="A1" i="50"/>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AB1" i="39" l="1"/>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B13" i="46" l="1"/>
  <c r="B12" i="46"/>
  <c r="B11" i="46"/>
  <c r="B10" i="46"/>
  <c r="B9" i="46"/>
  <c r="B8" i="46"/>
  <c r="B7" i="46"/>
  <c r="B6" i="46"/>
  <c r="B5" i="46"/>
  <c r="M72" i="49"/>
  <c r="M64" i="49"/>
  <c r="M56" i="49"/>
  <c r="M46" i="49"/>
  <c r="M38" i="49"/>
  <c r="M30" i="49"/>
  <c r="M22" i="49"/>
  <c r="M14" i="49"/>
  <c r="M6" i="49"/>
  <c r="C12" i="46"/>
  <c r="C9" i="46"/>
  <c r="C13" i="46"/>
  <c r="C10" i="46"/>
  <c r="C8" i="46"/>
  <c r="C7" i="46"/>
  <c r="C6" i="46"/>
  <c r="C5" i="46"/>
  <c r="C11" i="46"/>
  <c r="Q85" i="49" l="1"/>
  <c r="Q19" i="49"/>
  <c r="U26" i="49"/>
  <c r="U11" i="49"/>
  <c r="U6" i="49"/>
  <c r="U22" i="49"/>
  <c r="U19" i="49"/>
  <c r="U10" i="49"/>
  <c r="U9" i="49"/>
  <c r="U21" i="49"/>
  <c r="U18" i="49"/>
  <c r="U15" i="49"/>
  <c r="U17" i="49"/>
  <c r="U30" i="49"/>
  <c r="U13" i="49"/>
  <c r="U12" i="49"/>
  <c r="U25" i="49"/>
  <c r="U28" i="49"/>
  <c r="C2" i="46"/>
  <c r="U7" i="49"/>
  <c r="U16" i="49"/>
  <c r="U23" i="49"/>
  <c r="U29" i="49"/>
  <c r="U27" i="49"/>
  <c r="U14" i="49"/>
  <c r="U24" i="49"/>
  <c r="U20" i="49"/>
  <c r="C16" i="46"/>
  <c r="B95" i="49"/>
  <c r="U8" i="49"/>
  <c r="C1" i="49" l="1"/>
  <c r="C1" i="46" s="1"/>
  <c r="N88" i="49"/>
  <c r="N87" i="49"/>
  <c r="N86" i="49"/>
  <c r="N85" i="49"/>
  <c r="N84" i="49"/>
  <c r="N83" i="49"/>
  <c r="N82" i="49"/>
  <c r="G87" i="49"/>
  <c r="B87" i="49"/>
  <c r="G86" i="49"/>
  <c r="B86" i="49"/>
  <c r="G85" i="49"/>
  <c r="B85" i="49"/>
  <c r="G84" i="49"/>
  <c r="B84" i="49"/>
  <c r="G83" i="49"/>
  <c r="B83" i="49"/>
  <c r="L79" i="49"/>
  <c r="B79" i="49"/>
  <c r="L78" i="49"/>
  <c r="B78" i="49"/>
  <c r="L77" i="49"/>
  <c r="B77" i="49"/>
  <c r="L76" i="49"/>
  <c r="B76" i="49"/>
  <c r="L75" i="49"/>
  <c r="B75" i="49"/>
  <c r="L74" i="49"/>
  <c r="B74" i="49"/>
  <c r="L73" i="49"/>
  <c r="B73" i="49"/>
  <c r="L71" i="49"/>
  <c r="B71" i="49"/>
  <c r="L70" i="49"/>
  <c r="B70" i="49"/>
  <c r="L69" i="49"/>
  <c r="B69" i="49"/>
  <c r="L68" i="49"/>
  <c r="B68" i="49"/>
  <c r="L67" i="49"/>
  <c r="B67" i="49"/>
  <c r="L66" i="49"/>
  <c r="B66" i="49"/>
  <c r="L65" i="49"/>
  <c r="B65" i="49"/>
  <c r="L63" i="49"/>
  <c r="B63" i="49"/>
  <c r="L62" i="49"/>
  <c r="B62" i="49"/>
  <c r="L61" i="49"/>
  <c r="B61" i="49"/>
  <c r="L60" i="49"/>
  <c r="B60" i="49"/>
  <c r="L59" i="49"/>
  <c r="B59" i="49"/>
  <c r="L58" i="49"/>
  <c r="B58" i="49"/>
  <c r="L57" i="49"/>
  <c r="B57" i="49"/>
  <c r="L53" i="49"/>
  <c r="B53" i="49"/>
  <c r="L52" i="49"/>
  <c r="B52" i="49"/>
  <c r="L51" i="49"/>
  <c r="B51" i="49"/>
  <c r="L50" i="49"/>
  <c r="B50" i="49"/>
  <c r="L49" i="49"/>
  <c r="B49" i="49"/>
  <c r="L48" i="49"/>
  <c r="B48" i="49"/>
  <c r="L47" i="49"/>
  <c r="B47" i="49"/>
  <c r="L45" i="49"/>
  <c r="B45" i="49"/>
  <c r="L44" i="49"/>
  <c r="B44" i="49"/>
  <c r="L43" i="49"/>
  <c r="B43" i="49"/>
  <c r="L42" i="49"/>
  <c r="B42" i="49"/>
  <c r="L41" i="49"/>
  <c r="B41" i="49"/>
  <c r="L40" i="49"/>
  <c r="B40" i="49"/>
  <c r="L39" i="49"/>
  <c r="B39" i="49"/>
  <c r="L37" i="49"/>
  <c r="B37" i="49"/>
  <c r="L36" i="49"/>
  <c r="B36" i="49"/>
  <c r="L35" i="49"/>
  <c r="B35" i="49"/>
  <c r="L34" i="49"/>
  <c r="B34" i="49"/>
  <c r="L33" i="49"/>
  <c r="B33" i="49"/>
  <c r="L32" i="49"/>
  <c r="B32" i="49"/>
  <c r="L31" i="49"/>
  <c r="B31" i="49"/>
  <c r="L29" i="49"/>
  <c r="B29" i="49"/>
  <c r="L28" i="49"/>
  <c r="B28" i="49"/>
  <c r="L27" i="49"/>
  <c r="B27" i="49"/>
  <c r="L26" i="49"/>
  <c r="B26" i="49"/>
  <c r="L25" i="49"/>
  <c r="B25" i="49"/>
  <c r="L24" i="49"/>
  <c r="B24" i="49"/>
  <c r="L23" i="49"/>
  <c r="B23" i="49"/>
  <c r="G82" i="49"/>
  <c r="B82" i="49"/>
  <c r="L72" i="49"/>
  <c r="B72" i="49"/>
  <c r="L64" i="49"/>
  <c r="B64" i="49"/>
  <c r="L56" i="49"/>
  <c r="B56" i="49"/>
  <c r="L46" i="49"/>
  <c r="B46" i="49"/>
  <c r="L38" i="49"/>
  <c r="B38" i="49"/>
  <c r="L30" i="49"/>
  <c r="B30" i="49"/>
  <c r="L22" i="49"/>
  <c r="B22" i="49"/>
  <c r="L21" i="49"/>
  <c r="B21" i="49"/>
  <c r="L20" i="49"/>
  <c r="B20" i="49"/>
  <c r="L19" i="49"/>
  <c r="B19" i="49"/>
  <c r="L18" i="49"/>
  <c r="B18" i="49"/>
  <c r="L17" i="49"/>
  <c r="B17" i="49"/>
  <c r="L16" i="49"/>
  <c r="B16" i="49"/>
  <c r="L15" i="49"/>
  <c r="B15" i="49"/>
  <c r="L14" i="49"/>
  <c r="B14" i="49"/>
  <c r="L13" i="49"/>
  <c r="B13" i="49"/>
  <c r="L12" i="49"/>
  <c r="B12" i="49"/>
  <c r="L11" i="49"/>
  <c r="B11" i="49"/>
  <c r="L10" i="49"/>
  <c r="B10" i="49"/>
  <c r="L9" i="49"/>
  <c r="B9" i="49"/>
  <c r="L8" i="49"/>
  <c r="B8" i="49"/>
  <c r="L7" i="49"/>
  <c r="B7" i="49"/>
  <c r="L6" i="49"/>
  <c r="B6" i="49"/>
  <c r="K89" i="49"/>
  <c r="F89" i="49"/>
  <c r="B89" i="49"/>
  <c r="L2" i="49"/>
  <c r="B80" i="49"/>
  <c r="A1" i="49" l="1"/>
  <c r="A1" i="46" s="1"/>
  <c r="B14" i="46"/>
</calcChain>
</file>

<file path=xl/sharedStrings.xml><?xml version="1.0" encoding="utf-8"?>
<sst xmlns="http://schemas.openxmlformats.org/spreadsheetml/2006/main" count="2920" uniqueCount="314">
  <si>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</si>
  <si>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</si>
  <si>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</si>
  <si>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</si>
  <si>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</si>
  <si>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</si>
  <si>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</si>
  <si>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</si>
  <si>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</si>
  <si>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</si>
  <si>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</si>
  <si>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</si>
  <si>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</si>
  <si>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</si>
  <si>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</si>
  <si>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</si>
  <si>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</si>
  <si>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</si>
  <si>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</si>
  <si>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t>道徳</t>
    <rPh sb="0" eb="2">
      <t>ドウトク</t>
    </rPh>
    <phoneticPr fontId="1"/>
  </si>
  <si>
    <t>氏名</t>
  </si>
  <si>
    <t>文字数</t>
    <rPh sb="0" eb="3">
      <t>もじすう</t>
    </rPh>
    <phoneticPr fontId="9" type="Hiragana" alignment="distributed"/>
  </si>
  <si>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</si>
  <si>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</si>
  <si>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</si>
  <si>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</si>
  <si>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</si>
  <si>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</si>
  <si>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</si>
  <si>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</si>
  <si>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</si>
  <si>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</si>
  <si>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数学</t>
    <phoneticPr fontId="1"/>
  </si>
  <si>
    <t>美術</t>
    <phoneticPr fontId="1"/>
  </si>
  <si>
    <t>保健体育</t>
    <rPh sb="0" eb="2">
      <t>ホケン</t>
    </rPh>
    <rPh sb="2" eb="4">
      <t>タイイク</t>
    </rPh>
    <phoneticPr fontId="1"/>
  </si>
  <si>
    <t>技術家庭</t>
    <rPh sb="0" eb="2">
      <t>ギジュツ</t>
    </rPh>
    <rPh sb="2" eb="4">
      <t>カテイ</t>
    </rPh>
    <phoneticPr fontId="1"/>
  </si>
  <si>
    <t>A:十分　B:普通　C:不足</t>
  </si>
  <si>
    <t>行動のようす</t>
    <phoneticPr fontId="1"/>
  </si>
  <si>
    <t>総合学習</t>
    <rPh sb="0" eb="2">
      <t>ソウゴウ</t>
    </rPh>
    <rPh sb="2" eb="4">
      <t>ガクシュウ</t>
    </rPh>
    <phoneticPr fontId="1"/>
  </si>
  <si>
    <t>特別活動</t>
    <rPh sb="0" eb="2">
      <t>トクベツ</t>
    </rPh>
    <rPh sb="2" eb="4">
      <t>カツドウ</t>
    </rPh>
    <phoneticPr fontId="1"/>
  </si>
  <si>
    <t>備考</t>
    <rPh sb="0" eb="2">
      <t>ビコウ</t>
    </rPh>
    <phoneticPr fontId="1"/>
  </si>
  <si>
    <t>※注意※
この欄の名前は変更不可</t>
    <rPh sb="1" eb="3">
      <t>チュウイ</t>
    </rPh>
    <rPh sb="7" eb="8">
      <t>ラン</t>
    </rPh>
    <rPh sb="9" eb="11">
      <t>ナマエ</t>
    </rPh>
    <rPh sb="12" eb="14">
      <t>ヘンコウ</t>
    </rPh>
    <rPh sb="14" eb="16">
      <t>フカ</t>
    </rPh>
    <phoneticPr fontId="1"/>
  </si>
  <si>
    <t>この項目は適宜変更して下さい。
※注意※
ただし、行数は増やさないようにお願いします。</t>
    <rPh sb="2" eb="4">
      <t>コウモク</t>
    </rPh>
    <rPh sb="5" eb="7">
      <t>テキギ</t>
    </rPh>
    <rPh sb="7" eb="9">
      <t>ヘンコウ</t>
    </rPh>
    <rPh sb="11" eb="12">
      <t>クダ</t>
    </rPh>
    <rPh sb="17" eb="19">
      <t>チュウイ</t>
    </rPh>
    <rPh sb="25" eb="27">
      <t>ギョウスウ</t>
    </rPh>
    <rPh sb="28" eb="29">
      <t>フ</t>
    </rPh>
    <rPh sb="37" eb="38">
      <t>ネガ</t>
    </rPh>
    <phoneticPr fontId="1"/>
  </si>
  <si>
    <t>行動の様子</t>
    <rPh sb="0" eb="2">
      <t>コウドウ</t>
    </rPh>
    <rPh sb="3" eb="5">
      <t>ヨウス</t>
    </rPh>
    <phoneticPr fontId="1"/>
  </si>
  <si>
    <t>特別活動 ※注意※改行せず、続けて文章を書いて下さい。</t>
    <rPh sb="0" eb="2">
      <t>トクベツ</t>
    </rPh>
    <rPh sb="2" eb="4">
      <t>カツドウ</t>
    </rPh>
    <rPh sb="6" eb="8">
      <t>チュウイ</t>
    </rPh>
    <rPh sb="9" eb="11">
      <t>カイギョウ</t>
    </rPh>
    <rPh sb="14" eb="15">
      <t>ツズ</t>
    </rPh>
    <rPh sb="17" eb="19">
      <t>ブンショウ</t>
    </rPh>
    <rPh sb="20" eb="21">
      <t>カ</t>
    </rPh>
    <rPh sb="23" eb="24">
      <t>クダ</t>
    </rPh>
    <phoneticPr fontId="1"/>
  </si>
  <si>
    <t>数学</t>
    <rPh sb="0" eb="2">
      <t>スウガク</t>
    </rPh>
    <phoneticPr fontId="1"/>
  </si>
  <si>
    <t>美術</t>
    <rPh sb="0" eb="2">
      <t>ビジュツ</t>
    </rPh>
    <phoneticPr fontId="1"/>
  </si>
  <si>
    <t>技家</t>
    <rPh sb="0" eb="2">
      <t>ギカ</t>
    </rPh>
    <phoneticPr fontId="1"/>
  </si>
  <si>
    <t>保体</t>
    <rPh sb="0" eb="2">
      <t>ホタイ</t>
    </rPh>
    <phoneticPr fontId="1"/>
  </si>
  <si>
    <r>
      <t xml:space="preserve">学年
</t>
    </r>
    <r>
      <rPr>
        <sz val="9"/>
        <rFont val="ＭＳ Ｐ明朝"/>
        <family val="1"/>
        <charset val="128"/>
      </rPr>
      <t>(3学期)</t>
    </r>
    <rPh sb="5" eb="7">
      <t>ガッキ</t>
    </rPh>
    <phoneticPr fontId="1"/>
  </si>
  <si>
    <t>知識・技能（単元テスト・定期テスト）</t>
    <rPh sb="6" eb="8">
      <t>タンゲン</t>
    </rPh>
    <phoneticPr fontId="1"/>
  </si>
  <si>
    <t>知識・技能（単元テスト・定期テスト）</t>
  </si>
  <si>
    <t>思考力・表現力・判断力（単元テスト・定期テスト）</t>
  </si>
  <si>
    <t>主体的に学習に取り組む態度</t>
  </si>
  <si>
    <t>5</t>
  </si>
  <si>
    <t>4</t>
  </si>
  <si>
    <t>3</t>
  </si>
  <si>
    <t>思考力・表現力・判断力（実技）</t>
  </si>
  <si>
    <t>知識・技能（定期テスト・漢字テスト・文法理解）</t>
    <rPh sb="6" eb="8">
      <t>テイキ</t>
    </rPh>
    <rPh sb="12" eb="14">
      <t>カンジ</t>
    </rPh>
    <rPh sb="18" eb="20">
      <t>ブンポウ</t>
    </rPh>
    <rPh sb="20" eb="22">
      <t>リカイ</t>
    </rPh>
    <phoneticPr fontId="1"/>
  </si>
  <si>
    <t>思考力・表現力・判断力（定期テスト・リスニングテスト・作文・音読・話し合い活動）</t>
    <rPh sb="27" eb="29">
      <t>サクブン</t>
    </rPh>
    <rPh sb="30" eb="32">
      <t>オンドク</t>
    </rPh>
    <rPh sb="33" eb="34">
      <t>ハナ</t>
    </rPh>
    <rPh sb="35" eb="36">
      <t>ア</t>
    </rPh>
    <rPh sb="37" eb="39">
      <t>カツドウ</t>
    </rPh>
    <phoneticPr fontId="1"/>
  </si>
  <si>
    <t>知識・技能(定期テスト・ワークテスト）</t>
  </si>
  <si>
    <t>思考力・表現力・判断力（スピーチ・リスニング・英作文）</t>
  </si>
  <si>
    <t>主体的に学習に取り組む態度（授業態度・宿題提出率・ミニテスト）</t>
  </si>
  <si>
    <t>※注意※
この欄の名前は変更不可</t>
  </si>
  <si>
    <t>A～C</t>
  </si>
  <si>
    <t>１～５</t>
  </si>
  <si>
    <t>今学期の様子（教科担任から学級担任へ）</t>
  </si>
  <si>
    <t>池田 光之介</t>
  </si>
  <si>
    <t>上原 光</t>
  </si>
  <si>
    <t>大山 実日子</t>
  </si>
  <si>
    <t>窪田 朋子</t>
  </si>
  <si>
    <t>小林 晴嶺</t>
  </si>
  <si>
    <t>大工原 光輝</t>
  </si>
  <si>
    <t>橘 くるみ</t>
  </si>
  <si>
    <t>等々力 悠人</t>
  </si>
  <si>
    <t>中島 麟香</t>
  </si>
  <si>
    <t>新村 亮太</t>
  </si>
  <si>
    <t>伏見 真人</t>
  </si>
  <si>
    <t>松本 誠也</t>
  </si>
  <si>
    <t>蓑 錬太朗</t>
  </si>
  <si>
    <t>宮坂 蓮</t>
  </si>
  <si>
    <t>百瀬 友惺</t>
  </si>
  <si>
    <t>山口 陽生</t>
  </si>
  <si>
    <t>山越 圭</t>
  </si>
  <si>
    <t>山崎 花峰</t>
  </si>
  <si>
    <t>山田 梨乃</t>
  </si>
  <si>
    <t>横井 杏奈</t>
  </si>
  <si>
    <t>吉田 莉彩</t>
  </si>
  <si>
    <t>期末テスト頑張った</t>
    <rPh sb="0" eb="2">
      <t>キマツ</t>
    </rPh>
    <rPh sb="5" eb="7">
      <t>ガンバ</t>
    </rPh>
    <phoneticPr fontId="1"/>
  </si>
  <si>
    <t>テストは受けたが授業への参加はほぼない</t>
    <rPh sb="4" eb="5">
      <t>ウ</t>
    </rPh>
    <rPh sb="8" eb="10">
      <t>ジュギョウ</t>
    </rPh>
    <rPh sb="12" eb="14">
      <t>サンカ</t>
    </rPh>
    <phoneticPr fontId="1"/>
  </si>
  <si>
    <t>知識・技能（発言・定期テスト）</t>
  </si>
  <si>
    <t>思考力・表現力・判断力（発言・定期テスト）</t>
  </si>
  <si>
    <t>授業への取り組みや提出物で向上がみられる。</t>
    <rPh sb="0" eb="2">
      <t>ジュギョウ</t>
    </rPh>
    <rPh sb="4" eb="5">
      <t>ト</t>
    </rPh>
    <rPh sb="6" eb="7">
      <t>ク</t>
    </rPh>
    <rPh sb="9" eb="11">
      <t>テイシュツ</t>
    </rPh>
    <rPh sb="11" eb="12">
      <t>ブツ</t>
    </rPh>
    <rPh sb="13" eb="15">
      <t>コウジョウ</t>
    </rPh>
    <phoneticPr fontId="1"/>
  </si>
  <si>
    <t>1</t>
  </si>
  <si>
    <t>2</t>
  </si>
  <si>
    <t>宿題提出率９２％。ミニ単語テスト正答率９５％。大変真面目に学習に取り組んでいます。</t>
    <rPh sb="0" eb="2">
      <t>シュクダイ</t>
    </rPh>
    <rPh sb="2" eb="4">
      <t>テイシュツ</t>
    </rPh>
    <rPh sb="4" eb="5">
      <t>リツ</t>
    </rPh>
    <rPh sb="23" eb="25">
      <t>タイヘン</t>
    </rPh>
    <rPh sb="25" eb="28">
      <t>マジメ</t>
    </rPh>
    <rPh sb="29" eb="31">
      <t>ガクシュウ</t>
    </rPh>
    <rPh sb="32" eb="33">
      <t>ト</t>
    </rPh>
    <rPh sb="34" eb="35">
      <t>ク</t>
    </rPh>
    <phoneticPr fontId="1"/>
  </si>
  <si>
    <t>宿題提出率８３％。ミニ単語テスト正答率１００％。ペア活動など積極的に課題に取り組めています。</t>
    <rPh sb="0" eb="2">
      <t>シュクダイ</t>
    </rPh>
    <rPh sb="2" eb="4">
      <t>テイシュツ</t>
    </rPh>
    <rPh sb="4" eb="5">
      <t>リツ</t>
    </rPh>
    <rPh sb="26" eb="28">
      <t>カツドウ</t>
    </rPh>
    <rPh sb="30" eb="33">
      <t>セッキョクテキ</t>
    </rPh>
    <rPh sb="34" eb="36">
      <t>カダイ</t>
    </rPh>
    <rPh sb="37" eb="38">
      <t>ト</t>
    </rPh>
    <rPh sb="39" eb="40">
      <t>ク</t>
    </rPh>
    <phoneticPr fontId="1"/>
  </si>
  <si>
    <t>宿題提出率９１％。ミニ単語テスト正答率９５％。真剣に話を聞くことが出来ています。</t>
    <rPh sb="0" eb="2">
      <t>シュクダイ</t>
    </rPh>
    <rPh sb="2" eb="4">
      <t>テイシュツ</t>
    </rPh>
    <rPh sb="4" eb="5">
      <t>リツ</t>
    </rPh>
    <rPh sb="23" eb="25">
      <t>シンケン</t>
    </rPh>
    <rPh sb="26" eb="27">
      <t>ハナシ</t>
    </rPh>
    <rPh sb="28" eb="29">
      <t>キ</t>
    </rPh>
    <rPh sb="33" eb="35">
      <t>デキ</t>
    </rPh>
    <phoneticPr fontId="1"/>
  </si>
  <si>
    <t>宿題提出率１００％。ミニ単語テスト正答率１００％。集中して学習に取り組めています。</t>
    <rPh sb="0" eb="2">
      <t>シュクダイ</t>
    </rPh>
    <rPh sb="2" eb="4">
      <t>テイシュツ</t>
    </rPh>
    <rPh sb="4" eb="5">
      <t>リツ</t>
    </rPh>
    <rPh sb="25" eb="27">
      <t>シュウチュウ</t>
    </rPh>
    <rPh sb="29" eb="31">
      <t>ガクシュウ</t>
    </rPh>
    <rPh sb="32" eb="33">
      <t>ト</t>
    </rPh>
    <rPh sb="34" eb="35">
      <t>ク</t>
    </rPh>
    <phoneticPr fontId="1"/>
  </si>
  <si>
    <t>宿題提出率１００％。ミニ単語テスト正答率１００％。いつも積極的に発言が出来ています。</t>
    <rPh sb="0" eb="2">
      <t>シュクダイ</t>
    </rPh>
    <rPh sb="2" eb="4">
      <t>テイシュツ</t>
    </rPh>
    <rPh sb="4" eb="5">
      <t>リツ</t>
    </rPh>
    <rPh sb="28" eb="31">
      <t>セッキョクテキ</t>
    </rPh>
    <rPh sb="32" eb="34">
      <t>ハツゲン</t>
    </rPh>
    <rPh sb="35" eb="37">
      <t>デキ</t>
    </rPh>
    <phoneticPr fontId="1"/>
  </si>
  <si>
    <t>宿題提出率１００％。ミニ単語テスト正答率１００％。ペア活動など真面目に取り組めています。</t>
    <rPh sb="0" eb="2">
      <t>シュクダイ</t>
    </rPh>
    <rPh sb="2" eb="4">
      <t>テイシュツ</t>
    </rPh>
    <rPh sb="4" eb="5">
      <t>リツ</t>
    </rPh>
    <rPh sb="27" eb="29">
      <t>カツドウ</t>
    </rPh>
    <rPh sb="31" eb="34">
      <t>マジメ</t>
    </rPh>
    <rPh sb="35" eb="36">
      <t>ト</t>
    </rPh>
    <rPh sb="37" eb="38">
      <t>ク</t>
    </rPh>
    <phoneticPr fontId="1"/>
  </si>
  <si>
    <t>宿題提出率１００％。ミニ単語テスト正答率１００％。グループ活動など中心となって行えています。</t>
    <rPh sb="0" eb="2">
      <t>シュクダイ</t>
    </rPh>
    <rPh sb="2" eb="4">
      <t>テイシュツ</t>
    </rPh>
    <rPh sb="4" eb="5">
      <t>リツ</t>
    </rPh>
    <rPh sb="29" eb="31">
      <t>カツドウ</t>
    </rPh>
    <rPh sb="33" eb="35">
      <t>チュウシン</t>
    </rPh>
    <rPh sb="39" eb="40">
      <t>オコナ</t>
    </rPh>
    <phoneticPr fontId="1"/>
  </si>
  <si>
    <t>知識・技能(提出物、演奏聴取、ワークシート、定期テスト)</t>
    <rPh sb="0" eb="2">
      <t>チシキ</t>
    </rPh>
    <rPh sb="3" eb="5">
      <t>ギノウ</t>
    </rPh>
    <rPh sb="6" eb="9">
      <t>テイシュツブツ</t>
    </rPh>
    <rPh sb="10" eb="14">
      <t>エンソウチョウシュ</t>
    </rPh>
    <rPh sb="22" eb="24">
      <t>テイキ</t>
    </rPh>
    <phoneticPr fontId="1"/>
  </si>
  <si>
    <t>思考力・判断力・表現力(提出物、演奏聴取、ワークシート、定期テスト)</t>
    <rPh sb="0" eb="3">
      <t>シコウリョク</t>
    </rPh>
    <rPh sb="4" eb="7">
      <t>ハンダンリョク</t>
    </rPh>
    <rPh sb="8" eb="11">
      <t>ヒョウゲンリョク</t>
    </rPh>
    <rPh sb="12" eb="15">
      <t>テイシュツブツ</t>
    </rPh>
    <rPh sb="16" eb="20">
      <t>エンソウチョウシュ</t>
    </rPh>
    <rPh sb="28" eb="30">
      <t>テイキ</t>
    </rPh>
    <phoneticPr fontId="1"/>
  </si>
  <si>
    <t>主体的に学習に取り組む態度</t>
    <rPh sb="0" eb="3">
      <t>シュタイテキ</t>
    </rPh>
    <rPh sb="4" eb="6">
      <t>ガクシュウ</t>
    </rPh>
    <rPh sb="7" eb="8">
      <t>ト</t>
    </rPh>
    <rPh sb="9" eb="10">
      <t>ク</t>
    </rPh>
    <rPh sb="11" eb="13">
      <t>タイド</t>
    </rPh>
    <phoneticPr fontId="1"/>
  </si>
  <si>
    <t>授業の出席が少なかったです。</t>
    <rPh sb="0" eb="2">
      <t>ジュギョウ</t>
    </rPh>
    <rPh sb="3" eb="5">
      <t>シュッセキ</t>
    </rPh>
    <rPh sb="6" eb="7">
      <t>スク</t>
    </rPh>
    <phoneticPr fontId="1"/>
  </si>
  <si>
    <t>テストの点数が低かったです。</t>
    <rPh sb="4" eb="6">
      <t>テンスウ</t>
    </rPh>
    <rPh sb="7" eb="8">
      <t>ヒク</t>
    </rPh>
    <phoneticPr fontId="1"/>
  </si>
  <si>
    <t>知識・技能（ワークシート・テスト）</t>
    <rPh sb="0" eb="2">
      <t>チシキ</t>
    </rPh>
    <rPh sb="3" eb="5">
      <t>ギノウ</t>
    </rPh>
    <phoneticPr fontId="1"/>
  </si>
  <si>
    <t>思考・判断・表現（作品・テスト・クロッキー）</t>
    <rPh sb="0" eb="2">
      <t>シコウ</t>
    </rPh>
    <rPh sb="3" eb="5">
      <t>ハンダン</t>
    </rPh>
    <rPh sb="6" eb="8">
      <t>ヒョウゲン</t>
    </rPh>
    <rPh sb="9" eb="11">
      <t>サクヒン</t>
    </rPh>
    <phoneticPr fontId="1"/>
  </si>
  <si>
    <t>主体的な態度（振り返りシート・授業態度・提出物・持ち物）</t>
    <rPh sb="0" eb="3">
      <t>シュタイテキ</t>
    </rPh>
    <rPh sb="4" eb="6">
      <t>タイド</t>
    </rPh>
    <rPh sb="7" eb="8">
      <t>フ</t>
    </rPh>
    <rPh sb="9" eb="10">
      <t>カエ</t>
    </rPh>
    <rPh sb="15" eb="19">
      <t>ジュギョウタイド</t>
    </rPh>
    <rPh sb="20" eb="23">
      <t>テイシュツブツ</t>
    </rPh>
    <rPh sb="24" eb="25">
      <t>モ</t>
    </rPh>
    <rPh sb="26" eb="27">
      <t>モノ</t>
    </rPh>
    <phoneticPr fontId="1"/>
  </si>
  <si>
    <t>知識・技能（実技・定期テスト）</t>
    <rPh sb="9" eb="11">
      <t>テイキ</t>
    </rPh>
    <phoneticPr fontId="1"/>
  </si>
  <si>
    <t>-</t>
  </si>
  <si>
    <t>知識・技能(定期テスト・学習ノート・ロボットの製作・動く仕組み・箸袋製作）</t>
    <rPh sb="32" eb="34">
      <t>ハシフクロ</t>
    </rPh>
    <rPh sb="34" eb="36">
      <t>セイサク</t>
    </rPh>
    <phoneticPr fontId="1"/>
  </si>
  <si>
    <t>思考・判断・表現（ロボット製作の工夫・機構学的な考え・GWレポート・授業プリント）</t>
    <rPh sb="34" eb="36">
      <t>ジュギョウ</t>
    </rPh>
    <phoneticPr fontId="1"/>
  </si>
  <si>
    <t>・ロボットの製作で素晴らしい活躍を見せた。半面知識の定着が甘い。（技）</t>
    <rPh sb="6" eb="8">
      <t>セイサク</t>
    </rPh>
    <rPh sb="9" eb="11">
      <t>スバ</t>
    </rPh>
    <rPh sb="14" eb="16">
      <t>カツヤク</t>
    </rPh>
    <rPh sb="17" eb="18">
      <t>ミ</t>
    </rPh>
    <rPh sb="21" eb="23">
      <t>ハンメン</t>
    </rPh>
    <rPh sb="23" eb="25">
      <t>チシキ</t>
    </rPh>
    <rPh sb="26" eb="28">
      <t>テイチャク</t>
    </rPh>
    <rPh sb="29" eb="30">
      <t>アマ</t>
    </rPh>
    <rPh sb="33" eb="34">
      <t>ギ</t>
    </rPh>
    <phoneticPr fontId="1"/>
  </si>
  <si>
    <t>GWレポートは提出していますが、箸袋が未完成で、技家ノートの提出がありませんでした。授業態度が良くなってきているので、残念です。（家庭科）
・授業態度、問題なし、意欲的である。放課後も残ってロボットを製作する姿があった。テスト点あと一歩です。テストに対する欲がない。（技）</t>
    <rPh sb="7" eb="9">
      <t>テイシュツ</t>
    </rPh>
    <rPh sb="16" eb="18">
      <t>ハシフクロ</t>
    </rPh>
    <rPh sb="19" eb="22">
      <t>ミカンセイ</t>
    </rPh>
    <rPh sb="24" eb="26">
      <t>ギカ</t>
    </rPh>
    <rPh sb="30" eb="32">
      <t>テイシュツ</t>
    </rPh>
    <rPh sb="42" eb="46">
      <t>ジュギョウタイド</t>
    </rPh>
    <rPh sb="47" eb="48">
      <t>ヨ</t>
    </rPh>
    <rPh sb="59" eb="61">
      <t>ザンネン</t>
    </rPh>
    <rPh sb="65" eb="68">
      <t>カテイカ</t>
    </rPh>
    <rPh sb="71" eb="73">
      <t>ジュギョウ</t>
    </rPh>
    <rPh sb="73" eb="75">
      <t>タイド</t>
    </rPh>
    <rPh sb="76" eb="78">
      <t>モンダイ</t>
    </rPh>
    <rPh sb="81" eb="84">
      <t>イヨクテキ</t>
    </rPh>
    <rPh sb="88" eb="91">
      <t>ホウカゴ</t>
    </rPh>
    <rPh sb="92" eb="93">
      <t>ノコ</t>
    </rPh>
    <rPh sb="100" eb="102">
      <t>セイサク</t>
    </rPh>
    <rPh sb="104" eb="105">
      <t>スガタ</t>
    </rPh>
    <rPh sb="113" eb="114">
      <t>テン</t>
    </rPh>
    <rPh sb="116" eb="118">
      <t>イッポ</t>
    </rPh>
    <rPh sb="125" eb="126">
      <t>タイ</t>
    </rPh>
    <rPh sb="128" eb="129">
      <t>ヨク</t>
    </rPh>
    <rPh sb="134" eb="135">
      <t>ギ</t>
    </rPh>
    <phoneticPr fontId="1"/>
  </si>
  <si>
    <t>友だちの存在について考える授業「私がピンクのキャップをかぶるわけ」では、試合に出ることができなくなってしまったライバルのMが、主人公の「私」に手紙を書いた理由を「水泳をやめずに頑張ってほしいから」だと考えました。規則について考える授業「二通の手紙」では、動物園の職員の元さんが規則を知っていながら姉弟を園内に入れた理由を「弟の誕生日だったから愛着がわいたから」と考えました。</t>
    <rPh sb="0" eb="1">
      <t>トモ</t>
    </rPh>
    <rPh sb="4" eb="6">
      <t>ソンザイ</t>
    </rPh>
    <rPh sb="10" eb="11">
      <t>カンガ</t>
    </rPh>
    <rPh sb="13" eb="15">
      <t>ジュギョウ</t>
    </rPh>
    <rPh sb="16" eb="17">
      <t>ワタシ</t>
    </rPh>
    <rPh sb="36" eb="38">
      <t>シアイ</t>
    </rPh>
    <rPh sb="39" eb="40">
      <t>デ</t>
    </rPh>
    <rPh sb="63" eb="66">
      <t>シュジンコウ</t>
    </rPh>
    <rPh sb="68" eb="69">
      <t>ワタシ</t>
    </rPh>
    <rPh sb="71" eb="73">
      <t>テガミ</t>
    </rPh>
    <rPh sb="74" eb="75">
      <t>カ</t>
    </rPh>
    <rPh sb="77" eb="79">
      <t>リユウ</t>
    </rPh>
    <rPh sb="81" eb="83">
      <t>スイエイ</t>
    </rPh>
    <rPh sb="88" eb="90">
      <t>ガンバ</t>
    </rPh>
    <rPh sb="100" eb="101">
      <t>カンガ</t>
    </rPh>
    <rPh sb="106" eb="108">
      <t>キソク</t>
    </rPh>
    <rPh sb="112" eb="113">
      <t>カンガ</t>
    </rPh>
    <rPh sb="115" eb="117">
      <t>ジュギョウ</t>
    </rPh>
    <rPh sb="118" eb="120">
      <t>ニツウ</t>
    </rPh>
    <rPh sb="121" eb="123">
      <t>テガミ</t>
    </rPh>
    <rPh sb="127" eb="130">
      <t>ドウブツエン</t>
    </rPh>
    <rPh sb="131" eb="133">
      <t>ショクイン</t>
    </rPh>
    <rPh sb="134" eb="135">
      <t>ゲン</t>
    </rPh>
    <rPh sb="138" eb="140">
      <t>キソク</t>
    </rPh>
    <rPh sb="141" eb="142">
      <t>シ</t>
    </rPh>
    <rPh sb="148" eb="149">
      <t>アネ</t>
    </rPh>
    <rPh sb="149" eb="150">
      <t>オトウト</t>
    </rPh>
    <rPh sb="151" eb="153">
      <t>エンナイ</t>
    </rPh>
    <rPh sb="154" eb="155">
      <t>イ</t>
    </rPh>
    <rPh sb="157" eb="159">
      <t>リユウ</t>
    </rPh>
    <rPh sb="161" eb="162">
      <t>オトウト</t>
    </rPh>
    <rPh sb="163" eb="166">
      <t>タンジョウビ</t>
    </rPh>
    <rPh sb="171" eb="173">
      <t>アイチャク</t>
    </rPh>
    <rPh sb="181" eb="182">
      <t>カンガ</t>
    </rPh>
    <phoneticPr fontId="17"/>
  </si>
  <si>
    <t>規則について考える授業「二通の手紙」では、「規則は何のためにあるのだろう」という問いに対し、「それがなければその規則を設けている場所が回らなくなるかもしれない」、「入場券の販売終了の規則は色々と難しいことがからんで存在しているから安易に破っていいものではない」、「（規則を破るという）判断で迷惑だと感じる人がいる」と考えました。グループ活動等を通し、テーマに沿った考えを持つことができました。</t>
    <rPh sb="0" eb="2">
      <t>キソク</t>
    </rPh>
    <rPh sb="6" eb="7">
      <t>カンガ</t>
    </rPh>
    <rPh sb="9" eb="11">
      <t>ジュギョウ</t>
    </rPh>
    <rPh sb="12" eb="14">
      <t>ニツウ</t>
    </rPh>
    <rPh sb="15" eb="17">
      <t>テガミ</t>
    </rPh>
    <rPh sb="22" eb="24">
      <t>キソク</t>
    </rPh>
    <rPh sb="25" eb="26">
      <t>ナン</t>
    </rPh>
    <rPh sb="40" eb="41">
      <t>ト</t>
    </rPh>
    <rPh sb="43" eb="44">
      <t>タイ</t>
    </rPh>
    <rPh sb="56" eb="58">
      <t>キソク</t>
    </rPh>
    <rPh sb="59" eb="60">
      <t>モウ</t>
    </rPh>
    <rPh sb="64" eb="66">
      <t>バショ</t>
    </rPh>
    <rPh sb="67" eb="68">
      <t>マワ</t>
    </rPh>
    <rPh sb="82" eb="85">
      <t>ニュウジョウケン</t>
    </rPh>
    <rPh sb="86" eb="88">
      <t>ハンバイ</t>
    </rPh>
    <rPh sb="88" eb="90">
      <t>シュウリョウ</t>
    </rPh>
    <rPh sb="91" eb="93">
      <t>キソク</t>
    </rPh>
    <rPh sb="94" eb="96">
      <t>イロイロ</t>
    </rPh>
    <rPh sb="97" eb="98">
      <t>ムズカ</t>
    </rPh>
    <rPh sb="107" eb="109">
      <t>ソンザイ</t>
    </rPh>
    <rPh sb="115" eb="117">
      <t>アンイ</t>
    </rPh>
    <rPh sb="118" eb="119">
      <t>ヤブ</t>
    </rPh>
    <rPh sb="133" eb="135">
      <t>キソク</t>
    </rPh>
    <rPh sb="136" eb="137">
      <t>ヤブ</t>
    </rPh>
    <rPh sb="142" eb="144">
      <t>ハンダン</t>
    </rPh>
    <rPh sb="145" eb="147">
      <t>メイワク</t>
    </rPh>
    <rPh sb="149" eb="150">
      <t>カン</t>
    </rPh>
    <rPh sb="152" eb="153">
      <t>ヒト</t>
    </rPh>
    <rPh sb="158" eb="159">
      <t>カンガ</t>
    </rPh>
    <rPh sb="179" eb="180">
      <t>ソ</t>
    </rPh>
    <rPh sb="182" eb="183">
      <t>カンガ</t>
    </rPh>
    <rPh sb="185" eb="186">
      <t>モ</t>
    </rPh>
    <phoneticPr fontId="17"/>
  </si>
  <si>
    <t>規則について考える授業「二通の手紙」では、動物園職員の元さんが規則を知りながら姉弟を園内に入れた理由を「いつも2人で動物園をのぞいていて、入りたいという気持ちを察したから」、「何か事情があって親と一緒に来られないけれど、弟の誕生日に見せてあげたいという姉の気持ちを汲んだから」と考えました。「規則は何のためにあるのだろう」という問いに対しては、「周囲に迷惑をかけないため」等、複数の考えを持ちました。</t>
    <rPh sb="0" eb="2">
      <t>キソク</t>
    </rPh>
    <rPh sb="6" eb="7">
      <t>カンガ</t>
    </rPh>
    <rPh sb="9" eb="11">
      <t>ジュギョウ</t>
    </rPh>
    <rPh sb="12" eb="14">
      <t>ニツウ</t>
    </rPh>
    <rPh sb="15" eb="17">
      <t>テガミ</t>
    </rPh>
    <rPh sb="21" eb="24">
      <t>ドウブツエン</t>
    </rPh>
    <rPh sb="24" eb="26">
      <t>ショクイン</t>
    </rPh>
    <rPh sb="27" eb="28">
      <t>ゲン</t>
    </rPh>
    <rPh sb="31" eb="33">
      <t>キソク</t>
    </rPh>
    <rPh sb="34" eb="35">
      <t>シ</t>
    </rPh>
    <rPh sb="39" eb="40">
      <t>アネ</t>
    </rPh>
    <rPh sb="40" eb="41">
      <t>オトウト</t>
    </rPh>
    <rPh sb="42" eb="44">
      <t>エンナイ</t>
    </rPh>
    <rPh sb="45" eb="46">
      <t>イ</t>
    </rPh>
    <rPh sb="48" eb="50">
      <t>リユウ</t>
    </rPh>
    <rPh sb="55" eb="57">
      <t>フタリ</t>
    </rPh>
    <rPh sb="58" eb="61">
      <t>ドウブツエン</t>
    </rPh>
    <rPh sb="69" eb="70">
      <t>ハイ</t>
    </rPh>
    <rPh sb="76" eb="78">
      <t>キモ</t>
    </rPh>
    <rPh sb="80" eb="81">
      <t>サッ</t>
    </rPh>
    <rPh sb="88" eb="89">
      <t>ナニ</t>
    </rPh>
    <rPh sb="90" eb="92">
      <t>ジジョウ</t>
    </rPh>
    <rPh sb="96" eb="97">
      <t>オヤ</t>
    </rPh>
    <rPh sb="98" eb="100">
      <t>イッショ</t>
    </rPh>
    <rPh sb="101" eb="102">
      <t>コ</t>
    </rPh>
    <rPh sb="110" eb="111">
      <t>オトウト</t>
    </rPh>
    <rPh sb="112" eb="115">
      <t>タンジョウビ</t>
    </rPh>
    <rPh sb="116" eb="117">
      <t>ミ</t>
    </rPh>
    <rPh sb="126" eb="127">
      <t>アネ</t>
    </rPh>
    <rPh sb="128" eb="130">
      <t>キモ</t>
    </rPh>
    <rPh sb="132" eb="133">
      <t>ク</t>
    </rPh>
    <rPh sb="139" eb="140">
      <t>カンガ</t>
    </rPh>
    <phoneticPr fontId="17"/>
  </si>
  <si>
    <t>規則について考える授業「二通の手紙」では、動物園の職員の元さんが規則を知っていながら姉弟を園内に入れた理由を「泣き出しそうな姉弟がかわいそうに見えたから」、「特に大きな問題にはならないだろうと思っていたから」、「良いことをしていると思った」と考えました。「規則は何のためにあるのだろう」という問いに対しては、「問題が起こらないようにするため」等、複数の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6">
      <t>ナ</t>
    </rPh>
    <rPh sb="57" eb="58">
      <t>ダ</t>
    </rPh>
    <rPh sb="62" eb="63">
      <t>アネ</t>
    </rPh>
    <rPh sb="63" eb="64">
      <t>オトウト</t>
    </rPh>
    <rPh sb="71" eb="72">
      <t>ミ</t>
    </rPh>
    <rPh sb="79" eb="80">
      <t>トク</t>
    </rPh>
    <rPh sb="81" eb="82">
      <t>オオ</t>
    </rPh>
    <rPh sb="84" eb="86">
      <t>モンダイ</t>
    </rPh>
    <rPh sb="96" eb="97">
      <t>オモ</t>
    </rPh>
    <rPh sb="106" eb="107">
      <t>ヨ</t>
    </rPh>
    <rPh sb="116" eb="117">
      <t>オモ</t>
    </rPh>
    <rPh sb="121" eb="122">
      <t>カンガ</t>
    </rPh>
    <rPh sb="155" eb="157">
      <t>モンダイ</t>
    </rPh>
    <rPh sb="158" eb="159">
      <t>オ</t>
    </rPh>
    <phoneticPr fontId="17"/>
  </si>
  <si>
    <t>友だちの存在について考える授業「私がピンクのキャップをかぶるわけ」では、試合に出られなくなったライバルのMが、主人公の「私」に手紙を書いた理由を「もっと試合に出たかったという気持ち」だと考えました。また、「私」はどうしてＭのことを「大切な友だった」と言えるのだろうという問いに対し「本気で競いあった仲だったから」と考えました。グループ活動等を通し、友だちの存在について深めることができました。</t>
    <rPh sb="76" eb="78">
      <t>シアイ</t>
    </rPh>
    <rPh sb="79" eb="80">
      <t>デ</t>
    </rPh>
    <rPh sb="87" eb="89">
      <t>キモ</t>
    </rPh>
    <rPh sb="93" eb="94">
      <t>カンガ</t>
    </rPh>
    <rPh sb="103" eb="104">
      <t>ワタシ</t>
    </rPh>
    <rPh sb="116" eb="118">
      <t>タイセツ</t>
    </rPh>
    <rPh sb="119" eb="120">
      <t>トモ</t>
    </rPh>
    <rPh sb="125" eb="126">
      <t>イ</t>
    </rPh>
    <rPh sb="135" eb="136">
      <t>ト</t>
    </rPh>
    <rPh sb="138" eb="139">
      <t>タイ</t>
    </rPh>
    <rPh sb="141" eb="143">
      <t>ホンキ</t>
    </rPh>
    <rPh sb="144" eb="145">
      <t>キソ</t>
    </rPh>
    <rPh sb="149" eb="150">
      <t>ナカ</t>
    </rPh>
    <rPh sb="157" eb="158">
      <t>カンガ</t>
    </rPh>
    <rPh sb="167" eb="169">
      <t>カツドウ</t>
    </rPh>
    <rPh sb="169" eb="170">
      <t>トウ</t>
    </rPh>
    <rPh sb="171" eb="172">
      <t>トオ</t>
    </rPh>
    <rPh sb="174" eb="175">
      <t>トモ</t>
    </rPh>
    <rPh sb="178" eb="180">
      <t>ソンザイ</t>
    </rPh>
    <rPh sb="184" eb="185">
      <t>フカ</t>
    </rPh>
    <phoneticPr fontId="17"/>
  </si>
  <si>
    <t>規則について考える授業「二通の手紙」では、動物園の職員の元さんが規則を知っていながら姉弟を園内に入れた理由を「弟の誕生日であるからお願いしますと強く頼まれた」、「何日も2人が園内をのぞいているのを見ていたから」と考えました。「規則は何のためにあるのだろう」という問いに対しては、「公平にするため」、「周囲に迷惑をかけないため」、「色々な人が快適に過ごすため」等、複数の考えを持ちました。</t>
    <rPh sb="0" eb="2">
      <t>キソク</t>
    </rPh>
    <rPh sb="5" eb="6">
      <t>カンガ</t>
    </rPh>
    <rPh sb="8" eb="10">
      <t>ジュギョウ</t>
    </rPh>
    <rPh sb="11" eb="13">
      <t>ニツウ</t>
    </rPh>
    <rPh sb="14" eb="16">
      <t>テガミ</t>
    </rPh>
    <rPh sb="20" eb="23">
      <t>ドウブツエン</t>
    </rPh>
    <rPh sb="24" eb="26">
      <t>ショクイン</t>
    </rPh>
    <rPh sb="27" eb="28">
      <t>ゲン</t>
    </rPh>
    <rPh sb="31" eb="33">
      <t>キソク</t>
    </rPh>
    <rPh sb="34" eb="35">
      <t>シ</t>
    </rPh>
    <rPh sb="41" eb="42">
      <t>アネ</t>
    </rPh>
    <rPh sb="42" eb="43">
      <t>オトウト</t>
    </rPh>
    <rPh sb="44" eb="46">
      <t>エンナイ</t>
    </rPh>
    <rPh sb="47" eb="48">
      <t>イ</t>
    </rPh>
    <rPh sb="50" eb="52">
      <t>リユウ</t>
    </rPh>
    <rPh sb="54" eb="55">
      <t>ナ</t>
    </rPh>
    <rPh sb="55" eb="56">
      <t>オトウト</t>
    </rPh>
    <rPh sb="57" eb="60">
      <t>タンジョウビ</t>
    </rPh>
    <rPh sb="66" eb="67">
      <t>ネガ</t>
    </rPh>
    <rPh sb="72" eb="73">
      <t>ツヨ</t>
    </rPh>
    <rPh sb="74" eb="75">
      <t>タノ</t>
    </rPh>
    <rPh sb="81" eb="83">
      <t>ナンニチ</t>
    </rPh>
    <rPh sb="84" eb="86">
      <t>フタリ</t>
    </rPh>
    <rPh sb="87" eb="89">
      <t>エンナイ</t>
    </rPh>
    <rPh sb="98" eb="99">
      <t>ミ</t>
    </rPh>
    <rPh sb="106" eb="107">
      <t>カンガ</t>
    </rPh>
    <rPh sb="150" eb="152">
      <t>シュウイ</t>
    </rPh>
    <rPh sb="153" eb="155">
      <t>メイワク</t>
    </rPh>
    <rPh sb="165" eb="167">
      <t>イロイロ</t>
    </rPh>
    <rPh sb="168" eb="169">
      <t>ヒト</t>
    </rPh>
    <rPh sb="170" eb="172">
      <t>カイテキ</t>
    </rPh>
    <rPh sb="173" eb="174">
      <t>ス</t>
    </rPh>
    <phoneticPr fontId="17"/>
  </si>
  <si>
    <t>規則について考える授業「二通の手紙」では、動物園の職員の元さんが規則を知っていながら姉弟を園内に入れた理由を「姉弟が動物園に入りたい理由を聞き、思いが伝わったから」、「いつもと違い入園料を持っていたから」と考えました。「規則は何のためにあるのだろう」という問いに対しては、「みんなの安全を守るため」、「守るべきもの」だという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6">
      <t>アネ</t>
    </rPh>
    <rPh sb="56" eb="57">
      <t>オトウト</t>
    </rPh>
    <rPh sb="58" eb="61">
      <t>ドウブツエン</t>
    </rPh>
    <rPh sb="62" eb="63">
      <t>ハイ</t>
    </rPh>
    <rPh sb="66" eb="68">
      <t>リユウ</t>
    </rPh>
    <rPh sb="69" eb="70">
      <t>キ</t>
    </rPh>
    <rPh sb="72" eb="73">
      <t>オモ</t>
    </rPh>
    <rPh sb="75" eb="76">
      <t>ツタ</t>
    </rPh>
    <rPh sb="88" eb="89">
      <t>チガ</t>
    </rPh>
    <rPh sb="90" eb="93">
      <t>ニュウエンリョウ</t>
    </rPh>
    <rPh sb="94" eb="95">
      <t>モ</t>
    </rPh>
    <rPh sb="103" eb="104">
      <t>カンガ</t>
    </rPh>
    <rPh sb="141" eb="143">
      <t>アンゼン</t>
    </rPh>
    <rPh sb="144" eb="145">
      <t>マモ</t>
    </rPh>
    <rPh sb="151" eb="152">
      <t>マモ</t>
    </rPh>
    <phoneticPr fontId="17"/>
  </si>
  <si>
    <t>規則について考える授業「二通の手紙」では、動物園職員の元さんが規則を知りながら姉弟を園内に入れた理由を「姉弟から中に入りたいという感情が伝わってきたから」、「かわいそうだったから」と考えました。「規則は何のためにあるのだろう」という問いに対しては、「皆が安全に過ごせるようにするため」、「周囲に迷惑をかけないようにするため」等、複数の考えを持ちました。</t>
    <rPh sb="0" eb="2">
      <t>キソク</t>
    </rPh>
    <rPh sb="6" eb="7">
      <t>カンガ</t>
    </rPh>
    <rPh sb="9" eb="11">
      <t>ジュギョウ</t>
    </rPh>
    <rPh sb="12" eb="14">
      <t>ニツウ</t>
    </rPh>
    <rPh sb="15" eb="17">
      <t>テガミ</t>
    </rPh>
    <rPh sb="21" eb="24">
      <t>ドウブツエン</t>
    </rPh>
    <rPh sb="24" eb="26">
      <t>ショクイン</t>
    </rPh>
    <rPh sb="27" eb="28">
      <t>ゲン</t>
    </rPh>
    <rPh sb="31" eb="33">
      <t>キソク</t>
    </rPh>
    <rPh sb="34" eb="35">
      <t>シ</t>
    </rPh>
    <rPh sb="39" eb="40">
      <t>アネ</t>
    </rPh>
    <rPh sb="40" eb="41">
      <t>オトウト</t>
    </rPh>
    <rPh sb="42" eb="44">
      <t>エンナイ</t>
    </rPh>
    <rPh sb="45" eb="46">
      <t>イ</t>
    </rPh>
    <rPh sb="48" eb="50">
      <t>リユウ</t>
    </rPh>
    <rPh sb="52" eb="54">
      <t>アネオトウト</t>
    </rPh>
    <rPh sb="56" eb="57">
      <t>ナカ</t>
    </rPh>
    <rPh sb="58" eb="59">
      <t>ハイ</t>
    </rPh>
    <rPh sb="65" eb="67">
      <t>カンジョウ</t>
    </rPh>
    <rPh sb="68" eb="69">
      <t>ツタ</t>
    </rPh>
    <rPh sb="91" eb="92">
      <t>カンガ</t>
    </rPh>
    <rPh sb="125" eb="126">
      <t>ミナ</t>
    </rPh>
    <rPh sb="127" eb="129">
      <t>アンゼン</t>
    </rPh>
    <rPh sb="130" eb="131">
      <t>ス</t>
    </rPh>
    <rPh sb="144" eb="146">
      <t>シュウイ</t>
    </rPh>
    <rPh sb="147" eb="149">
      <t>メイワク</t>
    </rPh>
    <phoneticPr fontId="17"/>
  </si>
  <si>
    <t>規則について考える授業「二通の手紙」では、動物園の職員の元さんが規則を知りながら姉弟を園内に入れた理由を「弟の誕生日のために動物園に連れてきて、事情があると察し、気の毒だと感じたから」と考えました。「規則は何のためにあるのだろう」という問いに対しては、「他人に迷惑をかけたり、危険なことにならないようにするためにある」という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0" eb="41">
      <t>アネ</t>
    </rPh>
    <rPh sb="41" eb="42">
      <t>オトウト</t>
    </rPh>
    <rPh sb="43" eb="45">
      <t>エンナイ</t>
    </rPh>
    <rPh sb="46" eb="47">
      <t>イ</t>
    </rPh>
    <rPh sb="49" eb="51">
      <t>リユウ</t>
    </rPh>
    <rPh sb="53" eb="54">
      <t>オトウト</t>
    </rPh>
    <rPh sb="55" eb="58">
      <t>タンジョウビ</t>
    </rPh>
    <rPh sb="62" eb="65">
      <t>ドウブツエン</t>
    </rPh>
    <rPh sb="66" eb="67">
      <t>ツ</t>
    </rPh>
    <rPh sb="72" eb="74">
      <t>ジジョウ</t>
    </rPh>
    <rPh sb="78" eb="79">
      <t>サッ</t>
    </rPh>
    <rPh sb="81" eb="82">
      <t>キ</t>
    </rPh>
    <rPh sb="83" eb="84">
      <t>ドク</t>
    </rPh>
    <rPh sb="86" eb="87">
      <t>カン</t>
    </rPh>
    <rPh sb="93" eb="94">
      <t>カンガ</t>
    </rPh>
    <rPh sb="127" eb="129">
      <t>タニン</t>
    </rPh>
    <rPh sb="130" eb="132">
      <t>メイワク</t>
    </rPh>
    <rPh sb="138" eb="140">
      <t>キケン</t>
    </rPh>
    <phoneticPr fontId="17"/>
  </si>
  <si>
    <t>友だちの存在について考える授業「私がピンクのキャップをかぶるわけ」では、試合に出られなくなったライバルのMが、主人公の「私」に手紙を書いた理由を「私への期待」や「水泳ができなくなって悔しい気持ち」があったと考えました。規則について考える授業「二通の手紙」では、動物園の職員の元さんが規則を知っていながら姉弟を園内に入れた理由を「誕生日だから明日ではだめなのだ」という気持ちがあったと考えました。</t>
    <rPh sb="81" eb="83">
      <t>スイエイ</t>
    </rPh>
    <rPh sb="91" eb="92">
      <t>クヤ</t>
    </rPh>
    <rPh sb="94" eb="96">
      <t>キモ</t>
    </rPh>
    <rPh sb="103" eb="104">
      <t>カンガ</t>
    </rPh>
    <rPh sb="109" eb="111">
      <t>キソク</t>
    </rPh>
    <rPh sb="115" eb="116">
      <t>カンガ</t>
    </rPh>
    <rPh sb="118" eb="120">
      <t>ジュギョウ</t>
    </rPh>
    <rPh sb="121" eb="123">
      <t>ニツウ</t>
    </rPh>
    <rPh sb="124" eb="126">
      <t>テガミ</t>
    </rPh>
    <rPh sb="130" eb="133">
      <t>ドウブツエン</t>
    </rPh>
    <rPh sb="134" eb="136">
      <t>ショクイン</t>
    </rPh>
    <rPh sb="137" eb="138">
      <t>ゲン</t>
    </rPh>
    <rPh sb="141" eb="143">
      <t>キソク</t>
    </rPh>
    <rPh sb="144" eb="145">
      <t>シ</t>
    </rPh>
    <rPh sb="151" eb="152">
      <t>アネ</t>
    </rPh>
    <rPh sb="152" eb="153">
      <t>オトウト</t>
    </rPh>
    <rPh sb="154" eb="156">
      <t>エンナイ</t>
    </rPh>
    <rPh sb="157" eb="158">
      <t>イ</t>
    </rPh>
    <rPh sb="160" eb="162">
      <t>リユウ</t>
    </rPh>
    <rPh sb="164" eb="167">
      <t>タンジョウビ</t>
    </rPh>
    <rPh sb="170" eb="172">
      <t>アシタ</t>
    </rPh>
    <rPh sb="183" eb="185">
      <t>キモ</t>
    </rPh>
    <rPh sb="191" eb="192">
      <t>カンガ</t>
    </rPh>
    <phoneticPr fontId="17"/>
  </si>
  <si>
    <t>規則について考える授業「二通の手紙」では、動物園の職員の元さんが規則を知っていながら姉弟を園内に入れた理由を「姉弟がかわいそうだと思ったから」、「少しくらいならいいと思ってしまったから」と考えました。「規則は何のためにあるのだろう」という問いに対しては、「規則はその人たちの安全を守るため」、「周囲に迷惑をかけないようにするため」等、複数の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6">
      <t>アネ</t>
    </rPh>
    <rPh sb="56" eb="57">
      <t>オトウト</t>
    </rPh>
    <rPh sb="65" eb="66">
      <t>オモ</t>
    </rPh>
    <rPh sb="73" eb="74">
      <t>スコ</t>
    </rPh>
    <rPh sb="83" eb="84">
      <t>オモ</t>
    </rPh>
    <rPh sb="94" eb="95">
      <t>カンガ</t>
    </rPh>
    <rPh sb="128" eb="130">
      <t>キソク</t>
    </rPh>
    <rPh sb="133" eb="134">
      <t>ヒト</t>
    </rPh>
    <rPh sb="137" eb="139">
      <t>アンゼン</t>
    </rPh>
    <rPh sb="140" eb="141">
      <t>マモ</t>
    </rPh>
    <phoneticPr fontId="17"/>
  </si>
  <si>
    <t>規則について考える授業「二通の手紙」では、動物園の職員の元さんが規則を知りながら姉弟を園内に入れた理由を「弟の誕生日なのに、子どもだけで来るのは何かあるのかと察し、かわいそうだったから」と考えました。「規則は何のためにあるのだろう」という問いに対しては、「規則とは守らないと危なかったり誰かの迷惑だったりするから」等、複数の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0" eb="41">
      <t>アネ</t>
    </rPh>
    <rPh sb="41" eb="42">
      <t>オトウト</t>
    </rPh>
    <rPh sb="43" eb="45">
      <t>エンナイ</t>
    </rPh>
    <rPh sb="46" eb="47">
      <t>イ</t>
    </rPh>
    <rPh sb="49" eb="51">
      <t>リユウ</t>
    </rPh>
    <rPh sb="53" eb="54">
      <t>オトウト</t>
    </rPh>
    <rPh sb="55" eb="58">
      <t>タンジョウビ</t>
    </rPh>
    <rPh sb="62" eb="63">
      <t>コ</t>
    </rPh>
    <rPh sb="68" eb="69">
      <t>ク</t>
    </rPh>
    <rPh sb="72" eb="73">
      <t>ナニ</t>
    </rPh>
    <rPh sb="79" eb="80">
      <t>サッ</t>
    </rPh>
    <rPh sb="94" eb="95">
      <t>カンガ</t>
    </rPh>
    <rPh sb="128" eb="130">
      <t>キソク</t>
    </rPh>
    <rPh sb="132" eb="133">
      <t>マモ</t>
    </rPh>
    <rPh sb="137" eb="138">
      <t>アブ</t>
    </rPh>
    <rPh sb="143" eb="144">
      <t>ダレ</t>
    </rPh>
    <rPh sb="146" eb="148">
      <t>メイワク</t>
    </rPh>
    <phoneticPr fontId="17"/>
  </si>
  <si>
    <t>規則について考える授業「二通の手紙」では、動物園の職員の元さんが規則を知っていながら姉弟を園内に入れた理由を「今まで外で見ていた子が初めて動物園の中まで入ってくれたから」と考えました。「規則は何のためにあるのだろう」という問いに対しては、「人を守るため」、「物事に制限をかけるため」と考えました。グループ活動等を通し、テーマに沿った考えを持つことができ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6">
      <t>イマ</t>
    </rPh>
    <rPh sb="58" eb="59">
      <t>ソト</t>
    </rPh>
    <rPh sb="60" eb="61">
      <t>ミ</t>
    </rPh>
    <rPh sb="64" eb="65">
      <t>コ</t>
    </rPh>
    <rPh sb="66" eb="67">
      <t>ハジ</t>
    </rPh>
    <rPh sb="69" eb="72">
      <t>ドウブツエン</t>
    </rPh>
    <rPh sb="73" eb="74">
      <t>ナカ</t>
    </rPh>
    <rPh sb="76" eb="77">
      <t>ハイ</t>
    </rPh>
    <rPh sb="86" eb="87">
      <t>カンガ</t>
    </rPh>
    <rPh sb="120" eb="121">
      <t>ヒト</t>
    </rPh>
    <rPh sb="122" eb="123">
      <t>マモ</t>
    </rPh>
    <rPh sb="129" eb="130">
      <t>モノ</t>
    </rPh>
    <rPh sb="130" eb="131">
      <t>コト</t>
    </rPh>
    <rPh sb="132" eb="134">
      <t>セイゲン</t>
    </rPh>
    <phoneticPr fontId="17"/>
  </si>
  <si>
    <t>規則について考える授業「二通の手紙」では、動物園の職員の元さんが規則を知っていながら姉弟を園内に入れた理由を「2人の子どもが毎日柵の所に身を乗り出して園内をのぞいて、今日こそは入れるのだという気持ちに応えたかったから」と考えました。「規則は何のためにあるのだろう」という問いに対しては、「皆が安全に過ごせるようにするためのもの」だと考え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7">
      <t>フタリ</t>
    </rPh>
    <rPh sb="58" eb="59">
      <t>コ</t>
    </rPh>
    <rPh sb="62" eb="64">
      <t>マイニチ</t>
    </rPh>
    <rPh sb="64" eb="65">
      <t>サク</t>
    </rPh>
    <rPh sb="66" eb="67">
      <t>トコロ</t>
    </rPh>
    <rPh sb="68" eb="69">
      <t>ミ</t>
    </rPh>
    <rPh sb="70" eb="71">
      <t>ノ</t>
    </rPh>
    <rPh sb="72" eb="73">
      <t>ダ</t>
    </rPh>
    <rPh sb="75" eb="77">
      <t>エンナイ</t>
    </rPh>
    <rPh sb="83" eb="85">
      <t>キョウ</t>
    </rPh>
    <rPh sb="88" eb="89">
      <t>ハイ</t>
    </rPh>
    <rPh sb="96" eb="98">
      <t>キモ</t>
    </rPh>
    <rPh sb="110" eb="111">
      <t>カンガ</t>
    </rPh>
    <rPh sb="144" eb="145">
      <t>ミナ</t>
    </rPh>
    <rPh sb="146" eb="148">
      <t>アンゼン</t>
    </rPh>
    <rPh sb="149" eb="150">
      <t>ス</t>
    </rPh>
    <phoneticPr fontId="17"/>
  </si>
  <si>
    <t>規則について考える授業「二通の手紙」では、動物園職員の元さんが規則を知っていながら姉弟を園内に入れた理由を「姉弟がいつも来ているから、中に入れてあげたい」、「2人が今にも泣き出しそうだから安心させたい」、「注意することは伝えたから大丈夫だと思ったから」と考えました。「規則は何のためにあるのだろう」という問いに対しては、「自分も周りの人も安心して生活できるようにするため」等、複数の考えを持ちました。</t>
    <rPh sb="0" eb="2">
      <t>キソク</t>
    </rPh>
    <rPh sb="6" eb="7">
      <t>カンガ</t>
    </rPh>
    <rPh sb="9" eb="11">
      <t>ジュギョウ</t>
    </rPh>
    <rPh sb="12" eb="14">
      <t>ニツウ</t>
    </rPh>
    <rPh sb="15" eb="17">
      <t>テガミ</t>
    </rPh>
    <rPh sb="21" eb="24">
      <t>ドウブツエン</t>
    </rPh>
    <rPh sb="24" eb="26">
      <t>ショクイン</t>
    </rPh>
    <rPh sb="27" eb="28">
      <t>ゲン</t>
    </rPh>
    <rPh sb="31" eb="33">
      <t>キソク</t>
    </rPh>
    <rPh sb="34" eb="35">
      <t>シ</t>
    </rPh>
    <rPh sb="41" eb="42">
      <t>アネ</t>
    </rPh>
    <rPh sb="42" eb="43">
      <t>オトウト</t>
    </rPh>
    <rPh sb="44" eb="46">
      <t>エンナイ</t>
    </rPh>
    <rPh sb="47" eb="48">
      <t>イ</t>
    </rPh>
    <rPh sb="50" eb="52">
      <t>リユウ</t>
    </rPh>
    <rPh sb="54" eb="55">
      <t>アネ</t>
    </rPh>
    <rPh sb="55" eb="56">
      <t>オトウト</t>
    </rPh>
    <rPh sb="60" eb="61">
      <t>キ</t>
    </rPh>
    <rPh sb="67" eb="68">
      <t>ナカ</t>
    </rPh>
    <rPh sb="69" eb="70">
      <t>イ</t>
    </rPh>
    <rPh sb="79" eb="81">
      <t>フタリ</t>
    </rPh>
    <rPh sb="82" eb="83">
      <t>イマ</t>
    </rPh>
    <rPh sb="85" eb="86">
      <t>ナ</t>
    </rPh>
    <rPh sb="87" eb="88">
      <t>ダ</t>
    </rPh>
    <rPh sb="94" eb="96">
      <t>アンシン</t>
    </rPh>
    <rPh sb="103" eb="105">
      <t>チュウイ</t>
    </rPh>
    <rPh sb="110" eb="111">
      <t>ツタ</t>
    </rPh>
    <rPh sb="115" eb="118">
      <t>ダイジョウブ</t>
    </rPh>
    <rPh sb="120" eb="121">
      <t>オモ</t>
    </rPh>
    <rPh sb="127" eb="128">
      <t>カンガ</t>
    </rPh>
    <rPh sb="161" eb="163">
      <t>ジブン</t>
    </rPh>
    <rPh sb="164" eb="165">
      <t>マワ</t>
    </rPh>
    <rPh sb="167" eb="168">
      <t>ヒト</t>
    </rPh>
    <rPh sb="169" eb="171">
      <t>アンシン</t>
    </rPh>
    <rPh sb="173" eb="175">
      <t>セイカツ</t>
    </rPh>
    <phoneticPr fontId="17"/>
  </si>
  <si>
    <t>規則について考える授業「二通の手紙」では、動物園職員の元さんが規則を知っていながら姉弟を園内に入れた理由を「姉弟の夢を壊したくなかったから」、「毎日柵の所で見ていて、やっと園の中に入れるようになったのに、入ろうと思ったら、閉園ギリギリで入れなくなるのはかわいそうだったから」と考えました。「規則は何のためにあるのだろう」という問いに対しては、「周りの迷惑にならないように」等、複数の考えを持ちました。</t>
    <rPh sb="0" eb="2">
      <t>キソク</t>
    </rPh>
    <rPh sb="6" eb="7">
      <t>カンガ</t>
    </rPh>
    <rPh sb="9" eb="11">
      <t>ジュギョウ</t>
    </rPh>
    <rPh sb="12" eb="14">
      <t>ニツウ</t>
    </rPh>
    <rPh sb="15" eb="17">
      <t>テガミ</t>
    </rPh>
    <rPh sb="21" eb="24">
      <t>ドウブツエン</t>
    </rPh>
    <rPh sb="24" eb="26">
      <t>ショクイン</t>
    </rPh>
    <rPh sb="27" eb="28">
      <t>ゲン</t>
    </rPh>
    <rPh sb="31" eb="33">
      <t>キソク</t>
    </rPh>
    <rPh sb="34" eb="35">
      <t>シ</t>
    </rPh>
    <rPh sb="41" eb="42">
      <t>アネ</t>
    </rPh>
    <rPh sb="42" eb="43">
      <t>オトウト</t>
    </rPh>
    <rPh sb="44" eb="46">
      <t>エンナイ</t>
    </rPh>
    <rPh sb="47" eb="48">
      <t>イ</t>
    </rPh>
    <rPh sb="50" eb="52">
      <t>リユウ</t>
    </rPh>
    <rPh sb="72" eb="74">
      <t>マイニチ</t>
    </rPh>
    <rPh sb="74" eb="75">
      <t>サク</t>
    </rPh>
    <rPh sb="76" eb="77">
      <t>トコロ</t>
    </rPh>
    <rPh sb="78" eb="79">
      <t>ミ</t>
    </rPh>
    <rPh sb="86" eb="87">
      <t>エン</t>
    </rPh>
    <rPh sb="88" eb="89">
      <t>ナカ</t>
    </rPh>
    <rPh sb="90" eb="91">
      <t>ハイ</t>
    </rPh>
    <rPh sb="102" eb="103">
      <t>ハイ</t>
    </rPh>
    <rPh sb="106" eb="107">
      <t>オモ</t>
    </rPh>
    <rPh sb="111" eb="112">
      <t>ヘイ</t>
    </rPh>
    <rPh sb="112" eb="113">
      <t>エン</t>
    </rPh>
    <rPh sb="118" eb="119">
      <t>ハイ</t>
    </rPh>
    <rPh sb="172" eb="173">
      <t>マワ</t>
    </rPh>
    <rPh sb="175" eb="177">
      <t>メイワク</t>
    </rPh>
    <phoneticPr fontId="17"/>
  </si>
  <si>
    <t>規則について考える授業「二通の手紙」では、動物園の職員の元さんが規則を知りながら姉弟を園内に入れた理由を「事情があって親と一緒に来られない姉弟を見てかわいそうだと思ったから」、「入園料もしっかりあるので、少しくらい姉弟を入れてもいいのではないかと思ったから」と考えました。「規則は何のためにあるのだろう」という問いに対しては、「色々な人が快適に過ごせるようにするため」等、複数の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0" eb="41">
      <t>アネ</t>
    </rPh>
    <rPh sb="41" eb="42">
      <t>オトウト</t>
    </rPh>
    <rPh sb="43" eb="45">
      <t>エンナイ</t>
    </rPh>
    <rPh sb="46" eb="47">
      <t>イ</t>
    </rPh>
    <rPh sb="49" eb="51">
      <t>リユウ</t>
    </rPh>
    <rPh sb="53" eb="55">
      <t>ジジョウ</t>
    </rPh>
    <rPh sb="59" eb="60">
      <t>オヤ</t>
    </rPh>
    <rPh sb="61" eb="63">
      <t>イッショ</t>
    </rPh>
    <rPh sb="64" eb="65">
      <t>コ</t>
    </rPh>
    <rPh sb="69" eb="70">
      <t>アネ</t>
    </rPh>
    <rPh sb="70" eb="71">
      <t>オトウト</t>
    </rPh>
    <rPh sb="72" eb="73">
      <t>ミ</t>
    </rPh>
    <rPh sb="81" eb="82">
      <t>オモ</t>
    </rPh>
    <rPh sb="89" eb="92">
      <t>ニュウエンリョウ</t>
    </rPh>
    <rPh sb="102" eb="103">
      <t>スコ</t>
    </rPh>
    <rPh sb="107" eb="108">
      <t>アネ</t>
    </rPh>
    <rPh sb="108" eb="109">
      <t>オトウト</t>
    </rPh>
    <rPh sb="110" eb="111">
      <t>イ</t>
    </rPh>
    <rPh sb="123" eb="124">
      <t>オモ</t>
    </rPh>
    <rPh sb="130" eb="131">
      <t>カンガ</t>
    </rPh>
    <rPh sb="164" eb="166">
      <t>イロイロ</t>
    </rPh>
    <rPh sb="167" eb="168">
      <t>ヒト</t>
    </rPh>
    <rPh sb="169" eb="171">
      <t>カイテキ</t>
    </rPh>
    <rPh sb="172" eb="173">
      <t>ス</t>
    </rPh>
    <phoneticPr fontId="17"/>
  </si>
  <si>
    <t>規則について考える授業「二通の手紙」では、動物園の職員の元さんが規則を知っていながら姉弟を園内に入れた理由を「姉弟のことを数日見守っていて、2人に愛情がわいていたから」、「少しくらい大丈夫だと考えたから」と考えました。「規則は何のためにあるのだろう」という問いに対しては、「事故やトラブルを事前に防ぐため」、「社会をスムーズに回すため」等、複数の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7">
      <t>シテイ</t>
    </rPh>
    <rPh sb="61" eb="63">
      <t>スウニチ</t>
    </rPh>
    <rPh sb="63" eb="65">
      <t>ミマモ</t>
    </rPh>
    <rPh sb="70" eb="72">
      <t>フタリ</t>
    </rPh>
    <rPh sb="73" eb="75">
      <t>アイジョウ</t>
    </rPh>
    <rPh sb="86" eb="87">
      <t>スコ</t>
    </rPh>
    <rPh sb="91" eb="94">
      <t>ダイジョウブ</t>
    </rPh>
    <rPh sb="96" eb="97">
      <t>カンガ</t>
    </rPh>
    <rPh sb="103" eb="104">
      <t>カンガ</t>
    </rPh>
    <rPh sb="110" eb="112">
      <t>キソク</t>
    </rPh>
    <rPh sb="113" eb="114">
      <t>ナン</t>
    </rPh>
    <rPh sb="128" eb="129">
      <t>ト</t>
    </rPh>
    <rPh sb="131" eb="132">
      <t>タイ</t>
    </rPh>
    <rPh sb="137" eb="139">
      <t>ジコ</t>
    </rPh>
    <rPh sb="145" eb="147">
      <t>ジゼン</t>
    </rPh>
    <rPh sb="148" eb="149">
      <t>フセ</t>
    </rPh>
    <rPh sb="155" eb="157">
      <t>シャカイ</t>
    </rPh>
    <rPh sb="163" eb="164">
      <t>マワ</t>
    </rPh>
    <rPh sb="168" eb="169">
      <t>トウ</t>
    </rPh>
    <rPh sb="170" eb="172">
      <t>フクスウ</t>
    </rPh>
    <rPh sb="173" eb="174">
      <t>カンガ</t>
    </rPh>
    <rPh sb="176" eb="177">
      <t>モ</t>
    </rPh>
    <phoneticPr fontId="17"/>
  </si>
  <si>
    <t>規則について考える授業「二通の手紙」では、動物園の職員の元さんが規則を知っていながら姉弟を園内に入れた理由を「姉弟の純粋な気持ちを優先したかったから」と考えました。「規則は何のためにあるのだろう」という問いに対しては、「安心・安全に過ごすため」、「問題・事故が起きないようにするため」と考えました。グループ活動等を通し、テーマに沿った考えを持つことができ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6">
      <t>アネ</t>
    </rPh>
    <rPh sb="56" eb="57">
      <t>オトウト</t>
    </rPh>
    <rPh sb="58" eb="60">
      <t>ジュンスイ</t>
    </rPh>
    <rPh sb="61" eb="63">
      <t>キモ</t>
    </rPh>
    <rPh sb="65" eb="67">
      <t>ユウセン</t>
    </rPh>
    <rPh sb="76" eb="77">
      <t>カンガ</t>
    </rPh>
    <rPh sb="110" eb="112">
      <t>アンシン</t>
    </rPh>
    <rPh sb="113" eb="115">
      <t>アンゼン</t>
    </rPh>
    <rPh sb="116" eb="117">
      <t>ス</t>
    </rPh>
    <rPh sb="124" eb="126">
      <t>モンダイ</t>
    </rPh>
    <rPh sb="127" eb="129">
      <t>ジコ</t>
    </rPh>
    <rPh sb="130" eb="131">
      <t>オ</t>
    </rPh>
    <rPh sb="143" eb="144">
      <t>カンガ</t>
    </rPh>
    <phoneticPr fontId="17"/>
  </si>
  <si>
    <t>規則について考える授業「二通の手紙」では、動物園の職員の元さんが規則を知っていながら姉弟を園内に入れた理由を「姉の思いに応えたかったから」、「姉弟のことがかわいそうと思ったから」と考えました。「規則は何のためにあるのだろう」という問いに対しては、「自分が危険な目に合わないため」、「周りの人に迷惑がかからないようにするため」と考え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71" eb="72">
      <t>アネ</t>
    </rPh>
    <rPh sb="72" eb="73">
      <t>オトウト</t>
    </rPh>
    <rPh sb="83" eb="84">
      <t>オモ</t>
    </rPh>
    <rPh sb="90" eb="91">
      <t>カンガ</t>
    </rPh>
    <rPh sb="97" eb="99">
      <t>キソク</t>
    </rPh>
    <rPh sb="100" eb="101">
      <t>ナン</t>
    </rPh>
    <rPh sb="115" eb="116">
      <t>ト</t>
    </rPh>
    <rPh sb="118" eb="119">
      <t>タイ</t>
    </rPh>
    <rPh sb="124" eb="126">
      <t>ジブン</t>
    </rPh>
    <rPh sb="127" eb="129">
      <t>キケン</t>
    </rPh>
    <rPh sb="130" eb="131">
      <t>メ</t>
    </rPh>
    <rPh sb="132" eb="133">
      <t>ア</t>
    </rPh>
    <rPh sb="141" eb="142">
      <t>マワ</t>
    </rPh>
    <rPh sb="144" eb="145">
      <t>ヒト</t>
    </rPh>
    <rPh sb="146" eb="148">
      <t>メイワク</t>
    </rPh>
    <rPh sb="163" eb="164">
      <t>カンガ</t>
    </rPh>
    <phoneticPr fontId="17"/>
  </si>
  <si>
    <t>規則について考える授業「二通の手紙」では、動物園の職員の元さんが規則を知っていながら姉弟を園内に入れた理由を「姉弟が毎日園に入りたがっていたから」、「園に入りたくても入ることができない姉弟がかわいそうに思ったから」と考えました。「規則は何のためにあるのだろう」という問いに対しては、「全員が気分良く利用できるようにするため」、「周囲に迷惑をかけないため」等、複数の考えを持ちました。</t>
    <rPh sb="0" eb="2">
      <t>キソク</t>
    </rPh>
    <rPh sb="6" eb="7">
      <t>カンガ</t>
    </rPh>
    <rPh sb="9" eb="11">
      <t>ジュギョウ</t>
    </rPh>
    <rPh sb="12" eb="14">
      <t>ニツウ</t>
    </rPh>
    <rPh sb="15" eb="17">
      <t>テガミ</t>
    </rPh>
    <rPh sb="21" eb="24">
      <t>ドウブツエン</t>
    </rPh>
    <rPh sb="25" eb="27">
      <t>ショクイン</t>
    </rPh>
    <rPh sb="28" eb="29">
      <t>ゲン</t>
    </rPh>
    <rPh sb="32" eb="34">
      <t>キソク</t>
    </rPh>
    <rPh sb="35" eb="36">
      <t>シ</t>
    </rPh>
    <rPh sb="42" eb="43">
      <t>アネ</t>
    </rPh>
    <rPh sb="43" eb="44">
      <t>オトウト</t>
    </rPh>
    <rPh sb="45" eb="47">
      <t>エンナイ</t>
    </rPh>
    <rPh sb="48" eb="49">
      <t>イ</t>
    </rPh>
    <rPh sb="51" eb="53">
      <t>リユウ</t>
    </rPh>
    <rPh sb="55" eb="56">
      <t>アネ</t>
    </rPh>
    <rPh sb="56" eb="57">
      <t>オトウト</t>
    </rPh>
    <rPh sb="58" eb="60">
      <t>マイニチ</t>
    </rPh>
    <rPh sb="60" eb="61">
      <t>エン</t>
    </rPh>
    <rPh sb="62" eb="63">
      <t>ハイ</t>
    </rPh>
    <rPh sb="75" eb="76">
      <t>エン</t>
    </rPh>
    <rPh sb="77" eb="78">
      <t>ハイ</t>
    </rPh>
    <rPh sb="83" eb="84">
      <t>ハイ</t>
    </rPh>
    <rPh sb="92" eb="93">
      <t>アネ</t>
    </rPh>
    <rPh sb="93" eb="94">
      <t>オトウト</t>
    </rPh>
    <rPh sb="101" eb="102">
      <t>オモ</t>
    </rPh>
    <rPh sb="108" eb="109">
      <t>カンガ</t>
    </rPh>
    <rPh sb="115" eb="117">
      <t>キソク</t>
    </rPh>
    <rPh sb="118" eb="119">
      <t>ナン</t>
    </rPh>
    <rPh sb="133" eb="134">
      <t>ト</t>
    </rPh>
    <rPh sb="136" eb="137">
      <t>タイ</t>
    </rPh>
    <rPh sb="142" eb="144">
      <t>ゼンイン</t>
    </rPh>
    <rPh sb="145" eb="147">
      <t>キブン</t>
    </rPh>
    <rPh sb="147" eb="148">
      <t>ヨ</t>
    </rPh>
    <rPh sb="149" eb="151">
      <t>リヨウ</t>
    </rPh>
    <rPh sb="164" eb="166">
      <t>シュウイ</t>
    </rPh>
    <rPh sb="167" eb="169">
      <t>メイワク</t>
    </rPh>
    <rPh sb="177" eb="178">
      <t>トウ</t>
    </rPh>
    <rPh sb="179" eb="181">
      <t>フクスウ</t>
    </rPh>
    <rPh sb="182" eb="183">
      <t>カンガ</t>
    </rPh>
    <rPh sb="185" eb="186">
      <t>モ</t>
    </rPh>
    <phoneticPr fontId="17"/>
  </si>
  <si>
    <t>基本的な生活習慣（礼節，欠席，遅刻，体調管理など）</t>
  </si>
  <si>
    <t>自主・自律（主体的な行動，計画性，整理整頓，宿題，提出物など）</t>
  </si>
  <si>
    <t>責任感（係，委員会，役割など）</t>
  </si>
  <si>
    <t>思いやり・協力（友人関係，共同作業，協調性など）</t>
  </si>
  <si>
    <t>勤労・奉仕（清掃，給食，奉仕活動など）</t>
  </si>
  <si>
    <t>公正・公平（規則，マナー，平等など）</t>
  </si>
  <si>
    <t>池田 光之介</t>
    <rPh sb="0" eb="2">
      <t>いけだ</t>
    </rPh>
    <rPh sb="3" eb="6">
      <t>こうのすけ</t>
    </rPh>
    <phoneticPr fontId="0" type="Hiragana"/>
  </si>
  <si>
    <t>保健体育係　環境委員会　体育祭応援団白組副団長　テニス部</t>
  </si>
  <si>
    <t>上原 光</t>
    <rPh sb="0" eb="2">
      <t>うえはら</t>
    </rPh>
    <rPh sb="3" eb="4">
      <t>ひかり</t>
    </rPh>
    <phoneticPr fontId="0" type="Hiragana"/>
  </si>
  <si>
    <t>生活ノート係　福祉委員会　体育祭用具係</t>
  </si>
  <si>
    <t>大山 実日子</t>
    <rPh sb="0" eb="2">
      <t>おおやま</t>
    </rPh>
    <rPh sb="3" eb="4">
      <t>みかこ</t>
    </rPh>
    <phoneticPr fontId="0" type="Hiragana"/>
  </si>
  <si>
    <t>技術係　代表委員会委員長　体育祭放送係係長</t>
  </si>
  <si>
    <t>窪田 朋子</t>
    <rPh sb="0" eb="2">
      <t>くぼた</t>
    </rPh>
    <rPh sb="3" eb="5">
      <t>ともこ</t>
    </rPh>
    <phoneticPr fontId="0" type="Hiragana"/>
  </si>
  <si>
    <t>数学係　図書委員会委員長　体育祭用具係　女子バスケットボール部部長</t>
  </si>
  <si>
    <t>小林 晴嶺</t>
    <rPh sb="0" eb="2">
      <t>こばやし</t>
    </rPh>
    <rPh sb="3" eb="4">
      <t>せいれい</t>
    </rPh>
    <phoneticPr fontId="0" type="Hiragana"/>
  </si>
  <si>
    <t>国語係　SDGｓ委員会委員長　体育祭実行委員会本部委員　修学旅行統率係</t>
  </si>
  <si>
    <t>大工原 光輝</t>
    <rPh sb="0" eb="3">
      <t>だいくはら</t>
    </rPh>
    <rPh sb="4" eb="6">
      <t>みつき</t>
    </rPh>
    <phoneticPr fontId="0" type="Hiragana"/>
  </si>
  <si>
    <t>保健体育係　衛生委員会書記　体育祭装飾・誘導係　テニス部</t>
  </si>
  <si>
    <t>橘 くるみ</t>
    <rPh sb="0" eb="1">
      <t>たちばな</t>
    </rPh>
    <phoneticPr fontId="0" type="Hiragana" alignment="distributed"/>
  </si>
  <si>
    <t>音楽係　園芸委員会副委員長　体育祭得点係　美術部部長　卓球部</t>
  </si>
  <si>
    <t>等々力 悠人</t>
    <rPh sb="0" eb="3">
      <t>とどりき</t>
    </rPh>
    <rPh sb="4" eb="5">
      <t>はると</t>
    </rPh>
    <phoneticPr fontId="0" type="Hiragana"/>
  </si>
  <si>
    <t>英語係　環境委員会　体育祭用具係</t>
  </si>
  <si>
    <t>中島 麟香</t>
    <rPh sb="0" eb="2">
      <t>なかじま</t>
    </rPh>
    <rPh sb="3" eb="4">
      <t>りんか</t>
    </rPh>
    <phoneticPr fontId="0" type="Hiragana"/>
  </si>
  <si>
    <t>数学係　図書委員会　体育祭得点係　女子バスケットボール部女子副キャプテン</t>
  </si>
  <si>
    <t>新村 亮太</t>
    <rPh sb="0" eb="2">
      <t>にいむら</t>
    </rPh>
    <rPh sb="3" eb="4">
      <t>りょう</t>
    </rPh>
    <rPh sb="4" eb="5">
      <t>た</t>
    </rPh>
    <phoneticPr fontId="0" type="Hiragana"/>
  </si>
  <si>
    <t>学級三役副学級長　体育委員会　体育祭装飾・誘導係</t>
  </si>
  <si>
    <t>伏見 真人</t>
    <rPh sb="0" eb="2">
      <t>ふしみ</t>
    </rPh>
    <rPh sb="3" eb="5">
      <t>まさと</t>
    </rPh>
    <phoneticPr fontId="0" type="Hiragana"/>
  </si>
  <si>
    <t>生活ノート係　衛生委員会委員長　体育祭実行委員会本部委員　テニス部部長</t>
  </si>
  <si>
    <t>松本 誠也</t>
    <rPh sb="0" eb="2">
      <t>まつもと</t>
    </rPh>
    <rPh sb="3" eb="5">
      <t>せいや</t>
    </rPh>
    <phoneticPr fontId="0" type="Hiragana"/>
  </si>
  <si>
    <t>美術係　代表委員会　体育祭得点係副係長</t>
  </si>
  <si>
    <t>蓑 錬太朗</t>
    <rPh sb="0" eb="1">
      <t>みの</t>
    </rPh>
    <rPh sb="2" eb="3">
      <t>れんたろう</t>
    </rPh>
    <phoneticPr fontId="0" type="Hiragana"/>
  </si>
  <si>
    <t>学級三役学級長　体育委員会　体育祭実行委員会副委員長　テニス部</t>
  </si>
  <si>
    <t>宮坂 蓮</t>
    <rPh sb="0" eb="2">
      <t>みやさか</t>
    </rPh>
    <rPh sb="3" eb="4">
      <t>れん</t>
    </rPh>
    <phoneticPr fontId="0" type="Hiragana"/>
  </si>
  <si>
    <t>自主勉強チェック係　倫理委員会　体育祭用具係　卓球部　数才クラス</t>
  </si>
  <si>
    <t>百瀬 友惺</t>
    <rPh sb="0" eb="2">
      <t>ももせ</t>
    </rPh>
    <rPh sb="3" eb="4">
      <t>ゆうせい</t>
    </rPh>
    <phoneticPr fontId="0" type="Hiragana"/>
  </si>
  <si>
    <t>国語係　生徒会三役書記　体育祭装飾・誘導係　修学旅行統率係　テニス部副部長</t>
  </si>
  <si>
    <t>山口 陽生</t>
    <rPh sb="0" eb="2">
      <t>やまぐち</t>
    </rPh>
    <rPh sb="3" eb="4">
      <t>ようせい</t>
    </rPh>
    <phoneticPr fontId="0" type="Hiragana"/>
  </si>
  <si>
    <t>理科係　SDGｓ委員会副委員長　体育祭装飾・誘導係副係長　卓球部男子キャプテン</t>
  </si>
  <si>
    <t>山越 圭</t>
    <rPh sb="0" eb="2">
      <t>やまこし</t>
    </rPh>
    <rPh sb="3" eb="4">
      <t>けい</t>
    </rPh>
    <phoneticPr fontId="0" type="Hiragana"/>
  </si>
  <si>
    <t>学級三役副学級長　福祉委員会副委員長　体育祭得点係係長</t>
  </si>
  <si>
    <t>山崎 花峰</t>
    <rPh sb="0" eb="2">
      <t>やまさき</t>
    </rPh>
    <rPh sb="3" eb="4">
      <t>かほ</t>
    </rPh>
    <phoneticPr fontId="0" type="Hiragana"/>
  </si>
  <si>
    <t>家庭科係　報道委員会委員長　体育祭装飾・誘導係係長　修学旅行統率係　吹奏楽部部長</t>
  </si>
  <si>
    <t>山田 梨乃</t>
    <rPh sb="0" eb="2">
      <t>やまだ</t>
    </rPh>
    <rPh sb="3" eb="4">
      <t>りの</t>
    </rPh>
    <phoneticPr fontId="0" type="Hiragana"/>
  </si>
  <si>
    <t>学級係（道徳・HR・総合・速読等）　園芸委員会委員長　体育祭得点係　修学旅行統率係</t>
  </si>
  <si>
    <t>横井 杏奈</t>
    <rPh sb="0" eb="2">
      <t>よこい</t>
    </rPh>
    <rPh sb="3" eb="4">
      <t>あんな</t>
    </rPh>
    <phoneticPr fontId="0" type="Hiragana"/>
  </si>
  <si>
    <t>英語係　生徒会三役副生徒会長　体育祭得点係</t>
  </si>
  <si>
    <t>吉田 莉彩</t>
    <rPh sb="0" eb="2">
      <t>よしだ</t>
    </rPh>
    <rPh sb="3" eb="4">
      <t>り</t>
    </rPh>
    <rPh sb="4" eb="5">
      <t>さい</t>
    </rPh>
    <phoneticPr fontId="0" type="Hiragana"/>
  </si>
  <si>
    <t>社会科係　園芸委員会　体育祭装飾・誘導係</t>
  </si>
  <si>
    <t>進路ガイダンス,修学旅行準備,修学旅行,さいきょう祭準備</t>
  </si>
  <si>
    <t>体育祭の大玉送りではチームのために懸命に玉を運び、必死に走る姿がありました。選抜リレーではアンカーを務め、1位でゴールテープを切りました。その雄姿は多くの仲間の目に焼き付いたことでしょう。応援合戦では副応援団長として団員を牽引しました。これらの一つひとつが、良い思い出になった以上に大きな経験になったはずです。勝利で味わった感動や体育祭を通し学んだことを、今後に活かしていきましょう。学習面では、中間テスト5科（補正点）336点、期末テスト5科（補正点）379点と伸ばすことができました。授業は集中して取り組めていますが、宿題の取り組みにはまだ甘さが見られますので、改善しましょう。生活面では、以前と比べれば落ち着きは見られますが、まだまだ判断力や想像力に欠ける行動が見られます。9学年がどのような年がということを再度自覚するように努めてください。1学期の定期テストや模試から、自分自身の課題が見えてきているはずです。夏期休業にはもう一度7・8年生の学習範囲を振り返り、基礎固めを行いましょう。</t>
  </si>
  <si>
    <t>体育祭では赤組の一員として最後まで戦い抜くことができました。練習時間に間に合うように登校し、仲間と共に戦略を立てたり、応援したりしている姿は立派でした。自身の反省でも記載したように、「泣けるほどどの競技に対しても真剣に取り組めたこと」、「たとえ勝負に負けてしまっても最後までやり切った達成感やすがすがしさ」、そして光さんの周りには多くの仲間がいることを今後も忘れないでください。学習面では、中間テスト・期末テスト共に一日5科目の試験を受けることができました。光さんの中で学習や進路への意識が向いてきている証だと感じます。できることから一つひとつ、行っていきましょう。生活面では以前と比べ登校日数も増え、担任としてはとても嬉しく思っています。心配なことは多くあると思いますが、まずは規則正しい生活を行い学校に足を運び、学校生活を取り戻しましょう。1学期を振り返り、自分自身の課題が見えてきているはずです。夏期休業にはもう一度7・8年生の学習範囲を振り返り、基礎固めを行いましょう。</t>
  </si>
  <si>
    <t>体育祭では赤組の一員として勝負にこだわり、妥協をせず最後まで戦い抜きました。タイヤ取りでは、放課後や昼休みに仲間と作戦会議をしたり練習をしたりして、勝つための努力を重ねました。自身の反省でも記載したように、「仲間とのコミュニケーションを大切にし、時には人に頼ることの大切さ」や、「臨機応変に周りの状況を見て行動する大切さ」を学ぶことができました。放送係長としては、顧問の先生や副係長と綿密に計画を立て、正確なアナウンスをするよう務めました。本番のアナウンスは、誰もが聞きやすい心地よいものでした。練習で苦労したこともありましたが、その成果が表れました。学習面では、中間テスト5科（補正点）486点、期末テスト5科（補正点）505点と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</si>
  <si>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白組の一員として勝負にこだわり、妥協をせず最後まで戦い抜くことができました。大玉送りでは本番で勝利を収めることができ、「精一杯行う気持ちの強さ」や、「仲間への応援・声がけの大切さ」を学ぶことができました。また、用具係としては、これまでの経験を活かした用具の配置や、後輩を指導するその手腕は、担当として大変頼もしい存在でした。朋子さんのおかげで用具係が回り、体育祭が円滑に進行できたと言っても過言ではありません。自身の競技がある中、係の活動を優先してくれた場面もありました。本当にありがとう。学習面では、中間テスト5科（補正点）538点、期末テスト5科（補正点）519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</si>
  <si>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白組の一員として勝負にこだわり、妥協をせず最後まで戦い抜きました。タイヤ取りでは仲間と共に綿密な作戦を立てたり練習に励んだりしている姿が随所に見られました。練習・リハーサル、そして本番では、仲間を応援し鼓舞することで、白組の総合優勝を手繰り寄せました。また、実行委員会の本部委員としてはスローガンやポスターの選定から始まり、様々な準備や当日の運営等を経験することができました。自身の振り返りでも記載したように、「精一杯頑張ることの大切さ」や「挑戦することの大切さ」を忘れず、今後の学校生活にも活かしていきましょう。学習面では、中間テスト5科（補正点）530点、期末テスト5科（補正点）509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</si>
  <si>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赤組の一員として勝負にこだわり、妥協をせず最後まで戦い抜くことができました。タイヤ取りでは仲間と共に綿密な作戦を立てたり練習に励んだりしている姿が随所に見られました。練習・リハーサル、そして本番の競技を通し、「最後まで諦めないことの大切さ」や、「声を出し積極的に仲間とコミュニケーションを取ることの大切さ」を学ぶことができた体育祭でした。装飾・誘導係としては会場装飾を行い、体育祭に彩を加えたり、後輩の誘導を行い、運営側から体育祭を支えることができました。学習面では、中間テスト5科（補正点）536点、期末テスト5科（補正点）472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</si>
  <si>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赤組の一員として勝負にこだわり、妥協をせず最後まで戦い抜くことができました。総合優勝を逃し、悔しい思いもありましたが、競技では勝った時には「仲間と共に喜び」、負けてしまった時には「改善策を出し合う」などし、チームワークを大切に、勝利に向かって一致団結することの大切さを学ぶことができました。また、保護者の方や来場してくれた先輩方、後輩や先生方に感謝の気持ちを表すこともできました。得点係としては、公平公正な判断に務め、運営側から体育祭を支えることができました。学習面では、中間テスト5科（補正点）532点、期末テスト5科（補正点）477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</si>
  <si>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白組の一員として勝負にこだわり、妥協をせず最後まで戦い抜くことができました。タイヤ取りでは仲間と共に綿密な作戦を立てたり練習に励んだりしている姿が随所に見られました。用具係では、運営側から体育祭を支えることができました。用具係としての練習では当初、動きや仲間とのやり取りに躊躇している場面もありましたが、熱心に練習に励み、当日は滞りなく配置・回収を行うことができました。自身の反省にも記載したように、「分からないことはすぐ先生方や仲間を頼り、聞いてみる」ことを実践してみましょう。悠人くんが思っている以上に自身のためになることがあるはずです。学習面では、中間テスト5科（補正点）335点、期末テスト5科（補正点）324点とやや下降傾向です。志望校合格に向けては一層の努力が必要です。家庭での学習の成果を見直してみましょう。1学期の定期テストや模試から、自分自身の課題が見えてきているはずです。夏期休業にはもう一度7・8年生の学習範囲を振り返り、基礎固めを行いましょう。</t>
  </si>
  <si>
    <t>体育祭では白組の一員として勝負にこだわり、妥協をせず最後まで戦い抜くことができました。タイヤ取りでは仲間と共に綿密な作戦を立てたり練習に励んだりしている姿が随所に見られました。自身の反省でも記載したように、競技を通し、「くじけそうになった時も最後までくじけず、諦めないことの大切さ」が学べた体育祭でした。今年度の体育祭で学んだことを今後の生活に活かしていきましょう。得点係としては、公平公正な判断に務め、運営側から体育祭を支えることができました。学習面では、中間テスト5科（補正点）336点、期末テスト5科（補正点）376点と伸ばすことができました。普段の授業への取り組み、家庭での学習の成果が表れています。しかし、志望校合格に向けては一層の努力が必要です。引き続き努力を続けていきましょう。1学期の定期テストや模試から、自分自身の課題が見えてきているはずです。夏期休業にはもう一度7・8年生の学習範囲を振り返り、基礎固めを行いましょう。</t>
  </si>
  <si>
    <t>体育祭では白組の一員として勝負にこだわり、妥協をせず最後まで戦い抜きました。タイヤ取りでは仲間と共に綿密な作戦を立てたり練習に励んだりしている姿が随所に見られました。装飾・誘導係としては会場装飾を行い、体育祭に彩を加えたり、後輩の誘導を行い、運営側から体育祭を支えることができました。また係活動を通し、裏方で働いている仲間の努力があって体育祭が成立していることを学ぶことができました。学習面では、中間テスト5科（補正点）430点、期末テスト5科（補正点）435点と伸ばすことができました。普段の授業への取り組み、家庭での学習の成果です。引き続き努力を続けていきましょう。生活面では、以前と比べれば落ち着きは見られますが、まだまだ判断力や想像力に欠ける行動が見られます。9学年がどのような年がということを再度自覚するように努めてください。1学期の定期テストや模試から、自分自身の課題が見えてきているはずです。夏期休業にはもう一度7・8年生の学習範囲を振り返り、応用問題にも取り組んでいきましょう。</t>
  </si>
  <si>
    <t>体育祭では赤組の一員として勝負にこだわり、妥協をせず最後まで戦い抜くことができました。総合優勝を逃し悔しい思いもしましたが、競技・運営面共、最後までやり切ることができました。タイヤ取りでは仲間と共に綿密な作戦を立てたり練習に励んだりしている姿が随所に見られました。仲間と共に応援し、一つの競技に全力で打ち込むことを通し、一致団決することの大切さや楽しさを知ることができた体育祭でした。実行委員会の本部委員としてはスローガンやポスターの選定から始まり、様々な準備や当日の運営等、運営側から体育祭を支えました。学習面では、中間テスト5科（補正点）548点、期末テスト5科（補正点）522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</si>
  <si>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白組の一員として勝負にこだわり、妥協をせず最後まで戦い抜きました。タイヤ取りでは仲間と共に綿密な作戦を立てたり練習に励んだりしている姿が随所に見られました。タイヤ取りで仲間と助け合ったり、共に練習したりすることを通して、協力することの大切さを学ぶことができました。得点副係長としては全校の前で堂々とした挨拶をした他、人一倍責任感を持って公平公正な判断に務め、体育祭を運営側から支えました。自身の反省でも記載したように、「責任感を持って取り組むこと」、「そこから学ぶことがたくさんあること」を今後の生活に活かし、今後も積極的に前に立ってほしいと願っています。学習面では、中間テスト5科（補正点）247点、期末テスト5科（補正点）280点と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</si>
  <si>
    <t>体育祭では赤組の一員として勝負にこだわり、最後まで戦い抜くことができました。大玉運びではアンカーを務め、最速タイムを計測することもできました。実行委員会副委員長としては、スローガンやポスターの選定、カウントダウンボードの作成、当日は全校の前で開・閉会宣言をする等、運営側から体育祭を支えました。責任感を持って取り組むこと、そこから学ぶことがたくさんあることが実感できたと思います。今後の生活に活かしてください。学習面では、中間テスト5科（補正点）207点と基礎力の定着が不足しています。部活動も終わりましたから、そろそろ切り替えを行わないと後がありません。意識を変えていきましょう。生活面では、以前と比べれば落ち着きは見られますが、まだまだ判断力や想像力に欠ける言動が見られます。学級長として期待をしていますので、再度その自覚を持って行動してください。1学期の定期テストや模試から、自分自身の課題が見えてきているはずです。夏期休業にはもう一度7・8年生の学習範囲を振り返り、基礎固めを行いましょう。</t>
  </si>
  <si>
    <t>体育祭では赤組の一員として勝負にこだわり、妥協をせず最後まで戦い抜きました。タイヤ取りでは仲間と共に綿密な作戦を立てたり練習に励んだりしている姿が随所に見られました。初めて選出された選抜リレーでは、2位をキープし最後まで走り抜きました。その雄姿は多くの仲間の目に焼き付いたことでしょう。どの競技においても仲間とのコミュニケーションを大切にし、全力を尽くすことができました。用具係としては運営側から体育祭を支えることができました。練習当初は動きに迷い、不安に思っている場面もありましたが、熱心に練習に励み、当日は滞りなく配置・回収を行うことができました。学習面では、中間テスト5科（補正点）436点、期末テスト5科（補正点）421点を取る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</si>
  <si>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赤組の一員として勝負にこだわり、妥協をせず最後まで戦い抜くことができました。タイヤ取りでは仲間と共に綿密な作戦を立てたり練習に励んだりしている姿が随所に見られました。総合優勝は逃す結果となりましたが、最高学年としての自覚を持ち取り組めた体育祭となりました。選抜リレーでは十分な練習時間が確保できない中でしたが、「チームメイトとの交流を通し学ぶことも多くあった」という経験ができました。 装飾・誘導係としては会場装飾を行い、体育祭に彩を加えたり、後輩の誘導を行い、運営側から体育祭を支えることができました。学習面では、中間テスト5科（補正点）401点、期末テスト5科（補正点）451点と大きく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</si>
  <si>
    <t>体育祭では白組の一員として勝負にこだわり、妥協をせず最後まで戦い抜くことができました。タイヤ取りでは仲間と共に綿密な作戦を立てたり練習に励んだりしている姿が随所に見られ、白組を総合優勝に導きました。大玉送り、タイヤ取りでは練習では赤組が優勢だったなか、本番には勝つことができました。競技を通し、最後まで諦めず全力を尽くすことができたのが勝利の要因です。最後までよく頑張りました。装飾・誘導係としては副係長として会場装飾を行い、体育祭に彩を加えたり、後輩の誘導を行い、係の仲間たちと協力し、助けないながら運営側から体育祭を支えることができました。学習面では、中間テスト5科（補正点）333点、期末テスト5科（補正点）347点と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</si>
  <si>
    <t>体育祭では赤組の一員として勝負にこだわり、妥協をせず最後まで戦い抜くことができました。タイヤ取りでは仲間と共に綿密な作戦を立てたり練習に励んだりしている姿が随所に見られました。また本年度の体育祭では得点係長を務め、人一倍責任感を持って公平公正な判断をし、体育祭を運営側から支えました。全校の前に立つことは緊張もあったと思いますが、本番では堂々とした挨拶をすることができました。自身の反省にも記載したように、「リーダーの大変さ」、「支えてくれる仲間との絆の大切さ」に気づくことができました。最後までよく頑張りました。学習面では、中間テスト5科（補正点）349点、期末テスト5科（補正点）394点と大きく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</si>
  <si>
    <t>体育祭では赤組の一員として勝負にこだわり、妥協をせず最後まで戦い抜くことができました。タイヤ取りでは仲間と共に綿密な作戦を立てたり練習に励んだりしている姿が随所に見られました。。リハーサルでは代表戦に出場し、その大変さや重責に気づき、「チームが一丸となる大切さ」や、「強い気持ちを持って臨むことの大切さ」に気づくことができました。装飾・誘導係長としては、仲間や後輩を牽引し、会場装飾を行い、体育祭に彩を加えたり後輩の誘導を行ったりし、運営側から体育祭を支えることができたました。最後まで自分の責任を全うすることのできた体育祭でした。学習面では、中間テスト5科（補正点）364点、期末テスト5科（補正点）365点を取ることができました。普段の授業への取り組み、家庭での学習の成果がこれまで以上に表れるよう、引き続き努力を続けていきましょう。1学期の定期テストや模試から、自分自身の課題が見えてきているはずです。夏期休業にはもう一度7・8年生の学習範囲を振り返り、基礎固めを行いましょう。</t>
  </si>
  <si>
    <t>体育祭では白組の一員として勝負にこだわり、妥協をせず最後まで戦い抜くことができました。タイヤ取りでは仲間と共に綿密な作戦を立てたり練習に励んだりしている姿が随所に見られました。練習でも、本番の序盤でも、赤組が優勢と感じられる雰囲気だった中、勝負にこだわり最後まで戦った結果の総合優勝、自身の振り返りにも記載していたように、「諦めないこと」や「頑張り続けること」、「チームで団結したこと」、それらが実った結果だと思います。最後の体育祭、良い思い出になりました。得点係としては、公平公正な判断に務め、運営側から体育祭を支えることができました。学習面では、中間テスト5科（補正点）406点、期末テスト5科（補正点）402点を取る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</si>
  <si>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白組の一員として勝負にこだわり、妥協をせず最後まで戦い抜くことができました。タイヤ取りでは、練習ではなかなか勝つことができずチームで何度も作戦を考え直す場面が見られました。その努力もあり、自身の振り返りでも記載していましたが、「苦しい状況に置かれていても、仲間と協力し、目標に向かって試行錯誤することの大切」さ、また、「諦めずに最後まで取り組むことの意味」を知ることのできた感動的な体育祭となりました。得点係としては、公平公正な判断に務め、運営側から体育祭を支えることができました。学習面では、中間テスト5科（補正点）562点、期末テスト5科（補正点）510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</si>
  <si>
    <t>体育祭では白組の一員として勝負にこだわり、妥協をせず最後まで戦い抜くことができました。タイヤ取りでは仲間と共に綿密な作戦を立てたり練習に励んだりしている姿が随所に見られました。選技リレーに選ばれ、当初は心配をしている姿もありましたが、「絶対に負けない」という強い意思を持ち、最後まで走り抜くことができました。体育祭を通じて学んだ「全力で物事に取り組むことの楽しさ」や「仲間と協力・団結することの大切さ」をこれからも大切にしてください。また、装飾・誘導係としては会場装飾を行い、体育祭に彩を加えたり、後輩の誘導を行い、運営側から体育祭を支えることができました。学習面では、中間テスト5科（補正点）403点、期末テスト5科（補正点）362点を取ることができました。普段の授業への取り組み、家庭での学習の成果が表れるよう、引き続き努力を続けていきましょう。1学期の定期テストや模試から、自分自身の課題が見えてきているはずです。夏期休業にはもう一度7・8年生の学習範囲を振り返り、基礎固めを行いましょう。</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</si>
  <si>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</si>
  <si>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</si>
  <si>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</si>
  <si>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</si>
  <si>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</si>
  <si>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</si>
  <si>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忌引3（祖父葬儀3）</t>
  </si>
  <si>
    <t>欠席22（体調不良2、心身の不調20）、遅刻28（心身の不調28）、早退1（心身の不調1）</t>
  </si>
  <si>
    <t>遅刻3（家事都合3）</t>
  </si>
  <si>
    <t>欠席4（家事都合2、発熱1、腹痛1）、早退2（体調不良2）</t>
  </si>
  <si>
    <t>欠席2（倦怠感1、家事都合1）</t>
  </si>
  <si>
    <t>欠席7（家事都合5、風邪1、腹痛1）、早退1（体調不良1）</t>
  </si>
  <si>
    <t>欠席2（体調不良2）</t>
  </si>
  <si>
    <t>欠席5（発熱1、家事都合4）</t>
  </si>
  <si>
    <t>欠席2（腹痛1、風邪1）、遅刻3（腹痛2、家事都合1）</t>
  </si>
  <si>
    <t>欠席5（頭痛2、発熱1、咳2）、早退1（体調不良1）</t>
  </si>
  <si>
    <t>欠席3（腹痛2、体調不良1）、遅刻（家事都合1、心身の不調1）、早退1（心身の不調1）</t>
  </si>
  <si>
    <t>欠席2（体調不良2）、早退1（怪我1）</t>
  </si>
  <si>
    <t>遅刻1（頭痛1）</t>
  </si>
  <si>
    <t>欠席1（体調不良1）、早退1（体調不良1）</t>
  </si>
  <si>
    <t>欠席1（風邪1）、遅刻2（風邪1、通院1）</t>
  </si>
  <si>
    <t>欠席1（腹痛1）、遅刻1（家事都合1）</t>
  </si>
  <si>
    <t>欠席3（家事都合1、風邪1、通院1）、遅刻1（通院1）</t>
  </si>
  <si>
    <t>欠席2（風邪2）、遅刻3（家事都合3）</t>
    <rPh sb="0" eb="2">
      <t>ケッセキ</t>
    </rPh>
    <rPh sb="4" eb="6">
      <t>カゼ</t>
    </rPh>
    <phoneticPr fontId="1"/>
  </si>
  <si>
    <t>-</t>
    <phoneticPr fontId="1"/>
  </si>
  <si>
    <t>この項目は適宜変更して下さい。
※注意※
ただし、項目数は１０個まで。仮に少ない場合も行の削除は絶対に行わないで下さい。</t>
    <phoneticPr fontId="1"/>
  </si>
  <si>
    <t>B</t>
    <phoneticPr fontId="1"/>
  </si>
  <si>
    <t>C</t>
    <phoneticPr fontId="1"/>
  </si>
  <si>
    <t>A</t>
    <phoneticPr fontId="1"/>
  </si>
  <si>
    <t>欠席4（腹痛2、体調不良1、風邪1）、遅刻4（家事都合2、心身の不調1、風邪1）、早退1（心身の不調1）</t>
    <rPh sb="14" eb="16">
      <t>カゼ</t>
    </rPh>
    <rPh sb="36" eb="38">
      <t>カゼ</t>
    </rPh>
    <phoneticPr fontId="1"/>
  </si>
  <si>
    <t>この項目は適宜変更して下さい。
※注意※
ただし、項目数は１０個まで。仮に少ない場合も行の削除は絶対に行わないで下さい。</t>
    <phoneticPr fontId="1"/>
  </si>
  <si>
    <t>B</t>
    <phoneticPr fontId="1"/>
  </si>
  <si>
    <t>A</t>
    <phoneticPr fontId="1"/>
  </si>
  <si>
    <t>B</t>
    <phoneticPr fontId="1"/>
  </si>
  <si>
    <t>A</t>
    <phoneticPr fontId="1"/>
  </si>
  <si>
    <t>C</t>
    <phoneticPr fontId="1"/>
  </si>
  <si>
    <t>C</t>
    <phoneticPr fontId="1"/>
  </si>
  <si>
    <t>主体的に学習に取り組む態度</t>
    <phoneticPr fontId="1"/>
  </si>
  <si>
    <t>-</t>
    <phoneticPr fontId="1"/>
  </si>
  <si>
    <t>この項目は適宜変更して下さい。
※注意※
ただし、項目数は１０個まで。仮に少ない場合も行の削除は絶対に行わないで下さい。</t>
    <phoneticPr fontId="1"/>
  </si>
  <si>
    <t>A</t>
    <phoneticPr fontId="1"/>
  </si>
  <si>
    <t>思考力・表現力・判断力（単元テスト・定期テスト）</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</si>
  <si>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</si>
  <si>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</si>
  <si>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</si>
  <si>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</si>
  <si>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</si>
  <si>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</si>
  <si>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</si>
  <si>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</si>
  <si>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</si>
  <si>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B</t>
    <phoneticPr fontId="1"/>
  </si>
  <si>
    <t>-</t>
    <phoneticPr fontId="1"/>
  </si>
  <si>
    <t>-</t>
    <phoneticPr fontId="1"/>
  </si>
  <si>
    <t>-</t>
    <phoneticPr fontId="1"/>
  </si>
  <si>
    <t>この項目は適宜変更して下さい。
※注意※
ただし、項目数は１０個まで。仮に少ない場合も行の削除は絶対に行わないで下さい。</t>
    <phoneticPr fontId="1"/>
  </si>
  <si>
    <t>C</t>
    <phoneticPr fontId="1"/>
  </si>
  <si>
    <t>A</t>
    <phoneticPr fontId="1"/>
  </si>
  <si>
    <t>B</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</si>
  <si>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</si>
  <si>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</si>
  <si>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</si>
  <si>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</si>
  <si>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</si>
  <si>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B</t>
    <phoneticPr fontId="14" type="Hiragana" alignment="distributed"/>
  </si>
  <si>
    <t>C</t>
    <phoneticPr fontId="14" type="Hiragana" alignment="distributed"/>
  </si>
  <si>
    <t>A</t>
    <phoneticPr fontId="14" type="Hiragana" alignment="distributed"/>
  </si>
  <si>
    <t>A</t>
    <phoneticPr fontId="14" type="Hiragana" alignment="distributed"/>
  </si>
  <si>
    <t>C</t>
    <phoneticPr fontId="14" type="Hiragana" alignment="distributed"/>
  </si>
  <si>
    <t>B</t>
    <phoneticPr fontId="14" type="Hiragana" alignment="distributed"/>
  </si>
  <si>
    <t>A</t>
    <phoneticPr fontId="1"/>
  </si>
  <si>
    <t>欠席が多く、箸袋が完成しませんでした。GWのレポート、技家ノートの未提出等で、成績をつける材料がないため。（家庭科）
・作品未完成、知識定着をさらに確実にすること。（技）</t>
    <phoneticPr fontId="1"/>
  </si>
  <si>
    <t>150～200</t>
    <phoneticPr fontId="9" type="Hiragana" alignment="distributed"/>
  </si>
  <si>
    <t>A～C</t>
    <phoneticPr fontId="1"/>
  </si>
  <si>
    <t>A</t>
    <phoneticPr fontId="1"/>
  </si>
  <si>
    <t>C</t>
    <phoneticPr fontId="1"/>
  </si>
  <si>
    <t>B</t>
    <phoneticPr fontId="1"/>
  </si>
  <si>
    <t>-</t>
    <phoneticPr fontId="1"/>
  </si>
  <si>
    <t>A～C</t>
    <phoneticPr fontId="1"/>
  </si>
  <si>
    <t>400～450</t>
    <phoneticPr fontId="9" type="Hiragana" alignment="distributed"/>
  </si>
  <si>
    <t>体育祭の大玉送りではチームのために懸命に玉を運び、必死に走る姿がありました。選抜リレーではアンカーを務め、1位でゴールテープを切りました。その雄姿は多くの仲間の目に焼き付いたことでしょう。応援合戦では副応援団長として団員を牽引しました。これらの一つひとつが、良い思い出になった以上に大きな経験になったはずです。勝利で味わった感動や体育祭を通し学んだことを、今後に活かしていきましょう。学習面では、中間テスト5科336点（補正点）、期末テスト5科379点（補正点）と伸ばすことができました。授業は集中して取り組めていますが、宿題の取り組みにはまだ甘さが見られますので、改善しましょう。生活面では、以前と比べれば落ち着きは見られますが、まだまだ判断力や想像力に欠ける行動が見られます。9学年がどのような年かということを再度自覚するように努めてください。1学期の定期テストや模試から、自分自身の課題が見えてきているはずです。夏期休業にはもう一度7・8年生の学習範囲を振り返り、基礎固めを行いましょう。</t>
    <phoneticPr fontId="1"/>
  </si>
  <si>
    <t>体育祭では赤組の一員として最後まで戦い抜くことができました。練習時間に間に合うように登校し、仲間と共に戦略を立てたり、応援したりしている姿は立派でした。自身の反省でも記載したように、「泣けるほどどの競技に対しても真剣に取り組めたこと」、「たとえ勝負に負けてしまっても最後までやり切った達成感やすがすがしさ」、そして光さんの周りには多くの仲間がいることを今後も忘れないでください。学習面では、中間テスト・期末テスト共に一日5科目の試験を受けることができました。光さんの中で学習や進路への意識が向いてきている証だと感じます。できることから一つひとつ、行っていきましょう。生活面では以前と比べ登校日数も増え、担任としてはとても嬉しく思っています。心配なことは多くあると思いますが、まずは規則正しい生活を行い学校に足を運び、学校生活を取り戻しましょう。1学期を振り返り、自分自身の課題が見えてきているはずです。夏期休業にはもう一度7・8年生の学習範囲を振り返り、基礎固めを行いましょう。</t>
    <phoneticPr fontId="1"/>
  </si>
  <si>
    <t>体育祭では赤組の一員として勝負にこだわり、妥協をせず最後まで戦い抜きました。タイヤ取りでは、放課後や昼休みに仲間と作戦会議をしたり練習をしたりして、勝つための努力を重ねました。自身の反省でも記載したように、「仲間とのコミュニケーションを大切にし、時には人に頼ることの大切さ」や、「臨機応変に周りの状況を見て行動する大切さ」を学ぶことができました。放送係長としては、顧問の先生や副係長と綿密に計画を立て、正確なアナウンスをするよう務めました。本番のアナウンスは、誰もが聞きやすい心地よいものでした。練習で苦労したこともありましたが、その成果が表れました。学習面では、中間テスト5科486点（補正点）、期末テスト5科505点（補正点）と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</si>
  <si>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白組の一員として勝負にこだわり、妥協をせず最後まで戦い抜くことができました。大玉送りでは本番で勝利を収めることができ、「精一杯行う気持ちの強さ」や、「仲間への応援・声がけの大切さ」を学ぶことができました。また、用具係としては、これまでの経験を活かした用具の配置や、後輩を指導するその手腕は、担当として大変頼もしい存在でした。朋子さんのおかげで用具係が回り、体育祭が円滑に進行できたと言っても過言ではありません。自身の競技がある中、係の活動を優先してくれた場面もありました。本当にありがとう。学習面では、中間テスト5科538点（補正点）、期末テスト5科519点（補正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</si>
  <si>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白組の一員として勝負にこだわり、妥協をせず最後まで戦い抜きました。タイヤ取りでは仲間と共に綿密な作戦を立てたり練習に励んだりしている姿が随所に見られました。練習・リハーサル、そして本番では、仲間を応援し鼓舞することで、白組の総合優勝を手繰り寄せました。また、実行委員会の本部委員としてはスローガンやポスターの選定から始まり、様々な準備や当日の運営等を経験することができました。自身の振り返りでも記載したように、「精一杯頑張ることの大切さ」や「挑戦することの大切さ」を忘れず、今後の学校生活にも活かしていきましょう。学習面では、中間テスト5科530点（補正点）、期末テスト5科509点（補正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</si>
  <si>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赤組の一員として勝負にこだわり、妥協をせず最後まで戦い抜くことができました。タイヤ取りでは仲間と共に綿密な作戦を立てたり練習に励んだりしている姿が随所に見られました。練習・リハーサル、そして本番の競技を通し、「最後まで諦めないことの大切さ」や、「声を出し積極的に仲間とコミュニケーションを取ることの大切さ」を学ぶことができた体育祭でした。装飾・誘導係としては会場装飾を行い、体育祭に彩を加えたり、後輩の誘導を行い、運営側から体育祭を支えることができました。学習面では、中間テスト5科536点（補正点）、期末テスト5科472点（補正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</si>
  <si>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赤組の一員として勝負にこだわり、妥協をせず最後まで戦い抜くことができました。総合優勝を逃し、悔しい思いもありましたが、競技では勝った時には「仲間と共に喜び」、負けてしまった時には「改善策を出し合う」などし、チームワークを大切に、勝利に向かって一致団結することの大切さを学ぶことができました。また、保護者の方や来場してくれた先輩方、後輩や先生方に感謝の気持ちを表すこともできました。得点係としては、公平公正な判断に務め、運営側から体育祭を支えることができました。学習面では、中間テスト5科532点（補正点）、期末テスト5科477点（補正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</si>
  <si>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白組の一員として勝負にこだわり、妥協をせず最後まで戦い抜くことができました。タイヤ取りでは仲間と共に綿密な作戦を立てたり練習に励んだりしている姿が随所に見られました。用具係では、運営側から体育祭を支えることができました。用具係としての練習では当初、動きや仲間とのやり取りに躊躇している場面もありましたが、熱心に練習に励み、当日は滞りなく配置・回収を行うことができました。自身の反省にも記載したように、「分からないことはすぐ先生方や仲間を頼り、聞いてみる」ことを実践してみましょう。悠人くんが思っている以上に自身のためになることがあるはずです。学習面では、中間テスト5科335点（補正点）、期末テスト5科324点（補正点）とやや下降傾向です。志望校合格に向けては一層の努力が必要です。家庭での学習の成果を見直してみましょう。1学期の定期テストや模試から、自分自身の課題が見えてきているはずです。夏期休業にはもう一度7・8年生の学習範囲を振り返り、基礎固めを行いましょう。</t>
    <phoneticPr fontId="1"/>
  </si>
  <si>
    <t>体育祭では白組の一員として勝負にこだわり、妥協をせず最後まで戦い抜くことができました。タイヤ取りでは仲間と共に綿密な作戦を立てたり練習に励んだりしている姿が随所に見られました。自身の反省でも記載したように、競技を通し、「くじけそうになった時も最後までくじけず、諦めないことの大切さ」が学べた体育祭でした。今年度の体育祭で学んだことを今後の生活に活かしていきましょう。得点係としては、公平公正な判断に務め、運営側から体育祭を支えることができました。学習面では、中間テスト5科336点（補正点）、期末テスト5科376点（補正点）と伸ばすことができました。普段の授業への取り組み、家庭での学習の成果が表れています。しかし、志望校合格に向けては一層の努力が必要です。引き続き努力を続けていきましょう。1学期の定期テストや模試から、自分自身の課題が見えてきているはずです。夏期休業にはもう一度7・8年生の学習範囲を振り返り、基礎固めを行いましょう。</t>
    <phoneticPr fontId="1"/>
  </si>
  <si>
    <t>体育祭では白組の一員として勝負にこだわり、妥協をせず最後まで戦い抜きました。タイヤ取りでは仲間と共に綿密な作戦を立てたり練習に励んだりしている姿が随所に見られました。装飾・誘導係としては会場装飾を行い、体育祭に彩を加えたり、後輩の誘導を行い、運営側から体育祭を支えることができました。また係活動を通し、裏方で働いている仲間の努力があって体育祭が成立していることを学ぶことができました。学習面では、中間テスト5科430点（補正点）、期末テスト5科435点（補正点）と伸ばすことができました。普段の授業への取り組み、家庭での学習の成果です。引き続き努力を続けていきましょう。生活面では、以前と比べれば落ち着きは見られますが、まだまだ判断力や想像力に欠ける行動が見られます。9学年がどのような年かということを再度自覚するように努めてください。1学期の定期テストや模試から、自分自身の課題が見えてきているはずです。夏期休業にはもう一度7・8年生の学習範囲を振り返り、応用問題にも取り組んでいきましょう。</t>
    <phoneticPr fontId="1"/>
  </si>
  <si>
    <t>体育祭では赤組の一員として勝負にこだわり、妥協をせず最後まで戦い抜くことができました。総合優勝を逃し悔しい思いもしましたが、競技・運営面共、最後までやり切ることができました。タイヤ取りでは仲間と共に綿密な作戦を立てたり練習に励んだりしている姿が随所に見られました。仲間と共に応援し、一つの競技に全力で打ち込むことを通し、一致団決することの大切さや楽しさを知ることができた体育祭でした。実行委員会の本部委員としてはスローガンやポスターの選定から始まり、様々な準備や当日の運営等、運営側から体育祭を支えました。学習面では、中間テスト5科548点（補正点）、期末テスト5科522点（補正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</si>
  <si>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白組の一員として勝負にこだわり、妥協をせず最後まで戦い抜きました。タイヤ取りでは仲間と共に綿密な作戦を立てたり練習に励んだりしている姿が随所に見られました。タイヤ取りで仲間と助け合ったり、共に練習したりすることを通して、協力することの大切さを学ぶことができました。得点副係長としては全校の前で堂々とした挨拶をした他、人一倍責任感を持って公平公正な判断に務め、体育祭を運営側から支えました。自身の反省でも記載したように、「責任感を持って取り組むこと」、「そこから学ぶことがたくさんあること」を今後の生活に活かし、今後も積極的に前に立ってほしいと願っています。学習面では、中間テスト5科247点（補正点）、期末テスト5科280点（補正点）と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phoneticPr fontId="1"/>
  </si>
  <si>
    <t>体育祭では赤組の一員として勝負にこだわり、最後まで戦い抜くことができました。大玉運びではアンカーを務め、最速タイムを計測することもできました。実行委員会副委員長としては、スローガンやポスターの選定、カウントダウンボードの作成、当日は全校の前で開・閉会宣言をする等、運営側から体育祭を支えました。責任感を持って取り組むこと、そこから学ぶことがたくさんあることが実感できたと思います。今後の生活に活かしてください。学習面では、中間テスト5科207点（補正点）と基礎力の定着が不足しています。部活動も終わりましたから、そろそろ切り替えを行わないと後がありません。意識を変えていきましょう。生活面では、以前と比べれば落ち着きは見られますが、まだまだ判断力や想像力に欠ける言動が見られます。学級長として期待をしていますので、再度その自覚を持って行動してください。1学期の定期テストや模試から、自分自身の課題が見えてきているはずです。夏期休業にはもう一度7・8年生の学習範囲を振り返り、基礎固めを行いましょう。</t>
    <phoneticPr fontId="1"/>
  </si>
  <si>
    <t>体育祭では赤組の一員として勝負にこだわり、妥協をせず最後まで戦い抜きました。タイヤ取りでは仲間と共に綿密な作戦を立てたり練習に励んだりしている姿が随所に見られました。初めて選出された選抜リレーでは、2位をキープし最後まで走り抜きました。その雄姿は多くの仲間の目に焼き付いたことでしょう。どの競技においても仲間とのコミュニケーションを大切にし、全力を尽くすことができました。用具係としては運営側から体育祭を支えることができました。練習当初は動きに迷い、不安に思っている場面もありましたが、熱心に練習に励み、当日は滞りなく配置・回収を行うことができました。学習面では、中間テスト5科436点（補正点）、期末テスト5科421点（補正点）を取る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</si>
  <si>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赤組の一員として勝負にこだわり、妥協をせず最後まで戦い抜くことができました。タイヤ取りでは仲間と共に綿密な作戦を立てたり練習に励んだりしている姿が随所に見られました。総合優勝は逃す結果となりましたが、最高学年としての自覚を持ち取り組めた体育祭となりました。選抜リレーでは十分な練習時間が確保できない中でしたが、「チームメイトとの交流を通し学ぶことも多くあった」という経験ができました。 装飾・誘導係としては会場装飾を行い、体育祭に彩を加えたり、後輩の誘導を行い、運営側から体育祭を支えることができました。学習面では、中間テスト5科401点（補正点）、期末テスト5科451点（補正点）と大きく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phoneticPr fontId="1"/>
  </si>
  <si>
    <t>体育祭では白組の一員として勝負にこだわり、妥協をせず最後まで戦い抜くことができました。タイヤ取りでは仲間と共に綿密な作戦を立てたり練習に励んだりしている姿が随所に見られ、白組を総合優勝に導きました。大玉送り、タイヤ取りでは練習では赤組が優勢だったなか、本番には勝つことができました。競技を通し、最後まで諦めず全力を尽くすことができたのが勝利の要因です。最後までよく頑張りました。装飾・誘導係としては副係長として会場装飾を行い、体育祭に彩を加えたり、後輩の誘導を行い、係の仲間たちと協力し、助けないながら運営側から体育祭を支えることができました。学習面では、中間テスト5科333点（補正点）、期末テスト5科347点（補正点）と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phoneticPr fontId="1"/>
  </si>
  <si>
    <t>体育祭では赤組の一員として勝負にこだわり、妥協をせず最後まで戦い抜くことができました。タイヤ取りでは仲間と共に綿密な作戦を立てたり練習に励んだりしている姿が随所に見られました。また本年度の体育祭では得点係長を務め、人一倍責任感を持って公平公正な判断をし、体育祭を運営側から支えました。全校の前に立つことは緊張もあったと思いますが、本番では堂々とした挨拶をすることができました。自身の反省にも記載したように、「リーダーの大変さ」、「支えてくれる仲間との絆の大切さ」に気づくことができました。最後までよく頑張りました。学習面では、中間テスト5科349点（補正点）、期末テスト5科394点（補正点）と大きく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t>
    <phoneticPr fontId="1"/>
  </si>
  <si>
    <t>体育祭では赤組の一員として勝負にこだわり、妥協をせず最後まで戦い抜くことができました。タイヤ取りでは仲間と共に綿密な作戦を立てたり練習に励んだりしている姿が随所に見られました。。リハーサルでは代表戦に出場し、その大変さや重責に気づき、「チームが一丸となる大切さ」や、「強い気持ちを持って臨むことの大切さ」に気づくことができました。装飾・誘導係長としては、仲間や後輩を牽引し、会場装飾を行い、体育祭に彩を加えたり後輩の誘導を行ったりし、運営側から体育祭を支えることができたました。最後まで自分の責任を全うすることのできた体育祭でした。学習面では、中間テスト5科364点（補正点）、期末テスト5科365点（補正点）を取ることができました。普段の授業への取り組み、家庭での学習の成果がこれまで以上に表れるよう、引き続き努力を続けていきましょう。1学期の定期テストや模試から、自分自身の課題が見えてきているはずです。夏期休業にはもう一度7・8年生の学習範囲を振り返り、基礎固めを行いましょう。</t>
    <phoneticPr fontId="1"/>
  </si>
  <si>
    <t>体育祭では白組の一員として勝負にこだわり、妥協をせず最後まで戦い抜くことができました。タイヤ取りでは仲間と共に綿密な作戦を立てたり練習に励んだりしている姿が随所に見られました。練習でも、本番の序盤でも、赤組が優勢と感じられる雰囲気だった中、勝負にこだわり最後まで戦った結果の総合優勝、自身の振り返りにも記載していたように、「諦めないこと」や「頑張り続けること」、「チームで団結したこと」、それらが実った結果だと思います。最後の体育祭、良い思い出になりました。得点係としては、公平公正な判断に務め、運営側から体育祭を支えることができました。学習面では、中間テスト5科406点（補正点）、期末テスト5科402点（補正点）を取る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</si>
  <si>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白組の一員として勝負にこだわり、妥協をせず最後まで戦い抜くことができました。タイヤ取りでは、練習ではなかなか勝つことができずチームで何度も作戦を考え直す場面が見られました。その努力もあり、自身の振り返りでも記載していましたが、「苦しい状況に置かれていても、仲間と協力し、目標に向かって試行錯誤することの大切」さ、また、「諦めずに最後まで取り組むことの意味」を知ることのできた感動的な体育祭となりました。得点係としては、公平公正な判断に務め、運営側から体育祭を支えることができました。学習面では、中間テスト5科562点（補正点）、期末テスト5科510点（補正点）と高いレベルをキープすることができています。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応用問題にも取り組んでいきましょう。</t>
    <phoneticPr fontId="1"/>
  </si>
  <si>
    <t>体育祭では白組の一員として勝負にこだわり、妥協をせず最後まで戦い抜くことができました。タイヤ取りでは仲間と共に綿密な作戦を立てたり練習に励んだりしている姿が随所に見られました。選技リレーに選ばれ、当初は心配をしている姿もありましたが、「絶対に負けない」という強い意思を持ち、1位でゴールテープを切りました。体育祭を通じて学んだ「全力で物事に取り組むことの楽しさ」や「仲間と協力・団結することの大切さ」をこれからも大切にしてください。また、装飾・誘導係としては会場装飾を行い、体育祭に彩を加えたり、後輩の誘導を行い、運営側から体育祭を支えることができました。学習面では、中間テスト5科403点（補正点）、期末テスト5科362点（補正点）を取ることができました。普段の授業への取り組み、家庭での学習の成果が表れるよう、引き続き努力を続けていきましょう。1学期の定期テストや模試から、自分自身の課題が見えてきているはずです。夏期休業にはもう一度7・8年生の学習範囲を振り返り、基礎固めを行いましょう。</t>
    <phoneticPr fontId="1"/>
  </si>
  <si>
    <t xml:space="preserve"> 出席日数（自動計算）</t>
    <phoneticPr fontId="1"/>
  </si>
  <si>
    <t xml:space="preserve"> 欠席日数</t>
    <phoneticPr fontId="1"/>
  </si>
  <si>
    <t>欠席26（体調不良2、心身の不調24）、遅刻34（体調不良1、心身の不調33）、早退1（心身の不調1）</t>
    <rPh sb="25" eb="27">
      <t>タイチョウ</t>
    </rPh>
    <rPh sb="27" eb="29">
      <t>フリョウ</t>
    </rPh>
    <phoneticPr fontId="1"/>
  </si>
  <si>
    <t>欠席9（家事都合6、風邪1、腹痛2）、早退1（体調不良1）</t>
    <phoneticPr fontId="1"/>
  </si>
  <si>
    <t xml:space="preserve">手順確認
1. ○ - ○ (教科) 通知票元データ.xlsxファイルに教科担任が入力
2. ○ - ○ (所見、道徳、出欠) 通知票元データ.xlsxファイルに学級担任が入力
3. データ取込ボタン押下で通知票元データファイルからすべてのデータを集計
4. 印刷範囲を指定して通知票印刷ボタン押下でまとめて印刷
5. 印刷範囲を指定して所見集印刷ボタン押下で所見集シートの情報をまとめて印刷
</t>
    <rPh sb="38" eb="40">
      <t>タンニン</t>
    </rPh>
    <rPh sb="57" eb="59">
      <t>ドウトク</t>
    </rPh>
    <rPh sb="60" eb="62">
      <t>シュッケツ</t>
    </rPh>
    <rPh sb="81" eb="83">
      <t>ガッキュウ</t>
    </rPh>
    <rPh sb="83" eb="85">
      <t>タンニン</t>
    </rPh>
    <rPh sb="86" eb="88">
      <t>ニュウリョク</t>
    </rPh>
    <phoneticPr fontId="1"/>
  </si>
  <si>
    <t xml:space="preserve">質問
1. 前年と一学期評定.xlsxファイルは通知票作成の参考程度に使用されるもの？
2. 所見集の印刷は毎回行われること？使用用途は学級担任への配布？
3. 通知票Excelの目的について、通知票を印刷までという認識で良いか？ </t>
    <rPh sb="6" eb="8">
      <t>ゼンネン</t>
    </rPh>
    <rPh sb="9" eb="14">
      <t>イチガッキヒョウテイ</t>
    </rPh>
    <rPh sb="24" eb="27">
      <t>ツウチヒョウ</t>
    </rPh>
    <rPh sb="27" eb="29">
      <t>サクセイ</t>
    </rPh>
    <rPh sb="30" eb="34">
      <t>サンコウテイド</t>
    </rPh>
    <rPh sb="35" eb="37">
      <t>シヨウ</t>
    </rPh>
    <rPh sb="47" eb="50">
      <t>ショケンシュウ</t>
    </rPh>
    <rPh sb="51" eb="53">
      <t>インサツ</t>
    </rPh>
    <rPh sb="54" eb="57">
      <t>マイカイオコナ</t>
    </rPh>
    <rPh sb="63" eb="67">
      <t>シヨウヨウト</t>
    </rPh>
    <rPh sb="68" eb="72">
      <t>ガッキュウタンニン</t>
    </rPh>
    <rPh sb="74" eb="76">
      <t>ハイフ</t>
    </rPh>
    <rPh sb="81" eb="84">
      <t>ツウチヒョウ</t>
    </rPh>
    <rPh sb="90" eb="92">
      <t>モクテキ</t>
    </rPh>
    <rPh sb="97" eb="100">
      <t>ツウチヒョウ</t>
    </rPh>
    <rPh sb="101" eb="103">
      <t>インサツ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</si>
</sst>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u/>
      <sz val="11"/>
      <color indexed="12"/>
      <name val="ＭＳ Ｐゴシック"/>
      <family val="3"/>
      <charset val="128"/>
    </font>
    <font>
      <sz val="11"/>
      <name val="ＭＳ 明朝"/>
      <family val="1"/>
      <charset val="128"/>
    </font>
    <font>
      <b/>
      <sz val="12"/>
      <color theme="0"/>
      <name val="ＭＳ Ｐ明朝"/>
      <family val="1"/>
      <charset val="128"/>
    </font>
    <font>
      <sz val="11"/>
      <color indexed="60"/>
      <name val="ＭＳ Ｐゴシック"/>
      <family val="3"/>
      <charset val="128"/>
    </font>
  </fonts>
  <fills count="15">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indexed="42"/>
        <bgColor indexed="64"/>
      </patternFill>
    </fill>
    <fill>
      <patternFill patternType="solid">
        <fgColor theme="7" tint="0.59999389629810485"/>
        <bgColor indexed="64"/>
      </patternFill>
    </fill>
  </fills>
  <borders count="51">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hair">
        <color indexed="64"/>
      </left>
      <right style="thin">
        <color indexed="64"/>
      </right>
      <top style="thin">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186">
    <xf numFmtId="0" fontId="0" fillId="0" borderId="0" xfId="0">
      <alignment vertical="center"/>
    </xf>
    <xf numFmtId="0" fontId="3" fillId="0" borderId="1" xfId="0" applyFont="1" applyBorder="1" applyAlignment="1">
      <alignment horizontal="right" vertical="center"/>
    </xf>
    <xf numFmtId="0" fontId="3" fillId="0" borderId="0" xfId="0" applyFont="1">
      <alignment vertical="center"/>
    </xf>
    <xf numFmtId="0" fontId="3" fillId="0" borderId="2" xfId="0" applyFont="1" applyBorder="1" applyAlignment="1">
      <alignment horizontal="center" vertical="center"/>
    </xf>
    <xf numFmtId="0" fontId="3" fillId="0" borderId="0" xfId="0" applyFont="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Alignment="1">
      <alignment vertical="center" wrapText="1" shrinkToFit="1"/>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0" borderId="6" xfId="0" applyFont="1" applyBorder="1" applyAlignment="1">
      <alignment horizontal="center" vertical="center"/>
    </xf>
    <xf numFmtId="0" fontId="3" fillId="0" borderId="7" xfId="0" applyFont="1" applyBorder="1">
      <alignment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7" xfId="0" applyFont="1" applyBorder="1" applyAlignment="1">
      <alignment horizontal="center" vertical="center" textRotation="255"/>
    </xf>
    <xf numFmtId="0" fontId="3" fillId="0" borderId="0" xfId="0" applyFont="1" applyAlignment="1">
      <alignment horizontal="left" vertical="top" wrapText="1" shrinkToFit="1"/>
    </xf>
    <xf numFmtId="0" fontId="3" fillId="0" borderId="0" xfId="0" applyFont="1" applyAlignment="1">
      <alignment vertical="top" wrapText="1" shrinkToFit="1"/>
    </xf>
    <xf numFmtId="0" fontId="3" fillId="0" borderId="2" xfId="0" applyFont="1" applyBorder="1" applyAlignment="1">
      <alignment horizontal="center" vertical="center" shrinkToFit="1"/>
    </xf>
    <xf numFmtId="0" fontId="3" fillId="0" borderId="1" xfId="0" applyFont="1" applyBorder="1" applyAlignment="1">
      <alignment horizontal="center" vertical="center" shrinkToFit="1"/>
    </xf>
    <xf numFmtId="0" fontId="7" fillId="2" borderId="11" xfId="0" applyFont="1" applyFill="1" applyBorder="1" applyAlignment="1">
      <alignment horizontal="center" vertical="center" wrapText="1"/>
    </xf>
    <xf numFmtId="0" fontId="7" fillId="2" borderId="11" xfId="0" applyFont="1" applyFill="1" applyBorder="1" applyAlignment="1">
      <alignment horizontal="center" vertical="center"/>
    </xf>
    <xf numFmtId="0" fontId="6" fillId="2" borderId="11" xfId="0" applyFont="1" applyFill="1" applyBorder="1" applyAlignment="1">
      <alignment horizontal="center" vertical="center" wrapText="1"/>
    </xf>
    <xf numFmtId="0" fontId="3" fillId="3" borderId="11" xfId="0" applyFont="1" applyFill="1" applyBorder="1" applyAlignment="1">
      <alignment vertical="top" textRotation="255"/>
    </xf>
    <xf numFmtId="0" fontId="3" fillId="0" borderId="0" xfId="0" applyFont="1" applyAlignment="1">
      <alignment vertical="center" textRotation="255"/>
    </xf>
    <xf numFmtId="0" fontId="3" fillId="3" borderId="11" xfId="0" applyFont="1" applyFill="1" applyBorder="1" applyAlignment="1">
      <alignment horizontal="center" vertical="center"/>
    </xf>
    <xf numFmtId="0" fontId="2" fillId="0" borderId="11" xfId="0" applyFont="1" applyBorder="1" applyAlignment="1" applyProtection="1">
      <alignment horizontal="center" vertical="center"/>
      <protection locked="0"/>
    </xf>
    <xf numFmtId="0" fontId="8" fillId="0" borderId="0" xfId="0" applyFont="1">
      <alignment vertical="center"/>
    </xf>
    <xf numFmtId="0" fontId="3" fillId="3" borderId="11" xfId="0" applyFont="1" applyFill="1" applyBorder="1" applyAlignment="1">
      <alignment horizontal="left" vertical="center" wrapText="1"/>
    </xf>
    <xf numFmtId="0" fontId="3" fillId="0" borderId="23" xfId="0" applyFont="1" applyBorder="1" applyAlignment="1">
      <alignment horizontal="left" vertical="center" wrapText="1"/>
    </xf>
    <xf numFmtId="0" fontId="3" fillId="5" borderId="11" xfId="0" applyFont="1" applyFill="1" applyBorder="1" applyAlignment="1">
      <alignment horizontal="center" vertical="center" wrapText="1"/>
    </xf>
    <xf numFmtId="0" fontId="2" fillId="3" borderId="11" xfId="0" applyFont="1" applyFill="1" applyBorder="1" applyProtection="1">
      <alignment vertical="center"/>
      <protection locked="0"/>
    </xf>
    <xf numFmtId="0" fontId="3" fillId="0" borderId="0" xfId="0" applyFont="1" applyAlignment="1">
      <alignment horizontal="center" vertical="center"/>
    </xf>
    <xf numFmtId="0" fontId="3" fillId="0" borderId="11" xfId="0" applyFont="1" applyBorder="1" applyAlignment="1" applyProtection="1">
      <alignment horizontal="left" vertical="center" wrapText="1"/>
      <protection locked="0"/>
    </xf>
    <xf numFmtId="0" fontId="10" fillId="6" borderId="11" xfId="0" applyFont="1" applyFill="1" applyBorder="1" applyAlignment="1">
      <alignment horizontal="center" vertical="center"/>
    </xf>
    <xf numFmtId="0" fontId="3" fillId="6" borderId="11" xfId="0" applyFont="1" applyFill="1" applyBorder="1" applyAlignment="1">
      <alignment horizontal="center" vertical="center" wrapText="1"/>
    </xf>
    <xf numFmtId="0" fontId="3" fillId="3" borderId="11" xfId="0" applyFont="1" applyFill="1" applyBorder="1" applyProtection="1">
      <alignment vertical="center"/>
      <protection locked="0"/>
    </xf>
    <xf numFmtId="0" fontId="11" fillId="11" borderId="38" xfId="0" applyFont="1" applyFill="1" applyBorder="1" applyAlignment="1">
      <alignment horizontal="center" vertical="center"/>
    </xf>
    <xf numFmtId="0" fontId="12" fillId="10" borderId="38" xfId="0" applyFont="1" applyFill="1" applyBorder="1" applyAlignment="1">
      <alignment horizontal="center" vertical="center"/>
    </xf>
    <xf numFmtId="0" fontId="3" fillId="0" borderId="0" xfId="0" applyFont="1" applyAlignment="1">
      <alignment horizontal="left" vertical="center" indent="1"/>
    </xf>
    <xf numFmtId="0" fontId="2" fillId="0" borderId="0" xfId="0" applyFont="1" applyAlignment="1">
      <alignment horizontal="center" vertical="center"/>
    </xf>
    <xf numFmtId="0" fontId="2" fillId="0" borderId="0" xfId="0" applyFont="1" applyAlignment="1">
      <alignment horizontal="right" vertical="center"/>
    </xf>
    <xf numFmtId="0" fontId="3" fillId="0" borderId="12" xfId="0" applyFont="1" applyBorder="1">
      <alignment vertical="center"/>
    </xf>
    <xf numFmtId="0" fontId="3" fillId="0" borderId="9" xfId="0" applyFont="1" applyBorder="1">
      <alignment vertical="center"/>
    </xf>
    <xf numFmtId="0" fontId="3" fillId="0" borderId="7" xfId="0" applyFont="1" applyBorder="1" applyAlignment="1">
      <alignment vertical="center" textRotation="255"/>
    </xf>
    <xf numFmtId="0" fontId="5" fillId="0" borderId="8" xfId="0" applyFont="1" applyBorder="1" applyAlignment="1">
      <alignment horizontal="center" vertical="center"/>
    </xf>
    <xf numFmtId="0" fontId="3" fillId="0" borderId="31" xfId="0" applyFont="1" applyBorder="1" applyAlignment="1">
      <alignment horizontal="left" vertical="top" wrapText="1"/>
    </xf>
    <xf numFmtId="0" fontId="3" fillId="0" borderId="13" xfId="0" applyFont="1" applyBorder="1" applyAlignment="1">
      <alignment vertical="center" textRotation="255"/>
    </xf>
    <xf numFmtId="0" fontId="5" fillId="0" borderId="41" xfId="0" applyFont="1" applyBorder="1" applyAlignment="1">
      <alignment horizontal="center" vertical="center"/>
    </xf>
    <xf numFmtId="0" fontId="3" fillId="0" borderId="33" xfId="0" applyFont="1" applyBorder="1" applyAlignment="1">
      <alignment horizontal="left" vertical="top" wrapText="1"/>
    </xf>
    <xf numFmtId="0" fontId="3" fillId="0" borderId="0" xfId="0" applyFont="1" applyAlignment="1">
      <alignment horizontal="left" vertical="top" wrapText="1"/>
    </xf>
    <xf numFmtId="0" fontId="3" fillId="0" borderId="23" xfId="0" applyFont="1" applyBorder="1">
      <alignment vertical="center"/>
    </xf>
    <xf numFmtId="0" fontId="2" fillId="0" borderId="0" xfId="0" applyFont="1" applyAlignment="1">
      <alignment horizontal="left" vertical="center" indent="1"/>
    </xf>
    <xf numFmtId="0" fontId="8" fillId="0" borderId="0" xfId="0" applyFont="1" applyProtection="1">
      <alignment vertical="center"/>
      <protection locked="0"/>
    </xf>
    <xf numFmtId="0" fontId="3" fillId="3" borderId="11" xfId="0" applyFont="1" applyFill="1" applyBorder="1">
      <alignment vertical="center"/>
    </xf>
    <xf numFmtId="0" fontId="3" fillId="0" borderId="22" xfId="0" applyFont="1" applyBorder="1" applyAlignment="1" applyProtection="1">
      <alignment horizontal="left" vertical="center" shrinkToFit="1"/>
      <protection locked="0"/>
    </xf>
    <xf numFmtId="0" fontId="5" fillId="0" borderId="2" xfId="0" applyFont="1" applyBorder="1" applyAlignment="1">
      <alignment horizontal="center" vertical="center"/>
    </xf>
    <xf numFmtId="0" fontId="5" fillId="0" borderId="1" xfId="0" applyFont="1" applyBorder="1" applyAlignment="1">
      <alignment horizontal="center" vertical="center"/>
    </xf>
    <xf numFmtId="0" fontId="3" fillId="0" borderId="1" xfId="0" applyFont="1" applyBorder="1" applyAlignment="1">
      <alignment horizontal="center" vertical="center"/>
    </xf>
    <xf numFmtId="0" fontId="3" fillId="0" borderId="8" xfId="0" applyFont="1" applyBorder="1" applyAlignment="1">
      <alignment horizontal="center" vertical="center"/>
    </xf>
    <xf numFmtId="0" fontId="3" fillId="0" borderId="0" xfId="0" applyFont="1" applyAlignment="1">
      <alignment horizontal="left" vertical="center" wrapText="1"/>
    </xf>
    <xf numFmtId="0" fontId="15" fillId="0" borderId="7" xfId="0" applyFont="1" applyBorder="1" applyAlignment="1">
      <alignment horizontal="center" vertical="center" textRotation="255"/>
    </xf>
    <xf numFmtId="0" fontId="3" fillId="0" borderId="1" xfId="0" applyFont="1" applyBorder="1">
      <alignment vertical="center"/>
    </xf>
    <xf numFmtId="0" fontId="3" fillId="0" borderId="42" xfId="0" applyFont="1" applyBorder="1" applyAlignment="1">
      <alignment horizontal="center" vertical="center"/>
    </xf>
    <xf numFmtId="0" fontId="3" fillId="0" borderId="26" xfId="0" applyFont="1" applyBorder="1">
      <alignment vertical="center"/>
    </xf>
    <xf numFmtId="0" fontId="4" fillId="0" borderId="36" xfId="0" applyFont="1" applyBorder="1" applyAlignment="1">
      <alignment vertical="center" wrapText="1" shrinkToFit="1"/>
    </xf>
    <xf numFmtId="0" fontId="3" fillId="0" borderId="4" xfId="0" applyFont="1" applyBorder="1" applyAlignment="1">
      <alignment horizontal="center" vertical="center"/>
    </xf>
    <xf numFmtId="0" fontId="4" fillId="0" borderId="1" xfId="0" applyFont="1" applyBorder="1" applyAlignment="1">
      <alignment horizontal="left" vertical="top"/>
    </xf>
    <xf numFmtId="0" fontId="4" fillId="0" borderId="26" xfId="0" applyFont="1" applyBorder="1" applyAlignment="1">
      <alignment vertical="center" wrapText="1" shrinkToFit="1"/>
    </xf>
    <xf numFmtId="0" fontId="4" fillId="0" borderId="26" xfId="0" applyFont="1" applyBorder="1" applyAlignment="1">
      <alignment vertical="center" shrinkToFit="1"/>
    </xf>
    <xf numFmtId="0" fontId="3" fillId="0" borderId="22" xfId="0" applyFont="1" applyBorder="1" applyProtection="1">
      <alignment vertical="center"/>
      <protection locked="0"/>
    </xf>
    <xf numFmtId="0" fontId="3" fillId="3" borderId="35" xfId="0" applyFont="1" applyFill="1" applyBorder="1" applyAlignment="1">
      <alignment horizontal="center" vertical="center"/>
    </xf>
    <xf numFmtId="0" fontId="3" fillId="0" borderId="11" xfId="0" applyFont="1" applyBorder="1" applyAlignment="1">
      <alignment horizontal="right" vertical="center"/>
    </xf>
    <xf numFmtId="0" fontId="16" fillId="0" borderId="0" xfId="0" applyFont="1" applyAlignment="1">
      <alignment vertical="top" wrapText="1" shrinkToFit="1"/>
    </xf>
    <xf numFmtId="0" fontId="3" fillId="12" borderId="11" xfId="0" applyFont="1" applyFill="1" applyBorder="1" applyAlignment="1">
      <alignment horizontal="center" vertical="center" wrapText="1"/>
    </xf>
    <xf numFmtId="0" fontId="3" fillId="0" borderId="22" xfId="0" applyFont="1" applyBorder="1" applyAlignment="1" applyProtection="1">
      <alignment vertical="center" shrinkToFit="1"/>
      <protection locked="0"/>
    </xf>
    <xf numFmtId="0" fontId="3" fillId="14" borderId="11" xfId="0" applyFont="1" applyFill="1" applyBorder="1" applyAlignment="1">
      <alignment horizontal="center" vertical="center"/>
    </xf>
    <xf numFmtId="0" fontId="3" fillId="3" borderId="11" xfId="0" applyFont="1" applyFill="1" applyBorder="1" applyAlignment="1">
      <alignment vertical="top" textRotation="255" shrinkToFit="1"/>
    </xf>
    <xf numFmtId="0" fontId="2" fillId="0" borderId="11" xfId="0" applyFont="1" applyBorder="1" applyProtection="1">
      <alignment vertical="center"/>
      <protection locked="0"/>
    </xf>
    <xf numFmtId="0" fontId="2" fillId="7" borderId="11" xfId="0" applyFont="1" applyFill="1" applyBorder="1">
      <alignment vertical="center"/>
    </xf>
    <xf numFmtId="0" fontId="3" fillId="0" borderId="0" xfId="0" applyFont="1" applyAlignment="1">
      <alignment horizontal="center" vertical="center"/>
    </xf>
    <xf numFmtId="0" fontId="2" fillId="0" borderId="0" xfId="0" applyFont="1" applyAlignment="1">
      <alignment horizontal="center" vertical="center"/>
    </xf>
    <xf numFmtId="0" fontId="3" fillId="0" borderId="1"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32" xfId="0" applyFont="1" applyBorder="1" applyAlignment="1">
      <alignment horizontal="center" vertical="center"/>
    </xf>
    <xf numFmtId="0" fontId="3" fillId="0" borderId="34" xfId="0" applyFont="1" applyBorder="1" applyAlignment="1">
      <alignment horizontal="center" vertical="center"/>
    </xf>
    <xf numFmtId="0" fontId="3" fillId="0" borderId="8" xfId="0" applyFont="1" applyBorder="1" applyAlignment="1">
      <alignment horizontal="center" vertical="center"/>
    </xf>
    <xf numFmtId="0" fontId="3" fillId="0" borderId="31" xfId="0" applyFont="1" applyBorder="1" applyAlignment="1">
      <alignment horizontal="center" vertical="center"/>
    </xf>
    <xf numFmtId="0" fontId="15" fillId="0" borderId="12" xfId="0" applyFont="1" applyBorder="1" applyAlignment="1">
      <alignment horizontal="center" vertical="center" textRotation="255"/>
    </xf>
    <xf numFmtId="0" fontId="15" fillId="0" borderId="13" xfId="0" applyFont="1" applyBorder="1" applyAlignment="1">
      <alignment horizontal="center" vertical="center" textRotation="255"/>
    </xf>
    <xf numFmtId="0" fontId="3" fillId="0" borderId="15" xfId="0" applyFont="1" applyBorder="1" applyAlignment="1">
      <alignment horizontal="left" vertical="center" shrinkToFit="1"/>
    </xf>
    <xf numFmtId="0" fontId="3" fillId="0" borderId="16" xfId="0" applyFont="1" applyBorder="1" applyAlignment="1">
      <alignment horizontal="left" vertical="center" shrinkToFit="1"/>
    </xf>
    <xf numFmtId="0" fontId="3" fillId="0" borderId="17" xfId="0" applyFont="1" applyBorder="1" applyAlignment="1">
      <alignment horizontal="left" vertical="center" shrinkToFit="1"/>
    </xf>
    <xf numFmtId="0" fontId="5" fillId="0" borderId="2" xfId="0" applyFont="1" applyBorder="1" applyAlignment="1">
      <alignment horizontal="center" vertical="center"/>
    </xf>
    <xf numFmtId="0" fontId="5" fillId="0" borderId="25" xfId="0" applyFont="1" applyBorder="1" applyAlignment="1">
      <alignment horizontal="center" vertical="center"/>
    </xf>
    <xf numFmtId="0" fontId="5" fillId="0" borderId="0" xfId="0" applyFont="1" applyAlignment="1">
      <alignment horizontal="center" vertical="center"/>
    </xf>
    <xf numFmtId="0" fontId="5" fillId="0" borderId="26" xfId="0" applyFont="1" applyBorder="1" applyAlignment="1">
      <alignment horizontal="center" vertical="center"/>
    </xf>
    <xf numFmtId="0" fontId="3" fillId="0" borderId="18" xfId="0" applyFont="1" applyBorder="1" applyAlignment="1">
      <alignment horizontal="left" vertical="center" shrinkToFit="1"/>
    </xf>
    <xf numFmtId="0" fontId="3" fillId="0" borderId="19" xfId="0" applyFont="1" applyBorder="1" applyAlignment="1">
      <alignment horizontal="left" vertical="center" shrinkToFit="1"/>
    </xf>
    <xf numFmtId="0" fontId="3" fillId="0" borderId="20" xfId="0" applyFont="1" applyBorder="1" applyAlignment="1">
      <alignment horizontal="left" vertical="center" shrinkToFit="1"/>
    </xf>
    <xf numFmtId="0" fontId="3" fillId="0" borderId="27" xfId="0" applyFont="1" applyBorder="1" applyAlignment="1">
      <alignment horizontal="left" vertical="center" shrinkToFit="1"/>
    </xf>
    <xf numFmtId="0" fontId="3" fillId="0" borderId="28" xfId="0" applyFont="1" applyBorder="1" applyAlignment="1">
      <alignment horizontal="left" vertical="center" shrinkToFit="1"/>
    </xf>
    <xf numFmtId="0" fontId="3" fillId="0" borderId="29" xfId="0" applyFont="1" applyBorder="1" applyAlignment="1">
      <alignment horizontal="left" vertical="center" shrinkToFit="1"/>
    </xf>
    <xf numFmtId="0" fontId="15" fillId="0" borderId="14" xfId="0" applyFont="1" applyBorder="1" applyAlignment="1">
      <alignment horizontal="center" vertical="center" textRotation="255"/>
    </xf>
    <xf numFmtId="0" fontId="5" fillId="0" borderId="1" xfId="0" applyFont="1" applyBorder="1" applyAlignment="1">
      <alignment horizontal="center" vertical="center"/>
    </xf>
    <xf numFmtId="0" fontId="5" fillId="0" borderId="30" xfId="0" applyFont="1" applyBorder="1" applyAlignment="1">
      <alignment horizontal="center" vertical="center"/>
    </xf>
    <xf numFmtId="0" fontId="3" fillId="0" borderId="32" xfId="0" applyFont="1" applyBorder="1" applyAlignment="1">
      <alignment horizontal="left" vertical="top" wrapText="1"/>
    </xf>
    <xf numFmtId="0" fontId="3" fillId="0" borderId="23" xfId="0" applyFont="1" applyBorder="1" applyAlignment="1">
      <alignment horizontal="left" vertical="top" wrapText="1"/>
    </xf>
    <xf numFmtId="0" fontId="3" fillId="0" borderId="24" xfId="0" applyFont="1" applyBorder="1" applyAlignment="1">
      <alignment horizontal="left" vertical="top" wrapText="1"/>
    </xf>
    <xf numFmtId="0" fontId="12" fillId="10" borderId="39" xfId="0" applyFont="1" applyFill="1" applyBorder="1" applyAlignment="1">
      <alignment horizontal="center" vertical="center"/>
    </xf>
    <xf numFmtId="0" fontId="12" fillId="10" borderId="40" xfId="0" applyFont="1" applyFill="1" applyBorder="1" applyAlignment="1">
      <alignment horizontal="center" vertical="center"/>
    </xf>
    <xf numFmtId="0" fontId="3" fillId="0" borderId="20" xfId="0" applyFont="1" applyBorder="1" applyAlignment="1">
      <alignment horizontal="left" vertical="center"/>
    </xf>
    <xf numFmtId="0" fontId="3" fillId="0" borderId="5" xfId="0" applyFont="1" applyBorder="1" applyAlignment="1">
      <alignment horizontal="left" vertical="center"/>
    </xf>
    <xf numFmtId="0" fontId="15" fillId="0" borderId="12" xfId="0" applyFont="1" applyBorder="1" applyAlignment="1">
      <alignment horizontal="center" vertical="center" wrapText="1" shrinkToFit="1"/>
    </xf>
    <xf numFmtId="0" fontId="15" fillId="0" borderId="13" xfId="0" applyFont="1" applyBorder="1" applyAlignment="1">
      <alignment horizontal="center" vertical="center" wrapText="1" shrinkToFit="1"/>
    </xf>
    <xf numFmtId="0" fontId="15" fillId="0" borderId="14" xfId="0" applyFont="1" applyBorder="1" applyAlignment="1">
      <alignment horizontal="center" vertical="center" wrapText="1" shrinkToFit="1"/>
    </xf>
    <xf numFmtId="0" fontId="3" fillId="0" borderId="2" xfId="0" applyFont="1" applyBorder="1" applyAlignment="1">
      <alignment horizontal="left" vertical="top" wrapText="1" shrinkToFit="1"/>
    </xf>
    <xf numFmtId="0" fontId="3" fillId="0" borderId="25" xfId="0" applyFont="1" applyBorder="1" applyAlignment="1">
      <alignment horizontal="left" vertical="top" wrapText="1" shrinkToFit="1"/>
    </xf>
    <xf numFmtId="0" fontId="3" fillId="0" borderId="0" xfId="0" applyFont="1" applyAlignment="1">
      <alignment horizontal="left" vertical="top" wrapText="1" shrinkToFit="1"/>
    </xf>
    <xf numFmtId="0" fontId="3" fillId="0" borderId="26" xfId="0" applyFont="1" applyBorder="1" applyAlignment="1">
      <alignment horizontal="left" vertical="top" wrapText="1" shrinkToFit="1"/>
    </xf>
    <xf numFmtId="0" fontId="3" fillId="0" borderId="1" xfId="0" applyFont="1" applyBorder="1" applyAlignment="1">
      <alignment horizontal="left" vertical="top" wrapText="1" shrinkToFit="1"/>
    </xf>
    <xf numFmtId="0" fontId="3" fillId="0" borderId="30" xfId="0" applyFont="1" applyBorder="1" applyAlignment="1">
      <alignment horizontal="left" vertical="top" wrapText="1" shrinkToFit="1"/>
    </xf>
    <xf numFmtId="0" fontId="3" fillId="0" borderId="2" xfId="0" applyFont="1" applyBorder="1" applyAlignment="1">
      <alignment horizontal="left" vertical="top" wrapText="1"/>
    </xf>
    <xf numFmtId="0" fontId="3" fillId="0" borderId="25" xfId="0" applyFont="1" applyBorder="1" applyAlignment="1">
      <alignment horizontal="left" vertical="top" wrapText="1"/>
    </xf>
    <xf numFmtId="0" fontId="3" fillId="0" borderId="0" xfId="0" applyFont="1" applyAlignment="1">
      <alignment horizontal="left" vertical="top" wrapText="1"/>
    </xf>
    <xf numFmtId="0" fontId="3" fillId="0" borderId="26" xfId="0" applyFont="1" applyBorder="1" applyAlignment="1">
      <alignment horizontal="left" vertical="top" wrapText="1"/>
    </xf>
    <xf numFmtId="0" fontId="3" fillId="0" borderId="1" xfId="0" applyFont="1" applyBorder="1" applyAlignment="1">
      <alignment horizontal="left" vertical="top" wrapText="1"/>
    </xf>
    <xf numFmtId="0" fontId="3" fillId="0" borderId="30" xfId="0" applyFont="1" applyBorder="1" applyAlignment="1">
      <alignment horizontal="left" vertical="top" wrapText="1"/>
    </xf>
    <xf numFmtId="0" fontId="3" fillId="0" borderId="43" xfId="0" applyFont="1" applyBorder="1" applyAlignment="1">
      <alignment horizontal="center" vertical="center" textRotation="255" wrapText="1"/>
    </xf>
    <xf numFmtId="0" fontId="3" fillId="0" borderId="46" xfId="0" applyFont="1" applyBorder="1" applyAlignment="1">
      <alignment horizontal="center" vertical="center" textRotation="255" wrapText="1"/>
    </xf>
    <xf numFmtId="0" fontId="3" fillId="0" borderId="47" xfId="0" applyFont="1" applyBorder="1" applyAlignment="1">
      <alignment horizontal="center" vertical="center" textRotation="255" wrapText="1"/>
    </xf>
    <xf numFmtId="0" fontId="3" fillId="0" borderId="44" xfId="0" applyFont="1" applyBorder="1" applyAlignment="1">
      <alignment horizontal="left" vertical="top" wrapText="1"/>
    </xf>
    <xf numFmtId="0" fontId="3" fillId="0" borderId="45" xfId="0" applyFont="1" applyBorder="1" applyAlignment="1">
      <alignment horizontal="left" vertical="top" wrapText="1"/>
    </xf>
    <xf numFmtId="0" fontId="3" fillId="0" borderId="41" xfId="0" applyFont="1" applyBorder="1" applyAlignment="1">
      <alignment horizontal="left" vertical="top" wrapText="1"/>
    </xf>
    <xf numFmtId="0" fontId="3" fillId="0" borderId="33" xfId="0" applyFont="1" applyBorder="1" applyAlignment="1">
      <alignment horizontal="left" vertical="top" wrapText="1"/>
    </xf>
    <xf numFmtId="0" fontId="3" fillId="0" borderId="48" xfId="0" applyFont="1" applyBorder="1" applyAlignment="1">
      <alignment horizontal="left" vertical="top" wrapText="1"/>
    </xf>
    <xf numFmtId="0" fontId="3" fillId="0" borderId="49" xfId="0" applyFont="1" applyBorder="1" applyAlignment="1">
      <alignment horizontal="left" vertical="top" wrapText="1"/>
    </xf>
    <xf numFmtId="0" fontId="3" fillId="0" borderId="5" xfId="0" applyFont="1" applyBorder="1" applyAlignment="1">
      <alignment horizontal="left" vertical="center" shrinkToFit="1"/>
    </xf>
    <xf numFmtId="0" fontId="3" fillId="0" borderId="6" xfId="0" applyFont="1" applyBorder="1" applyAlignment="1">
      <alignment horizontal="left" vertical="center" shrinkToFit="1"/>
    </xf>
    <xf numFmtId="0" fontId="3" fillId="0" borderId="32" xfId="0" applyFont="1" applyBorder="1" applyAlignment="1">
      <alignment horizontal="left" vertical="top" wrapText="1" shrinkToFit="1"/>
    </xf>
    <xf numFmtId="0" fontId="3" fillId="0" borderId="23" xfId="0" applyFont="1" applyBorder="1" applyAlignment="1">
      <alignment horizontal="left" vertical="top" wrapText="1" shrinkToFit="1"/>
    </xf>
    <xf numFmtId="0" fontId="3" fillId="0" borderId="24" xfId="0" applyFont="1" applyBorder="1" applyAlignment="1">
      <alignment horizontal="left" vertical="top" wrapText="1" shrinkToFit="1"/>
    </xf>
    <xf numFmtId="0" fontId="4" fillId="0" borderId="0" xfId="0" applyFont="1" applyAlignment="1">
      <alignment horizontal="right"/>
    </xf>
    <xf numFmtId="0" fontId="15" fillId="0" borderId="12" xfId="0" applyFont="1" applyBorder="1" applyAlignment="1">
      <alignment horizontal="center" vertical="center" textRotation="255" wrapText="1"/>
    </xf>
    <xf numFmtId="0" fontId="15" fillId="0" borderId="13" xfId="0" applyFont="1" applyBorder="1" applyAlignment="1">
      <alignment horizontal="center" vertical="center" textRotation="255" wrapText="1"/>
    </xf>
    <xf numFmtId="0" fontId="15" fillId="0" borderId="14" xfId="0" applyFont="1" applyBorder="1" applyAlignment="1">
      <alignment horizontal="center" vertical="center" textRotation="255" wrapText="1"/>
    </xf>
    <xf numFmtId="0" fontId="3" fillId="0" borderId="21" xfId="0" applyFont="1" applyBorder="1" applyAlignment="1">
      <alignment horizontal="left" vertical="center" shrinkToFit="1"/>
    </xf>
    <xf numFmtId="0" fontId="3" fillId="0" borderId="17" xfId="0" applyFont="1" applyBorder="1" applyAlignment="1">
      <alignment horizontal="left" vertical="center"/>
    </xf>
    <xf numFmtId="0" fontId="3" fillId="0" borderId="21" xfId="0" applyFont="1" applyBorder="1" applyAlignment="1">
      <alignment horizontal="left" vertical="center"/>
    </xf>
    <xf numFmtId="0" fontId="3" fillId="0" borderId="8" xfId="0" applyFont="1" applyBorder="1" applyAlignment="1">
      <alignment horizontal="left" vertical="top" wrapText="1"/>
    </xf>
    <xf numFmtId="0" fontId="3" fillId="0" borderId="31" xfId="0" applyFont="1" applyBorder="1" applyAlignment="1">
      <alignment horizontal="left" vertical="top" wrapText="1"/>
    </xf>
    <xf numFmtId="0" fontId="6" fillId="4" borderId="35" xfId="0" applyFont="1" applyFill="1" applyBorder="1" applyAlignment="1">
      <alignment horizontal="left" vertical="center" wrapText="1"/>
    </xf>
    <xf numFmtId="0" fontId="6" fillId="4" borderId="36" xfId="0" applyFont="1" applyFill="1" applyBorder="1" applyAlignment="1">
      <alignment horizontal="left" vertical="center" wrapText="1"/>
    </xf>
    <xf numFmtId="0" fontId="6" fillId="4" borderId="50" xfId="0" applyFont="1" applyFill="1" applyBorder="1" applyAlignment="1">
      <alignment horizontal="left" vertical="center" wrapText="1"/>
    </xf>
    <xf numFmtId="0" fontId="3" fillId="0" borderId="22" xfId="0" applyFont="1" applyBorder="1" applyAlignment="1" applyProtection="1">
      <alignment horizontal="left" vertical="center" wrapText="1"/>
      <protection locked="0"/>
    </xf>
    <xf numFmtId="0" fontId="3" fillId="0" borderId="23" xfId="0" applyFont="1" applyBorder="1" applyAlignment="1" applyProtection="1">
      <alignment horizontal="left" vertical="center" wrapText="1"/>
      <protection locked="0"/>
    </xf>
    <xf numFmtId="0" fontId="3" fillId="0" borderId="24" xfId="0" applyFont="1" applyBorder="1" applyAlignment="1" applyProtection="1">
      <alignment horizontal="left" vertical="center" wrapText="1"/>
      <protection locked="0"/>
    </xf>
    <xf numFmtId="0" fontId="3" fillId="5" borderId="22"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3" fillId="5" borderId="24" xfId="0" applyFont="1" applyFill="1" applyBorder="1" applyAlignment="1">
      <alignment horizontal="center" vertical="center" wrapText="1"/>
    </xf>
    <xf numFmtId="0" fontId="3" fillId="7" borderId="25" xfId="0" applyFont="1" applyFill="1" applyBorder="1" applyAlignment="1">
      <alignment horizontal="left" vertical="center" wrapText="1"/>
    </xf>
    <xf numFmtId="0" fontId="3" fillId="7" borderId="26" xfId="0" applyFont="1" applyFill="1" applyBorder="1" applyAlignment="1">
      <alignment horizontal="left" vertical="center" wrapText="1"/>
    </xf>
    <xf numFmtId="0" fontId="3" fillId="8" borderId="22" xfId="0" applyFont="1" applyFill="1" applyBorder="1" applyAlignment="1">
      <alignment horizontal="left" vertical="center" wrapText="1"/>
    </xf>
    <xf numFmtId="0" fontId="3" fillId="8" borderId="23" xfId="0" applyFont="1" applyFill="1" applyBorder="1" applyAlignment="1">
      <alignment horizontal="left" vertical="center" wrapText="1"/>
    </xf>
    <xf numFmtId="0" fontId="3" fillId="8" borderId="24" xfId="0" applyFont="1" applyFill="1" applyBorder="1" applyAlignment="1">
      <alignment horizontal="left" vertical="center" wrapText="1"/>
    </xf>
    <xf numFmtId="0" fontId="3" fillId="13" borderId="22" xfId="0" applyFont="1" applyFill="1" applyBorder="1" applyAlignment="1">
      <alignment horizontal="left" vertical="center"/>
    </xf>
    <xf numFmtId="0" fontId="3" fillId="13" borderId="23" xfId="0" applyFont="1" applyFill="1" applyBorder="1" applyAlignment="1">
      <alignment horizontal="left" vertical="center"/>
    </xf>
    <xf numFmtId="0" fontId="3" fillId="13" borderId="24" xfId="0" applyFont="1" applyFill="1" applyBorder="1" applyAlignment="1">
      <alignment horizontal="left" vertical="center"/>
    </xf>
    <xf numFmtId="0" fontId="3" fillId="9" borderId="22" xfId="0" applyFont="1" applyFill="1" applyBorder="1" applyAlignment="1">
      <alignment horizontal="left" vertical="center"/>
    </xf>
    <xf numFmtId="0" fontId="3" fillId="9" borderId="23" xfId="0" applyFont="1" applyFill="1" applyBorder="1" applyAlignment="1">
      <alignment horizontal="left" vertical="center"/>
    </xf>
    <xf numFmtId="0" fontId="3" fillId="9" borderId="24" xfId="0" applyFont="1" applyFill="1" applyBorder="1" applyAlignment="1">
      <alignment horizontal="left" vertical="center"/>
    </xf>
    <xf numFmtId="0" fontId="3" fillId="0" borderId="22"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3" fillId="7" borderId="22" xfId="0" applyFont="1" applyFill="1" applyBorder="1" applyAlignment="1">
      <alignment horizontal="left" vertical="center"/>
    </xf>
    <xf numFmtId="0" fontId="3" fillId="7" borderId="23" xfId="0" applyFont="1" applyFill="1" applyBorder="1" applyAlignment="1">
      <alignment horizontal="left" vertical="center"/>
    </xf>
    <xf numFmtId="0" fontId="3" fillId="7" borderId="24" xfId="0" applyFont="1" applyFill="1" applyBorder="1" applyAlignment="1">
      <alignment horizontal="left" vertical="center"/>
    </xf>
    <xf numFmtId="0" fontId="3" fillId="7" borderId="11" xfId="0" applyFont="1" applyFill="1" applyBorder="1" applyAlignment="1">
      <alignment horizontal="left" vertical="center"/>
    </xf>
    <xf numFmtId="0" fontId="10" fillId="6" borderId="22" xfId="0" applyFont="1" applyFill="1" applyBorder="1" applyAlignment="1">
      <alignment horizontal="center" vertical="center"/>
    </xf>
    <xf numFmtId="0" fontId="10" fillId="6" borderId="23" xfId="0" applyFont="1" applyFill="1" applyBorder="1" applyAlignment="1">
      <alignment horizontal="center" vertical="center"/>
    </xf>
    <xf numFmtId="0" fontId="10" fillId="6" borderId="24" xfId="0" applyFont="1" applyFill="1" applyBorder="1" applyAlignment="1">
      <alignment horizontal="center" vertical="center"/>
    </xf>
    <xf numFmtId="0" fontId="3" fillId="7" borderId="37" xfId="0" applyFont="1" applyFill="1" applyBorder="1" applyAlignment="1">
      <alignment horizontal="left" vertical="center"/>
    </xf>
    <xf numFmtId="0" fontId="3" fillId="7" borderId="2" xfId="0" applyFont="1" applyFill="1" applyBorder="1" applyAlignment="1">
      <alignment horizontal="left" vertical="center"/>
    </xf>
    <xf numFmtId="0" fontId="3" fillId="7" borderId="25" xfId="0" applyFont="1" applyFill="1" applyBorder="1" applyAlignment="1">
      <alignment horizontal="left" vertical="center"/>
    </xf>
    <xf numFmtId="0" fontId="0" fillId="0" borderId="0" xfId="0" applyAlignment="1">
      <alignment vertical="center" wrapText="1"/>
    </xf>
  </cellXfs>
  <cellStyles count="1">
    <cellStyle name="標準" xfId="0" builtinId="0"/>
  </cellStyles>
  <dxfs count="17">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4</xdr:row>
          <xdr:rowOff>28575</xdr:rowOff>
        </xdr:from>
        <xdr:to>
          <xdr:col>17</xdr:col>
          <xdr:colOff>123825</xdr:colOff>
          <xdr:row>5</xdr:row>
          <xdr:rowOff>95250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10</xdr:row>
          <xdr:rowOff>76200</xdr:rowOff>
        </xdr:from>
        <xdr:to>
          <xdr:col>17</xdr:col>
          <xdr:colOff>161925</xdr:colOff>
          <xdr:row>11</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14</xdr:col>
      <xdr:colOff>581024</xdr:colOff>
      <xdr:row>0</xdr:row>
      <xdr:rowOff>114300</xdr:rowOff>
    </xdr:from>
    <xdr:to>
      <xdr:col>22</xdr:col>
      <xdr:colOff>600074</xdr:colOff>
      <xdr:row>3</xdr:row>
      <xdr:rowOff>95250</xdr:rowOff>
    </xdr:to>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14</xdr:col>
          <xdr:colOff>571500</xdr:colOff>
          <xdr:row>12</xdr:row>
          <xdr:rowOff>47625</xdr:rowOff>
        </xdr:from>
        <xdr:to>
          <xdr:col>17</xdr:col>
          <xdr:colOff>161925</xdr:colOff>
          <xdr:row>13</xdr:row>
          <xdr:rowOff>123825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21</xdr:col>
      <xdr:colOff>104776</xdr:colOff>
      <xdr:row>5</xdr:row>
      <xdr:rowOff>66675</xdr:rowOff>
    </xdr:from>
    <xdr:to>
      <xdr:col>22</xdr:col>
      <xdr:colOff>561976</xdr:colOff>
      <xdr:row>7</xdr:row>
      <xdr:rowOff>114300</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21</xdr:col>
      <xdr:colOff>104776</xdr:colOff>
      <xdr:row>5</xdr:row>
      <xdr:rowOff>66675</xdr:rowOff>
    </xdr:from>
    <xdr:to>
      <xdr:col>22</xdr:col>
      <xdr:colOff>561976</xdr:colOff>
      <xdr:row>7</xdr:row>
      <xdr:rowOff>114300</xdr:rowOff>
    </xdr:to>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12087226" y="1133475"/>
          <a:ext cx="809625" cy="504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xdr:twoCellAnchor>
    <xdr:from>
      <xdr:col>20</xdr:col>
      <xdr:colOff>1247776</xdr:colOff>
      <xdr:row>5</xdr:row>
      <xdr:rowOff>76200</xdr:rowOff>
    </xdr:from>
    <xdr:to>
      <xdr:col>22</xdr:col>
      <xdr:colOff>666750</xdr:colOff>
      <xdr:row>10</xdr:row>
      <xdr:rowOff>171451</xdr:rowOff>
    </xdr:to>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11915776" y="1143000"/>
          <a:ext cx="1085849"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15</xdr:col>
          <xdr:colOff>66675</xdr:colOff>
          <xdr:row>83</xdr:row>
          <xdr:rowOff>200025</xdr:rowOff>
        </xdr:from>
        <xdr:to>
          <xdr:col>16</xdr:col>
          <xdr:colOff>9525</xdr:colOff>
          <xdr:row>85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83</xdr:row>
          <xdr:rowOff>200025</xdr:rowOff>
        </xdr:from>
        <xdr:to>
          <xdr:col>17</xdr:col>
          <xdr:colOff>438150</xdr:colOff>
          <xdr:row>85</xdr:row>
          <xdr:rowOff>19050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xdr:colOff>
          <xdr:row>17</xdr:row>
          <xdr:rowOff>200025</xdr:rowOff>
        </xdr:from>
        <xdr:to>
          <xdr:col>16</xdr:col>
          <xdr:colOff>9525</xdr:colOff>
          <xdr:row>19</xdr:row>
          <xdr:rowOff>19050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17</xdr:row>
          <xdr:rowOff>200025</xdr:rowOff>
        </xdr:from>
        <xdr:to>
          <xdr:col>17</xdr:col>
          <xdr:colOff>438150</xdr:colOff>
          <xdr:row>19</xdr:row>
          <xdr:rowOff>19050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2A64-CBF8-4CCF-AE86-102DDCCBDE37}">
  <sheetPr>
    <tabColor rgb="FFFFFF00"/>
  </sheetPr>
  <dimension ref="A1:A2"/>
  <sheetViews>
    <sheetView tabSelected="1" workbookViewId="0">
      <selection activeCell="A2" sqref="A2"/>
    </sheetView>
  </sheetViews>
  <sheetFormatPr defaultRowHeight="13.5" x14ac:dyDescent="0.15"/>
  <cols>
    <col min="1" max="1" width="126.5" customWidth="1"/>
  </cols>
  <sheetData>
    <row r="1" spans="1:1" ht="94.5" x14ac:dyDescent="0.15">
      <c r="A1" s="185" t="s">
        <v>312</v>
      </c>
    </row>
    <row r="2" spans="1:1" ht="54" x14ac:dyDescent="0.15">
      <c r="A2" s="185" t="s">
        <v>313</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V95"/>
  <sheetViews>
    <sheetView view="pageBreakPreview" zoomScaleNormal="100" zoomScaleSheetLayoutView="100" workbookViewId="0">
      <selection activeCell="S11" sqref="S11"/>
    </sheetView>
  </sheetViews>
  <sheetFormatPr defaultRowHeight="13.5" x14ac:dyDescent="0.15"/>
  <cols>
    <col min="1" max="2" width="4.25" style="2" customWidth="1"/>
    <col min="3" max="3" width="20.375" style="2" customWidth="1"/>
    <col min="4" max="5" width="4" style="2" customWidth="1"/>
    <col min="6" max="6" width="18.375" style="2" customWidth="1"/>
    <col min="7" max="7" width="7.375" style="2" customWidth="1"/>
    <col min="8" max="8" width="4.375" style="2" customWidth="1"/>
    <col min="9" max="9" width="4.625" style="2" customWidth="1"/>
    <col min="10" max="10" width="3.625" style="2" customWidth="1"/>
    <col min="11" max="11" width="12.25" style="2" customWidth="1"/>
    <col min="12" max="12" width="7.25" style="2" bestFit="1" customWidth="1"/>
    <col min="13" max="13" width="3" style="2" customWidth="1"/>
    <col min="14" max="14" width="5.625" style="2" customWidth="1"/>
    <col min="15" max="15" width="9" style="2"/>
    <col min="16" max="17" width="4.75" style="2" customWidth="1"/>
    <col min="18" max="18" width="9" style="2"/>
    <col min="19" max="19" width="4.75" style="2" customWidth="1"/>
    <col min="20" max="20" width="4.375" style="2" customWidth="1"/>
    <col min="21" max="21" width="17.25" style="2" customWidth="1"/>
    <col min="22" max="22" width="4.625" style="2" customWidth="1"/>
    <col min="23" max="23" width="13.25" style="2" customWidth="1"/>
    <col min="24" max="16384" width="9" style="2"/>
  </cols>
  <sheetData>
    <row r="1" spans="1:22" ht="18" customHeight="1" x14ac:dyDescent="0.15">
      <c r="A1" s="79" t="str">
        <f ca="1">MID(CELL("filename",A1),FIND("[",CELL("filename",A1))+1,3)</f>
        <v>９－２</v>
      </c>
      <c r="B1" s="79"/>
      <c r="C1" s="80" t="str">
        <f ca="1">RIGHT(LEFT(CELL("filename",A1),FIND("[",CELL("filename",A1))-2),3)</f>
        <v>1学期</v>
      </c>
      <c r="D1" s="80"/>
      <c r="E1" s="80"/>
      <c r="F1" s="80"/>
      <c r="G1" s="80"/>
      <c r="H1" s="80"/>
      <c r="I1" s="80"/>
      <c r="J1" s="80"/>
      <c r="K1" s="80"/>
      <c r="L1" s="80"/>
    </row>
    <row r="2" spans="1:22" ht="18" customHeight="1" x14ac:dyDescent="0.15">
      <c r="A2" s="1" t="s">
        <v>15</v>
      </c>
      <c r="B2" s="57">
        <v>1</v>
      </c>
      <c r="C2" s="59"/>
      <c r="D2" s="59"/>
      <c r="E2" s="59"/>
      <c r="F2" s="59"/>
      <c r="G2" s="59"/>
      <c r="K2" s="57" t="s">
        <v>14</v>
      </c>
      <c r="L2" s="81" t="str">
        <f ca="1">INDIRECT("'所見'!A"&amp;8+$B$2)</f>
        <v>池田 光之介</v>
      </c>
      <c r="M2" s="81"/>
      <c r="N2" s="81"/>
    </row>
    <row r="3" spans="1:22" ht="12" customHeight="1" x14ac:dyDescent="0.15">
      <c r="C3" s="4"/>
      <c r="D3" s="4"/>
      <c r="E3" s="4"/>
      <c r="F3" s="4"/>
      <c r="G3" s="4"/>
      <c r="H3" s="4"/>
      <c r="I3" s="4"/>
      <c r="J3" s="4"/>
      <c r="K3" s="4"/>
      <c r="L3" s="4"/>
      <c r="M3" s="4"/>
      <c r="N3" s="4"/>
    </row>
    <row r="4" spans="1:22" ht="18" customHeight="1" x14ac:dyDescent="0.15">
      <c r="A4" s="82" t="s">
        <v>16</v>
      </c>
      <c r="B4" s="83"/>
      <c r="C4" s="83"/>
      <c r="D4" s="83"/>
      <c r="E4" s="83"/>
      <c r="F4" s="83"/>
      <c r="G4" s="83"/>
      <c r="H4" s="83"/>
      <c r="I4" s="83"/>
      <c r="J4" s="83"/>
      <c r="K4" s="83"/>
      <c r="L4" s="83"/>
      <c r="M4" s="83"/>
      <c r="N4" s="84"/>
    </row>
    <row r="5" spans="1:22" ht="18" customHeight="1" x14ac:dyDescent="0.15">
      <c r="A5" s="11" t="s">
        <v>1</v>
      </c>
      <c r="B5" s="85" t="s">
        <v>2</v>
      </c>
      <c r="C5" s="83"/>
      <c r="D5" s="83"/>
      <c r="E5" s="83"/>
      <c r="F5" s="83"/>
      <c r="G5" s="83"/>
      <c r="H5" s="83"/>
      <c r="I5" s="83"/>
      <c r="J5" s="83"/>
      <c r="K5" s="86"/>
      <c r="L5" s="58" t="s">
        <v>3</v>
      </c>
      <c r="M5" s="87" t="s">
        <v>4</v>
      </c>
      <c r="N5" s="88"/>
      <c r="V5" s="71">
        <v>60</v>
      </c>
    </row>
    <row r="6" spans="1:22" ht="18" customHeight="1" thickBot="1" x14ac:dyDescent="0.2">
      <c r="A6" s="89" t="s">
        <v>5</v>
      </c>
      <c r="B6" s="91" t="str">
        <f>国語!B2</f>
        <v>知識・技能（定期テスト・漢字テスト・文法理解）</v>
      </c>
      <c r="C6" s="92"/>
      <c r="D6" s="92"/>
      <c r="E6" s="92"/>
      <c r="F6" s="92"/>
      <c r="G6" s="92"/>
      <c r="H6" s="92"/>
      <c r="I6" s="92"/>
      <c r="J6" s="92"/>
      <c r="K6" s="93"/>
      <c r="L6" s="12" t="str">
        <f ca="1">OFFSET(国語!C2,0,$B$2)</f>
        <v>B</v>
      </c>
      <c r="M6" s="94">
        <f ca="1">OFFSET(国語!C12,0,$B$2)</f>
        <v>3</v>
      </c>
      <c r="N6" s="95"/>
      <c r="T6" s="2">
        <v>1</v>
      </c>
      <c r="U6" s="38" t="str">
        <f ca="1">INDIRECT("'出欠'!A"&amp;9+T6)</f>
        <v>池田 光之介</v>
      </c>
    </row>
    <row r="7" spans="1:22" ht="18" customHeight="1" thickBot="1" x14ac:dyDescent="0.2">
      <c r="A7" s="90"/>
      <c r="B7" s="98" t="str">
        <f>国語!B3</f>
        <v>思考力・表現力・判断力（定期テスト・リスニングテスト・作文・音読・話し合い活動）</v>
      </c>
      <c r="C7" s="99"/>
      <c r="D7" s="99"/>
      <c r="E7" s="99"/>
      <c r="F7" s="99"/>
      <c r="G7" s="99"/>
      <c r="H7" s="99"/>
      <c r="I7" s="99"/>
      <c r="J7" s="99"/>
      <c r="K7" s="100"/>
      <c r="L7" s="9" t="str">
        <f ca="1">OFFSET(国語!C3,0,$B$2)</f>
        <v>B</v>
      </c>
      <c r="M7" s="96"/>
      <c r="N7" s="97"/>
      <c r="P7" s="110" t="s">
        <v>22</v>
      </c>
      <c r="Q7" s="111"/>
      <c r="T7" s="2">
        <v>2</v>
      </c>
      <c r="U7" s="38" t="str">
        <f t="shared" ref="U7:U30" ca="1" si="0">INDIRECT("'出欠'!A"&amp;9+T7)</f>
        <v>上原 光</v>
      </c>
    </row>
    <row r="8" spans="1:22" ht="18" customHeight="1" thickBot="1" x14ac:dyDescent="0.2">
      <c r="A8" s="90"/>
      <c r="B8" s="98" t="str">
        <f>国語!B4</f>
        <v>主体的に学習に取り組む態度</v>
      </c>
      <c r="C8" s="99"/>
      <c r="D8" s="99"/>
      <c r="E8" s="99"/>
      <c r="F8" s="99"/>
      <c r="G8" s="99"/>
      <c r="H8" s="99"/>
      <c r="I8" s="99"/>
      <c r="J8" s="99"/>
      <c r="K8" s="100"/>
      <c r="L8" s="9" t="str">
        <f ca="1">OFFSET(国語!C4,0,$B$2)</f>
        <v>B</v>
      </c>
      <c r="M8" s="96"/>
      <c r="N8" s="97"/>
      <c r="P8" s="37" t="s">
        <v>23</v>
      </c>
      <c r="Q8" s="37" t="s">
        <v>24</v>
      </c>
      <c r="T8" s="2">
        <v>3</v>
      </c>
      <c r="U8" s="38" t="str">
        <f t="shared" ca="1" si="0"/>
        <v>大山 実日子</v>
      </c>
    </row>
    <row r="9" spans="1:22" ht="18" customHeight="1" thickBot="1" x14ac:dyDescent="0.2">
      <c r="A9" s="90"/>
      <c r="B9" s="98">
        <f>国語!B5</f>
        <v>0</v>
      </c>
      <c r="C9" s="99"/>
      <c r="D9" s="99"/>
      <c r="E9" s="99"/>
      <c r="F9" s="99"/>
      <c r="G9" s="99"/>
      <c r="H9" s="99"/>
      <c r="I9" s="99"/>
      <c r="J9" s="99"/>
      <c r="K9" s="100"/>
      <c r="L9" s="9">
        <f ca="1">OFFSET(国語!C5,0,$B$2)</f>
        <v>0</v>
      </c>
      <c r="M9" s="96"/>
      <c r="N9" s="97"/>
      <c r="P9" s="36">
        <v>2</v>
      </c>
      <c r="Q9" s="36">
        <v>2</v>
      </c>
      <c r="T9" s="2">
        <v>4</v>
      </c>
      <c r="U9" s="38" t="str">
        <f t="shared" ca="1" si="0"/>
        <v>窪田 朋子</v>
      </c>
    </row>
    <row r="10" spans="1:22" ht="18" customHeight="1" x14ac:dyDescent="0.15">
      <c r="A10" s="90"/>
      <c r="B10" s="98">
        <f>国語!B6</f>
        <v>0</v>
      </c>
      <c r="C10" s="99"/>
      <c r="D10" s="99"/>
      <c r="E10" s="99"/>
      <c r="F10" s="99"/>
      <c r="G10" s="99"/>
      <c r="H10" s="99"/>
      <c r="I10" s="99"/>
      <c r="J10" s="99"/>
      <c r="K10" s="100"/>
      <c r="L10" s="9">
        <f ca="1">OFFSET(国語!C6,0,$B$2)</f>
        <v>0</v>
      </c>
      <c r="M10" s="96"/>
      <c r="N10" s="97"/>
      <c r="T10" s="2">
        <v>5</v>
      </c>
      <c r="U10" s="38" t="str">
        <f t="shared" ca="1" si="0"/>
        <v>小林 晴嶺</v>
      </c>
    </row>
    <row r="11" spans="1:22" ht="18" customHeight="1" x14ac:dyDescent="0.15">
      <c r="A11" s="90"/>
      <c r="B11" s="98">
        <f>国語!B7</f>
        <v>0</v>
      </c>
      <c r="C11" s="99"/>
      <c r="D11" s="99"/>
      <c r="E11" s="99"/>
      <c r="F11" s="99"/>
      <c r="G11" s="99"/>
      <c r="H11" s="99"/>
      <c r="I11" s="99"/>
      <c r="J11" s="99"/>
      <c r="K11" s="100"/>
      <c r="L11" s="9">
        <f ca="1">OFFSET(国語!C7,0,$B$2)</f>
        <v>0</v>
      </c>
      <c r="M11" s="96"/>
      <c r="N11" s="97"/>
      <c r="T11" s="2">
        <v>6</v>
      </c>
      <c r="U11" s="38" t="str">
        <f t="shared" ca="1" si="0"/>
        <v>大工原 光輝</v>
      </c>
    </row>
    <row r="12" spans="1:22" ht="18" customHeight="1" x14ac:dyDescent="0.15">
      <c r="A12" s="90"/>
      <c r="B12" s="98">
        <f>国語!B8</f>
        <v>0</v>
      </c>
      <c r="C12" s="99"/>
      <c r="D12" s="99"/>
      <c r="E12" s="99"/>
      <c r="F12" s="99"/>
      <c r="G12" s="99"/>
      <c r="H12" s="99"/>
      <c r="I12" s="99"/>
      <c r="J12" s="99"/>
      <c r="K12" s="100"/>
      <c r="L12" s="9">
        <f ca="1">OFFSET(国語!C8,0,$B$2)</f>
        <v>0</v>
      </c>
      <c r="M12" s="96"/>
      <c r="N12" s="97"/>
      <c r="T12" s="2">
        <v>7</v>
      </c>
      <c r="U12" s="38" t="str">
        <f t="shared" ca="1" si="0"/>
        <v>橘 くるみ</v>
      </c>
    </row>
    <row r="13" spans="1:22" ht="18" customHeight="1" x14ac:dyDescent="0.15">
      <c r="A13" s="90"/>
      <c r="B13" s="101">
        <f>国語!B9</f>
        <v>0</v>
      </c>
      <c r="C13" s="102"/>
      <c r="D13" s="102"/>
      <c r="E13" s="102"/>
      <c r="F13" s="102"/>
      <c r="G13" s="102"/>
      <c r="H13" s="102"/>
      <c r="I13" s="102"/>
      <c r="J13" s="102"/>
      <c r="K13" s="103"/>
      <c r="L13" s="9">
        <f ca="1">OFFSET(国語!C9,0,$B$2)</f>
        <v>0</v>
      </c>
      <c r="M13" s="96"/>
      <c r="N13" s="97"/>
      <c r="T13" s="2">
        <v>8</v>
      </c>
      <c r="U13" s="38" t="str">
        <f t="shared" ca="1" si="0"/>
        <v>等々力 悠人</v>
      </c>
    </row>
    <row r="14" spans="1:22" ht="18" customHeight="1" x14ac:dyDescent="0.15">
      <c r="A14" s="89" t="s">
        <v>32</v>
      </c>
      <c r="B14" s="91" t="str">
        <f>数学!B2</f>
        <v>知識・技能（単元テスト・定期テスト）</v>
      </c>
      <c r="C14" s="92"/>
      <c r="D14" s="92"/>
      <c r="E14" s="92"/>
      <c r="F14" s="92"/>
      <c r="G14" s="92"/>
      <c r="H14" s="92"/>
      <c r="I14" s="92"/>
      <c r="J14" s="92"/>
      <c r="K14" s="93"/>
      <c r="L14" s="12" t="str">
        <f ca="1">OFFSET(数学!C2,0,$B$2)</f>
        <v>B</v>
      </c>
      <c r="M14" s="94">
        <f ca="1">OFFSET(数学!C12,0,$B$2)</f>
        <v>4</v>
      </c>
      <c r="N14" s="95"/>
      <c r="T14" s="2">
        <v>9</v>
      </c>
      <c r="U14" s="38" t="str">
        <f t="shared" ca="1" si="0"/>
        <v>中島 麟香</v>
      </c>
    </row>
    <row r="15" spans="1:22" ht="18" customHeight="1" x14ac:dyDescent="0.15">
      <c r="A15" s="90"/>
      <c r="B15" s="98" t="str">
        <f>数学!B3</f>
        <v>思考力・表現力・判断力（単元テスト・定期テスト）</v>
      </c>
      <c r="C15" s="99"/>
      <c r="D15" s="99"/>
      <c r="E15" s="99"/>
      <c r="F15" s="99"/>
      <c r="G15" s="99"/>
      <c r="H15" s="99"/>
      <c r="I15" s="99"/>
      <c r="J15" s="99"/>
      <c r="K15" s="100"/>
      <c r="L15" s="9" t="str">
        <f ca="1">OFFSET(数学!C3,0,$B$2)</f>
        <v>B</v>
      </c>
      <c r="M15" s="96"/>
      <c r="N15" s="97"/>
      <c r="T15" s="2">
        <v>10</v>
      </c>
      <c r="U15" s="38" t="str">
        <f t="shared" ca="1" si="0"/>
        <v>新村 亮太</v>
      </c>
    </row>
    <row r="16" spans="1:22" ht="18" customHeight="1" x14ac:dyDescent="0.15">
      <c r="A16" s="90"/>
      <c r="B16" s="98" t="str">
        <f>数学!B4</f>
        <v>主体的に学習に取り組む態度</v>
      </c>
      <c r="C16" s="99"/>
      <c r="D16" s="99"/>
      <c r="E16" s="99"/>
      <c r="F16" s="99"/>
      <c r="G16" s="99"/>
      <c r="H16" s="99"/>
      <c r="I16" s="99"/>
      <c r="J16" s="99"/>
      <c r="K16" s="100"/>
      <c r="L16" s="9" t="str">
        <f ca="1">OFFSET(数学!C4,0,$B$2)</f>
        <v>A</v>
      </c>
      <c r="M16" s="96"/>
      <c r="N16" s="97"/>
      <c r="T16" s="2">
        <v>11</v>
      </c>
      <c r="U16" s="38" t="str">
        <f t="shared" ca="1" si="0"/>
        <v>伏見 真人</v>
      </c>
    </row>
    <row r="17" spans="1:21" ht="18" customHeight="1" x14ac:dyDescent="0.15">
      <c r="A17" s="90"/>
      <c r="B17" s="98">
        <f>数学!B5</f>
        <v>0</v>
      </c>
      <c r="C17" s="99"/>
      <c r="D17" s="99"/>
      <c r="E17" s="99"/>
      <c r="F17" s="99"/>
      <c r="G17" s="99"/>
      <c r="H17" s="99"/>
      <c r="I17" s="99"/>
      <c r="J17" s="99"/>
      <c r="K17" s="100"/>
      <c r="L17" s="9">
        <f ca="1">OFFSET(数学!C5,0,$B$2)</f>
        <v>0</v>
      </c>
      <c r="M17" s="96"/>
      <c r="N17" s="97"/>
      <c r="Q17" s="16"/>
      <c r="R17" s="16"/>
      <c r="T17" s="2">
        <v>12</v>
      </c>
      <c r="U17" s="38" t="str">
        <f t="shared" ca="1" si="0"/>
        <v>松本 誠也</v>
      </c>
    </row>
    <row r="18" spans="1:21" ht="18" customHeight="1" x14ac:dyDescent="0.15">
      <c r="A18" s="90"/>
      <c r="B18" s="98">
        <f>数学!B6</f>
        <v>0</v>
      </c>
      <c r="C18" s="99"/>
      <c r="D18" s="99"/>
      <c r="E18" s="99"/>
      <c r="F18" s="99"/>
      <c r="G18" s="99"/>
      <c r="H18" s="99"/>
      <c r="I18" s="99"/>
      <c r="J18" s="99"/>
      <c r="K18" s="100"/>
      <c r="L18" s="9">
        <f ca="1">OFFSET(数学!C6,0,$B$2)</f>
        <v>0</v>
      </c>
      <c r="M18" s="96"/>
      <c r="N18" s="97"/>
      <c r="Q18" s="16"/>
      <c r="R18" s="16"/>
      <c r="T18" s="2">
        <v>13</v>
      </c>
      <c r="U18" s="38" t="str">
        <f t="shared" ca="1" si="0"/>
        <v>蓑 錬太朗</v>
      </c>
    </row>
    <row r="19" spans="1:21" ht="18" customHeight="1" x14ac:dyDescent="0.15">
      <c r="A19" s="90"/>
      <c r="B19" s="98">
        <f>数学!B7</f>
        <v>0</v>
      </c>
      <c r="C19" s="99"/>
      <c r="D19" s="99"/>
      <c r="E19" s="99"/>
      <c r="F19" s="99"/>
      <c r="G19" s="99"/>
      <c r="H19" s="99"/>
      <c r="I19" s="99"/>
      <c r="J19" s="99"/>
      <c r="K19" s="100"/>
      <c r="L19" s="9">
        <f ca="1">OFFSET(数学!C7,0,$B$2)</f>
        <v>0</v>
      </c>
      <c r="M19" s="96"/>
      <c r="N19" s="97"/>
      <c r="Q19" s="72">
        <f>番号</f>
        <v>1</v>
      </c>
      <c r="R19" s="16"/>
      <c r="T19" s="2">
        <v>14</v>
      </c>
      <c r="U19" s="38" t="str">
        <f t="shared" ca="1" si="0"/>
        <v>宮坂 蓮</v>
      </c>
    </row>
    <row r="20" spans="1:21" ht="18" customHeight="1" x14ac:dyDescent="0.15">
      <c r="A20" s="90"/>
      <c r="B20" s="98">
        <f>数学!B8</f>
        <v>0</v>
      </c>
      <c r="C20" s="99"/>
      <c r="D20" s="99"/>
      <c r="E20" s="99"/>
      <c r="F20" s="99"/>
      <c r="G20" s="99"/>
      <c r="H20" s="99"/>
      <c r="I20" s="99"/>
      <c r="J20" s="99"/>
      <c r="K20" s="100"/>
      <c r="L20" s="9">
        <f ca="1">OFFSET(数学!C8,0,$B$2)</f>
        <v>0</v>
      </c>
      <c r="M20" s="96"/>
      <c r="N20" s="97"/>
      <c r="Q20" s="16"/>
      <c r="R20" s="16"/>
      <c r="T20" s="2">
        <v>15</v>
      </c>
      <c r="U20" s="38" t="str">
        <f t="shared" ca="1" si="0"/>
        <v>百瀬 友惺</v>
      </c>
    </row>
    <row r="21" spans="1:21" ht="18" customHeight="1" x14ac:dyDescent="0.15">
      <c r="A21" s="90"/>
      <c r="B21" s="101">
        <f>数学!B9</f>
        <v>0</v>
      </c>
      <c r="C21" s="102"/>
      <c r="D21" s="102"/>
      <c r="E21" s="102"/>
      <c r="F21" s="102"/>
      <c r="G21" s="102"/>
      <c r="H21" s="102"/>
      <c r="I21" s="102"/>
      <c r="J21" s="102"/>
      <c r="K21" s="103"/>
      <c r="L21" s="9">
        <f ca="1">OFFSET(数学!C9,0,$B$2)</f>
        <v>0</v>
      </c>
      <c r="M21" s="96"/>
      <c r="N21" s="97"/>
      <c r="T21" s="2">
        <v>16</v>
      </c>
      <c r="U21" s="38" t="str">
        <f t="shared" ca="1" si="0"/>
        <v>山口 陽生</v>
      </c>
    </row>
    <row r="22" spans="1:21" ht="18" customHeight="1" x14ac:dyDescent="0.15">
      <c r="A22" s="89" t="s">
        <v>29</v>
      </c>
      <c r="B22" s="91" t="str">
        <f>理科!B2</f>
        <v>知識・技能（単元テスト・定期テスト）</v>
      </c>
      <c r="C22" s="92"/>
      <c r="D22" s="92"/>
      <c r="E22" s="92"/>
      <c r="F22" s="92"/>
      <c r="G22" s="92"/>
      <c r="H22" s="92"/>
      <c r="I22" s="92"/>
      <c r="J22" s="92"/>
      <c r="K22" s="93"/>
      <c r="L22" s="12" t="str">
        <f ca="1">OFFSET(理科!C2,0,$B$2)</f>
        <v>A</v>
      </c>
      <c r="M22" s="94">
        <f ca="1">OFFSET(理科!C12,0,$B$2)</f>
        <v>3</v>
      </c>
      <c r="N22" s="95"/>
      <c r="T22" s="2">
        <v>17</v>
      </c>
      <c r="U22" s="38" t="str">
        <f t="shared" ca="1" si="0"/>
        <v>山越 圭</v>
      </c>
    </row>
    <row r="23" spans="1:21" ht="18" customHeight="1" x14ac:dyDescent="0.15">
      <c r="A23" s="90"/>
      <c r="B23" s="98" t="str">
        <f>理科!B3</f>
        <v>思考力・表現力・判断力（単元テスト・定期テスト）</v>
      </c>
      <c r="C23" s="99"/>
      <c r="D23" s="99"/>
      <c r="E23" s="99"/>
      <c r="F23" s="99"/>
      <c r="G23" s="99"/>
      <c r="H23" s="99"/>
      <c r="I23" s="99"/>
      <c r="J23" s="99"/>
      <c r="K23" s="100"/>
      <c r="L23" s="9" t="str">
        <f ca="1">OFFSET(理科!C3,0,$B$2)</f>
        <v>B</v>
      </c>
      <c r="M23" s="96"/>
      <c r="N23" s="97"/>
      <c r="T23" s="2">
        <v>18</v>
      </c>
      <c r="U23" s="38" t="str">
        <f t="shared" ca="1" si="0"/>
        <v>山崎 花峰</v>
      </c>
    </row>
    <row r="24" spans="1:21" ht="18" customHeight="1" x14ac:dyDescent="0.15">
      <c r="A24" s="90"/>
      <c r="B24" s="98" t="str">
        <f>理科!B4</f>
        <v>主体的に学習に取り組む態度</v>
      </c>
      <c r="C24" s="99"/>
      <c r="D24" s="99"/>
      <c r="E24" s="99"/>
      <c r="F24" s="99"/>
      <c r="G24" s="99"/>
      <c r="H24" s="99"/>
      <c r="I24" s="99"/>
      <c r="J24" s="99"/>
      <c r="K24" s="100"/>
      <c r="L24" s="9" t="str">
        <f ca="1">OFFSET(理科!C4,0,$B$2)</f>
        <v>B</v>
      </c>
      <c r="M24" s="96"/>
      <c r="N24" s="97"/>
      <c r="T24" s="2">
        <v>19</v>
      </c>
      <c r="U24" s="38" t="str">
        <f t="shared" ca="1" si="0"/>
        <v>山田 梨乃</v>
      </c>
    </row>
    <row r="25" spans="1:21" ht="18" customHeight="1" x14ac:dyDescent="0.15">
      <c r="A25" s="90"/>
      <c r="B25" s="98">
        <f>理科!B5</f>
        <v>0</v>
      </c>
      <c r="C25" s="99"/>
      <c r="D25" s="99"/>
      <c r="E25" s="99"/>
      <c r="F25" s="99"/>
      <c r="G25" s="99"/>
      <c r="H25" s="99"/>
      <c r="I25" s="99"/>
      <c r="J25" s="99"/>
      <c r="K25" s="100"/>
      <c r="L25" s="9">
        <f ca="1">OFFSET(理科!C5,0,$B$2)</f>
        <v>0</v>
      </c>
      <c r="M25" s="96"/>
      <c r="N25" s="97"/>
      <c r="T25" s="2">
        <v>20</v>
      </c>
      <c r="U25" s="38" t="str">
        <f t="shared" ca="1" si="0"/>
        <v>横井 杏奈</v>
      </c>
    </row>
    <row r="26" spans="1:21" ht="18" customHeight="1" x14ac:dyDescent="0.15">
      <c r="A26" s="90"/>
      <c r="B26" s="98">
        <f>理科!B6</f>
        <v>0</v>
      </c>
      <c r="C26" s="99"/>
      <c r="D26" s="99"/>
      <c r="E26" s="99"/>
      <c r="F26" s="99"/>
      <c r="G26" s="99"/>
      <c r="H26" s="99"/>
      <c r="I26" s="99"/>
      <c r="J26" s="99"/>
      <c r="K26" s="100"/>
      <c r="L26" s="9">
        <f ca="1">OFFSET(理科!C6,0,$B$2)</f>
        <v>0</v>
      </c>
      <c r="M26" s="96"/>
      <c r="N26" s="97"/>
      <c r="T26" s="2">
        <v>21</v>
      </c>
      <c r="U26" s="38" t="str">
        <f t="shared" ca="1" si="0"/>
        <v>吉田 莉彩</v>
      </c>
    </row>
    <row r="27" spans="1:21" ht="18" customHeight="1" x14ac:dyDescent="0.15">
      <c r="A27" s="90"/>
      <c r="B27" s="98">
        <f>理科!B7</f>
        <v>0</v>
      </c>
      <c r="C27" s="99"/>
      <c r="D27" s="99"/>
      <c r="E27" s="99"/>
      <c r="F27" s="99"/>
      <c r="G27" s="99"/>
      <c r="H27" s="99"/>
      <c r="I27" s="99"/>
      <c r="J27" s="99"/>
      <c r="K27" s="100"/>
      <c r="L27" s="9">
        <f ca="1">OFFSET(理科!C7,0,$B$2)</f>
        <v>0</v>
      </c>
      <c r="M27" s="96"/>
      <c r="N27" s="97"/>
      <c r="T27" s="2">
        <v>22</v>
      </c>
      <c r="U27" s="38">
        <f t="shared" ca="1" si="0"/>
        <v>0</v>
      </c>
    </row>
    <row r="28" spans="1:21" ht="18" customHeight="1" x14ac:dyDescent="0.15">
      <c r="A28" s="90"/>
      <c r="B28" s="98">
        <f>理科!B8</f>
        <v>0</v>
      </c>
      <c r="C28" s="99"/>
      <c r="D28" s="99"/>
      <c r="E28" s="99"/>
      <c r="F28" s="99"/>
      <c r="G28" s="99"/>
      <c r="H28" s="99"/>
      <c r="I28" s="99"/>
      <c r="J28" s="99"/>
      <c r="K28" s="100"/>
      <c r="L28" s="9">
        <f ca="1">OFFSET(理科!C8,0,$B$2)</f>
        <v>0</v>
      </c>
      <c r="M28" s="96"/>
      <c r="N28" s="97"/>
      <c r="T28" s="2">
        <v>23</v>
      </c>
      <c r="U28" s="38">
        <f t="shared" ca="1" si="0"/>
        <v>0</v>
      </c>
    </row>
    <row r="29" spans="1:21" ht="18" customHeight="1" x14ac:dyDescent="0.15">
      <c r="A29" s="90"/>
      <c r="B29" s="101">
        <f>理科!B9</f>
        <v>0</v>
      </c>
      <c r="C29" s="102"/>
      <c r="D29" s="102"/>
      <c r="E29" s="102"/>
      <c r="F29" s="102"/>
      <c r="G29" s="102"/>
      <c r="H29" s="102"/>
      <c r="I29" s="102"/>
      <c r="J29" s="102"/>
      <c r="K29" s="103"/>
      <c r="L29" s="9">
        <f ca="1">OFFSET(理科!C9,0,$B$2)</f>
        <v>0</v>
      </c>
      <c r="M29" s="96"/>
      <c r="N29" s="97"/>
      <c r="T29" s="2">
        <v>24</v>
      </c>
      <c r="U29" s="38">
        <f t="shared" ca="1" si="0"/>
        <v>0</v>
      </c>
    </row>
    <row r="30" spans="1:21" ht="18" customHeight="1" x14ac:dyDescent="0.15">
      <c r="A30" s="89" t="s">
        <v>30</v>
      </c>
      <c r="B30" s="91" t="str">
        <f>社会!B2</f>
        <v>知識・技能（発言・定期テスト）</v>
      </c>
      <c r="C30" s="92"/>
      <c r="D30" s="92"/>
      <c r="E30" s="92"/>
      <c r="F30" s="92"/>
      <c r="G30" s="92"/>
      <c r="H30" s="92"/>
      <c r="I30" s="92"/>
      <c r="J30" s="92"/>
      <c r="K30" s="93"/>
      <c r="L30" s="12" t="str">
        <f ca="1">OFFSET(社会!C2,0,$B$2)</f>
        <v>B</v>
      </c>
      <c r="M30" s="94">
        <f ca="1">OFFSET(社会!C12,0,$B$2)</f>
        <v>3</v>
      </c>
      <c r="N30" s="95"/>
      <c r="T30" s="2">
        <v>25</v>
      </c>
      <c r="U30" s="38">
        <f t="shared" ca="1" si="0"/>
        <v>0</v>
      </c>
    </row>
    <row r="31" spans="1:21" ht="18" customHeight="1" x14ac:dyDescent="0.15">
      <c r="A31" s="90"/>
      <c r="B31" s="98" t="str">
        <f>社会!B3</f>
        <v>思考力・表現力・判断力（発言・定期テスト）</v>
      </c>
      <c r="C31" s="99"/>
      <c r="D31" s="99"/>
      <c r="E31" s="99"/>
      <c r="F31" s="99"/>
      <c r="G31" s="99"/>
      <c r="H31" s="99"/>
      <c r="I31" s="99"/>
      <c r="J31" s="99"/>
      <c r="K31" s="100"/>
      <c r="L31" s="9" t="str">
        <f ca="1">OFFSET(社会!C3,0,$B$2)</f>
        <v>B</v>
      </c>
      <c r="M31" s="96"/>
      <c r="N31" s="97"/>
    </row>
    <row r="32" spans="1:21" ht="18" customHeight="1" x14ac:dyDescent="0.15">
      <c r="A32" s="90"/>
      <c r="B32" s="98" t="str">
        <f>社会!B4</f>
        <v>主体的に学習に取り組む態度</v>
      </c>
      <c r="C32" s="99"/>
      <c r="D32" s="99"/>
      <c r="E32" s="99"/>
      <c r="F32" s="99"/>
      <c r="G32" s="99"/>
      <c r="H32" s="99"/>
      <c r="I32" s="99"/>
      <c r="J32" s="99"/>
      <c r="K32" s="100"/>
      <c r="L32" s="9" t="str">
        <f ca="1">OFFSET(社会!C4,0,$B$2)</f>
        <v>A</v>
      </c>
      <c r="M32" s="96"/>
      <c r="N32" s="97"/>
    </row>
    <row r="33" spans="1:14" ht="18" customHeight="1" x14ac:dyDescent="0.15">
      <c r="A33" s="90"/>
      <c r="B33" s="98">
        <f>社会!B5</f>
        <v>0</v>
      </c>
      <c r="C33" s="99"/>
      <c r="D33" s="99"/>
      <c r="E33" s="99"/>
      <c r="F33" s="99"/>
      <c r="G33" s="99"/>
      <c r="H33" s="99"/>
      <c r="I33" s="99"/>
      <c r="J33" s="99"/>
      <c r="K33" s="100"/>
      <c r="L33" s="9">
        <f ca="1">OFFSET(社会!C5,0,$B$2)</f>
        <v>0</v>
      </c>
      <c r="M33" s="96"/>
      <c r="N33" s="97"/>
    </row>
    <row r="34" spans="1:14" ht="18" customHeight="1" x14ac:dyDescent="0.15">
      <c r="A34" s="90"/>
      <c r="B34" s="98">
        <f>社会!B6</f>
        <v>0</v>
      </c>
      <c r="C34" s="99"/>
      <c r="D34" s="99"/>
      <c r="E34" s="99"/>
      <c r="F34" s="99"/>
      <c r="G34" s="99"/>
      <c r="H34" s="99"/>
      <c r="I34" s="99"/>
      <c r="J34" s="99"/>
      <c r="K34" s="100"/>
      <c r="L34" s="9">
        <f ca="1">OFFSET(社会!C6,0,$B$2)</f>
        <v>0</v>
      </c>
      <c r="M34" s="96"/>
      <c r="N34" s="97"/>
    </row>
    <row r="35" spans="1:14" ht="18" customHeight="1" x14ac:dyDescent="0.15">
      <c r="A35" s="90"/>
      <c r="B35" s="98">
        <f>社会!B7</f>
        <v>0</v>
      </c>
      <c r="C35" s="99"/>
      <c r="D35" s="99"/>
      <c r="E35" s="99"/>
      <c r="F35" s="99"/>
      <c r="G35" s="99"/>
      <c r="H35" s="99"/>
      <c r="I35" s="99"/>
      <c r="J35" s="99"/>
      <c r="K35" s="100"/>
      <c r="L35" s="9">
        <f ca="1">OFFSET(社会!C7,0,$B$2)</f>
        <v>0</v>
      </c>
      <c r="M35" s="96"/>
      <c r="N35" s="97"/>
    </row>
    <row r="36" spans="1:14" ht="18" customHeight="1" x14ac:dyDescent="0.15">
      <c r="A36" s="90"/>
      <c r="B36" s="98">
        <f>社会!B8</f>
        <v>0</v>
      </c>
      <c r="C36" s="99"/>
      <c r="D36" s="99"/>
      <c r="E36" s="99"/>
      <c r="F36" s="99"/>
      <c r="G36" s="99"/>
      <c r="H36" s="99"/>
      <c r="I36" s="99"/>
      <c r="J36" s="99"/>
      <c r="K36" s="100"/>
      <c r="L36" s="9">
        <f ca="1">OFFSET(社会!C8,0,$B$2)</f>
        <v>0</v>
      </c>
      <c r="M36" s="96"/>
      <c r="N36" s="97"/>
    </row>
    <row r="37" spans="1:14" ht="18" customHeight="1" x14ac:dyDescent="0.15">
      <c r="A37" s="90"/>
      <c r="B37" s="101">
        <f>社会!B9</f>
        <v>0</v>
      </c>
      <c r="C37" s="102"/>
      <c r="D37" s="102"/>
      <c r="E37" s="102"/>
      <c r="F37" s="102"/>
      <c r="G37" s="102"/>
      <c r="H37" s="102"/>
      <c r="I37" s="102"/>
      <c r="J37" s="102"/>
      <c r="K37" s="103"/>
      <c r="L37" s="9">
        <f ca="1">OFFSET(社会!C9,0,$B$2)</f>
        <v>0</v>
      </c>
      <c r="M37" s="96"/>
      <c r="N37" s="97"/>
    </row>
    <row r="38" spans="1:14" ht="18" customHeight="1" x14ac:dyDescent="0.15">
      <c r="A38" s="89" t="s">
        <v>6</v>
      </c>
      <c r="B38" s="91" t="str">
        <f>英語!B2</f>
        <v>知識・技能(定期テスト・ワークテスト）</v>
      </c>
      <c r="C38" s="92"/>
      <c r="D38" s="92"/>
      <c r="E38" s="92"/>
      <c r="F38" s="92"/>
      <c r="G38" s="92"/>
      <c r="H38" s="92"/>
      <c r="I38" s="92"/>
      <c r="J38" s="92"/>
      <c r="K38" s="93"/>
      <c r="L38" s="12" t="str">
        <f ca="1">OFFSET(英語!C2,0,$B$2)</f>
        <v>B</v>
      </c>
      <c r="M38" s="94" t="str">
        <f ca="1">OFFSET(英語!C12,0,$B$2)</f>
        <v>4</v>
      </c>
      <c r="N38" s="95"/>
    </row>
    <row r="39" spans="1:14" ht="18" customHeight="1" x14ac:dyDescent="0.15">
      <c r="A39" s="90"/>
      <c r="B39" s="98" t="str">
        <f>英語!B3</f>
        <v>思考力・表現力・判断力（スピーチ・リスニング・英作文）</v>
      </c>
      <c r="C39" s="99"/>
      <c r="D39" s="99"/>
      <c r="E39" s="99"/>
      <c r="F39" s="99"/>
      <c r="G39" s="99"/>
      <c r="H39" s="99"/>
      <c r="I39" s="99"/>
      <c r="J39" s="99"/>
      <c r="K39" s="100"/>
      <c r="L39" s="9" t="str">
        <f ca="1">OFFSET(英語!C3,0,$B$2)</f>
        <v>A</v>
      </c>
      <c r="M39" s="96"/>
      <c r="N39" s="97"/>
    </row>
    <row r="40" spans="1:14" ht="18" customHeight="1" x14ac:dyDescent="0.15">
      <c r="A40" s="90"/>
      <c r="B40" s="98" t="str">
        <f>英語!B4</f>
        <v>主体的に学習に取り組む態度（授業態度・宿題提出率・ミニテスト）</v>
      </c>
      <c r="C40" s="99"/>
      <c r="D40" s="99"/>
      <c r="E40" s="99"/>
      <c r="F40" s="99"/>
      <c r="G40" s="99"/>
      <c r="H40" s="99"/>
      <c r="I40" s="99"/>
      <c r="J40" s="99"/>
      <c r="K40" s="100"/>
      <c r="L40" s="9" t="str">
        <f ca="1">OFFSET(英語!C4,0,$B$2)</f>
        <v>A</v>
      </c>
      <c r="M40" s="96"/>
      <c r="N40" s="97"/>
    </row>
    <row r="41" spans="1:14" ht="18" customHeight="1" x14ac:dyDescent="0.15">
      <c r="A41" s="90"/>
      <c r="B41" s="98">
        <f>英語!B5</f>
        <v>0</v>
      </c>
      <c r="C41" s="99"/>
      <c r="D41" s="99"/>
      <c r="E41" s="99"/>
      <c r="F41" s="99"/>
      <c r="G41" s="99"/>
      <c r="H41" s="99"/>
      <c r="I41" s="99"/>
      <c r="J41" s="99"/>
      <c r="K41" s="100"/>
      <c r="L41" s="9">
        <f ca="1">OFFSET(英語!C5,0,$B$2)</f>
        <v>0</v>
      </c>
      <c r="M41" s="96"/>
      <c r="N41" s="97"/>
    </row>
    <row r="42" spans="1:14" ht="18" customHeight="1" x14ac:dyDescent="0.15">
      <c r="A42" s="90"/>
      <c r="B42" s="98">
        <f>英語!B6</f>
        <v>0</v>
      </c>
      <c r="C42" s="99"/>
      <c r="D42" s="99"/>
      <c r="E42" s="99"/>
      <c r="F42" s="99"/>
      <c r="G42" s="99"/>
      <c r="H42" s="99"/>
      <c r="I42" s="99"/>
      <c r="J42" s="99"/>
      <c r="K42" s="100"/>
      <c r="L42" s="9">
        <f ca="1">OFFSET(英語!C6,0,$B$2)</f>
        <v>0</v>
      </c>
      <c r="M42" s="96"/>
      <c r="N42" s="97"/>
    </row>
    <row r="43" spans="1:14" ht="18" customHeight="1" x14ac:dyDescent="0.15">
      <c r="A43" s="90"/>
      <c r="B43" s="98">
        <f>英語!B7</f>
        <v>0</v>
      </c>
      <c r="C43" s="99"/>
      <c r="D43" s="99"/>
      <c r="E43" s="99"/>
      <c r="F43" s="99"/>
      <c r="G43" s="99"/>
      <c r="H43" s="99"/>
      <c r="I43" s="99"/>
      <c r="J43" s="99"/>
      <c r="K43" s="100"/>
      <c r="L43" s="9">
        <f ca="1">OFFSET(英語!C7,0,$B$2)</f>
        <v>0</v>
      </c>
      <c r="M43" s="96"/>
      <c r="N43" s="97"/>
    </row>
    <row r="44" spans="1:14" ht="18" customHeight="1" x14ac:dyDescent="0.15">
      <c r="A44" s="90"/>
      <c r="B44" s="98">
        <f>英語!B8</f>
        <v>0</v>
      </c>
      <c r="C44" s="99"/>
      <c r="D44" s="99"/>
      <c r="E44" s="99"/>
      <c r="F44" s="99"/>
      <c r="G44" s="99"/>
      <c r="H44" s="99"/>
      <c r="I44" s="99"/>
      <c r="J44" s="99"/>
      <c r="K44" s="100"/>
      <c r="L44" s="9">
        <f ca="1">OFFSET(英語!C8,0,$B$2)</f>
        <v>0</v>
      </c>
      <c r="M44" s="96"/>
      <c r="N44" s="97"/>
    </row>
    <row r="45" spans="1:14" ht="18" customHeight="1" x14ac:dyDescent="0.15">
      <c r="A45" s="90"/>
      <c r="B45" s="101">
        <f>英語!B9</f>
        <v>0</v>
      </c>
      <c r="C45" s="102"/>
      <c r="D45" s="102"/>
      <c r="E45" s="102"/>
      <c r="F45" s="102"/>
      <c r="G45" s="102"/>
      <c r="H45" s="102"/>
      <c r="I45" s="102"/>
      <c r="J45" s="102"/>
      <c r="K45" s="103"/>
      <c r="L45" s="9">
        <f ca="1">OFFSET(英語!C9,0,$B$2)</f>
        <v>0</v>
      </c>
      <c r="M45" s="96"/>
      <c r="N45" s="97"/>
    </row>
    <row r="46" spans="1:14" ht="18" customHeight="1" x14ac:dyDescent="0.15">
      <c r="A46" s="89" t="s">
        <v>0</v>
      </c>
      <c r="B46" s="91" t="str">
        <f>音楽!B2</f>
        <v>知識・技能(提出物、演奏聴取、ワークシート、定期テスト)</v>
      </c>
      <c r="C46" s="92"/>
      <c r="D46" s="92"/>
      <c r="E46" s="92"/>
      <c r="F46" s="92"/>
      <c r="G46" s="92"/>
      <c r="H46" s="92"/>
      <c r="I46" s="92"/>
      <c r="J46" s="92"/>
      <c r="K46" s="93"/>
      <c r="L46" s="12" t="str">
        <f ca="1">OFFSET(音楽!C2,0,$B$2)</f>
        <v>B</v>
      </c>
      <c r="M46" s="94">
        <f ca="1">OFFSET(音楽!C12,0,$B$2)</f>
        <v>3</v>
      </c>
      <c r="N46" s="95"/>
    </row>
    <row r="47" spans="1:14" ht="18" customHeight="1" x14ac:dyDescent="0.15">
      <c r="A47" s="90"/>
      <c r="B47" s="98" t="str">
        <f>音楽!B3</f>
        <v>思考力・判断力・表現力(提出物、演奏聴取、ワークシート、定期テスト)</v>
      </c>
      <c r="C47" s="99"/>
      <c r="D47" s="99"/>
      <c r="E47" s="99"/>
      <c r="F47" s="99"/>
      <c r="G47" s="99"/>
      <c r="H47" s="99"/>
      <c r="I47" s="99"/>
      <c r="J47" s="99"/>
      <c r="K47" s="100"/>
      <c r="L47" s="9" t="str">
        <f ca="1">OFFSET(音楽!C3,0,$B$2)</f>
        <v>B</v>
      </c>
      <c r="M47" s="96"/>
      <c r="N47" s="97"/>
    </row>
    <row r="48" spans="1:14" ht="18" customHeight="1" x14ac:dyDescent="0.15">
      <c r="A48" s="90"/>
      <c r="B48" s="98" t="str">
        <f>音楽!B4</f>
        <v>主体的に学習に取り組む態度</v>
      </c>
      <c r="C48" s="99"/>
      <c r="D48" s="99"/>
      <c r="E48" s="99"/>
      <c r="F48" s="99"/>
      <c r="G48" s="99"/>
      <c r="H48" s="99"/>
      <c r="I48" s="99"/>
      <c r="J48" s="99"/>
      <c r="K48" s="100"/>
      <c r="L48" s="9" t="str">
        <f ca="1">OFFSET(音楽!C4,0,$B$2)</f>
        <v>A</v>
      </c>
      <c r="M48" s="96"/>
      <c r="N48" s="97"/>
    </row>
    <row r="49" spans="1:14" ht="18" customHeight="1" x14ac:dyDescent="0.15">
      <c r="A49" s="90"/>
      <c r="B49" s="98">
        <f>音楽!B5</f>
        <v>0</v>
      </c>
      <c r="C49" s="99"/>
      <c r="D49" s="99"/>
      <c r="E49" s="99"/>
      <c r="F49" s="99"/>
      <c r="G49" s="99"/>
      <c r="H49" s="99"/>
      <c r="I49" s="99"/>
      <c r="J49" s="99"/>
      <c r="K49" s="100"/>
      <c r="L49" s="9">
        <f ca="1">OFFSET(音楽!C5,0,$B$2)</f>
        <v>0</v>
      </c>
      <c r="M49" s="96"/>
      <c r="N49" s="97"/>
    </row>
    <row r="50" spans="1:14" ht="18" customHeight="1" x14ac:dyDescent="0.15">
      <c r="A50" s="90"/>
      <c r="B50" s="98">
        <f>音楽!B6</f>
        <v>0</v>
      </c>
      <c r="C50" s="99"/>
      <c r="D50" s="99"/>
      <c r="E50" s="99"/>
      <c r="F50" s="99"/>
      <c r="G50" s="99"/>
      <c r="H50" s="99"/>
      <c r="I50" s="99"/>
      <c r="J50" s="99"/>
      <c r="K50" s="100"/>
      <c r="L50" s="9">
        <f ca="1">OFFSET(音楽!C6,0,$B$2)</f>
        <v>0</v>
      </c>
      <c r="M50" s="96"/>
      <c r="N50" s="97"/>
    </row>
    <row r="51" spans="1:14" ht="18" customHeight="1" x14ac:dyDescent="0.15">
      <c r="A51" s="90"/>
      <c r="B51" s="98">
        <f>音楽!B7</f>
        <v>0</v>
      </c>
      <c r="C51" s="99"/>
      <c r="D51" s="99"/>
      <c r="E51" s="99"/>
      <c r="F51" s="99"/>
      <c r="G51" s="99"/>
      <c r="H51" s="99"/>
      <c r="I51" s="99"/>
      <c r="J51" s="99"/>
      <c r="K51" s="100"/>
      <c r="L51" s="9">
        <f ca="1">OFFSET(音楽!C7,0,$B$2)</f>
        <v>0</v>
      </c>
      <c r="M51" s="96"/>
      <c r="N51" s="97"/>
    </row>
    <row r="52" spans="1:14" ht="18" customHeight="1" x14ac:dyDescent="0.15">
      <c r="A52" s="90"/>
      <c r="B52" s="98">
        <f>音楽!B8</f>
        <v>0</v>
      </c>
      <c r="C52" s="99"/>
      <c r="D52" s="99"/>
      <c r="E52" s="99"/>
      <c r="F52" s="99"/>
      <c r="G52" s="99"/>
      <c r="H52" s="99"/>
      <c r="I52" s="99"/>
      <c r="J52" s="99"/>
      <c r="K52" s="100"/>
      <c r="L52" s="9">
        <f ca="1">OFFSET(音楽!C8,0,$B$2)</f>
        <v>0</v>
      </c>
      <c r="M52" s="96"/>
      <c r="N52" s="97"/>
    </row>
    <row r="53" spans="1:14" ht="18" customHeight="1" x14ac:dyDescent="0.15">
      <c r="A53" s="90"/>
      <c r="B53" s="101">
        <f>音楽!B9</f>
        <v>0</v>
      </c>
      <c r="C53" s="102"/>
      <c r="D53" s="102"/>
      <c r="E53" s="102"/>
      <c r="F53" s="102"/>
      <c r="G53" s="102"/>
      <c r="H53" s="102"/>
      <c r="I53" s="102"/>
      <c r="J53" s="102"/>
      <c r="K53" s="103"/>
      <c r="L53" s="9">
        <f ca="1">OFFSET(音楽!C9,0,$B$2)</f>
        <v>0</v>
      </c>
      <c r="M53" s="96"/>
      <c r="N53" s="97"/>
    </row>
    <row r="54" spans="1:14" ht="6.75" customHeight="1" x14ac:dyDescent="0.15">
      <c r="A54" s="3"/>
      <c r="B54" s="17"/>
      <c r="C54" s="5"/>
      <c r="D54" s="5"/>
      <c r="E54" s="5"/>
      <c r="F54" s="5"/>
      <c r="G54" s="5"/>
      <c r="H54" s="5"/>
      <c r="I54" s="5"/>
      <c r="J54" s="5"/>
      <c r="K54" s="5"/>
      <c r="L54" s="3"/>
      <c r="M54" s="55"/>
      <c r="N54" s="55"/>
    </row>
    <row r="55" spans="1:14" ht="19.5" customHeight="1" x14ac:dyDescent="0.15">
      <c r="A55" s="57"/>
      <c r="B55" s="18"/>
      <c r="C55" s="6"/>
      <c r="D55" s="6"/>
      <c r="E55" s="6"/>
      <c r="F55" s="6"/>
      <c r="G55" s="6"/>
      <c r="H55" s="6"/>
      <c r="I55" s="6"/>
      <c r="J55" s="6"/>
      <c r="K55" s="6"/>
      <c r="L55" s="57"/>
      <c r="M55" s="56"/>
      <c r="N55" s="56"/>
    </row>
    <row r="56" spans="1:14" ht="18" customHeight="1" x14ac:dyDescent="0.15">
      <c r="A56" s="89" t="s">
        <v>33</v>
      </c>
      <c r="B56" s="91" t="str">
        <f>美術!B2</f>
        <v>知識・技能（ワークシート・テスト）</v>
      </c>
      <c r="C56" s="92"/>
      <c r="D56" s="92"/>
      <c r="E56" s="92"/>
      <c r="F56" s="92"/>
      <c r="G56" s="92"/>
      <c r="H56" s="92"/>
      <c r="I56" s="92"/>
      <c r="J56" s="92"/>
      <c r="K56" s="93"/>
      <c r="L56" s="12" t="str">
        <f ca="1">OFFSET(美術!C2,0,$B$2)</f>
        <v>C</v>
      </c>
      <c r="M56" s="94">
        <f ca="1">OFFSET(美術!C12,0,$B$2)</f>
        <v>3</v>
      </c>
      <c r="N56" s="95"/>
    </row>
    <row r="57" spans="1:14" ht="18" customHeight="1" x14ac:dyDescent="0.15">
      <c r="A57" s="90"/>
      <c r="B57" s="98" t="str">
        <f>美術!B3</f>
        <v>思考・判断・表現（作品・テスト・クロッキー）</v>
      </c>
      <c r="C57" s="99"/>
      <c r="D57" s="99"/>
      <c r="E57" s="99"/>
      <c r="F57" s="99"/>
      <c r="G57" s="99"/>
      <c r="H57" s="99"/>
      <c r="I57" s="99"/>
      <c r="J57" s="99"/>
      <c r="K57" s="100"/>
      <c r="L57" s="9" t="str">
        <f ca="1">OFFSET(美術!C3,0,$B$2)</f>
        <v>B</v>
      </c>
      <c r="M57" s="96"/>
      <c r="N57" s="97"/>
    </row>
    <row r="58" spans="1:14" ht="18" customHeight="1" x14ac:dyDescent="0.15">
      <c r="A58" s="90"/>
      <c r="B58" s="98" t="str">
        <f>美術!B4</f>
        <v>主体的な態度（振り返りシート・授業態度・提出物・持ち物）</v>
      </c>
      <c r="C58" s="99"/>
      <c r="D58" s="99"/>
      <c r="E58" s="99"/>
      <c r="F58" s="99"/>
      <c r="G58" s="99"/>
      <c r="H58" s="99"/>
      <c r="I58" s="99"/>
      <c r="J58" s="99"/>
      <c r="K58" s="100"/>
      <c r="L58" s="9" t="str">
        <f ca="1">OFFSET(美術!C4,0,$B$2)</f>
        <v>B</v>
      </c>
      <c r="M58" s="96"/>
      <c r="N58" s="97"/>
    </row>
    <row r="59" spans="1:14" ht="18" customHeight="1" x14ac:dyDescent="0.15">
      <c r="A59" s="90"/>
      <c r="B59" s="98">
        <f>美術!B5</f>
        <v>0</v>
      </c>
      <c r="C59" s="99"/>
      <c r="D59" s="99"/>
      <c r="E59" s="99"/>
      <c r="F59" s="99"/>
      <c r="G59" s="99"/>
      <c r="H59" s="99"/>
      <c r="I59" s="99"/>
      <c r="J59" s="99"/>
      <c r="K59" s="100"/>
      <c r="L59" s="9">
        <f ca="1">OFFSET(美術!C5,0,$B$2)</f>
        <v>0</v>
      </c>
      <c r="M59" s="96"/>
      <c r="N59" s="97"/>
    </row>
    <row r="60" spans="1:14" ht="18" customHeight="1" x14ac:dyDescent="0.15">
      <c r="A60" s="90"/>
      <c r="B60" s="98">
        <f>美術!B6</f>
        <v>0</v>
      </c>
      <c r="C60" s="99"/>
      <c r="D60" s="99"/>
      <c r="E60" s="99"/>
      <c r="F60" s="99"/>
      <c r="G60" s="99"/>
      <c r="H60" s="99"/>
      <c r="I60" s="99"/>
      <c r="J60" s="99"/>
      <c r="K60" s="100"/>
      <c r="L60" s="9">
        <f ca="1">OFFSET(美術!C6,0,$B$2)</f>
        <v>0</v>
      </c>
      <c r="M60" s="96"/>
      <c r="N60" s="97"/>
    </row>
    <row r="61" spans="1:14" ht="18" customHeight="1" x14ac:dyDescent="0.15">
      <c r="A61" s="90"/>
      <c r="B61" s="98">
        <f>美術!B7</f>
        <v>0</v>
      </c>
      <c r="C61" s="99"/>
      <c r="D61" s="99"/>
      <c r="E61" s="99"/>
      <c r="F61" s="99"/>
      <c r="G61" s="99"/>
      <c r="H61" s="99"/>
      <c r="I61" s="99"/>
      <c r="J61" s="99"/>
      <c r="K61" s="100"/>
      <c r="L61" s="9">
        <f ca="1">OFFSET(美術!C7,0,$B$2)</f>
        <v>0</v>
      </c>
      <c r="M61" s="96"/>
      <c r="N61" s="97"/>
    </row>
    <row r="62" spans="1:14" ht="18" customHeight="1" x14ac:dyDescent="0.15">
      <c r="A62" s="90"/>
      <c r="B62" s="98">
        <f>美術!B8</f>
        <v>0</v>
      </c>
      <c r="C62" s="99"/>
      <c r="D62" s="99"/>
      <c r="E62" s="99"/>
      <c r="F62" s="99"/>
      <c r="G62" s="99"/>
      <c r="H62" s="99"/>
      <c r="I62" s="99"/>
      <c r="J62" s="99"/>
      <c r="K62" s="100"/>
      <c r="L62" s="9">
        <f ca="1">OFFSET(美術!C8,0,$B$2)</f>
        <v>0</v>
      </c>
      <c r="M62" s="96"/>
      <c r="N62" s="97"/>
    </row>
    <row r="63" spans="1:14" ht="18" customHeight="1" x14ac:dyDescent="0.15">
      <c r="A63" s="90"/>
      <c r="B63" s="101">
        <f>美術!B9</f>
        <v>0</v>
      </c>
      <c r="C63" s="102"/>
      <c r="D63" s="102"/>
      <c r="E63" s="102"/>
      <c r="F63" s="102"/>
      <c r="G63" s="102"/>
      <c r="H63" s="102"/>
      <c r="I63" s="102"/>
      <c r="J63" s="102"/>
      <c r="K63" s="103"/>
      <c r="L63" s="9">
        <f ca="1">OFFSET(美術!C9,0,$B$2)</f>
        <v>0</v>
      </c>
      <c r="M63" s="96"/>
      <c r="N63" s="97"/>
    </row>
    <row r="64" spans="1:14" ht="18" customHeight="1" x14ac:dyDescent="0.15">
      <c r="A64" s="89" t="s">
        <v>34</v>
      </c>
      <c r="B64" s="91" t="str">
        <f>保体!B2</f>
        <v>知識・技能（実技・定期テスト）</v>
      </c>
      <c r="C64" s="92"/>
      <c r="D64" s="92"/>
      <c r="E64" s="92"/>
      <c r="F64" s="92"/>
      <c r="G64" s="92"/>
      <c r="H64" s="92"/>
      <c r="I64" s="92"/>
      <c r="J64" s="92"/>
      <c r="K64" s="93"/>
      <c r="L64" s="12" t="str">
        <f ca="1">OFFSET(保体!C2,0,$B$2)</f>
        <v>A</v>
      </c>
      <c r="M64" s="94">
        <f ca="1">OFFSET(保体!C12,0,$B$2)</f>
        <v>4</v>
      </c>
      <c r="N64" s="95"/>
    </row>
    <row r="65" spans="1:19" ht="18" customHeight="1" x14ac:dyDescent="0.15">
      <c r="A65" s="90"/>
      <c r="B65" s="98" t="str">
        <f>保体!B3</f>
        <v>思考力・表現力・判断力（実技）</v>
      </c>
      <c r="C65" s="99"/>
      <c r="D65" s="99"/>
      <c r="E65" s="99"/>
      <c r="F65" s="99"/>
      <c r="G65" s="99"/>
      <c r="H65" s="99"/>
      <c r="I65" s="99"/>
      <c r="J65" s="99"/>
      <c r="K65" s="100"/>
      <c r="L65" s="9" t="str">
        <f ca="1">OFFSET(保体!C3,0,$B$2)</f>
        <v>A</v>
      </c>
      <c r="M65" s="96"/>
      <c r="N65" s="97"/>
    </row>
    <row r="66" spans="1:19" ht="18" customHeight="1" x14ac:dyDescent="0.15">
      <c r="A66" s="90"/>
      <c r="B66" s="98" t="str">
        <f>保体!B4</f>
        <v>主体的に学習に取り組む態度</v>
      </c>
      <c r="C66" s="99"/>
      <c r="D66" s="99"/>
      <c r="E66" s="99"/>
      <c r="F66" s="99"/>
      <c r="G66" s="99"/>
      <c r="H66" s="99"/>
      <c r="I66" s="99"/>
      <c r="J66" s="99"/>
      <c r="K66" s="100"/>
      <c r="L66" s="9" t="str">
        <f ca="1">OFFSET(保体!C4,0,$B$2)</f>
        <v>B</v>
      </c>
      <c r="M66" s="96"/>
      <c r="N66" s="97"/>
    </row>
    <row r="67" spans="1:19" ht="18" customHeight="1" x14ac:dyDescent="0.15">
      <c r="A67" s="90"/>
      <c r="B67" s="98">
        <f>保体!B5</f>
        <v>0</v>
      </c>
      <c r="C67" s="99"/>
      <c r="D67" s="99"/>
      <c r="E67" s="99"/>
      <c r="F67" s="99"/>
      <c r="G67" s="99"/>
      <c r="H67" s="99"/>
      <c r="I67" s="99"/>
      <c r="J67" s="99"/>
      <c r="K67" s="100"/>
      <c r="L67" s="9">
        <f ca="1">OFFSET(保体!C5,0,$B$2)</f>
        <v>0</v>
      </c>
      <c r="M67" s="96"/>
      <c r="N67" s="97"/>
    </row>
    <row r="68" spans="1:19" ht="18" customHeight="1" x14ac:dyDescent="0.15">
      <c r="A68" s="90"/>
      <c r="B68" s="98">
        <f>保体!B6</f>
        <v>0</v>
      </c>
      <c r="C68" s="99"/>
      <c r="D68" s="99"/>
      <c r="E68" s="99"/>
      <c r="F68" s="99"/>
      <c r="G68" s="99"/>
      <c r="H68" s="99"/>
      <c r="I68" s="99"/>
      <c r="J68" s="99"/>
      <c r="K68" s="100"/>
      <c r="L68" s="9">
        <f ca="1">OFFSET(保体!C6,0,$B$2)</f>
        <v>0</v>
      </c>
      <c r="M68" s="96"/>
      <c r="N68" s="97"/>
    </row>
    <row r="69" spans="1:19" ht="18" customHeight="1" x14ac:dyDescent="0.15">
      <c r="A69" s="90"/>
      <c r="B69" s="98">
        <f>保体!B7</f>
        <v>0</v>
      </c>
      <c r="C69" s="99"/>
      <c r="D69" s="99"/>
      <c r="E69" s="99"/>
      <c r="F69" s="99"/>
      <c r="G69" s="99"/>
      <c r="H69" s="99"/>
      <c r="I69" s="99"/>
      <c r="J69" s="99"/>
      <c r="K69" s="100"/>
      <c r="L69" s="9">
        <f ca="1">OFFSET(保体!C7,0,$B$2)</f>
        <v>0</v>
      </c>
      <c r="M69" s="96"/>
      <c r="N69" s="97"/>
    </row>
    <row r="70" spans="1:19" ht="18" customHeight="1" x14ac:dyDescent="0.15">
      <c r="A70" s="90"/>
      <c r="B70" s="98">
        <f>保体!B8</f>
        <v>0</v>
      </c>
      <c r="C70" s="99"/>
      <c r="D70" s="99"/>
      <c r="E70" s="99"/>
      <c r="F70" s="99"/>
      <c r="G70" s="99"/>
      <c r="H70" s="99"/>
      <c r="I70" s="99"/>
      <c r="J70" s="99"/>
      <c r="K70" s="100"/>
      <c r="L70" s="9">
        <f ca="1">OFFSET(保体!C8,0,$B$2)</f>
        <v>0</v>
      </c>
      <c r="M70" s="96"/>
      <c r="N70" s="97"/>
    </row>
    <row r="71" spans="1:19" ht="18" customHeight="1" x14ac:dyDescent="0.15">
      <c r="A71" s="90"/>
      <c r="B71" s="101">
        <f>保体!B9</f>
        <v>0</v>
      </c>
      <c r="C71" s="102"/>
      <c r="D71" s="102"/>
      <c r="E71" s="102"/>
      <c r="F71" s="102"/>
      <c r="G71" s="102"/>
      <c r="H71" s="102"/>
      <c r="I71" s="102"/>
      <c r="J71" s="102"/>
      <c r="K71" s="103"/>
      <c r="L71" s="9">
        <f ca="1">OFFSET(保体!C9,0,$B$2)</f>
        <v>0</v>
      </c>
      <c r="M71" s="96"/>
      <c r="N71" s="97"/>
    </row>
    <row r="72" spans="1:19" ht="18" customHeight="1" x14ac:dyDescent="0.15">
      <c r="A72" s="89" t="s">
        <v>35</v>
      </c>
      <c r="B72" s="91" t="str">
        <f>技家!B2</f>
        <v>知識・技能(定期テスト・学習ノート・ロボットの製作・動く仕組み・箸袋製作）</v>
      </c>
      <c r="C72" s="92"/>
      <c r="D72" s="92"/>
      <c r="E72" s="92"/>
      <c r="F72" s="92"/>
      <c r="G72" s="92"/>
      <c r="H72" s="92"/>
      <c r="I72" s="92"/>
      <c r="J72" s="92"/>
      <c r="K72" s="93"/>
      <c r="L72" s="12" t="str">
        <f ca="1">OFFSET(技家!C2,0,$B$2)</f>
        <v>B</v>
      </c>
      <c r="M72" s="94">
        <f ca="1">OFFSET(技家!C12,0,$B$2)</f>
        <v>3</v>
      </c>
      <c r="N72" s="95"/>
    </row>
    <row r="73" spans="1:19" ht="18" customHeight="1" x14ac:dyDescent="0.15">
      <c r="A73" s="90"/>
      <c r="B73" s="98" t="str">
        <f>技家!B3</f>
        <v>思考・判断・表現（ロボット製作の工夫・機構学的な考え・GWレポート・授業プリント）</v>
      </c>
      <c r="C73" s="99"/>
      <c r="D73" s="99"/>
      <c r="E73" s="99"/>
      <c r="F73" s="99"/>
      <c r="G73" s="99"/>
      <c r="H73" s="99"/>
      <c r="I73" s="99"/>
      <c r="J73" s="99"/>
      <c r="K73" s="100"/>
      <c r="L73" s="9" t="str">
        <f ca="1">OFFSET(技家!C3,0,$B$2)</f>
        <v>A</v>
      </c>
      <c r="M73" s="96"/>
      <c r="N73" s="97"/>
    </row>
    <row r="74" spans="1:19" ht="18" customHeight="1" x14ac:dyDescent="0.15">
      <c r="A74" s="90"/>
      <c r="B74" s="98" t="str">
        <f>技家!B4</f>
        <v>主体的に学習に取り組む態度</v>
      </c>
      <c r="C74" s="99"/>
      <c r="D74" s="99"/>
      <c r="E74" s="99"/>
      <c r="F74" s="99"/>
      <c r="G74" s="99"/>
      <c r="H74" s="99"/>
      <c r="I74" s="99"/>
      <c r="J74" s="99"/>
      <c r="K74" s="100"/>
      <c r="L74" s="9" t="str">
        <f ca="1">OFFSET(技家!C4,0,$B$2)</f>
        <v>B</v>
      </c>
      <c r="M74" s="96"/>
      <c r="N74" s="97"/>
    </row>
    <row r="75" spans="1:19" ht="18" customHeight="1" x14ac:dyDescent="0.15">
      <c r="A75" s="90"/>
      <c r="B75" s="98">
        <f>技家!B5</f>
        <v>0</v>
      </c>
      <c r="C75" s="99"/>
      <c r="D75" s="99"/>
      <c r="E75" s="99"/>
      <c r="F75" s="99"/>
      <c r="G75" s="99"/>
      <c r="H75" s="99"/>
      <c r="I75" s="99"/>
      <c r="J75" s="99"/>
      <c r="K75" s="100"/>
      <c r="L75" s="9">
        <f ca="1">OFFSET(技家!C5,0,$B$2)</f>
        <v>0</v>
      </c>
      <c r="M75" s="96"/>
      <c r="N75" s="97"/>
    </row>
    <row r="76" spans="1:19" ht="18" customHeight="1" x14ac:dyDescent="0.15">
      <c r="A76" s="90"/>
      <c r="B76" s="98">
        <f>技家!B6</f>
        <v>0</v>
      </c>
      <c r="C76" s="99"/>
      <c r="D76" s="99"/>
      <c r="E76" s="99"/>
      <c r="F76" s="99"/>
      <c r="G76" s="99"/>
      <c r="H76" s="99"/>
      <c r="I76" s="99"/>
      <c r="J76" s="99"/>
      <c r="K76" s="100"/>
      <c r="L76" s="9">
        <f ca="1">OFFSET(技家!C6,0,$B$2)</f>
        <v>0</v>
      </c>
      <c r="M76" s="96"/>
      <c r="N76" s="97"/>
      <c r="S76" s="7"/>
    </row>
    <row r="77" spans="1:19" ht="18" customHeight="1" x14ac:dyDescent="0.15">
      <c r="A77" s="90"/>
      <c r="B77" s="98">
        <f>技家!B7</f>
        <v>0</v>
      </c>
      <c r="C77" s="99"/>
      <c r="D77" s="99"/>
      <c r="E77" s="99"/>
      <c r="F77" s="99"/>
      <c r="G77" s="99"/>
      <c r="H77" s="99"/>
      <c r="I77" s="99"/>
      <c r="J77" s="99"/>
      <c r="K77" s="100"/>
      <c r="L77" s="9">
        <f ca="1">OFFSET(技家!C7,0,$B$2)</f>
        <v>0</v>
      </c>
      <c r="M77" s="96"/>
      <c r="N77" s="97"/>
      <c r="R77" s="7"/>
      <c r="S77" s="16"/>
    </row>
    <row r="78" spans="1:19" ht="18" customHeight="1" x14ac:dyDescent="0.15">
      <c r="A78" s="90"/>
      <c r="B78" s="98">
        <f>技家!B8</f>
        <v>0</v>
      </c>
      <c r="C78" s="99"/>
      <c r="D78" s="99"/>
      <c r="E78" s="99"/>
      <c r="F78" s="99"/>
      <c r="G78" s="99"/>
      <c r="H78" s="99"/>
      <c r="I78" s="99"/>
      <c r="J78" s="99"/>
      <c r="K78" s="100"/>
      <c r="L78" s="9">
        <f ca="1">OFFSET(技家!C8,0,$B$2)</f>
        <v>0</v>
      </c>
      <c r="M78" s="96"/>
      <c r="N78" s="97"/>
      <c r="R78" s="16"/>
      <c r="S78" s="16"/>
    </row>
    <row r="79" spans="1:19" ht="18" customHeight="1" x14ac:dyDescent="0.15">
      <c r="A79" s="104"/>
      <c r="B79" s="101">
        <f>技家!B9</f>
        <v>0</v>
      </c>
      <c r="C79" s="102"/>
      <c r="D79" s="102"/>
      <c r="E79" s="102"/>
      <c r="F79" s="102"/>
      <c r="G79" s="102"/>
      <c r="H79" s="102"/>
      <c r="I79" s="102"/>
      <c r="J79" s="102"/>
      <c r="K79" s="103"/>
      <c r="L79" s="10">
        <f ca="1">OFFSET(技家!C9,0,$B$2)</f>
        <v>0</v>
      </c>
      <c r="M79" s="105"/>
      <c r="N79" s="106"/>
      <c r="Q79" s="16"/>
      <c r="R79" s="16"/>
      <c r="S79" s="16"/>
    </row>
    <row r="80" spans="1:19" ht="75" customHeight="1" x14ac:dyDescent="0.15">
      <c r="A80" s="60" t="s">
        <v>19</v>
      </c>
      <c r="B80" s="140" t="str">
        <f ca="1">INDIRECT("'道徳'!B"&amp;2+$B$2)</f>
        <v>友だちの存在について考える授業「私がピンクのキャップをかぶるわけ」では、試合に出ることができなくなってしまったライバルのMが、主人公の「私」に手紙を書いた理由を「水泳をやめずに頑張ってほしいから」だと考えました。規則について考える授業「二通の手紙」では、動物園の職員の元さんが規則を知っていながら姉弟を園内に入れた理由を「弟の誕生日だったから愛着がわいたから」と考えました。</v>
      </c>
      <c r="C80" s="141"/>
      <c r="D80" s="141"/>
      <c r="E80" s="141"/>
      <c r="F80" s="141"/>
      <c r="G80" s="141"/>
      <c r="H80" s="141"/>
      <c r="I80" s="141"/>
      <c r="J80" s="141"/>
      <c r="K80" s="141"/>
      <c r="L80" s="141"/>
      <c r="M80" s="141"/>
      <c r="N80" s="142"/>
      <c r="Q80" s="16"/>
      <c r="R80" s="16"/>
      <c r="S80" s="16"/>
    </row>
    <row r="81" spans="1:19" ht="18" customHeight="1" x14ac:dyDescent="0.15">
      <c r="F81" s="143" t="s">
        <v>36</v>
      </c>
      <c r="G81" s="143"/>
      <c r="I81" s="61"/>
      <c r="K81" s="7"/>
      <c r="Q81" s="16"/>
      <c r="R81" s="16"/>
      <c r="S81" s="16"/>
    </row>
    <row r="82" spans="1:19" ht="18" customHeight="1" x14ac:dyDescent="0.15">
      <c r="A82" s="144" t="s">
        <v>37</v>
      </c>
      <c r="B82" s="93" t="str">
        <f>所見!B2</f>
        <v>基本的な生活習慣（礼節，欠席，遅刻，体調管理など）</v>
      </c>
      <c r="C82" s="147"/>
      <c r="D82" s="147"/>
      <c r="E82" s="147"/>
      <c r="F82" s="147"/>
      <c r="G82" s="62" t="str">
        <f ca="1">OFFSET(所見!C2,0,$B$2)</f>
        <v>A</v>
      </c>
      <c r="H82" s="63"/>
      <c r="I82" s="89" t="s">
        <v>7</v>
      </c>
      <c r="J82" s="148" t="s">
        <v>9</v>
      </c>
      <c r="K82" s="148"/>
      <c r="L82" s="149"/>
      <c r="M82" s="149"/>
      <c r="N82" s="13">
        <f ca="1">OFFSET(出欠!C2,0,$B$2)</f>
        <v>76</v>
      </c>
      <c r="Q82" s="16"/>
      <c r="R82" s="16"/>
      <c r="S82" s="16"/>
    </row>
    <row r="83" spans="1:19" ht="18" customHeight="1" x14ac:dyDescent="0.15">
      <c r="A83" s="145"/>
      <c r="B83" s="100" t="str">
        <f>所見!B3</f>
        <v>自主・自律（主体的な行動，計画性，整理整頓，宿題，提出物など）</v>
      </c>
      <c r="C83" s="138"/>
      <c r="D83" s="138"/>
      <c r="E83" s="138"/>
      <c r="F83" s="138"/>
      <c r="G83" s="8" t="str">
        <f ca="1">OFFSET(所見!C3,0,$B$2)</f>
        <v>B</v>
      </c>
      <c r="H83" s="63"/>
      <c r="I83" s="90"/>
      <c r="J83" s="112" t="s">
        <v>10</v>
      </c>
      <c r="K83" s="112"/>
      <c r="L83" s="113"/>
      <c r="M83" s="113"/>
      <c r="N83" s="8">
        <f ca="1">OFFSET(出欠!C3,0,$B$2)</f>
        <v>3</v>
      </c>
      <c r="Q83" s="16"/>
      <c r="R83" s="16"/>
      <c r="S83" s="16"/>
    </row>
    <row r="84" spans="1:19" ht="18" customHeight="1" x14ac:dyDescent="0.15">
      <c r="A84" s="145"/>
      <c r="B84" s="100" t="str">
        <f>所見!B4</f>
        <v>責任感（係，委員会，役割など）</v>
      </c>
      <c r="C84" s="138"/>
      <c r="D84" s="138"/>
      <c r="E84" s="138"/>
      <c r="F84" s="138"/>
      <c r="G84" s="8" t="str">
        <f ca="1">OFFSET(所見!C4,0,$B$2)</f>
        <v>B</v>
      </c>
      <c r="H84" s="64"/>
      <c r="I84" s="90"/>
      <c r="J84" s="99" t="s">
        <v>17</v>
      </c>
      <c r="K84" s="99"/>
      <c r="L84" s="99"/>
      <c r="M84" s="100"/>
      <c r="N84" s="8">
        <f ca="1">OFFSET(出欠!C4,0,$B$2)</f>
        <v>73</v>
      </c>
      <c r="Q84" s="16"/>
      <c r="R84" s="16"/>
      <c r="S84" s="16"/>
    </row>
    <row r="85" spans="1:19" ht="18" customHeight="1" x14ac:dyDescent="0.15">
      <c r="A85" s="145"/>
      <c r="B85" s="100" t="str">
        <f>所見!B5</f>
        <v>思いやり・協力（友人関係，共同作業，協調性など）</v>
      </c>
      <c r="C85" s="138"/>
      <c r="D85" s="138"/>
      <c r="E85" s="138"/>
      <c r="F85" s="138"/>
      <c r="G85" s="8" t="str">
        <f ca="1">OFFSET(所見!C5,0,$B$2)</f>
        <v>B</v>
      </c>
      <c r="H85" s="63"/>
      <c r="I85" s="90"/>
      <c r="J85" s="112" t="s">
        <v>11</v>
      </c>
      <c r="K85" s="112"/>
      <c r="L85" s="113"/>
      <c r="M85" s="113"/>
      <c r="N85" s="8">
        <f ca="1">OFFSET(出欠!C5,0,$B$2)</f>
        <v>73</v>
      </c>
      <c r="Q85" s="72">
        <f>番号</f>
        <v>1</v>
      </c>
      <c r="R85" s="16"/>
      <c r="S85" s="16"/>
    </row>
    <row r="86" spans="1:19" ht="18" customHeight="1" x14ac:dyDescent="0.15">
      <c r="A86" s="145"/>
      <c r="B86" s="100" t="str">
        <f>所見!B6</f>
        <v>勤労・奉仕（清掃，給食，奉仕活動など）</v>
      </c>
      <c r="C86" s="138"/>
      <c r="D86" s="138"/>
      <c r="E86" s="138"/>
      <c r="F86" s="138"/>
      <c r="G86" s="8" t="str">
        <f ca="1">OFFSET(所見!C6,0,$B$2)</f>
        <v>B</v>
      </c>
      <c r="H86" s="64"/>
      <c r="I86" s="90"/>
      <c r="J86" s="112" t="s">
        <v>18</v>
      </c>
      <c r="K86" s="112"/>
      <c r="L86" s="113"/>
      <c r="M86" s="113"/>
      <c r="N86" s="8">
        <f ca="1">OFFSET(出欠!C6,0,$B$2)</f>
        <v>0</v>
      </c>
      <c r="Q86" s="16"/>
      <c r="R86" s="16"/>
      <c r="S86" s="16"/>
    </row>
    <row r="87" spans="1:19" ht="18" customHeight="1" x14ac:dyDescent="0.15">
      <c r="A87" s="146"/>
      <c r="B87" s="103" t="str">
        <f>所見!B7</f>
        <v>公正・公平（規則，マナー，平等など）</v>
      </c>
      <c r="C87" s="139"/>
      <c r="D87" s="139"/>
      <c r="E87" s="139"/>
      <c r="F87" s="139"/>
      <c r="G87" s="65" t="str">
        <f ca="1">OFFSET(所見!C7,0,$B$2)</f>
        <v>B</v>
      </c>
      <c r="H87" s="63"/>
      <c r="I87" s="90"/>
      <c r="J87" s="112" t="s">
        <v>12</v>
      </c>
      <c r="K87" s="112"/>
      <c r="L87" s="113"/>
      <c r="M87" s="113"/>
      <c r="N87" s="8">
        <f ca="1">OFFSET(出欠!C7,0,$B$2)</f>
        <v>0</v>
      </c>
      <c r="Q87" s="16"/>
      <c r="R87" s="16"/>
      <c r="S87" s="15"/>
    </row>
    <row r="88" spans="1:19" ht="18" customHeight="1" x14ac:dyDescent="0.15">
      <c r="F88" s="66"/>
      <c r="G88" s="66"/>
      <c r="H88" s="63"/>
      <c r="I88" s="90"/>
      <c r="J88" s="112" t="s">
        <v>13</v>
      </c>
      <c r="K88" s="112"/>
      <c r="L88" s="113"/>
      <c r="M88" s="113"/>
      <c r="N88" s="8">
        <f ca="1">OFFSET(出欠!C8,0,$B$2)</f>
        <v>0</v>
      </c>
      <c r="Q88" s="15"/>
      <c r="R88" s="15"/>
      <c r="S88" s="15"/>
    </row>
    <row r="89" spans="1:19" ht="18" customHeight="1" x14ac:dyDescent="0.15">
      <c r="A89" s="114" t="s">
        <v>38</v>
      </c>
      <c r="B89" s="117" t="str">
        <f ca="1">INDIRECT("'所見'!B"&amp;34+$B$2)</f>
        <v>進路ガイダンス,修学旅行準備,修学旅行,さいきょう祭準備</v>
      </c>
      <c r="C89" s="118"/>
      <c r="E89" s="89" t="s">
        <v>39</v>
      </c>
      <c r="F89" s="123" t="str">
        <f ca="1">INDIRECT("'所見'!B"&amp;8+$B$2)</f>
        <v>保健体育係　環境委員会　体育祭応援団白組副団長　テニス部</v>
      </c>
      <c r="G89" s="124"/>
      <c r="H89" s="63"/>
      <c r="I89" s="90"/>
      <c r="J89" s="129" t="s">
        <v>40</v>
      </c>
      <c r="K89" s="132" t="str">
        <f ca="1">"備考： "&amp;INDIRECT("'出欠'!B"&amp;9+$B$2)</f>
        <v>備考： 忌引3（祖父葬儀3）</v>
      </c>
      <c r="L89" s="132"/>
      <c r="M89" s="132"/>
      <c r="N89" s="133"/>
      <c r="Q89" s="15"/>
      <c r="R89" s="15"/>
    </row>
    <row r="90" spans="1:19" ht="18" customHeight="1" x14ac:dyDescent="0.15">
      <c r="A90" s="115"/>
      <c r="B90" s="119"/>
      <c r="C90" s="120"/>
      <c r="E90" s="90"/>
      <c r="F90" s="125"/>
      <c r="G90" s="126"/>
      <c r="H90" s="67"/>
      <c r="I90" s="90"/>
      <c r="J90" s="130"/>
      <c r="K90" s="134"/>
      <c r="L90" s="134"/>
      <c r="M90" s="134"/>
      <c r="N90" s="135"/>
    </row>
    <row r="91" spans="1:19" ht="18" customHeight="1" x14ac:dyDescent="0.15">
      <c r="A91" s="115"/>
      <c r="B91" s="119"/>
      <c r="C91" s="120"/>
      <c r="E91" s="90"/>
      <c r="F91" s="125"/>
      <c r="G91" s="126"/>
      <c r="H91" s="63"/>
      <c r="I91" s="90"/>
      <c r="J91" s="130"/>
      <c r="K91" s="134"/>
      <c r="L91" s="134"/>
      <c r="M91" s="134"/>
      <c r="N91" s="135"/>
    </row>
    <row r="92" spans="1:19" ht="18" customHeight="1" x14ac:dyDescent="0.15">
      <c r="A92" s="115"/>
      <c r="B92" s="119"/>
      <c r="C92" s="120"/>
      <c r="E92" s="90"/>
      <c r="F92" s="125"/>
      <c r="G92" s="126"/>
      <c r="H92" s="63"/>
      <c r="I92" s="90"/>
      <c r="J92" s="130"/>
      <c r="K92" s="134"/>
      <c r="L92" s="134"/>
      <c r="M92" s="134"/>
      <c r="N92" s="135"/>
    </row>
    <row r="93" spans="1:19" ht="18" customHeight="1" x14ac:dyDescent="0.15">
      <c r="A93" s="116"/>
      <c r="B93" s="121"/>
      <c r="C93" s="122"/>
      <c r="E93" s="104"/>
      <c r="F93" s="127"/>
      <c r="G93" s="128"/>
      <c r="H93" s="68"/>
      <c r="I93" s="104"/>
      <c r="J93" s="131"/>
      <c r="K93" s="136"/>
      <c r="L93" s="136"/>
      <c r="M93" s="136"/>
      <c r="N93" s="137"/>
    </row>
    <row r="94" spans="1:19" ht="15" customHeight="1" x14ac:dyDescent="0.15"/>
    <row r="95" spans="1:19" ht="187.5" customHeight="1" x14ac:dyDescent="0.15">
      <c r="A95" s="60" t="s">
        <v>8</v>
      </c>
      <c r="B95" s="107" t="str">
        <f ca="1">INDIRECT("'所見'!B"&amp;$V$5+$B$2)</f>
        <v>体育祭の大玉送りではチームのために懸命に玉を運び、必死に走る姿がありました。選抜リレーではアンカーを務め、1位でゴールテープを切りました。その雄姿は多くの仲間の目に焼き付いたことでしょう。応援合戦では副応援団長として団員を牽引しました。これらの一つひとつが、良い思い出になった以上に大きな経験になったはずです。勝利で味わった感動や体育祭を通し学んだことを、今後に活かしていきましょう。学習面では、中間テスト5科336点（補正点）、期末テスト5科379点（補正点）と伸ばすことができました。授業は集中して取り組めていますが、宿題の取り組みにはまだ甘さが見られますので、改善しましょう。生活面では、以前と比べれば落ち着きは見られますが、まだまだ判断力や想像力に欠ける行動が見られます。9学年がどのような年かということを再度自覚するように努めてください。1学期の定期テストや模試から、自分自身の課題が見えてきているはずです。夏期休業にはもう一度7・8年生の学習範囲を振り返り、基礎固めを行いましょう。</v>
      </c>
      <c r="C95" s="108"/>
      <c r="D95" s="108"/>
      <c r="E95" s="108"/>
      <c r="F95" s="108"/>
      <c r="G95" s="108"/>
      <c r="H95" s="108"/>
      <c r="I95" s="108"/>
      <c r="J95" s="108"/>
      <c r="K95" s="108"/>
      <c r="L95" s="108"/>
      <c r="M95" s="108"/>
      <c r="N95" s="109"/>
    </row>
  </sheetData>
  <mergeCells count="121">
    <mergeCell ref="B95:N95"/>
    <mergeCell ref="P7:Q7"/>
    <mergeCell ref="J88:M88"/>
    <mergeCell ref="A89:A93"/>
    <mergeCell ref="B89:C93"/>
    <mergeCell ref="E89:E93"/>
    <mergeCell ref="F89:G93"/>
    <mergeCell ref="J89:J93"/>
    <mergeCell ref="K89:N93"/>
    <mergeCell ref="B85:F85"/>
    <mergeCell ref="J85:M85"/>
    <mergeCell ref="B86:F86"/>
    <mergeCell ref="J86:M86"/>
    <mergeCell ref="B87:F87"/>
    <mergeCell ref="J87:M87"/>
    <mergeCell ref="B80:N80"/>
    <mergeCell ref="F81:G81"/>
    <mergeCell ref="A82:A87"/>
    <mergeCell ref="B82:F82"/>
    <mergeCell ref="I82:I93"/>
    <mergeCell ref="J82:M82"/>
    <mergeCell ref="B83:F83"/>
    <mergeCell ref="J83:M83"/>
    <mergeCell ref="B84:F84"/>
    <mergeCell ref="J84:M84"/>
    <mergeCell ref="A72:A79"/>
    <mergeCell ref="B72:K72"/>
    <mergeCell ref="M72:N79"/>
    <mergeCell ref="B73:K73"/>
    <mergeCell ref="B74:K74"/>
    <mergeCell ref="B75:K75"/>
    <mergeCell ref="B76:K76"/>
    <mergeCell ref="B77:K77"/>
    <mergeCell ref="B78:K78"/>
    <mergeCell ref="B79:K79"/>
    <mergeCell ref="A64:A71"/>
    <mergeCell ref="B64:K64"/>
    <mergeCell ref="M64:N71"/>
    <mergeCell ref="B65:K65"/>
    <mergeCell ref="B66:K66"/>
    <mergeCell ref="B67:K67"/>
    <mergeCell ref="B68:K68"/>
    <mergeCell ref="B69:K69"/>
    <mergeCell ref="B70:K70"/>
    <mergeCell ref="B71:K71"/>
    <mergeCell ref="A56:A63"/>
    <mergeCell ref="B56:K56"/>
    <mergeCell ref="M56:N63"/>
    <mergeCell ref="B57:K57"/>
    <mergeCell ref="B58:K58"/>
    <mergeCell ref="B59:K59"/>
    <mergeCell ref="B60:K60"/>
    <mergeCell ref="B61:K61"/>
    <mergeCell ref="B62:K62"/>
    <mergeCell ref="B63:K63"/>
    <mergeCell ref="A46:A53"/>
    <mergeCell ref="B46:K46"/>
    <mergeCell ref="M46:N53"/>
    <mergeCell ref="B47:K47"/>
    <mergeCell ref="B48:K48"/>
    <mergeCell ref="B49:K49"/>
    <mergeCell ref="B50:K50"/>
    <mergeCell ref="B51:K51"/>
    <mergeCell ref="B52:K52"/>
    <mergeCell ref="B53:K53"/>
    <mergeCell ref="A38:A45"/>
    <mergeCell ref="B38:K38"/>
    <mergeCell ref="M38:N45"/>
    <mergeCell ref="B39:K39"/>
    <mergeCell ref="B40:K40"/>
    <mergeCell ref="B41:K41"/>
    <mergeCell ref="B42:K42"/>
    <mergeCell ref="B43:K43"/>
    <mergeCell ref="B44:K44"/>
    <mergeCell ref="B45:K45"/>
    <mergeCell ref="A30:A37"/>
    <mergeCell ref="B30:K30"/>
    <mergeCell ref="M30:N37"/>
    <mergeCell ref="B31:K31"/>
    <mergeCell ref="B32:K32"/>
    <mergeCell ref="B33:K33"/>
    <mergeCell ref="B34:K34"/>
    <mergeCell ref="B35:K35"/>
    <mergeCell ref="B36:K36"/>
    <mergeCell ref="B37:K37"/>
    <mergeCell ref="A22:A29"/>
    <mergeCell ref="B22:K22"/>
    <mergeCell ref="M22:N29"/>
    <mergeCell ref="B23:K23"/>
    <mergeCell ref="B24:K24"/>
    <mergeCell ref="B25:K25"/>
    <mergeCell ref="B26:K26"/>
    <mergeCell ref="B27:K27"/>
    <mergeCell ref="B28:K28"/>
    <mergeCell ref="B29:K29"/>
    <mergeCell ref="A14:A21"/>
    <mergeCell ref="B14:K14"/>
    <mergeCell ref="M14:N21"/>
    <mergeCell ref="B15:K15"/>
    <mergeCell ref="B16:K16"/>
    <mergeCell ref="B17:K17"/>
    <mergeCell ref="B18:K18"/>
    <mergeCell ref="B19:K19"/>
    <mergeCell ref="B20:K20"/>
    <mergeCell ref="B21:K21"/>
    <mergeCell ref="A1:B1"/>
    <mergeCell ref="C1:L1"/>
    <mergeCell ref="L2:N2"/>
    <mergeCell ref="A4:N4"/>
    <mergeCell ref="B5:K5"/>
    <mergeCell ref="M5:N5"/>
    <mergeCell ref="A6:A13"/>
    <mergeCell ref="B6:K6"/>
    <mergeCell ref="M6:N13"/>
    <mergeCell ref="B7:K7"/>
    <mergeCell ref="B8:K8"/>
    <mergeCell ref="B9:K9"/>
    <mergeCell ref="B10:K10"/>
    <mergeCell ref="B11:K11"/>
    <mergeCell ref="B12:K12"/>
    <mergeCell ref="B13:K13"/>
  </mergeCells>
  <phoneticPr fontId="1"/>
  <conditionalFormatting sqref="K89 L6:L79 B6:B53 F89 B56:B80 G82:G87 H93 B82 B95 C54:K55 B89">
    <cfRule type="cellIs" dxfId="16" priority="5" stopIfTrue="1" operator="equal">
      <formula>0</formula>
    </cfRule>
  </conditionalFormatting>
  <conditionalFormatting sqref="B83:B87">
    <cfRule type="cellIs" dxfId="15" priority="4" stopIfTrue="1" operator="equal">
      <formula>0</formula>
    </cfRule>
  </conditionalFormatting>
  <conditionalFormatting sqref="Q87:R89 S77:S88">
    <cfRule type="cellIs" dxfId="14" priority="3" stopIfTrue="1" operator="equal">
      <formula>0</formula>
    </cfRule>
  </conditionalFormatting>
  <conditionalFormatting sqref="Q79:R86 R78">
    <cfRule type="cellIs" dxfId="13" priority="2" stopIfTrue="1" operator="equal">
      <formula>0</formula>
    </cfRule>
  </conditionalFormatting>
  <conditionalFormatting sqref="Q17:R20">
    <cfRule type="cellIs" dxfId="12"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3" fitToHeight="2" orientation="portrait" horizontalDpi="300" verticalDpi="300" r:id="rId1"/>
  <headerFooter alignWithMargins="0"/>
  <rowBreaks count="1" manualBreakCount="1">
    <brk id="54" max="1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元データ取込">
                <anchor moveWithCells="1" sizeWithCells="1">
                  <from>
                    <xdr:col>14</xdr:col>
                    <xdr:colOff>571500</xdr:colOff>
                    <xdr:row>4</xdr:row>
                    <xdr:rowOff>28575</xdr:rowOff>
                  </from>
                  <to>
                    <xdr:col>17</xdr:col>
                    <xdr:colOff>123825</xdr:colOff>
                    <xdr:row>5</xdr:row>
                    <xdr:rowOff>95250</xdr:rowOff>
                  </to>
                </anchor>
              </controlPr>
            </control>
          </mc:Choice>
        </mc:AlternateContent>
        <mc:AlternateContent xmlns:mc="http://schemas.openxmlformats.org/markup-compatibility/2006">
          <mc:Choice Requires="x14">
            <control shapeId="15362" r:id="rId5" name="Button 2">
              <controlPr defaultSize="0" print="0" autoFill="0" autoPict="0" macro="[0]!通知票印刷">
                <anchor moveWithCells="1" sizeWithCells="1">
                  <from>
                    <xdr:col>14</xdr:col>
                    <xdr:colOff>571500</xdr:colOff>
                    <xdr:row>10</xdr:row>
                    <xdr:rowOff>76200</xdr:rowOff>
                  </from>
                  <to>
                    <xdr:col>17</xdr:col>
                    <xdr:colOff>161925</xdr:colOff>
                    <xdr:row>11</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所見集印刷">
                <anchor moveWithCells="1" sizeWithCells="1">
                  <from>
                    <xdr:col>14</xdr:col>
                    <xdr:colOff>571500</xdr:colOff>
                    <xdr:row>12</xdr:row>
                    <xdr:rowOff>47625</xdr:rowOff>
                  </from>
                  <to>
                    <xdr:col>17</xdr:col>
                    <xdr:colOff>161925</xdr:colOff>
                    <xdr:row>13</xdr:row>
                    <xdr:rowOff>123825</xdr:rowOff>
                  </to>
                </anchor>
              </controlPr>
            </control>
          </mc:Choice>
        </mc:AlternateContent>
        <mc:AlternateContent xmlns:mc="http://schemas.openxmlformats.org/markup-compatibility/2006">
          <mc:Choice Requires="x14">
            <control shapeId="15364" r:id="rId7" name="Button 4">
              <controlPr defaultSize="0" print="0" autoFill="0" autoPict="0" macro="[0]!前">
                <anchor moveWithCells="1" sizeWithCells="1">
                  <from>
                    <xdr:col>15</xdr:col>
                    <xdr:colOff>66675</xdr:colOff>
                    <xdr:row>83</xdr:row>
                    <xdr:rowOff>200025</xdr:rowOff>
                  </from>
                  <to>
                    <xdr:col>16</xdr:col>
                    <xdr:colOff>9525</xdr:colOff>
                    <xdr:row>85</xdr:row>
                    <xdr:rowOff>19050</xdr:rowOff>
                  </to>
                </anchor>
              </controlPr>
            </control>
          </mc:Choice>
        </mc:AlternateContent>
        <mc:AlternateContent xmlns:mc="http://schemas.openxmlformats.org/markup-compatibility/2006">
          <mc:Choice Requires="x14">
            <control shapeId="15365" r:id="rId8" name="Button 5">
              <controlPr defaultSize="0" print="0" autoFill="0" autoPict="0" macro="[0]!先">
                <anchor moveWithCells="1" sizeWithCells="1">
                  <from>
                    <xdr:col>17</xdr:col>
                    <xdr:colOff>133350</xdr:colOff>
                    <xdr:row>83</xdr:row>
                    <xdr:rowOff>200025</xdr:rowOff>
                  </from>
                  <to>
                    <xdr:col>17</xdr:col>
                    <xdr:colOff>438150</xdr:colOff>
                    <xdr:row>85</xdr:row>
                    <xdr:rowOff>19050</xdr:rowOff>
                  </to>
                </anchor>
              </controlPr>
            </control>
          </mc:Choice>
        </mc:AlternateContent>
        <mc:AlternateContent xmlns:mc="http://schemas.openxmlformats.org/markup-compatibility/2006">
          <mc:Choice Requires="x14">
            <control shapeId="15366" r:id="rId9" name="Button 6">
              <controlPr defaultSize="0" print="0" autoFill="0" autoPict="0" macro="[0]!前">
                <anchor moveWithCells="1" sizeWithCells="1">
                  <from>
                    <xdr:col>15</xdr:col>
                    <xdr:colOff>66675</xdr:colOff>
                    <xdr:row>17</xdr:row>
                    <xdr:rowOff>200025</xdr:rowOff>
                  </from>
                  <to>
                    <xdr:col>16</xdr:col>
                    <xdr:colOff>9525</xdr:colOff>
                    <xdr:row>19</xdr:row>
                    <xdr:rowOff>19050</xdr:rowOff>
                  </to>
                </anchor>
              </controlPr>
            </control>
          </mc:Choice>
        </mc:AlternateContent>
        <mc:AlternateContent xmlns:mc="http://schemas.openxmlformats.org/markup-compatibility/2006">
          <mc:Choice Requires="x14">
            <control shapeId="15367" r:id="rId10" name="Button 7">
              <controlPr defaultSize="0" print="0" autoFill="0" autoPict="0" macro="[0]!先">
                <anchor moveWithCells="1" sizeWithCells="1">
                  <from>
                    <xdr:col>17</xdr:col>
                    <xdr:colOff>133350</xdr:colOff>
                    <xdr:row>17</xdr:row>
                    <xdr:rowOff>200025</xdr:rowOff>
                  </from>
                  <to>
                    <xdr:col>17</xdr:col>
                    <xdr:colOff>438150</xdr:colOff>
                    <xdr:row>19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tabColor theme="1"/>
    <pageSetUpPr fitToPage="1"/>
  </sheetPr>
  <dimension ref="A1:C16"/>
  <sheetViews>
    <sheetView view="pageBreakPreview" topLeftCell="A11" zoomScaleNormal="70" zoomScaleSheetLayoutView="100" workbookViewId="0">
      <selection activeCell="C8" sqref="C8"/>
    </sheetView>
  </sheetViews>
  <sheetFormatPr defaultRowHeight="13.5" x14ac:dyDescent="0.15"/>
  <cols>
    <col min="1" max="2" width="4.25" style="2" customWidth="1"/>
    <col min="3" max="3" width="95" style="2" customWidth="1"/>
    <col min="4" max="16384" width="9" style="2"/>
  </cols>
  <sheetData>
    <row r="1" spans="1:3" ht="18.75" customHeight="1" x14ac:dyDescent="0.15">
      <c r="A1" s="79" t="str">
        <f ca="1">通知票!A1</f>
        <v>９－２</v>
      </c>
      <c r="B1" s="79"/>
      <c r="C1" s="39" t="str">
        <f ca="1">通知票!C1</f>
        <v>1学期</v>
      </c>
    </row>
    <row r="2" spans="1:3" ht="18.75" customHeight="1" x14ac:dyDescent="0.15">
      <c r="A2" s="40" t="s">
        <v>25</v>
      </c>
      <c r="B2" s="39">
        <v>17</v>
      </c>
      <c r="C2" s="51" t="str">
        <f ca="1">INDIRECT("'所見'!A"&amp;8+$B$2)</f>
        <v>山越 圭</v>
      </c>
    </row>
    <row r="3" spans="1:3" ht="12" customHeight="1" x14ac:dyDescent="0.15">
      <c r="C3" s="4"/>
    </row>
    <row r="4" spans="1:3" ht="18.75" customHeight="1" x14ac:dyDescent="0.15">
      <c r="A4" s="41" t="s">
        <v>1</v>
      </c>
      <c r="B4" s="42" t="s">
        <v>3</v>
      </c>
      <c r="C4" s="13" t="s">
        <v>26</v>
      </c>
    </row>
    <row r="5" spans="1:3" ht="67.5" customHeight="1" x14ac:dyDescent="0.15">
      <c r="A5" s="43" t="s">
        <v>5</v>
      </c>
      <c r="B5" s="44">
        <f ca="1">OFFSET(国語!C12,0,$B$2)</f>
        <v>4</v>
      </c>
      <c r="C5" s="45">
        <f ca="1">INDIRECT("'国語'!B"&amp;14+$B$2)</f>
        <v>0</v>
      </c>
    </row>
    <row r="6" spans="1:3" ht="67.5" customHeight="1" x14ac:dyDescent="0.15">
      <c r="A6" s="46" t="s">
        <v>45</v>
      </c>
      <c r="B6" s="47">
        <f ca="1">OFFSET(数学!C12,0,$B$2)</f>
        <v>4</v>
      </c>
      <c r="C6" s="48">
        <f ca="1">INDIRECT("'数学'!B"&amp;14+$B$2)</f>
        <v>0</v>
      </c>
    </row>
    <row r="7" spans="1:3" ht="67.5" customHeight="1" x14ac:dyDescent="0.15">
      <c r="A7" s="43" t="s">
        <v>29</v>
      </c>
      <c r="B7" s="44">
        <f ca="1">OFFSET(理科!C12,0,$B$2)</f>
        <v>3</v>
      </c>
      <c r="C7" s="45">
        <f ca="1">INDIRECT("'理科'!B"&amp;14+$B$2)</f>
        <v>0</v>
      </c>
    </row>
    <row r="8" spans="1:3" ht="67.5" customHeight="1" x14ac:dyDescent="0.15">
      <c r="A8" s="43" t="s">
        <v>30</v>
      </c>
      <c r="B8" s="44">
        <f ca="1">OFFSET(社会!C12,0,$B$2)</f>
        <v>3</v>
      </c>
      <c r="C8" s="45">
        <f ca="1">INDIRECT("'社会'!B"&amp;14+$B$2)</f>
        <v>0</v>
      </c>
    </row>
    <row r="9" spans="1:3" ht="67.5" customHeight="1" x14ac:dyDescent="0.15">
      <c r="A9" s="46" t="s">
        <v>6</v>
      </c>
      <c r="B9" s="47" t="str">
        <f ca="1">OFFSET(英語!C12,0,$B$2)</f>
        <v>4</v>
      </c>
      <c r="C9" s="48">
        <f ca="1">INDIRECT("'英語'!B"&amp;14+$B$2)</f>
        <v>0</v>
      </c>
    </row>
    <row r="10" spans="1:3" ht="67.5" customHeight="1" x14ac:dyDescent="0.15">
      <c r="A10" s="43" t="s">
        <v>0</v>
      </c>
      <c r="B10" s="44">
        <f ca="1">OFFSET(音楽!C12,0,$B$2)</f>
        <v>4</v>
      </c>
      <c r="C10" s="45">
        <f ca="1">INDIRECT("'音楽'!B"&amp;14+$B$2)</f>
        <v>0</v>
      </c>
    </row>
    <row r="11" spans="1:3" ht="67.5" customHeight="1" x14ac:dyDescent="0.15">
      <c r="A11" s="46" t="s">
        <v>46</v>
      </c>
      <c r="B11" s="47">
        <f ca="1">OFFSET(美術!C12,0,$B$2)</f>
        <v>5</v>
      </c>
      <c r="C11" s="48">
        <f ca="1">INDIRECT("'美術'!B"&amp;14+$B$2)</f>
        <v>0</v>
      </c>
    </row>
    <row r="12" spans="1:3" ht="67.5" customHeight="1" x14ac:dyDescent="0.15">
      <c r="A12" s="43" t="s">
        <v>48</v>
      </c>
      <c r="B12" s="44">
        <f ca="1">OFFSET(保体!C12,0,$B$2)</f>
        <v>5</v>
      </c>
      <c r="C12" s="45">
        <f ca="1">INDIRECT("'保体'!B"&amp;14+$B$2)</f>
        <v>0</v>
      </c>
    </row>
    <row r="13" spans="1:3" ht="67.5" customHeight="1" x14ac:dyDescent="0.15">
      <c r="A13" s="43" t="s">
        <v>47</v>
      </c>
      <c r="B13" s="44">
        <f ca="1">OFFSET(技家!C12,0,$B$2)</f>
        <v>4</v>
      </c>
      <c r="C13" s="45">
        <f ca="1">INDIRECT("'技家'!B"&amp;14+$B$2)</f>
        <v>0</v>
      </c>
    </row>
    <row r="14" spans="1:3" ht="67.5" customHeight="1" x14ac:dyDescent="0.15">
      <c r="A14" s="43" t="s">
        <v>19</v>
      </c>
      <c r="B14" s="150" t="str">
        <f ca="1">INDIRECT("'道徳'!B"&amp;2+$B$2)</f>
        <v>規則について考える授業「二通の手紙」では、動物園の職員の元さんが規則を知りながら姉弟を園内に入れた理由を「事情があって親と一緒に来られない姉弟を見てかわいそうだと思ったから」、「入園料もしっかりあるので、少しくらい姉弟を入れてもいいのではないかと思ったから」と考えました。「規則は何のためにあるのだろう」という問いに対しては、「色々な人が快適に過ごせるようにするため」等、複数の考えを持ちました。</v>
      </c>
      <c r="C14" s="151"/>
    </row>
    <row r="15" spans="1:3" ht="15" customHeight="1" x14ac:dyDescent="0.15">
      <c r="C15" s="49"/>
    </row>
    <row r="16" spans="1:3" ht="224.25" customHeight="1" x14ac:dyDescent="0.15">
      <c r="A16" s="14" t="s">
        <v>8</v>
      </c>
      <c r="B16" s="50"/>
      <c r="C16" s="45" t="str">
        <f ca="1">INDIRECT("'所見'!B"&amp;通知票!$V$5+$B$2)</f>
        <v>体育祭では赤組の一員として勝負にこだわり、妥協をせず最後まで戦い抜くことができました。タイヤ取りでは仲間と共に綿密な作戦を立てたり練習に励んだりしている姿が随所に見られました。また本年度の体育祭では得点係長を務め、人一倍責任感を持って公平公正な判断をし、体育祭を運営側から支えました。全校の前に立つことは緊張もあったと思いますが、本番では堂々とした挨拶をすることができました。自身の反省にも記載したように、「リーダーの大変さ」、「支えてくれる仲間との絆の大切さ」に気づくことができました。最後までよく頑張りました。学習面では、中間テスト5科349点（補正点）、期末テスト5科394点（補正点）と大きく伸ばすことができました。普段の授業への取り組み、家庭での学習の成果です。引き続き努力を続けていきましょう。1学期の定期テストや模試から、自分自身の課題が見えてきているはずです。夏期休業にはもう一度7・8年生の学習範囲を振り返り、基礎固めを行いましょう。</v>
      </c>
    </row>
  </sheetData>
  <mergeCells count="2">
    <mergeCell ref="A1:B1"/>
    <mergeCell ref="B14:C14"/>
  </mergeCells>
  <phoneticPr fontId="1"/>
  <conditionalFormatting sqref="C16 C5:C7 C9:C12">
    <cfRule type="cellIs" dxfId="11" priority="3" stopIfTrue="1" operator="equal">
      <formula>0</formula>
    </cfRule>
  </conditionalFormatting>
  <conditionalFormatting sqref="C8">
    <cfRule type="cellIs" dxfId="10" priority="2" stopIfTrue="1" operator="equal">
      <formula>0</formula>
    </cfRule>
  </conditionalFormatting>
  <conditionalFormatting sqref="C13">
    <cfRule type="cellIs" dxfId="9"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88" orientation="portrait" horizontalDpi="4294967293"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国語</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237</v>
      </c>
      <c r="B2" s="54" t="s">
        <v>58</v>
      </c>
      <c r="C2" s="24" t="s">
        <v>64</v>
      </c>
      <c r="D2" s="25" t="s">
        <v>238</v>
      </c>
      <c r="E2" s="25" t="s">
        <v>234</v>
      </c>
      <c r="F2" s="25" t="s">
        <v>239</v>
      </c>
      <c r="G2" s="25" t="s">
        <v>239</v>
      </c>
      <c r="H2" s="25" t="s">
        <v>235</v>
      </c>
      <c r="I2" s="25" t="s">
        <v>239</v>
      </c>
      <c r="J2" s="25" t="s">
        <v>235</v>
      </c>
      <c r="K2" s="25" t="s">
        <v>240</v>
      </c>
      <c r="L2" s="25" t="s">
        <v>240</v>
      </c>
      <c r="M2" s="25" t="s">
        <v>240</v>
      </c>
      <c r="N2" s="25" t="s">
        <v>241</v>
      </c>
      <c r="O2" s="25" t="s">
        <v>240</v>
      </c>
      <c r="P2" s="25" t="s">
        <v>240</v>
      </c>
      <c r="Q2" s="25" t="s">
        <v>239</v>
      </c>
      <c r="R2" s="25" t="s">
        <v>239</v>
      </c>
      <c r="S2" s="25" t="s">
        <v>238</v>
      </c>
      <c r="T2" s="25" t="s">
        <v>239</v>
      </c>
      <c r="U2" s="25" t="s">
        <v>241</v>
      </c>
      <c r="V2" s="25" t="s">
        <v>239</v>
      </c>
      <c r="W2" s="25" t="s">
        <v>239</v>
      </c>
      <c r="X2" s="25" t="s">
        <v>240</v>
      </c>
      <c r="Y2" s="25"/>
      <c r="Z2" s="25"/>
      <c r="AA2" s="25"/>
      <c r="AB2" s="25"/>
      <c r="AC2" s="26" t="s">
        <v>239</v>
      </c>
      <c r="AD2" s="26">
        <v>1</v>
      </c>
    </row>
    <row r="3" spans="1:30" ht="22.5" customHeight="1" x14ac:dyDescent="0.15">
      <c r="A3" s="153"/>
      <c r="B3" s="54" t="s">
        <v>59</v>
      </c>
      <c r="C3" s="24" t="s">
        <v>64</v>
      </c>
      <c r="D3" s="25" t="s">
        <v>240</v>
      </c>
      <c r="E3" s="25" t="s">
        <v>242</v>
      </c>
      <c r="F3" s="25" t="s">
        <v>239</v>
      </c>
      <c r="G3" s="25" t="s">
        <v>239</v>
      </c>
      <c r="H3" s="25" t="s">
        <v>239</v>
      </c>
      <c r="I3" s="25" t="s">
        <v>240</v>
      </c>
      <c r="J3" s="25" t="s">
        <v>239</v>
      </c>
      <c r="K3" s="25" t="s">
        <v>238</v>
      </c>
      <c r="L3" s="25" t="s">
        <v>240</v>
      </c>
      <c r="M3" s="25" t="s">
        <v>240</v>
      </c>
      <c r="N3" s="25" t="s">
        <v>241</v>
      </c>
      <c r="O3" s="25" t="s">
        <v>243</v>
      </c>
      <c r="P3" s="25" t="s">
        <v>243</v>
      </c>
      <c r="Q3" s="25" t="s">
        <v>240</v>
      </c>
      <c r="R3" s="25" t="s">
        <v>240</v>
      </c>
      <c r="S3" s="25" t="s">
        <v>240</v>
      </c>
      <c r="T3" s="25" t="s">
        <v>240</v>
      </c>
      <c r="U3" s="25" t="s">
        <v>240</v>
      </c>
      <c r="V3" s="25" t="s">
        <v>239</v>
      </c>
      <c r="W3" s="25" t="s">
        <v>239</v>
      </c>
      <c r="X3" s="25" t="s">
        <v>239</v>
      </c>
      <c r="Y3" s="25"/>
      <c r="Z3" s="25"/>
      <c r="AA3" s="25"/>
      <c r="AB3" s="25"/>
      <c r="AC3" s="26" t="s">
        <v>238</v>
      </c>
      <c r="AD3" s="26">
        <v>2</v>
      </c>
    </row>
    <row r="4" spans="1:30" ht="22.5" customHeight="1" x14ac:dyDescent="0.15">
      <c r="A4" s="153"/>
      <c r="B4" s="54" t="s">
        <v>244</v>
      </c>
      <c r="C4" s="24" t="s">
        <v>64</v>
      </c>
      <c r="D4" s="25" t="s">
        <v>240</v>
      </c>
      <c r="E4" s="25" t="s">
        <v>240</v>
      </c>
      <c r="F4" s="25" t="s">
        <v>239</v>
      </c>
      <c r="G4" s="25" t="s">
        <v>239</v>
      </c>
      <c r="H4" s="25" t="s">
        <v>239</v>
      </c>
      <c r="I4" s="25" t="s">
        <v>239</v>
      </c>
      <c r="J4" s="25" t="s">
        <v>239</v>
      </c>
      <c r="K4" s="25" t="s">
        <v>239</v>
      </c>
      <c r="L4" s="25" t="s">
        <v>239</v>
      </c>
      <c r="M4" s="25" t="s">
        <v>239</v>
      </c>
      <c r="N4" s="25" t="s">
        <v>241</v>
      </c>
      <c r="O4" s="25" t="s">
        <v>239</v>
      </c>
      <c r="P4" s="25" t="s">
        <v>240</v>
      </c>
      <c r="Q4" s="25" t="s">
        <v>239</v>
      </c>
      <c r="R4" s="25" t="s">
        <v>239</v>
      </c>
      <c r="S4" s="25" t="s">
        <v>239</v>
      </c>
      <c r="T4" s="25" t="s">
        <v>239</v>
      </c>
      <c r="U4" s="25" t="s">
        <v>239</v>
      </c>
      <c r="V4" s="25" t="s">
        <v>239</v>
      </c>
      <c r="W4" s="25" t="s">
        <v>239</v>
      </c>
      <c r="X4" s="25" t="s">
        <v>239</v>
      </c>
      <c r="Y4" s="25"/>
      <c r="Z4" s="25"/>
      <c r="AA4" s="25"/>
      <c r="AB4" s="25"/>
      <c r="AC4" s="26" t="s">
        <v>243</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245</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245</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3</v>
      </c>
      <c r="E12" s="25">
        <v>2</v>
      </c>
      <c r="F12" s="25">
        <v>5</v>
      </c>
      <c r="G12" s="25">
        <v>5</v>
      </c>
      <c r="H12" s="25">
        <v>5</v>
      </c>
      <c r="I12" s="25">
        <v>4</v>
      </c>
      <c r="J12" s="25">
        <v>5</v>
      </c>
      <c r="K12" s="25">
        <v>3</v>
      </c>
      <c r="L12" s="25">
        <v>3</v>
      </c>
      <c r="M12" s="25">
        <v>3</v>
      </c>
      <c r="N12" s="25">
        <v>5</v>
      </c>
      <c r="O12" s="25">
        <v>3</v>
      </c>
      <c r="P12" s="25">
        <v>2</v>
      </c>
      <c r="Q12" s="25">
        <v>4</v>
      </c>
      <c r="R12" s="25">
        <v>4</v>
      </c>
      <c r="S12" s="25">
        <v>3</v>
      </c>
      <c r="T12" s="25">
        <v>4</v>
      </c>
      <c r="U12" s="25">
        <v>4</v>
      </c>
      <c r="V12" s="25">
        <v>5</v>
      </c>
      <c r="W12" s="25">
        <v>5</v>
      </c>
      <c r="X12" s="25">
        <v>4</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8:AB38"/>
    <mergeCell ref="B39:AB39"/>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A2:A12"/>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xr:uid="{00000000-0002-0000-02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200-000001000000}">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数学</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246</v>
      </c>
      <c r="B2" s="54" t="s">
        <v>50</v>
      </c>
      <c r="C2" s="24" t="s">
        <v>64</v>
      </c>
      <c r="D2" s="25" t="s">
        <v>27</v>
      </c>
      <c r="E2" s="25" t="s">
        <v>31</v>
      </c>
      <c r="F2" s="25" t="s">
        <v>28</v>
      </c>
      <c r="G2" s="25" t="s">
        <v>28</v>
      </c>
      <c r="H2" s="25" t="s">
        <v>28</v>
      </c>
      <c r="I2" s="25" t="s">
        <v>28</v>
      </c>
      <c r="J2" s="25" t="s">
        <v>28</v>
      </c>
      <c r="K2" s="25" t="s">
        <v>27</v>
      </c>
      <c r="L2" s="25" t="s">
        <v>27</v>
      </c>
      <c r="M2" s="25" t="s">
        <v>28</v>
      </c>
      <c r="N2" s="25" t="s">
        <v>28</v>
      </c>
      <c r="O2" s="25" t="s">
        <v>27</v>
      </c>
      <c r="P2" s="25" t="s">
        <v>27</v>
      </c>
      <c r="Q2" s="25" t="s">
        <v>28</v>
      </c>
      <c r="R2" s="25" t="s">
        <v>28</v>
      </c>
      <c r="S2" s="25" t="s">
        <v>27</v>
      </c>
      <c r="T2" s="25" t="s">
        <v>27</v>
      </c>
      <c r="U2" s="25" t="s">
        <v>27</v>
      </c>
      <c r="V2" s="25" t="s">
        <v>27</v>
      </c>
      <c r="W2" s="25" t="s">
        <v>28</v>
      </c>
      <c r="X2" s="25" t="s">
        <v>27</v>
      </c>
      <c r="Y2" s="25"/>
      <c r="Z2" s="25"/>
      <c r="AA2" s="25"/>
      <c r="AB2" s="25"/>
      <c r="AC2" s="26" t="s">
        <v>247</v>
      </c>
      <c r="AD2" s="26">
        <v>1</v>
      </c>
    </row>
    <row r="3" spans="1:30" ht="22.5" customHeight="1" x14ac:dyDescent="0.15">
      <c r="A3" s="153"/>
      <c r="B3" s="54" t="s">
        <v>248</v>
      </c>
      <c r="C3" s="24" t="s">
        <v>64</v>
      </c>
      <c r="D3" s="25" t="s">
        <v>27</v>
      </c>
      <c r="E3" s="25" t="s">
        <v>31</v>
      </c>
      <c r="F3" s="25" t="s">
        <v>28</v>
      </c>
      <c r="G3" s="25" t="s">
        <v>28</v>
      </c>
      <c r="H3" s="25" t="s">
        <v>28</v>
      </c>
      <c r="I3" s="25" t="s">
        <v>28</v>
      </c>
      <c r="J3" s="25" t="s">
        <v>28</v>
      </c>
      <c r="K3" s="25" t="s">
        <v>31</v>
      </c>
      <c r="L3" s="25" t="s">
        <v>27</v>
      </c>
      <c r="M3" s="25" t="s">
        <v>28</v>
      </c>
      <c r="N3" s="25" t="s">
        <v>28</v>
      </c>
      <c r="O3" s="25" t="s">
        <v>27</v>
      </c>
      <c r="P3" s="25" t="s">
        <v>31</v>
      </c>
      <c r="Q3" s="25" t="s">
        <v>28</v>
      </c>
      <c r="R3" s="25" t="s">
        <v>28</v>
      </c>
      <c r="S3" s="25" t="s">
        <v>27</v>
      </c>
      <c r="T3" s="25" t="s">
        <v>27</v>
      </c>
      <c r="U3" s="25" t="s">
        <v>27</v>
      </c>
      <c r="V3" s="25" t="s">
        <v>27</v>
      </c>
      <c r="W3" s="25" t="s">
        <v>28</v>
      </c>
      <c r="X3" s="25" t="s">
        <v>27</v>
      </c>
      <c r="Y3" s="25"/>
      <c r="Z3" s="25"/>
      <c r="AA3" s="25"/>
      <c r="AB3" s="25"/>
      <c r="AC3" s="26" t="s">
        <v>249</v>
      </c>
      <c r="AD3" s="26">
        <v>2</v>
      </c>
    </row>
    <row r="4" spans="1:30" ht="22.5" customHeight="1" x14ac:dyDescent="0.15">
      <c r="A4" s="153"/>
      <c r="B4" s="54" t="s">
        <v>244</v>
      </c>
      <c r="C4" s="24" t="s">
        <v>64</v>
      </c>
      <c r="D4" s="25" t="s">
        <v>28</v>
      </c>
      <c r="E4" s="25" t="s">
        <v>31</v>
      </c>
      <c r="F4" s="25" t="s">
        <v>28</v>
      </c>
      <c r="G4" s="25" t="s">
        <v>28</v>
      </c>
      <c r="H4" s="25" t="s">
        <v>28</v>
      </c>
      <c r="I4" s="25" t="s">
        <v>28</v>
      </c>
      <c r="J4" s="25" t="s">
        <v>28</v>
      </c>
      <c r="K4" s="25" t="s">
        <v>28</v>
      </c>
      <c r="L4" s="25" t="s">
        <v>28</v>
      </c>
      <c r="M4" s="25" t="s">
        <v>28</v>
      </c>
      <c r="N4" s="25" t="s">
        <v>28</v>
      </c>
      <c r="O4" s="25" t="s">
        <v>28</v>
      </c>
      <c r="P4" s="25" t="s">
        <v>27</v>
      </c>
      <c r="Q4" s="25" t="s">
        <v>28</v>
      </c>
      <c r="R4" s="25" t="s">
        <v>28</v>
      </c>
      <c r="S4" s="25" t="s">
        <v>28</v>
      </c>
      <c r="T4" s="25" t="s">
        <v>28</v>
      </c>
      <c r="U4" s="25" t="s">
        <v>28</v>
      </c>
      <c r="V4" s="25" t="s">
        <v>28</v>
      </c>
      <c r="W4" s="25" t="s">
        <v>28</v>
      </c>
      <c r="X4" s="25" t="s">
        <v>28</v>
      </c>
      <c r="Y4" s="25"/>
      <c r="Z4" s="25"/>
      <c r="AA4" s="25"/>
      <c r="AB4" s="25"/>
      <c r="AC4" s="26" t="s">
        <v>250</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245</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251</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4</v>
      </c>
      <c r="E12" s="25">
        <v>1</v>
      </c>
      <c r="F12" s="25">
        <v>5</v>
      </c>
      <c r="G12" s="25">
        <v>5</v>
      </c>
      <c r="H12" s="25">
        <v>5</v>
      </c>
      <c r="I12" s="25">
        <v>5</v>
      </c>
      <c r="J12" s="25">
        <v>5</v>
      </c>
      <c r="K12" s="25">
        <v>3</v>
      </c>
      <c r="L12" s="25">
        <v>3</v>
      </c>
      <c r="M12" s="25">
        <v>5</v>
      </c>
      <c r="N12" s="25">
        <v>5</v>
      </c>
      <c r="O12" s="25">
        <v>3</v>
      </c>
      <c r="P12" s="25">
        <v>3</v>
      </c>
      <c r="Q12" s="25">
        <v>5</v>
      </c>
      <c r="R12" s="25">
        <v>5</v>
      </c>
      <c r="S12" s="25">
        <v>3</v>
      </c>
      <c r="T12" s="25">
        <v>4</v>
      </c>
      <c r="U12" s="25">
        <v>3</v>
      </c>
      <c r="V12" s="25">
        <v>3</v>
      </c>
      <c r="W12" s="25">
        <v>5</v>
      </c>
      <c r="X12" s="25">
        <v>3</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8:AB38"/>
    <mergeCell ref="B39:AB39"/>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A2:A12"/>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xr:uid="{00000000-0002-0000-03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300-000001000000}">
      <formula1>$AD$2:$AD$7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理科</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232</v>
      </c>
      <c r="B2" s="54" t="s">
        <v>51</v>
      </c>
      <c r="C2" s="24" t="s">
        <v>64</v>
      </c>
      <c r="D2" s="25" t="s">
        <v>28</v>
      </c>
      <c r="E2" s="25" t="s">
        <v>31</v>
      </c>
      <c r="F2" s="25" t="s">
        <v>28</v>
      </c>
      <c r="G2" s="25" t="s">
        <v>28</v>
      </c>
      <c r="H2" s="25" t="s">
        <v>28</v>
      </c>
      <c r="I2" s="25" t="s">
        <v>28</v>
      </c>
      <c r="J2" s="25" t="s">
        <v>28</v>
      </c>
      <c r="K2" s="25" t="s">
        <v>27</v>
      </c>
      <c r="L2" s="25" t="s">
        <v>27</v>
      </c>
      <c r="M2" s="25" t="s">
        <v>28</v>
      </c>
      <c r="N2" s="25" t="s">
        <v>28</v>
      </c>
      <c r="O2" s="25" t="s">
        <v>27</v>
      </c>
      <c r="P2" s="25" t="s">
        <v>27</v>
      </c>
      <c r="Q2" s="25" t="s">
        <v>27</v>
      </c>
      <c r="R2" s="25" t="s">
        <v>28</v>
      </c>
      <c r="S2" s="25" t="s">
        <v>27</v>
      </c>
      <c r="T2" s="25" t="s">
        <v>27</v>
      </c>
      <c r="U2" s="25" t="s">
        <v>27</v>
      </c>
      <c r="V2" s="25" t="s">
        <v>27</v>
      </c>
      <c r="W2" s="25" t="s">
        <v>28</v>
      </c>
      <c r="X2" s="25" t="s">
        <v>28</v>
      </c>
      <c r="Y2" s="25"/>
      <c r="Z2" s="25"/>
      <c r="AA2" s="25"/>
      <c r="AB2" s="25"/>
      <c r="AC2" s="26" t="s">
        <v>235</v>
      </c>
      <c r="AD2" s="26">
        <v>1</v>
      </c>
    </row>
    <row r="3" spans="1:30" ht="22.5" customHeight="1" x14ac:dyDescent="0.15">
      <c r="A3" s="153"/>
      <c r="B3" s="54" t="s">
        <v>52</v>
      </c>
      <c r="C3" s="24" t="s">
        <v>64</v>
      </c>
      <c r="D3" s="25" t="s">
        <v>27</v>
      </c>
      <c r="E3" s="25" t="s">
        <v>31</v>
      </c>
      <c r="F3" s="25" t="s">
        <v>28</v>
      </c>
      <c r="G3" s="25" t="s">
        <v>28</v>
      </c>
      <c r="H3" s="25" t="s">
        <v>28</v>
      </c>
      <c r="I3" s="25" t="s">
        <v>28</v>
      </c>
      <c r="J3" s="25" t="s">
        <v>28</v>
      </c>
      <c r="K3" s="25" t="s">
        <v>31</v>
      </c>
      <c r="L3" s="25" t="s">
        <v>31</v>
      </c>
      <c r="M3" s="25" t="s">
        <v>28</v>
      </c>
      <c r="N3" s="25" t="s">
        <v>28</v>
      </c>
      <c r="O3" s="25" t="s">
        <v>31</v>
      </c>
      <c r="P3" s="25" t="s">
        <v>31</v>
      </c>
      <c r="Q3" s="25" t="s">
        <v>27</v>
      </c>
      <c r="R3" s="25" t="s">
        <v>28</v>
      </c>
      <c r="S3" s="25" t="s">
        <v>27</v>
      </c>
      <c r="T3" s="25" t="s">
        <v>27</v>
      </c>
      <c r="U3" s="25" t="s">
        <v>27</v>
      </c>
      <c r="V3" s="25" t="s">
        <v>27</v>
      </c>
      <c r="W3" s="25" t="s">
        <v>28</v>
      </c>
      <c r="X3" s="25" t="s">
        <v>27</v>
      </c>
      <c r="Y3" s="25"/>
      <c r="Z3" s="25"/>
      <c r="AA3" s="25"/>
      <c r="AB3" s="25"/>
      <c r="AC3" s="26" t="s">
        <v>233</v>
      </c>
      <c r="AD3" s="26">
        <v>2</v>
      </c>
    </row>
    <row r="4" spans="1:30" ht="22.5" customHeight="1" x14ac:dyDescent="0.15">
      <c r="A4" s="153"/>
      <c r="B4" s="54" t="s">
        <v>53</v>
      </c>
      <c r="C4" s="24" t="s">
        <v>64</v>
      </c>
      <c r="D4" s="25" t="s">
        <v>27</v>
      </c>
      <c r="E4" s="25" t="s">
        <v>27</v>
      </c>
      <c r="F4" s="25" t="s">
        <v>28</v>
      </c>
      <c r="G4" s="25" t="s">
        <v>28</v>
      </c>
      <c r="H4" s="25" t="s">
        <v>28</v>
      </c>
      <c r="I4" s="25" t="s">
        <v>28</v>
      </c>
      <c r="J4" s="25" t="s">
        <v>28</v>
      </c>
      <c r="K4" s="25" t="s">
        <v>28</v>
      </c>
      <c r="L4" s="25" t="s">
        <v>28</v>
      </c>
      <c r="M4" s="25" t="s">
        <v>28</v>
      </c>
      <c r="N4" s="25" t="s">
        <v>28</v>
      </c>
      <c r="O4" s="25" t="s">
        <v>27</v>
      </c>
      <c r="P4" s="25" t="s">
        <v>27</v>
      </c>
      <c r="Q4" s="25" t="s">
        <v>27</v>
      </c>
      <c r="R4" s="25" t="s">
        <v>28</v>
      </c>
      <c r="S4" s="25" t="s">
        <v>28</v>
      </c>
      <c r="T4" s="25" t="s">
        <v>28</v>
      </c>
      <c r="U4" s="25" t="s">
        <v>27</v>
      </c>
      <c r="V4" s="25" t="s">
        <v>28</v>
      </c>
      <c r="W4" s="25" t="s">
        <v>28</v>
      </c>
      <c r="X4" s="25" t="s">
        <v>28</v>
      </c>
      <c r="Y4" s="25"/>
      <c r="Z4" s="25"/>
      <c r="AA4" s="25"/>
      <c r="AB4" s="25"/>
      <c r="AC4" s="26" t="s">
        <v>234</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231</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231</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3</v>
      </c>
      <c r="E12" s="25">
        <v>2</v>
      </c>
      <c r="F12" s="25">
        <v>5</v>
      </c>
      <c r="G12" s="25">
        <v>5</v>
      </c>
      <c r="H12" s="25">
        <v>5</v>
      </c>
      <c r="I12" s="25">
        <v>5</v>
      </c>
      <c r="J12" s="25">
        <v>5</v>
      </c>
      <c r="K12" s="25">
        <v>3</v>
      </c>
      <c r="L12" s="25">
        <v>3</v>
      </c>
      <c r="M12" s="25">
        <v>5</v>
      </c>
      <c r="N12" s="25">
        <v>5</v>
      </c>
      <c r="O12" s="25">
        <v>3</v>
      </c>
      <c r="P12" s="25">
        <v>3</v>
      </c>
      <c r="Q12" s="25">
        <v>3</v>
      </c>
      <c r="R12" s="25">
        <v>5</v>
      </c>
      <c r="S12" s="25">
        <v>3</v>
      </c>
      <c r="T12" s="25">
        <v>3</v>
      </c>
      <c r="U12" s="25">
        <v>3</v>
      </c>
      <c r="V12" s="25">
        <v>3</v>
      </c>
      <c r="W12" s="25">
        <v>5</v>
      </c>
      <c r="X12" s="25">
        <v>4</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t="s">
        <v>88</v>
      </c>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t="s">
        <v>89</v>
      </c>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8:AB38"/>
    <mergeCell ref="B39:AB39"/>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A2:A12"/>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xr:uid="{00000000-0002-0000-04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400-000001000000}">
      <formula1>$AD$2:$AD$7</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theme="1"/>
  </sheetPr>
  <dimension ref="A1:AD193"/>
  <sheetViews>
    <sheetView workbookViewId="0">
      <selection sqref="A1:XFD1048576"/>
    </sheetView>
  </sheetViews>
  <sheetFormatPr defaultColWidth="9"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社会</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252</v>
      </c>
      <c r="B2" s="54" t="s">
        <v>90</v>
      </c>
      <c r="C2" s="24" t="s">
        <v>64</v>
      </c>
      <c r="D2" s="25" t="s">
        <v>27</v>
      </c>
      <c r="E2" s="25" t="s">
        <v>31</v>
      </c>
      <c r="F2" s="25" t="s">
        <v>28</v>
      </c>
      <c r="G2" s="25" t="s">
        <v>28</v>
      </c>
      <c r="H2" s="25" t="s">
        <v>28</v>
      </c>
      <c r="I2" s="25" t="s">
        <v>28</v>
      </c>
      <c r="J2" s="25" t="s">
        <v>28</v>
      </c>
      <c r="K2" s="25" t="s">
        <v>28</v>
      </c>
      <c r="L2" s="25" t="s">
        <v>28</v>
      </c>
      <c r="M2" s="25" t="s">
        <v>28</v>
      </c>
      <c r="N2" s="25" t="s">
        <v>28</v>
      </c>
      <c r="O2" s="25" t="s">
        <v>27</v>
      </c>
      <c r="P2" s="25" t="s">
        <v>31</v>
      </c>
      <c r="Q2" s="25" t="s">
        <v>27</v>
      </c>
      <c r="R2" s="25" t="s">
        <v>28</v>
      </c>
      <c r="S2" s="25" t="s">
        <v>27</v>
      </c>
      <c r="T2" s="25" t="s">
        <v>27</v>
      </c>
      <c r="U2" s="25" t="s">
        <v>27</v>
      </c>
      <c r="V2" s="25" t="s">
        <v>28</v>
      </c>
      <c r="W2" s="25" t="s">
        <v>28</v>
      </c>
      <c r="X2" s="25" t="s">
        <v>28</v>
      </c>
      <c r="Y2" s="25"/>
      <c r="Z2" s="25"/>
      <c r="AA2" s="25"/>
      <c r="AB2" s="25"/>
      <c r="AC2" s="26" t="s">
        <v>253</v>
      </c>
      <c r="AD2" s="26">
        <v>1</v>
      </c>
    </row>
    <row r="3" spans="1:30" ht="22.5" customHeight="1" x14ac:dyDescent="0.15">
      <c r="A3" s="153"/>
      <c r="B3" s="54" t="s">
        <v>91</v>
      </c>
      <c r="C3" s="24" t="s">
        <v>64</v>
      </c>
      <c r="D3" s="25" t="s">
        <v>27</v>
      </c>
      <c r="E3" s="25" t="s">
        <v>31</v>
      </c>
      <c r="F3" s="25" t="s">
        <v>28</v>
      </c>
      <c r="G3" s="25" t="s">
        <v>28</v>
      </c>
      <c r="H3" s="25" t="s">
        <v>28</v>
      </c>
      <c r="I3" s="25" t="s">
        <v>28</v>
      </c>
      <c r="J3" s="25" t="s">
        <v>28</v>
      </c>
      <c r="K3" s="25" t="s">
        <v>28</v>
      </c>
      <c r="L3" s="25" t="s">
        <v>27</v>
      </c>
      <c r="M3" s="25" t="s">
        <v>27</v>
      </c>
      <c r="N3" s="25" t="s">
        <v>28</v>
      </c>
      <c r="O3" s="25" t="s">
        <v>27</v>
      </c>
      <c r="P3" s="25" t="s">
        <v>31</v>
      </c>
      <c r="Q3" s="25" t="s">
        <v>27</v>
      </c>
      <c r="R3" s="25" t="s">
        <v>27</v>
      </c>
      <c r="S3" s="25" t="s">
        <v>27</v>
      </c>
      <c r="T3" s="25" t="s">
        <v>27</v>
      </c>
      <c r="U3" s="25" t="s">
        <v>27</v>
      </c>
      <c r="V3" s="25" t="s">
        <v>27</v>
      </c>
      <c r="W3" s="25" t="s">
        <v>28</v>
      </c>
      <c r="X3" s="25" t="s">
        <v>28</v>
      </c>
      <c r="Y3" s="25"/>
      <c r="Z3" s="25"/>
      <c r="AA3" s="25"/>
      <c r="AB3" s="25"/>
      <c r="AC3" s="26" t="s">
        <v>254</v>
      </c>
      <c r="AD3" s="26">
        <v>2</v>
      </c>
    </row>
    <row r="4" spans="1:30" ht="22.5" customHeight="1" x14ac:dyDescent="0.15">
      <c r="A4" s="153"/>
      <c r="B4" s="54" t="s">
        <v>53</v>
      </c>
      <c r="C4" s="24" t="s">
        <v>64</v>
      </c>
      <c r="D4" s="25" t="s">
        <v>28</v>
      </c>
      <c r="E4" s="25" t="s">
        <v>31</v>
      </c>
      <c r="F4" s="25" t="s">
        <v>28</v>
      </c>
      <c r="G4" s="25" t="s">
        <v>28</v>
      </c>
      <c r="H4" s="25" t="s">
        <v>28</v>
      </c>
      <c r="I4" s="25" t="s">
        <v>28</v>
      </c>
      <c r="J4" s="25" t="s">
        <v>28</v>
      </c>
      <c r="K4" s="25" t="s">
        <v>28</v>
      </c>
      <c r="L4" s="25" t="s">
        <v>28</v>
      </c>
      <c r="M4" s="25" t="s">
        <v>28</v>
      </c>
      <c r="N4" s="25" t="s">
        <v>28</v>
      </c>
      <c r="O4" s="25" t="s">
        <v>27</v>
      </c>
      <c r="P4" s="25" t="s">
        <v>27</v>
      </c>
      <c r="Q4" s="25" t="s">
        <v>28</v>
      </c>
      <c r="R4" s="25" t="s">
        <v>28</v>
      </c>
      <c r="S4" s="25" t="s">
        <v>28</v>
      </c>
      <c r="T4" s="25" t="s">
        <v>28</v>
      </c>
      <c r="U4" s="25" t="s">
        <v>27</v>
      </c>
      <c r="V4" s="25" t="s">
        <v>28</v>
      </c>
      <c r="W4" s="25" t="s">
        <v>28</v>
      </c>
      <c r="X4" s="25" t="s">
        <v>28</v>
      </c>
      <c r="Y4" s="25"/>
      <c r="Z4" s="25"/>
      <c r="AA4" s="25"/>
      <c r="AB4" s="25"/>
      <c r="AC4" s="26" t="s">
        <v>255</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256</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256</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3</v>
      </c>
      <c r="E12" s="25">
        <v>1</v>
      </c>
      <c r="F12" s="25">
        <v>5</v>
      </c>
      <c r="G12" s="25">
        <v>5</v>
      </c>
      <c r="H12" s="25">
        <v>5</v>
      </c>
      <c r="I12" s="25">
        <v>5</v>
      </c>
      <c r="J12" s="25">
        <v>5</v>
      </c>
      <c r="K12" s="25">
        <v>5</v>
      </c>
      <c r="L12" s="25">
        <v>4</v>
      </c>
      <c r="M12" s="25">
        <v>4</v>
      </c>
      <c r="N12" s="25">
        <v>5</v>
      </c>
      <c r="O12" s="25">
        <v>3</v>
      </c>
      <c r="P12" s="25">
        <v>2</v>
      </c>
      <c r="Q12" s="25">
        <v>3</v>
      </c>
      <c r="R12" s="25">
        <v>4</v>
      </c>
      <c r="S12" s="25">
        <v>3</v>
      </c>
      <c r="T12" s="25">
        <v>3</v>
      </c>
      <c r="U12" s="25">
        <v>3</v>
      </c>
      <c r="V12" s="25">
        <v>4</v>
      </c>
      <c r="W12" s="25">
        <v>5</v>
      </c>
      <c r="X12" s="25">
        <v>5</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t="s">
        <v>92</v>
      </c>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9:AB39"/>
    <mergeCell ref="B33:AB33"/>
    <mergeCell ref="B34:AB34"/>
    <mergeCell ref="B35:AB35"/>
    <mergeCell ref="B36:AB36"/>
    <mergeCell ref="B37:AB37"/>
    <mergeCell ref="B22:AB22"/>
    <mergeCell ref="B23:AB23"/>
    <mergeCell ref="B24:AB24"/>
    <mergeCell ref="B25:AB25"/>
    <mergeCell ref="B38:AB38"/>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s>
  <phoneticPr fontId="1"/>
  <dataValidations count="2">
    <dataValidation type="list" allowBlank="1" showDropDown="1" showInputMessage="1" showErrorMessage="1" sqref="D2:AB11" xr:uid="{00000000-0002-0000-05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500-000001000000}">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英語</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257</v>
      </c>
      <c r="B2" s="54" t="s">
        <v>60</v>
      </c>
      <c r="C2" s="24" t="s">
        <v>64</v>
      </c>
      <c r="D2" s="25" t="s">
        <v>27</v>
      </c>
      <c r="E2" s="25" t="s">
        <v>31</v>
      </c>
      <c r="F2" s="25" t="s">
        <v>28</v>
      </c>
      <c r="G2" s="25" t="s">
        <v>28</v>
      </c>
      <c r="H2" s="25" t="s">
        <v>28</v>
      </c>
      <c r="I2" s="25" t="s">
        <v>28</v>
      </c>
      <c r="J2" s="25" t="s">
        <v>28</v>
      </c>
      <c r="K2" s="25" t="s">
        <v>31</v>
      </c>
      <c r="L2" s="25" t="s">
        <v>27</v>
      </c>
      <c r="M2" s="25" t="s">
        <v>27</v>
      </c>
      <c r="N2" s="25" t="s">
        <v>28</v>
      </c>
      <c r="O2" s="25" t="s">
        <v>31</v>
      </c>
      <c r="P2" s="25" t="s">
        <v>31</v>
      </c>
      <c r="Q2" s="25" t="s">
        <v>27</v>
      </c>
      <c r="R2" s="25" t="s">
        <v>27</v>
      </c>
      <c r="S2" s="25" t="s">
        <v>27</v>
      </c>
      <c r="T2" s="25" t="s">
        <v>27</v>
      </c>
      <c r="U2" s="25" t="s">
        <v>31</v>
      </c>
      <c r="V2" s="25" t="s">
        <v>28</v>
      </c>
      <c r="W2" s="25" t="s">
        <v>28</v>
      </c>
      <c r="X2" s="25" t="s">
        <v>27</v>
      </c>
      <c r="Y2" s="25"/>
      <c r="Z2" s="25"/>
      <c r="AA2" s="25"/>
      <c r="AB2" s="25"/>
      <c r="AC2" s="26" t="s">
        <v>235</v>
      </c>
      <c r="AD2" s="26">
        <v>1</v>
      </c>
    </row>
    <row r="3" spans="1:30" ht="22.5" customHeight="1" x14ac:dyDescent="0.15">
      <c r="A3" s="153"/>
      <c r="B3" s="54" t="s">
        <v>61</v>
      </c>
      <c r="C3" s="24" t="s">
        <v>64</v>
      </c>
      <c r="D3" s="25" t="s">
        <v>28</v>
      </c>
      <c r="E3" s="25" t="s">
        <v>31</v>
      </c>
      <c r="F3" s="25" t="s">
        <v>28</v>
      </c>
      <c r="G3" s="25" t="s">
        <v>28</v>
      </c>
      <c r="H3" s="25" t="s">
        <v>28</v>
      </c>
      <c r="I3" s="25" t="s">
        <v>28</v>
      </c>
      <c r="J3" s="25" t="s">
        <v>28</v>
      </c>
      <c r="K3" s="25" t="s">
        <v>28</v>
      </c>
      <c r="L3" s="25" t="s">
        <v>28</v>
      </c>
      <c r="M3" s="25" t="s">
        <v>28</v>
      </c>
      <c r="N3" s="25" t="s">
        <v>28</v>
      </c>
      <c r="O3" s="25" t="s">
        <v>27</v>
      </c>
      <c r="P3" s="25" t="s">
        <v>27</v>
      </c>
      <c r="Q3" s="25" t="s">
        <v>28</v>
      </c>
      <c r="R3" s="25" t="s">
        <v>28</v>
      </c>
      <c r="S3" s="25" t="s">
        <v>28</v>
      </c>
      <c r="T3" s="25" t="s">
        <v>28</v>
      </c>
      <c r="U3" s="25" t="s">
        <v>28</v>
      </c>
      <c r="V3" s="25" t="s">
        <v>28</v>
      </c>
      <c r="W3" s="25" t="s">
        <v>28</v>
      </c>
      <c r="X3" s="25" t="s">
        <v>28</v>
      </c>
      <c r="Y3" s="25"/>
      <c r="Z3" s="25"/>
      <c r="AA3" s="25"/>
      <c r="AB3" s="25"/>
      <c r="AC3" s="26" t="s">
        <v>258</v>
      </c>
      <c r="AD3" s="26">
        <v>2</v>
      </c>
    </row>
    <row r="4" spans="1:30" ht="22.5" customHeight="1" x14ac:dyDescent="0.15">
      <c r="A4" s="153"/>
      <c r="B4" s="54" t="s">
        <v>62</v>
      </c>
      <c r="C4" s="24" t="s">
        <v>64</v>
      </c>
      <c r="D4" s="25" t="s">
        <v>28</v>
      </c>
      <c r="E4" s="25" t="s">
        <v>31</v>
      </c>
      <c r="F4" s="25" t="s">
        <v>28</v>
      </c>
      <c r="G4" s="25" t="s">
        <v>28</v>
      </c>
      <c r="H4" s="25" t="s">
        <v>28</v>
      </c>
      <c r="I4" s="25" t="s">
        <v>28</v>
      </c>
      <c r="J4" s="25" t="s">
        <v>28</v>
      </c>
      <c r="K4" s="25" t="s">
        <v>28</v>
      </c>
      <c r="L4" s="25" t="s">
        <v>28</v>
      </c>
      <c r="M4" s="25" t="s">
        <v>28</v>
      </c>
      <c r="N4" s="25" t="s">
        <v>28</v>
      </c>
      <c r="O4" s="25" t="s">
        <v>27</v>
      </c>
      <c r="P4" s="25" t="s">
        <v>31</v>
      </c>
      <c r="Q4" s="25" t="s">
        <v>28</v>
      </c>
      <c r="R4" s="25" t="s">
        <v>28</v>
      </c>
      <c r="S4" s="25" t="s">
        <v>28</v>
      </c>
      <c r="T4" s="25" t="s">
        <v>28</v>
      </c>
      <c r="U4" s="25" t="s">
        <v>28</v>
      </c>
      <c r="V4" s="25" t="s">
        <v>28</v>
      </c>
      <c r="W4" s="25" t="s">
        <v>28</v>
      </c>
      <c r="X4" s="25" t="s">
        <v>28</v>
      </c>
      <c r="Y4" s="25"/>
      <c r="Z4" s="25"/>
      <c r="AA4" s="25"/>
      <c r="AB4" s="25"/>
      <c r="AC4" s="26" t="s">
        <v>243</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259</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231</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t="s">
        <v>55</v>
      </c>
      <c r="E12" s="25" t="s">
        <v>93</v>
      </c>
      <c r="F12" s="25" t="s">
        <v>54</v>
      </c>
      <c r="G12" s="25" t="s">
        <v>54</v>
      </c>
      <c r="H12" s="25" t="s">
        <v>54</v>
      </c>
      <c r="I12" s="25" t="s">
        <v>54</v>
      </c>
      <c r="J12" s="25" t="s">
        <v>54</v>
      </c>
      <c r="K12" s="25" t="s">
        <v>56</v>
      </c>
      <c r="L12" s="25" t="s">
        <v>55</v>
      </c>
      <c r="M12" s="25" t="s">
        <v>55</v>
      </c>
      <c r="N12" s="25" t="s">
        <v>54</v>
      </c>
      <c r="O12" s="25" t="s">
        <v>56</v>
      </c>
      <c r="P12" s="25" t="s">
        <v>94</v>
      </c>
      <c r="Q12" s="25" t="s">
        <v>55</v>
      </c>
      <c r="R12" s="25" t="s">
        <v>55</v>
      </c>
      <c r="S12" s="25" t="s">
        <v>55</v>
      </c>
      <c r="T12" s="25" t="s">
        <v>55</v>
      </c>
      <c r="U12" s="25" t="s">
        <v>56</v>
      </c>
      <c r="V12" s="25" t="s">
        <v>54</v>
      </c>
      <c r="W12" s="25" t="s">
        <v>54</v>
      </c>
      <c r="X12" s="25" t="s">
        <v>55</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t="s">
        <v>95</v>
      </c>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t="s">
        <v>96</v>
      </c>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t="s">
        <v>97</v>
      </c>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t="s">
        <v>98</v>
      </c>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t="s">
        <v>99</v>
      </c>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t="s">
        <v>100</v>
      </c>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t="s">
        <v>101</v>
      </c>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8:AB38"/>
    <mergeCell ref="B39:AB39"/>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A2:A12"/>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xr:uid="{00000000-0002-0000-06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600-000001000000}">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音楽</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246</v>
      </c>
      <c r="B2" s="54" t="s">
        <v>102</v>
      </c>
      <c r="C2" s="24" t="s">
        <v>64</v>
      </c>
      <c r="D2" s="25" t="s">
        <v>27</v>
      </c>
      <c r="E2" s="25" t="s">
        <v>27</v>
      </c>
      <c r="F2" s="25" t="s">
        <v>28</v>
      </c>
      <c r="G2" s="25" t="s">
        <v>28</v>
      </c>
      <c r="H2" s="25" t="s">
        <v>28</v>
      </c>
      <c r="I2" s="25" t="s">
        <v>28</v>
      </c>
      <c r="J2" s="25" t="s">
        <v>28</v>
      </c>
      <c r="K2" s="25" t="s">
        <v>28</v>
      </c>
      <c r="L2" s="25" t="s">
        <v>28</v>
      </c>
      <c r="M2" s="25" t="s">
        <v>28</v>
      </c>
      <c r="N2" s="25" t="s">
        <v>28</v>
      </c>
      <c r="O2" s="25" t="s">
        <v>27</v>
      </c>
      <c r="P2" s="25" t="s">
        <v>31</v>
      </c>
      <c r="Q2" s="25" t="s">
        <v>27</v>
      </c>
      <c r="R2" s="25" t="s">
        <v>28</v>
      </c>
      <c r="S2" s="25" t="s">
        <v>27</v>
      </c>
      <c r="T2" s="25" t="s">
        <v>27</v>
      </c>
      <c r="U2" s="25" t="s">
        <v>28</v>
      </c>
      <c r="V2" s="25" t="s">
        <v>28</v>
      </c>
      <c r="W2" s="25" t="s">
        <v>28</v>
      </c>
      <c r="X2" s="25" t="s">
        <v>27</v>
      </c>
      <c r="Y2" s="25"/>
      <c r="Z2" s="25"/>
      <c r="AA2" s="25"/>
      <c r="AB2" s="25"/>
      <c r="AC2" s="26" t="s">
        <v>247</v>
      </c>
      <c r="AD2" s="26">
        <v>1</v>
      </c>
    </row>
    <row r="3" spans="1:30" ht="22.5" customHeight="1" x14ac:dyDescent="0.15">
      <c r="A3" s="153"/>
      <c r="B3" s="54" t="s">
        <v>103</v>
      </c>
      <c r="C3" s="24" t="s">
        <v>64</v>
      </c>
      <c r="D3" s="25" t="s">
        <v>27</v>
      </c>
      <c r="E3" s="25" t="s">
        <v>31</v>
      </c>
      <c r="F3" s="25" t="s">
        <v>28</v>
      </c>
      <c r="G3" s="25" t="s">
        <v>28</v>
      </c>
      <c r="H3" s="25" t="s">
        <v>28</v>
      </c>
      <c r="I3" s="25" t="s">
        <v>28</v>
      </c>
      <c r="J3" s="25" t="s">
        <v>28</v>
      </c>
      <c r="K3" s="25" t="s">
        <v>27</v>
      </c>
      <c r="L3" s="25" t="s">
        <v>27</v>
      </c>
      <c r="M3" s="25" t="s">
        <v>27</v>
      </c>
      <c r="N3" s="25" t="s">
        <v>28</v>
      </c>
      <c r="O3" s="25" t="s">
        <v>27</v>
      </c>
      <c r="P3" s="25" t="s">
        <v>27</v>
      </c>
      <c r="Q3" s="25" t="s">
        <v>27</v>
      </c>
      <c r="R3" s="25" t="s">
        <v>28</v>
      </c>
      <c r="S3" s="25" t="s">
        <v>27</v>
      </c>
      <c r="T3" s="25" t="s">
        <v>28</v>
      </c>
      <c r="U3" s="25" t="s">
        <v>28</v>
      </c>
      <c r="V3" s="25" t="s">
        <v>28</v>
      </c>
      <c r="W3" s="25" t="s">
        <v>28</v>
      </c>
      <c r="X3" s="25" t="s">
        <v>28</v>
      </c>
      <c r="Y3" s="25"/>
      <c r="Z3" s="25"/>
      <c r="AA3" s="25"/>
      <c r="AB3" s="25"/>
      <c r="AC3" s="26" t="s">
        <v>233</v>
      </c>
      <c r="AD3" s="26">
        <v>2</v>
      </c>
    </row>
    <row r="4" spans="1:30" ht="22.5" customHeight="1" x14ac:dyDescent="0.15">
      <c r="A4" s="153"/>
      <c r="B4" s="54" t="s">
        <v>104</v>
      </c>
      <c r="C4" s="24" t="s">
        <v>64</v>
      </c>
      <c r="D4" s="25" t="s">
        <v>28</v>
      </c>
      <c r="E4" s="25" t="s">
        <v>31</v>
      </c>
      <c r="F4" s="25" t="s">
        <v>28</v>
      </c>
      <c r="G4" s="25" t="s">
        <v>28</v>
      </c>
      <c r="H4" s="25" t="s">
        <v>28</v>
      </c>
      <c r="I4" s="25" t="s">
        <v>28</v>
      </c>
      <c r="J4" s="25" t="s">
        <v>28</v>
      </c>
      <c r="K4" s="25" t="s">
        <v>28</v>
      </c>
      <c r="L4" s="25" t="s">
        <v>28</v>
      </c>
      <c r="M4" s="25" t="s">
        <v>28</v>
      </c>
      <c r="N4" s="25" t="s">
        <v>28</v>
      </c>
      <c r="O4" s="25" t="s">
        <v>28</v>
      </c>
      <c r="P4" s="25" t="s">
        <v>27</v>
      </c>
      <c r="Q4" s="25" t="s">
        <v>28</v>
      </c>
      <c r="R4" s="25" t="s">
        <v>28</v>
      </c>
      <c r="S4" s="25" t="s">
        <v>28</v>
      </c>
      <c r="T4" s="25" t="s">
        <v>28</v>
      </c>
      <c r="U4" s="25" t="s">
        <v>28</v>
      </c>
      <c r="V4" s="25" t="s">
        <v>28</v>
      </c>
      <c r="W4" s="25" t="s">
        <v>28</v>
      </c>
      <c r="X4" s="25" t="s">
        <v>28</v>
      </c>
      <c r="Y4" s="25"/>
      <c r="Z4" s="25"/>
      <c r="AA4" s="25"/>
      <c r="AB4" s="25"/>
      <c r="AC4" s="26" t="s">
        <v>250</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260</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261</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3</v>
      </c>
      <c r="E12" s="25">
        <v>2</v>
      </c>
      <c r="F12" s="25">
        <v>5</v>
      </c>
      <c r="G12" s="25">
        <v>5</v>
      </c>
      <c r="H12" s="25">
        <v>5</v>
      </c>
      <c r="I12" s="25">
        <v>5</v>
      </c>
      <c r="J12" s="25">
        <v>5</v>
      </c>
      <c r="K12" s="25">
        <v>4</v>
      </c>
      <c r="L12" s="25">
        <v>4</v>
      </c>
      <c r="M12" s="25">
        <v>4</v>
      </c>
      <c r="N12" s="25">
        <v>5</v>
      </c>
      <c r="O12" s="25">
        <v>3</v>
      </c>
      <c r="P12" s="25">
        <v>2</v>
      </c>
      <c r="Q12" s="25">
        <v>3</v>
      </c>
      <c r="R12" s="25">
        <v>5</v>
      </c>
      <c r="S12" s="25">
        <v>3</v>
      </c>
      <c r="T12" s="25">
        <v>4</v>
      </c>
      <c r="U12" s="25">
        <v>5</v>
      </c>
      <c r="V12" s="25">
        <v>5</v>
      </c>
      <c r="W12" s="25">
        <v>5</v>
      </c>
      <c r="X12" s="25">
        <v>4</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t="s">
        <v>105</v>
      </c>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t="s">
        <v>106</v>
      </c>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8:AB38"/>
    <mergeCell ref="B39:AB39"/>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A2:A12"/>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xr:uid="{00000000-0002-0000-07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700-000001000000}">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美術</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262</v>
      </c>
      <c r="B2" s="54" t="s">
        <v>107</v>
      </c>
      <c r="C2" s="24" t="s">
        <v>64</v>
      </c>
      <c r="D2" s="25" t="s">
        <v>263</v>
      </c>
      <c r="E2" s="25" t="s">
        <v>263</v>
      </c>
      <c r="F2" s="25" t="s">
        <v>264</v>
      </c>
      <c r="G2" s="25" t="s">
        <v>264</v>
      </c>
      <c r="H2" s="25" t="s">
        <v>239</v>
      </c>
      <c r="I2" s="25" t="s">
        <v>264</v>
      </c>
      <c r="J2" s="25" t="s">
        <v>239</v>
      </c>
      <c r="K2" s="25" t="s">
        <v>265</v>
      </c>
      <c r="L2" s="25" t="s">
        <v>265</v>
      </c>
      <c r="M2" s="25" t="s">
        <v>264</v>
      </c>
      <c r="N2" s="25" t="s">
        <v>264</v>
      </c>
      <c r="O2" s="25" t="s">
        <v>264</v>
      </c>
      <c r="P2" s="25" t="s">
        <v>263</v>
      </c>
      <c r="Q2" s="25" t="s">
        <v>243</v>
      </c>
      <c r="R2" s="25" t="s">
        <v>264</v>
      </c>
      <c r="S2" s="25" t="s">
        <v>265</v>
      </c>
      <c r="T2" s="25" t="s">
        <v>264</v>
      </c>
      <c r="U2" s="25" t="s">
        <v>240</v>
      </c>
      <c r="V2" s="25" t="s">
        <v>239</v>
      </c>
      <c r="W2" s="25" t="s">
        <v>264</v>
      </c>
      <c r="X2" s="25" t="s">
        <v>265</v>
      </c>
      <c r="Y2" s="25"/>
      <c r="Z2" s="25"/>
      <c r="AA2" s="25"/>
      <c r="AB2" s="25"/>
      <c r="AC2" s="26" t="s">
        <v>264</v>
      </c>
      <c r="AD2" s="26">
        <v>1</v>
      </c>
    </row>
    <row r="3" spans="1:30" ht="22.5" customHeight="1" x14ac:dyDescent="0.15">
      <c r="A3" s="153"/>
      <c r="B3" s="54" t="s">
        <v>108</v>
      </c>
      <c r="C3" s="24" t="s">
        <v>64</v>
      </c>
      <c r="D3" s="25" t="s">
        <v>265</v>
      </c>
      <c r="E3" s="25" t="s">
        <v>243</v>
      </c>
      <c r="F3" s="25" t="s">
        <v>264</v>
      </c>
      <c r="G3" s="25" t="s">
        <v>264</v>
      </c>
      <c r="H3" s="25" t="s">
        <v>264</v>
      </c>
      <c r="I3" s="25" t="s">
        <v>265</v>
      </c>
      <c r="J3" s="25" t="s">
        <v>264</v>
      </c>
      <c r="K3" s="25" t="s">
        <v>243</v>
      </c>
      <c r="L3" s="25" t="s">
        <v>240</v>
      </c>
      <c r="M3" s="25" t="s">
        <v>240</v>
      </c>
      <c r="N3" s="25" t="s">
        <v>240</v>
      </c>
      <c r="O3" s="25" t="s">
        <v>265</v>
      </c>
      <c r="P3" s="25" t="s">
        <v>264</v>
      </c>
      <c r="Q3" s="25" t="s">
        <v>240</v>
      </c>
      <c r="R3" s="25" t="s">
        <v>240</v>
      </c>
      <c r="S3" s="25" t="s">
        <v>240</v>
      </c>
      <c r="T3" s="25" t="s">
        <v>239</v>
      </c>
      <c r="U3" s="25" t="s">
        <v>264</v>
      </c>
      <c r="V3" s="25" t="s">
        <v>264</v>
      </c>
      <c r="W3" s="25" t="s">
        <v>264</v>
      </c>
      <c r="X3" s="25" t="s">
        <v>239</v>
      </c>
      <c r="Y3" s="25"/>
      <c r="Z3" s="25"/>
      <c r="AA3" s="25"/>
      <c r="AB3" s="25"/>
      <c r="AC3" s="26" t="s">
        <v>240</v>
      </c>
      <c r="AD3" s="26">
        <v>2</v>
      </c>
    </row>
    <row r="4" spans="1:30" ht="22.5" customHeight="1" x14ac:dyDescent="0.15">
      <c r="A4" s="153"/>
      <c r="B4" s="54" t="s">
        <v>109</v>
      </c>
      <c r="C4" s="24" t="s">
        <v>64</v>
      </c>
      <c r="D4" s="25" t="s">
        <v>240</v>
      </c>
      <c r="E4" s="25" t="s">
        <v>265</v>
      </c>
      <c r="F4" s="25" t="s">
        <v>239</v>
      </c>
      <c r="G4" s="25" t="s">
        <v>264</v>
      </c>
      <c r="H4" s="25" t="s">
        <v>239</v>
      </c>
      <c r="I4" s="25" t="s">
        <v>264</v>
      </c>
      <c r="J4" s="25" t="s">
        <v>239</v>
      </c>
      <c r="K4" s="25" t="s">
        <v>265</v>
      </c>
      <c r="L4" s="25" t="s">
        <v>239</v>
      </c>
      <c r="M4" s="25" t="s">
        <v>240</v>
      </c>
      <c r="N4" s="25" t="s">
        <v>239</v>
      </c>
      <c r="O4" s="25" t="s">
        <v>264</v>
      </c>
      <c r="P4" s="25" t="s">
        <v>240</v>
      </c>
      <c r="Q4" s="25" t="s">
        <v>240</v>
      </c>
      <c r="R4" s="25" t="s">
        <v>239</v>
      </c>
      <c r="S4" s="25" t="s">
        <v>239</v>
      </c>
      <c r="T4" s="25" t="s">
        <v>239</v>
      </c>
      <c r="U4" s="25" t="s">
        <v>264</v>
      </c>
      <c r="V4" s="25" t="s">
        <v>239</v>
      </c>
      <c r="W4" s="25" t="s">
        <v>239</v>
      </c>
      <c r="X4" s="25" t="s">
        <v>239</v>
      </c>
      <c r="Y4" s="25"/>
      <c r="Z4" s="25"/>
      <c r="AA4" s="25"/>
      <c r="AB4" s="25"/>
      <c r="AC4" s="26" t="s">
        <v>243</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245</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245</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3</v>
      </c>
      <c r="E12" s="25">
        <v>2</v>
      </c>
      <c r="F12" s="25">
        <v>5</v>
      </c>
      <c r="G12" s="25">
        <v>5</v>
      </c>
      <c r="H12" s="25">
        <v>5</v>
      </c>
      <c r="I12" s="25">
        <v>4</v>
      </c>
      <c r="J12" s="25">
        <v>5</v>
      </c>
      <c r="K12" s="25">
        <v>3</v>
      </c>
      <c r="L12" s="25">
        <v>4</v>
      </c>
      <c r="M12" s="25">
        <v>3</v>
      </c>
      <c r="N12" s="25">
        <v>4</v>
      </c>
      <c r="O12" s="25">
        <v>4</v>
      </c>
      <c r="P12" s="25">
        <v>3</v>
      </c>
      <c r="Q12" s="25">
        <v>3</v>
      </c>
      <c r="R12" s="25">
        <v>4</v>
      </c>
      <c r="S12" s="25">
        <v>4</v>
      </c>
      <c r="T12" s="25">
        <v>5</v>
      </c>
      <c r="U12" s="25">
        <v>4</v>
      </c>
      <c r="V12" s="25">
        <v>5</v>
      </c>
      <c r="W12" s="25">
        <v>5</v>
      </c>
      <c r="X12" s="25">
        <v>4</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8:AB38"/>
    <mergeCell ref="B39:AB39"/>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A2:A12"/>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xr:uid="{00000000-0002-0000-08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800-000001000000}">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保体</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257</v>
      </c>
      <c r="B2" s="54" t="s">
        <v>110</v>
      </c>
      <c r="C2" s="24" t="s">
        <v>64</v>
      </c>
      <c r="D2" s="25" t="s">
        <v>28</v>
      </c>
      <c r="E2" s="25" t="s">
        <v>31</v>
      </c>
      <c r="F2" s="25" t="s">
        <v>27</v>
      </c>
      <c r="G2" s="25" t="s">
        <v>28</v>
      </c>
      <c r="H2" s="25" t="s">
        <v>28</v>
      </c>
      <c r="I2" s="25" t="s">
        <v>28</v>
      </c>
      <c r="J2" s="25" t="s">
        <v>28</v>
      </c>
      <c r="K2" s="25" t="s">
        <v>27</v>
      </c>
      <c r="L2" s="25" t="s">
        <v>27</v>
      </c>
      <c r="M2" s="25" t="s">
        <v>27</v>
      </c>
      <c r="N2" s="25" t="s">
        <v>28</v>
      </c>
      <c r="O2" s="25" t="s">
        <v>31</v>
      </c>
      <c r="P2" s="25" t="s">
        <v>27</v>
      </c>
      <c r="Q2" s="25" t="s">
        <v>27</v>
      </c>
      <c r="R2" s="25" t="s">
        <v>28</v>
      </c>
      <c r="S2" s="25" t="s">
        <v>27</v>
      </c>
      <c r="T2" s="25" t="s">
        <v>28</v>
      </c>
      <c r="U2" s="25" t="s">
        <v>27</v>
      </c>
      <c r="V2" s="25" t="s">
        <v>27</v>
      </c>
      <c r="W2" s="25" t="s">
        <v>28</v>
      </c>
      <c r="X2" s="25" t="s">
        <v>28</v>
      </c>
      <c r="Y2" s="25"/>
      <c r="Z2" s="25"/>
      <c r="AA2" s="25"/>
      <c r="AB2" s="25"/>
      <c r="AC2" s="26" t="s">
        <v>266</v>
      </c>
      <c r="AD2" s="26">
        <v>1</v>
      </c>
    </row>
    <row r="3" spans="1:30" ht="22.5" customHeight="1" x14ac:dyDescent="0.15">
      <c r="A3" s="153"/>
      <c r="B3" s="54" t="s">
        <v>57</v>
      </c>
      <c r="C3" s="24" t="s">
        <v>64</v>
      </c>
      <c r="D3" s="25" t="s">
        <v>28</v>
      </c>
      <c r="E3" s="25" t="s">
        <v>111</v>
      </c>
      <c r="F3" s="25" t="s">
        <v>28</v>
      </c>
      <c r="G3" s="25" t="s">
        <v>28</v>
      </c>
      <c r="H3" s="25" t="s">
        <v>28</v>
      </c>
      <c r="I3" s="25" t="s">
        <v>28</v>
      </c>
      <c r="J3" s="25" t="s">
        <v>28</v>
      </c>
      <c r="K3" s="25" t="s">
        <v>28</v>
      </c>
      <c r="L3" s="25" t="s">
        <v>27</v>
      </c>
      <c r="M3" s="25" t="s">
        <v>27</v>
      </c>
      <c r="N3" s="25" t="s">
        <v>28</v>
      </c>
      <c r="O3" s="25" t="s">
        <v>27</v>
      </c>
      <c r="P3" s="25" t="s">
        <v>28</v>
      </c>
      <c r="Q3" s="25" t="s">
        <v>28</v>
      </c>
      <c r="R3" s="25" t="s">
        <v>28</v>
      </c>
      <c r="S3" s="25" t="s">
        <v>28</v>
      </c>
      <c r="T3" s="25" t="s">
        <v>28</v>
      </c>
      <c r="U3" s="25" t="s">
        <v>28</v>
      </c>
      <c r="V3" s="25" t="s">
        <v>28</v>
      </c>
      <c r="W3" s="25" t="s">
        <v>28</v>
      </c>
      <c r="X3" s="25" t="s">
        <v>28</v>
      </c>
      <c r="Y3" s="25"/>
      <c r="Z3" s="25"/>
      <c r="AA3" s="25"/>
      <c r="AB3" s="25"/>
      <c r="AC3" s="26" t="s">
        <v>267</v>
      </c>
      <c r="AD3" s="26">
        <v>2</v>
      </c>
    </row>
    <row r="4" spans="1:30" ht="22.5" customHeight="1" x14ac:dyDescent="0.15">
      <c r="A4" s="153"/>
      <c r="B4" s="54" t="s">
        <v>53</v>
      </c>
      <c r="C4" s="24" t="s">
        <v>64</v>
      </c>
      <c r="D4" s="25" t="s">
        <v>27</v>
      </c>
      <c r="E4" s="25" t="s">
        <v>31</v>
      </c>
      <c r="F4" s="25" t="s">
        <v>28</v>
      </c>
      <c r="G4" s="25" t="s">
        <v>27</v>
      </c>
      <c r="H4" s="25" t="s">
        <v>28</v>
      </c>
      <c r="I4" s="25" t="s">
        <v>27</v>
      </c>
      <c r="J4" s="25" t="s">
        <v>27</v>
      </c>
      <c r="K4" s="25" t="s">
        <v>27</v>
      </c>
      <c r="L4" s="25" t="s">
        <v>27</v>
      </c>
      <c r="M4" s="25" t="s">
        <v>27</v>
      </c>
      <c r="N4" s="25" t="s">
        <v>28</v>
      </c>
      <c r="O4" s="25" t="s">
        <v>27</v>
      </c>
      <c r="P4" s="25" t="s">
        <v>28</v>
      </c>
      <c r="Q4" s="25" t="s">
        <v>28</v>
      </c>
      <c r="R4" s="25" t="s">
        <v>28</v>
      </c>
      <c r="S4" s="25" t="s">
        <v>27</v>
      </c>
      <c r="T4" s="25" t="s">
        <v>28</v>
      </c>
      <c r="U4" s="25" t="s">
        <v>27</v>
      </c>
      <c r="V4" s="25" t="s">
        <v>28</v>
      </c>
      <c r="W4" s="25" t="s">
        <v>28</v>
      </c>
      <c r="X4" s="25" t="s">
        <v>28</v>
      </c>
      <c r="Y4" s="25"/>
      <c r="Z4" s="25"/>
      <c r="AA4" s="25"/>
      <c r="AB4" s="25"/>
      <c r="AC4" s="26" t="s">
        <v>268</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269</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269</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4</v>
      </c>
      <c r="E12" s="25">
        <v>1</v>
      </c>
      <c r="F12" s="25">
        <v>4</v>
      </c>
      <c r="G12" s="25">
        <v>4</v>
      </c>
      <c r="H12" s="25">
        <v>5</v>
      </c>
      <c r="I12" s="25">
        <v>4</v>
      </c>
      <c r="J12" s="25">
        <v>4</v>
      </c>
      <c r="K12" s="25">
        <v>3</v>
      </c>
      <c r="L12" s="25">
        <v>3</v>
      </c>
      <c r="M12" s="25">
        <v>3</v>
      </c>
      <c r="N12" s="25">
        <v>5</v>
      </c>
      <c r="O12" s="25">
        <v>3</v>
      </c>
      <c r="P12" s="25">
        <v>4</v>
      </c>
      <c r="Q12" s="25">
        <v>4</v>
      </c>
      <c r="R12" s="25">
        <v>5</v>
      </c>
      <c r="S12" s="25">
        <v>3</v>
      </c>
      <c r="T12" s="25">
        <v>5</v>
      </c>
      <c r="U12" s="25">
        <v>3</v>
      </c>
      <c r="V12" s="25">
        <v>4</v>
      </c>
      <c r="W12" s="25">
        <v>5</v>
      </c>
      <c r="X12" s="25">
        <v>5</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8:AB38"/>
    <mergeCell ref="B39:AB39"/>
    <mergeCell ref="B35:AB35"/>
    <mergeCell ref="B36:AB36"/>
    <mergeCell ref="B37:AB37"/>
    <mergeCell ref="B25:AB25"/>
    <mergeCell ref="B26:AB26"/>
    <mergeCell ref="B27:AB27"/>
    <mergeCell ref="B28:AB28"/>
    <mergeCell ref="B29:AB29"/>
    <mergeCell ref="B30:AB30"/>
    <mergeCell ref="B31:AB31"/>
    <mergeCell ref="B32:AB32"/>
    <mergeCell ref="B33:AB33"/>
    <mergeCell ref="B34:AB34"/>
    <mergeCell ref="A2:A12"/>
    <mergeCell ref="B23:AB23"/>
    <mergeCell ref="B24:AB24"/>
    <mergeCell ref="B14:AB14"/>
    <mergeCell ref="B15:AB15"/>
    <mergeCell ref="B16:AB16"/>
    <mergeCell ref="B17:AB17"/>
    <mergeCell ref="B18:AB18"/>
    <mergeCell ref="B19:AB19"/>
    <mergeCell ref="B20:AB20"/>
    <mergeCell ref="B21:AB21"/>
    <mergeCell ref="B22:AB22"/>
  </mergeCells>
  <phoneticPr fontId="1"/>
  <dataValidations count="2">
    <dataValidation type="list" allowBlank="1" showDropDown="1" showInputMessage="1" showErrorMessage="1" sqref="D2:AB11" xr:uid="{00000000-0002-0000-09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900-000001000000}">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1"/>
  </sheetPr>
  <dimension ref="A1:AD193"/>
  <sheetViews>
    <sheetView workbookViewId="0">
      <selection sqref="A1:XFD1048576"/>
    </sheetView>
  </sheetViews>
  <sheetFormatPr defaultRowHeight="13.5" x14ac:dyDescent="0.15"/>
  <cols>
    <col min="1" max="1" width="13.5" style="2" customWidth="1"/>
    <col min="2" max="2" width="79.125" style="2" customWidth="1"/>
    <col min="3" max="3" width="9.375" style="2" customWidth="1"/>
    <col min="4" max="28" width="4.125" style="2" customWidth="1"/>
    <col min="29" max="16384" width="9" style="2"/>
  </cols>
  <sheetData>
    <row r="1" spans="1:30" ht="85.5" customHeight="1" x14ac:dyDescent="0.15">
      <c r="A1" s="19" t="str">
        <f ca="1">MID(CELL("filename",A1),FIND("[",CELL("filename",A1))+1,3)</f>
        <v>９－２</v>
      </c>
      <c r="B1" s="20" t="str">
        <f ca="1">RIGHT(CELL("filename",B1),LEN(CELL("filename",B1))-FIND("]",CELL("filename",B1)))</f>
        <v>技家</v>
      </c>
      <c r="C1" s="21" t="s">
        <v>63</v>
      </c>
      <c r="D1" s="22" t="str">
        <f>A15</f>
        <v>池田 光之介</v>
      </c>
      <c r="E1" s="22" t="str">
        <f>A16</f>
        <v>上原 光</v>
      </c>
      <c r="F1" s="22" t="str">
        <f>A17</f>
        <v>大山 実日子</v>
      </c>
      <c r="G1" s="22" t="str">
        <f>A18</f>
        <v>窪田 朋子</v>
      </c>
      <c r="H1" s="22" t="str">
        <f>A19</f>
        <v>小林 晴嶺</v>
      </c>
      <c r="I1" s="22" t="str">
        <f>A20</f>
        <v>大工原 光輝</v>
      </c>
      <c r="J1" s="22" t="str">
        <f>A21</f>
        <v>橘 くるみ</v>
      </c>
      <c r="K1" s="22" t="str">
        <f>A22</f>
        <v>等々力 悠人</v>
      </c>
      <c r="L1" s="22" t="str">
        <f>A23</f>
        <v>中島 麟香</v>
      </c>
      <c r="M1" s="22" t="str">
        <f>A24</f>
        <v>新村 亮太</v>
      </c>
      <c r="N1" s="22" t="str">
        <f>A25</f>
        <v>伏見 真人</v>
      </c>
      <c r="O1" s="22" t="str">
        <f>A26</f>
        <v>松本 誠也</v>
      </c>
      <c r="P1" s="22" t="str">
        <f>A27</f>
        <v>蓑 錬太朗</v>
      </c>
      <c r="Q1" s="22" t="str">
        <f>A28</f>
        <v>宮坂 蓮</v>
      </c>
      <c r="R1" s="22" t="str">
        <f>A29</f>
        <v>百瀬 友惺</v>
      </c>
      <c r="S1" s="22" t="str">
        <f>A30</f>
        <v>山口 陽生</v>
      </c>
      <c r="T1" s="22" t="str">
        <f>A31</f>
        <v>山越 圭</v>
      </c>
      <c r="U1" s="22" t="str">
        <f>A32</f>
        <v>山崎 花峰</v>
      </c>
      <c r="V1" s="22" t="str">
        <f>A33</f>
        <v>山田 梨乃</v>
      </c>
      <c r="W1" s="22" t="str">
        <f>A34</f>
        <v>横井 杏奈</v>
      </c>
      <c r="X1" s="22" t="str">
        <f>A35</f>
        <v>吉田 莉彩</v>
      </c>
      <c r="Y1" s="22">
        <f>A36</f>
        <v>0</v>
      </c>
      <c r="Z1" s="22">
        <f>A37</f>
        <v>0</v>
      </c>
      <c r="AA1" s="22">
        <f>A38</f>
        <v>0</v>
      </c>
      <c r="AB1" s="22">
        <f>A39</f>
        <v>0</v>
      </c>
      <c r="AC1" s="23"/>
    </row>
    <row r="2" spans="1:30" ht="22.5" customHeight="1" x14ac:dyDescent="0.15">
      <c r="A2" s="152" t="s">
        <v>270</v>
      </c>
      <c r="B2" s="54" t="s">
        <v>112</v>
      </c>
      <c r="C2" s="24" t="s">
        <v>64</v>
      </c>
      <c r="D2" s="25" t="s">
        <v>271</v>
      </c>
      <c r="E2" s="25" t="s">
        <v>272</v>
      </c>
      <c r="F2" s="25" t="s">
        <v>273</v>
      </c>
      <c r="G2" s="25" t="s">
        <v>273</v>
      </c>
      <c r="H2" s="25" t="s">
        <v>274</v>
      </c>
      <c r="I2" s="25" t="s">
        <v>274</v>
      </c>
      <c r="J2" s="25" t="s">
        <v>273</v>
      </c>
      <c r="K2" s="25" t="s">
        <v>271</v>
      </c>
      <c r="L2" s="25" t="s">
        <v>273</v>
      </c>
      <c r="M2" s="25" t="s">
        <v>273</v>
      </c>
      <c r="N2" s="25" t="s">
        <v>273</v>
      </c>
      <c r="O2" s="25" t="s">
        <v>271</v>
      </c>
      <c r="P2" s="25" t="s">
        <v>275</v>
      </c>
      <c r="Q2" s="25" t="s">
        <v>276</v>
      </c>
      <c r="R2" s="25" t="s">
        <v>271</v>
      </c>
      <c r="S2" s="25" t="s">
        <v>271</v>
      </c>
      <c r="T2" s="25" t="s">
        <v>271</v>
      </c>
      <c r="U2" s="25" t="s">
        <v>276</v>
      </c>
      <c r="V2" s="25" t="s">
        <v>271</v>
      </c>
      <c r="W2" s="25" t="s">
        <v>273</v>
      </c>
      <c r="X2" s="25" t="s">
        <v>274</v>
      </c>
      <c r="Y2" s="25"/>
      <c r="Z2" s="25"/>
      <c r="AA2" s="25"/>
      <c r="AB2" s="25"/>
      <c r="AC2" s="26" t="s">
        <v>277</v>
      </c>
      <c r="AD2" s="26">
        <v>1</v>
      </c>
    </row>
    <row r="3" spans="1:30" ht="22.5" customHeight="1" x14ac:dyDescent="0.15">
      <c r="A3" s="153"/>
      <c r="B3" s="54" t="s">
        <v>113</v>
      </c>
      <c r="C3" s="24" t="s">
        <v>64</v>
      </c>
      <c r="D3" s="25" t="s">
        <v>274</v>
      </c>
      <c r="E3" s="25" t="s">
        <v>276</v>
      </c>
      <c r="F3" s="25" t="s">
        <v>273</v>
      </c>
      <c r="G3" s="25" t="s">
        <v>274</v>
      </c>
      <c r="H3" s="25" t="s">
        <v>274</v>
      </c>
      <c r="I3" s="25" t="s">
        <v>274</v>
      </c>
      <c r="J3" s="25" t="s">
        <v>274</v>
      </c>
      <c r="K3" s="25" t="s">
        <v>276</v>
      </c>
      <c r="L3" s="25" t="s">
        <v>274</v>
      </c>
      <c r="M3" s="25" t="s">
        <v>274</v>
      </c>
      <c r="N3" s="25" t="s">
        <v>274</v>
      </c>
      <c r="O3" s="25" t="s">
        <v>276</v>
      </c>
      <c r="P3" s="25" t="s">
        <v>276</v>
      </c>
      <c r="Q3" s="25" t="s">
        <v>276</v>
      </c>
      <c r="R3" s="25" t="s">
        <v>274</v>
      </c>
      <c r="S3" s="25" t="s">
        <v>274</v>
      </c>
      <c r="T3" s="25" t="s">
        <v>274</v>
      </c>
      <c r="U3" s="25" t="s">
        <v>274</v>
      </c>
      <c r="V3" s="25" t="s">
        <v>274</v>
      </c>
      <c r="W3" s="25" t="s">
        <v>274</v>
      </c>
      <c r="X3" s="25" t="s">
        <v>274</v>
      </c>
      <c r="Y3" s="25"/>
      <c r="Z3" s="25"/>
      <c r="AA3" s="25"/>
      <c r="AB3" s="25"/>
      <c r="AC3" s="26" t="s">
        <v>240</v>
      </c>
      <c r="AD3" s="26">
        <v>2</v>
      </c>
    </row>
    <row r="4" spans="1:30" ht="22.5" customHeight="1" x14ac:dyDescent="0.15">
      <c r="A4" s="153"/>
      <c r="B4" s="54" t="s">
        <v>53</v>
      </c>
      <c r="C4" s="24" t="s">
        <v>64</v>
      </c>
      <c r="D4" s="25" t="s">
        <v>276</v>
      </c>
      <c r="E4" s="25" t="s">
        <v>275</v>
      </c>
      <c r="F4" s="25" t="s">
        <v>273</v>
      </c>
      <c r="G4" s="25" t="s">
        <v>274</v>
      </c>
      <c r="H4" s="25" t="s">
        <v>273</v>
      </c>
      <c r="I4" s="25" t="s">
        <v>274</v>
      </c>
      <c r="J4" s="25" t="s">
        <v>274</v>
      </c>
      <c r="K4" s="25" t="s">
        <v>276</v>
      </c>
      <c r="L4" s="25" t="s">
        <v>276</v>
      </c>
      <c r="M4" s="25" t="s">
        <v>276</v>
      </c>
      <c r="N4" s="25" t="s">
        <v>274</v>
      </c>
      <c r="O4" s="25" t="s">
        <v>276</v>
      </c>
      <c r="P4" s="25" t="s">
        <v>274</v>
      </c>
      <c r="Q4" s="25" t="s">
        <v>274</v>
      </c>
      <c r="R4" s="25" t="s">
        <v>274</v>
      </c>
      <c r="S4" s="25" t="s">
        <v>274</v>
      </c>
      <c r="T4" s="25" t="s">
        <v>274</v>
      </c>
      <c r="U4" s="25" t="s">
        <v>274</v>
      </c>
      <c r="V4" s="25" t="s">
        <v>274</v>
      </c>
      <c r="W4" s="25" t="s">
        <v>274</v>
      </c>
      <c r="X4" s="25" t="s">
        <v>274</v>
      </c>
      <c r="Y4" s="25"/>
      <c r="Z4" s="25"/>
      <c r="AA4" s="25"/>
      <c r="AB4" s="25"/>
      <c r="AC4" s="26" t="s">
        <v>243</v>
      </c>
      <c r="AD4" s="26">
        <v>3</v>
      </c>
    </row>
    <row r="5" spans="1:30" ht="22.5" customHeight="1" x14ac:dyDescent="0.15">
      <c r="A5" s="153"/>
      <c r="B5" s="74"/>
      <c r="C5" s="24" t="s">
        <v>64</v>
      </c>
      <c r="D5" s="25"/>
      <c r="E5" s="25"/>
      <c r="F5" s="25"/>
      <c r="G5" s="25"/>
      <c r="H5" s="25"/>
      <c r="I5" s="25"/>
      <c r="J5" s="25"/>
      <c r="K5" s="25"/>
      <c r="L5" s="25"/>
      <c r="M5" s="25"/>
      <c r="N5" s="25"/>
      <c r="O5" s="25"/>
      <c r="P5" s="25"/>
      <c r="Q5" s="25"/>
      <c r="R5" s="25"/>
      <c r="S5" s="25"/>
      <c r="T5" s="25"/>
      <c r="U5" s="25"/>
      <c r="V5" s="25"/>
      <c r="W5" s="25"/>
      <c r="X5" s="25"/>
      <c r="Y5" s="25"/>
      <c r="Z5" s="25"/>
      <c r="AA5" s="25"/>
      <c r="AB5" s="25"/>
      <c r="AC5" s="26" t="s">
        <v>245</v>
      </c>
      <c r="AD5" s="26">
        <v>4</v>
      </c>
    </row>
    <row r="6" spans="1:30" ht="22.5" customHeight="1" x14ac:dyDescent="0.15">
      <c r="A6" s="153"/>
      <c r="B6" s="74"/>
      <c r="C6" s="24" t="s">
        <v>64</v>
      </c>
      <c r="D6" s="25"/>
      <c r="E6" s="25"/>
      <c r="F6" s="25"/>
      <c r="G6" s="25"/>
      <c r="H6" s="25"/>
      <c r="I6" s="25"/>
      <c r="J6" s="25"/>
      <c r="K6" s="25"/>
      <c r="L6" s="25"/>
      <c r="M6" s="25"/>
      <c r="N6" s="25"/>
      <c r="O6" s="25"/>
      <c r="P6" s="25"/>
      <c r="Q6" s="25"/>
      <c r="R6" s="25"/>
      <c r="S6" s="25"/>
      <c r="T6" s="25"/>
      <c r="U6" s="25"/>
      <c r="V6" s="25"/>
      <c r="W6" s="25"/>
      <c r="X6" s="25"/>
      <c r="Y6" s="25"/>
      <c r="Z6" s="25"/>
      <c r="AA6" s="25"/>
      <c r="AB6" s="25"/>
      <c r="AC6" s="26"/>
      <c r="AD6" s="26">
        <v>5</v>
      </c>
    </row>
    <row r="7" spans="1:30" ht="22.5" customHeight="1" x14ac:dyDescent="0.15">
      <c r="A7" s="153"/>
      <c r="B7" s="74"/>
      <c r="C7" s="24" t="s">
        <v>64</v>
      </c>
      <c r="D7" s="25"/>
      <c r="E7" s="25"/>
      <c r="F7" s="25"/>
      <c r="G7" s="25"/>
      <c r="H7" s="25"/>
      <c r="I7" s="25"/>
      <c r="J7" s="25"/>
      <c r="K7" s="25"/>
      <c r="L7" s="25"/>
      <c r="M7" s="25"/>
      <c r="N7" s="25"/>
      <c r="O7" s="25"/>
      <c r="P7" s="25"/>
      <c r="Q7" s="25"/>
      <c r="R7" s="25"/>
      <c r="S7" s="25"/>
      <c r="T7" s="25"/>
      <c r="U7" s="25"/>
      <c r="V7" s="25"/>
      <c r="W7" s="25"/>
      <c r="X7" s="25"/>
      <c r="Y7" s="25"/>
      <c r="Z7" s="25"/>
      <c r="AA7" s="25"/>
      <c r="AB7" s="25"/>
      <c r="AC7" s="26"/>
      <c r="AD7" s="26" t="s">
        <v>245</v>
      </c>
    </row>
    <row r="8" spans="1:30" ht="22.5" customHeight="1" x14ac:dyDescent="0.15">
      <c r="A8" s="153"/>
      <c r="B8" s="74"/>
      <c r="C8" s="24" t="s">
        <v>64</v>
      </c>
      <c r="D8" s="25"/>
      <c r="E8" s="25"/>
      <c r="F8" s="25"/>
      <c r="G8" s="25"/>
      <c r="H8" s="25"/>
      <c r="I8" s="25"/>
      <c r="J8" s="25"/>
      <c r="K8" s="25"/>
      <c r="L8" s="25"/>
      <c r="M8" s="25"/>
      <c r="N8" s="25"/>
      <c r="O8" s="25"/>
      <c r="P8" s="25"/>
      <c r="Q8" s="25"/>
      <c r="R8" s="25"/>
      <c r="S8" s="25"/>
      <c r="T8" s="25"/>
      <c r="U8" s="25"/>
      <c r="V8" s="25"/>
      <c r="W8" s="25"/>
      <c r="X8" s="25"/>
      <c r="Y8" s="25"/>
      <c r="Z8" s="25"/>
      <c r="AA8" s="25"/>
      <c r="AB8" s="25"/>
    </row>
    <row r="9" spans="1:30" ht="22.5" customHeight="1" x14ac:dyDescent="0.15">
      <c r="A9" s="153"/>
      <c r="B9" s="74"/>
      <c r="C9" s="24" t="s">
        <v>64</v>
      </c>
      <c r="D9" s="25"/>
      <c r="E9" s="25"/>
      <c r="F9" s="25"/>
      <c r="G9" s="25"/>
      <c r="H9" s="25"/>
      <c r="I9" s="25"/>
      <c r="J9" s="25"/>
      <c r="K9" s="25"/>
      <c r="L9" s="25"/>
      <c r="M9" s="25"/>
      <c r="N9" s="25"/>
      <c r="O9" s="25"/>
      <c r="P9" s="25"/>
      <c r="Q9" s="25"/>
      <c r="R9" s="25"/>
      <c r="S9" s="25"/>
      <c r="T9" s="25"/>
      <c r="U9" s="25"/>
      <c r="V9" s="25"/>
      <c r="W9" s="25"/>
      <c r="X9" s="25"/>
      <c r="Y9" s="25"/>
      <c r="Z9" s="25"/>
      <c r="AA9" s="25"/>
      <c r="AB9" s="25"/>
    </row>
    <row r="10" spans="1:30" ht="22.5" customHeight="1" x14ac:dyDescent="0.15">
      <c r="A10" s="153"/>
      <c r="B10" s="74"/>
      <c r="C10" s="24" t="s">
        <v>64</v>
      </c>
      <c r="D10" s="25"/>
      <c r="E10" s="25"/>
      <c r="F10" s="25"/>
      <c r="G10" s="25"/>
      <c r="H10" s="25"/>
      <c r="I10" s="25"/>
      <c r="J10" s="25"/>
      <c r="K10" s="25"/>
      <c r="L10" s="25"/>
      <c r="M10" s="25"/>
      <c r="N10" s="25"/>
      <c r="O10" s="25"/>
      <c r="P10" s="25"/>
      <c r="Q10" s="25"/>
      <c r="R10" s="25"/>
      <c r="S10" s="25"/>
      <c r="T10" s="25"/>
      <c r="U10" s="25"/>
      <c r="V10" s="25"/>
      <c r="W10" s="25"/>
      <c r="X10" s="25"/>
      <c r="Y10" s="25"/>
      <c r="Z10" s="25"/>
      <c r="AA10" s="25"/>
      <c r="AB10" s="25"/>
    </row>
    <row r="11" spans="1:30" ht="22.5" customHeight="1" x14ac:dyDescent="0.15">
      <c r="A11" s="153"/>
      <c r="B11" s="74"/>
      <c r="C11" s="24" t="s">
        <v>64</v>
      </c>
      <c r="D11" s="25"/>
      <c r="E11" s="25"/>
      <c r="F11" s="25"/>
      <c r="G11" s="25"/>
      <c r="H11" s="25"/>
      <c r="I11" s="25"/>
      <c r="J11" s="25"/>
      <c r="K11" s="25"/>
      <c r="L11" s="25"/>
      <c r="M11" s="25"/>
      <c r="N11" s="25"/>
      <c r="O11" s="25"/>
      <c r="P11" s="25"/>
      <c r="Q11" s="25"/>
      <c r="R11" s="25"/>
      <c r="S11" s="25"/>
      <c r="T11" s="25"/>
      <c r="U11" s="25"/>
      <c r="V11" s="25"/>
      <c r="W11" s="25"/>
      <c r="X11" s="25"/>
      <c r="Y11" s="25"/>
      <c r="Z11" s="25"/>
      <c r="AA11" s="25"/>
      <c r="AB11" s="25"/>
    </row>
    <row r="12" spans="1:30" ht="30" customHeight="1" x14ac:dyDescent="0.15">
      <c r="A12" s="154"/>
      <c r="B12" s="27"/>
      <c r="C12" s="75" t="s">
        <v>65</v>
      </c>
      <c r="D12" s="25">
        <v>3</v>
      </c>
      <c r="E12" s="25">
        <v>2</v>
      </c>
      <c r="F12" s="25">
        <v>5</v>
      </c>
      <c r="G12" s="25">
        <v>5</v>
      </c>
      <c r="H12" s="25">
        <v>5</v>
      </c>
      <c r="I12" s="25">
        <v>5</v>
      </c>
      <c r="J12" s="25">
        <v>5</v>
      </c>
      <c r="K12" s="25">
        <v>3</v>
      </c>
      <c r="L12" s="25">
        <v>4</v>
      </c>
      <c r="M12" s="25">
        <v>4</v>
      </c>
      <c r="N12" s="25">
        <v>5</v>
      </c>
      <c r="O12" s="25">
        <v>3</v>
      </c>
      <c r="P12" s="25">
        <v>3</v>
      </c>
      <c r="Q12" s="25">
        <v>3</v>
      </c>
      <c r="R12" s="25">
        <v>4</v>
      </c>
      <c r="S12" s="25">
        <v>4</v>
      </c>
      <c r="T12" s="25">
        <v>4</v>
      </c>
      <c r="U12" s="25">
        <v>4</v>
      </c>
      <c r="V12" s="25">
        <v>4</v>
      </c>
      <c r="W12" s="25">
        <v>5</v>
      </c>
      <c r="X12" s="25">
        <v>5</v>
      </c>
      <c r="Y12" s="25"/>
      <c r="Z12" s="25"/>
      <c r="AA12" s="25"/>
      <c r="AB12" s="25"/>
    </row>
    <row r="13" spans="1:30" ht="26.25" customHeight="1" x14ac:dyDescent="0.15">
      <c r="A13" s="28"/>
      <c r="B13" s="28"/>
      <c r="C13" s="73" t="s">
        <v>49</v>
      </c>
      <c r="D13" s="25"/>
      <c r="E13" s="25"/>
      <c r="F13" s="25"/>
      <c r="G13" s="25"/>
      <c r="H13" s="25"/>
      <c r="I13" s="25"/>
      <c r="J13" s="25"/>
      <c r="K13" s="25"/>
      <c r="L13" s="25"/>
      <c r="M13" s="25"/>
      <c r="N13" s="25"/>
      <c r="O13" s="25"/>
      <c r="P13" s="25"/>
      <c r="Q13" s="25"/>
      <c r="R13" s="25"/>
      <c r="S13" s="25"/>
      <c r="T13" s="25"/>
      <c r="U13" s="25"/>
      <c r="V13" s="25"/>
      <c r="W13" s="25"/>
      <c r="X13" s="25"/>
      <c r="Y13" s="25"/>
      <c r="Z13" s="25"/>
      <c r="AA13" s="25"/>
      <c r="AB13" s="25"/>
    </row>
    <row r="14" spans="1:30" ht="22.5" customHeight="1" x14ac:dyDescent="0.15">
      <c r="A14" s="29" t="s">
        <v>20</v>
      </c>
      <c r="B14" s="158" t="s">
        <v>66</v>
      </c>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60"/>
    </row>
    <row r="15" spans="1:30" ht="59.25" customHeight="1" x14ac:dyDescent="0.15">
      <c r="A15" s="30" t="s">
        <v>67</v>
      </c>
      <c r="B15" s="155" t="s">
        <v>114</v>
      </c>
      <c r="C15" s="156"/>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7"/>
    </row>
    <row r="16" spans="1:30" ht="59.25" customHeight="1" x14ac:dyDescent="0.15">
      <c r="A16" s="30" t="s">
        <v>68</v>
      </c>
      <c r="B16" s="155" t="s">
        <v>278</v>
      </c>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59.25" customHeight="1" x14ac:dyDescent="0.15">
      <c r="A17" s="30" t="s">
        <v>69</v>
      </c>
      <c r="B17" s="155"/>
      <c r="C17" s="156"/>
      <c r="D17" s="156"/>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7"/>
    </row>
    <row r="18" spans="1:28" ht="59.25" customHeight="1" x14ac:dyDescent="0.15">
      <c r="A18" s="30" t="s">
        <v>70</v>
      </c>
      <c r="B18" s="155"/>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7"/>
    </row>
    <row r="19" spans="1:28" ht="59.25" customHeight="1" x14ac:dyDescent="0.15">
      <c r="A19" s="30" t="s">
        <v>71</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59.25" customHeight="1" x14ac:dyDescent="0.15">
      <c r="A20" s="30" t="s">
        <v>72</v>
      </c>
      <c r="B20" s="155"/>
      <c r="C20" s="156"/>
      <c r="D20" s="156"/>
      <c r="E20" s="156"/>
      <c r="F20" s="156"/>
      <c r="G20" s="156"/>
      <c r="H20" s="156"/>
      <c r="I20" s="156"/>
      <c r="J20" s="156"/>
      <c r="K20" s="156"/>
      <c r="L20" s="156"/>
      <c r="M20" s="156"/>
      <c r="N20" s="156"/>
      <c r="O20" s="156"/>
      <c r="P20" s="156"/>
      <c r="Q20" s="156"/>
      <c r="R20" s="156"/>
      <c r="S20" s="156"/>
      <c r="T20" s="156"/>
      <c r="U20" s="156"/>
      <c r="V20" s="156"/>
      <c r="W20" s="156"/>
      <c r="X20" s="156"/>
      <c r="Y20" s="156"/>
      <c r="Z20" s="156"/>
      <c r="AA20" s="156"/>
      <c r="AB20" s="157"/>
    </row>
    <row r="21" spans="1:28" ht="59.25" customHeight="1" x14ac:dyDescent="0.15">
      <c r="A21" s="30" t="s">
        <v>73</v>
      </c>
      <c r="B21" s="155"/>
      <c r="C21" s="156"/>
      <c r="D21" s="156"/>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7"/>
    </row>
    <row r="22" spans="1:28" ht="59.25" customHeight="1" x14ac:dyDescent="0.15">
      <c r="A22" s="30" t="s">
        <v>74</v>
      </c>
      <c r="B22" s="155"/>
      <c r="C22" s="156"/>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156"/>
      <c r="AB22" s="157"/>
    </row>
    <row r="23" spans="1:28" ht="59.25" customHeight="1" x14ac:dyDescent="0.15">
      <c r="A23" s="30" t="s">
        <v>75</v>
      </c>
      <c r="B23" s="155"/>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7"/>
    </row>
    <row r="24" spans="1:28" ht="59.25" customHeight="1" x14ac:dyDescent="0.15">
      <c r="A24" s="30" t="s">
        <v>76</v>
      </c>
      <c r="B24" s="155"/>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7"/>
    </row>
    <row r="25" spans="1:28" ht="59.25" customHeight="1" x14ac:dyDescent="0.15">
      <c r="A25" s="30" t="s">
        <v>77</v>
      </c>
      <c r="B25" s="155"/>
      <c r="C25" s="156"/>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7"/>
    </row>
    <row r="26" spans="1:28" ht="59.25" customHeight="1" x14ac:dyDescent="0.15">
      <c r="A26" s="30" t="s">
        <v>78</v>
      </c>
      <c r="B26" s="155"/>
      <c r="C26" s="156"/>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6"/>
      <c r="AB26" s="157"/>
    </row>
    <row r="27" spans="1:28" ht="59.25" customHeight="1" x14ac:dyDescent="0.15">
      <c r="A27" s="30" t="s">
        <v>79</v>
      </c>
      <c r="B27" s="155" t="s">
        <v>115</v>
      </c>
      <c r="C27" s="156"/>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7"/>
    </row>
    <row r="28" spans="1:28" ht="59.25" customHeight="1" x14ac:dyDescent="0.15">
      <c r="A28" s="30" t="s">
        <v>80</v>
      </c>
      <c r="B28" s="155"/>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7"/>
    </row>
    <row r="29" spans="1:28" ht="59.25" customHeight="1" x14ac:dyDescent="0.15">
      <c r="A29" s="30" t="s">
        <v>81</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59.25" customHeight="1" x14ac:dyDescent="0.15">
      <c r="A30" s="30" t="s">
        <v>82</v>
      </c>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59.25" customHeight="1" x14ac:dyDescent="0.15">
      <c r="A31" s="30" t="s">
        <v>83</v>
      </c>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59.25" customHeight="1" x14ac:dyDescent="0.15">
      <c r="A32" s="30" t="s">
        <v>84</v>
      </c>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59.25" customHeight="1" x14ac:dyDescent="0.15">
      <c r="A33" s="30" t="s">
        <v>85</v>
      </c>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59.25" customHeight="1" x14ac:dyDescent="0.15">
      <c r="A34" s="30" t="s">
        <v>86</v>
      </c>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59.25" customHeight="1" x14ac:dyDescent="0.15">
      <c r="A35" s="30" t="s">
        <v>87</v>
      </c>
      <c r="B35" s="15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59.25" customHeight="1" x14ac:dyDescent="0.15">
      <c r="A36" s="30"/>
      <c r="B36" s="155"/>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59.25" customHeight="1" x14ac:dyDescent="0.15">
      <c r="A37" s="30"/>
      <c r="B37" s="155"/>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59.25" customHeight="1" x14ac:dyDescent="0.15">
      <c r="A38" s="30"/>
      <c r="B38" s="155"/>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59.25" customHeight="1" x14ac:dyDescent="0.15">
      <c r="A39" s="30"/>
      <c r="B39" s="155"/>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row r="41" spans="1:28" ht="22.5" customHeight="1" x14ac:dyDescent="0.15"/>
    <row r="42" spans="1:28" ht="22.5" customHeight="1" x14ac:dyDescent="0.15"/>
    <row r="43" spans="1:28" ht="2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row r="180" ht="17.25" customHeight="1" x14ac:dyDescent="0.15"/>
    <row r="181" ht="17.25" customHeight="1" x14ac:dyDescent="0.15"/>
    <row r="182" ht="17.25" customHeight="1" x14ac:dyDescent="0.15"/>
    <row r="183" ht="17.25" customHeight="1" x14ac:dyDescent="0.15"/>
    <row r="184" ht="17.25" customHeight="1" x14ac:dyDescent="0.15"/>
    <row r="185" ht="17.25" customHeight="1" x14ac:dyDescent="0.15"/>
    <row r="186" ht="17.25" customHeight="1" x14ac:dyDescent="0.15"/>
    <row r="187" ht="17.25" customHeight="1" x14ac:dyDescent="0.15"/>
    <row r="188" ht="17.25" customHeight="1" x14ac:dyDescent="0.15"/>
    <row r="189" ht="17.25" customHeight="1" x14ac:dyDescent="0.15"/>
    <row r="190" ht="17.25" customHeight="1" x14ac:dyDescent="0.15"/>
    <row r="191" ht="17.25" customHeight="1" x14ac:dyDescent="0.15"/>
    <row r="192" ht="17.25" customHeight="1" x14ac:dyDescent="0.15"/>
    <row r="193" ht="17.25" customHeight="1" x14ac:dyDescent="0.15"/>
  </sheetData>
  <mergeCells count="27">
    <mergeCell ref="B39:AB39"/>
    <mergeCell ref="B33:AB33"/>
    <mergeCell ref="B34:AB34"/>
    <mergeCell ref="B35:AB35"/>
    <mergeCell ref="B36:AB36"/>
    <mergeCell ref="B37:AB37"/>
    <mergeCell ref="B22:AB22"/>
    <mergeCell ref="B23:AB23"/>
    <mergeCell ref="B24:AB24"/>
    <mergeCell ref="B25:AB25"/>
    <mergeCell ref="B38:AB38"/>
    <mergeCell ref="B14:AB14"/>
    <mergeCell ref="B15:AB15"/>
    <mergeCell ref="A2:A12"/>
    <mergeCell ref="B31:AB31"/>
    <mergeCell ref="B32:AB32"/>
    <mergeCell ref="B26:AB26"/>
    <mergeCell ref="B27:AB27"/>
    <mergeCell ref="B28:AB28"/>
    <mergeCell ref="B29:AB29"/>
    <mergeCell ref="B30:AB30"/>
    <mergeCell ref="B16:AB16"/>
    <mergeCell ref="B17:AB17"/>
    <mergeCell ref="B18:AB18"/>
    <mergeCell ref="B19:AB19"/>
    <mergeCell ref="B20:AB20"/>
    <mergeCell ref="B21:AB21"/>
  </mergeCells>
  <phoneticPr fontId="1"/>
  <dataValidations count="2">
    <dataValidation type="list" allowBlank="1" showDropDown="1" showInputMessage="1" showErrorMessage="1" sqref="D2:AB11" xr:uid="{00000000-0002-0000-0A00-000000000000}">
      <formula1>$AC$2:$AC$5</formula1>
    </dataValidation>
    <dataValidation type="list" allowBlank="1" showDropDown="1" showInputMessage="1" showErrorMessage="1" errorTitle="文字エラー" error="半角数字1～5か、評価不能の場合は-（半角マイナス）を入れて下さい。" sqref="D12:AB13" xr:uid="{00000000-0002-0000-0A00-000001000000}">
      <formula1>$AD$2:$AD$7</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1"/>
  </sheetPr>
  <dimension ref="A1:C179"/>
  <sheetViews>
    <sheetView workbookViewId="0">
      <selection sqref="A1:XFD1048576"/>
    </sheetView>
  </sheetViews>
  <sheetFormatPr defaultRowHeight="13.5" x14ac:dyDescent="0.15"/>
  <cols>
    <col min="1" max="1" width="13.5" style="2" customWidth="1"/>
    <col min="2" max="2" width="147.75" style="2" customWidth="1"/>
    <col min="3" max="16384" width="9" style="2"/>
  </cols>
  <sheetData>
    <row r="1" spans="1:3" ht="27.75" customHeight="1" x14ac:dyDescent="0.15">
      <c r="A1" s="19" t="str">
        <f ca="1">MID(CELL("filename",A1),FIND("[",CELL("filename",A1))+1,3)</f>
        <v>９－２</v>
      </c>
      <c r="B1" s="20" t="str">
        <f ca="1">RIGHT(CELL("filename",B1),LEN(CELL("filename",B1))-FIND("]",CELL("filename",B1)))</f>
        <v>道徳</v>
      </c>
      <c r="C1" s="31" t="s">
        <v>21</v>
      </c>
    </row>
    <row r="2" spans="1:3" ht="22.5" customHeight="1" x14ac:dyDescent="0.15">
      <c r="A2" s="29" t="s">
        <v>20</v>
      </c>
      <c r="B2" s="29" t="s">
        <v>3</v>
      </c>
      <c r="C2" s="2" t="s">
        <v>279</v>
      </c>
    </row>
    <row r="3" spans="1:3" ht="59.25" customHeight="1" x14ac:dyDescent="0.15">
      <c r="A3" s="30" t="s">
        <v>67</v>
      </c>
      <c r="B3" s="32" t="s">
        <v>116</v>
      </c>
      <c r="C3" s="2">
        <f>LEN(B3)</f>
        <v>187</v>
      </c>
    </row>
    <row r="4" spans="1:3" ht="59.25" customHeight="1" x14ac:dyDescent="0.15">
      <c r="A4" s="30" t="s">
        <v>68</v>
      </c>
      <c r="B4" s="32" t="s">
        <v>117</v>
      </c>
      <c r="C4" s="2">
        <f t="shared" ref="C4:C27" si="0">LEN(B4)</f>
        <v>196</v>
      </c>
    </row>
    <row r="5" spans="1:3" ht="59.25" customHeight="1" x14ac:dyDescent="0.15">
      <c r="A5" s="30" t="s">
        <v>69</v>
      </c>
      <c r="B5" s="32" t="s">
        <v>118</v>
      </c>
      <c r="C5" s="2">
        <f t="shared" si="0"/>
        <v>200</v>
      </c>
    </row>
    <row r="6" spans="1:3" ht="59.25" customHeight="1" x14ac:dyDescent="0.15">
      <c r="A6" s="30" t="s">
        <v>70</v>
      </c>
      <c r="B6" s="32" t="s">
        <v>119</v>
      </c>
      <c r="C6" s="2">
        <f t="shared" si="0"/>
        <v>185</v>
      </c>
    </row>
    <row r="7" spans="1:3" ht="59.25" customHeight="1" x14ac:dyDescent="0.15">
      <c r="A7" s="30" t="s">
        <v>71</v>
      </c>
      <c r="B7" s="32" t="s">
        <v>120</v>
      </c>
      <c r="C7" s="2">
        <f t="shared" si="0"/>
        <v>196</v>
      </c>
    </row>
    <row r="8" spans="1:3" ht="59.25" customHeight="1" x14ac:dyDescent="0.15">
      <c r="A8" s="30" t="s">
        <v>72</v>
      </c>
      <c r="B8" s="32" t="s">
        <v>121</v>
      </c>
      <c r="C8" s="2">
        <f t="shared" si="0"/>
        <v>193</v>
      </c>
    </row>
    <row r="9" spans="1:3" ht="59.25" customHeight="1" x14ac:dyDescent="0.15">
      <c r="A9" s="30" t="s">
        <v>73</v>
      </c>
      <c r="B9" s="32" t="s">
        <v>122</v>
      </c>
      <c r="C9" s="2">
        <f t="shared" si="0"/>
        <v>171</v>
      </c>
    </row>
    <row r="10" spans="1:3" ht="59.25" customHeight="1" x14ac:dyDescent="0.15">
      <c r="A10" s="30" t="s">
        <v>74</v>
      </c>
      <c r="B10" s="32" t="s">
        <v>123</v>
      </c>
      <c r="C10" s="2">
        <f t="shared" si="0"/>
        <v>176</v>
      </c>
    </row>
    <row r="11" spans="1:3" ht="59.25" customHeight="1" x14ac:dyDescent="0.15">
      <c r="A11" s="30" t="s">
        <v>75</v>
      </c>
      <c r="B11" s="32" t="s">
        <v>124</v>
      </c>
      <c r="C11" s="2">
        <f t="shared" si="0"/>
        <v>171</v>
      </c>
    </row>
    <row r="12" spans="1:3" ht="59.25" customHeight="1" x14ac:dyDescent="0.15">
      <c r="A12" s="30" t="s">
        <v>76</v>
      </c>
      <c r="B12" s="32" t="s">
        <v>125</v>
      </c>
      <c r="C12" s="2">
        <f t="shared" si="0"/>
        <v>197</v>
      </c>
    </row>
    <row r="13" spans="1:3" ht="59.25" customHeight="1" x14ac:dyDescent="0.15">
      <c r="A13" s="30" t="s">
        <v>77</v>
      </c>
      <c r="B13" s="32" t="s">
        <v>126</v>
      </c>
      <c r="C13" s="2">
        <f t="shared" si="0"/>
        <v>179</v>
      </c>
    </row>
    <row r="14" spans="1:3" ht="59.25" customHeight="1" x14ac:dyDescent="0.15">
      <c r="A14" s="30" t="s">
        <v>78</v>
      </c>
      <c r="B14" s="32" t="s">
        <v>127</v>
      </c>
      <c r="C14" s="2">
        <f t="shared" si="0"/>
        <v>171</v>
      </c>
    </row>
    <row r="15" spans="1:3" ht="59.25" customHeight="1" x14ac:dyDescent="0.15">
      <c r="A15" s="30" t="s">
        <v>79</v>
      </c>
      <c r="B15" s="32" t="s">
        <v>128</v>
      </c>
      <c r="C15" s="2">
        <f t="shared" si="0"/>
        <v>180</v>
      </c>
    </row>
    <row r="16" spans="1:3" ht="59.25" customHeight="1" x14ac:dyDescent="0.15">
      <c r="A16" s="30" t="s">
        <v>80</v>
      </c>
      <c r="B16" s="32" t="s">
        <v>129</v>
      </c>
      <c r="C16" s="2">
        <f t="shared" si="0"/>
        <v>172</v>
      </c>
    </row>
    <row r="17" spans="1:3" ht="59.25" customHeight="1" x14ac:dyDescent="0.15">
      <c r="A17" s="30" t="s">
        <v>81</v>
      </c>
      <c r="B17" s="32" t="s">
        <v>130</v>
      </c>
      <c r="C17" s="2">
        <f t="shared" si="0"/>
        <v>200</v>
      </c>
    </row>
    <row r="18" spans="1:3" ht="59.25" customHeight="1" x14ac:dyDescent="0.15">
      <c r="A18" s="30" t="s">
        <v>82</v>
      </c>
      <c r="B18" s="32" t="s">
        <v>131</v>
      </c>
      <c r="C18" s="2">
        <f t="shared" si="0"/>
        <v>200</v>
      </c>
    </row>
    <row r="19" spans="1:3" ht="59.25" customHeight="1" x14ac:dyDescent="0.15">
      <c r="A19" s="30" t="s">
        <v>83</v>
      </c>
      <c r="B19" s="32" t="s">
        <v>132</v>
      </c>
      <c r="C19" s="2">
        <f t="shared" si="0"/>
        <v>198</v>
      </c>
    </row>
    <row r="20" spans="1:3" ht="59.25" customHeight="1" x14ac:dyDescent="0.15">
      <c r="A20" s="30" t="s">
        <v>84</v>
      </c>
      <c r="B20" s="32" t="s">
        <v>133</v>
      </c>
      <c r="C20" s="2">
        <f t="shared" si="0"/>
        <v>182</v>
      </c>
    </row>
    <row r="21" spans="1:3" ht="59.25" customHeight="1" x14ac:dyDescent="0.15">
      <c r="A21" s="30" t="s">
        <v>85</v>
      </c>
      <c r="B21" s="32" t="s">
        <v>134</v>
      </c>
      <c r="C21" s="2">
        <f t="shared" si="0"/>
        <v>181</v>
      </c>
    </row>
    <row r="22" spans="1:3" ht="59.25" customHeight="1" x14ac:dyDescent="0.15">
      <c r="A22" s="30" t="s">
        <v>86</v>
      </c>
      <c r="B22" s="32" t="s">
        <v>135</v>
      </c>
      <c r="C22" s="2">
        <f t="shared" si="0"/>
        <v>169</v>
      </c>
    </row>
    <row r="23" spans="1:3" ht="59.25" customHeight="1" x14ac:dyDescent="0.15">
      <c r="A23" s="30" t="s">
        <v>87</v>
      </c>
      <c r="B23" s="32" t="s">
        <v>136</v>
      </c>
      <c r="C23" s="2">
        <f t="shared" si="0"/>
        <v>191</v>
      </c>
    </row>
    <row r="24" spans="1:3" ht="59.25" customHeight="1" x14ac:dyDescent="0.15">
      <c r="A24" s="30"/>
      <c r="B24" s="32"/>
      <c r="C24" s="2">
        <f t="shared" si="0"/>
        <v>0</v>
      </c>
    </row>
    <row r="25" spans="1:3" ht="59.25" customHeight="1" x14ac:dyDescent="0.15">
      <c r="A25" s="30"/>
      <c r="B25" s="32"/>
      <c r="C25" s="2">
        <f t="shared" si="0"/>
        <v>0</v>
      </c>
    </row>
    <row r="26" spans="1:3" ht="59.25" customHeight="1" x14ac:dyDescent="0.15">
      <c r="A26" s="30"/>
      <c r="B26" s="32"/>
      <c r="C26" s="2">
        <f t="shared" si="0"/>
        <v>0</v>
      </c>
    </row>
    <row r="27" spans="1:3" ht="59.25" customHeight="1" x14ac:dyDescent="0.15">
      <c r="A27" s="30"/>
      <c r="B27" s="32"/>
      <c r="C27" s="2">
        <f t="shared" si="0"/>
        <v>0</v>
      </c>
    </row>
    <row r="28" spans="1:3" ht="22.5" customHeight="1" x14ac:dyDescent="0.15"/>
    <row r="29" spans="1:3" ht="22.5" customHeight="1" x14ac:dyDescent="0.15"/>
    <row r="30" spans="1:3" ht="17.25" customHeight="1" x14ac:dyDescent="0.15"/>
    <row r="31" spans="1:3" ht="17.25" customHeight="1" x14ac:dyDescent="0.15"/>
    <row r="32" spans="1:3" ht="17.25" customHeight="1" x14ac:dyDescent="0.15"/>
    <row r="33" ht="17.25" customHeight="1" x14ac:dyDescent="0.15"/>
    <row r="34" ht="17.25" customHeight="1" x14ac:dyDescent="0.15"/>
    <row r="35" ht="17.25" customHeight="1" x14ac:dyDescent="0.15"/>
    <row r="36" ht="17.25" customHeight="1" x14ac:dyDescent="0.15"/>
    <row r="37" ht="17.25" customHeight="1" x14ac:dyDescent="0.15"/>
    <row r="38" ht="17.25" customHeight="1" x14ac:dyDescent="0.15"/>
    <row r="39" ht="17.25" customHeight="1" x14ac:dyDescent="0.15"/>
    <row r="40" ht="17.25" customHeight="1" x14ac:dyDescent="0.15"/>
    <row r="41" ht="17.25" customHeight="1" x14ac:dyDescent="0.15"/>
    <row r="42" ht="17.25" customHeight="1" x14ac:dyDescent="0.15"/>
    <row r="43" ht="17.25" customHeight="1" x14ac:dyDescent="0.15"/>
    <row r="44" ht="17.25" customHeight="1" x14ac:dyDescent="0.15"/>
    <row r="45" ht="17.25" customHeight="1" x14ac:dyDescent="0.15"/>
    <row r="46" ht="17.25" customHeight="1" x14ac:dyDescent="0.15"/>
    <row r="47" ht="17.25" customHeight="1" x14ac:dyDescent="0.15"/>
    <row r="4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row r="160" ht="17.25" customHeight="1" x14ac:dyDescent="0.15"/>
    <row r="161" ht="17.25" customHeight="1" x14ac:dyDescent="0.15"/>
    <row r="162" ht="17.25" customHeight="1" x14ac:dyDescent="0.15"/>
    <row r="163" ht="17.25" customHeight="1" x14ac:dyDescent="0.15"/>
    <row r="164" ht="17.25" customHeight="1" x14ac:dyDescent="0.15"/>
    <row r="165" ht="17.25" customHeight="1" x14ac:dyDescent="0.15"/>
    <row r="166" ht="17.25" customHeight="1" x14ac:dyDescent="0.15"/>
    <row r="167" ht="17.25" customHeight="1" x14ac:dyDescent="0.15"/>
    <row r="168" ht="17.25" customHeight="1" x14ac:dyDescent="0.15"/>
    <row r="169" ht="17.25" customHeight="1" x14ac:dyDescent="0.15"/>
    <row r="170" ht="17.25" customHeight="1" x14ac:dyDescent="0.15"/>
    <row r="171" ht="17.25" customHeight="1" x14ac:dyDescent="0.15"/>
    <row r="172" ht="17.25" customHeight="1" x14ac:dyDescent="0.15"/>
    <row r="173" ht="17.25" customHeight="1" x14ac:dyDescent="0.15"/>
    <row r="174" ht="17.25" customHeight="1" x14ac:dyDescent="0.15"/>
    <row r="175" ht="17.25" customHeight="1" x14ac:dyDescent="0.15"/>
    <row r="176" ht="17.25" customHeight="1" x14ac:dyDescent="0.15"/>
    <row r="177" ht="17.25" customHeight="1" x14ac:dyDescent="0.15"/>
    <row r="178" ht="17.25" customHeight="1" x14ac:dyDescent="0.15"/>
    <row r="179" ht="17.25" customHeight="1" x14ac:dyDescent="0.15"/>
  </sheetData>
  <phoneticPr fontId="1"/>
  <conditionalFormatting sqref="C27 C3:C25">
    <cfRule type="cellIs" dxfId="8" priority="4" operator="greaterThan">
      <formula>200</formula>
    </cfRule>
    <cfRule type="cellIs" dxfId="7" priority="5" operator="lessThan">
      <formula>150</formula>
    </cfRule>
    <cfRule type="cellIs" dxfId="6" priority="6" operator="between">
      <formula>150</formula>
      <formula>200</formula>
    </cfRule>
  </conditionalFormatting>
  <conditionalFormatting sqref="C26">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1"/>
  </sheetPr>
  <dimension ref="A1:AC91"/>
  <sheetViews>
    <sheetView workbookViewId="0">
      <selection sqref="A1:XFD1048576"/>
    </sheetView>
  </sheetViews>
  <sheetFormatPr defaultColWidth="9" defaultRowHeight="13.5" x14ac:dyDescent="0.15"/>
  <cols>
    <col min="1" max="1" width="13.5" style="2" customWidth="1"/>
    <col min="2" max="2" width="64.5" style="2" customWidth="1"/>
    <col min="3" max="3" width="9.375" style="2" customWidth="1"/>
    <col min="4" max="28" width="4.125" style="2" customWidth="1"/>
    <col min="29" max="29" width="6.125" style="2" customWidth="1"/>
    <col min="30" max="16384" width="9" style="2"/>
  </cols>
  <sheetData>
    <row r="1" spans="1:29" ht="93.75" customHeight="1" x14ac:dyDescent="0.15">
      <c r="A1" s="33" t="str">
        <f ca="1">MID(CELL("filename",A1),FIND("[",CELL("filename",A1))+1,3)</f>
        <v>９－２</v>
      </c>
      <c r="B1" s="33" t="s">
        <v>43</v>
      </c>
      <c r="C1" s="34" t="s">
        <v>41</v>
      </c>
      <c r="D1" s="22" t="str">
        <f>A9</f>
        <v>池田 光之介</v>
      </c>
      <c r="E1" s="22" t="str">
        <f>A10</f>
        <v>上原 光</v>
      </c>
      <c r="F1" s="22" t="str">
        <f>A11</f>
        <v>大山 実日子</v>
      </c>
      <c r="G1" s="22" t="str">
        <f>A12</f>
        <v>窪田 朋子</v>
      </c>
      <c r="H1" s="22" t="str">
        <f>A13</f>
        <v>小林 晴嶺</v>
      </c>
      <c r="I1" s="22" t="str">
        <f>A14</f>
        <v>大工原 光輝</v>
      </c>
      <c r="J1" s="22" t="str">
        <f>A15</f>
        <v>橘 くるみ</v>
      </c>
      <c r="K1" s="22" t="str">
        <f>A16</f>
        <v>等々力 悠人</v>
      </c>
      <c r="L1" s="22" t="str">
        <f>A17</f>
        <v>中島 麟香</v>
      </c>
      <c r="M1" s="22" t="str">
        <f>A18</f>
        <v>新村 亮太</v>
      </c>
      <c r="N1" s="22" t="str">
        <f>A19</f>
        <v>伏見 真人</v>
      </c>
      <c r="O1" s="22" t="str">
        <f>A20</f>
        <v>松本 誠也</v>
      </c>
      <c r="P1" s="22" t="str">
        <f>A21</f>
        <v>蓑 錬太朗</v>
      </c>
      <c r="Q1" s="22" t="str">
        <f>A22</f>
        <v>宮坂 蓮</v>
      </c>
      <c r="R1" s="22" t="str">
        <f>A23</f>
        <v>百瀬 友惺</v>
      </c>
      <c r="S1" s="22" t="str">
        <f>A24</f>
        <v>山口 陽生</v>
      </c>
      <c r="T1" s="22" t="str">
        <f>A25</f>
        <v>山越 圭</v>
      </c>
      <c r="U1" s="22" t="str">
        <f>A26</f>
        <v>山崎 花峰</v>
      </c>
      <c r="V1" s="22" t="str">
        <f>A27</f>
        <v>山田 梨乃</v>
      </c>
      <c r="W1" s="22" t="str">
        <f>A28</f>
        <v>横井 杏奈</v>
      </c>
      <c r="X1" s="22" t="str">
        <f>A29</f>
        <v>吉田 莉彩</v>
      </c>
      <c r="Y1" s="22">
        <f>A30</f>
        <v>0</v>
      </c>
      <c r="Z1" s="22">
        <f>A31</f>
        <v>0</v>
      </c>
      <c r="AA1" s="22">
        <f>A32</f>
        <v>0</v>
      </c>
      <c r="AB1" s="22">
        <f>A33</f>
        <v>0</v>
      </c>
      <c r="AC1" s="23"/>
    </row>
    <row r="2" spans="1:29" ht="22.5" customHeight="1" x14ac:dyDescent="0.15">
      <c r="A2" s="161" t="s">
        <v>42</v>
      </c>
      <c r="B2" s="69" t="s">
        <v>137</v>
      </c>
      <c r="C2" s="24" t="s">
        <v>280</v>
      </c>
      <c r="D2" s="25" t="s">
        <v>281</v>
      </c>
      <c r="E2" s="25" t="s">
        <v>282</v>
      </c>
      <c r="F2" s="25" t="s">
        <v>281</v>
      </c>
      <c r="G2" s="25" t="s">
        <v>281</v>
      </c>
      <c r="H2" s="25" t="s">
        <v>28</v>
      </c>
      <c r="I2" s="25" t="s">
        <v>28</v>
      </c>
      <c r="J2" s="25" t="s">
        <v>28</v>
      </c>
      <c r="K2" s="25" t="s">
        <v>281</v>
      </c>
      <c r="L2" s="25" t="s">
        <v>28</v>
      </c>
      <c r="M2" s="25" t="s">
        <v>28</v>
      </c>
      <c r="N2" s="25" t="s">
        <v>28</v>
      </c>
      <c r="O2" s="25" t="s">
        <v>28</v>
      </c>
      <c r="P2" s="25" t="s">
        <v>283</v>
      </c>
      <c r="Q2" s="25" t="s">
        <v>28</v>
      </c>
      <c r="R2" s="25" t="s">
        <v>28</v>
      </c>
      <c r="S2" s="25" t="s">
        <v>28</v>
      </c>
      <c r="T2" s="25" t="s">
        <v>28</v>
      </c>
      <c r="U2" s="25" t="s">
        <v>28</v>
      </c>
      <c r="V2" s="25" t="s">
        <v>28</v>
      </c>
      <c r="W2" s="25" t="s">
        <v>28</v>
      </c>
      <c r="X2" s="25" t="s">
        <v>28</v>
      </c>
      <c r="Y2" s="25"/>
      <c r="Z2" s="25"/>
      <c r="AA2" s="25"/>
      <c r="AB2" s="25"/>
      <c r="AC2" s="52" t="s">
        <v>281</v>
      </c>
    </row>
    <row r="3" spans="1:29" ht="22.5" customHeight="1" x14ac:dyDescent="0.15">
      <c r="A3" s="162"/>
      <c r="B3" s="69" t="s">
        <v>138</v>
      </c>
      <c r="C3" s="70" t="s">
        <v>280</v>
      </c>
      <c r="D3" s="25" t="s">
        <v>27</v>
      </c>
      <c r="E3" s="25" t="s">
        <v>282</v>
      </c>
      <c r="F3" s="25" t="s">
        <v>281</v>
      </c>
      <c r="G3" s="25" t="s">
        <v>283</v>
      </c>
      <c r="H3" s="25" t="s">
        <v>28</v>
      </c>
      <c r="I3" s="25" t="s">
        <v>28</v>
      </c>
      <c r="J3" s="25" t="s">
        <v>28</v>
      </c>
      <c r="K3" s="25" t="s">
        <v>283</v>
      </c>
      <c r="L3" s="25" t="s">
        <v>28</v>
      </c>
      <c r="M3" s="25" t="s">
        <v>28</v>
      </c>
      <c r="N3" s="25" t="s">
        <v>28</v>
      </c>
      <c r="O3" s="25" t="s">
        <v>28</v>
      </c>
      <c r="P3" s="25" t="s">
        <v>283</v>
      </c>
      <c r="Q3" s="25" t="s">
        <v>283</v>
      </c>
      <c r="R3" s="25" t="s">
        <v>28</v>
      </c>
      <c r="S3" s="25" t="s">
        <v>28</v>
      </c>
      <c r="T3" s="25" t="s">
        <v>28</v>
      </c>
      <c r="U3" s="25" t="s">
        <v>283</v>
      </c>
      <c r="V3" s="25" t="s">
        <v>28</v>
      </c>
      <c r="W3" s="25" t="s">
        <v>28</v>
      </c>
      <c r="X3" s="25" t="s">
        <v>28</v>
      </c>
      <c r="Y3" s="25"/>
      <c r="Z3" s="25"/>
      <c r="AA3" s="25"/>
      <c r="AB3" s="25"/>
      <c r="AC3" s="52" t="s">
        <v>283</v>
      </c>
    </row>
    <row r="4" spans="1:29" ht="22.5" customHeight="1" x14ac:dyDescent="0.15">
      <c r="A4" s="162"/>
      <c r="B4" s="69" t="s">
        <v>139</v>
      </c>
      <c r="C4" s="24" t="s">
        <v>280</v>
      </c>
      <c r="D4" s="25" t="s">
        <v>27</v>
      </c>
      <c r="E4" s="25" t="s">
        <v>243</v>
      </c>
      <c r="F4" s="25" t="s">
        <v>281</v>
      </c>
      <c r="G4" s="25" t="s">
        <v>281</v>
      </c>
      <c r="H4" s="25" t="s">
        <v>28</v>
      </c>
      <c r="I4" s="25" t="s">
        <v>281</v>
      </c>
      <c r="J4" s="25" t="s">
        <v>28</v>
      </c>
      <c r="K4" s="25" t="s">
        <v>283</v>
      </c>
      <c r="L4" s="25" t="s">
        <v>281</v>
      </c>
      <c r="M4" s="25" t="s">
        <v>240</v>
      </c>
      <c r="N4" s="25" t="s">
        <v>281</v>
      </c>
      <c r="O4" s="25" t="s">
        <v>281</v>
      </c>
      <c r="P4" s="25" t="s">
        <v>283</v>
      </c>
      <c r="Q4" s="25" t="s">
        <v>281</v>
      </c>
      <c r="R4" s="25" t="s">
        <v>281</v>
      </c>
      <c r="S4" s="25" t="s">
        <v>281</v>
      </c>
      <c r="T4" s="25" t="s">
        <v>281</v>
      </c>
      <c r="U4" s="25" t="s">
        <v>239</v>
      </c>
      <c r="V4" s="25" t="s">
        <v>239</v>
      </c>
      <c r="W4" s="25" t="s">
        <v>239</v>
      </c>
      <c r="X4" s="25" t="s">
        <v>239</v>
      </c>
      <c r="Y4" s="25"/>
      <c r="Z4" s="25"/>
      <c r="AA4" s="25"/>
      <c r="AB4" s="25"/>
      <c r="AC4" s="52" t="s">
        <v>243</v>
      </c>
    </row>
    <row r="5" spans="1:29" ht="22.5" customHeight="1" x14ac:dyDescent="0.15">
      <c r="A5" s="162"/>
      <c r="B5" s="69" t="s">
        <v>140</v>
      </c>
      <c r="C5" s="70" t="s">
        <v>280</v>
      </c>
      <c r="D5" s="25" t="s">
        <v>27</v>
      </c>
      <c r="E5" s="25" t="s">
        <v>283</v>
      </c>
      <c r="F5" s="25" t="s">
        <v>239</v>
      </c>
      <c r="G5" s="25" t="s">
        <v>239</v>
      </c>
      <c r="H5" s="25" t="s">
        <v>28</v>
      </c>
      <c r="I5" s="25" t="s">
        <v>28</v>
      </c>
      <c r="J5" s="25" t="s">
        <v>281</v>
      </c>
      <c r="K5" s="25" t="s">
        <v>240</v>
      </c>
      <c r="L5" s="25" t="s">
        <v>28</v>
      </c>
      <c r="M5" s="25" t="s">
        <v>28</v>
      </c>
      <c r="N5" s="25" t="s">
        <v>28</v>
      </c>
      <c r="O5" s="25" t="s">
        <v>28</v>
      </c>
      <c r="P5" s="25" t="s">
        <v>28</v>
      </c>
      <c r="Q5" s="25" t="s">
        <v>28</v>
      </c>
      <c r="R5" s="25" t="s">
        <v>28</v>
      </c>
      <c r="S5" s="25" t="s">
        <v>28</v>
      </c>
      <c r="T5" s="25" t="s">
        <v>28</v>
      </c>
      <c r="U5" s="25" t="s">
        <v>28</v>
      </c>
      <c r="V5" s="25" t="s">
        <v>28</v>
      </c>
      <c r="W5" s="25" t="s">
        <v>28</v>
      </c>
      <c r="X5" s="25" t="s">
        <v>28</v>
      </c>
      <c r="Y5" s="25"/>
      <c r="Z5" s="25"/>
      <c r="AA5" s="25"/>
      <c r="AB5" s="25"/>
      <c r="AC5" s="52" t="s">
        <v>284</v>
      </c>
    </row>
    <row r="6" spans="1:29" ht="22.5" customHeight="1" x14ac:dyDescent="0.15">
      <c r="A6" s="162"/>
      <c r="B6" s="69" t="s">
        <v>141</v>
      </c>
      <c r="C6" s="70" t="s">
        <v>285</v>
      </c>
      <c r="D6" s="25" t="s">
        <v>27</v>
      </c>
      <c r="E6" s="25" t="s">
        <v>240</v>
      </c>
      <c r="F6" s="25" t="s">
        <v>239</v>
      </c>
      <c r="G6" s="25" t="s">
        <v>239</v>
      </c>
      <c r="H6" s="25" t="s">
        <v>28</v>
      </c>
      <c r="I6" s="25" t="s">
        <v>28</v>
      </c>
      <c r="J6" s="25" t="s">
        <v>239</v>
      </c>
      <c r="K6" s="25" t="s">
        <v>27</v>
      </c>
      <c r="L6" s="25" t="s">
        <v>28</v>
      </c>
      <c r="M6" s="25" t="s">
        <v>28</v>
      </c>
      <c r="N6" s="25" t="s">
        <v>28</v>
      </c>
      <c r="O6" s="25" t="s">
        <v>240</v>
      </c>
      <c r="P6" s="25" t="s">
        <v>28</v>
      </c>
      <c r="Q6" s="25" t="s">
        <v>28</v>
      </c>
      <c r="R6" s="25" t="s">
        <v>28</v>
      </c>
      <c r="S6" s="25" t="s">
        <v>28</v>
      </c>
      <c r="T6" s="25" t="s">
        <v>28</v>
      </c>
      <c r="U6" s="25" t="s">
        <v>28</v>
      </c>
      <c r="V6" s="25" t="s">
        <v>28</v>
      </c>
      <c r="W6" s="25" t="s">
        <v>28</v>
      </c>
      <c r="X6" s="25" t="s">
        <v>28</v>
      </c>
      <c r="Y6" s="25"/>
      <c r="Z6" s="25"/>
      <c r="AA6" s="25"/>
      <c r="AB6" s="25"/>
    </row>
    <row r="7" spans="1:29" ht="22.5" customHeight="1" x14ac:dyDescent="0.15">
      <c r="A7" s="162"/>
      <c r="B7" s="69" t="s">
        <v>142</v>
      </c>
      <c r="C7" s="24" t="s">
        <v>285</v>
      </c>
      <c r="D7" s="25" t="s">
        <v>27</v>
      </c>
      <c r="E7" s="25" t="s">
        <v>239</v>
      </c>
      <c r="F7" s="25" t="s">
        <v>28</v>
      </c>
      <c r="G7" s="25" t="s">
        <v>28</v>
      </c>
      <c r="H7" s="25" t="s">
        <v>28</v>
      </c>
      <c r="I7" s="25" t="s">
        <v>28</v>
      </c>
      <c r="J7" s="25" t="s">
        <v>28</v>
      </c>
      <c r="K7" s="25" t="s">
        <v>240</v>
      </c>
      <c r="L7" s="25" t="s">
        <v>28</v>
      </c>
      <c r="M7" s="25" t="s">
        <v>240</v>
      </c>
      <c r="N7" s="25" t="s">
        <v>28</v>
      </c>
      <c r="O7" s="25" t="s">
        <v>28</v>
      </c>
      <c r="P7" s="25" t="s">
        <v>240</v>
      </c>
      <c r="Q7" s="25" t="s">
        <v>28</v>
      </c>
      <c r="R7" s="25" t="s">
        <v>28</v>
      </c>
      <c r="S7" s="25" t="s">
        <v>28</v>
      </c>
      <c r="T7" s="25" t="s">
        <v>28</v>
      </c>
      <c r="U7" s="25" t="s">
        <v>28</v>
      </c>
      <c r="V7" s="25" t="s">
        <v>28</v>
      </c>
      <c r="W7" s="25" t="s">
        <v>28</v>
      </c>
      <c r="X7" s="25" t="s">
        <v>28</v>
      </c>
      <c r="Y7" s="25"/>
      <c r="Z7" s="25"/>
      <c r="AA7" s="25"/>
      <c r="AB7" s="25"/>
    </row>
    <row r="8" spans="1:29" ht="22.5" customHeight="1" x14ac:dyDescent="0.15">
      <c r="A8" s="163" t="s">
        <v>44</v>
      </c>
      <c r="B8" s="164"/>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5"/>
    </row>
    <row r="9" spans="1:29" ht="22.5" customHeight="1" x14ac:dyDescent="0.15">
      <c r="A9" s="35" t="s">
        <v>143</v>
      </c>
      <c r="B9" s="155" t="s">
        <v>144</v>
      </c>
      <c r="C9" s="156" t="s">
        <v>144</v>
      </c>
      <c r="D9" s="156" t="s">
        <v>144</v>
      </c>
      <c r="E9" s="156" t="s">
        <v>144</v>
      </c>
      <c r="F9" s="156" t="s">
        <v>144</v>
      </c>
      <c r="G9" s="156" t="s">
        <v>144</v>
      </c>
      <c r="H9" s="156" t="s">
        <v>144</v>
      </c>
      <c r="I9" s="156" t="s">
        <v>144</v>
      </c>
      <c r="J9" s="156" t="s">
        <v>144</v>
      </c>
      <c r="K9" s="156" t="s">
        <v>144</v>
      </c>
      <c r="L9" s="156" t="s">
        <v>144</v>
      </c>
      <c r="M9" s="156" t="s">
        <v>144</v>
      </c>
      <c r="N9" s="156" t="s">
        <v>144</v>
      </c>
      <c r="O9" s="156" t="s">
        <v>144</v>
      </c>
      <c r="P9" s="156" t="s">
        <v>144</v>
      </c>
      <c r="Q9" s="156" t="s">
        <v>144</v>
      </c>
      <c r="R9" s="156" t="s">
        <v>144</v>
      </c>
      <c r="S9" s="156" t="s">
        <v>144</v>
      </c>
      <c r="T9" s="156" t="s">
        <v>144</v>
      </c>
      <c r="U9" s="156" t="s">
        <v>144</v>
      </c>
      <c r="V9" s="156" t="s">
        <v>144</v>
      </c>
      <c r="W9" s="156" t="s">
        <v>144</v>
      </c>
      <c r="X9" s="156" t="s">
        <v>144</v>
      </c>
      <c r="Y9" s="156" t="s">
        <v>144</v>
      </c>
      <c r="Z9" s="156" t="s">
        <v>144</v>
      </c>
      <c r="AA9" s="156" t="s">
        <v>144</v>
      </c>
      <c r="AB9" s="157" t="s">
        <v>144</v>
      </c>
    </row>
    <row r="10" spans="1:29" ht="22.5" customHeight="1" x14ac:dyDescent="0.15">
      <c r="A10" s="35" t="s">
        <v>145</v>
      </c>
      <c r="B10" s="155" t="s">
        <v>146</v>
      </c>
      <c r="C10" s="156" t="s">
        <v>146</v>
      </c>
      <c r="D10" s="156" t="s">
        <v>146</v>
      </c>
      <c r="E10" s="156" t="s">
        <v>146</v>
      </c>
      <c r="F10" s="156" t="s">
        <v>146</v>
      </c>
      <c r="G10" s="156" t="s">
        <v>146</v>
      </c>
      <c r="H10" s="156" t="s">
        <v>146</v>
      </c>
      <c r="I10" s="156" t="s">
        <v>146</v>
      </c>
      <c r="J10" s="156" t="s">
        <v>146</v>
      </c>
      <c r="K10" s="156" t="s">
        <v>146</v>
      </c>
      <c r="L10" s="156" t="s">
        <v>146</v>
      </c>
      <c r="M10" s="156" t="s">
        <v>146</v>
      </c>
      <c r="N10" s="156" t="s">
        <v>146</v>
      </c>
      <c r="O10" s="156" t="s">
        <v>146</v>
      </c>
      <c r="P10" s="156" t="s">
        <v>146</v>
      </c>
      <c r="Q10" s="156" t="s">
        <v>146</v>
      </c>
      <c r="R10" s="156" t="s">
        <v>146</v>
      </c>
      <c r="S10" s="156" t="s">
        <v>146</v>
      </c>
      <c r="T10" s="156" t="s">
        <v>146</v>
      </c>
      <c r="U10" s="156" t="s">
        <v>146</v>
      </c>
      <c r="V10" s="156" t="s">
        <v>146</v>
      </c>
      <c r="W10" s="156" t="s">
        <v>146</v>
      </c>
      <c r="X10" s="156" t="s">
        <v>146</v>
      </c>
      <c r="Y10" s="156" t="s">
        <v>146</v>
      </c>
      <c r="Z10" s="156" t="s">
        <v>146</v>
      </c>
      <c r="AA10" s="156" t="s">
        <v>146</v>
      </c>
      <c r="AB10" s="157" t="s">
        <v>146</v>
      </c>
    </row>
    <row r="11" spans="1:29" ht="22.5" customHeight="1" x14ac:dyDescent="0.15">
      <c r="A11" s="35" t="s">
        <v>147</v>
      </c>
      <c r="B11" s="155" t="s">
        <v>148</v>
      </c>
      <c r="C11" s="156" t="s">
        <v>148</v>
      </c>
      <c r="D11" s="156" t="s">
        <v>148</v>
      </c>
      <c r="E11" s="156" t="s">
        <v>148</v>
      </c>
      <c r="F11" s="156" t="s">
        <v>148</v>
      </c>
      <c r="G11" s="156" t="s">
        <v>148</v>
      </c>
      <c r="H11" s="156" t="s">
        <v>148</v>
      </c>
      <c r="I11" s="156" t="s">
        <v>148</v>
      </c>
      <c r="J11" s="156" t="s">
        <v>148</v>
      </c>
      <c r="K11" s="156" t="s">
        <v>148</v>
      </c>
      <c r="L11" s="156" t="s">
        <v>148</v>
      </c>
      <c r="M11" s="156" t="s">
        <v>148</v>
      </c>
      <c r="N11" s="156" t="s">
        <v>148</v>
      </c>
      <c r="O11" s="156" t="s">
        <v>148</v>
      </c>
      <c r="P11" s="156" t="s">
        <v>148</v>
      </c>
      <c r="Q11" s="156" t="s">
        <v>148</v>
      </c>
      <c r="R11" s="156" t="s">
        <v>148</v>
      </c>
      <c r="S11" s="156" t="s">
        <v>148</v>
      </c>
      <c r="T11" s="156" t="s">
        <v>148</v>
      </c>
      <c r="U11" s="156" t="s">
        <v>148</v>
      </c>
      <c r="V11" s="156" t="s">
        <v>148</v>
      </c>
      <c r="W11" s="156" t="s">
        <v>148</v>
      </c>
      <c r="X11" s="156" t="s">
        <v>148</v>
      </c>
      <c r="Y11" s="156" t="s">
        <v>148</v>
      </c>
      <c r="Z11" s="156" t="s">
        <v>148</v>
      </c>
      <c r="AA11" s="156" t="s">
        <v>148</v>
      </c>
      <c r="AB11" s="157" t="s">
        <v>148</v>
      </c>
    </row>
    <row r="12" spans="1:29" ht="22.5" customHeight="1" x14ac:dyDescent="0.15">
      <c r="A12" s="35" t="s">
        <v>149</v>
      </c>
      <c r="B12" s="155" t="s">
        <v>150</v>
      </c>
      <c r="C12" s="156" t="s">
        <v>150</v>
      </c>
      <c r="D12" s="156" t="s">
        <v>150</v>
      </c>
      <c r="E12" s="156" t="s">
        <v>150</v>
      </c>
      <c r="F12" s="156" t="s">
        <v>150</v>
      </c>
      <c r="G12" s="156" t="s">
        <v>150</v>
      </c>
      <c r="H12" s="156" t="s">
        <v>150</v>
      </c>
      <c r="I12" s="156" t="s">
        <v>150</v>
      </c>
      <c r="J12" s="156" t="s">
        <v>150</v>
      </c>
      <c r="K12" s="156" t="s">
        <v>150</v>
      </c>
      <c r="L12" s="156" t="s">
        <v>150</v>
      </c>
      <c r="M12" s="156" t="s">
        <v>150</v>
      </c>
      <c r="N12" s="156" t="s">
        <v>150</v>
      </c>
      <c r="O12" s="156" t="s">
        <v>150</v>
      </c>
      <c r="P12" s="156" t="s">
        <v>150</v>
      </c>
      <c r="Q12" s="156" t="s">
        <v>150</v>
      </c>
      <c r="R12" s="156" t="s">
        <v>150</v>
      </c>
      <c r="S12" s="156" t="s">
        <v>150</v>
      </c>
      <c r="T12" s="156" t="s">
        <v>150</v>
      </c>
      <c r="U12" s="156" t="s">
        <v>150</v>
      </c>
      <c r="V12" s="156" t="s">
        <v>150</v>
      </c>
      <c r="W12" s="156" t="s">
        <v>150</v>
      </c>
      <c r="X12" s="156" t="s">
        <v>150</v>
      </c>
      <c r="Y12" s="156" t="s">
        <v>150</v>
      </c>
      <c r="Z12" s="156" t="s">
        <v>150</v>
      </c>
      <c r="AA12" s="156" t="s">
        <v>150</v>
      </c>
      <c r="AB12" s="157" t="s">
        <v>150</v>
      </c>
    </row>
    <row r="13" spans="1:29" ht="22.5" customHeight="1" x14ac:dyDescent="0.15">
      <c r="A13" s="35" t="s">
        <v>151</v>
      </c>
      <c r="B13" s="155" t="s">
        <v>152</v>
      </c>
      <c r="C13" s="156" t="s">
        <v>152</v>
      </c>
      <c r="D13" s="156" t="s">
        <v>152</v>
      </c>
      <c r="E13" s="156" t="s">
        <v>152</v>
      </c>
      <c r="F13" s="156" t="s">
        <v>152</v>
      </c>
      <c r="G13" s="156" t="s">
        <v>152</v>
      </c>
      <c r="H13" s="156" t="s">
        <v>152</v>
      </c>
      <c r="I13" s="156" t="s">
        <v>152</v>
      </c>
      <c r="J13" s="156" t="s">
        <v>152</v>
      </c>
      <c r="K13" s="156" t="s">
        <v>152</v>
      </c>
      <c r="L13" s="156" t="s">
        <v>152</v>
      </c>
      <c r="M13" s="156" t="s">
        <v>152</v>
      </c>
      <c r="N13" s="156" t="s">
        <v>152</v>
      </c>
      <c r="O13" s="156" t="s">
        <v>152</v>
      </c>
      <c r="P13" s="156" t="s">
        <v>152</v>
      </c>
      <c r="Q13" s="156" t="s">
        <v>152</v>
      </c>
      <c r="R13" s="156" t="s">
        <v>152</v>
      </c>
      <c r="S13" s="156" t="s">
        <v>152</v>
      </c>
      <c r="T13" s="156" t="s">
        <v>152</v>
      </c>
      <c r="U13" s="156" t="s">
        <v>152</v>
      </c>
      <c r="V13" s="156" t="s">
        <v>152</v>
      </c>
      <c r="W13" s="156" t="s">
        <v>152</v>
      </c>
      <c r="X13" s="156" t="s">
        <v>152</v>
      </c>
      <c r="Y13" s="156" t="s">
        <v>152</v>
      </c>
      <c r="Z13" s="156" t="s">
        <v>152</v>
      </c>
      <c r="AA13" s="156" t="s">
        <v>152</v>
      </c>
      <c r="AB13" s="157" t="s">
        <v>152</v>
      </c>
    </row>
    <row r="14" spans="1:29" ht="22.5" customHeight="1" x14ac:dyDescent="0.15">
      <c r="A14" s="35" t="s">
        <v>153</v>
      </c>
      <c r="B14" s="155" t="s">
        <v>154</v>
      </c>
      <c r="C14" s="156" t="s">
        <v>154</v>
      </c>
      <c r="D14" s="156" t="s">
        <v>154</v>
      </c>
      <c r="E14" s="156" t="s">
        <v>154</v>
      </c>
      <c r="F14" s="156" t="s">
        <v>154</v>
      </c>
      <c r="G14" s="156" t="s">
        <v>154</v>
      </c>
      <c r="H14" s="156" t="s">
        <v>154</v>
      </c>
      <c r="I14" s="156" t="s">
        <v>154</v>
      </c>
      <c r="J14" s="156" t="s">
        <v>154</v>
      </c>
      <c r="K14" s="156" t="s">
        <v>154</v>
      </c>
      <c r="L14" s="156" t="s">
        <v>154</v>
      </c>
      <c r="M14" s="156" t="s">
        <v>154</v>
      </c>
      <c r="N14" s="156" t="s">
        <v>154</v>
      </c>
      <c r="O14" s="156" t="s">
        <v>154</v>
      </c>
      <c r="P14" s="156" t="s">
        <v>154</v>
      </c>
      <c r="Q14" s="156" t="s">
        <v>154</v>
      </c>
      <c r="R14" s="156" t="s">
        <v>154</v>
      </c>
      <c r="S14" s="156" t="s">
        <v>154</v>
      </c>
      <c r="T14" s="156" t="s">
        <v>154</v>
      </c>
      <c r="U14" s="156" t="s">
        <v>154</v>
      </c>
      <c r="V14" s="156" t="s">
        <v>154</v>
      </c>
      <c r="W14" s="156" t="s">
        <v>154</v>
      </c>
      <c r="X14" s="156" t="s">
        <v>154</v>
      </c>
      <c r="Y14" s="156" t="s">
        <v>154</v>
      </c>
      <c r="Z14" s="156" t="s">
        <v>154</v>
      </c>
      <c r="AA14" s="156" t="s">
        <v>154</v>
      </c>
      <c r="AB14" s="157" t="s">
        <v>154</v>
      </c>
    </row>
    <row r="15" spans="1:29" ht="22.5" customHeight="1" x14ac:dyDescent="0.15">
      <c r="A15" s="35" t="s">
        <v>155</v>
      </c>
      <c r="B15" s="155" t="s">
        <v>156</v>
      </c>
      <c r="C15" s="156" t="s">
        <v>156</v>
      </c>
      <c r="D15" s="156" t="s">
        <v>156</v>
      </c>
      <c r="E15" s="156" t="s">
        <v>156</v>
      </c>
      <c r="F15" s="156" t="s">
        <v>156</v>
      </c>
      <c r="G15" s="156" t="s">
        <v>156</v>
      </c>
      <c r="H15" s="156" t="s">
        <v>156</v>
      </c>
      <c r="I15" s="156" t="s">
        <v>156</v>
      </c>
      <c r="J15" s="156" t="s">
        <v>156</v>
      </c>
      <c r="K15" s="156" t="s">
        <v>156</v>
      </c>
      <c r="L15" s="156" t="s">
        <v>156</v>
      </c>
      <c r="M15" s="156" t="s">
        <v>156</v>
      </c>
      <c r="N15" s="156" t="s">
        <v>156</v>
      </c>
      <c r="O15" s="156" t="s">
        <v>156</v>
      </c>
      <c r="P15" s="156" t="s">
        <v>156</v>
      </c>
      <c r="Q15" s="156" t="s">
        <v>156</v>
      </c>
      <c r="R15" s="156" t="s">
        <v>156</v>
      </c>
      <c r="S15" s="156" t="s">
        <v>156</v>
      </c>
      <c r="T15" s="156" t="s">
        <v>156</v>
      </c>
      <c r="U15" s="156" t="s">
        <v>156</v>
      </c>
      <c r="V15" s="156" t="s">
        <v>156</v>
      </c>
      <c r="W15" s="156" t="s">
        <v>156</v>
      </c>
      <c r="X15" s="156" t="s">
        <v>156</v>
      </c>
      <c r="Y15" s="156" t="s">
        <v>156</v>
      </c>
      <c r="Z15" s="156" t="s">
        <v>156</v>
      </c>
      <c r="AA15" s="156" t="s">
        <v>156</v>
      </c>
      <c r="AB15" s="157" t="s">
        <v>156</v>
      </c>
    </row>
    <row r="16" spans="1:29" ht="22.5" customHeight="1" x14ac:dyDescent="0.15">
      <c r="A16" s="35" t="s">
        <v>157</v>
      </c>
      <c r="B16" s="155" t="s">
        <v>158</v>
      </c>
      <c r="C16" s="156" t="s">
        <v>158</v>
      </c>
      <c r="D16" s="156" t="s">
        <v>158</v>
      </c>
      <c r="E16" s="156" t="s">
        <v>158</v>
      </c>
      <c r="F16" s="156" t="s">
        <v>158</v>
      </c>
      <c r="G16" s="156" t="s">
        <v>158</v>
      </c>
      <c r="H16" s="156" t="s">
        <v>158</v>
      </c>
      <c r="I16" s="156" t="s">
        <v>158</v>
      </c>
      <c r="J16" s="156" t="s">
        <v>158</v>
      </c>
      <c r="K16" s="156" t="s">
        <v>158</v>
      </c>
      <c r="L16" s="156" t="s">
        <v>158</v>
      </c>
      <c r="M16" s="156" t="s">
        <v>158</v>
      </c>
      <c r="N16" s="156" t="s">
        <v>158</v>
      </c>
      <c r="O16" s="156" t="s">
        <v>158</v>
      </c>
      <c r="P16" s="156" t="s">
        <v>158</v>
      </c>
      <c r="Q16" s="156" t="s">
        <v>158</v>
      </c>
      <c r="R16" s="156" t="s">
        <v>158</v>
      </c>
      <c r="S16" s="156" t="s">
        <v>158</v>
      </c>
      <c r="T16" s="156" t="s">
        <v>158</v>
      </c>
      <c r="U16" s="156" t="s">
        <v>158</v>
      </c>
      <c r="V16" s="156" t="s">
        <v>158</v>
      </c>
      <c r="W16" s="156" t="s">
        <v>158</v>
      </c>
      <c r="X16" s="156" t="s">
        <v>158</v>
      </c>
      <c r="Y16" s="156" t="s">
        <v>158</v>
      </c>
      <c r="Z16" s="156" t="s">
        <v>158</v>
      </c>
      <c r="AA16" s="156" t="s">
        <v>158</v>
      </c>
      <c r="AB16" s="157" t="s">
        <v>158</v>
      </c>
    </row>
    <row r="17" spans="1:28" ht="22.5" customHeight="1" x14ac:dyDescent="0.15">
      <c r="A17" s="35" t="s">
        <v>159</v>
      </c>
      <c r="B17" s="155" t="s">
        <v>160</v>
      </c>
      <c r="C17" s="156" t="s">
        <v>160</v>
      </c>
      <c r="D17" s="156" t="s">
        <v>160</v>
      </c>
      <c r="E17" s="156" t="s">
        <v>160</v>
      </c>
      <c r="F17" s="156" t="s">
        <v>160</v>
      </c>
      <c r="G17" s="156" t="s">
        <v>160</v>
      </c>
      <c r="H17" s="156" t="s">
        <v>160</v>
      </c>
      <c r="I17" s="156" t="s">
        <v>160</v>
      </c>
      <c r="J17" s="156" t="s">
        <v>160</v>
      </c>
      <c r="K17" s="156" t="s">
        <v>160</v>
      </c>
      <c r="L17" s="156" t="s">
        <v>160</v>
      </c>
      <c r="M17" s="156" t="s">
        <v>160</v>
      </c>
      <c r="N17" s="156" t="s">
        <v>160</v>
      </c>
      <c r="O17" s="156" t="s">
        <v>160</v>
      </c>
      <c r="P17" s="156" t="s">
        <v>160</v>
      </c>
      <c r="Q17" s="156" t="s">
        <v>160</v>
      </c>
      <c r="R17" s="156" t="s">
        <v>160</v>
      </c>
      <c r="S17" s="156" t="s">
        <v>160</v>
      </c>
      <c r="T17" s="156" t="s">
        <v>160</v>
      </c>
      <c r="U17" s="156" t="s">
        <v>160</v>
      </c>
      <c r="V17" s="156" t="s">
        <v>160</v>
      </c>
      <c r="W17" s="156" t="s">
        <v>160</v>
      </c>
      <c r="X17" s="156" t="s">
        <v>160</v>
      </c>
      <c r="Y17" s="156" t="s">
        <v>160</v>
      </c>
      <c r="Z17" s="156" t="s">
        <v>160</v>
      </c>
      <c r="AA17" s="156" t="s">
        <v>160</v>
      </c>
      <c r="AB17" s="157" t="s">
        <v>160</v>
      </c>
    </row>
    <row r="18" spans="1:28" ht="22.5" customHeight="1" x14ac:dyDescent="0.15">
      <c r="A18" s="35" t="s">
        <v>161</v>
      </c>
      <c r="B18" s="155" t="s">
        <v>162</v>
      </c>
      <c r="C18" s="156" t="s">
        <v>162</v>
      </c>
      <c r="D18" s="156" t="s">
        <v>162</v>
      </c>
      <c r="E18" s="156" t="s">
        <v>162</v>
      </c>
      <c r="F18" s="156" t="s">
        <v>162</v>
      </c>
      <c r="G18" s="156" t="s">
        <v>162</v>
      </c>
      <c r="H18" s="156" t="s">
        <v>162</v>
      </c>
      <c r="I18" s="156" t="s">
        <v>162</v>
      </c>
      <c r="J18" s="156" t="s">
        <v>162</v>
      </c>
      <c r="K18" s="156" t="s">
        <v>162</v>
      </c>
      <c r="L18" s="156" t="s">
        <v>162</v>
      </c>
      <c r="M18" s="156" t="s">
        <v>162</v>
      </c>
      <c r="N18" s="156" t="s">
        <v>162</v>
      </c>
      <c r="O18" s="156" t="s">
        <v>162</v>
      </c>
      <c r="P18" s="156" t="s">
        <v>162</v>
      </c>
      <c r="Q18" s="156" t="s">
        <v>162</v>
      </c>
      <c r="R18" s="156" t="s">
        <v>162</v>
      </c>
      <c r="S18" s="156" t="s">
        <v>162</v>
      </c>
      <c r="T18" s="156" t="s">
        <v>162</v>
      </c>
      <c r="U18" s="156" t="s">
        <v>162</v>
      </c>
      <c r="V18" s="156" t="s">
        <v>162</v>
      </c>
      <c r="W18" s="156" t="s">
        <v>162</v>
      </c>
      <c r="X18" s="156" t="s">
        <v>162</v>
      </c>
      <c r="Y18" s="156" t="s">
        <v>162</v>
      </c>
      <c r="Z18" s="156" t="s">
        <v>162</v>
      </c>
      <c r="AA18" s="156" t="s">
        <v>162</v>
      </c>
      <c r="AB18" s="157" t="s">
        <v>162</v>
      </c>
    </row>
    <row r="19" spans="1:28" ht="22.5" customHeight="1" x14ac:dyDescent="0.15">
      <c r="A19" s="35" t="s">
        <v>163</v>
      </c>
      <c r="B19" s="155" t="s">
        <v>164</v>
      </c>
      <c r="C19" s="156" t="s">
        <v>164</v>
      </c>
      <c r="D19" s="156" t="s">
        <v>164</v>
      </c>
      <c r="E19" s="156" t="s">
        <v>164</v>
      </c>
      <c r="F19" s="156" t="s">
        <v>164</v>
      </c>
      <c r="G19" s="156" t="s">
        <v>164</v>
      </c>
      <c r="H19" s="156" t="s">
        <v>164</v>
      </c>
      <c r="I19" s="156" t="s">
        <v>164</v>
      </c>
      <c r="J19" s="156" t="s">
        <v>164</v>
      </c>
      <c r="K19" s="156" t="s">
        <v>164</v>
      </c>
      <c r="L19" s="156" t="s">
        <v>164</v>
      </c>
      <c r="M19" s="156" t="s">
        <v>164</v>
      </c>
      <c r="N19" s="156" t="s">
        <v>164</v>
      </c>
      <c r="O19" s="156" t="s">
        <v>164</v>
      </c>
      <c r="P19" s="156" t="s">
        <v>164</v>
      </c>
      <c r="Q19" s="156" t="s">
        <v>164</v>
      </c>
      <c r="R19" s="156" t="s">
        <v>164</v>
      </c>
      <c r="S19" s="156" t="s">
        <v>164</v>
      </c>
      <c r="T19" s="156" t="s">
        <v>164</v>
      </c>
      <c r="U19" s="156" t="s">
        <v>164</v>
      </c>
      <c r="V19" s="156" t="s">
        <v>164</v>
      </c>
      <c r="W19" s="156" t="s">
        <v>164</v>
      </c>
      <c r="X19" s="156" t="s">
        <v>164</v>
      </c>
      <c r="Y19" s="156" t="s">
        <v>164</v>
      </c>
      <c r="Z19" s="156" t="s">
        <v>164</v>
      </c>
      <c r="AA19" s="156" t="s">
        <v>164</v>
      </c>
      <c r="AB19" s="157" t="s">
        <v>164</v>
      </c>
    </row>
    <row r="20" spans="1:28" ht="22.5" customHeight="1" x14ac:dyDescent="0.15">
      <c r="A20" s="35" t="s">
        <v>165</v>
      </c>
      <c r="B20" s="155" t="s">
        <v>166</v>
      </c>
      <c r="C20" s="156" t="s">
        <v>166</v>
      </c>
      <c r="D20" s="156" t="s">
        <v>166</v>
      </c>
      <c r="E20" s="156" t="s">
        <v>166</v>
      </c>
      <c r="F20" s="156" t="s">
        <v>166</v>
      </c>
      <c r="G20" s="156" t="s">
        <v>166</v>
      </c>
      <c r="H20" s="156" t="s">
        <v>166</v>
      </c>
      <c r="I20" s="156" t="s">
        <v>166</v>
      </c>
      <c r="J20" s="156" t="s">
        <v>166</v>
      </c>
      <c r="K20" s="156" t="s">
        <v>166</v>
      </c>
      <c r="L20" s="156" t="s">
        <v>166</v>
      </c>
      <c r="M20" s="156" t="s">
        <v>166</v>
      </c>
      <c r="N20" s="156" t="s">
        <v>166</v>
      </c>
      <c r="O20" s="156" t="s">
        <v>166</v>
      </c>
      <c r="P20" s="156" t="s">
        <v>166</v>
      </c>
      <c r="Q20" s="156" t="s">
        <v>166</v>
      </c>
      <c r="R20" s="156" t="s">
        <v>166</v>
      </c>
      <c r="S20" s="156" t="s">
        <v>166</v>
      </c>
      <c r="T20" s="156" t="s">
        <v>166</v>
      </c>
      <c r="U20" s="156" t="s">
        <v>166</v>
      </c>
      <c r="V20" s="156" t="s">
        <v>166</v>
      </c>
      <c r="W20" s="156" t="s">
        <v>166</v>
      </c>
      <c r="X20" s="156" t="s">
        <v>166</v>
      </c>
      <c r="Y20" s="156" t="s">
        <v>166</v>
      </c>
      <c r="Z20" s="156" t="s">
        <v>166</v>
      </c>
      <c r="AA20" s="156" t="s">
        <v>166</v>
      </c>
      <c r="AB20" s="157" t="s">
        <v>166</v>
      </c>
    </row>
    <row r="21" spans="1:28" ht="22.5" customHeight="1" x14ac:dyDescent="0.15">
      <c r="A21" s="35" t="s">
        <v>167</v>
      </c>
      <c r="B21" s="155" t="s">
        <v>168</v>
      </c>
      <c r="C21" s="156" t="s">
        <v>168</v>
      </c>
      <c r="D21" s="156" t="s">
        <v>168</v>
      </c>
      <c r="E21" s="156" t="s">
        <v>168</v>
      </c>
      <c r="F21" s="156" t="s">
        <v>168</v>
      </c>
      <c r="G21" s="156" t="s">
        <v>168</v>
      </c>
      <c r="H21" s="156" t="s">
        <v>168</v>
      </c>
      <c r="I21" s="156" t="s">
        <v>168</v>
      </c>
      <c r="J21" s="156" t="s">
        <v>168</v>
      </c>
      <c r="K21" s="156" t="s">
        <v>168</v>
      </c>
      <c r="L21" s="156" t="s">
        <v>168</v>
      </c>
      <c r="M21" s="156" t="s">
        <v>168</v>
      </c>
      <c r="N21" s="156" t="s">
        <v>168</v>
      </c>
      <c r="O21" s="156" t="s">
        <v>168</v>
      </c>
      <c r="P21" s="156" t="s">
        <v>168</v>
      </c>
      <c r="Q21" s="156" t="s">
        <v>168</v>
      </c>
      <c r="R21" s="156" t="s">
        <v>168</v>
      </c>
      <c r="S21" s="156" t="s">
        <v>168</v>
      </c>
      <c r="T21" s="156" t="s">
        <v>168</v>
      </c>
      <c r="U21" s="156" t="s">
        <v>168</v>
      </c>
      <c r="V21" s="156" t="s">
        <v>168</v>
      </c>
      <c r="W21" s="156" t="s">
        <v>168</v>
      </c>
      <c r="X21" s="156" t="s">
        <v>168</v>
      </c>
      <c r="Y21" s="156" t="s">
        <v>168</v>
      </c>
      <c r="Z21" s="156" t="s">
        <v>168</v>
      </c>
      <c r="AA21" s="156" t="s">
        <v>168</v>
      </c>
      <c r="AB21" s="157" t="s">
        <v>168</v>
      </c>
    </row>
    <row r="22" spans="1:28" ht="22.5" customHeight="1" x14ac:dyDescent="0.15">
      <c r="A22" s="35" t="s">
        <v>169</v>
      </c>
      <c r="B22" s="155" t="s">
        <v>170</v>
      </c>
      <c r="C22" s="156" t="s">
        <v>170</v>
      </c>
      <c r="D22" s="156" t="s">
        <v>170</v>
      </c>
      <c r="E22" s="156" t="s">
        <v>170</v>
      </c>
      <c r="F22" s="156" t="s">
        <v>170</v>
      </c>
      <c r="G22" s="156" t="s">
        <v>170</v>
      </c>
      <c r="H22" s="156" t="s">
        <v>170</v>
      </c>
      <c r="I22" s="156" t="s">
        <v>170</v>
      </c>
      <c r="J22" s="156" t="s">
        <v>170</v>
      </c>
      <c r="K22" s="156" t="s">
        <v>170</v>
      </c>
      <c r="L22" s="156" t="s">
        <v>170</v>
      </c>
      <c r="M22" s="156" t="s">
        <v>170</v>
      </c>
      <c r="N22" s="156" t="s">
        <v>170</v>
      </c>
      <c r="O22" s="156" t="s">
        <v>170</v>
      </c>
      <c r="P22" s="156" t="s">
        <v>170</v>
      </c>
      <c r="Q22" s="156" t="s">
        <v>170</v>
      </c>
      <c r="R22" s="156" t="s">
        <v>170</v>
      </c>
      <c r="S22" s="156" t="s">
        <v>170</v>
      </c>
      <c r="T22" s="156" t="s">
        <v>170</v>
      </c>
      <c r="U22" s="156" t="s">
        <v>170</v>
      </c>
      <c r="V22" s="156" t="s">
        <v>170</v>
      </c>
      <c r="W22" s="156" t="s">
        <v>170</v>
      </c>
      <c r="X22" s="156" t="s">
        <v>170</v>
      </c>
      <c r="Y22" s="156" t="s">
        <v>170</v>
      </c>
      <c r="Z22" s="156" t="s">
        <v>170</v>
      </c>
      <c r="AA22" s="156" t="s">
        <v>170</v>
      </c>
      <c r="AB22" s="157" t="s">
        <v>170</v>
      </c>
    </row>
    <row r="23" spans="1:28" ht="22.5" customHeight="1" x14ac:dyDescent="0.15">
      <c r="A23" s="35" t="s">
        <v>171</v>
      </c>
      <c r="B23" s="155" t="s">
        <v>172</v>
      </c>
      <c r="C23" s="156" t="s">
        <v>172</v>
      </c>
      <c r="D23" s="156" t="s">
        <v>172</v>
      </c>
      <c r="E23" s="156" t="s">
        <v>172</v>
      </c>
      <c r="F23" s="156" t="s">
        <v>172</v>
      </c>
      <c r="G23" s="156" t="s">
        <v>172</v>
      </c>
      <c r="H23" s="156" t="s">
        <v>172</v>
      </c>
      <c r="I23" s="156" t="s">
        <v>172</v>
      </c>
      <c r="J23" s="156" t="s">
        <v>172</v>
      </c>
      <c r="K23" s="156" t="s">
        <v>172</v>
      </c>
      <c r="L23" s="156" t="s">
        <v>172</v>
      </c>
      <c r="M23" s="156" t="s">
        <v>172</v>
      </c>
      <c r="N23" s="156" t="s">
        <v>172</v>
      </c>
      <c r="O23" s="156" t="s">
        <v>172</v>
      </c>
      <c r="P23" s="156" t="s">
        <v>172</v>
      </c>
      <c r="Q23" s="156" t="s">
        <v>172</v>
      </c>
      <c r="R23" s="156" t="s">
        <v>172</v>
      </c>
      <c r="S23" s="156" t="s">
        <v>172</v>
      </c>
      <c r="T23" s="156" t="s">
        <v>172</v>
      </c>
      <c r="U23" s="156" t="s">
        <v>172</v>
      </c>
      <c r="V23" s="156" t="s">
        <v>172</v>
      </c>
      <c r="W23" s="156" t="s">
        <v>172</v>
      </c>
      <c r="X23" s="156" t="s">
        <v>172</v>
      </c>
      <c r="Y23" s="156" t="s">
        <v>172</v>
      </c>
      <c r="Z23" s="156" t="s">
        <v>172</v>
      </c>
      <c r="AA23" s="156" t="s">
        <v>172</v>
      </c>
      <c r="AB23" s="157" t="s">
        <v>172</v>
      </c>
    </row>
    <row r="24" spans="1:28" ht="22.5" customHeight="1" x14ac:dyDescent="0.15">
      <c r="A24" s="35" t="s">
        <v>173</v>
      </c>
      <c r="B24" s="155" t="s">
        <v>174</v>
      </c>
      <c r="C24" s="156" t="s">
        <v>174</v>
      </c>
      <c r="D24" s="156" t="s">
        <v>174</v>
      </c>
      <c r="E24" s="156" t="s">
        <v>174</v>
      </c>
      <c r="F24" s="156" t="s">
        <v>174</v>
      </c>
      <c r="G24" s="156" t="s">
        <v>174</v>
      </c>
      <c r="H24" s="156" t="s">
        <v>174</v>
      </c>
      <c r="I24" s="156" t="s">
        <v>174</v>
      </c>
      <c r="J24" s="156" t="s">
        <v>174</v>
      </c>
      <c r="K24" s="156" t="s">
        <v>174</v>
      </c>
      <c r="L24" s="156" t="s">
        <v>174</v>
      </c>
      <c r="M24" s="156" t="s">
        <v>174</v>
      </c>
      <c r="N24" s="156" t="s">
        <v>174</v>
      </c>
      <c r="O24" s="156" t="s">
        <v>174</v>
      </c>
      <c r="P24" s="156" t="s">
        <v>174</v>
      </c>
      <c r="Q24" s="156" t="s">
        <v>174</v>
      </c>
      <c r="R24" s="156" t="s">
        <v>174</v>
      </c>
      <c r="S24" s="156" t="s">
        <v>174</v>
      </c>
      <c r="T24" s="156" t="s">
        <v>174</v>
      </c>
      <c r="U24" s="156" t="s">
        <v>174</v>
      </c>
      <c r="V24" s="156" t="s">
        <v>174</v>
      </c>
      <c r="W24" s="156" t="s">
        <v>174</v>
      </c>
      <c r="X24" s="156" t="s">
        <v>174</v>
      </c>
      <c r="Y24" s="156" t="s">
        <v>174</v>
      </c>
      <c r="Z24" s="156" t="s">
        <v>174</v>
      </c>
      <c r="AA24" s="156" t="s">
        <v>174</v>
      </c>
      <c r="AB24" s="157" t="s">
        <v>174</v>
      </c>
    </row>
    <row r="25" spans="1:28" ht="22.5" customHeight="1" x14ac:dyDescent="0.15">
      <c r="A25" s="35" t="s">
        <v>175</v>
      </c>
      <c r="B25" s="155" t="s">
        <v>176</v>
      </c>
      <c r="C25" s="156" t="s">
        <v>176</v>
      </c>
      <c r="D25" s="156" t="s">
        <v>176</v>
      </c>
      <c r="E25" s="156" t="s">
        <v>176</v>
      </c>
      <c r="F25" s="156" t="s">
        <v>176</v>
      </c>
      <c r="G25" s="156" t="s">
        <v>176</v>
      </c>
      <c r="H25" s="156" t="s">
        <v>176</v>
      </c>
      <c r="I25" s="156" t="s">
        <v>176</v>
      </c>
      <c r="J25" s="156" t="s">
        <v>176</v>
      </c>
      <c r="K25" s="156" t="s">
        <v>176</v>
      </c>
      <c r="L25" s="156" t="s">
        <v>176</v>
      </c>
      <c r="M25" s="156" t="s">
        <v>176</v>
      </c>
      <c r="N25" s="156" t="s">
        <v>176</v>
      </c>
      <c r="O25" s="156" t="s">
        <v>176</v>
      </c>
      <c r="P25" s="156" t="s">
        <v>176</v>
      </c>
      <c r="Q25" s="156" t="s">
        <v>176</v>
      </c>
      <c r="R25" s="156" t="s">
        <v>176</v>
      </c>
      <c r="S25" s="156" t="s">
        <v>176</v>
      </c>
      <c r="T25" s="156" t="s">
        <v>176</v>
      </c>
      <c r="U25" s="156" t="s">
        <v>176</v>
      </c>
      <c r="V25" s="156" t="s">
        <v>176</v>
      </c>
      <c r="W25" s="156" t="s">
        <v>176</v>
      </c>
      <c r="X25" s="156" t="s">
        <v>176</v>
      </c>
      <c r="Y25" s="156" t="s">
        <v>176</v>
      </c>
      <c r="Z25" s="156" t="s">
        <v>176</v>
      </c>
      <c r="AA25" s="156" t="s">
        <v>176</v>
      </c>
      <c r="AB25" s="157" t="s">
        <v>176</v>
      </c>
    </row>
    <row r="26" spans="1:28" ht="22.5" customHeight="1" x14ac:dyDescent="0.15">
      <c r="A26" s="35" t="s">
        <v>177</v>
      </c>
      <c r="B26" s="155" t="s">
        <v>178</v>
      </c>
      <c r="C26" s="156" t="s">
        <v>178</v>
      </c>
      <c r="D26" s="156" t="s">
        <v>178</v>
      </c>
      <c r="E26" s="156" t="s">
        <v>178</v>
      </c>
      <c r="F26" s="156" t="s">
        <v>178</v>
      </c>
      <c r="G26" s="156" t="s">
        <v>178</v>
      </c>
      <c r="H26" s="156" t="s">
        <v>178</v>
      </c>
      <c r="I26" s="156" t="s">
        <v>178</v>
      </c>
      <c r="J26" s="156" t="s">
        <v>178</v>
      </c>
      <c r="K26" s="156" t="s">
        <v>178</v>
      </c>
      <c r="L26" s="156" t="s">
        <v>178</v>
      </c>
      <c r="M26" s="156" t="s">
        <v>178</v>
      </c>
      <c r="N26" s="156" t="s">
        <v>178</v>
      </c>
      <c r="O26" s="156" t="s">
        <v>178</v>
      </c>
      <c r="P26" s="156" t="s">
        <v>178</v>
      </c>
      <c r="Q26" s="156" t="s">
        <v>178</v>
      </c>
      <c r="R26" s="156" t="s">
        <v>178</v>
      </c>
      <c r="S26" s="156" t="s">
        <v>178</v>
      </c>
      <c r="T26" s="156" t="s">
        <v>178</v>
      </c>
      <c r="U26" s="156" t="s">
        <v>178</v>
      </c>
      <c r="V26" s="156" t="s">
        <v>178</v>
      </c>
      <c r="W26" s="156" t="s">
        <v>178</v>
      </c>
      <c r="X26" s="156" t="s">
        <v>178</v>
      </c>
      <c r="Y26" s="156" t="s">
        <v>178</v>
      </c>
      <c r="Z26" s="156" t="s">
        <v>178</v>
      </c>
      <c r="AA26" s="156" t="s">
        <v>178</v>
      </c>
      <c r="AB26" s="157" t="s">
        <v>178</v>
      </c>
    </row>
    <row r="27" spans="1:28" ht="22.5" customHeight="1" x14ac:dyDescent="0.15">
      <c r="A27" s="35" t="s">
        <v>179</v>
      </c>
      <c r="B27" s="155" t="s">
        <v>180</v>
      </c>
      <c r="C27" s="156" t="s">
        <v>180</v>
      </c>
      <c r="D27" s="156" t="s">
        <v>180</v>
      </c>
      <c r="E27" s="156" t="s">
        <v>180</v>
      </c>
      <c r="F27" s="156" t="s">
        <v>180</v>
      </c>
      <c r="G27" s="156" t="s">
        <v>180</v>
      </c>
      <c r="H27" s="156" t="s">
        <v>180</v>
      </c>
      <c r="I27" s="156" t="s">
        <v>180</v>
      </c>
      <c r="J27" s="156" t="s">
        <v>180</v>
      </c>
      <c r="K27" s="156" t="s">
        <v>180</v>
      </c>
      <c r="L27" s="156" t="s">
        <v>180</v>
      </c>
      <c r="M27" s="156" t="s">
        <v>180</v>
      </c>
      <c r="N27" s="156" t="s">
        <v>180</v>
      </c>
      <c r="O27" s="156" t="s">
        <v>180</v>
      </c>
      <c r="P27" s="156" t="s">
        <v>180</v>
      </c>
      <c r="Q27" s="156" t="s">
        <v>180</v>
      </c>
      <c r="R27" s="156" t="s">
        <v>180</v>
      </c>
      <c r="S27" s="156" t="s">
        <v>180</v>
      </c>
      <c r="T27" s="156" t="s">
        <v>180</v>
      </c>
      <c r="U27" s="156" t="s">
        <v>180</v>
      </c>
      <c r="V27" s="156" t="s">
        <v>180</v>
      </c>
      <c r="W27" s="156" t="s">
        <v>180</v>
      </c>
      <c r="X27" s="156" t="s">
        <v>180</v>
      </c>
      <c r="Y27" s="156" t="s">
        <v>180</v>
      </c>
      <c r="Z27" s="156" t="s">
        <v>180</v>
      </c>
      <c r="AA27" s="156" t="s">
        <v>180</v>
      </c>
      <c r="AB27" s="157" t="s">
        <v>180</v>
      </c>
    </row>
    <row r="28" spans="1:28" ht="22.5" customHeight="1" x14ac:dyDescent="0.15">
      <c r="A28" s="35" t="s">
        <v>181</v>
      </c>
      <c r="B28" s="155" t="s">
        <v>182</v>
      </c>
      <c r="C28" s="156" t="s">
        <v>182</v>
      </c>
      <c r="D28" s="156" t="s">
        <v>182</v>
      </c>
      <c r="E28" s="156" t="s">
        <v>182</v>
      </c>
      <c r="F28" s="156" t="s">
        <v>182</v>
      </c>
      <c r="G28" s="156" t="s">
        <v>182</v>
      </c>
      <c r="H28" s="156" t="s">
        <v>182</v>
      </c>
      <c r="I28" s="156" t="s">
        <v>182</v>
      </c>
      <c r="J28" s="156" t="s">
        <v>182</v>
      </c>
      <c r="K28" s="156" t="s">
        <v>182</v>
      </c>
      <c r="L28" s="156" t="s">
        <v>182</v>
      </c>
      <c r="M28" s="156" t="s">
        <v>182</v>
      </c>
      <c r="N28" s="156" t="s">
        <v>182</v>
      </c>
      <c r="O28" s="156" t="s">
        <v>182</v>
      </c>
      <c r="P28" s="156" t="s">
        <v>182</v>
      </c>
      <c r="Q28" s="156" t="s">
        <v>182</v>
      </c>
      <c r="R28" s="156" t="s">
        <v>182</v>
      </c>
      <c r="S28" s="156" t="s">
        <v>182</v>
      </c>
      <c r="T28" s="156" t="s">
        <v>182</v>
      </c>
      <c r="U28" s="156" t="s">
        <v>182</v>
      </c>
      <c r="V28" s="156" t="s">
        <v>182</v>
      </c>
      <c r="W28" s="156" t="s">
        <v>182</v>
      </c>
      <c r="X28" s="156" t="s">
        <v>182</v>
      </c>
      <c r="Y28" s="156" t="s">
        <v>182</v>
      </c>
      <c r="Z28" s="156" t="s">
        <v>182</v>
      </c>
      <c r="AA28" s="156" t="s">
        <v>182</v>
      </c>
      <c r="AB28" s="157" t="s">
        <v>182</v>
      </c>
    </row>
    <row r="29" spans="1:28" ht="22.5" customHeight="1" x14ac:dyDescent="0.15">
      <c r="A29" s="35" t="s">
        <v>183</v>
      </c>
      <c r="B29" s="155" t="s">
        <v>184</v>
      </c>
      <c r="C29" s="156" t="s">
        <v>184</v>
      </c>
      <c r="D29" s="156" t="s">
        <v>184</v>
      </c>
      <c r="E29" s="156" t="s">
        <v>184</v>
      </c>
      <c r="F29" s="156" t="s">
        <v>184</v>
      </c>
      <c r="G29" s="156" t="s">
        <v>184</v>
      </c>
      <c r="H29" s="156" t="s">
        <v>184</v>
      </c>
      <c r="I29" s="156" t="s">
        <v>184</v>
      </c>
      <c r="J29" s="156" t="s">
        <v>184</v>
      </c>
      <c r="K29" s="156" t="s">
        <v>184</v>
      </c>
      <c r="L29" s="156" t="s">
        <v>184</v>
      </c>
      <c r="M29" s="156" t="s">
        <v>184</v>
      </c>
      <c r="N29" s="156" t="s">
        <v>184</v>
      </c>
      <c r="O29" s="156" t="s">
        <v>184</v>
      </c>
      <c r="P29" s="156" t="s">
        <v>184</v>
      </c>
      <c r="Q29" s="156" t="s">
        <v>184</v>
      </c>
      <c r="R29" s="156" t="s">
        <v>184</v>
      </c>
      <c r="S29" s="156" t="s">
        <v>184</v>
      </c>
      <c r="T29" s="156" t="s">
        <v>184</v>
      </c>
      <c r="U29" s="156" t="s">
        <v>184</v>
      </c>
      <c r="V29" s="156" t="s">
        <v>184</v>
      </c>
      <c r="W29" s="156" t="s">
        <v>184</v>
      </c>
      <c r="X29" s="156" t="s">
        <v>184</v>
      </c>
      <c r="Y29" s="156" t="s">
        <v>184</v>
      </c>
      <c r="Z29" s="156" t="s">
        <v>184</v>
      </c>
      <c r="AA29" s="156" t="s">
        <v>184</v>
      </c>
      <c r="AB29" s="157" t="s">
        <v>184</v>
      </c>
    </row>
    <row r="30" spans="1:28" ht="22.5" customHeight="1" x14ac:dyDescent="0.15">
      <c r="A30" s="35"/>
      <c r="B30" s="155"/>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7"/>
    </row>
    <row r="31" spans="1:28" ht="22.5" customHeight="1" x14ac:dyDescent="0.15">
      <c r="A31" s="35"/>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22.5" customHeight="1" x14ac:dyDescent="0.15">
      <c r="A32" s="35"/>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22.5" customHeight="1" x14ac:dyDescent="0.15">
      <c r="A33" s="35"/>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22.5" customHeight="1" x14ac:dyDescent="0.15">
      <c r="A34" s="166" t="s">
        <v>38</v>
      </c>
      <c r="B34" s="167"/>
      <c r="C34" s="167"/>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67"/>
      <c r="AB34" s="168"/>
    </row>
    <row r="35" spans="1:28" ht="22.5" customHeight="1" x14ac:dyDescent="0.15">
      <c r="A35" s="53" t="str">
        <f>A9</f>
        <v>池田 光之介</v>
      </c>
      <c r="B35" s="155" t="s">
        <v>185</v>
      </c>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7"/>
    </row>
    <row r="36" spans="1:28" ht="22.5" customHeight="1" x14ac:dyDescent="0.15">
      <c r="A36" s="53" t="str">
        <f t="shared" ref="A36:A59" si="0">A10</f>
        <v>上原 光</v>
      </c>
      <c r="B36" s="155" t="s">
        <v>185</v>
      </c>
      <c r="C36" s="156"/>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6"/>
      <c r="AB36" s="157"/>
    </row>
    <row r="37" spans="1:28" ht="22.5" customHeight="1" x14ac:dyDescent="0.15">
      <c r="A37" s="53" t="str">
        <f t="shared" si="0"/>
        <v>大山 実日子</v>
      </c>
      <c r="B37" s="155" t="s">
        <v>185</v>
      </c>
      <c r="C37" s="156"/>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156"/>
      <c r="AB37" s="157"/>
    </row>
    <row r="38" spans="1:28" ht="22.5" customHeight="1" x14ac:dyDescent="0.15">
      <c r="A38" s="53" t="str">
        <f t="shared" si="0"/>
        <v>窪田 朋子</v>
      </c>
      <c r="B38" s="155" t="s">
        <v>185</v>
      </c>
      <c r="C38" s="156"/>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7"/>
    </row>
    <row r="39" spans="1:28" ht="22.5" customHeight="1" x14ac:dyDescent="0.15">
      <c r="A39" s="53" t="str">
        <f t="shared" si="0"/>
        <v>小林 晴嶺</v>
      </c>
      <c r="B39" s="155" t="s">
        <v>185</v>
      </c>
      <c r="C39" s="156"/>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7"/>
    </row>
    <row r="40" spans="1:28" ht="22.5" customHeight="1" x14ac:dyDescent="0.15">
      <c r="A40" s="53" t="str">
        <f t="shared" si="0"/>
        <v>大工原 光輝</v>
      </c>
      <c r="B40" s="155" t="s">
        <v>185</v>
      </c>
      <c r="C40" s="156"/>
      <c r="D40" s="156"/>
      <c r="E40" s="156"/>
      <c r="F40" s="156"/>
      <c r="G40" s="156"/>
      <c r="H40" s="156"/>
      <c r="I40" s="156"/>
      <c r="J40" s="156"/>
      <c r="K40" s="156"/>
      <c r="L40" s="156"/>
      <c r="M40" s="156"/>
      <c r="N40" s="156"/>
      <c r="O40" s="156"/>
      <c r="P40" s="156"/>
      <c r="Q40" s="156"/>
      <c r="R40" s="156"/>
      <c r="S40" s="156"/>
      <c r="T40" s="156"/>
      <c r="U40" s="156"/>
      <c r="V40" s="156"/>
      <c r="W40" s="156"/>
      <c r="X40" s="156"/>
      <c r="Y40" s="156"/>
      <c r="Z40" s="156"/>
      <c r="AA40" s="156"/>
      <c r="AB40" s="157"/>
    </row>
    <row r="41" spans="1:28" ht="22.5" customHeight="1" x14ac:dyDescent="0.15">
      <c r="A41" s="53" t="str">
        <f t="shared" si="0"/>
        <v>橘 くるみ</v>
      </c>
      <c r="B41" s="155" t="s">
        <v>185</v>
      </c>
      <c r="C41" s="156"/>
      <c r="D41" s="156"/>
      <c r="E41" s="156"/>
      <c r="F41" s="156"/>
      <c r="G41" s="156"/>
      <c r="H41" s="156"/>
      <c r="I41" s="156"/>
      <c r="J41" s="156"/>
      <c r="K41" s="156"/>
      <c r="L41" s="156"/>
      <c r="M41" s="156"/>
      <c r="N41" s="156"/>
      <c r="O41" s="156"/>
      <c r="P41" s="156"/>
      <c r="Q41" s="156"/>
      <c r="R41" s="156"/>
      <c r="S41" s="156"/>
      <c r="T41" s="156"/>
      <c r="U41" s="156"/>
      <c r="V41" s="156"/>
      <c r="W41" s="156"/>
      <c r="X41" s="156"/>
      <c r="Y41" s="156"/>
      <c r="Z41" s="156"/>
      <c r="AA41" s="156"/>
      <c r="AB41" s="157"/>
    </row>
    <row r="42" spans="1:28" ht="22.5" customHeight="1" x14ac:dyDescent="0.15">
      <c r="A42" s="53" t="str">
        <f t="shared" si="0"/>
        <v>等々力 悠人</v>
      </c>
      <c r="B42" s="155" t="s">
        <v>185</v>
      </c>
      <c r="C42" s="156"/>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156"/>
      <c r="AB42" s="157"/>
    </row>
    <row r="43" spans="1:28" ht="22.5" customHeight="1" x14ac:dyDescent="0.15">
      <c r="A43" s="53" t="str">
        <f t="shared" si="0"/>
        <v>中島 麟香</v>
      </c>
      <c r="B43" s="155" t="s">
        <v>185</v>
      </c>
      <c r="C43" s="156"/>
      <c r="D43" s="156"/>
      <c r="E43" s="156"/>
      <c r="F43" s="156"/>
      <c r="G43" s="156"/>
      <c r="H43" s="156"/>
      <c r="I43" s="156"/>
      <c r="J43" s="156"/>
      <c r="K43" s="156"/>
      <c r="L43" s="156"/>
      <c r="M43" s="156"/>
      <c r="N43" s="156"/>
      <c r="O43" s="156"/>
      <c r="P43" s="156"/>
      <c r="Q43" s="156"/>
      <c r="R43" s="156"/>
      <c r="S43" s="156"/>
      <c r="T43" s="156"/>
      <c r="U43" s="156"/>
      <c r="V43" s="156"/>
      <c r="W43" s="156"/>
      <c r="X43" s="156"/>
      <c r="Y43" s="156"/>
      <c r="Z43" s="156"/>
      <c r="AA43" s="156"/>
      <c r="AB43" s="157"/>
    </row>
    <row r="44" spans="1:28" ht="22.5" customHeight="1" x14ac:dyDescent="0.15">
      <c r="A44" s="53" t="str">
        <f t="shared" si="0"/>
        <v>新村 亮太</v>
      </c>
      <c r="B44" s="155" t="s">
        <v>185</v>
      </c>
      <c r="C44" s="156"/>
      <c r="D44" s="156"/>
      <c r="E44" s="156"/>
      <c r="F44" s="156"/>
      <c r="G44" s="156"/>
      <c r="H44" s="156"/>
      <c r="I44" s="156"/>
      <c r="J44" s="156"/>
      <c r="K44" s="156"/>
      <c r="L44" s="156"/>
      <c r="M44" s="156"/>
      <c r="N44" s="156"/>
      <c r="O44" s="156"/>
      <c r="P44" s="156"/>
      <c r="Q44" s="156"/>
      <c r="R44" s="156"/>
      <c r="S44" s="156"/>
      <c r="T44" s="156"/>
      <c r="U44" s="156"/>
      <c r="V44" s="156"/>
      <c r="W44" s="156"/>
      <c r="X44" s="156"/>
      <c r="Y44" s="156"/>
      <c r="Z44" s="156"/>
      <c r="AA44" s="156"/>
      <c r="AB44" s="157"/>
    </row>
    <row r="45" spans="1:28" ht="22.5" customHeight="1" x14ac:dyDescent="0.15">
      <c r="A45" s="53" t="str">
        <f t="shared" si="0"/>
        <v>伏見 真人</v>
      </c>
      <c r="B45" s="155" t="s">
        <v>185</v>
      </c>
      <c r="C45" s="156"/>
      <c r="D45" s="156"/>
      <c r="E45" s="156"/>
      <c r="F45" s="156"/>
      <c r="G45" s="156"/>
      <c r="H45" s="156"/>
      <c r="I45" s="156"/>
      <c r="J45" s="156"/>
      <c r="K45" s="156"/>
      <c r="L45" s="156"/>
      <c r="M45" s="156"/>
      <c r="N45" s="156"/>
      <c r="O45" s="156"/>
      <c r="P45" s="156"/>
      <c r="Q45" s="156"/>
      <c r="R45" s="156"/>
      <c r="S45" s="156"/>
      <c r="T45" s="156"/>
      <c r="U45" s="156"/>
      <c r="V45" s="156"/>
      <c r="W45" s="156"/>
      <c r="X45" s="156"/>
      <c r="Y45" s="156"/>
      <c r="Z45" s="156"/>
      <c r="AA45" s="156"/>
      <c r="AB45" s="157"/>
    </row>
    <row r="46" spans="1:28" ht="22.5" customHeight="1" x14ac:dyDescent="0.15">
      <c r="A46" s="53" t="str">
        <f t="shared" si="0"/>
        <v>松本 誠也</v>
      </c>
      <c r="B46" s="155" t="s">
        <v>185</v>
      </c>
      <c r="C46" s="156"/>
      <c r="D46" s="156"/>
      <c r="E46" s="156"/>
      <c r="F46" s="156"/>
      <c r="G46" s="156"/>
      <c r="H46" s="156"/>
      <c r="I46" s="156"/>
      <c r="J46" s="156"/>
      <c r="K46" s="156"/>
      <c r="L46" s="156"/>
      <c r="M46" s="156"/>
      <c r="N46" s="156"/>
      <c r="O46" s="156"/>
      <c r="P46" s="156"/>
      <c r="Q46" s="156"/>
      <c r="R46" s="156"/>
      <c r="S46" s="156"/>
      <c r="T46" s="156"/>
      <c r="U46" s="156"/>
      <c r="V46" s="156"/>
      <c r="W46" s="156"/>
      <c r="X46" s="156"/>
      <c r="Y46" s="156"/>
      <c r="Z46" s="156"/>
      <c r="AA46" s="156"/>
      <c r="AB46" s="157"/>
    </row>
    <row r="47" spans="1:28" ht="22.5" customHeight="1" x14ac:dyDescent="0.15">
      <c r="A47" s="53" t="str">
        <f t="shared" si="0"/>
        <v>蓑 錬太朗</v>
      </c>
      <c r="B47" s="155" t="s">
        <v>185</v>
      </c>
      <c r="C47" s="156"/>
      <c r="D47" s="156"/>
      <c r="E47" s="156"/>
      <c r="F47" s="156"/>
      <c r="G47" s="156"/>
      <c r="H47" s="156"/>
      <c r="I47" s="156"/>
      <c r="J47" s="156"/>
      <c r="K47" s="156"/>
      <c r="L47" s="156"/>
      <c r="M47" s="156"/>
      <c r="N47" s="156"/>
      <c r="O47" s="156"/>
      <c r="P47" s="156"/>
      <c r="Q47" s="156"/>
      <c r="R47" s="156"/>
      <c r="S47" s="156"/>
      <c r="T47" s="156"/>
      <c r="U47" s="156"/>
      <c r="V47" s="156"/>
      <c r="W47" s="156"/>
      <c r="X47" s="156"/>
      <c r="Y47" s="156"/>
      <c r="Z47" s="156"/>
      <c r="AA47" s="156"/>
      <c r="AB47" s="157"/>
    </row>
    <row r="48" spans="1:28" ht="22.5" customHeight="1" x14ac:dyDescent="0.15">
      <c r="A48" s="53" t="str">
        <f t="shared" si="0"/>
        <v>宮坂 蓮</v>
      </c>
      <c r="B48" s="155" t="s">
        <v>185</v>
      </c>
      <c r="C48" s="156"/>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156"/>
      <c r="AB48" s="157"/>
    </row>
    <row r="49" spans="1:29" ht="22.5" customHeight="1" x14ac:dyDescent="0.15">
      <c r="A49" s="53" t="str">
        <f t="shared" si="0"/>
        <v>百瀬 友惺</v>
      </c>
      <c r="B49" s="155" t="s">
        <v>185</v>
      </c>
      <c r="C49" s="156"/>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156"/>
      <c r="AB49" s="157"/>
    </row>
    <row r="50" spans="1:29" ht="22.5" customHeight="1" x14ac:dyDescent="0.15">
      <c r="A50" s="53" t="str">
        <f t="shared" si="0"/>
        <v>山口 陽生</v>
      </c>
      <c r="B50" s="155" t="s">
        <v>185</v>
      </c>
      <c r="C50" s="156"/>
      <c r="D50" s="156"/>
      <c r="E50" s="156"/>
      <c r="F50" s="156"/>
      <c r="G50" s="156"/>
      <c r="H50" s="156"/>
      <c r="I50" s="156"/>
      <c r="J50" s="156"/>
      <c r="K50" s="156"/>
      <c r="L50" s="156"/>
      <c r="M50" s="156"/>
      <c r="N50" s="156"/>
      <c r="O50" s="156"/>
      <c r="P50" s="156"/>
      <c r="Q50" s="156"/>
      <c r="R50" s="156"/>
      <c r="S50" s="156"/>
      <c r="T50" s="156"/>
      <c r="U50" s="156"/>
      <c r="V50" s="156"/>
      <c r="W50" s="156"/>
      <c r="X50" s="156"/>
      <c r="Y50" s="156"/>
      <c r="Z50" s="156"/>
      <c r="AA50" s="156"/>
      <c r="AB50" s="157"/>
    </row>
    <row r="51" spans="1:29" ht="22.5" customHeight="1" x14ac:dyDescent="0.15">
      <c r="A51" s="53" t="str">
        <f t="shared" si="0"/>
        <v>山越 圭</v>
      </c>
      <c r="B51" s="155" t="s">
        <v>185</v>
      </c>
      <c r="C51" s="156"/>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6"/>
      <c r="AB51" s="157"/>
    </row>
    <row r="52" spans="1:29" ht="22.5" customHeight="1" x14ac:dyDescent="0.15">
      <c r="A52" s="53" t="str">
        <f t="shared" si="0"/>
        <v>山崎 花峰</v>
      </c>
      <c r="B52" s="155" t="s">
        <v>185</v>
      </c>
      <c r="C52" s="156"/>
      <c r="D52" s="156"/>
      <c r="E52" s="156"/>
      <c r="F52" s="156"/>
      <c r="G52" s="156"/>
      <c r="H52" s="156"/>
      <c r="I52" s="156"/>
      <c r="J52" s="156"/>
      <c r="K52" s="156"/>
      <c r="L52" s="156"/>
      <c r="M52" s="156"/>
      <c r="N52" s="156"/>
      <c r="O52" s="156"/>
      <c r="P52" s="156"/>
      <c r="Q52" s="156"/>
      <c r="R52" s="156"/>
      <c r="S52" s="156"/>
      <c r="T52" s="156"/>
      <c r="U52" s="156"/>
      <c r="V52" s="156"/>
      <c r="W52" s="156"/>
      <c r="X52" s="156"/>
      <c r="Y52" s="156"/>
      <c r="Z52" s="156"/>
      <c r="AA52" s="156"/>
      <c r="AB52" s="157"/>
    </row>
    <row r="53" spans="1:29" ht="22.5" customHeight="1" x14ac:dyDescent="0.15">
      <c r="A53" s="53" t="str">
        <f t="shared" si="0"/>
        <v>山田 梨乃</v>
      </c>
      <c r="B53" s="155" t="s">
        <v>185</v>
      </c>
      <c r="C53" s="156"/>
      <c r="D53" s="156"/>
      <c r="E53" s="156"/>
      <c r="F53" s="156"/>
      <c r="G53" s="156"/>
      <c r="H53" s="156"/>
      <c r="I53" s="156"/>
      <c r="J53" s="156"/>
      <c r="K53" s="156"/>
      <c r="L53" s="156"/>
      <c r="M53" s="156"/>
      <c r="N53" s="156"/>
      <c r="O53" s="156"/>
      <c r="P53" s="156"/>
      <c r="Q53" s="156"/>
      <c r="R53" s="156"/>
      <c r="S53" s="156"/>
      <c r="T53" s="156"/>
      <c r="U53" s="156"/>
      <c r="V53" s="156"/>
      <c r="W53" s="156"/>
      <c r="X53" s="156"/>
      <c r="Y53" s="156"/>
      <c r="Z53" s="156"/>
      <c r="AA53" s="156"/>
      <c r="AB53" s="157"/>
    </row>
    <row r="54" spans="1:29" ht="22.5" customHeight="1" x14ac:dyDescent="0.15">
      <c r="A54" s="53" t="str">
        <f t="shared" si="0"/>
        <v>横井 杏奈</v>
      </c>
      <c r="B54" s="155" t="s">
        <v>185</v>
      </c>
      <c r="C54" s="156"/>
      <c r="D54" s="156"/>
      <c r="E54" s="156"/>
      <c r="F54" s="156"/>
      <c r="G54" s="156"/>
      <c r="H54" s="156"/>
      <c r="I54" s="156"/>
      <c r="J54" s="156"/>
      <c r="K54" s="156"/>
      <c r="L54" s="156"/>
      <c r="M54" s="156"/>
      <c r="N54" s="156"/>
      <c r="O54" s="156"/>
      <c r="P54" s="156"/>
      <c r="Q54" s="156"/>
      <c r="R54" s="156"/>
      <c r="S54" s="156"/>
      <c r="T54" s="156"/>
      <c r="U54" s="156"/>
      <c r="V54" s="156"/>
      <c r="W54" s="156"/>
      <c r="X54" s="156"/>
      <c r="Y54" s="156"/>
      <c r="Z54" s="156"/>
      <c r="AA54" s="156"/>
      <c r="AB54" s="157"/>
    </row>
    <row r="55" spans="1:29" ht="22.5" customHeight="1" x14ac:dyDescent="0.15">
      <c r="A55" s="53" t="str">
        <f t="shared" si="0"/>
        <v>吉田 莉彩</v>
      </c>
      <c r="B55" s="155" t="s">
        <v>185</v>
      </c>
      <c r="C55" s="156"/>
      <c r="D55" s="156"/>
      <c r="E55" s="156"/>
      <c r="F55" s="156"/>
      <c r="G55" s="156"/>
      <c r="H55" s="156"/>
      <c r="I55" s="156"/>
      <c r="J55" s="156"/>
      <c r="K55" s="156"/>
      <c r="L55" s="156"/>
      <c r="M55" s="156"/>
      <c r="N55" s="156"/>
      <c r="O55" s="156"/>
      <c r="P55" s="156"/>
      <c r="Q55" s="156"/>
      <c r="R55" s="156"/>
      <c r="S55" s="156"/>
      <c r="T55" s="156"/>
      <c r="U55" s="156"/>
      <c r="V55" s="156"/>
      <c r="W55" s="156"/>
      <c r="X55" s="156"/>
      <c r="Y55" s="156"/>
      <c r="Z55" s="156"/>
      <c r="AA55" s="156"/>
      <c r="AB55" s="157"/>
    </row>
    <row r="56" spans="1:29" ht="22.5" customHeight="1" x14ac:dyDescent="0.15">
      <c r="A56" s="53">
        <f t="shared" si="0"/>
        <v>0</v>
      </c>
      <c r="B56" s="155" t="s">
        <v>185</v>
      </c>
      <c r="C56" s="156"/>
      <c r="D56" s="156"/>
      <c r="E56" s="156"/>
      <c r="F56" s="156"/>
      <c r="G56" s="156"/>
      <c r="H56" s="156"/>
      <c r="I56" s="156"/>
      <c r="J56" s="156"/>
      <c r="K56" s="156"/>
      <c r="L56" s="156"/>
      <c r="M56" s="156"/>
      <c r="N56" s="156"/>
      <c r="O56" s="156"/>
      <c r="P56" s="156"/>
      <c r="Q56" s="156"/>
      <c r="R56" s="156"/>
      <c r="S56" s="156"/>
      <c r="T56" s="156"/>
      <c r="U56" s="156"/>
      <c r="V56" s="156"/>
      <c r="W56" s="156"/>
      <c r="X56" s="156"/>
      <c r="Y56" s="156"/>
      <c r="Z56" s="156"/>
      <c r="AA56" s="156"/>
      <c r="AB56" s="157"/>
    </row>
    <row r="57" spans="1:29" ht="22.5" customHeight="1" x14ac:dyDescent="0.15">
      <c r="A57" s="53">
        <f t="shared" si="0"/>
        <v>0</v>
      </c>
      <c r="B57" s="155"/>
      <c r="C57" s="156"/>
      <c r="D57" s="156"/>
      <c r="E57" s="156"/>
      <c r="F57" s="156"/>
      <c r="G57" s="156"/>
      <c r="H57" s="156"/>
      <c r="I57" s="156"/>
      <c r="J57" s="156"/>
      <c r="K57" s="156"/>
      <c r="L57" s="156"/>
      <c r="M57" s="156"/>
      <c r="N57" s="156"/>
      <c r="O57" s="156"/>
      <c r="P57" s="156"/>
      <c r="Q57" s="156"/>
      <c r="R57" s="156"/>
      <c r="S57" s="156"/>
      <c r="T57" s="156"/>
      <c r="U57" s="156"/>
      <c r="V57" s="156"/>
      <c r="W57" s="156"/>
      <c r="X57" s="156"/>
      <c r="Y57" s="156"/>
      <c r="Z57" s="156"/>
      <c r="AA57" s="156"/>
      <c r="AB57" s="157"/>
    </row>
    <row r="58" spans="1:29" ht="22.5" customHeight="1" x14ac:dyDescent="0.15">
      <c r="A58" s="53">
        <f t="shared" si="0"/>
        <v>0</v>
      </c>
      <c r="B58" s="155"/>
      <c r="C58" s="156"/>
      <c r="D58" s="156"/>
      <c r="E58" s="156"/>
      <c r="F58" s="156"/>
      <c r="G58" s="156"/>
      <c r="H58" s="156"/>
      <c r="I58" s="156"/>
      <c r="J58" s="156"/>
      <c r="K58" s="156"/>
      <c r="L58" s="156"/>
      <c r="M58" s="156"/>
      <c r="N58" s="156"/>
      <c r="O58" s="156"/>
      <c r="P58" s="156"/>
      <c r="Q58" s="156"/>
      <c r="R58" s="156"/>
      <c r="S58" s="156"/>
      <c r="T58" s="156"/>
      <c r="U58" s="156"/>
      <c r="V58" s="156"/>
      <c r="W58" s="156"/>
      <c r="X58" s="156"/>
      <c r="Y58" s="156"/>
      <c r="Z58" s="156"/>
      <c r="AA58" s="156"/>
      <c r="AB58" s="157"/>
    </row>
    <row r="59" spans="1:29" ht="22.5" customHeight="1" x14ac:dyDescent="0.15">
      <c r="A59" s="53">
        <f t="shared" si="0"/>
        <v>0</v>
      </c>
      <c r="B59" s="155"/>
      <c r="C59" s="156"/>
      <c r="D59" s="156"/>
      <c r="E59" s="156"/>
      <c r="F59" s="156"/>
      <c r="G59" s="156"/>
      <c r="H59" s="156"/>
      <c r="I59" s="156"/>
      <c r="J59" s="156"/>
      <c r="K59" s="156"/>
      <c r="L59" s="156"/>
      <c r="M59" s="156"/>
      <c r="N59" s="156"/>
      <c r="O59" s="156"/>
      <c r="P59" s="156"/>
      <c r="Q59" s="156"/>
      <c r="R59" s="156"/>
      <c r="S59" s="156"/>
      <c r="T59" s="156"/>
      <c r="U59" s="156"/>
      <c r="V59" s="156"/>
      <c r="W59" s="156"/>
      <c r="X59" s="156"/>
      <c r="Y59" s="156"/>
      <c r="Z59" s="156"/>
      <c r="AA59" s="156"/>
      <c r="AB59" s="157"/>
      <c r="AC59" s="31" t="s">
        <v>21</v>
      </c>
    </row>
    <row r="60" spans="1:29" ht="24" customHeight="1" x14ac:dyDescent="0.15">
      <c r="A60" s="169" t="s">
        <v>8</v>
      </c>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1"/>
      <c r="AC60" s="2" t="s">
        <v>286</v>
      </c>
    </row>
    <row r="61" spans="1:29" ht="77.25" customHeight="1" x14ac:dyDescent="0.15">
      <c r="A61" s="53" t="str">
        <f>A35</f>
        <v>池田 光之介</v>
      </c>
      <c r="B61" s="172" t="s">
        <v>287</v>
      </c>
      <c r="C61" s="173" t="s">
        <v>186</v>
      </c>
      <c r="D61" s="173" t="s">
        <v>186</v>
      </c>
      <c r="E61" s="173" t="s">
        <v>186</v>
      </c>
      <c r="F61" s="173" t="s">
        <v>186</v>
      </c>
      <c r="G61" s="173" t="s">
        <v>186</v>
      </c>
      <c r="H61" s="173" t="s">
        <v>186</v>
      </c>
      <c r="I61" s="173" t="s">
        <v>186</v>
      </c>
      <c r="J61" s="173" t="s">
        <v>186</v>
      </c>
      <c r="K61" s="173" t="s">
        <v>186</v>
      </c>
      <c r="L61" s="173" t="s">
        <v>186</v>
      </c>
      <c r="M61" s="173" t="s">
        <v>186</v>
      </c>
      <c r="N61" s="173" t="s">
        <v>186</v>
      </c>
      <c r="O61" s="173" t="s">
        <v>186</v>
      </c>
      <c r="P61" s="173" t="s">
        <v>186</v>
      </c>
      <c r="Q61" s="173" t="s">
        <v>186</v>
      </c>
      <c r="R61" s="173" t="s">
        <v>186</v>
      </c>
      <c r="S61" s="173" t="s">
        <v>186</v>
      </c>
      <c r="T61" s="173" t="s">
        <v>186</v>
      </c>
      <c r="U61" s="173" t="s">
        <v>186</v>
      </c>
      <c r="V61" s="173" t="s">
        <v>186</v>
      </c>
      <c r="W61" s="173" t="s">
        <v>186</v>
      </c>
      <c r="X61" s="173" t="s">
        <v>186</v>
      </c>
      <c r="Y61" s="173" t="s">
        <v>186</v>
      </c>
      <c r="Z61" s="173" t="s">
        <v>186</v>
      </c>
      <c r="AA61" s="173" t="s">
        <v>186</v>
      </c>
      <c r="AB61" s="174" t="s">
        <v>186</v>
      </c>
      <c r="AC61" s="2">
        <f>LEN(B61)</f>
        <v>447</v>
      </c>
    </row>
    <row r="62" spans="1:29" ht="77.25" customHeight="1" x14ac:dyDescent="0.15">
      <c r="A62" s="53" t="str">
        <f t="shared" ref="A62:A85" si="1">A36</f>
        <v>上原 光</v>
      </c>
      <c r="B62" s="172" t="s">
        <v>288</v>
      </c>
      <c r="C62" s="173" t="s">
        <v>187</v>
      </c>
      <c r="D62" s="173" t="s">
        <v>187</v>
      </c>
      <c r="E62" s="173" t="s">
        <v>187</v>
      </c>
      <c r="F62" s="173" t="s">
        <v>187</v>
      </c>
      <c r="G62" s="173" t="s">
        <v>187</v>
      </c>
      <c r="H62" s="173" t="s">
        <v>187</v>
      </c>
      <c r="I62" s="173" t="s">
        <v>187</v>
      </c>
      <c r="J62" s="173" t="s">
        <v>187</v>
      </c>
      <c r="K62" s="173" t="s">
        <v>187</v>
      </c>
      <c r="L62" s="173" t="s">
        <v>187</v>
      </c>
      <c r="M62" s="173" t="s">
        <v>187</v>
      </c>
      <c r="N62" s="173" t="s">
        <v>187</v>
      </c>
      <c r="O62" s="173" t="s">
        <v>187</v>
      </c>
      <c r="P62" s="173" t="s">
        <v>187</v>
      </c>
      <c r="Q62" s="173" t="s">
        <v>187</v>
      </c>
      <c r="R62" s="173" t="s">
        <v>187</v>
      </c>
      <c r="S62" s="173" t="s">
        <v>187</v>
      </c>
      <c r="T62" s="173" t="s">
        <v>187</v>
      </c>
      <c r="U62" s="173" t="s">
        <v>187</v>
      </c>
      <c r="V62" s="173" t="s">
        <v>187</v>
      </c>
      <c r="W62" s="173" t="s">
        <v>187</v>
      </c>
      <c r="X62" s="173" t="s">
        <v>187</v>
      </c>
      <c r="Y62" s="173" t="s">
        <v>187</v>
      </c>
      <c r="Z62" s="173" t="s">
        <v>187</v>
      </c>
      <c r="AA62" s="173" t="s">
        <v>187</v>
      </c>
      <c r="AB62" s="174" t="s">
        <v>187</v>
      </c>
      <c r="AC62" s="2">
        <f t="shared" ref="AC62:AC85" si="2">LEN(B62)</f>
        <v>439</v>
      </c>
    </row>
    <row r="63" spans="1:29" ht="77.25" customHeight="1" x14ac:dyDescent="0.15">
      <c r="A63" s="53" t="str">
        <f t="shared" si="1"/>
        <v>大山 実日子</v>
      </c>
      <c r="B63" s="172" t="s">
        <v>289</v>
      </c>
      <c r="C63" s="173" t="s">
        <v>188</v>
      </c>
      <c r="D63" s="173" t="s">
        <v>188</v>
      </c>
      <c r="E63" s="173" t="s">
        <v>188</v>
      </c>
      <c r="F63" s="173" t="s">
        <v>188</v>
      </c>
      <c r="G63" s="173" t="s">
        <v>188</v>
      </c>
      <c r="H63" s="173" t="s">
        <v>188</v>
      </c>
      <c r="I63" s="173" t="s">
        <v>188</v>
      </c>
      <c r="J63" s="173" t="s">
        <v>188</v>
      </c>
      <c r="K63" s="173" t="s">
        <v>188</v>
      </c>
      <c r="L63" s="173" t="s">
        <v>188</v>
      </c>
      <c r="M63" s="173" t="s">
        <v>188</v>
      </c>
      <c r="N63" s="173" t="s">
        <v>188</v>
      </c>
      <c r="O63" s="173" t="s">
        <v>188</v>
      </c>
      <c r="P63" s="173" t="s">
        <v>188</v>
      </c>
      <c r="Q63" s="173" t="s">
        <v>188</v>
      </c>
      <c r="R63" s="173" t="s">
        <v>188</v>
      </c>
      <c r="S63" s="173" t="s">
        <v>188</v>
      </c>
      <c r="T63" s="173" t="s">
        <v>188</v>
      </c>
      <c r="U63" s="173" t="s">
        <v>188</v>
      </c>
      <c r="V63" s="173" t="s">
        <v>188</v>
      </c>
      <c r="W63" s="173" t="s">
        <v>188</v>
      </c>
      <c r="X63" s="173" t="s">
        <v>188</v>
      </c>
      <c r="Y63" s="173" t="s">
        <v>188</v>
      </c>
      <c r="Z63" s="173" t="s">
        <v>188</v>
      </c>
      <c r="AA63" s="173" t="s">
        <v>188</v>
      </c>
      <c r="AB63" s="174" t="s">
        <v>188</v>
      </c>
      <c r="AC63" s="2">
        <f t="shared" si="2"/>
        <v>448</v>
      </c>
    </row>
    <row r="64" spans="1:29" ht="77.25" customHeight="1" x14ac:dyDescent="0.15">
      <c r="A64" s="53" t="str">
        <f t="shared" si="1"/>
        <v>窪田 朋子</v>
      </c>
      <c r="B64" s="172" t="s">
        <v>290</v>
      </c>
      <c r="C64" s="173" t="s">
        <v>189</v>
      </c>
      <c r="D64" s="173" t="s">
        <v>189</v>
      </c>
      <c r="E64" s="173" t="s">
        <v>189</v>
      </c>
      <c r="F64" s="173" t="s">
        <v>189</v>
      </c>
      <c r="G64" s="173" t="s">
        <v>189</v>
      </c>
      <c r="H64" s="173" t="s">
        <v>189</v>
      </c>
      <c r="I64" s="173" t="s">
        <v>189</v>
      </c>
      <c r="J64" s="173" t="s">
        <v>189</v>
      </c>
      <c r="K64" s="173" t="s">
        <v>189</v>
      </c>
      <c r="L64" s="173" t="s">
        <v>189</v>
      </c>
      <c r="M64" s="173" t="s">
        <v>189</v>
      </c>
      <c r="N64" s="173" t="s">
        <v>189</v>
      </c>
      <c r="O64" s="173" t="s">
        <v>189</v>
      </c>
      <c r="P64" s="173" t="s">
        <v>189</v>
      </c>
      <c r="Q64" s="173" t="s">
        <v>189</v>
      </c>
      <c r="R64" s="173" t="s">
        <v>189</v>
      </c>
      <c r="S64" s="173" t="s">
        <v>189</v>
      </c>
      <c r="T64" s="173" t="s">
        <v>189</v>
      </c>
      <c r="U64" s="173" t="s">
        <v>189</v>
      </c>
      <c r="V64" s="173" t="s">
        <v>189</v>
      </c>
      <c r="W64" s="173" t="s">
        <v>189</v>
      </c>
      <c r="X64" s="173" t="s">
        <v>189</v>
      </c>
      <c r="Y64" s="173" t="s">
        <v>189</v>
      </c>
      <c r="Z64" s="173" t="s">
        <v>189</v>
      </c>
      <c r="AA64" s="173" t="s">
        <v>189</v>
      </c>
      <c r="AB64" s="174" t="s">
        <v>189</v>
      </c>
      <c r="AC64" s="2">
        <f t="shared" si="2"/>
        <v>431</v>
      </c>
    </row>
    <row r="65" spans="1:29" ht="77.25" customHeight="1" x14ac:dyDescent="0.15">
      <c r="A65" s="53" t="str">
        <f t="shared" si="1"/>
        <v>小林 晴嶺</v>
      </c>
      <c r="B65" s="172" t="s">
        <v>291</v>
      </c>
      <c r="C65" s="173" t="s">
        <v>190</v>
      </c>
      <c r="D65" s="173" t="s">
        <v>190</v>
      </c>
      <c r="E65" s="173" t="s">
        <v>190</v>
      </c>
      <c r="F65" s="173" t="s">
        <v>190</v>
      </c>
      <c r="G65" s="173" t="s">
        <v>190</v>
      </c>
      <c r="H65" s="173" t="s">
        <v>190</v>
      </c>
      <c r="I65" s="173" t="s">
        <v>190</v>
      </c>
      <c r="J65" s="173" t="s">
        <v>190</v>
      </c>
      <c r="K65" s="173" t="s">
        <v>190</v>
      </c>
      <c r="L65" s="173" t="s">
        <v>190</v>
      </c>
      <c r="M65" s="173" t="s">
        <v>190</v>
      </c>
      <c r="N65" s="173" t="s">
        <v>190</v>
      </c>
      <c r="O65" s="173" t="s">
        <v>190</v>
      </c>
      <c r="P65" s="173" t="s">
        <v>190</v>
      </c>
      <c r="Q65" s="173" t="s">
        <v>190</v>
      </c>
      <c r="R65" s="173" t="s">
        <v>190</v>
      </c>
      <c r="S65" s="173" t="s">
        <v>190</v>
      </c>
      <c r="T65" s="173" t="s">
        <v>190</v>
      </c>
      <c r="U65" s="173" t="s">
        <v>190</v>
      </c>
      <c r="V65" s="173" t="s">
        <v>190</v>
      </c>
      <c r="W65" s="173" t="s">
        <v>190</v>
      </c>
      <c r="X65" s="173" t="s">
        <v>190</v>
      </c>
      <c r="Y65" s="173" t="s">
        <v>190</v>
      </c>
      <c r="Z65" s="173" t="s">
        <v>190</v>
      </c>
      <c r="AA65" s="173" t="s">
        <v>190</v>
      </c>
      <c r="AB65" s="174" t="s">
        <v>190</v>
      </c>
      <c r="AC65" s="2">
        <f t="shared" si="2"/>
        <v>443</v>
      </c>
    </row>
    <row r="66" spans="1:29" ht="77.25" customHeight="1" x14ac:dyDescent="0.15">
      <c r="A66" s="53" t="str">
        <f t="shared" si="1"/>
        <v>大工原 光輝</v>
      </c>
      <c r="B66" s="172" t="s">
        <v>292</v>
      </c>
      <c r="C66" s="173" t="s">
        <v>191</v>
      </c>
      <c r="D66" s="173" t="s">
        <v>191</v>
      </c>
      <c r="E66" s="173" t="s">
        <v>191</v>
      </c>
      <c r="F66" s="173" t="s">
        <v>191</v>
      </c>
      <c r="G66" s="173" t="s">
        <v>191</v>
      </c>
      <c r="H66" s="173" t="s">
        <v>191</v>
      </c>
      <c r="I66" s="173" t="s">
        <v>191</v>
      </c>
      <c r="J66" s="173" t="s">
        <v>191</v>
      </c>
      <c r="K66" s="173" t="s">
        <v>191</v>
      </c>
      <c r="L66" s="173" t="s">
        <v>191</v>
      </c>
      <c r="M66" s="173" t="s">
        <v>191</v>
      </c>
      <c r="N66" s="173" t="s">
        <v>191</v>
      </c>
      <c r="O66" s="173" t="s">
        <v>191</v>
      </c>
      <c r="P66" s="173" t="s">
        <v>191</v>
      </c>
      <c r="Q66" s="173" t="s">
        <v>191</v>
      </c>
      <c r="R66" s="173" t="s">
        <v>191</v>
      </c>
      <c r="S66" s="173" t="s">
        <v>191</v>
      </c>
      <c r="T66" s="173" t="s">
        <v>191</v>
      </c>
      <c r="U66" s="173" t="s">
        <v>191</v>
      </c>
      <c r="V66" s="173" t="s">
        <v>191</v>
      </c>
      <c r="W66" s="173" t="s">
        <v>191</v>
      </c>
      <c r="X66" s="173" t="s">
        <v>191</v>
      </c>
      <c r="Y66" s="173" t="s">
        <v>191</v>
      </c>
      <c r="Z66" s="173" t="s">
        <v>191</v>
      </c>
      <c r="AA66" s="173" t="s">
        <v>191</v>
      </c>
      <c r="AB66" s="174" t="s">
        <v>191</v>
      </c>
      <c r="AC66" s="2">
        <f t="shared" si="2"/>
        <v>414</v>
      </c>
    </row>
    <row r="67" spans="1:29" ht="77.25" customHeight="1" x14ac:dyDescent="0.15">
      <c r="A67" s="53" t="str">
        <f t="shared" si="1"/>
        <v>橘 くるみ</v>
      </c>
      <c r="B67" s="172" t="s">
        <v>293</v>
      </c>
      <c r="C67" s="173" t="s">
        <v>192</v>
      </c>
      <c r="D67" s="173" t="s">
        <v>192</v>
      </c>
      <c r="E67" s="173" t="s">
        <v>192</v>
      </c>
      <c r="F67" s="173" t="s">
        <v>192</v>
      </c>
      <c r="G67" s="173" t="s">
        <v>192</v>
      </c>
      <c r="H67" s="173" t="s">
        <v>192</v>
      </c>
      <c r="I67" s="173" t="s">
        <v>192</v>
      </c>
      <c r="J67" s="173" t="s">
        <v>192</v>
      </c>
      <c r="K67" s="173" t="s">
        <v>192</v>
      </c>
      <c r="L67" s="173" t="s">
        <v>192</v>
      </c>
      <c r="M67" s="173" t="s">
        <v>192</v>
      </c>
      <c r="N67" s="173" t="s">
        <v>192</v>
      </c>
      <c r="O67" s="173" t="s">
        <v>192</v>
      </c>
      <c r="P67" s="173" t="s">
        <v>192</v>
      </c>
      <c r="Q67" s="173" t="s">
        <v>192</v>
      </c>
      <c r="R67" s="173" t="s">
        <v>192</v>
      </c>
      <c r="S67" s="173" t="s">
        <v>192</v>
      </c>
      <c r="T67" s="173" t="s">
        <v>192</v>
      </c>
      <c r="U67" s="173" t="s">
        <v>192</v>
      </c>
      <c r="V67" s="173" t="s">
        <v>192</v>
      </c>
      <c r="W67" s="173" t="s">
        <v>192</v>
      </c>
      <c r="X67" s="173" t="s">
        <v>192</v>
      </c>
      <c r="Y67" s="173" t="s">
        <v>192</v>
      </c>
      <c r="Z67" s="173" t="s">
        <v>192</v>
      </c>
      <c r="AA67" s="173" t="s">
        <v>192</v>
      </c>
      <c r="AB67" s="174" t="s">
        <v>192</v>
      </c>
      <c r="AC67" s="2">
        <f t="shared" si="2"/>
        <v>416</v>
      </c>
    </row>
    <row r="68" spans="1:29" ht="77.25" customHeight="1" x14ac:dyDescent="0.15">
      <c r="A68" s="53" t="str">
        <f t="shared" si="1"/>
        <v>等々力 悠人</v>
      </c>
      <c r="B68" s="172" t="s">
        <v>294</v>
      </c>
      <c r="C68" s="173" t="s">
        <v>193</v>
      </c>
      <c r="D68" s="173" t="s">
        <v>193</v>
      </c>
      <c r="E68" s="173" t="s">
        <v>193</v>
      </c>
      <c r="F68" s="173" t="s">
        <v>193</v>
      </c>
      <c r="G68" s="173" t="s">
        <v>193</v>
      </c>
      <c r="H68" s="173" t="s">
        <v>193</v>
      </c>
      <c r="I68" s="173" t="s">
        <v>193</v>
      </c>
      <c r="J68" s="173" t="s">
        <v>193</v>
      </c>
      <c r="K68" s="173" t="s">
        <v>193</v>
      </c>
      <c r="L68" s="173" t="s">
        <v>193</v>
      </c>
      <c r="M68" s="173" t="s">
        <v>193</v>
      </c>
      <c r="N68" s="173" t="s">
        <v>193</v>
      </c>
      <c r="O68" s="173" t="s">
        <v>193</v>
      </c>
      <c r="P68" s="173" t="s">
        <v>193</v>
      </c>
      <c r="Q68" s="173" t="s">
        <v>193</v>
      </c>
      <c r="R68" s="173" t="s">
        <v>193</v>
      </c>
      <c r="S68" s="173" t="s">
        <v>193</v>
      </c>
      <c r="T68" s="173" t="s">
        <v>193</v>
      </c>
      <c r="U68" s="173" t="s">
        <v>193</v>
      </c>
      <c r="V68" s="173" t="s">
        <v>193</v>
      </c>
      <c r="W68" s="173" t="s">
        <v>193</v>
      </c>
      <c r="X68" s="173" t="s">
        <v>193</v>
      </c>
      <c r="Y68" s="173" t="s">
        <v>193</v>
      </c>
      <c r="Z68" s="173" t="s">
        <v>193</v>
      </c>
      <c r="AA68" s="173" t="s">
        <v>193</v>
      </c>
      <c r="AB68" s="174" t="s">
        <v>193</v>
      </c>
      <c r="AC68" s="2">
        <f t="shared" si="2"/>
        <v>439</v>
      </c>
    </row>
    <row r="69" spans="1:29" ht="77.25" customHeight="1" x14ac:dyDescent="0.15">
      <c r="A69" s="53" t="str">
        <f t="shared" si="1"/>
        <v>中島 麟香</v>
      </c>
      <c r="B69" s="172" t="s">
        <v>295</v>
      </c>
      <c r="C69" s="173" t="s">
        <v>194</v>
      </c>
      <c r="D69" s="173" t="s">
        <v>194</v>
      </c>
      <c r="E69" s="173" t="s">
        <v>194</v>
      </c>
      <c r="F69" s="173" t="s">
        <v>194</v>
      </c>
      <c r="G69" s="173" t="s">
        <v>194</v>
      </c>
      <c r="H69" s="173" t="s">
        <v>194</v>
      </c>
      <c r="I69" s="173" t="s">
        <v>194</v>
      </c>
      <c r="J69" s="173" t="s">
        <v>194</v>
      </c>
      <c r="K69" s="173" t="s">
        <v>194</v>
      </c>
      <c r="L69" s="173" t="s">
        <v>194</v>
      </c>
      <c r="M69" s="173" t="s">
        <v>194</v>
      </c>
      <c r="N69" s="173" t="s">
        <v>194</v>
      </c>
      <c r="O69" s="173" t="s">
        <v>194</v>
      </c>
      <c r="P69" s="173" t="s">
        <v>194</v>
      </c>
      <c r="Q69" s="173" t="s">
        <v>194</v>
      </c>
      <c r="R69" s="173" t="s">
        <v>194</v>
      </c>
      <c r="S69" s="173" t="s">
        <v>194</v>
      </c>
      <c r="T69" s="173" t="s">
        <v>194</v>
      </c>
      <c r="U69" s="173" t="s">
        <v>194</v>
      </c>
      <c r="V69" s="173" t="s">
        <v>194</v>
      </c>
      <c r="W69" s="173" t="s">
        <v>194</v>
      </c>
      <c r="X69" s="173" t="s">
        <v>194</v>
      </c>
      <c r="Y69" s="173" t="s">
        <v>194</v>
      </c>
      <c r="Z69" s="173" t="s">
        <v>194</v>
      </c>
      <c r="AA69" s="173" t="s">
        <v>194</v>
      </c>
      <c r="AB69" s="174" t="s">
        <v>194</v>
      </c>
      <c r="AC69" s="2">
        <f t="shared" si="2"/>
        <v>419</v>
      </c>
    </row>
    <row r="70" spans="1:29" ht="77.25" customHeight="1" x14ac:dyDescent="0.15">
      <c r="A70" s="53" t="str">
        <f t="shared" si="1"/>
        <v>新村 亮太</v>
      </c>
      <c r="B70" s="172" t="s">
        <v>296</v>
      </c>
      <c r="C70" s="173" t="s">
        <v>195</v>
      </c>
      <c r="D70" s="173" t="s">
        <v>195</v>
      </c>
      <c r="E70" s="173" t="s">
        <v>195</v>
      </c>
      <c r="F70" s="173" t="s">
        <v>195</v>
      </c>
      <c r="G70" s="173" t="s">
        <v>195</v>
      </c>
      <c r="H70" s="173" t="s">
        <v>195</v>
      </c>
      <c r="I70" s="173" t="s">
        <v>195</v>
      </c>
      <c r="J70" s="173" t="s">
        <v>195</v>
      </c>
      <c r="K70" s="173" t="s">
        <v>195</v>
      </c>
      <c r="L70" s="173" t="s">
        <v>195</v>
      </c>
      <c r="M70" s="173" t="s">
        <v>195</v>
      </c>
      <c r="N70" s="173" t="s">
        <v>195</v>
      </c>
      <c r="O70" s="173" t="s">
        <v>195</v>
      </c>
      <c r="P70" s="173" t="s">
        <v>195</v>
      </c>
      <c r="Q70" s="173" t="s">
        <v>195</v>
      </c>
      <c r="R70" s="173" t="s">
        <v>195</v>
      </c>
      <c r="S70" s="173" t="s">
        <v>195</v>
      </c>
      <c r="T70" s="173" t="s">
        <v>195</v>
      </c>
      <c r="U70" s="173" t="s">
        <v>195</v>
      </c>
      <c r="V70" s="173" t="s">
        <v>195</v>
      </c>
      <c r="W70" s="173" t="s">
        <v>195</v>
      </c>
      <c r="X70" s="173" t="s">
        <v>195</v>
      </c>
      <c r="Y70" s="173" t="s">
        <v>195</v>
      </c>
      <c r="Z70" s="173" t="s">
        <v>195</v>
      </c>
      <c r="AA70" s="173" t="s">
        <v>195</v>
      </c>
      <c r="AB70" s="174" t="s">
        <v>195</v>
      </c>
      <c r="AC70" s="2">
        <f t="shared" si="2"/>
        <v>447</v>
      </c>
    </row>
    <row r="71" spans="1:29" ht="77.25" customHeight="1" x14ac:dyDescent="0.15">
      <c r="A71" s="53" t="str">
        <f t="shared" si="1"/>
        <v>伏見 真人</v>
      </c>
      <c r="B71" s="172" t="s">
        <v>297</v>
      </c>
      <c r="C71" s="173" t="s">
        <v>196</v>
      </c>
      <c r="D71" s="173" t="s">
        <v>196</v>
      </c>
      <c r="E71" s="173" t="s">
        <v>196</v>
      </c>
      <c r="F71" s="173" t="s">
        <v>196</v>
      </c>
      <c r="G71" s="173" t="s">
        <v>196</v>
      </c>
      <c r="H71" s="173" t="s">
        <v>196</v>
      </c>
      <c r="I71" s="173" t="s">
        <v>196</v>
      </c>
      <c r="J71" s="173" t="s">
        <v>196</v>
      </c>
      <c r="K71" s="173" t="s">
        <v>196</v>
      </c>
      <c r="L71" s="173" t="s">
        <v>196</v>
      </c>
      <c r="M71" s="173" t="s">
        <v>196</v>
      </c>
      <c r="N71" s="173" t="s">
        <v>196</v>
      </c>
      <c r="O71" s="173" t="s">
        <v>196</v>
      </c>
      <c r="P71" s="173" t="s">
        <v>196</v>
      </c>
      <c r="Q71" s="173" t="s">
        <v>196</v>
      </c>
      <c r="R71" s="173" t="s">
        <v>196</v>
      </c>
      <c r="S71" s="173" t="s">
        <v>196</v>
      </c>
      <c r="T71" s="173" t="s">
        <v>196</v>
      </c>
      <c r="U71" s="173" t="s">
        <v>196</v>
      </c>
      <c r="V71" s="173" t="s">
        <v>196</v>
      </c>
      <c r="W71" s="173" t="s">
        <v>196</v>
      </c>
      <c r="X71" s="173" t="s">
        <v>196</v>
      </c>
      <c r="Y71" s="173" t="s">
        <v>196</v>
      </c>
      <c r="Z71" s="173" t="s">
        <v>196</v>
      </c>
      <c r="AA71" s="173" t="s">
        <v>196</v>
      </c>
      <c r="AB71" s="174" t="s">
        <v>196</v>
      </c>
      <c r="AC71" s="2">
        <f t="shared" si="2"/>
        <v>434</v>
      </c>
    </row>
    <row r="72" spans="1:29" ht="77.25" customHeight="1" x14ac:dyDescent="0.15">
      <c r="A72" s="53" t="str">
        <f t="shared" si="1"/>
        <v>松本 誠也</v>
      </c>
      <c r="B72" s="172" t="s">
        <v>298</v>
      </c>
      <c r="C72" s="173" t="s">
        <v>197</v>
      </c>
      <c r="D72" s="173" t="s">
        <v>197</v>
      </c>
      <c r="E72" s="173" t="s">
        <v>197</v>
      </c>
      <c r="F72" s="173" t="s">
        <v>197</v>
      </c>
      <c r="G72" s="173" t="s">
        <v>197</v>
      </c>
      <c r="H72" s="173" t="s">
        <v>197</v>
      </c>
      <c r="I72" s="173" t="s">
        <v>197</v>
      </c>
      <c r="J72" s="173" t="s">
        <v>197</v>
      </c>
      <c r="K72" s="173" t="s">
        <v>197</v>
      </c>
      <c r="L72" s="173" t="s">
        <v>197</v>
      </c>
      <c r="M72" s="173" t="s">
        <v>197</v>
      </c>
      <c r="N72" s="173" t="s">
        <v>197</v>
      </c>
      <c r="O72" s="173" t="s">
        <v>197</v>
      </c>
      <c r="P72" s="173" t="s">
        <v>197</v>
      </c>
      <c r="Q72" s="173" t="s">
        <v>197</v>
      </c>
      <c r="R72" s="173" t="s">
        <v>197</v>
      </c>
      <c r="S72" s="173" t="s">
        <v>197</v>
      </c>
      <c r="T72" s="173" t="s">
        <v>197</v>
      </c>
      <c r="U72" s="173" t="s">
        <v>197</v>
      </c>
      <c r="V72" s="173" t="s">
        <v>197</v>
      </c>
      <c r="W72" s="173" t="s">
        <v>197</v>
      </c>
      <c r="X72" s="173" t="s">
        <v>197</v>
      </c>
      <c r="Y72" s="173" t="s">
        <v>197</v>
      </c>
      <c r="Z72" s="173" t="s">
        <v>197</v>
      </c>
      <c r="AA72" s="173" t="s">
        <v>197</v>
      </c>
      <c r="AB72" s="174" t="s">
        <v>197</v>
      </c>
      <c r="AC72" s="2">
        <f t="shared" si="2"/>
        <v>449</v>
      </c>
    </row>
    <row r="73" spans="1:29" ht="77.25" customHeight="1" x14ac:dyDescent="0.15">
      <c r="A73" s="53" t="str">
        <f t="shared" si="1"/>
        <v>蓑 錬太朗</v>
      </c>
      <c r="B73" s="172" t="s">
        <v>299</v>
      </c>
      <c r="C73" s="173" t="s">
        <v>198</v>
      </c>
      <c r="D73" s="173" t="s">
        <v>198</v>
      </c>
      <c r="E73" s="173" t="s">
        <v>198</v>
      </c>
      <c r="F73" s="173" t="s">
        <v>198</v>
      </c>
      <c r="G73" s="173" t="s">
        <v>198</v>
      </c>
      <c r="H73" s="173" t="s">
        <v>198</v>
      </c>
      <c r="I73" s="173" t="s">
        <v>198</v>
      </c>
      <c r="J73" s="173" t="s">
        <v>198</v>
      </c>
      <c r="K73" s="173" t="s">
        <v>198</v>
      </c>
      <c r="L73" s="173" t="s">
        <v>198</v>
      </c>
      <c r="M73" s="173" t="s">
        <v>198</v>
      </c>
      <c r="N73" s="173" t="s">
        <v>198</v>
      </c>
      <c r="O73" s="173" t="s">
        <v>198</v>
      </c>
      <c r="P73" s="173" t="s">
        <v>198</v>
      </c>
      <c r="Q73" s="173" t="s">
        <v>198</v>
      </c>
      <c r="R73" s="173" t="s">
        <v>198</v>
      </c>
      <c r="S73" s="173" t="s">
        <v>198</v>
      </c>
      <c r="T73" s="173" t="s">
        <v>198</v>
      </c>
      <c r="U73" s="173" t="s">
        <v>198</v>
      </c>
      <c r="V73" s="173" t="s">
        <v>198</v>
      </c>
      <c r="W73" s="173" t="s">
        <v>198</v>
      </c>
      <c r="X73" s="173" t="s">
        <v>198</v>
      </c>
      <c r="Y73" s="173" t="s">
        <v>198</v>
      </c>
      <c r="Z73" s="173" t="s">
        <v>198</v>
      </c>
      <c r="AA73" s="173" t="s">
        <v>198</v>
      </c>
      <c r="AB73" s="174" t="s">
        <v>198</v>
      </c>
      <c r="AC73" s="2">
        <f t="shared" si="2"/>
        <v>449</v>
      </c>
    </row>
    <row r="74" spans="1:29" ht="77.25" customHeight="1" x14ac:dyDescent="0.15">
      <c r="A74" s="53" t="str">
        <f t="shared" si="1"/>
        <v>宮坂 蓮</v>
      </c>
      <c r="B74" s="172" t="s">
        <v>300</v>
      </c>
      <c r="C74" s="173" t="s">
        <v>199</v>
      </c>
      <c r="D74" s="173" t="s">
        <v>199</v>
      </c>
      <c r="E74" s="173" t="s">
        <v>199</v>
      </c>
      <c r="F74" s="173" t="s">
        <v>199</v>
      </c>
      <c r="G74" s="173" t="s">
        <v>199</v>
      </c>
      <c r="H74" s="173" t="s">
        <v>199</v>
      </c>
      <c r="I74" s="173" t="s">
        <v>199</v>
      </c>
      <c r="J74" s="173" t="s">
        <v>199</v>
      </c>
      <c r="K74" s="173" t="s">
        <v>199</v>
      </c>
      <c r="L74" s="173" t="s">
        <v>199</v>
      </c>
      <c r="M74" s="173" t="s">
        <v>199</v>
      </c>
      <c r="N74" s="173" t="s">
        <v>199</v>
      </c>
      <c r="O74" s="173" t="s">
        <v>199</v>
      </c>
      <c r="P74" s="173" t="s">
        <v>199</v>
      </c>
      <c r="Q74" s="173" t="s">
        <v>199</v>
      </c>
      <c r="R74" s="173" t="s">
        <v>199</v>
      </c>
      <c r="S74" s="173" t="s">
        <v>199</v>
      </c>
      <c r="T74" s="173" t="s">
        <v>199</v>
      </c>
      <c r="U74" s="173" t="s">
        <v>199</v>
      </c>
      <c r="V74" s="173" t="s">
        <v>199</v>
      </c>
      <c r="W74" s="173" t="s">
        <v>199</v>
      </c>
      <c r="X74" s="173" t="s">
        <v>199</v>
      </c>
      <c r="Y74" s="173" t="s">
        <v>199</v>
      </c>
      <c r="Z74" s="173" t="s">
        <v>199</v>
      </c>
      <c r="AA74" s="173" t="s">
        <v>199</v>
      </c>
      <c r="AB74" s="174" t="s">
        <v>199</v>
      </c>
      <c r="AC74" s="2">
        <f t="shared" si="2"/>
        <v>447</v>
      </c>
    </row>
    <row r="75" spans="1:29" ht="77.25" customHeight="1" x14ac:dyDescent="0.15">
      <c r="A75" s="53" t="str">
        <f t="shared" si="1"/>
        <v>百瀬 友惺</v>
      </c>
      <c r="B75" s="172" t="s">
        <v>301</v>
      </c>
      <c r="C75" s="173" t="s">
        <v>200</v>
      </c>
      <c r="D75" s="173" t="s">
        <v>200</v>
      </c>
      <c r="E75" s="173" t="s">
        <v>200</v>
      </c>
      <c r="F75" s="173" t="s">
        <v>200</v>
      </c>
      <c r="G75" s="173" t="s">
        <v>200</v>
      </c>
      <c r="H75" s="173" t="s">
        <v>200</v>
      </c>
      <c r="I75" s="173" t="s">
        <v>200</v>
      </c>
      <c r="J75" s="173" t="s">
        <v>200</v>
      </c>
      <c r="K75" s="173" t="s">
        <v>200</v>
      </c>
      <c r="L75" s="173" t="s">
        <v>200</v>
      </c>
      <c r="M75" s="173" t="s">
        <v>200</v>
      </c>
      <c r="N75" s="173" t="s">
        <v>200</v>
      </c>
      <c r="O75" s="173" t="s">
        <v>200</v>
      </c>
      <c r="P75" s="173" t="s">
        <v>200</v>
      </c>
      <c r="Q75" s="173" t="s">
        <v>200</v>
      </c>
      <c r="R75" s="173" t="s">
        <v>200</v>
      </c>
      <c r="S75" s="173" t="s">
        <v>200</v>
      </c>
      <c r="T75" s="173" t="s">
        <v>200</v>
      </c>
      <c r="U75" s="173" t="s">
        <v>200</v>
      </c>
      <c r="V75" s="173" t="s">
        <v>200</v>
      </c>
      <c r="W75" s="173" t="s">
        <v>200</v>
      </c>
      <c r="X75" s="173" t="s">
        <v>200</v>
      </c>
      <c r="Y75" s="173" t="s">
        <v>200</v>
      </c>
      <c r="Z75" s="173" t="s">
        <v>200</v>
      </c>
      <c r="AA75" s="173" t="s">
        <v>200</v>
      </c>
      <c r="AB75" s="174" t="s">
        <v>200</v>
      </c>
      <c r="AC75" s="2">
        <f t="shared" si="2"/>
        <v>426</v>
      </c>
    </row>
    <row r="76" spans="1:29" ht="77.25" customHeight="1" x14ac:dyDescent="0.15">
      <c r="A76" s="53" t="str">
        <f t="shared" si="1"/>
        <v>山口 陽生</v>
      </c>
      <c r="B76" s="172" t="s">
        <v>302</v>
      </c>
      <c r="C76" s="173" t="s">
        <v>201</v>
      </c>
      <c r="D76" s="173" t="s">
        <v>201</v>
      </c>
      <c r="E76" s="173" t="s">
        <v>201</v>
      </c>
      <c r="F76" s="173" t="s">
        <v>201</v>
      </c>
      <c r="G76" s="173" t="s">
        <v>201</v>
      </c>
      <c r="H76" s="173" t="s">
        <v>201</v>
      </c>
      <c r="I76" s="173" t="s">
        <v>201</v>
      </c>
      <c r="J76" s="173" t="s">
        <v>201</v>
      </c>
      <c r="K76" s="173" t="s">
        <v>201</v>
      </c>
      <c r="L76" s="173" t="s">
        <v>201</v>
      </c>
      <c r="M76" s="173" t="s">
        <v>201</v>
      </c>
      <c r="N76" s="173" t="s">
        <v>201</v>
      </c>
      <c r="O76" s="173" t="s">
        <v>201</v>
      </c>
      <c r="P76" s="173" t="s">
        <v>201</v>
      </c>
      <c r="Q76" s="173" t="s">
        <v>201</v>
      </c>
      <c r="R76" s="173" t="s">
        <v>201</v>
      </c>
      <c r="S76" s="173" t="s">
        <v>201</v>
      </c>
      <c r="T76" s="173" t="s">
        <v>201</v>
      </c>
      <c r="U76" s="173" t="s">
        <v>201</v>
      </c>
      <c r="V76" s="173" t="s">
        <v>201</v>
      </c>
      <c r="W76" s="173" t="s">
        <v>201</v>
      </c>
      <c r="X76" s="173" t="s">
        <v>201</v>
      </c>
      <c r="Y76" s="173" t="s">
        <v>201</v>
      </c>
      <c r="Z76" s="173" t="s">
        <v>201</v>
      </c>
      <c r="AA76" s="173" t="s">
        <v>201</v>
      </c>
      <c r="AB76" s="174" t="s">
        <v>201</v>
      </c>
      <c r="AC76" s="2">
        <f t="shared" si="2"/>
        <v>438</v>
      </c>
    </row>
    <row r="77" spans="1:29" ht="77.25" customHeight="1" x14ac:dyDescent="0.15">
      <c r="A77" s="53" t="str">
        <f t="shared" si="1"/>
        <v>山越 圭</v>
      </c>
      <c r="B77" s="172" t="s">
        <v>303</v>
      </c>
      <c r="C77" s="173" t="s">
        <v>202</v>
      </c>
      <c r="D77" s="173" t="s">
        <v>202</v>
      </c>
      <c r="E77" s="173" t="s">
        <v>202</v>
      </c>
      <c r="F77" s="173" t="s">
        <v>202</v>
      </c>
      <c r="G77" s="173" t="s">
        <v>202</v>
      </c>
      <c r="H77" s="173" t="s">
        <v>202</v>
      </c>
      <c r="I77" s="173" t="s">
        <v>202</v>
      </c>
      <c r="J77" s="173" t="s">
        <v>202</v>
      </c>
      <c r="K77" s="173" t="s">
        <v>202</v>
      </c>
      <c r="L77" s="173" t="s">
        <v>202</v>
      </c>
      <c r="M77" s="173" t="s">
        <v>202</v>
      </c>
      <c r="N77" s="173" t="s">
        <v>202</v>
      </c>
      <c r="O77" s="173" t="s">
        <v>202</v>
      </c>
      <c r="P77" s="173" t="s">
        <v>202</v>
      </c>
      <c r="Q77" s="173" t="s">
        <v>202</v>
      </c>
      <c r="R77" s="173" t="s">
        <v>202</v>
      </c>
      <c r="S77" s="173" t="s">
        <v>202</v>
      </c>
      <c r="T77" s="173" t="s">
        <v>202</v>
      </c>
      <c r="U77" s="173" t="s">
        <v>202</v>
      </c>
      <c r="V77" s="173" t="s">
        <v>202</v>
      </c>
      <c r="W77" s="173" t="s">
        <v>202</v>
      </c>
      <c r="X77" s="173" t="s">
        <v>202</v>
      </c>
      <c r="Y77" s="173" t="s">
        <v>202</v>
      </c>
      <c r="Z77" s="173" t="s">
        <v>202</v>
      </c>
      <c r="AA77" s="173" t="s">
        <v>202</v>
      </c>
      <c r="AB77" s="174" t="s">
        <v>202</v>
      </c>
      <c r="AC77" s="2">
        <f t="shared" si="2"/>
        <v>426</v>
      </c>
    </row>
    <row r="78" spans="1:29" ht="77.25" customHeight="1" x14ac:dyDescent="0.15">
      <c r="A78" s="53" t="str">
        <f t="shared" si="1"/>
        <v>山崎 花峰</v>
      </c>
      <c r="B78" s="172" t="s">
        <v>304</v>
      </c>
      <c r="C78" s="173" t="s">
        <v>203</v>
      </c>
      <c r="D78" s="173" t="s">
        <v>203</v>
      </c>
      <c r="E78" s="173" t="s">
        <v>203</v>
      </c>
      <c r="F78" s="173" t="s">
        <v>203</v>
      </c>
      <c r="G78" s="173" t="s">
        <v>203</v>
      </c>
      <c r="H78" s="173" t="s">
        <v>203</v>
      </c>
      <c r="I78" s="173" t="s">
        <v>203</v>
      </c>
      <c r="J78" s="173" t="s">
        <v>203</v>
      </c>
      <c r="K78" s="173" t="s">
        <v>203</v>
      </c>
      <c r="L78" s="173" t="s">
        <v>203</v>
      </c>
      <c r="M78" s="173" t="s">
        <v>203</v>
      </c>
      <c r="N78" s="173" t="s">
        <v>203</v>
      </c>
      <c r="O78" s="173" t="s">
        <v>203</v>
      </c>
      <c r="P78" s="173" t="s">
        <v>203</v>
      </c>
      <c r="Q78" s="173" t="s">
        <v>203</v>
      </c>
      <c r="R78" s="173" t="s">
        <v>203</v>
      </c>
      <c r="S78" s="173" t="s">
        <v>203</v>
      </c>
      <c r="T78" s="173" t="s">
        <v>203</v>
      </c>
      <c r="U78" s="173" t="s">
        <v>203</v>
      </c>
      <c r="V78" s="173" t="s">
        <v>203</v>
      </c>
      <c r="W78" s="173" t="s">
        <v>203</v>
      </c>
      <c r="X78" s="173" t="s">
        <v>203</v>
      </c>
      <c r="Y78" s="173" t="s">
        <v>203</v>
      </c>
      <c r="Z78" s="173" t="s">
        <v>203</v>
      </c>
      <c r="AA78" s="173" t="s">
        <v>203</v>
      </c>
      <c r="AB78" s="174" t="s">
        <v>203</v>
      </c>
      <c r="AC78" s="2">
        <f t="shared" si="2"/>
        <v>442</v>
      </c>
    </row>
    <row r="79" spans="1:29" ht="77.25" customHeight="1" x14ac:dyDescent="0.15">
      <c r="A79" s="53" t="str">
        <f t="shared" si="1"/>
        <v>山田 梨乃</v>
      </c>
      <c r="B79" s="172" t="s">
        <v>305</v>
      </c>
      <c r="C79" s="173" t="s">
        <v>204</v>
      </c>
      <c r="D79" s="173" t="s">
        <v>204</v>
      </c>
      <c r="E79" s="173" t="s">
        <v>204</v>
      </c>
      <c r="F79" s="173" t="s">
        <v>204</v>
      </c>
      <c r="G79" s="173" t="s">
        <v>204</v>
      </c>
      <c r="H79" s="173" t="s">
        <v>204</v>
      </c>
      <c r="I79" s="173" t="s">
        <v>204</v>
      </c>
      <c r="J79" s="173" t="s">
        <v>204</v>
      </c>
      <c r="K79" s="173" t="s">
        <v>204</v>
      </c>
      <c r="L79" s="173" t="s">
        <v>204</v>
      </c>
      <c r="M79" s="173" t="s">
        <v>204</v>
      </c>
      <c r="N79" s="173" t="s">
        <v>204</v>
      </c>
      <c r="O79" s="173" t="s">
        <v>204</v>
      </c>
      <c r="P79" s="173" t="s">
        <v>204</v>
      </c>
      <c r="Q79" s="173" t="s">
        <v>204</v>
      </c>
      <c r="R79" s="173" t="s">
        <v>204</v>
      </c>
      <c r="S79" s="173" t="s">
        <v>204</v>
      </c>
      <c r="T79" s="173" t="s">
        <v>204</v>
      </c>
      <c r="U79" s="173" t="s">
        <v>204</v>
      </c>
      <c r="V79" s="173" t="s">
        <v>204</v>
      </c>
      <c r="W79" s="173" t="s">
        <v>204</v>
      </c>
      <c r="X79" s="173" t="s">
        <v>204</v>
      </c>
      <c r="Y79" s="173" t="s">
        <v>204</v>
      </c>
      <c r="Z79" s="173" t="s">
        <v>204</v>
      </c>
      <c r="AA79" s="173" t="s">
        <v>204</v>
      </c>
      <c r="AB79" s="174" t="s">
        <v>204</v>
      </c>
      <c r="AC79" s="2">
        <f t="shared" si="2"/>
        <v>440</v>
      </c>
    </row>
    <row r="80" spans="1:29" ht="77.25" customHeight="1" x14ac:dyDescent="0.15">
      <c r="A80" s="53" t="str">
        <f t="shared" si="1"/>
        <v>横井 杏奈</v>
      </c>
      <c r="B80" s="172" t="s">
        <v>306</v>
      </c>
      <c r="C80" s="173" t="s">
        <v>205</v>
      </c>
      <c r="D80" s="173" t="s">
        <v>205</v>
      </c>
      <c r="E80" s="173" t="s">
        <v>205</v>
      </c>
      <c r="F80" s="173" t="s">
        <v>205</v>
      </c>
      <c r="G80" s="173" t="s">
        <v>205</v>
      </c>
      <c r="H80" s="173" t="s">
        <v>205</v>
      </c>
      <c r="I80" s="173" t="s">
        <v>205</v>
      </c>
      <c r="J80" s="173" t="s">
        <v>205</v>
      </c>
      <c r="K80" s="173" t="s">
        <v>205</v>
      </c>
      <c r="L80" s="173" t="s">
        <v>205</v>
      </c>
      <c r="M80" s="173" t="s">
        <v>205</v>
      </c>
      <c r="N80" s="173" t="s">
        <v>205</v>
      </c>
      <c r="O80" s="173" t="s">
        <v>205</v>
      </c>
      <c r="P80" s="173" t="s">
        <v>205</v>
      </c>
      <c r="Q80" s="173" t="s">
        <v>205</v>
      </c>
      <c r="R80" s="173" t="s">
        <v>205</v>
      </c>
      <c r="S80" s="173" t="s">
        <v>205</v>
      </c>
      <c r="T80" s="173" t="s">
        <v>205</v>
      </c>
      <c r="U80" s="173" t="s">
        <v>205</v>
      </c>
      <c r="V80" s="173" t="s">
        <v>205</v>
      </c>
      <c r="W80" s="173" t="s">
        <v>205</v>
      </c>
      <c r="X80" s="173" t="s">
        <v>205</v>
      </c>
      <c r="Y80" s="173" t="s">
        <v>205</v>
      </c>
      <c r="Z80" s="173" t="s">
        <v>205</v>
      </c>
      <c r="AA80" s="173" t="s">
        <v>205</v>
      </c>
      <c r="AB80" s="174" t="s">
        <v>205</v>
      </c>
      <c r="AC80" s="2">
        <f t="shared" si="2"/>
        <v>427</v>
      </c>
    </row>
    <row r="81" spans="1:29" ht="77.25" customHeight="1" x14ac:dyDescent="0.15">
      <c r="A81" s="53" t="str">
        <f t="shared" si="1"/>
        <v>吉田 莉彩</v>
      </c>
      <c r="B81" s="172" t="s">
        <v>307</v>
      </c>
      <c r="C81" s="173" t="s">
        <v>206</v>
      </c>
      <c r="D81" s="173" t="s">
        <v>206</v>
      </c>
      <c r="E81" s="173" t="s">
        <v>206</v>
      </c>
      <c r="F81" s="173" t="s">
        <v>206</v>
      </c>
      <c r="G81" s="173" t="s">
        <v>206</v>
      </c>
      <c r="H81" s="173" t="s">
        <v>206</v>
      </c>
      <c r="I81" s="173" t="s">
        <v>206</v>
      </c>
      <c r="J81" s="173" t="s">
        <v>206</v>
      </c>
      <c r="K81" s="173" t="s">
        <v>206</v>
      </c>
      <c r="L81" s="173" t="s">
        <v>206</v>
      </c>
      <c r="M81" s="173" t="s">
        <v>206</v>
      </c>
      <c r="N81" s="173" t="s">
        <v>206</v>
      </c>
      <c r="O81" s="173" t="s">
        <v>206</v>
      </c>
      <c r="P81" s="173" t="s">
        <v>206</v>
      </c>
      <c r="Q81" s="173" t="s">
        <v>206</v>
      </c>
      <c r="R81" s="173" t="s">
        <v>206</v>
      </c>
      <c r="S81" s="173" t="s">
        <v>206</v>
      </c>
      <c r="T81" s="173" t="s">
        <v>206</v>
      </c>
      <c r="U81" s="173" t="s">
        <v>206</v>
      </c>
      <c r="V81" s="173" t="s">
        <v>206</v>
      </c>
      <c r="W81" s="173" t="s">
        <v>206</v>
      </c>
      <c r="X81" s="173" t="s">
        <v>206</v>
      </c>
      <c r="Y81" s="173" t="s">
        <v>206</v>
      </c>
      <c r="Z81" s="173" t="s">
        <v>206</v>
      </c>
      <c r="AA81" s="173" t="s">
        <v>206</v>
      </c>
      <c r="AB81" s="174" t="s">
        <v>206</v>
      </c>
      <c r="AC81" s="2">
        <f t="shared" si="2"/>
        <v>447</v>
      </c>
    </row>
    <row r="82" spans="1:29" ht="77.25" customHeight="1" x14ac:dyDescent="0.15">
      <c r="A82" s="53">
        <f t="shared" si="1"/>
        <v>0</v>
      </c>
      <c r="B82" s="172"/>
      <c r="C82" s="173"/>
      <c r="D82" s="173"/>
      <c r="E82" s="173"/>
      <c r="F82" s="173"/>
      <c r="G82" s="173"/>
      <c r="H82" s="173"/>
      <c r="I82" s="173"/>
      <c r="J82" s="173"/>
      <c r="K82" s="173"/>
      <c r="L82" s="173"/>
      <c r="M82" s="173"/>
      <c r="N82" s="173"/>
      <c r="O82" s="173"/>
      <c r="P82" s="173"/>
      <c r="Q82" s="173"/>
      <c r="R82" s="173"/>
      <c r="S82" s="173"/>
      <c r="T82" s="173"/>
      <c r="U82" s="173"/>
      <c r="V82" s="173"/>
      <c r="W82" s="173"/>
      <c r="X82" s="173"/>
      <c r="Y82" s="173"/>
      <c r="Z82" s="173"/>
      <c r="AA82" s="173"/>
      <c r="AB82" s="174"/>
      <c r="AC82" s="2">
        <f t="shared" si="2"/>
        <v>0</v>
      </c>
    </row>
    <row r="83" spans="1:29" ht="77.25" customHeight="1" x14ac:dyDescent="0.15">
      <c r="A83" s="53">
        <f t="shared" si="1"/>
        <v>0</v>
      </c>
      <c r="B83" s="172"/>
      <c r="C83" s="173"/>
      <c r="D83" s="173"/>
      <c r="E83" s="173"/>
      <c r="F83" s="173"/>
      <c r="G83" s="173"/>
      <c r="H83" s="173"/>
      <c r="I83" s="173"/>
      <c r="J83" s="173"/>
      <c r="K83" s="173"/>
      <c r="L83" s="173"/>
      <c r="M83" s="173"/>
      <c r="N83" s="173"/>
      <c r="O83" s="173"/>
      <c r="P83" s="173"/>
      <c r="Q83" s="173"/>
      <c r="R83" s="173"/>
      <c r="S83" s="173"/>
      <c r="T83" s="173"/>
      <c r="U83" s="173"/>
      <c r="V83" s="173"/>
      <c r="W83" s="173"/>
      <c r="X83" s="173"/>
      <c r="Y83" s="173"/>
      <c r="Z83" s="173"/>
      <c r="AA83" s="173"/>
      <c r="AB83" s="174"/>
      <c r="AC83" s="2">
        <f t="shared" si="2"/>
        <v>0</v>
      </c>
    </row>
    <row r="84" spans="1:29" ht="77.25" customHeight="1" x14ac:dyDescent="0.15">
      <c r="A84" s="53">
        <f t="shared" si="1"/>
        <v>0</v>
      </c>
      <c r="B84" s="172"/>
      <c r="C84" s="173"/>
      <c r="D84" s="173"/>
      <c r="E84" s="173"/>
      <c r="F84" s="173"/>
      <c r="G84" s="173"/>
      <c r="H84" s="173"/>
      <c r="I84" s="173"/>
      <c r="J84" s="173"/>
      <c r="K84" s="173"/>
      <c r="L84" s="173"/>
      <c r="M84" s="173"/>
      <c r="N84" s="173"/>
      <c r="O84" s="173"/>
      <c r="P84" s="173"/>
      <c r="Q84" s="173"/>
      <c r="R84" s="173"/>
      <c r="S84" s="173"/>
      <c r="T84" s="173"/>
      <c r="U84" s="173"/>
      <c r="V84" s="173"/>
      <c r="W84" s="173"/>
      <c r="X84" s="173"/>
      <c r="Y84" s="173"/>
      <c r="Z84" s="173"/>
      <c r="AA84" s="173"/>
      <c r="AB84" s="174"/>
      <c r="AC84" s="2">
        <f t="shared" si="2"/>
        <v>0</v>
      </c>
    </row>
    <row r="85" spans="1:29" ht="77.25" customHeight="1" x14ac:dyDescent="0.15">
      <c r="A85" s="53">
        <f t="shared" si="1"/>
        <v>0</v>
      </c>
      <c r="B85" s="172"/>
      <c r="C85" s="173"/>
      <c r="D85" s="173"/>
      <c r="E85" s="173"/>
      <c r="F85" s="173"/>
      <c r="G85" s="173"/>
      <c r="H85" s="173"/>
      <c r="I85" s="173"/>
      <c r="J85" s="173"/>
      <c r="K85" s="173"/>
      <c r="L85" s="173"/>
      <c r="M85" s="173"/>
      <c r="N85" s="173"/>
      <c r="O85" s="173"/>
      <c r="P85" s="173"/>
      <c r="Q85" s="173"/>
      <c r="R85" s="173"/>
      <c r="S85" s="173"/>
      <c r="T85" s="173"/>
      <c r="U85" s="173"/>
      <c r="V85" s="173"/>
      <c r="W85" s="173"/>
      <c r="X85" s="173"/>
      <c r="Y85" s="173"/>
      <c r="Z85" s="173"/>
      <c r="AA85" s="173"/>
      <c r="AB85" s="174"/>
      <c r="AC85" s="2">
        <f t="shared" si="2"/>
        <v>0</v>
      </c>
    </row>
    <row r="86" spans="1:29" ht="17.25" customHeight="1" x14ac:dyDescent="0.15"/>
    <row r="87" spans="1:29" ht="17.25" customHeight="1" x14ac:dyDescent="0.15"/>
    <row r="88" spans="1:29" ht="17.25" customHeight="1" x14ac:dyDescent="0.15"/>
    <row r="89" spans="1:29" ht="17.25" customHeight="1" x14ac:dyDescent="0.15"/>
    <row r="90" spans="1:29" ht="17.25" customHeight="1" x14ac:dyDescent="0.15"/>
    <row r="91" spans="1:29" ht="17.25" customHeight="1" x14ac:dyDescent="0.15"/>
  </sheetData>
  <mergeCells count="79">
    <mergeCell ref="B85:AB85"/>
    <mergeCell ref="B80:AB80"/>
    <mergeCell ref="B81:AB81"/>
    <mergeCell ref="B82:AB82"/>
    <mergeCell ref="B83:AB83"/>
    <mergeCell ref="B84:AB84"/>
    <mergeCell ref="B75:AB75"/>
    <mergeCell ref="B76:AB76"/>
    <mergeCell ref="B77:AB77"/>
    <mergeCell ref="B78:AB78"/>
    <mergeCell ref="B79:AB79"/>
    <mergeCell ref="B70:AB70"/>
    <mergeCell ref="B71:AB71"/>
    <mergeCell ref="B72:AB72"/>
    <mergeCell ref="B73:AB73"/>
    <mergeCell ref="B74:AB74"/>
    <mergeCell ref="B65:AB65"/>
    <mergeCell ref="B66:AB66"/>
    <mergeCell ref="B67:AB67"/>
    <mergeCell ref="B68:AB68"/>
    <mergeCell ref="B69:AB69"/>
    <mergeCell ref="A60:AB60"/>
    <mergeCell ref="B61:AB61"/>
    <mergeCell ref="B62:AB62"/>
    <mergeCell ref="B63:AB63"/>
    <mergeCell ref="B64:AB64"/>
    <mergeCell ref="B32:AB32"/>
    <mergeCell ref="B33:AB33"/>
    <mergeCell ref="A34:AB34"/>
    <mergeCell ref="B35:AB35"/>
    <mergeCell ref="B36:AB36"/>
    <mergeCell ref="B27:AB27"/>
    <mergeCell ref="B28:AB28"/>
    <mergeCell ref="B29:AB29"/>
    <mergeCell ref="B30:AB30"/>
    <mergeCell ref="B31:AB31"/>
    <mergeCell ref="B22:AB22"/>
    <mergeCell ref="B23:AB23"/>
    <mergeCell ref="B24:AB24"/>
    <mergeCell ref="B25:AB25"/>
    <mergeCell ref="B26:AB26"/>
    <mergeCell ref="B17:AB17"/>
    <mergeCell ref="B18:AB18"/>
    <mergeCell ref="B19:AB19"/>
    <mergeCell ref="B20:AB20"/>
    <mergeCell ref="B21:AB21"/>
    <mergeCell ref="B12:AB12"/>
    <mergeCell ref="B13:AB13"/>
    <mergeCell ref="B14:AB14"/>
    <mergeCell ref="B15:AB15"/>
    <mergeCell ref="B16:AB16"/>
    <mergeCell ref="A2:A7"/>
    <mergeCell ref="A8:AB8"/>
    <mergeCell ref="B9:AB9"/>
    <mergeCell ref="B10:AB10"/>
    <mergeCell ref="B11:AB11"/>
    <mergeCell ref="B56:AB56"/>
    <mergeCell ref="B57:AB57"/>
    <mergeCell ref="B58:AB58"/>
    <mergeCell ref="B59:AB59"/>
    <mergeCell ref="B48:AB48"/>
    <mergeCell ref="B49:AB49"/>
    <mergeCell ref="B50:AB50"/>
    <mergeCell ref="B51:AB51"/>
    <mergeCell ref="B52:AB52"/>
    <mergeCell ref="B53:AB53"/>
    <mergeCell ref="B54:AB54"/>
    <mergeCell ref="B55:AB55"/>
    <mergeCell ref="B37:AB37"/>
    <mergeCell ref="B38:AB38"/>
    <mergeCell ref="B39:AB39"/>
    <mergeCell ref="B40:AB40"/>
    <mergeCell ref="B41:AB41"/>
    <mergeCell ref="B47:AB47"/>
    <mergeCell ref="B42:AB42"/>
    <mergeCell ref="B43:AB43"/>
    <mergeCell ref="B44:AB44"/>
    <mergeCell ref="B45:AB45"/>
    <mergeCell ref="B46:AB46"/>
  </mergeCells>
  <phoneticPr fontId="1"/>
  <conditionalFormatting sqref="AC61:AC85">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off" allowBlank="1" showDropDown="1" showInputMessage="1" showErrorMessage="1" errorTitle="全角文字エラー" error="半角ABCを入れて下さい" sqref="D2:AB7" xr:uid="{00000000-0002-0000-0C00-000000000000}">
      <formula1>$AC$2:$AC$5</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1"/>
  </sheetPr>
  <dimension ref="A1:AC159"/>
  <sheetViews>
    <sheetView workbookViewId="0">
      <selection sqref="A1:XFD1048576"/>
    </sheetView>
  </sheetViews>
  <sheetFormatPr defaultRowHeight="13.5" x14ac:dyDescent="0.15"/>
  <cols>
    <col min="1" max="1" width="13.5" style="2" customWidth="1"/>
    <col min="2" max="2" width="7.5" style="2" customWidth="1"/>
    <col min="3" max="3" width="9.375" style="2" customWidth="1"/>
    <col min="4" max="28" width="6.875" style="2" customWidth="1"/>
    <col min="29" max="16384" width="9" style="2"/>
  </cols>
  <sheetData>
    <row r="1" spans="1:29" ht="85.5" customHeight="1" x14ac:dyDescent="0.15">
      <c r="A1" s="179" t="str">
        <f ca="1">MID(CELL("filename",A1),FIND("[",CELL("filename",A1))+1,3)</f>
        <v>９－２</v>
      </c>
      <c r="B1" s="180"/>
      <c r="C1" s="181"/>
      <c r="D1" s="76" t="str">
        <f>A10</f>
        <v>池田 光之介</v>
      </c>
      <c r="E1" s="76" t="str">
        <f>A11</f>
        <v>上原 光</v>
      </c>
      <c r="F1" s="76" t="str">
        <f>A12</f>
        <v>大山 実日子</v>
      </c>
      <c r="G1" s="76" t="str">
        <f>A13</f>
        <v>窪田 朋子</v>
      </c>
      <c r="H1" s="76" t="str">
        <f>A14</f>
        <v>小林 晴嶺</v>
      </c>
      <c r="I1" s="76" t="str">
        <f>A15</f>
        <v>大工原 光輝</v>
      </c>
      <c r="J1" s="76" t="str">
        <f>A16</f>
        <v>橘 くるみ</v>
      </c>
      <c r="K1" s="76" t="str">
        <f>A17</f>
        <v>等々力 悠人</v>
      </c>
      <c r="L1" s="76" t="str">
        <f>A18</f>
        <v>中島 麟香</v>
      </c>
      <c r="M1" s="76" t="str">
        <f>A19</f>
        <v>新村 亮太</v>
      </c>
      <c r="N1" s="76" t="str">
        <f>A20</f>
        <v>伏見 真人</v>
      </c>
      <c r="O1" s="76" t="str">
        <f>A21</f>
        <v>松本 誠也</v>
      </c>
      <c r="P1" s="76" t="str">
        <f>A22</f>
        <v>蓑 錬太朗</v>
      </c>
      <c r="Q1" s="76" t="str">
        <f>A23</f>
        <v>宮坂 蓮</v>
      </c>
      <c r="R1" s="76" t="str">
        <f>A24</f>
        <v>百瀬 友惺</v>
      </c>
      <c r="S1" s="76" t="str">
        <f>A25</f>
        <v>山口 陽生</v>
      </c>
      <c r="T1" s="76" t="str">
        <f>A26</f>
        <v>山越 圭</v>
      </c>
      <c r="U1" s="76" t="str">
        <f>A27</f>
        <v>山崎 花峰</v>
      </c>
      <c r="V1" s="76" t="str">
        <f>A28</f>
        <v>山田 梨乃</v>
      </c>
      <c r="W1" s="76" t="str">
        <f>A29</f>
        <v>横井 杏奈</v>
      </c>
      <c r="X1" s="76" t="str">
        <f>A30</f>
        <v>吉田 莉彩</v>
      </c>
      <c r="Y1" s="76">
        <f>A31</f>
        <v>0</v>
      </c>
      <c r="Z1" s="76">
        <f>A32</f>
        <v>0</v>
      </c>
      <c r="AA1" s="76">
        <f>A33</f>
        <v>0</v>
      </c>
      <c r="AB1" s="76">
        <f>A34</f>
        <v>0</v>
      </c>
      <c r="AC1" s="23"/>
    </row>
    <row r="2" spans="1:29" ht="22.5" customHeight="1" x14ac:dyDescent="0.15">
      <c r="A2" s="178" t="s">
        <v>207</v>
      </c>
      <c r="B2" s="178"/>
      <c r="C2" s="178"/>
      <c r="D2" s="77">
        <v>76</v>
      </c>
      <c r="E2" s="77">
        <v>76</v>
      </c>
      <c r="F2" s="77">
        <v>76</v>
      </c>
      <c r="G2" s="77">
        <v>76</v>
      </c>
      <c r="H2" s="77">
        <v>76</v>
      </c>
      <c r="I2" s="77">
        <v>76</v>
      </c>
      <c r="J2" s="77">
        <v>76</v>
      </c>
      <c r="K2" s="77">
        <v>76</v>
      </c>
      <c r="L2" s="77">
        <v>76</v>
      </c>
      <c r="M2" s="77">
        <v>76</v>
      </c>
      <c r="N2" s="77">
        <v>76</v>
      </c>
      <c r="O2" s="77">
        <v>76</v>
      </c>
      <c r="P2" s="77">
        <v>76</v>
      </c>
      <c r="Q2" s="77">
        <v>76</v>
      </c>
      <c r="R2" s="77">
        <v>76</v>
      </c>
      <c r="S2" s="77">
        <v>76</v>
      </c>
      <c r="T2" s="77">
        <v>76</v>
      </c>
      <c r="U2" s="77">
        <v>76</v>
      </c>
      <c r="V2" s="77">
        <v>76</v>
      </c>
      <c r="W2" s="77">
        <v>76</v>
      </c>
      <c r="X2" s="77">
        <v>76</v>
      </c>
      <c r="Y2" s="77"/>
      <c r="Z2" s="77"/>
      <c r="AA2" s="77"/>
      <c r="AB2" s="77"/>
    </row>
    <row r="3" spans="1:29" ht="22.5" customHeight="1" x14ac:dyDescent="0.15">
      <c r="A3" s="178" t="s">
        <v>208</v>
      </c>
      <c r="B3" s="178"/>
      <c r="C3" s="178"/>
      <c r="D3" s="77">
        <v>3</v>
      </c>
      <c r="E3" s="77">
        <v>0</v>
      </c>
      <c r="F3" s="77">
        <v>0</v>
      </c>
      <c r="G3" s="77">
        <v>0</v>
      </c>
      <c r="H3" s="77">
        <v>0</v>
      </c>
      <c r="I3" s="77">
        <v>0</v>
      </c>
      <c r="J3" s="77">
        <v>0</v>
      </c>
      <c r="K3" s="77">
        <v>0</v>
      </c>
      <c r="L3" s="77">
        <v>0</v>
      </c>
      <c r="M3" s="77">
        <v>0</v>
      </c>
      <c r="N3" s="77">
        <v>0</v>
      </c>
      <c r="O3" s="77">
        <v>0</v>
      </c>
      <c r="P3" s="77">
        <v>0</v>
      </c>
      <c r="Q3" s="77">
        <v>0</v>
      </c>
      <c r="R3" s="77">
        <v>0</v>
      </c>
      <c r="S3" s="77">
        <v>0</v>
      </c>
      <c r="T3" s="77">
        <v>0</v>
      </c>
      <c r="U3" s="77">
        <v>0</v>
      </c>
      <c r="V3" s="77">
        <v>0</v>
      </c>
      <c r="W3" s="77">
        <v>0</v>
      </c>
      <c r="X3" s="77">
        <v>0</v>
      </c>
      <c r="Y3" s="77"/>
      <c r="Z3" s="77"/>
      <c r="AA3" s="77"/>
      <c r="AB3" s="77"/>
    </row>
    <row r="4" spans="1:29" ht="22.5" customHeight="1" x14ac:dyDescent="0.15">
      <c r="A4" s="178" t="s">
        <v>209</v>
      </c>
      <c r="B4" s="178"/>
      <c r="C4" s="178"/>
      <c r="D4" s="78">
        <f t="shared" ref="D4:AB4" si="0">D2-D3</f>
        <v>73</v>
      </c>
      <c r="E4" s="78">
        <f t="shared" si="0"/>
        <v>76</v>
      </c>
      <c r="F4" s="78">
        <f t="shared" si="0"/>
        <v>76</v>
      </c>
      <c r="G4" s="78">
        <f t="shared" si="0"/>
        <v>76</v>
      </c>
      <c r="H4" s="78">
        <f t="shared" si="0"/>
        <v>76</v>
      </c>
      <c r="I4" s="78">
        <f t="shared" si="0"/>
        <v>76</v>
      </c>
      <c r="J4" s="78">
        <f t="shared" si="0"/>
        <v>76</v>
      </c>
      <c r="K4" s="78">
        <f t="shared" si="0"/>
        <v>76</v>
      </c>
      <c r="L4" s="78">
        <f t="shared" si="0"/>
        <v>76</v>
      </c>
      <c r="M4" s="78">
        <f t="shared" si="0"/>
        <v>76</v>
      </c>
      <c r="N4" s="78">
        <f t="shared" si="0"/>
        <v>76</v>
      </c>
      <c r="O4" s="78">
        <f t="shared" si="0"/>
        <v>76</v>
      </c>
      <c r="P4" s="78">
        <f t="shared" si="0"/>
        <v>76</v>
      </c>
      <c r="Q4" s="78">
        <f t="shared" si="0"/>
        <v>76</v>
      </c>
      <c r="R4" s="78">
        <f t="shared" si="0"/>
        <v>76</v>
      </c>
      <c r="S4" s="78">
        <f t="shared" si="0"/>
        <v>76</v>
      </c>
      <c r="T4" s="78">
        <f t="shared" si="0"/>
        <v>76</v>
      </c>
      <c r="U4" s="78">
        <f t="shared" si="0"/>
        <v>76</v>
      </c>
      <c r="V4" s="78">
        <f t="shared" si="0"/>
        <v>76</v>
      </c>
      <c r="W4" s="78">
        <f t="shared" si="0"/>
        <v>76</v>
      </c>
      <c r="X4" s="78">
        <f t="shared" si="0"/>
        <v>76</v>
      </c>
      <c r="Y4" s="78">
        <f t="shared" si="0"/>
        <v>0</v>
      </c>
      <c r="Z4" s="78">
        <f t="shared" si="0"/>
        <v>0</v>
      </c>
      <c r="AA4" s="78">
        <f t="shared" si="0"/>
        <v>0</v>
      </c>
      <c r="AB4" s="78">
        <f t="shared" si="0"/>
        <v>0</v>
      </c>
    </row>
    <row r="5" spans="1:29" ht="22.5" customHeight="1" x14ac:dyDescent="0.15">
      <c r="A5" s="182" t="s">
        <v>308</v>
      </c>
      <c r="B5" s="183"/>
      <c r="C5" s="184"/>
      <c r="D5" s="78">
        <f t="shared" ref="D5:AB5" si="1">D4-D6</f>
        <v>73</v>
      </c>
      <c r="E5" s="78">
        <f t="shared" si="1"/>
        <v>51</v>
      </c>
      <c r="F5" s="78">
        <f t="shared" si="1"/>
        <v>76</v>
      </c>
      <c r="G5" s="78">
        <f t="shared" si="1"/>
        <v>74</v>
      </c>
      <c r="H5" s="78">
        <f t="shared" si="1"/>
        <v>72</v>
      </c>
      <c r="I5" s="78">
        <f t="shared" si="1"/>
        <v>74</v>
      </c>
      <c r="J5" s="78">
        <f t="shared" si="1"/>
        <v>76</v>
      </c>
      <c r="K5" s="78">
        <f t="shared" si="1"/>
        <v>67</v>
      </c>
      <c r="L5" s="78">
        <f t="shared" si="1"/>
        <v>74</v>
      </c>
      <c r="M5" s="78">
        <f t="shared" si="1"/>
        <v>76</v>
      </c>
      <c r="N5" s="78">
        <f t="shared" si="1"/>
        <v>71</v>
      </c>
      <c r="O5" s="78">
        <f t="shared" si="1"/>
        <v>74</v>
      </c>
      <c r="P5" s="78">
        <f t="shared" si="1"/>
        <v>71</v>
      </c>
      <c r="Q5" s="78">
        <f t="shared" si="1"/>
        <v>72</v>
      </c>
      <c r="R5" s="78">
        <f t="shared" si="1"/>
        <v>74</v>
      </c>
      <c r="S5" s="78">
        <f t="shared" si="1"/>
        <v>76</v>
      </c>
      <c r="T5" s="78">
        <f t="shared" si="1"/>
        <v>75</v>
      </c>
      <c r="U5" s="78">
        <f t="shared" si="1"/>
        <v>75</v>
      </c>
      <c r="V5" s="78">
        <f t="shared" si="1"/>
        <v>75</v>
      </c>
      <c r="W5" s="78">
        <f t="shared" si="1"/>
        <v>76</v>
      </c>
      <c r="X5" s="78">
        <f t="shared" si="1"/>
        <v>73</v>
      </c>
      <c r="Y5" s="78">
        <f t="shared" si="1"/>
        <v>0</v>
      </c>
      <c r="Z5" s="78">
        <f t="shared" si="1"/>
        <v>0</v>
      </c>
      <c r="AA5" s="78">
        <f t="shared" si="1"/>
        <v>0</v>
      </c>
      <c r="AB5" s="78">
        <f t="shared" si="1"/>
        <v>0</v>
      </c>
    </row>
    <row r="6" spans="1:29" ht="22.5" customHeight="1" x14ac:dyDescent="0.15">
      <c r="A6" s="175" t="s">
        <v>309</v>
      </c>
      <c r="B6" s="176"/>
      <c r="C6" s="177"/>
      <c r="D6" s="77">
        <v>0</v>
      </c>
      <c r="E6" s="77">
        <v>25</v>
      </c>
      <c r="F6" s="77">
        <v>0</v>
      </c>
      <c r="G6" s="77">
        <v>2</v>
      </c>
      <c r="H6" s="77">
        <v>4</v>
      </c>
      <c r="I6" s="77">
        <v>2</v>
      </c>
      <c r="J6" s="77">
        <v>0</v>
      </c>
      <c r="K6" s="77">
        <v>9</v>
      </c>
      <c r="L6" s="77">
        <v>2</v>
      </c>
      <c r="M6" s="77">
        <v>0</v>
      </c>
      <c r="N6" s="77">
        <v>5</v>
      </c>
      <c r="O6" s="77">
        <v>2</v>
      </c>
      <c r="P6" s="77">
        <v>5</v>
      </c>
      <c r="Q6" s="77">
        <v>4</v>
      </c>
      <c r="R6" s="77">
        <v>2</v>
      </c>
      <c r="S6" s="77">
        <v>0</v>
      </c>
      <c r="T6" s="77">
        <v>1</v>
      </c>
      <c r="U6" s="77">
        <v>1</v>
      </c>
      <c r="V6" s="77">
        <v>1</v>
      </c>
      <c r="W6" s="77">
        <v>0</v>
      </c>
      <c r="X6" s="77">
        <v>3</v>
      </c>
      <c r="Y6" s="77"/>
      <c r="Z6" s="77"/>
      <c r="AA6" s="77"/>
      <c r="AB6" s="77"/>
    </row>
    <row r="7" spans="1:29" ht="22.5" customHeight="1" x14ac:dyDescent="0.15">
      <c r="A7" s="178" t="s">
        <v>210</v>
      </c>
      <c r="B7" s="178"/>
      <c r="C7" s="178"/>
      <c r="D7" s="77">
        <v>0</v>
      </c>
      <c r="E7" s="77">
        <v>34</v>
      </c>
      <c r="F7" s="77">
        <v>0</v>
      </c>
      <c r="G7" s="77">
        <v>3</v>
      </c>
      <c r="H7" s="77">
        <v>0</v>
      </c>
      <c r="I7" s="77">
        <v>0</v>
      </c>
      <c r="J7" s="77">
        <v>0</v>
      </c>
      <c r="K7" s="77">
        <v>0</v>
      </c>
      <c r="L7" s="77">
        <v>0</v>
      </c>
      <c r="M7" s="77">
        <v>0</v>
      </c>
      <c r="N7" s="77">
        <v>0</v>
      </c>
      <c r="O7" s="77">
        <v>3</v>
      </c>
      <c r="P7" s="77">
        <v>0</v>
      </c>
      <c r="Q7" s="77">
        <v>4</v>
      </c>
      <c r="R7" s="77">
        <v>0</v>
      </c>
      <c r="S7" s="77">
        <v>1</v>
      </c>
      <c r="T7" s="77">
        <v>0</v>
      </c>
      <c r="U7" s="77">
        <v>2</v>
      </c>
      <c r="V7" s="77">
        <v>0</v>
      </c>
      <c r="W7" s="77">
        <v>0</v>
      </c>
      <c r="X7" s="77">
        <v>1</v>
      </c>
      <c r="Y7" s="77"/>
      <c r="Z7" s="77"/>
      <c r="AA7" s="77"/>
      <c r="AB7" s="77"/>
    </row>
    <row r="8" spans="1:29" ht="22.5" customHeight="1" x14ac:dyDescent="0.15">
      <c r="A8" s="178" t="s">
        <v>211</v>
      </c>
      <c r="B8" s="178"/>
      <c r="C8" s="178"/>
      <c r="D8" s="77">
        <v>0</v>
      </c>
      <c r="E8" s="77">
        <v>1</v>
      </c>
      <c r="F8" s="77">
        <v>0</v>
      </c>
      <c r="G8" s="77">
        <v>0</v>
      </c>
      <c r="H8" s="77">
        <v>2</v>
      </c>
      <c r="I8" s="77">
        <v>0</v>
      </c>
      <c r="J8" s="77">
        <v>0</v>
      </c>
      <c r="K8" s="77">
        <v>1</v>
      </c>
      <c r="L8" s="77">
        <v>0</v>
      </c>
      <c r="M8" s="77">
        <v>0</v>
      </c>
      <c r="N8" s="77">
        <v>0</v>
      </c>
      <c r="O8" s="77">
        <v>0</v>
      </c>
      <c r="P8" s="77">
        <v>1</v>
      </c>
      <c r="Q8" s="77">
        <v>1</v>
      </c>
      <c r="R8" s="77">
        <v>1</v>
      </c>
      <c r="S8" s="77">
        <v>0</v>
      </c>
      <c r="T8" s="77">
        <v>1</v>
      </c>
      <c r="U8" s="77">
        <v>0</v>
      </c>
      <c r="V8" s="77">
        <v>1</v>
      </c>
      <c r="W8" s="77">
        <v>0</v>
      </c>
      <c r="X8" s="77">
        <v>0</v>
      </c>
      <c r="Y8" s="77"/>
      <c r="Z8" s="77"/>
      <c r="AA8" s="77"/>
      <c r="AB8" s="77"/>
    </row>
    <row r="9" spans="1:29" ht="22.5" customHeight="1" x14ac:dyDescent="0.15">
      <c r="A9" s="163" t="s">
        <v>212</v>
      </c>
      <c r="B9" s="164"/>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5"/>
    </row>
    <row r="10" spans="1:29" ht="22.5" customHeight="1" x14ac:dyDescent="0.15">
      <c r="A10" s="35" t="s">
        <v>67</v>
      </c>
      <c r="B10" s="155" t="s">
        <v>213</v>
      </c>
      <c r="C10" s="156" t="s">
        <v>213</v>
      </c>
      <c r="D10" s="156" t="s">
        <v>213</v>
      </c>
      <c r="E10" s="156" t="s">
        <v>213</v>
      </c>
      <c r="F10" s="156" t="s">
        <v>213</v>
      </c>
      <c r="G10" s="156" t="s">
        <v>213</v>
      </c>
      <c r="H10" s="156" t="s">
        <v>213</v>
      </c>
      <c r="I10" s="156" t="s">
        <v>213</v>
      </c>
      <c r="J10" s="156" t="s">
        <v>213</v>
      </c>
      <c r="K10" s="156" t="s">
        <v>213</v>
      </c>
      <c r="L10" s="156" t="s">
        <v>213</v>
      </c>
      <c r="M10" s="156" t="s">
        <v>213</v>
      </c>
      <c r="N10" s="156" t="s">
        <v>213</v>
      </c>
      <c r="O10" s="156" t="s">
        <v>213</v>
      </c>
      <c r="P10" s="156" t="s">
        <v>213</v>
      </c>
      <c r="Q10" s="156" t="s">
        <v>213</v>
      </c>
      <c r="R10" s="156" t="s">
        <v>213</v>
      </c>
      <c r="S10" s="156" t="s">
        <v>213</v>
      </c>
      <c r="T10" s="156" t="s">
        <v>213</v>
      </c>
      <c r="U10" s="156" t="s">
        <v>213</v>
      </c>
      <c r="V10" s="156" t="s">
        <v>213</v>
      </c>
      <c r="W10" s="156" t="s">
        <v>213</v>
      </c>
      <c r="X10" s="156" t="s">
        <v>213</v>
      </c>
      <c r="Y10" s="156" t="s">
        <v>213</v>
      </c>
      <c r="Z10" s="156" t="s">
        <v>213</v>
      </c>
      <c r="AA10" s="156" t="s">
        <v>213</v>
      </c>
      <c r="AB10" s="157" t="s">
        <v>213</v>
      </c>
    </row>
    <row r="11" spans="1:29" ht="22.5" customHeight="1" x14ac:dyDescent="0.15">
      <c r="A11" s="35" t="s">
        <v>68</v>
      </c>
      <c r="B11" s="155" t="s">
        <v>310</v>
      </c>
      <c r="C11" s="156" t="s">
        <v>214</v>
      </c>
      <c r="D11" s="156" t="s">
        <v>214</v>
      </c>
      <c r="E11" s="156" t="s">
        <v>214</v>
      </c>
      <c r="F11" s="156" t="s">
        <v>214</v>
      </c>
      <c r="G11" s="156" t="s">
        <v>214</v>
      </c>
      <c r="H11" s="156" t="s">
        <v>214</v>
      </c>
      <c r="I11" s="156" t="s">
        <v>214</v>
      </c>
      <c r="J11" s="156" t="s">
        <v>214</v>
      </c>
      <c r="K11" s="156" t="s">
        <v>214</v>
      </c>
      <c r="L11" s="156" t="s">
        <v>214</v>
      </c>
      <c r="M11" s="156" t="s">
        <v>214</v>
      </c>
      <c r="N11" s="156" t="s">
        <v>214</v>
      </c>
      <c r="O11" s="156" t="s">
        <v>214</v>
      </c>
      <c r="P11" s="156" t="s">
        <v>214</v>
      </c>
      <c r="Q11" s="156" t="s">
        <v>214</v>
      </c>
      <c r="R11" s="156" t="s">
        <v>214</v>
      </c>
      <c r="S11" s="156" t="s">
        <v>214</v>
      </c>
      <c r="T11" s="156" t="s">
        <v>214</v>
      </c>
      <c r="U11" s="156" t="s">
        <v>214</v>
      </c>
      <c r="V11" s="156" t="s">
        <v>214</v>
      </c>
      <c r="W11" s="156" t="s">
        <v>214</v>
      </c>
      <c r="X11" s="156" t="s">
        <v>214</v>
      </c>
      <c r="Y11" s="156" t="s">
        <v>214</v>
      </c>
      <c r="Z11" s="156" t="s">
        <v>214</v>
      </c>
      <c r="AA11" s="156" t="s">
        <v>214</v>
      </c>
      <c r="AB11" s="157" t="s">
        <v>214</v>
      </c>
    </row>
    <row r="12" spans="1:29" ht="22.5" customHeight="1" x14ac:dyDescent="0.15">
      <c r="A12" s="35" t="s">
        <v>69</v>
      </c>
      <c r="B12" s="155"/>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7"/>
    </row>
    <row r="13" spans="1:29" ht="22.5" customHeight="1" x14ac:dyDescent="0.15">
      <c r="A13" s="35" t="s">
        <v>70</v>
      </c>
      <c r="B13" s="155" t="s">
        <v>230</v>
      </c>
      <c r="C13" s="156" t="s">
        <v>215</v>
      </c>
      <c r="D13" s="156" t="s">
        <v>215</v>
      </c>
      <c r="E13" s="156" t="s">
        <v>215</v>
      </c>
      <c r="F13" s="156" t="s">
        <v>215</v>
      </c>
      <c r="G13" s="156" t="s">
        <v>215</v>
      </c>
      <c r="H13" s="156" t="s">
        <v>215</v>
      </c>
      <c r="I13" s="156" t="s">
        <v>215</v>
      </c>
      <c r="J13" s="156" t="s">
        <v>215</v>
      </c>
      <c r="K13" s="156" t="s">
        <v>215</v>
      </c>
      <c r="L13" s="156" t="s">
        <v>215</v>
      </c>
      <c r="M13" s="156" t="s">
        <v>215</v>
      </c>
      <c r="N13" s="156" t="s">
        <v>215</v>
      </c>
      <c r="O13" s="156" t="s">
        <v>215</v>
      </c>
      <c r="P13" s="156" t="s">
        <v>215</v>
      </c>
      <c r="Q13" s="156" t="s">
        <v>215</v>
      </c>
      <c r="R13" s="156" t="s">
        <v>215</v>
      </c>
      <c r="S13" s="156" t="s">
        <v>215</v>
      </c>
      <c r="T13" s="156" t="s">
        <v>215</v>
      </c>
      <c r="U13" s="156" t="s">
        <v>215</v>
      </c>
      <c r="V13" s="156" t="s">
        <v>215</v>
      </c>
      <c r="W13" s="156" t="s">
        <v>215</v>
      </c>
      <c r="X13" s="156" t="s">
        <v>215</v>
      </c>
      <c r="Y13" s="156" t="s">
        <v>215</v>
      </c>
      <c r="Z13" s="156" t="s">
        <v>215</v>
      </c>
      <c r="AA13" s="156" t="s">
        <v>215</v>
      </c>
      <c r="AB13" s="157" t="s">
        <v>215</v>
      </c>
    </row>
    <row r="14" spans="1:29" ht="22.5" customHeight="1" x14ac:dyDescent="0.15">
      <c r="A14" s="35" t="s">
        <v>71</v>
      </c>
      <c r="B14" s="155" t="s">
        <v>216</v>
      </c>
      <c r="C14" s="156" t="s">
        <v>216</v>
      </c>
      <c r="D14" s="156" t="s">
        <v>216</v>
      </c>
      <c r="E14" s="156" t="s">
        <v>216</v>
      </c>
      <c r="F14" s="156" t="s">
        <v>216</v>
      </c>
      <c r="G14" s="156" t="s">
        <v>216</v>
      </c>
      <c r="H14" s="156" t="s">
        <v>216</v>
      </c>
      <c r="I14" s="156" t="s">
        <v>216</v>
      </c>
      <c r="J14" s="156" t="s">
        <v>216</v>
      </c>
      <c r="K14" s="156" t="s">
        <v>216</v>
      </c>
      <c r="L14" s="156" t="s">
        <v>216</v>
      </c>
      <c r="M14" s="156" t="s">
        <v>216</v>
      </c>
      <c r="N14" s="156" t="s">
        <v>216</v>
      </c>
      <c r="O14" s="156" t="s">
        <v>216</v>
      </c>
      <c r="P14" s="156" t="s">
        <v>216</v>
      </c>
      <c r="Q14" s="156" t="s">
        <v>216</v>
      </c>
      <c r="R14" s="156" t="s">
        <v>216</v>
      </c>
      <c r="S14" s="156" t="s">
        <v>216</v>
      </c>
      <c r="T14" s="156" t="s">
        <v>216</v>
      </c>
      <c r="U14" s="156" t="s">
        <v>216</v>
      </c>
      <c r="V14" s="156" t="s">
        <v>216</v>
      </c>
      <c r="W14" s="156" t="s">
        <v>216</v>
      </c>
      <c r="X14" s="156" t="s">
        <v>216</v>
      </c>
      <c r="Y14" s="156" t="s">
        <v>216</v>
      </c>
      <c r="Z14" s="156" t="s">
        <v>216</v>
      </c>
      <c r="AA14" s="156" t="s">
        <v>216</v>
      </c>
      <c r="AB14" s="157" t="s">
        <v>216</v>
      </c>
    </row>
    <row r="15" spans="1:29" ht="22.5" customHeight="1" x14ac:dyDescent="0.15">
      <c r="A15" s="35" t="s">
        <v>72</v>
      </c>
      <c r="B15" s="155" t="s">
        <v>217</v>
      </c>
      <c r="C15" s="156" t="s">
        <v>217</v>
      </c>
      <c r="D15" s="156" t="s">
        <v>217</v>
      </c>
      <c r="E15" s="156" t="s">
        <v>217</v>
      </c>
      <c r="F15" s="156" t="s">
        <v>217</v>
      </c>
      <c r="G15" s="156" t="s">
        <v>217</v>
      </c>
      <c r="H15" s="156" t="s">
        <v>217</v>
      </c>
      <c r="I15" s="156" t="s">
        <v>217</v>
      </c>
      <c r="J15" s="156" t="s">
        <v>217</v>
      </c>
      <c r="K15" s="156" t="s">
        <v>217</v>
      </c>
      <c r="L15" s="156" t="s">
        <v>217</v>
      </c>
      <c r="M15" s="156" t="s">
        <v>217</v>
      </c>
      <c r="N15" s="156" t="s">
        <v>217</v>
      </c>
      <c r="O15" s="156" t="s">
        <v>217</v>
      </c>
      <c r="P15" s="156" t="s">
        <v>217</v>
      </c>
      <c r="Q15" s="156" t="s">
        <v>217</v>
      </c>
      <c r="R15" s="156" t="s">
        <v>217</v>
      </c>
      <c r="S15" s="156" t="s">
        <v>217</v>
      </c>
      <c r="T15" s="156" t="s">
        <v>217</v>
      </c>
      <c r="U15" s="156" t="s">
        <v>217</v>
      </c>
      <c r="V15" s="156" t="s">
        <v>217</v>
      </c>
      <c r="W15" s="156" t="s">
        <v>217</v>
      </c>
      <c r="X15" s="156" t="s">
        <v>217</v>
      </c>
      <c r="Y15" s="156" t="s">
        <v>217</v>
      </c>
      <c r="Z15" s="156" t="s">
        <v>217</v>
      </c>
      <c r="AA15" s="156" t="s">
        <v>217</v>
      </c>
      <c r="AB15" s="157" t="s">
        <v>217</v>
      </c>
    </row>
    <row r="16" spans="1:29" ht="22.5" customHeight="1" x14ac:dyDescent="0.15">
      <c r="A16" s="35" t="s">
        <v>73</v>
      </c>
      <c r="B16" s="155"/>
      <c r="C16" s="156"/>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6"/>
      <c r="AB16" s="157"/>
    </row>
    <row r="17" spans="1:28" ht="22.5" customHeight="1" x14ac:dyDescent="0.15">
      <c r="A17" s="35" t="s">
        <v>74</v>
      </c>
      <c r="B17" s="155" t="s">
        <v>311</v>
      </c>
      <c r="C17" s="156" t="s">
        <v>218</v>
      </c>
      <c r="D17" s="156" t="s">
        <v>218</v>
      </c>
      <c r="E17" s="156" t="s">
        <v>218</v>
      </c>
      <c r="F17" s="156" t="s">
        <v>218</v>
      </c>
      <c r="G17" s="156" t="s">
        <v>218</v>
      </c>
      <c r="H17" s="156" t="s">
        <v>218</v>
      </c>
      <c r="I17" s="156" t="s">
        <v>218</v>
      </c>
      <c r="J17" s="156" t="s">
        <v>218</v>
      </c>
      <c r="K17" s="156" t="s">
        <v>218</v>
      </c>
      <c r="L17" s="156" t="s">
        <v>218</v>
      </c>
      <c r="M17" s="156" t="s">
        <v>218</v>
      </c>
      <c r="N17" s="156" t="s">
        <v>218</v>
      </c>
      <c r="O17" s="156" t="s">
        <v>218</v>
      </c>
      <c r="P17" s="156" t="s">
        <v>218</v>
      </c>
      <c r="Q17" s="156" t="s">
        <v>218</v>
      </c>
      <c r="R17" s="156" t="s">
        <v>218</v>
      </c>
      <c r="S17" s="156" t="s">
        <v>218</v>
      </c>
      <c r="T17" s="156" t="s">
        <v>218</v>
      </c>
      <c r="U17" s="156" t="s">
        <v>218</v>
      </c>
      <c r="V17" s="156" t="s">
        <v>218</v>
      </c>
      <c r="W17" s="156" t="s">
        <v>218</v>
      </c>
      <c r="X17" s="156" t="s">
        <v>218</v>
      </c>
      <c r="Y17" s="156" t="s">
        <v>218</v>
      </c>
      <c r="Z17" s="156" t="s">
        <v>218</v>
      </c>
      <c r="AA17" s="156" t="s">
        <v>218</v>
      </c>
      <c r="AB17" s="157" t="s">
        <v>218</v>
      </c>
    </row>
    <row r="18" spans="1:28" ht="22.5" customHeight="1" x14ac:dyDescent="0.15">
      <c r="A18" s="35" t="s">
        <v>75</v>
      </c>
      <c r="B18" s="155" t="s">
        <v>219</v>
      </c>
      <c r="C18" s="156" t="s">
        <v>219</v>
      </c>
      <c r="D18" s="156" t="s">
        <v>219</v>
      </c>
      <c r="E18" s="156" t="s">
        <v>219</v>
      </c>
      <c r="F18" s="156" t="s">
        <v>219</v>
      </c>
      <c r="G18" s="156" t="s">
        <v>219</v>
      </c>
      <c r="H18" s="156" t="s">
        <v>219</v>
      </c>
      <c r="I18" s="156" t="s">
        <v>219</v>
      </c>
      <c r="J18" s="156" t="s">
        <v>219</v>
      </c>
      <c r="K18" s="156" t="s">
        <v>219</v>
      </c>
      <c r="L18" s="156" t="s">
        <v>219</v>
      </c>
      <c r="M18" s="156" t="s">
        <v>219</v>
      </c>
      <c r="N18" s="156" t="s">
        <v>219</v>
      </c>
      <c r="O18" s="156" t="s">
        <v>219</v>
      </c>
      <c r="P18" s="156" t="s">
        <v>219</v>
      </c>
      <c r="Q18" s="156" t="s">
        <v>219</v>
      </c>
      <c r="R18" s="156" t="s">
        <v>219</v>
      </c>
      <c r="S18" s="156" t="s">
        <v>219</v>
      </c>
      <c r="T18" s="156" t="s">
        <v>219</v>
      </c>
      <c r="U18" s="156" t="s">
        <v>219</v>
      </c>
      <c r="V18" s="156" t="s">
        <v>219</v>
      </c>
      <c r="W18" s="156" t="s">
        <v>219</v>
      </c>
      <c r="X18" s="156" t="s">
        <v>219</v>
      </c>
      <c r="Y18" s="156" t="s">
        <v>219</v>
      </c>
      <c r="Z18" s="156" t="s">
        <v>219</v>
      </c>
      <c r="AA18" s="156" t="s">
        <v>219</v>
      </c>
      <c r="AB18" s="157" t="s">
        <v>219</v>
      </c>
    </row>
    <row r="19" spans="1:28" ht="22.5" customHeight="1" x14ac:dyDescent="0.15">
      <c r="A19" s="35" t="s">
        <v>76</v>
      </c>
      <c r="B19" s="155"/>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7"/>
    </row>
    <row r="20" spans="1:28" ht="22.5" customHeight="1" x14ac:dyDescent="0.15">
      <c r="A20" s="35" t="s">
        <v>77</v>
      </c>
      <c r="B20" s="155" t="s">
        <v>220</v>
      </c>
      <c r="C20" s="156" t="s">
        <v>220</v>
      </c>
      <c r="D20" s="156" t="s">
        <v>220</v>
      </c>
      <c r="E20" s="156" t="s">
        <v>220</v>
      </c>
      <c r="F20" s="156" t="s">
        <v>220</v>
      </c>
      <c r="G20" s="156" t="s">
        <v>220</v>
      </c>
      <c r="H20" s="156" t="s">
        <v>220</v>
      </c>
      <c r="I20" s="156" t="s">
        <v>220</v>
      </c>
      <c r="J20" s="156" t="s">
        <v>220</v>
      </c>
      <c r="K20" s="156" t="s">
        <v>220</v>
      </c>
      <c r="L20" s="156" t="s">
        <v>220</v>
      </c>
      <c r="M20" s="156" t="s">
        <v>220</v>
      </c>
      <c r="N20" s="156" t="s">
        <v>220</v>
      </c>
      <c r="O20" s="156" t="s">
        <v>220</v>
      </c>
      <c r="P20" s="156" t="s">
        <v>220</v>
      </c>
      <c r="Q20" s="156" t="s">
        <v>220</v>
      </c>
      <c r="R20" s="156" t="s">
        <v>220</v>
      </c>
      <c r="S20" s="156" t="s">
        <v>220</v>
      </c>
      <c r="T20" s="156" t="s">
        <v>220</v>
      </c>
      <c r="U20" s="156" t="s">
        <v>220</v>
      </c>
      <c r="V20" s="156" t="s">
        <v>220</v>
      </c>
      <c r="W20" s="156" t="s">
        <v>220</v>
      </c>
      <c r="X20" s="156" t="s">
        <v>220</v>
      </c>
      <c r="Y20" s="156" t="s">
        <v>220</v>
      </c>
      <c r="Z20" s="156" t="s">
        <v>220</v>
      </c>
      <c r="AA20" s="156" t="s">
        <v>220</v>
      </c>
      <c r="AB20" s="157" t="s">
        <v>220</v>
      </c>
    </row>
    <row r="21" spans="1:28" ht="22.5" customHeight="1" x14ac:dyDescent="0.15">
      <c r="A21" s="35" t="s">
        <v>78</v>
      </c>
      <c r="B21" s="155" t="s">
        <v>221</v>
      </c>
      <c r="C21" s="156" t="s">
        <v>221</v>
      </c>
      <c r="D21" s="156" t="s">
        <v>221</v>
      </c>
      <c r="E21" s="156" t="s">
        <v>221</v>
      </c>
      <c r="F21" s="156" t="s">
        <v>221</v>
      </c>
      <c r="G21" s="156" t="s">
        <v>221</v>
      </c>
      <c r="H21" s="156" t="s">
        <v>221</v>
      </c>
      <c r="I21" s="156" t="s">
        <v>221</v>
      </c>
      <c r="J21" s="156" t="s">
        <v>221</v>
      </c>
      <c r="K21" s="156" t="s">
        <v>221</v>
      </c>
      <c r="L21" s="156" t="s">
        <v>221</v>
      </c>
      <c r="M21" s="156" t="s">
        <v>221</v>
      </c>
      <c r="N21" s="156" t="s">
        <v>221</v>
      </c>
      <c r="O21" s="156" t="s">
        <v>221</v>
      </c>
      <c r="P21" s="156" t="s">
        <v>221</v>
      </c>
      <c r="Q21" s="156" t="s">
        <v>221</v>
      </c>
      <c r="R21" s="156" t="s">
        <v>221</v>
      </c>
      <c r="S21" s="156" t="s">
        <v>221</v>
      </c>
      <c r="T21" s="156" t="s">
        <v>221</v>
      </c>
      <c r="U21" s="156" t="s">
        <v>221</v>
      </c>
      <c r="V21" s="156" t="s">
        <v>221</v>
      </c>
      <c r="W21" s="156" t="s">
        <v>221</v>
      </c>
      <c r="X21" s="156" t="s">
        <v>221</v>
      </c>
      <c r="Y21" s="156" t="s">
        <v>221</v>
      </c>
      <c r="Z21" s="156" t="s">
        <v>221</v>
      </c>
      <c r="AA21" s="156" t="s">
        <v>221</v>
      </c>
      <c r="AB21" s="157" t="s">
        <v>221</v>
      </c>
    </row>
    <row r="22" spans="1:28" ht="22.5" customHeight="1" x14ac:dyDescent="0.15">
      <c r="A22" s="35" t="s">
        <v>79</v>
      </c>
      <c r="B22" s="155" t="s">
        <v>222</v>
      </c>
      <c r="C22" s="156" t="s">
        <v>222</v>
      </c>
      <c r="D22" s="156" t="s">
        <v>222</v>
      </c>
      <c r="E22" s="156" t="s">
        <v>222</v>
      </c>
      <c r="F22" s="156" t="s">
        <v>222</v>
      </c>
      <c r="G22" s="156" t="s">
        <v>222</v>
      </c>
      <c r="H22" s="156" t="s">
        <v>222</v>
      </c>
      <c r="I22" s="156" t="s">
        <v>222</v>
      </c>
      <c r="J22" s="156" t="s">
        <v>222</v>
      </c>
      <c r="K22" s="156" t="s">
        <v>222</v>
      </c>
      <c r="L22" s="156" t="s">
        <v>222</v>
      </c>
      <c r="M22" s="156" t="s">
        <v>222</v>
      </c>
      <c r="N22" s="156" t="s">
        <v>222</v>
      </c>
      <c r="O22" s="156" t="s">
        <v>222</v>
      </c>
      <c r="P22" s="156" t="s">
        <v>222</v>
      </c>
      <c r="Q22" s="156" t="s">
        <v>222</v>
      </c>
      <c r="R22" s="156" t="s">
        <v>222</v>
      </c>
      <c r="S22" s="156" t="s">
        <v>222</v>
      </c>
      <c r="T22" s="156" t="s">
        <v>222</v>
      </c>
      <c r="U22" s="156" t="s">
        <v>222</v>
      </c>
      <c r="V22" s="156" t="s">
        <v>222</v>
      </c>
      <c r="W22" s="156" t="s">
        <v>222</v>
      </c>
      <c r="X22" s="156" t="s">
        <v>222</v>
      </c>
      <c r="Y22" s="156" t="s">
        <v>222</v>
      </c>
      <c r="Z22" s="156" t="s">
        <v>222</v>
      </c>
      <c r="AA22" s="156" t="s">
        <v>222</v>
      </c>
      <c r="AB22" s="157" t="s">
        <v>222</v>
      </c>
    </row>
    <row r="23" spans="1:28" ht="22.5" customHeight="1" x14ac:dyDescent="0.15">
      <c r="A23" s="35" t="s">
        <v>80</v>
      </c>
      <c r="B23" s="155" t="s">
        <v>236</v>
      </c>
      <c r="C23" s="156" t="s">
        <v>223</v>
      </c>
      <c r="D23" s="156" t="s">
        <v>223</v>
      </c>
      <c r="E23" s="156" t="s">
        <v>223</v>
      </c>
      <c r="F23" s="156" t="s">
        <v>223</v>
      </c>
      <c r="G23" s="156" t="s">
        <v>223</v>
      </c>
      <c r="H23" s="156" t="s">
        <v>223</v>
      </c>
      <c r="I23" s="156" t="s">
        <v>223</v>
      </c>
      <c r="J23" s="156" t="s">
        <v>223</v>
      </c>
      <c r="K23" s="156" t="s">
        <v>223</v>
      </c>
      <c r="L23" s="156" t="s">
        <v>223</v>
      </c>
      <c r="M23" s="156" t="s">
        <v>223</v>
      </c>
      <c r="N23" s="156" t="s">
        <v>223</v>
      </c>
      <c r="O23" s="156" t="s">
        <v>223</v>
      </c>
      <c r="P23" s="156" t="s">
        <v>223</v>
      </c>
      <c r="Q23" s="156" t="s">
        <v>223</v>
      </c>
      <c r="R23" s="156" t="s">
        <v>223</v>
      </c>
      <c r="S23" s="156" t="s">
        <v>223</v>
      </c>
      <c r="T23" s="156" t="s">
        <v>223</v>
      </c>
      <c r="U23" s="156" t="s">
        <v>223</v>
      </c>
      <c r="V23" s="156" t="s">
        <v>223</v>
      </c>
      <c r="W23" s="156" t="s">
        <v>223</v>
      </c>
      <c r="X23" s="156" t="s">
        <v>223</v>
      </c>
      <c r="Y23" s="156" t="s">
        <v>223</v>
      </c>
      <c r="Z23" s="156" t="s">
        <v>223</v>
      </c>
      <c r="AA23" s="156" t="s">
        <v>223</v>
      </c>
      <c r="AB23" s="157" t="s">
        <v>223</v>
      </c>
    </row>
    <row r="24" spans="1:28" ht="22.5" customHeight="1" x14ac:dyDescent="0.15">
      <c r="A24" s="35" t="s">
        <v>81</v>
      </c>
      <c r="B24" s="155" t="s">
        <v>224</v>
      </c>
      <c r="C24" s="156" t="s">
        <v>224</v>
      </c>
      <c r="D24" s="156" t="s">
        <v>224</v>
      </c>
      <c r="E24" s="156" t="s">
        <v>224</v>
      </c>
      <c r="F24" s="156" t="s">
        <v>224</v>
      </c>
      <c r="G24" s="156" t="s">
        <v>224</v>
      </c>
      <c r="H24" s="156" t="s">
        <v>224</v>
      </c>
      <c r="I24" s="156" t="s">
        <v>224</v>
      </c>
      <c r="J24" s="156" t="s">
        <v>224</v>
      </c>
      <c r="K24" s="156" t="s">
        <v>224</v>
      </c>
      <c r="L24" s="156" t="s">
        <v>224</v>
      </c>
      <c r="M24" s="156" t="s">
        <v>224</v>
      </c>
      <c r="N24" s="156" t="s">
        <v>224</v>
      </c>
      <c r="O24" s="156" t="s">
        <v>224</v>
      </c>
      <c r="P24" s="156" t="s">
        <v>224</v>
      </c>
      <c r="Q24" s="156" t="s">
        <v>224</v>
      </c>
      <c r="R24" s="156" t="s">
        <v>224</v>
      </c>
      <c r="S24" s="156" t="s">
        <v>224</v>
      </c>
      <c r="T24" s="156" t="s">
        <v>224</v>
      </c>
      <c r="U24" s="156" t="s">
        <v>224</v>
      </c>
      <c r="V24" s="156" t="s">
        <v>224</v>
      </c>
      <c r="W24" s="156" t="s">
        <v>224</v>
      </c>
      <c r="X24" s="156" t="s">
        <v>224</v>
      </c>
      <c r="Y24" s="156" t="s">
        <v>224</v>
      </c>
      <c r="Z24" s="156" t="s">
        <v>224</v>
      </c>
      <c r="AA24" s="156" t="s">
        <v>224</v>
      </c>
      <c r="AB24" s="157" t="s">
        <v>224</v>
      </c>
    </row>
    <row r="25" spans="1:28" ht="22.5" customHeight="1" x14ac:dyDescent="0.15">
      <c r="A25" s="35" t="s">
        <v>82</v>
      </c>
      <c r="B25" s="155" t="s">
        <v>225</v>
      </c>
      <c r="C25" s="156" t="s">
        <v>225</v>
      </c>
      <c r="D25" s="156" t="s">
        <v>225</v>
      </c>
      <c r="E25" s="156" t="s">
        <v>225</v>
      </c>
      <c r="F25" s="156" t="s">
        <v>225</v>
      </c>
      <c r="G25" s="156" t="s">
        <v>225</v>
      </c>
      <c r="H25" s="156" t="s">
        <v>225</v>
      </c>
      <c r="I25" s="156" t="s">
        <v>225</v>
      </c>
      <c r="J25" s="156" t="s">
        <v>225</v>
      </c>
      <c r="K25" s="156" t="s">
        <v>225</v>
      </c>
      <c r="L25" s="156" t="s">
        <v>225</v>
      </c>
      <c r="M25" s="156" t="s">
        <v>225</v>
      </c>
      <c r="N25" s="156" t="s">
        <v>225</v>
      </c>
      <c r="O25" s="156" t="s">
        <v>225</v>
      </c>
      <c r="P25" s="156" t="s">
        <v>225</v>
      </c>
      <c r="Q25" s="156" t="s">
        <v>225</v>
      </c>
      <c r="R25" s="156" t="s">
        <v>225</v>
      </c>
      <c r="S25" s="156" t="s">
        <v>225</v>
      </c>
      <c r="T25" s="156" t="s">
        <v>225</v>
      </c>
      <c r="U25" s="156" t="s">
        <v>225</v>
      </c>
      <c r="V25" s="156" t="s">
        <v>225</v>
      </c>
      <c r="W25" s="156" t="s">
        <v>225</v>
      </c>
      <c r="X25" s="156" t="s">
        <v>225</v>
      </c>
      <c r="Y25" s="156" t="s">
        <v>225</v>
      </c>
      <c r="Z25" s="156" t="s">
        <v>225</v>
      </c>
      <c r="AA25" s="156" t="s">
        <v>225</v>
      </c>
      <c r="AB25" s="157" t="s">
        <v>225</v>
      </c>
    </row>
    <row r="26" spans="1:28" ht="22.5" customHeight="1" x14ac:dyDescent="0.15">
      <c r="A26" s="35" t="s">
        <v>83</v>
      </c>
      <c r="B26" s="155" t="s">
        <v>226</v>
      </c>
      <c r="C26" s="156" t="s">
        <v>226</v>
      </c>
      <c r="D26" s="156" t="s">
        <v>226</v>
      </c>
      <c r="E26" s="156" t="s">
        <v>226</v>
      </c>
      <c r="F26" s="156" t="s">
        <v>226</v>
      </c>
      <c r="G26" s="156" t="s">
        <v>226</v>
      </c>
      <c r="H26" s="156" t="s">
        <v>226</v>
      </c>
      <c r="I26" s="156" t="s">
        <v>226</v>
      </c>
      <c r="J26" s="156" t="s">
        <v>226</v>
      </c>
      <c r="K26" s="156" t="s">
        <v>226</v>
      </c>
      <c r="L26" s="156" t="s">
        <v>226</v>
      </c>
      <c r="M26" s="156" t="s">
        <v>226</v>
      </c>
      <c r="N26" s="156" t="s">
        <v>226</v>
      </c>
      <c r="O26" s="156" t="s">
        <v>226</v>
      </c>
      <c r="P26" s="156" t="s">
        <v>226</v>
      </c>
      <c r="Q26" s="156" t="s">
        <v>226</v>
      </c>
      <c r="R26" s="156" t="s">
        <v>226</v>
      </c>
      <c r="S26" s="156" t="s">
        <v>226</v>
      </c>
      <c r="T26" s="156" t="s">
        <v>226</v>
      </c>
      <c r="U26" s="156" t="s">
        <v>226</v>
      </c>
      <c r="V26" s="156" t="s">
        <v>226</v>
      </c>
      <c r="W26" s="156" t="s">
        <v>226</v>
      </c>
      <c r="X26" s="156" t="s">
        <v>226</v>
      </c>
      <c r="Y26" s="156" t="s">
        <v>226</v>
      </c>
      <c r="Z26" s="156" t="s">
        <v>226</v>
      </c>
      <c r="AA26" s="156" t="s">
        <v>226</v>
      </c>
      <c r="AB26" s="157" t="s">
        <v>226</v>
      </c>
    </row>
    <row r="27" spans="1:28" ht="22.5" customHeight="1" x14ac:dyDescent="0.15">
      <c r="A27" s="35" t="s">
        <v>84</v>
      </c>
      <c r="B27" s="155" t="s">
        <v>227</v>
      </c>
      <c r="C27" s="156" t="s">
        <v>227</v>
      </c>
      <c r="D27" s="156" t="s">
        <v>227</v>
      </c>
      <c r="E27" s="156" t="s">
        <v>227</v>
      </c>
      <c r="F27" s="156" t="s">
        <v>227</v>
      </c>
      <c r="G27" s="156" t="s">
        <v>227</v>
      </c>
      <c r="H27" s="156" t="s">
        <v>227</v>
      </c>
      <c r="I27" s="156" t="s">
        <v>227</v>
      </c>
      <c r="J27" s="156" t="s">
        <v>227</v>
      </c>
      <c r="K27" s="156" t="s">
        <v>227</v>
      </c>
      <c r="L27" s="156" t="s">
        <v>227</v>
      </c>
      <c r="M27" s="156" t="s">
        <v>227</v>
      </c>
      <c r="N27" s="156" t="s">
        <v>227</v>
      </c>
      <c r="O27" s="156" t="s">
        <v>227</v>
      </c>
      <c r="P27" s="156" t="s">
        <v>227</v>
      </c>
      <c r="Q27" s="156" t="s">
        <v>227</v>
      </c>
      <c r="R27" s="156" t="s">
        <v>227</v>
      </c>
      <c r="S27" s="156" t="s">
        <v>227</v>
      </c>
      <c r="T27" s="156" t="s">
        <v>227</v>
      </c>
      <c r="U27" s="156" t="s">
        <v>227</v>
      </c>
      <c r="V27" s="156" t="s">
        <v>227</v>
      </c>
      <c r="W27" s="156" t="s">
        <v>227</v>
      </c>
      <c r="X27" s="156" t="s">
        <v>227</v>
      </c>
      <c r="Y27" s="156" t="s">
        <v>227</v>
      </c>
      <c r="Z27" s="156" t="s">
        <v>227</v>
      </c>
      <c r="AA27" s="156" t="s">
        <v>227</v>
      </c>
      <c r="AB27" s="157" t="s">
        <v>227</v>
      </c>
    </row>
    <row r="28" spans="1:28" ht="22.5" customHeight="1" x14ac:dyDescent="0.15">
      <c r="A28" s="35" t="s">
        <v>85</v>
      </c>
      <c r="B28" s="155" t="s">
        <v>228</v>
      </c>
      <c r="C28" s="156" t="s">
        <v>228</v>
      </c>
      <c r="D28" s="156" t="s">
        <v>228</v>
      </c>
      <c r="E28" s="156" t="s">
        <v>228</v>
      </c>
      <c r="F28" s="156" t="s">
        <v>228</v>
      </c>
      <c r="G28" s="156" t="s">
        <v>228</v>
      </c>
      <c r="H28" s="156" t="s">
        <v>228</v>
      </c>
      <c r="I28" s="156" t="s">
        <v>228</v>
      </c>
      <c r="J28" s="156" t="s">
        <v>228</v>
      </c>
      <c r="K28" s="156" t="s">
        <v>228</v>
      </c>
      <c r="L28" s="156" t="s">
        <v>228</v>
      </c>
      <c r="M28" s="156" t="s">
        <v>228</v>
      </c>
      <c r="N28" s="156" t="s">
        <v>228</v>
      </c>
      <c r="O28" s="156" t="s">
        <v>228</v>
      </c>
      <c r="P28" s="156" t="s">
        <v>228</v>
      </c>
      <c r="Q28" s="156" t="s">
        <v>228</v>
      </c>
      <c r="R28" s="156" t="s">
        <v>228</v>
      </c>
      <c r="S28" s="156" t="s">
        <v>228</v>
      </c>
      <c r="T28" s="156" t="s">
        <v>228</v>
      </c>
      <c r="U28" s="156" t="s">
        <v>228</v>
      </c>
      <c r="V28" s="156" t="s">
        <v>228</v>
      </c>
      <c r="W28" s="156" t="s">
        <v>228</v>
      </c>
      <c r="X28" s="156" t="s">
        <v>228</v>
      </c>
      <c r="Y28" s="156" t="s">
        <v>228</v>
      </c>
      <c r="Z28" s="156" t="s">
        <v>228</v>
      </c>
      <c r="AA28" s="156" t="s">
        <v>228</v>
      </c>
      <c r="AB28" s="157" t="s">
        <v>228</v>
      </c>
    </row>
    <row r="29" spans="1:28" ht="22.5" customHeight="1" x14ac:dyDescent="0.15">
      <c r="A29" s="35" t="s">
        <v>86</v>
      </c>
      <c r="B29" s="155"/>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7"/>
    </row>
    <row r="30" spans="1:28" ht="22.5" customHeight="1" x14ac:dyDescent="0.15">
      <c r="A30" s="35" t="s">
        <v>87</v>
      </c>
      <c r="B30" s="155" t="s">
        <v>229</v>
      </c>
      <c r="C30" s="156" t="s">
        <v>229</v>
      </c>
      <c r="D30" s="156" t="s">
        <v>229</v>
      </c>
      <c r="E30" s="156" t="s">
        <v>229</v>
      </c>
      <c r="F30" s="156" t="s">
        <v>229</v>
      </c>
      <c r="G30" s="156" t="s">
        <v>229</v>
      </c>
      <c r="H30" s="156" t="s">
        <v>229</v>
      </c>
      <c r="I30" s="156" t="s">
        <v>229</v>
      </c>
      <c r="J30" s="156" t="s">
        <v>229</v>
      </c>
      <c r="K30" s="156" t="s">
        <v>229</v>
      </c>
      <c r="L30" s="156" t="s">
        <v>229</v>
      </c>
      <c r="M30" s="156" t="s">
        <v>229</v>
      </c>
      <c r="N30" s="156" t="s">
        <v>229</v>
      </c>
      <c r="O30" s="156" t="s">
        <v>229</v>
      </c>
      <c r="P30" s="156" t="s">
        <v>229</v>
      </c>
      <c r="Q30" s="156" t="s">
        <v>229</v>
      </c>
      <c r="R30" s="156" t="s">
        <v>229</v>
      </c>
      <c r="S30" s="156" t="s">
        <v>229</v>
      </c>
      <c r="T30" s="156" t="s">
        <v>229</v>
      </c>
      <c r="U30" s="156" t="s">
        <v>229</v>
      </c>
      <c r="V30" s="156" t="s">
        <v>229</v>
      </c>
      <c r="W30" s="156" t="s">
        <v>229</v>
      </c>
      <c r="X30" s="156" t="s">
        <v>229</v>
      </c>
      <c r="Y30" s="156" t="s">
        <v>229</v>
      </c>
      <c r="Z30" s="156" t="s">
        <v>229</v>
      </c>
      <c r="AA30" s="156" t="s">
        <v>229</v>
      </c>
      <c r="AB30" s="157" t="s">
        <v>229</v>
      </c>
    </row>
    <row r="31" spans="1:28" ht="22.5" customHeight="1" x14ac:dyDescent="0.15">
      <c r="A31" s="35"/>
      <c r="B31" s="155"/>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7"/>
    </row>
    <row r="32" spans="1:28" ht="22.5" customHeight="1" x14ac:dyDescent="0.15">
      <c r="A32" s="35"/>
      <c r="B32" s="155"/>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7"/>
    </row>
    <row r="33" spans="1:28" ht="22.5" customHeight="1" x14ac:dyDescent="0.15">
      <c r="A33" s="35"/>
      <c r="B33" s="155"/>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7"/>
    </row>
    <row r="34" spans="1:28" ht="22.5" customHeight="1" x14ac:dyDescent="0.15">
      <c r="A34" s="35"/>
      <c r="B34" s="155"/>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7"/>
    </row>
    <row r="35" spans="1:28" ht="17.25" customHeight="1" x14ac:dyDescent="0.15"/>
    <row r="36" spans="1:28" ht="17.25" customHeight="1" x14ac:dyDescent="0.15"/>
    <row r="37" spans="1:28" ht="17.25" customHeight="1" x14ac:dyDescent="0.15"/>
    <row r="38" spans="1:28" ht="17.25" customHeight="1" x14ac:dyDescent="0.15"/>
    <row r="39" spans="1:28" ht="17.25" customHeight="1" x14ac:dyDescent="0.15"/>
    <row r="40" spans="1:28" ht="17.25" customHeight="1" x14ac:dyDescent="0.15"/>
    <row r="41" spans="1:28" ht="17.25" customHeight="1" x14ac:dyDescent="0.15"/>
    <row r="42" spans="1:28" ht="17.25" customHeight="1" x14ac:dyDescent="0.15"/>
    <row r="43" spans="1:28" ht="17.25" customHeight="1" x14ac:dyDescent="0.15"/>
    <row r="44" spans="1:28" ht="17.25" customHeight="1" x14ac:dyDescent="0.15"/>
    <row r="45" spans="1:28" ht="17.25" customHeight="1" x14ac:dyDescent="0.15"/>
    <row r="46" spans="1:28" ht="17.25" customHeight="1" x14ac:dyDescent="0.15"/>
    <row r="47" spans="1:28" ht="17.25" customHeight="1" x14ac:dyDescent="0.15"/>
    <row r="48" spans="1:28" ht="17.25" customHeight="1" x14ac:dyDescent="0.15"/>
    <row r="49" ht="17.25" customHeight="1" x14ac:dyDescent="0.15"/>
    <row r="50" ht="17.25" customHeight="1" x14ac:dyDescent="0.15"/>
    <row r="51" ht="17.25" customHeight="1" x14ac:dyDescent="0.15"/>
    <row r="52" ht="17.25" customHeight="1" x14ac:dyDescent="0.15"/>
    <row r="53" ht="17.25" customHeight="1" x14ac:dyDescent="0.15"/>
    <row r="54" ht="17.25" customHeight="1" x14ac:dyDescent="0.15"/>
    <row r="55" ht="17.25" customHeight="1" x14ac:dyDescent="0.15"/>
    <row r="56" ht="17.25" customHeight="1" x14ac:dyDescent="0.15"/>
    <row r="57" ht="17.25" customHeight="1" x14ac:dyDescent="0.15"/>
    <row r="58" ht="17.25" customHeight="1" x14ac:dyDescent="0.15"/>
    <row r="59" ht="17.25" customHeight="1" x14ac:dyDescent="0.15"/>
    <row r="60" ht="17.25" customHeight="1" x14ac:dyDescent="0.15"/>
    <row r="61" ht="17.25" customHeight="1" x14ac:dyDescent="0.15"/>
    <row r="62" ht="17.25" customHeight="1" x14ac:dyDescent="0.15"/>
    <row r="63" ht="17.25" customHeight="1" x14ac:dyDescent="0.15"/>
    <row r="64" ht="17.25" customHeight="1" x14ac:dyDescent="0.15"/>
    <row r="65" ht="17.25" customHeight="1" x14ac:dyDescent="0.15"/>
    <row r="66" ht="17.25" customHeight="1" x14ac:dyDescent="0.15"/>
    <row r="67" ht="17.25" customHeight="1" x14ac:dyDescent="0.15"/>
    <row r="68" ht="17.25" customHeight="1" x14ac:dyDescent="0.15"/>
    <row r="69" ht="17.25" customHeight="1" x14ac:dyDescent="0.15"/>
    <row r="70" ht="17.25" customHeight="1" x14ac:dyDescent="0.15"/>
    <row r="71" ht="17.25" customHeight="1" x14ac:dyDescent="0.15"/>
    <row r="72" ht="17.25" customHeight="1" x14ac:dyDescent="0.15"/>
    <row r="73" ht="17.25" customHeight="1" x14ac:dyDescent="0.15"/>
    <row r="74" ht="17.25" customHeight="1" x14ac:dyDescent="0.15"/>
    <row r="75" ht="17.25" customHeight="1" x14ac:dyDescent="0.15"/>
    <row r="76" ht="17.25" customHeight="1" x14ac:dyDescent="0.15"/>
    <row r="77" ht="17.25" customHeight="1" x14ac:dyDescent="0.15"/>
    <row r="78" ht="17.25" customHeight="1" x14ac:dyDescent="0.15"/>
    <row r="79" ht="17.25" customHeight="1" x14ac:dyDescent="0.15"/>
    <row r="80" ht="17.25" customHeight="1" x14ac:dyDescent="0.15"/>
    <row r="81" ht="17.25" customHeight="1" x14ac:dyDescent="0.15"/>
    <row r="82" ht="17.25" customHeight="1" x14ac:dyDescent="0.15"/>
    <row r="83" ht="17.25" customHeight="1" x14ac:dyDescent="0.15"/>
    <row r="84" ht="17.25" customHeight="1" x14ac:dyDescent="0.15"/>
    <row r="85" ht="17.25" customHeight="1" x14ac:dyDescent="0.15"/>
    <row r="86" ht="17.25" customHeight="1" x14ac:dyDescent="0.15"/>
    <row r="87" ht="17.25" customHeight="1" x14ac:dyDescent="0.15"/>
    <row r="88" ht="17.25" customHeight="1" x14ac:dyDescent="0.15"/>
    <row r="89" ht="17.25" customHeight="1" x14ac:dyDescent="0.15"/>
    <row r="90" ht="17.25" customHeight="1" x14ac:dyDescent="0.15"/>
    <row r="91" ht="17.25" customHeight="1" x14ac:dyDescent="0.15"/>
    <row r="92" ht="17.25" customHeight="1" x14ac:dyDescent="0.15"/>
    <row r="93" ht="17.25" customHeight="1" x14ac:dyDescent="0.15"/>
    <row r="94" ht="17.25" customHeight="1" x14ac:dyDescent="0.15"/>
    <row r="95" ht="17.25" customHeight="1" x14ac:dyDescent="0.15"/>
    <row r="96" ht="17.25" customHeight="1" x14ac:dyDescent="0.15"/>
    <row r="97" ht="17.25" customHeight="1" x14ac:dyDescent="0.15"/>
    <row r="98" ht="17.25" customHeight="1" x14ac:dyDescent="0.15"/>
    <row r="99" ht="17.25" customHeight="1" x14ac:dyDescent="0.15"/>
    <row r="100" ht="17.25" customHeight="1" x14ac:dyDescent="0.15"/>
    <row r="101" ht="17.25" customHeight="1" x14ac:dyDescent="0.15"/>
    <row r="102" ht="17.25" customHeight="1" x14ac:dyDescent="0.15"/>
    <row r="103" ht="17.25" customHeight="1" x14ac:dyDescent="0.15"/>
    <row r="104" ht="17.25" customHeight="1" x14ac:dyDescent="0.15"/>
    <row r="105" ht="17.25" customHeight="1" x14ac:dyDescent="0.15"/>
    <row r="106" ht="17.25" customHeight="1" x14ac:dyDescent="0.15"/>
    <row r="107" ht="17.25" customHeight="1" x14ac:dyDescent="0.15"/>
    <row r="108" ht="17.25" customHeight="1" x14ac:dyDescent="0.15"/>
    <row r="109" ht="17.25" customHeight="1" x14ac:dyDescent="0.15"/>
    <row r="110" ht="17.25" customHeight="1" x14ac:dyDescent="0.15"/>
    <row r="111" ht="17.25" customHeight="1" x14ac:dyDescent="0.15"/>
    <row r="112" ht="17.25" customHeight="1" x14ac:dyDescent="0.15"/>
    <row r="113" ht="17.25" customHeight="1" x14ac:dyDescent="0.15"/>
    <row r="114" ht="17.25" customHeight="1" x14ac:dyDescent="0.15"/>
    <row r="115" ht="17.25" customHeight="1" x14ac:dyDescent="0.15"/>
    <row r="116" ht="17.25" customHeight="1" x14ac:dyDescent="0.15"/>
    <row r="117" ht="17.25" customHeight="1" x14ac:dyDescent="0.15"/>
    <row r="118" ht="17.25" customHeight="1" x14ac:dyDescent="0.15"/>
    <row r="119" ht="17.25" customHeight="1" x14ac:dyDescent="0.15"/>
    <row r="120" ht="17.25" customHeight="1" x14ac:dyDescent="0.15"/>
    <row r="121" ht="17.25" customHeight="1" x14ac:dyDescent="0.15"/>
    <row r="122" ht="17.25" customHeight="1" x14ac:dyDescent="0.15"/>
    <row r="123" ht="17.25" customHeight="1" x14ac:dyDescent="0.15"/>
    <row r="124" ht="17.25" customHeight="1" x14ac:dyDescent="0.15"/>
    <row r="125" ht="17.25" customHeight="1" x14ac:dyDescent="0.15"/>
    <row r="126" ht="17.25" customHeight="1" x14ac:dyDescent="0.15"/>
    <row r="127" ht="17.25" customHeight="1" x14ac:dyDescent="0.15"/>
    <row r="128" ht="17.25" customHeight="1" x14ac:dyDescent="0.15"/>
    <row r="129" ht="17.25" customHeight="1" x14ac:dyDescent="0.15"/>
    <row r="130" ht="17.25" customHeight="1" x14ac:dyDescent="0.15"/>
    <row r="131" ht="17.25" customHeight="1" x14ac:dyDescent="0.15"/>
    <row r="132" ht="17.25" customHeight="1" x14ac:dyDescent="0.15"/>
    <row r="133" ht="17.25" customHeight="1" x14ac:dyDescent="0.15"/>
    <row r="134" ht="17.25" customHeight="1" x14ac:dyDescent="0.15"/>
    <row r="135" ht="17.25" customHeight="1" x14ac:dyDescent="0.15"/>
    <row r="136" ht="17.25" customHeight="1" x14ac:dyDescent="0.15"/>
    <row r="137" ht="17.25" customHeight="1" x14ac:dyDescent="0.15"/>
    <row r="138" ht="17.25" customHeight="1" x14ac:dyDescent="0.15"/>
    <row r="139" ht="17.25" customHeight="1" x14ac:dyDescent="0.15"/>
    <row r="140" ht="17.25" customHeight="1" x14ac:dyDescent="0.15"/>
    <row r="141" ht="17.25" customHeight="1" x14ac:dyDescent="0.15"/>
    <row r="142" ht="17.25" customHeight="1" x14ac:dyDescent="0.15"/>
    <row r="143" ht="17.25" customHeight="1" x14ac:dyDescent="0.15"/>
    <row r="144" ht="17.25" customHeight="1" x14ac:dyDescent="0.15"/>
    <row r="145" ht="17.25" customHeight="1" x14ac:dyDescent="0.15"/>
    <row r="146" ht="17.25" customHeight="1" x14ac:dyDescent="0.15"/>
    <row r="147" ht="17.25" customHeight="1" x14ac:dyDescent="0.15"/>
    <row r="148" ht="17.25" customHeight="1" x14ac:dyDescent="0.15"/>
    <row r="149" ht="17.25" customHeight="1" x14ac:dyDescent="0.15"/>
    <row r="150" ht="17.25" customHeight="1" x14ac:dyDescent="0.15"/>
    <row r="151" ht="17.25" customHeight="1" x14ac:dyDescent="0.15"/>
    <row r="152" ht="17.25" customHeight="1" x14ac:dyDescent="0.15"/>
    <row r="153" ht="17.25" customHeight="1" x14ac:dyDescent="0.15"/>
    <row r="154" ht="17.25" customHeight="1" x14ac:dyDescent="0.15"/>
    <row r="155" ht="17.25" customHeight="1" x14ac:dyDescent="0.15"/>
    <row r="156" ht="17.25" customHeight="1" x14ac:dyDescent="0.15"/>
    <row r="157" ht="17.25" customHeight="1" x14ac:dyDescent="0.15"/>
    <row r="158" ht="17.25" customHeight="1" x14ac:dyDescent="0.15"/>
    <row r="159" ht="17.25" customHeight="1" x14ac:dyDescent="0.15"/>
  </sheetData>
  <mergeCells count="34">
    <mergeCell ref="B33:AB33"/>
    <mergeCell ref="B34:AB34"/>
    <mergeCell ref="B24:AB24"/>
    <mergeCell ref="B25:AB25"/>
    <mergeCell ref="B26:AB26"/>
    <mergeCell ref="B27:AB27"/>
    <mergeCell ref="B28:AB28"/>
    <mergeCell ref="B29:AB29"/>
    <mergeCell ref="B30:AB30"/>
    <mergeCell ref="B31:AB31"/>
    <mergeCell ref="B32:AB32"/>
    <mergeCell ref="B19:AB19"/>
    <mergeCell ref="B20:AB20"/>
    <mergeCell ref="B21:AB21"/>
    <mergeCell ref="B22:AB22"/>
    <mergeCell ref="B23:AB23"/>
    <mergeCell ref="B14:AB14"/>
    <mergeCell ref="B15:AB15"/>
    <mergeCell ref="B16:AB16"/>
    <mergeCell ref="B17:AB17"/>
    <mergeCell ref="B18:AB18"/>
    <mergeCell ref="A9:AB9"/>
    <mergeCell ref="B10:AB10"/>
    <mergeCell ref="B11:AB11"/>
    <mergeCell ref="B12:AB12"/>
    <mergeCell ref="B13:AB13"/>
    <mergeCell ref="A6:C6"/>
    <mergeCell ref="A7:C7"/>
    <mergeCell ref="A8:C8"/>
    <mergeCell ref="A1:C1"/>
    <mergeCell ref="A2:C2"/>
    <mergeCell ref="A3:C3"/>
    <mergeCell ref="A4:C4"/>
    <mergeCell ref="A5:C5"/>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6</vt:i4>
      </vt:variant>
    </vt:vector>
  </HeadingPairs>
  <TitlesOfParts>
    <vt:vector size="21" baseType="lpstr">
      <vt:lpstr>質問</vt:lpstr>
      <vt:lpstr>通知票</vt:lpstr>
      <vt:lpstr>所見集</vt:lpstr>
      <vt:lpstr>国語</vt:lpstr>
      <vt:lpstr>数学</vt:lpstr>
      <vt:lpstr>理科</vt:lpstr>
      <vt:lpstr>社会</vt:lpstr>
      <vt:lpstr>英語</vt:lpstr>
      <vt:lpstr>音楽</vt:lpstr>
      <vt:lpstr>美術</vt:lpstr>
      <vt:lpstr>保体</vt:lpstr>
      <vt:lpstr>技家</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丸山 浩史</cp:lastModifiedBy>
  <cp:lastPrinted>2024-07-22T01:30:34Z</cp:lastPrinted>
  <dcterms:created xsi:type="dcterms:W3CDTF">2005-07-21T09:07:06Z</dcterms:created>
  <dcterms:modified xsi:type="dcterms:W3CDTF">2024-09-06T01:23:50Z</dcterms:modified>
</cp:coreProperties>
</file>