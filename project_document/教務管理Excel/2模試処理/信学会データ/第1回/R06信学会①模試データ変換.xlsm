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模試\R06年度データ\信学会データ\第1回\"/>
    </mc:Choice>
  </mc:AlternateContent>
  <bookViews>
    <workbookView xWindow="480" yWindow="330" windowWidth="24555" windowHeight="12285" activeTab="1"/>
  </bookViews>
  <sheets>
    <sheet name="元" sheetId="1" r:id="rId1"/>
    <sheet name="全データ用" sheetId="5" r:id="rId2"/>
    <sheet name="貼り付け用" sheetId="6" r:id="rId3"/>
    <sheet name="W1" sheetId="3" r:id="rId4"/>
    <sheet name="W2" sheetId="4" r:id="rId5"/>
    <sheet name="名簿,人数" sheetId="7" r:id="rId6"/>
  </sheets>
  <definedNames>
    <definedName name="_xlnm._FilterDatabase" localSheetId="3" hidden="1">'W1'!#REF!</definedName>
    <definedName name="受験人数">元!$AB$6:$AB$50</definedName>
    <definedName name="名簿">'名簿,人数'!$A$7:$B$43</definedName>
  </definedNames>
  <calcPr calcId="152511"/>
</workbook>
</file>

<file path=xl/calcChain.xml><?xml version="1.0" encoding="utf-8"?>
<calcChain xmlns="http://schemas.openxmlformats.org/spreadsheetml/2006/main">
  <c r="F2" i="1" l="1"/>
  <c r="H2" i="1" l="1"/>
  <c r="G2" i="1"/>
  <c r="AB40" i="1" l="1"/>
  <c r="AB41" i="1"/>
  <c r="AB42" i="1"/>
  <c r="AB43" i="1"/>
  <c r="AB44" i="1"/>
  <c r="AB45" i="1"/>
  <c r="AB46" i="1"/>
  <c r="AB47" i="1"/>
  <c r="AB48" i="1"/>
  <c r="G3" i="1" l="1"/>
  <c r="H3" i="1"/>
  <c r="F3" i="1"/>
</calcChain>
</file>

<file path=xl/sharedStrings.xml><?xml version="1.0" encoding="utf-8"?>
<sst xmlns="http://schemas.openxmlformats.org/spreadsheetml/2006/main" count="855" uniqueCount="272">
  <si>
    <t>受験番号</t>
  </si>
  <si>
    <t>国語</t>
  </si>
  <si>
    <t>社会</t>
  </si>
  <si>
    <t>数学</t>
  </si>
  <si>
    <t>理科</t>
  </si>
  <si>
    <t>英語</t>
  </si>
  <si>
    <t>得点</t>
  </si>
  <si>
    <t>偏差値</t>
  </si>
  <si>
    <t>順位</t>
  </si>
  <si>
    <t>判定</t>
  </si>
  <si>
    <t>1組</t>
    <rPh sb="1" eb="2">
      <t>クミ</t>
    </rPh>
    <phoneticPr fontId="18"/>
  </si>
  <si>
    <t>2組</t>
    <rPh sb="1" eb="2">
      <t>クミ</t>
    </rPh>
    <phoneticPr fontId="18"/>
  </si>
  <si>
    <t>3組</t>
    <rPh sb="1" eb="2">
      <t>クミ</t>
    </rPh>
    <phoneticPr fontId="18"/>
  </si>
  <si>
    <t>深志</t>
  </si>
  <si>
    <t>会場</t>
    <phoneticPr fontId="18"/>
  </si>
  <si>
    <t>まず→</t>
    <phoneticPr fontId="18"/>
  </si>
  <si>
    <t>読み取りミスを直し高校名を短縮してから →</t>
    <rPh sb="0" eb="1">
      <t>ヨ</t>
    </rPh>
    <rPh sb="2" eb="3">
      <t>ト</t>
    </rPh>
    <rPh sb="7" eb="8">
      <t>ナオ</t>
    </rPh>
    <rPh sb="9" eb="12">
      <t>コウコウメイ</t>
    </rPh>
    <rPh sb="13" eb="15">
      <t>タンシュク</t>
    </rPh>
    <phoneticPr fontId="18"/>
  </si>
  <si>
    <t>氏名</t>
  </si>
  <si>
    <t>志望校評価</t>
  </si>
  <si>
    <t>総合</t>
  </si>
  <si>
    <t>志望校名</t>
  </si>
  <si>
    <t>人数</t>
  </si>
  <si>
    <t>人数</t>
    <rPh sb="0" eb="2">
      <t>ニンズウ</t>
    </rPh>
    <phoneticPr fontId="18"/>
  </si>
  <si>
    <t>名簿</t>
    <rPh sb="0" eb="2">
      <t>メイボ</t>
    </rPh>
    <phoneticPr fontId="18"/>
  </si>
  <si>
    <t>受験番号</t>
    <rPh sb="0" eb="2">
      <t>ジュケン</t>
    </rPh>
    <rPh sb="2" eb="4">
      <t>バンゴウ</t>
    </rPh>
    <phoneticPr fontId="18"/>
  </si>
  <si>
    <t>氏名</t>
    <rPh sb="0" eb="2">
      <t>シメイ</t>
    </rPh>
    <phoneticPr fontId="18"/>
  </si>
  <si>
    <t>得点</t>
    <rPh sb="0" eb="2">
      <t>トクテン</t>
    </rPh>
    <phoneticPr fontId="18"/>
  </si>
  <si>
    <t>偏差値</t>
    <rPh sb="0" eb="3">
      <t>ヘンサチ</t>
    </rPh>
    <phoneticPr fontId="18"/>
  </si>
  <si>
    <t>順位</t>
    <rPh sb="0" eb="2">
      <t>ジュンイ</t>
    </rPh>
    <phoneticPr fontId="18"/>
  </si>
  <si>
    <t>総合</t>
    <rPh sb="0" eb="2">
      <t>ソウゴウ</t>
    </rPh>
    <phoneticPr fontId="18"/>
  </si>
  <si>
    <t>県ヶ丘(普)</t>
  </si>
  <si>
    <t>荒崎 玄汰郎</t>
  </si>
  <si>
    <t>有賀 大典</t>
  </si>
  <si>
    <t>井口 真里花</t>
  </si>
  <si>
    <t>犬飼 陽南乃</t>
  </si>
  <si>
    <t>大西 一翔</t>
  </si>
  <si>
    <t>河西 俊太朗</t>
  </si>
  <si>
    <t>木下 優雛羽</t>
  </si>
  <si>
    <t>木村 優心</t>
  </si>
  <si>
    <t>窪田 菜月</t>
  </si>
  <si>
    <t>小林 美咲</t>
  </si>
  <si>
    <t>齊木 りさ</t>
  </si>
  <si>
    <t>清水 大和</t>
  </si>
  <si>
    <t>名和 倭</t>
  </si>
  <si>
    <t>花岡 美怜</t>
  </si>
  <si>
    <t>花岡 結咲</t>
  </si>
  <si>
    <t>波塲 和</t>
  </si>
  <si>
    <t>堀田 美羽</t>
  </si>
  <si>
    <t>宮田 しいな</t>
  </si>
  <si>
    <t>百瀬 空哉</t>
  </si>
  <si>
    <t>森本 健士</t>
  </si>
  <si>
    <t>栁澤 洸之介</t>
  </si>
  <si>
    <t>矢野口 京右</t>
  </si>
  <si>
    <t>山口 菜々子</t>
  </si>
  <si>
    <t>飯島 義之</t>
  </si>
  <si>
    <t>井口 栄次郎</t>
  </si>
  <si>
    <t>伊野 翔真</t>
  </si>
  <si>
    <t>岡﨑 希</t>
  </si>
  <si>
    <t>塩原 遼大</t>
  </si>
  <si>
    <t>城谷 一香</t>
  </si>
  <si>
    <t>鈴木 詩乃</t>
  </si>
  <si>
    <t>鈴木 華</t>
  </si>
  <si>
    <t>吉村 ひかる</t>
  </si>
  <si>
    <t>Ｃ</t>
  </si>
  <si>
    <t>Ａ</t>
  </si>
  <si>
    <t>Ｂ</t>
  </si>
  <si>
    <t>Ｓ</t>
  </si>
  <si>
    <t>1</t>
  </si>
  <si>
    <t>甲陵</t>
  </si>
  <si>
    <t/>
  </si>
  <si>
    <t>有田 美羽</t>
    <rPh sb="0" eb="2">
      <t>ありた</t>
    </rPh>
    <rPh sb="3" eb="5">
      <t>みう</t>
    </rPh>
    <phoneticPr fontId="11" type="Hiragana" alignment="distributed"/>
  </si>
  <si>
    <t>石曽根 寧來</t>
    <rPh sb="0" eb="3">
      <t>いしぞね</t>
    </rPh>
    <rPh sb="4" eb="6">
      <t>しずく</t>
    </rPh>
    <phoneticPr fontId="11" type="Hiragana" alignment="distributed"/>
  </si>
  <si>
    <t>井上 万理子</t>
    <rPh sb="0" eb="2">
      <t>いのうえ</t>
    </rPh>
    <rPh sb="3" eb="6">
      <t>まりこ</t>
    </rPh>
    <phoneticPr fontId="11" type="Hiragana" alignment="distributed"/>
  </si>
  <si>
    <t>牛山 あずみ</t>
    <rPh sb="0" eb="2">
      <t>うしやま</t>
    </rPh>
    <phoneticPr fontId="11" type="Hiragana" alignment="distributed"/>
  </si>
  <si>
    <t>内山 文楓</t>
    <rPh sb="0" eb="2">
      <t>うちやま</t>
    </rPh>
    <rPh sb="3" eb="5">
      <t>あやか</t>
    </rPh>
    <phoneticPr fontId="11" type="Hiragana" alignment="distributed"/>
  </si>
  <si>
    <t>小笠原 和奏</t>
    <rPh sb="0" eb="3">
      <t>おがさわら</t>
    </rPh>
    <rPh sb="4" eb="6">
      <t>　わかな</t>
    </rPh>
    <phoneticPr fontId="11" type="Hiragana" alignment="distributed"/>
  </si>
  <si>
    <t>郭 浩宇</t>
    <rPh sb="0" eb="1">
      <t>かく</t>
    </rPh>
    <rPh sb="2" eb="4">
      <t>こうう</t>
    </rPh>
    <phoneticPr fontId="11" type="Hiragana" alignment="distributed"/>
  </si>
  <si>
    <t>上條 健太</t>
    <rPh sb="0" eb="2">
      <t>かみじょう</t>
    </rPh>
    <rPh sb="3" eb="5">
      <t>けんた</t>
    </rPh>
    <phoneticPr fontId="11" type="Hiragana" alignment="distributed"/>
  </si>
  <si>
    <t>川久保 匠</t>
    <rPh sb="0" eb="3">
      <t>かわくぼ</t>
    </rPh>
    <rPh sb="4" eb="5">
      <t>しょう</t>
    </rPh>
    <phoneticPr fontId="11" type="Hiragana" alignment="distributed"/>
  </si>
  <si>
    <t>小山 凌生</t>
    <rPh sb="0" eb="2">
      <t>こやま</t>
    </rPh>
    <rPh sb="3" eb="5">
      <t>りょうせい</t>
    </rPh>
    <phoneticPr fontId="11" type="Hiragana" alignment="distributed"/>
  </si>
  <si>
    <t>杉本 元</t>
    <rPh sb="0" eb="2">
      <t>すぎもと</t>
    </rPh>
    <rPh sb="3" eb="4">
      <t>はじめ</t>
    </rPh>
    <phoneticPr fontId="11" type="Hiragana" alignment="distributed"/>
  </si>
  <si>
    <t>關 玲薫</t>
    <rPh sb="0" eb="1">
      <t>せき</t>
    </rPh>
    <rPh sb="2" eb="4">
      <t>れいか</t>
    </rPh>
    <phoneticPr fontId="11" type="Hiragana" alignment="distributed"/>
  </si>
  <si>
    <t>谷 つぐみ</t>
    <rPh sb="0" eb="1">
      <t>たに</t>
    </rPh>
    <phoneticPr fontId="11" type="Hiragana" alignment="distributed"/>
  </si>
  <si>
    <t>根本 あかり</t>
    <rPh sb="0" eb="2">
      <t>ねもと</t>
    </rPh>
    <phoneticPr fontId="11" type="Hiragana" alignment="distributed"/>
  </si>
  <si>
    <t>花田 宗大</t>
    <rPh sb="0" eb="2">
      <t>はなだ</t>
    </rPh>
    <rPh sb="3" eb="5">
      <t>むねひろ</t>
    </rPh>
    <phoneticPr fontId="11" type="Hiragana" alignment="distributed"/>
  </si>
  <si>
    <t>濵 雫音</t>
    <rPh sb="0" eb="1">
      <t>はま</t>
    </rPh>
    <rPh sb="2" eb="4">
      <t>しずね</t>
    </rPh>
    <phoneticPr fontId="11" type="Hiragana" alignment="distributed"/>
  </si>
  <si>
    <t>百瀬 央基</t>
    <rPh sb="0" eb="2">
      <t>ももせ</t>
    </rPh>
    <rPh sb="3" eb="5">
      <t>ひろき</t>
    </rPh>
    <phoneticPr fontId="11" type="Hiragana" alignment="distributed"/>
  </si>
  <si>
    <t>栁澤 祐之介</t>
    <rPh sb="0" eb="2">
      <t>やなぎさわ</t>
    </rPh>
    <rPh sb="3" eb="6">
      <t>ゆうのすけ</t>
    </rPh>
    <phoneticPr fontId="11" type="Hiragana" alignment="distributed"/>
  </si>
  <si>
    <t>横山 龍太</t>
    <rPh sb="0" eb="2">
      <t>よこやま</t>
    </rPh>
    <rPh sb="3" eb="5">
      <t>りゅうた</t>
    </rPh>
    <phoneticPr fontId="11" type="Hiragana" alignment="distributed"/>
  </si>
  <si>
    <t>遠藤 駿次朗</t>
    <rPh sb="0" eb="2">
      <t>えんどう</t>
    </rPh>
    <rPh sb="3" eb="6">
      <t>しゅんじろう</t>
    </rPh>
    <phoneticPr fontId="11" type="Hiragana" alignment="distributed"/>
  </si>
  <si>
    <t>加藤 紬</t>
    <rPh sb="0" eb="2">
      <t>かとう</t>
    </rPh>
    <rPh sb="3" eb="4">
      <t>つむぎ</t>
    </rPh>
    <phoneticPr fontId="11" type="Hiragana" alignment="distributed"/>
  </si>
  <si>
    <t>上條 輝</t>
    <rPh sb="0" eb="2">
      <t>かみじょう</t>
    </rPh>
    <rPh sb="3" eb="4">
      <t>あきら</t>
    </rPh>
    <phoneticPr fontId="11" type="Hiragana" alignment="distributed"/>
  </si>
  <si>
    <t>久保田 めぐみ</t>
    <rPh sb="0" eb="3">
      <t>くぼた</t>
    </rPh>
    <phoneticPr fontId="11" type="Hiragana" alignment="distributed"/>
  </si>
  <si>
    <t>小松 風羽</t>
    <rPh sb="0" eb="2">
      <t>こまつ</t>
    </rPh>
    <rPh sb="3" eb="5">
      <t>ふわり</t>
    </rPh>
    <phoneticPr fontId="11" type="Hiragana" alignment="distributed"/>
  </si>
  <si>
    <t>紺谷 遼</t>
    <rPh sb="0" eb="2">
      <t>こんたに</t>
    </rPh>
    <rPh sb="3" eb="4">
      <t>りょう</t>
    </rPh>
    <phoneticPr fontId="11" type="Hiragana" alignment="distributed"/>
  </si>
  <si>
    <t>塩原 果歩</t>
    <rPh sb="0" eb="2">
      <t>しおはら</t>
    </rPh>
    <rPh sb="3" eb="5">
      <t>かほ</t>
    </rPh>
    <phoneticPr fontId="11" type="Hiragana" alignment="distributed"/>
  </si>
  <si>
    <t>新保 茉衣香</t>
    <rPh sb="0" eb="2">
      <t>しんぽ</t>
    </rPh>
    <rPh sb="3" eb="6">
      <t>まいか</t>
    </rPh>
    <phoneticPr fontId="11" type="Hiragana" alignment="distributed"/>
  </si>
  <si>
    <t>巣山 耀誉</t>
    <rPh sb="0" eb="2">
      <t>すやま</t>
    </rPh>
    <rPh sb="3" eb="5">
      <t>てるたか</t>
    </rPh>
    <phoneticPr fontId="11" type="Hiragana" alignment="distributed"/>
  </si>
  <si>
    <t>滝澤 勇輝</t>
    <rPh sb="0" eb="2">
      <t>たきざわ</t>
    </rPh>
    <rPh sb="3" eb="5">
      <t>ゆうき</t>
    </rPh>
    <phoneticPr fontId="11" type="Hiragana" alignment="distributed"/>
  </si>
  <si>
    <t>長崎 葵</t>
    <rPh sb="0" eb="2">
      <t>ながさき</t>
    </rPh>
    <rPh sb="3" eb="4">
      <t>あおい</t>
    </rPh>
    <phoneticPr fontId="11" type="Hiragana" alignment="distributed"/>
  </si>
  <si>
    <t>中山 実優</t>
    <rPh sb="0" eb="2">
      <t>なかやま</t>
    </rPh>
    <rPh sb="3" eb="5">
      <t>みゆ</t>
    </rPh>
    <phoneticPr fontId="11" type="Hiragana" alignment="distributed"/>
  </si>
  <si>
    <t>西村 恭子</t>
    <rPh sb="0" eb="2">
      <t>にしむら</t>
    </rPh>
    <rPh sb="3" eb="5">
      <t>きょうこ</t>
    </rPh>
    <phoneticPr fontId="11" type="Hiragana" alignment="distributed"/>
  </si>
  <si>
    <t>福田 志織</t>
    <rPh sb="0" eb="2">
      <t>ふくだ</t>
    </rPh>
    <rPh sb="3" eb="5">
      <t>しおり</t>
    </rPh>
    <phoneticPr fontId="11" type="Hiragana" alignment="distributed"/>
  </si>
  <si>
    <t>藤澤 昴</t>
    <rPh sb="0" eb="2">
      <t>ふじさわ</t>
    </rPh>
    <rPh sb="3" eb="4">
      <t>すばる</t>
    </rPh>
    <phoneticPr fontId="11" type="Hiragana" alignment="distributed"/>
  </si>
  <si>
    <t>保坂 菜月</t>
    <rPh sb="0" eb="2">
      <t>ほさか</t>
    </rPh>
    <rPh sb="3" eb="5">
      <t>なつき</t>
    </rPh>
    <phoneticPr fontId="11" type="Hiragana" alignment="distributed"/>
  </si>
  <si>
    <t>前澤 愛月</t>
    <rPh sb="0" eb="2">
      <t>まえざわ</t>
    </rPh>
    <rPh sb="3" eb="5">
      <t>なつき</t>
    </rPh>
    <phoneticPr fontId="11" type="Hiragana" alignment="distributed"/>
  </si>
  <si>
    <t>宮下 凛生</t>
    <rPh sb="0" eb="2">
      <t>みやした</t>
    </rPh>
    <rPh sb="3" eb="5">
      <t>りんせい</t>
    </rPh>
    <phoneticPr fontId="11" type="Hiragana" alignment="distributed"/>
  </si>
  <si>
    <t>若林 風歌</t>
    <rPh sb="0" eb="2">
      <t>わかばやし</t>
    </rPh>
    <rPh sb="3" eb="5">
      <t>ふうか</t>
    </rPh>
    <phoneticPr fontId="11" type="Hiragana" alignment="distributed"/>
  </si>
  <si>
    <t>高専(工)</t>
    <rPh sb="3" eb="4">
      <t>コウ</t>
    </rPh>
    <phoneticPr fontId="18"/>
  </si>
  <si>
    <t>つちやひかり</t>
  </si>
  <si>
    <t>井澤 優花</t>
  </si>
  <si>
    <t>太田 琉惺</t>
  </si>
  <si>
    <t>黒岩 華衣</t>
  </si>
  <si>
    <t>小林 祈織</t>
  </si>
  <si>
    <t>髙橋 悠</t>
  </si>
  <si>
    <t>髙山 天羽</t>
  </si>
  <si>
    <t>立澤 橙明</t>
  </si>
  <si>
    <t>田中 壱</t>
  </si>
  <si>
    <t>中山 倖誠</t>
  </si>
  <si>
    <t>林 美怜奈</t>
  </si>
  <si>
    <t>藤井 篤志</t>
  </si>
  <si>
    <t>丸山 理子</t>
  </si>
  <si>
    <t>南澤 飛翠</t>
  </si>
  <si>
    <t>宮坂 かずは</t>
  </si>
  <si>
    <t>山㟢 騰雷</t>
  </si>
  <si>
    <t>山本 莉子</t>
  </si>
  <si>
    <t>鮎澤 慶信</t>
  </si>
  <si>
    <t>犬飼 柚凛音</t>
  </si>
  <si>
    <t>今井 岳人</t>
  </si>
  <si>
    <t>加藤 慈子</t>
  </si>
  <si>
    <t>鎌倉 賢三</t>
  </si>
  <si>
    <t>川上 真央</t>
  </si>
  <si>
    <t>菊池 梨愛</t>
  </si>
  <si>
    <t>木下 結愛羽</t>
  </si>
  <si>
    <t>国広 紅二</t>
  </si>
  <si>
    <t>藏井 咲希</t>
  </si>
  <si>
    <t>小林 花</t>
  </si>
  <si>
    <t>酒井 知大</t>
  </si>
  <si>
    <t>柴野 空太</t>
  </si>
  <si>
    <t>竹内 ゆい</t>
  </si>
  <si>
    <t>巻山 稜</t>
  </si>
  <si>
    <t>2</t>
  </si>
  <si>
    <t>県ヶ丘(探)</t>
    <rPh sb="4" eb="5">
      <t>サグ</t>
    </rPh>
    <phoneticPr fontId="18"/>
  </si>
  <si>
    <t>長野</t>
  </si>
  <si>
    <t>諏訪清陵</t>
    <rPh sb="0" eb="2">
      <t>スワ</t>
    </rPh>
    <rPh sb="2" eb="4">
      <t>セイリョウ</t>
    </rPh>
    <phoneticPr fontId="18"/>
  </si>
  <si>
    <t>相場 芽生</t>
    <rPh sb="0" eb="2">
      <t>あいば</t>
    </rPh>
    <rPh sb="3" eb="4">
      <t>めい</t>
    </rPh>
    <phoneticPr fontId="0" type="Hiragana"/>
  </si>
  <si>
    <t>安藤 葉澄</t>
    <rPh sb="0" eb="2">
      <t>あんどう</t>
    </rPh>
    <rPh sb="3" eb="5">
      <t>はすみ</t>
    </rPh>
    <phoneticPr fontId="0" type="Hiragana"/>
  </si>
  <si>
    <t>植田 泰成</t>
    <rPh sb="0" eb="2">
      <t>うえだ</t>
    </rPh>
    <rPh sb="3" eb="5">
      <t>たいせい</t>
    </rPh>
    <phoneticPr fontId="0" type="Hiragana"/>
  </si>
  <si>
    <t>内山 純伶</t>
    <rPh sb="0" eb="2">
      <t>うちやま</t>
    </rPh>
    <rPh sb="3" eb="4">
      <t>すみれ</t>
    </rPh>
    <phoneticPr fontId="0" type="Hiragana"/>
  </si>
  <si>
    <t>加藤 維</t>
    <rPh sb="0" eb="2">
      <t>かとう</t>
    </rPh>
    <rPh sb="3" eb="4">
      <t>たもつ</t>
    </rPh>
    <phoneticPr fontId="0" type="Hiragana"/>
  </si>
  <si>
    <t>北原 夏花</t>
    <rPh sb="0" eb="2">
      <t>きたはら</t>
    </rPh>
    <rPh sb="3" eb="4">
      <t>なつか</t>
    </rPh>
    <phoneticPr fontId="0" type="Hiragana"/>
  </si>
  <si>
    <t>清澤 龍翔</t>
    <rPh sb="0" eb="2">
      <t>きよさわ</t>
    </rPh>
    <rPh sb="3" eb="4">
      <t>りゅうと</t>
    </rPh>
    <phoneticPr fontId="0" type="Hiragana"/>
  </si>
  <si>
    <t>五味 孝太</t>
    <rPh sb="0" eb="2">
      <t>ごみ</t>
    </rPh>
    <rPh sb="3" eb="5">
      <t>こうた</t>
    </rPh>
    <phoneticPr fontId="0" type="Hiragana"/>
  </si>
  <si>
    <t>齊木 伶</t>
    <rPh sb="0" eb="2">
      <t>さいき</t>
    </rPh>
    <rPh sb="3" eb="4">
      <t>れい</t>
    </rPh>
    <phoneticPr fontId="0" type="Hiragana"/>
  </si>
  <si>
    <t>宋 語紗</t>
    <rPh sb="0" eb="1">
      <t>そう</t>
    </rPh>
    <rPh sb="2" eb="3">
      <t>ゆあ</t>
    </rPh>
    <phoneticPr fontId="0" type="Hiragana"/>
  </si>
  <si>
    <t>大工原 一輝</t>
    <rPh sb="0" eb="3">
      <t>だいくはら</t>
    </rPh>
    <rPh sb="4" eb="6">
      <t>かずき</t>
    </rPh>
    <phoneticPr fontId="0" type="Hiragana"/>
  </si>
  <si>
    <t>等々力 瑛二</t>
    <rPh sb="0" eb="3">
      <t>とどりき</t>
    </rPh>
    <rPh sb="4" eb="6">
      <t>えいじ</t>
    </rPh>
    <phoneticPr fontId="0" type="Hiragana"/>
  </si>
  <si>
    <t>等々力 円果</t>
    <rPh sb="0" eb="3">
      <t>とどりき</t>
    </rPh>
    <rPh sb="4" eb="5">
      <t>まどか</t>
    </rPh>
    <phoneticPr fontId="0" type="Hiragana"/>
  </si>
  <si>
    <t>西村 綾香</t>
    <rPh sb="0" eb="2">
      <t>にしむら</t>
    </rPh>
    <rPh sb="3" eb="5">
      <t>あやか</t>
    </rPh>
    <phoneticPr fontId="0" type="Hiragana"/>
  </si>
  <si>
    <t>林 瑛亮</t>
    <rPh sb="0" eb="1">
      <t>はやし</t>
    </rPh>
    <rPh sb="2" eb="3">
      <t>えいすけ</t>
    </rPh>
    <phoneticPr fontId="0" type="Hiragana"/>
  </si>
  <si>
    <t>比田井 絢翔</t>
    <rPh sb="0" eb="3">
      <t>ひだい</t>
    </rPh>
    <rPh sb="4" eb="5">
      <t>あやか</t>
    </rPh>
    <phoneticPr fontId="0" type="Hiragana"/>
  </si>
  <si>
    <t>松井 那奈</t>
    <rPh sb="0" eb="2">
      <t>まつい</t>
    </rPh>
    <rPh sb="3" eb="5">
      <t>なな</t>
    </rPh>
    <phoneticPr fontId="0" type="Hiragana"/>
  </si>
  <si>
    <t>三浦 千宙</t>
    <rPh sb="0" eb="2">
      <t>みうら</t>
    </rPh>
    <rPh sb="3" eb="4">
      <t>ちひろ</t>
    </rPh>
    <phoneticPr fontId="0" type="Hiragana"/>
  </si>
  <si>
    <t>水澤 聡真</t>
    <rPh sb="0" eb="2">
      <t>みずさわ</t>
    </rPh>
    <rPh sb="3" eb="4">
      <t>そうま</t>
    </rPh>
    <phoneticPr fontId="0" type="Hiragana"/>
  </si>
  <si>
    <t>南澤 虎珀</t>
    <rPh sb="0" eb="2">
      <t>みなみさわ</t>
    </rPh>
    <rPh sb="3" eb="4">
      <t>こはく</t>
    </rPh>
    <phoneticPr fontId="0" type="Hiragana"/>
  </si>
  <si>
    <t>安永 理沙</t>
    <rPh sb="0" eb="2">
      <t>やすなが</t>
    </rPh>
    <rPh sb="3" eb="5">
      <t>りさ</t>
    </rPh>
    <phoneticPr fontId="0" type="Hiragana"/>
  </si>
  <si>
    <t>吉村 煌大</t>
    <rPh sb="0" eb="2">
      <t>よしむら</t>
    </rPh>
    <rPh sb="3" eb="5">
      <t>こうだい</t>
    </rPh>
    <phoneticPr fontId="0" type="Hiragana"/>
  </si>
  <si>
    <t>池田 光之介</t>
    <rPh sb="0" eb="2">
      <t>いけだ</t>
    </rPh>
    <rPh sb="3" eb="6">
      <t>こうのすけ</t>
    </rPh>
    <phoneticPr fontId="0" type="Hiragana"/>
  </si>
  <si>
    <t>上原 光</t>
    <rPh sb="0" eb="2">
      <t>うえはら</t>
    </rPh>
    <rPh sb="3" eb="4">
      <t>ひかり</t>
    </rPh>
    <phoneticPr fontId="0" type="Hiragana"/>
  </si>
  <si>
    <t>大山 実日子</t>
    <rPh sb="0" eb="2">
      <t>おおやま</t>
    </rPh>
    <rPh sb="3" eb="4">
      <t>みかこ</t>
    </rPh>
    <phoneticPr fontId="0" type="Hiragana"/>
  </si>
  <si>
    <t>窪田 朋子</t>
    <rPh sb="0" eb="2">
      <t>くぼた</t>
    </rPh>
    <rPh sb="3" eb="5">
      <t>ともこ</t>
    </rPh>
    <phoneticPr fontId="0" type="Hiragana"/>
  </si>
  <si>
    <t>小林 晴嶺</t>
    <rPh sb="0" eb="2">
      <t>こばやし</t>
    </rPh>
    <rPh sb="3" eb="4">
      <t>せいれい</t>
    </rPh>
    <phoneticPr fontId="0" type="Hiragana"/>
  </si>
  <si>
    <t>大工原 光輝</t>
    <rPh sb="0" eb="3">
      <t>だいくはら</t>
    </rPh>
    <rPh sb="4" eb="6">
      <t>みつき</t>
    </rPh>
    <phoneticPr fontId="0" type="Hiragana"/>
  </si>
  <si>
    <t>橘 くるみ</t>
    <rPh sb="0" eb="1">
      <t>たちばな</t>
    </rPh>
    <phoneticPr fontId="0" type="Hiragana" alignment="distributed"/>
  </si>
  <si>
    <t>等々力 悠人</t>
    <rPh sb="0" eb="3">
      <t>とどりき</t>
    </rPh>
    <rPh sb="4" eb="5">
      <t>はると</t>
    </rPh>
    <phoneticPr fontId="0" type="Hiragana"/>
  </si>
  <si>
    <t>中島 麟香</t>
    <rPh sb="0" eb="2">
      <t>なかじま</t>
    </rPh>
    <rPh sb="3" eb="4">
      <t>りんか</t>
    </rPh>
    <phoneticPr fontId="0" type="Hiragana"/>
  </si>
  <si>
    <t>新村 亮太</t>
    <rPh sb="0" eb="2">
      <t>にいむら</t>
    </rPh>
    <rPh sb="3" eb="4">
      <t>りょう</t>
    </rPh>
    <rPh sb="4" eb="5">
      <t>た</t>
    </rPh>
    <phoneticPr fontId="0" type="Hiragana"/>
  </si>
  <si>
    <t>伏見 真人</t>
    <rPh sb="0" eb="2">
      <t>ふしみ</t>
    </rPh>
    <rPh sb="3" eb="5">
      <t>まさと</t>
    </rPh>
    <phoneticPr fontId="0" type="Hiragana"/>
  </si>
  <si>
    <t>松本 誠也</t>
    <rPh sb="0" eb="2">
      <t>まつもと</t>
    </rPh>
    <rPh sb="3" eb="5">
      <t>せいや</t>
    </rPh>
    <phoneticPr fontId="0" type="Hiragana"/>
  </si>
  <si>
    <t>蓑 錬太朗</t>
    <rPh sb="0" eb="1">
      <t>みの</t>
    </rPh>
    <rPh sb="2" eb="3">
      <t>れんたろう</t>
    </rPh>
    <phoneticPr fontId="0" type="Hiragana"/>
  </si>
  <si>
    <t>宮坂 蓮</t>
    <rPh sb="0" eb="2">
      <t>みやさか</t>
    </rPh>
    <rPh sb="3" eb="4">
      <t>れん</t>
    </rPh>
    <phoneticPr fontId="0" type="Hiragana"/>
  </si>
  <si>
    <t>百瀬 友惺</t>
    <rPh sb="0" eb="2">
      <t>ももせ</t>
    </rPh>
    <rPh sb="3" eb="4">
      <t>ゆうせい</t>
    </rPh>
    <phoneticPr fontId="0" type="Hiragana"/>
  </si>
  <si>
    <t>山口 陽生</t>
    <rPh sb="0" eb="2">
      <t>やまぐち</t>
    </rPh>
    <rPh sb="3" eb="4">
      <t>ようせい</t>
    </rPh>
    <phoneticPr fontId="0" type="Hiragana"/>
  </si>
  <si>
    <t>山越 圭</t>
    <rPh sb="0" eb="2">
      <t>やまこし</t>
    </rPh>
    <rPh sb="3" eb="4">
      <t>けい</t>
    </rPh>
    <phoneticPr fontId="0" type="Hiragana"/>
  </si>
  <si>
    <t>山崎 花峰</t>
    <rPh sb="0" eb="2">
      <t>やまさき</t>
    </rPh>
    <rPh sb="3" eb="4">
      <t>かほ</t>
    </rPh>
    <phoneticPr fontId="0" type="Hiragana"/>
  </si>
  <si>
    <t>山田 梨乃</t>
    <rPh sb="0" eb="2">
      <t>やまだ</t>
    </rPh>
    <rPh sb="3" eb="4">
      <t>りの</t>
    </rPh>
    <phoneticPr fontId="0" type="Hiragana"/>
  </si>
  <si>
    <t>横井 杏奈</t>
    <rPh sb="0" eb="2">
      <t>よこい</t>
    </rPh>
    <rPh sb="3" eb="4">
      <t>あんな</t>
    </rPh>
    <phoneticPr fontId="0" type="Hiragana"/>
  </si>
  <si>
    <t>吉田 莉彩</t>
    <rPh sb="0" eb="2">
      <t>よしだ</t>
    </rPh>
    <rPh sb="3" eb="4">
      <t>り</t>
    </rPh>
    <rPh sb="4" eb="5">
      <t>さい</t>
    </rPh>
    <phoneticPr fontId="0" type="Hiragana"/>
  </si>
  <si>
    <t>相場芽生</t>
  </si>
  <si>
    <t>安藤葉澄</t>
  </si>
  <si>
    <t>植田泰成</t>
  </si>
  <si>
    <t>北原夏花</t>
  </si>
  <si>
    <t>清滓龍翔</t>
  </si>
  <si>
    <t>五味孝太</t>
  </si>
  <si>
    <t>斉木伶</t>
  </si>
  <si>
    <t>宋語紗</t>
  </si>
  <si>
    <t>等々力瑛二</t>
  </si>
  <si>
    <t>等々力円果</t>
  </si>
  <si>
    <t>西村綾香</t>
  </si>
  <si>
    <t>林瑛亮</t>
  </si>
  <si>
    <t>比田井絢翔</t>
  </si>
  <si>
    <t>松井那奈</t>
  </si>
  <si>
    <t>三浦千宙</t>
  </si>
  <si>
    <t>水滞聡真</t>
  </si>
  <si>
    <t>南葎虎珀</t>
  </si>
  <si>
    <t>安永理沙</t>
  </si>
  <si>
    <t>吉村煌犬</t>
  </si>
  <si>
    <t>池田光之介</t>
  </si>
  <si>
    <t>大山実目子</t>
  </si>
  <si>
    <t>窪田朋子</t>
  </si>
  <si>
    <t>小林晴嶺</t>
  </si>
  <si>
    <t>大工原光輝</t>
  </si>
  <si>
    <t>橘くるみ</t>
  </si>
  <si>
    <t>甲陵高校　普通辞</t>
  </si>
  <si>
    <t>松木深志高校　普通辞</t>
  </si>
  <si>
    <t>松木県ヶ丘高校　探究辞</t>
  </si>
  <si>
    <t>松本県ケ丘高校　普通利･</t>
  </si>
  <si>
    <t>松本深志高校　普通辞</t>
  </si>
  <si>
    <t>松本深窓高校　普通科</t>
  </si>
  <si>
    <t>諏訪二葉高校　普通科</t>
  </si>
  <si>
    <t>松本蟻ケ崎高校　普通科</t>
  </si>
  <si>
    <t>松本県ケ丘高校　普通辞</t>
  </si>
  <si>
    <t>松本県ケ丘高校　探究科</t>
  </si>
  <si>
    <t>松本深志高校　普通科</t>
  </si>
  <si>
    <t>松木深志高校　普通科</t>
  </si>
  <si>
    <t>等々力悠人</t>
  </si>
  <si>
    <t>中島麟香</t>
  </si>
  <si>
    <t>新村亮太</t>
  </si>
  <si>
    <t>伏見真人</t>
  </si>
  <si>
    <t>松本誠也</t>
  </si>
  <si>
    <t>蓑錬太朗</t>
  </si>
  <si>
    <t>宮坂蓮</t>
  </si>
  <si>
    <t>ぼ瀬友惺</t>
  </si>
  <si>
    <t>山口陽生</t>
  </si>
  <si>
    <t>山越圭</t>
  </si>
  <si>
    <t>山崎花峰</t>
  </si>
  <si>
    <t>山田梨乃</t>
  </si>
  <si>
    <t>横井吉宗</t>
  </si>
  <si>
    <t>吉田莉彩</t>
  </si>
  <si>
    <t>松木県ヶ丘高校　普通科</t>
  </si>
  <si>
    <t>甲陵高校　普通科</t>
  </si>
  <si>
    <t>伊那北高校　理数科</t>
  </si>
  <si>
    <t>東京都市大学塩尻高校　普通科</t>
  </si>
  <si>
    <t>松本県ケ丘高校　普通科</t>
  </si>
  <si>
    <t>甲陵</t>
    <rPh sb="0" eb="2">
      <t>コウリョウ</t>
    </rPh>
    <phoneticPr fontId="18"/>
  </si>
  <si>
    <t>深志</t>
    <rPh sb="0" eb="2">
      <t>フカシ</t>
    </rPh>
    <phoneticPr fontId="18"/>
  </si>
  <si>
    <t>蟻ケ崎</t>
    <rPh sb="0" eb="3">
      <t>アリガサキ</t>
    </rPh>
    <phoneticPr fontId="18"/>
  </si>
  <si>
    <t>県ヶ丘（普）</t>
    <rPh sb="4" eb="5">
      <t>フ</t>
    </rPh>
    <phoneticPr fontId="18"/>
  </si>
  <si>
    <t>県ヶ丘（探）</t>
    <rPh sb="4" eb="5">
      <t>サグ</t>
    </rPh>
    <phoneticPr fontId="18"/>
  </si>
  <si>
    <t>二葉</t>
    <rPh sb="0" eb="2">
      <t>フタバ</t>
    </rPh>
    <phoneticPr fontId="18"/>
  </si>
  <si>
    <t>伊那北（理）</t>
    <rPh sb="0" eb="2">
      <t>イナ</t>
    </rPh>
    <rPh sb="2" eb="3">
      <t>キタ</t>
    </rPh>
    <rPh sb="4" eb="5">
      <t>リ</t>
    </rPh>
    <phoneticPr fontId="18"/>
  </si>
  <si>
    <t>都市大（普）</t>
    <rPh sb="0" eb="3">
      <t>トシダイ</t>
    </rPh>
    <rPh sb="4" eb="5">
      <t>フ</t>
    </rPh>
    <phoneticPr fontId="18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</si>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</sst>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33" borderId="0" xfId="0" applyFill="1">
      <alignment vertical="center"/>
    </xf>
    <xf numFmtId="0" fontId="23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20" fillId="33" borderId="10" xfId="0" applyFont="1" applyFill="1" applyBorder="1">
      <alignment vertical="center"/>
    </xf>
    <xf numFmtId="0" fontId="21" fillId="33" borderId="10" xfId="0" applyFont="1" applyFill="1" applyBorder="1" applyAlignment="1">
      <alignment vertical="top"/>
    </xf>
    <xf numFmtId="0" fontId="0" fillId="33" borderId="0" xfId="0" applyFill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 shrinkToFit="1"/>
    </xf>
    <xf numFmtId="0" fontId="0" fillId="0" borderId="13" xfId="0" applyFill="1" applyBorder="1" applyAlignment="1">
      <alignment horizontal="center" vertical="center" shrinkToFit="1"/>
    </xf>
    <xf numFmtId="0" fontId="0" fillId="0" borderId="18" xfId="0" applyFill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161925</xdr:rowOff>
        </xdr:from>
        <xdr:to>
          <xdr:col>3</xdr:col>
          <xdr:colOff>895350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0</xdr:row>
          <xdr:rowOff>133350</xdr:rowOff>
        </xdr:from>
        <xdr:to>
          <xdr:col>18</xdr:col>
          <xdr:colOff>276225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貼付用データ作成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48"/>
  <sheetViews>
    <sheetView topLeftCell="B1" workbookViewId="0">
      <selection activeCell="AB1" sqref="AB1:AE1048576"/>
    </sheetView>
  </sheetViews>
  <sheetFormatPr defaultRowHeight="13.5" x14ac:dyDescent="0.15"/>
  <cols>
    <col min="1" max="1" width="9" hidden="1" customWidth="1"/>
    <col min="2" max="2" width="5.25" bestFit="1" customWidth="1"/>
    <col min="4" max="4" width="12.875" bestFit="1" customWidth="1"/>
    <col min="5" max="9" width="5.25" bestFit="1" customWidth="1"/>
    <col min="10" max="19" width="5.5" bestFit="1" customWidth="1"/>
    <col min="20" max="20" width="5.25" bestFit="1" customWidth="1"/>
    <col min="21" max="21" width="7.125" bestFit="1" customWidth="1"/>
    <col min="22" max="22" width="5.5" bestFit="1" customWidth="1"/>
    <col min="23" max="23" width="18.625" bestFit="1" customWidth="1"/>
    <col min="24" max="24" width="5.25" customWidth="1"/>
    <col min="25" max="25" width="5.875" customWidth="1"/>
    <col min="26" max="26" width="5.25" style="1" customWidth="1"/>
    <col min="27" max="27" width="5.25" customWidth="1"/>
    <col min="28" max="28" width="2.75" style="3" customWidth="1"/>
    <col min="29" max="31" width="9" customWidth="1"/>
  </cols>
  <sheetData>
    <row r="1" spans="1:31" x14ac:dyDescent="0.15">
      <c r="B1" s="4"/>
      <c r="C1" s="4"/>
      <c r="D1" s="4"/>
      <c r="E1" s="4"/>
      <c r="F1" s="7" t="s">
        <v>10</v>
      </c>
      <c r="G1" s="8" t="s">
        <v>11</v>
      </c>
      <c r="H1" s="8" t="s">
        <v>12</v>
      </c>
      <c r="I1" s="5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6"/>
    </row>
    <row r="2" spans="1:31" x14ac:dyDescent="0.15">
      <c r="B2" s="4"/>
      <c r="C2" s="11" t="s">
        <v>15</v>
      </c>
      <c r="D2" s="4"/>
      <c r="E2" s="4"/>
      <c r="F2" s="9">
        <f>'名簿,人数'!A3</f>
        <v>19</v>
      </c>
      <c r="G2" s="9">
        <f>'名簿,人数'!B3</f>
        <v>19</v>
      </c>
      <c r="H2" s="9">
        <f>'名簿,人数'!C3</f>
        <v>0</v>
      </c>
      <c r="I2" s="4"/>
      <c r="J2" s="4" t="s">
        <v>16</v>
      </c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6"/>
    </row>
    <row r="3" spans="1:31" x14ac:dyDescent="0.15">
      <c r="B3" s="4"/>
      <c r="C3" s="4"/>
      <c r="D3" s="4"/>
      <c r="E3" s="4"/>
      <c r="F3" s="10">
        <f>COUNTIF(受験人数,1)</f>
        <v>16</v>
      </c>
      <c r="G3" s="10">
        <f>COUNTIF(受験人数,2)</f>
        <v>15</v>
      </c>
      <c r="H3" s="10">
        <f>COUNTIF(受験人数,3)</f>
        <v>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6"/>
    </row>
    <row r="4" spans="1:31" s="1" customFormat="1" x14ac:dyDescent="0.15">
      <c r="B4" s="42" t="s">
        <v>14</v>
      </c>
      <c r="C4" s="43" t="s">
        <v>0</v>
      </c>
      <c r="D4" s="45" t="s">
        <v>17</v>
      </c>
      <c r="E4" s="16" t="s">
        <v>1</v>
      </c>
      <c r="F4" s="12" t="s">
        <v>2</v>
      </c>
      <c r="G4" s="12" t="s">
        <v>3</v>
      </c>
      <c r="H4" s="12" t="s">
        <v>4</v>
      </c>
      <c r="I4" s="18" t="s">
        <v>5</v>
      </c>
      <c r="J4" s="16" t="s">
        <v>1</v>
      </c>
      <c r="K4" s="12" t="s">
        <v>2</v>
      </c>
      <c r="L4" s="12" t="s">
        <v>3</v>
      </c>
      <c r="M4" s="12" t="s">
        <v>4</v>
      </c>
      <c r="N4" s="18" t="s">
        <v>5</v>
      </c>
      <c r="O4" s="16" t="s">
        <v>1</v>
      </c>
      <c r="P4" s="12" t="s">
        <v>2</v>
      </c>
      <c r="Q4" s="12" t="s">
        <v>3</v>
      </c>
      <c r="R4" s="12" t="s">
        <v>4</v>
      </c>
      <c r="S4" s="18" t="s">
        <v>5</v>
      </c>
      <c r="T4" s="22" t="s">
        <v>29</v>
      </c>
      <c r="U4" s="14" t="s">
        <v>29</v>
      </c>
      <c r="V4" s="18" t="s">
        <v>29</v>
      </c>
      <c r="W4" s="23" t="s">
        <v>18</v>
      </c>
      <c r="X4" s="42" t="s">
        <v>19</v>
      </c>
      <c r="Y4" s="42"/>
      <c r="Z4" s="42"/>
      <c r="AB4" s="3"/>
    </row>
    <row r="5" spans="1:31" s="1" customFormat="1" x14ac:dyDescent="0.15">
      <c r="B5" s="42"/>
      <c r="C5" s="44"/>
      <c r="D5" s="46"/>
      <c r="E5" s="20" t="s">
        <v>26</v>
      </c>
      <c r="F5" s="13" t="s">
        <v>26</v>
      </c>
      <c r="G5" s="13" t="s">
        <v>26</v>
      </c>
      <c r="H5" s="13" t="s">
        <v>26</v>
      </c>
      <c r="I5" s="19" t="s">
        <v>26</v>
      </c>
      <c r="J5" s="17" t="s">
        <v>27</v>
      </c>
      <c r="K5" s="15" t="s">
        <v>27</v>
      </c>
      <c r="L5" s="15" t="s">
        <v>27</v>
      </c>
      <c r="M5" s="15" t="s">
        <v>27</v>
      </c>
      <c r="N5" s="21" t="s">
        <v>27</v>
      </c>
      <c r="O5" s="20" t="s">
        <v>28</v>
      </c>
      <c r="P5" s="13" t="s">
        <v>28</v>
      </c>
      <c r="Q5" s="13" t="s">
        <v>28</v>
      </c>
      <c r="R5" s="13" t="s">
        <v>28</v>
      </c>
      <c r="S5" s="19" t="s">
        <v>28</v>
      </c>
      <c r="T5" s="20" t="s">
        <v>6</v>
      </c>
      <c r="U5" s="13" t="s">
        <v>7</v>
      </c>
      <c r="V5" s="19" t="s">
        <v>8</v>
      </c>
      <c r="W5" s="23" t="s">
        <v>20</v>
      </c>
      <c r="X5" s="2" t="s">
        <v>8</v>
      </c>
      <c r="Y5" s="2" t="s">
        <v>21</v>
      </c>
      <c r="Z5" s="2" t="s">
        <v>9</v>
      </c>
      <c r="AB5" s="3"/>
      <c r="AE5"/>
    </row>
    <row r="6" spans="1:31" x14ac:dyDescent="0.15">
      <c r="A6" t="s">
        <v>31</v>
      </c>
      <c r="B6">
        <v>380</v>
      </c>
      <c r="C6">
        <v>5380101</v>
      </c>
      <c r="D6" t="s">
        <v>110</v>
      </c>
      <c r="E6">
        <v>84</v>
      </c>
      <c r="F6">
        <v>79</v>
      </c>
      <c r="G6">
        <v>67</v>
      </c>
      <c r="H6">
        <v>95</v>
      </c>
      <c r="I6">
        <v>96</v>
      </c>
      <c r="J6">
        <v>57.3</v>
      </c>
      <c r="K6">
        <v>56.3</v>
      </c>
      <c r="L6">
        <v>57.5</v>
      </c>
      <c r="M6">
        <v>67.7</v>
      </c>
      <c r="N6">
        <v>64.8</v>
      </c>
      <c r="O6">
        <v>208</v>
      </c>
      <c r="P6">
        <v>225</v>
      </c>
      <c r="Q6">
        <v>185</v>
      </c>
      <c r="R6">
        <v>9</v>
      </c>
      <c r="S6">
        <v>21</v>
      </c>
      <c r="T6">
        <v>421</v>
      </c>
      <c r="U6">
        <v>62.6</v>
      </c>
      <c r="V6">
        <v>67</v>
      </c>
      <c r="W6" t="s">
        <v>13</v>
      </c>
      <c r="X6">
        <v>22</v>
      </c>
      <c r="Y6">
        <v>96</v>
      </c>
      <c r="Z6" t="s">
        <v>65</v>
      </c>
      <c r="AB6" s="3" t="s">
        <v>67</v>
      </c>
      <c r="AC6" t="s">
        <v>110</v>
      </c>
      <c r="AD6" t="s">
        <v>13</v>
      </c>
    </row>
    <row r="7" spans="1:31" x14ac:dyDescent="0.15">
      <c r="A7" t="s">
        <v>32</v>
      </c>
      <c r="B7">
        <v>380</v>
      </c>
      <c r="C7">
        <v>5380102</v>
      </c>
      <c r="D7" t="s">
        <v>111</v>
      </c>
      <c r="E7">
        <v>88</v>
      </c>
      <c r="F7">
        <v>73</v>
      </c>
      <c r="G7">
        <v>67</v>
      </c>
      <c r="H7">
        <v>77</v>
      </c>
      <c r="I7">
        <v>71</v>
      </c>
      <c r="J7">
        <v>60</v>
      </c>
      <c r="K7">
        <v>53</v>
      </c>
      <c r="L7">
        <v>57.5</v>
      </c>
      <c r="M7">
        <v>58.1</v>
      </c>
      <c r="N7">
        <v>52.8</v>
      </c>
      <c r="O7">
        <v>117</v>
      </c>
      <c r="P7">
        <v>345</v>
      </c>
      <c r="Q7">
        <v>185</v>
      </c>
      <c r="R7">
        <v>193</v>
      </c>
      <c r="S7">
        <v>342</v>
      </c>
      <c r="T7">
        <v>376</v>
      </c>
      <c r="U7">
        <v>56.9</v>
      </c>
      <c r="V7">
        <v>217</v>
      </c>
      <c r="W7" t="s">
        <v>13</v>
      </c>
      <c r="X7">
        <v>55</v>
      </c>
      <c r="Y7">
        <v>96</v>
      </c>
      <c r="Z7" t="s">
        <v>63</v>
      </c>
      <c r="AB7" s="3" t="s">
        <v>67</v>
      </c>
      <c r="AC7" t="s">
        <v>111</v>
      </c>
      <c r="AD7" t="s">
        <v>13</v>
      </c>
    </row>
    <row r="8" spans="1:31" x14ac:dyDescent="0.15">
      <c r="A8" t="s">
        <v>33</v>
      </c>
      <c r="B8">
        <v>380</v>
      </c>
      <c r="C8">
        <v>5380103</v>
      </c>
      <c r="D8" t="s">
        <v>112</v>
      </c>
      <c r="E8">
        <v>65</v>
      </c>
      <c r="F8">
        <v>52</v>
      </c>
      <c r="G8">
        <v>37</v>
      </c>
      <c r="H8">
        <v>54</v>
      </c>
      <c r="I8">
        <v>61</v>
      </c>
      <c r="J8">
        <v>44.3</v>
      </c>
      <c r="K8">
        <v>41.2</v>
      </c>
      <c r="L8">
        <v>40.5</v>
      </c>
      <c r="M8">
        <v>46</v>
      </c>
      <c r="N8">
        <v>48</v>
      </c>
      <c r="O8">
        <v>587</v>
      </c>
      <c r="P8">
        <v>659</v>
      </c>
      <c r="Q8">
        <v>665</v>
      </c>
      <c r="R8">
        <v>540</v>
      </c>
      <c r="S8">
        <v>485</v>
      </c>
      <c r="T8">
        <v>269</v>
      </c>
      <c r="U8">
        <v>43.3</v>
      </c>
      <c r="V8">
        <v>613</v>
      </c>
      <c r="W8" t="s">
        <v>30</v>
      </c>
      <c r="X8">
        <v>44</v>
      </c>
      <c r="Y8">
        <v>51</v>
      </c>
      <c r="Z8" t="s">
        <v>63</v>
      </c>
      <c r="AB8" s="3" t="s">
        <v>67</v>
      </c>
      <c r="AC8" t="s">
        <v>112</v>
      </c>
      <c r="AD8" t="s">
        <v>30</v>
      </c>
    </row>
    <row r="9" spans="1:31" x14ac:dyDescent="0.15">
      <c r="A9" t="s">
        <v>34</v>
      </c>
      <c r="B9">
        <v>380</v>
      </c>
      <c r="C9">
        <v>5380104</v>
      </c>
      <c r="D9" t="s">
        <v>113</v>
      </c>
      <c r="E9">
        <v>86</v>
      </c>
      <c r="F9">
        <v>75</v>
      </c>
      <c r="G9">
        <v>65</v>
      </c>
      <c r="H9">
        <v>70</v>
      </c>
      <c r="I9">
        <v>74</v>
      </c>
      <c r="J9">
        <v>58.6</v>
      </c>
      <c r="K9">
        <v>54.1</v>
      </c>
      <c r="L9">
        <v>56.3</v>
      </c>
      <c r="M9">
        <v>54.4</v>
      </c>
      <c r="N9">
        <v>54.2</v>
      </c>
      <c r="O9">
        <v>158</v>
      </c>
      <c r="P9">
        <v>307</v>
      </c>
      <c r="Q9">
        <v>227</v>
      </c>
      <c r="R9">
        <v>299</v>
      </c>
      <c r="S9">
        <v>306</v>
      </c>
      <c r="T9">
        <v>370</v>
      </c>
      <c r="U9">
        <v>56.1</v>
      </c>
      <c r="V9">
        <v>239</v>
      </c>
      <c r="W9" t="s">
        <v>13</v>
      </c>
      <c r="X9">
        <v>58</v>
      </c>
      <c r="Y9">
        <v>96</v>
      </c>
      <c r="Z9" t="s">
        <v>63</v>
      </c>
      <c r="AB9" s="3" t="s">
        <v>67</v>
      </c>
      <c r="AC9" t="s">
        <v>113</v>
      </c>
      <c r="AD9" t="s">
        <v>13</v>
      </c>
    </row>
    <row r="10" spans="1:31" x14ac:dyDescent="0.15">
      <c r="A10" t="s">
        <v>35</v>
      </c>
      <c r="B10">
        <v>380</v>
      </c>
      <c r="C10">
        <v>5380105</v>
      </c>
      <c r="D10" t="s">
        <v>114</v>
      </c>
      <c r="E10">
        <v>85</v>
      </c>
      <c r="F10">
        <v>84</v>
      </c>
      <c r="G10">
        <v>77</v>
      </c>
      <c r="H10">
        <v>90</v>
      </c>
      <c r="I10">
        <v>95</v>
      </c>
      <c r="J10">
        <v>58</v>
      </c>
      <c r="K10">
        <v>59.1</v>
      </c>
      <c r="L10">
        <v>63.1</v>
      </c>
      <c r="M10">
        <v>65</v>
      </c>
      <c r="N10">
        <v>64.3</v>
      </c>
      <c r="O10">
        <v>180</v>
      </c>
      <c r="P10">
        <v>151</v>
      </c>
      <c r="Q10">
        <v>61</v>
      </c>
      <c r="R10">
        <v>37</v>
      </c>
      <c r="S10">
        <v>37</v>
      </c>
      <c r="T10">
        <v>431</v>
      </c>
      <c r="U10">
        <v>63.9</v>
      </c>
      <c r="V10">
        <v>51</v>
      </c>
      <c r="W10" t="s">
        <v>13</v>
      </c>
      <c r="X10">
        <v>17</v>
      </c>
      <c r="Y10">
        <v>96</v>
      </c>
      <c r="Z10" t="s">
        <v>64</v>
      </c>
      <c r="AB10" s="3" t="s">
        <v>67</v>
      </c>
      <c r="AC10" t="s">
        <v>114</v>
      </c>
      <c r="AD10" t="s">
        <v>13</v>
      </c>
    </row>
    <row r="11" spans="1:31" x14ac:dyDescent="0.15">
      <c r="A11" t="s">
        <v>36</v>
      </c>
      <c r="B11">
        <v>380</v>
      </c>
      <c r="C11">
        <v>5380106</v>
      </c>
      <c r="D11" t="s">
        <v>115</v>
      </c>
      <c r="E11">
        <v>91</v>
      </c>
      <c r="F11">
        <v>49</v>
      </c>
      <c r="G11">
        <v>63</v>
      </c>
      <c r="H11">
        <v>60</v>
      </c>
      <c r="I11">
        <v>84</v>
      </c>
      <c r="J11">
        <v>62.1</v>
      </c>
      <c r="K11">
        <v>39.6</v>
      </c>
      <c r="L11">
        <v>55.2</v>
      </c>
      <c r="M11">
        <v>49.1</v>
      </c>
      <c r="N11">
        <v>59</v>
      </c>
      <c r="O11">
        <v>76</v>
      </c>
      <c r="P11">
        <v>683</v>
      </c>
      <c r="Q11">
        <v>248</v>
      </c>
      <c r="R11">
        <v>453</v>
      </c>
      <c r="S11">
        <v>182</v>
      </c>
      <c r="T11">
        <v>347</v>
      </c>
      <c r="U11">
        <v>53.2</v>
      </c>
      <c r="V11">
        <v>335</v>
      </c>
      <c r="W11" t="s">
        <v>13</v>
      </c>
      <c r="X11">
        <v>72</v>
      </c>
      <c r="Y11">
        <v>96</v>
      </c>
      <c r="Z11" t="s">
        <v>63</v>
      </c>
      <c r="AB11" s="3" t="s">
        <v>67</v>
      </c>
      <c r="AC11" t="s">
        <v>115</v>
      </c>
      <c r="AD11" t="s">
        <v>13</v>
      </c>
    </row>
    <row r="12" spans="1:31" x14ac:dyDescent="0.15">
      <c r="A12" t="s">
        <v>37</v>
      </c>
      <c r="B12">
        <v>380</v>
      </c>
      <c r="C12" s="38">
        <v>5380107</v>
      </c>
      <c r="D12" t="s">
        <v>116</v>
      </c>
      <c r="AB12" s="3" t="s">
        <v>67</v>
      </c>
      <c r="AC12" t="s">
        <v>116</v>
      </c>
    </row>
    <row r="13" spans="1:31" x14ac:dyDescent="0.15">
      <c r="A13" t="s">
        <v>38</v>
      </c>
      <c r="B13">
        <v>380</v>
      </c>
      <c r="C13">
        <v>5380108</v>
      </c>
      <c r="D13" t="s">
        <v>117</v>
      </c>
      <c r="E13">
        <v>100</v>
      </c>
      <c r="F13">
        <v>98</v>
      </c>
      <c r="G13">
        <v>91</v>
      </c>
      <c r="H13">
        <v>98</v>
      </c>
      <c r="I13">
        <v>98</v>
      </c>
      <c r="J13">
        <v>68.2</v>
      </c>
      <c r="K13">
        <v>67</v>
      </c>
      <c r="L13">
        <v>71</v>
      </c>
      <c r="M13">
        <v>69.2</v>
      </c>
      <c r="N13">
        <v>65.7</v>
      </c>
      <c r="O13">
        <v>1</v>
      </c>
      <c r="P13">
        <v>3</v>
      </c>
      <c r="Q13">
        <v>8</v>
      </c>
      <c r="R13">
        <v>2</v>
      </c>
      <c r="S13">
        <v>6</v>
      </c>
      <c r="T13">
        <v>485</v>
      </c>
      <c r="U13">
        <v>70.8</v>
      </c>
      <c r="V13">
        <v>1</v>
      </c>
      <c r="W13" t="s">
        <v>13</v>
      </c>
      <c r="X13">
        <v>1</v>
      </c>
      <c r="Y13">
        <v>96</v>
      </c>
      <c r="Z13" t="s">
        <v>66</v>
      </c>
      <c r="AB13" s="3" t="s">
        <v>67</v>
      </c>
      <c r="AC13" t="s">
        <v>117</v>
      </c>
      <c r="AD13" t="s">
        <v>13</v>
      </c>
    </row>
    <row r="14" spans="1:31" x14ac:dyDescent="0.15">
      <c r="A14" t="s">
        <v>39</v>
      </c>
      <c r="B14">
        <v>380</v>
      </c>
      <c r="C14">
        <v>5380109</v>
      </c>
      <c r="D14" t="s">
        <v>118</v>
      </c>
      <c r="E14">
        <v>92</v>
      </c>
      <c r="F14">
        <v>89</v>
      </c>
      <c r="G14">
        <v>69</v>
      </c>
      <c r="H14">
        <v>77</v>
      </c>
      <c r="I14">
        <v>100</v>
      </c>
      <c r="J14">
        <v>62.7</v>
      </c>
      <c r="K14">
        <v>61.9</v>
      </c>
      <c r="L14">
        <v>58.6</v>
      </c>
      <c r="M14">
        <v>58.1</v>
      </c>
      <c r="N14">
        <v>66.7</v>
      </c>
      <c r="O14">
        <v>53</v>
      </c>
      <c r="P14">
        <v>80</v>
      </c>
      <c r="Q14">
        <v>160</v>
      </c>
      <c r="R14">
        <v>193</v>
      </c>
      <c r="S14">
        <v>1</v>
      </c>
      <c r="T14">
        <v>427</v>
      </c>
      <c r="U14">
        <v>63.4</v>
      </c>
      <c r="V14">
        <v>55</v>
      </c>
      <c r="W14" t="s">
        <v>108</v>
      </c>
      <c r="X14">
        <v>1</v>
      </c>
      <c r="Y14">
        <v>25</v>
      </c>
      <c r="Z14" t="s">
        <v>66</v>
      </c>
      <c r="AB14" s="3" t="s">
        <v>67</v>
      </c>
      <c r="AC14" t="s">
        <v>118</v>
      </c>
      <c r="AD14" t="s">
        <v>108</v>
      </c>
    </row>
    <row r="15" spans="1:31" x14ac:dyDescent="0.15">
      <c r="A15" t="s">
        <v>40</v>
      </c>
      <c r="B15">
        <v>380</v>
      </c>
      <c r="C15">
        <v>5380110</v>
      </c>
      <c r="D15" t="s">
        <v>119</v>
      </c>
      <c r="E15">
        <v>95</v>
      </c>
      <c r="F15">
        <v>88</v>
      </c>
      <c r="G15">
        <v>78</v>
      </c>
      <c r="H15">
        <v>93</v>
      </c>
      <c r="I15">
        <v>93</v>
      </c>
      <c r="J15">
        <v>64.8</v>
      </c>
      <c r="K15">
        <v>61.4</v>
      </c>
      <c r="L15">
        <v>63.7</v>
      </c>
      <c r="M15">
        <v>66.599999999999994</v>
      </c>
      <c r="N15">
        <v>63.3</v>
      </c>
      <c r="O15">
        <v>21</v>
      </c>
      <c r="P15">
        <v>94</v>
      </c>
      <c r="Q15">
        <v>54</v>
      </c>
      <c r="R15">
        <v>16</v>
      </c>
      <c r="S15">
        <v>54</v>
      </c>
      <c r="T15">
        <v>447</v>
      </c>
      <c r="U15">
        <v>65.900000000000006</v>
      </c>
      <c r="V15">
        <v>27</v>
      </c>
      <c r="W15" t="s">
        <v>13</v>
      </c>
      <c r="X15">
        <v>9</v>
      </c>
      <c r="Y15">
        <v>96</v>
      </c>
      <c r="Z15" t="s">
        <v>64</v>
      </c>
      <c r="AB15" s="3" t="s">
        <v>67</v>
      </c>
      <c r="AC15" t="s">
        <v>119</v>
      </c>
      <c r="AD15" t="s">
        <v>13</v>
      </c>
    </row>
    <row r="16" spans="1:31" x14ac:dyDescent="0.15">
      <c r="A16" t="s">
        <v>41</v>
      </c>
      <c r="B16">
        <v>380</v>
      </c>
      <c r="C16">
        <v>5380111</v>
      </c>
      <c r="D16" t="s">
        <v>120</v>
      </c>
      <c r="E16">
        <v>56</v>
      </c>
      <c r="F16">
        <v>53</v>
      </c>
      <c r="G16">
        <v>31</v>
      </c>
      <c r="H16">
        <v>46</v>
      </c>
      <c r="I16">
        <v>80</v>
      </c>
      <c r="J16">
        <v>38.200000000000003</v>
      </c>
      <c r="K16">
        <v>41.8</v>
      </c>
      <c r="L16">
        <v>37.1</v>
      </c>
      <c r="M16">
        <v>41.7</v>
      </c>
      <c r="N16">
        <v>57.1</v>
      </c>
      <c r="O16">
        <v>712</v>
      </c>
      <c r="P16">
        <v>644</v>
      </c>
      <c r="Q16">
        <v>719</v>
      </c>
      <c r="R16">
        <v>637</v>
      </c>
      <c r="S16">
        <v>232</v>
      </c>
      <c r="T16">
        <v>266</v>
      </c>
      <c r="U16">
        <v>42.9</v>
      </c>
      <c r="V16">
        <v>621</v>
      </c>
      <c r="W16" t="s">
        <v>13</v>
      </c>
      <c r="X16">
        <v>95</v>
      </c>
      <c r="Y16">
        <v>96</v>
      </c>
      <c r="Z16" t="s">
        <v>63</v>
      </c>
      <c r="AB16" s="3" t="s">
        <v>67</v>
      </c>
      <c r="AC16" t="s">
        <v>120</v>
      </c>
      <c r="AD16" t="s">
        <v>13</v>
      </c>
    </row>
    <row r="17" spans="1:30" x14ac:dyDescent="0.15">
      <c r="A17" t="s">
        <v>42</v>
      </c>
      <c r="B17">
        <v>380</v>
      </c>
      <c r="C17">
        <v>5380112</v>
      </c>
      <c r="D17" t="s">
        <v>121</v>
      </c>
      <c r="E17">
        <v>91</v>
      </c>
      <c r="F17">
        <v>79</v>
      </c>
      <c r="G17">
        <v>53</v>
      </c>
      <c r="H17">
        <v>70</v>
      </c>
      <c r="I17">
        <v>90</v>
      </c>
      <c r="J17">
        <v>62.1</v>
      </c>
      <c r="K17">
        <v>56.3</v>
      </c>
      <c r="L17">
        <v>49.6</v>
      </c>
      <c r="M17">
        <v>54.4</v>
      </c>
      <c r="N17">
        <v>61.9</v>
      </c>
      <c r="O17">
        <v>76</v>
      </c>
      <c r="P17">
        <v>225</v>
      </c>
      <c r="Q17">
        <v>451</v>
      </c>
      <c r="R17">
        <v>299</v>
      </c>
      <c r="S17">
        <v>97</v>
      </c>
      <c r="T17">
        <v>383</v>
      </c>
      <c r="U17">
        <v>57.8</v>
      </c>
      <c r="V17">
        <v>196</v>
      </c>
      <c r="W17" t="s">
        <v>13</v>
      </c>
      <c r="X17">
        <v>52</v>
      </c>
      <c r="Y17">
        <v>96</v>
      </c>
      <c r="Z17" t="s">
        <v>63</v>
      </c>
      <c r="AB17" s="3" t="s">
        <v>67</v>
      </c>
      <c r="AC17" t="s">
        <v>121</v>
      </c>
      <c r="AD17" t="s">
        <v>13</v>
      </c>
    </row>
    <row r="18" spans="1:30" x14ac:dyDescent="0.15">
      <c r="A18" t="s">
        <v>43</v>
      </c>
      <c r="B18">
        <v>380</v>
      </c>
      <c r="C18">
        <v>5380113</v>
      </c>
      <c r="D18" t="s">
        <v>122</v>
      </c>
      <c r="E18">
        <v>65</v>
      </c>
      <c r="F18">
        <v>53</v>
      </c>
      <c r="G18">
        <v>43</v>
      </c>
      <c r="H18">
        <v>48</v>
      </c>
      <c r="I18">
        <v>38</v>
      </c>
      <c r="J18">
        <v>44.3</v>
      </c>
      <c r="K18">
        <v>41.8</v>
      </c>
      <c r="L18">
        <v>43.9</v>
      </c>
      <c r="M18">
        <v>42.8</v>
      </c>
      <c r="N18">
        <v>36.9</v>
      </c>
      <c r="O18">
        <v>587</v>
      </c>
      <c r="P18">
        <v>644</v>
      </c>
      <c r="Q18">
        <v>594</v>
      </c>
      <c r="R18">
        <v>618</v>
      </c>
      <c r="S18">
        <v>717</v>
      </c>
      <c r="T18">
        <v>247</v>
      </c>
      <c r="U18">
        <v>40.5</v>
      </c>
      <c r="V18">
        <v>672</v>
      </c>
      <c r="W18" t="s">
        <v>108</v>
      </c>
      <c r="X18">
        <v>25</v>
      </c>
      <c r="Y18">
        <v>25</v>
      </c>
      <c r="Z18" t="s">
        <v>63</v>
      </c>
      <c r="AB18" s="3" t="s">
        <v>67</v>
      </c>
      <c r="AC18" t="s">
        <v>122</v>
      </c>
      <c r="AD18" t="s">
        <v>108</v>
      </c>
    </row>
    <row r="19" spans="1:30" x14ac:dyDescent="0.15">
      <c r="A19" t="s">
        <v>44</v>
      </c>
      <c r="B19">
        <v>380</v>
      </c>
      <c r="C19">
        <v>5380114</v>
      </c>
      <c r="D19" t="s">
        <v>123</v>
      </c>
      <c r="E19">
        <v>70</v>
      </c>
      <c r="F19">
        <v>49</v>
      </c>
      <c r="G19">
        <v>49</v>
      </c>
      <c r="H19">
        <v>71</v>
      </c>
      <c r="I19">
        <v>46</v>
      </c>
      <c r="J19">
        <v>47.7</v>
      </c>
      <c r="K19">
        <v>39.6</v>
      </c>
      <c r="L19">
        <v>47.3</v>
      </c>
      <c r="M19">
        <v>55</v>
      </c>
      <c r="N19">
        <v>40.799999999999997</v>
      </c>
      <c r="O19">
        <v>501</v>
      </c>
      <c r="P19">
        <v>683</v>
      </c>
      <c r="Q19">
        <v>509</v>
      </c>
      <c r="R19">
        <v>284</v>
      </c>
      <c r="S19">
        <v>653</v>
      </c>
      <c r="T19">
        <v>285</v>
      </c>
      <c r="U19">
        <v>45.3</v>
      </c>
      <c r="V19">
        <v>558</v>
      </c>
      <c r="W19" t="s">
        <v>30</v>
      </c>
      <c r="X19">
        <v>41</v>
      </c>
      <c r="Y19">
        <v>51</v>
      </c>
      <c r="Z19" t="s">
        <v>63</v>
      </c>
      <c r="AB19" s="3" t="s">
        <v>67</v>
      </c>
      <c r="AC19" t="s">
        <v>123</v>
      </c>
      <c r="AD19" t="s">
        <v>30</v>
      </c>
    </row>
    <row r="20" spans="1:30" x14ac:dyDescent="0.15">
      <c r="A20" t="s">
        <v>45</v>
      </c>
      <c r="B20">
        <v>380</v>
      </c>
      <c r="C20">
        <v>5380115</v>
      </c>
      <c r="D20" t="s">
        <v>124</v>
      </c>
      <c r="E20">
        <v>78</v>
      </c>
      <c r="F20">
        <v>65</v>
      </c>
      <c r="G20">
        <v>74</v>
      </c>
      <c r="H20">
        <v>76</v>
      </c>
      <c r="I20">
        <v>70</v>
      </c>
      <c r="J20">
        <v>53.2</v>
      </c>
      <c r="K20">
        <v>48.5</v>
      </c>
      <c r="L20">
        <v>61.4</v>
      </c>
      <c r="M20">
        <v>57.6</v>
      </c>
      <c r="N20">
        <v>52.3</v>
      </c>
      <c r="O20">
        <v>345</v>
      </c>
      <c r="P20">
        <v>485</v>
      </c>
      <c r="Q20">
        <v>87</v>
      </c>
      <c r="R20">
        <v>203</v>
      </c>
      <c r="S20">
        <v>355</v>
      </c>
      <c r="T20">
        <v>363</v>
      </c>
      <c r="U20">
        <v>55.2</v>
      </c>
      <c r="V20">
        <v>264</v>
      </c>
      <c r="W20" t="s">
        <v>68</v>
      </c>
      <c r="X20">
        <v>4</v>
      </c>
      <c r="Y20">
        <v>5</v>
      </c>
      <c r="Z20" t="s">
        <v>64</v>
      </c>
      <c r="AB20" s="3" t="s">
        <v>67</v>
      </c>
      <c r="AC20" t="s">
        <v>124</v>
      </c>
      <c r="AD20" t="s">
        <v>68</v>
      </c>
    </row>
    <row r="21" spans="1:30" x14ac:dyDescent="0.15">
      <c r="A21" t="s">
        <v>46</v>
      </c>
      <c r="B21">
        <v>380</v>
      </c>
      <c r="C21">
        <v>5380116</v>
      </c>
      <c r="D21" t="s">
        <v>125</v>
      </c>
      <c r="E21">
        <v>93</v>
      </c>
      <c r="F21">
        <v>87</v>
      </c>
      <c r="G21">
        <v>88</v>
      </c>
      <c r="H21">
        <v>87</v>
      </c>
      <c r="I21">
        <v>100</v>
      </c>
      <c r="J21">
        <v>63.4</v>
      </c>
      <c r="K21">
        <v>60.8</v>
      </c>
      <c r="L21">
        <v>69.3</v>
      </c>
      <c r="M21">
        <v>63.4</v>
      </c>
      <c r="N21">
        <v>66.7</v>
      </c>
      <c r="O21">
        <v>41</v>
      </c>
      <c r="P21">
        <v>107</v>
      </c>
      <c r="Q21">
        <v>13</v>
      </c>
      <c r="R21">
        <v>60</v>
      </c>
      <c r="S21">
        <v>1</v>
      </c>
      <c r="T21">
        <v>455</v>
      </c>
      <c r="U21">
        <v>66.900000000000006</v>
      </c>
      <c r="V21">
        <v>15</v>
      </c>
      <c r="W21" t="s">
        <v>142</v>
      </c>
      <c r="X21">
        <v>1</v>
      </c>
      <c r="Y21">
        <v>18</v>
      </c>
      <c r="Z21" t="s">
        <v>66</v>
      </c>
      <c r="AB21" s="3" t="s">
        <v>67</v>
      </c>
      <c r="AC21" t="s">
        <v>125</v>
      </c>
      <c r="AD21" t="s">
        <v>142</v>
      </c>
    </row>
    <row r="22" spans="1:30" x14ac:dyDescent="0.15">
      <c r="A22" t="s">
        <v>47</v>
      </c>
      <c r="B22">
        <v>380</v>
      </c>
      <c r="C22">
        <v>5380201</v>
      </c>
      <c r="D22" t="s">
        <v>126</v>
      </c>
      <c r="E22">
        <v>66</v>
      </c>
      <c r="F22">
        <v>57</v>
      </c>
      <c r="G22">
        <v>36</v>
      </c>
      <c r="H22">
        <v>60</v>
      </c>
      <c r="I22">
        <v>59</v>
      </c>
      <c r="J22">
        <v>45</v>
      </c>
      <c r="K22">
        <v>44</v>
      </c>
      <c r="L22">
        <v>40</v>
      </c>
      <c r="M22">
        <v>49.1</v>
      </c>
      <c r="N22">
        <v>47</v>
      </c>
      <c r="O22">
        <v>564</v>
      </c>
      <c r="P22">
        <v>592</v>
      </c>
      <c r="Q22">
        <v>674</v>
      </c>
      <c r="R22">
        <v>453</v>
      </c>
      <c r="S22">
        <v>516</v>
      </c>
      <c r="T22">
        <v>278</v>
      </c>
      <c r="U22">
        <v>44.4</v>
      </c>
      <c r="V22">
        <v>574</v>
      </c>
      <c r="W22" t="s">
        <v>13</v>
      </c>
      <c r="X22">
        <v>92</v>
      </c>
      <c r="Y22">
        <v>96</v>
      </c>
      <c r="Z22" t="s">
        <v>63</v>
      </c>
      <c r="AB22" s="3" t="s">
        <v>141</v>
      </c>
      <c r="AC22" t="s">
        <v>126</v>
      </c>
      <c r="AD22" t="s">
        <v>13</v>
      </c>
    </row>
    <row r="23" spans="1:30" x14ac:dyDescent="0.15">
      <c r="A23" t="s">
        <v>48</v>
      </c>
      <c r="B23">
        <v>380</v>
      </c>
      <c r="C23">
        <v>5380202</v>
      </c>
      <c r="D23" t="s">
        <v>127</v>
      </c>
      <c r="E23">
        <v>77</v>
      </c>
      <c r="F23">
        <v>65</v>
      </c>
      <c r="G23">
        <v>62</v>
      </c>
      <c r="H23">
        <v>66</v>
      </c>
      <c r="I23">
        <v>72</v>
      </c>
      <c r="J23">
        <v>52.5</v>
      </c>
      <c r="K23">
        <v>48.5</v>
      </c>
      <c r="L23">
        <v>54.6</v>
      </c>
      <c r="M23">
        <v>52.3</v>
      </c>
      <c r="N23">
        <v>53.3</v>
      </c>
      <c r="O23">
        <v>368</v>
      </c>
      <c r="P23">
        <v>485</v>
      </c>
      <c r="Q23">
        <v>274</v>
      </c>
      <c r="R23">
        <v>358</v>
      </c>
      <c r="S23">
        <v>332</v>
      </c>
      <c r="T23">
        <v>342</v>
      </c>
      <c r="U23">
        <v>52.6</v>
      </c>
      <c r="V23">
        <v>359</v>
      </c>
      <c r="W23" t="s">
        <v>30</v>
      </c>
      <c r="X23">
        <v>24</v>
      </c>
      <c r="Y23">
        <v>51</v>
      </c>
      <c r="Z23" t="s">
        <v>63</v>
      </c>
      <c r="AB23" s="3" t="s">
        <v>141</v>
      </c>
      <c r="AC23" t="s">
        <v>127</v>
      </c>
      <c r="AD23" t="s">
        <v>30</v>
      </c>
    </row>
    <row r="24" spans="1:30" x14ac:dyDescent="0.15">
      <c r="A24" t="s">
        <v>49</v>
      </c>
      <c r="B24">
        <v>380</v>
      </c>
      <c r="C24">
        <v>5380203</v>
      </c>
      <c r="D24" t="s">
        <v>128</v>
      </c>
      <c r="E24">
        <v>96</v>
      </c>
      <c r="F24">
        <v>96</v>
      </c>
      <c r="G24">
        <v>90</v>
      </c>
      <c r="H24">
        <v>89</v>
      </c>
      <c r="I24">
        <v>96</v>
      </c>
      <c r="J24">
        <v>65.5</v>
      </c>
      <c r="K24">
        <v>65.900000000000006</v>
      </c>
      <c r="L24">
        <v>70.5</v>
      </c>
      <c r="M24">
        <v>64.5</v>
      </c>
      <c r="N24">
        <v>64.8</v>
      </c>
      <c r="O24">
        <v>17</v>
      </c>
      <c r="P24">
        <v>11</v>
      </c>
      <c r="Q24">
        <v>9</v>
      </c>
      <c r="R24">
        <v>42</v>
      </c>
      <c r="S24">
        <v>21</v>
      </c>
      <c r="T24">
        <v>467</v>
      </c>
      <c r="U24">
        <v>68.5</v>
      </c>
      <c r="V24">
        <v>8</v>
      </c>
      <c r="W24" t="s">
        <v>143</v>
      </c>
      <c r="X24">
        <v>5</v>
      </c>
      <c r="Y24">
        <v>120</v>
      </c>
      <c r="Z24" t="s">
        <v>66</v>
      </c>
      <c r="AB24" s="3" t="s">
        <v>141</v>
      </c>
      <c r="AC24" t="s">
        <v>128</v>
      </c>
      <c r="AD24" t="s">
        <v>143</v>
      </c>
    </row>
    <row r="25" spans="1:30" x14ac:dyDescent="0.15">
      <c r="A25" t="s">
        <v>50</v>
      </c>
      <c r="B25">
        <v>380</v>
      </c>
      <c r="C25">
        <v>5380204</v>
      </c>
      <c r="D25" t="s">
        <v>129</v>
      </c>
      <c r="E25">
        <v>97</v>
      </c>
      <c r="F25">
        <v>95</v>
      </c>
      <c r="G25">
        <v>85</v>
      </c>
      <c r="H25">
        <v>80</v>
      </c>
      <c r="I25">
        <v>96</v>
      </c>
      <c r="J25">
        <v>66.099999999999994</v>
      </c>
      <c r="K25">
        <v>65.3</v>
      </c>
      <c r="L25">
        <v>67.599999999999994</v>
      </c>
      <c r="M25">
        <v>59.7</v>
      </c>
      <c r="N25">
        <v>64.8</v>
      </c>
      <c r="O25">
        <v>11</v>
      </c>
      <c r="P25">
        <v>20</v>
      </c>
      <c r="Q25">
        <v>23</v>
      </c>
      <c r="R25">
        <v>138</v>
      </c>
      <c r="S25">
        <v>21</v>
      </c>
      <c r="T25">
        <v>453</v>
      </c>
      <c r="U25">
        <v>66.7</v>
      </c>
      <c r="V25">
        <v>17</v>
      </c>
      <c r="W25" t="s">
        <v>13</v>
      </c>
      <c r="X25">
        <v>7</v>
      </c>
      <c r="Y25">
        <v>96</v>
      </c>
      <c r="Z25" t="s">
        <v>64</v>
      </c>
      <c r="AB25" s="3" t="s">
        <v>141</v>
      </c>
      <c r="AC25" t="s">
        <v>129</v>
      </c>
      <c r="AD25" t="s">
        <v>13</v>
      </c>
    </row>
    <row r="26" spans="1:30" x14ac:dyDescent="0.15">
      <c r="A26" t="s">
        <v>51</v>
      </c>
      <c r="B26">
        <v>380</v>
      </c>
      <c r="C26" s="38">
        <v>5380205</v>
      </c>
      <c r="D26" t="s">
        <v>130</v>
      </c>
      <c r="E26">
        <v>57</v>
      </c>
      <c r="F26">
        <v>45</v>
      </c>
      <c r="G26">
        <v>15</v>
      </c>
      <c r="H26">
        <v>36</v>
      </c>
      <c r="I26">
        <v>34</v>
      </c>
      <c r="J26">
        <v>38.9</v>
      </c>
      <c r="K26">
        <v>37.299999999999997</v>
      </c>
      <c r="L26">
        <v>28.1</v>
      </c>
      <c r="M26">
        <v>36.4</v>
      </c>
      <c r="N26">
        <v>35</v>
      </c>
      <c r="O26">
        <v>698</v>
      </c>
      <c r="P26">
        <v>721</v>
      </c>
      <c r="Q26">
        <v>801</v>
      </c>
      <c r="R26">
        <v>731</v>
      </c>
      <c r="S26">
        <v>740</v>
      </c>
      <c r="T26">
        <v>187</v>
      </c>
      <c r="U26">
        <v>32.799999999999997</v>
      </c>
      <c r="V26">
        <v>766</v>
      </c>
      <c r="W26" t="s">
        <v>30</v>
      </c>
      <c r="X26">
        <v>50</v>
      </c>
      <c r="Y26">
        <v>51</v>
      </c>
      <c r="Z26" s="1" t="s">
        <v>63</v>
      </c>
      <c r="AB26" s="3" t="s">
        <v>141</v>
      </c>
      <c r="AC26" t="s">
        <v>130</v>
      </c>
      <c r="AD26" t="s">
        <v>30</v>
      </c>
    </row>
    <row r="27" spans="1:30" x14ac:dyDescent="0.15">
      <c r="A27" t="s">
        <v>52</v>
      </c>
      <c r="B27">
        <v>380</v>
      </c>
      <c r="C27" s="38">
        <v>5380206</v>
      </c>
      <c r="D27" t="s">
        <v>131</v>
      </c>
      <c r="E27">
        <v>45</v>
      </c>
      <c r="F27">
        <v>22</v>
      </c>
      <c r="G27">
        <v>16</v>
      </c>
      <c r="H27">
        <v>23</v>
      </c>
      <c r="I27">
        <v>73</v>
      </c>
      <c r="J27">
        <v>30.7</v>
      </c>
      <c r="K27">
        <v>24.4</v>
      </c>
      <c r="L27">
        <v>28.7</v>
      </c>
      <c r="M27">
        <v>29.6</v>
      </c>
      <c r="N27">
        <v>53.7</v>
      </c>
      <c r="O27">
        <v>782</v>
      </c>
      <c r="P27">
        <v>807</v>
      </c>
      <c r="Q27">
        <v>798</v>
      </c>
      <c r="R27">
        <v>788</v>
      </c>
      <c r="S27">
        <v>320</v>
      </c>
      <c r="T27">
        <v>179</v>
      </c>
      <c r="U27">
        <v>31.8</v>
      </c>
      <c r="V27">
        <v>771</v>
      </c>
      <c r="W27" t="s">
        <v>13</v>
      </c>
      <c r="X27">
        <v>96</v>
      </c>
      <c r="Y27">
        <v>96</v>
      </c>
      <c r="Z27" s="1" t="s">
        <v>63</v>
      </c>
      <c r="AB27" s="3" t="s">
        <v>141</v>
      </c>
      <c r="AC27" t="s">
        <v>131</v>
      </c>
      <c r="AD27" t="s">
        <v>13</v>
      </c>
    </row>
    <row r="28" spans="1:30" x14ac:dyDescent="0.15">
      <c r="A28" t="s">
        <v>53</v>
      </c>
      <c r="B28">
        <v>380</v>
      </c>
      <c r="C28">
        <v>5380207</v>
      </c>
      <c r="D28" t="s">
        <v>132</v>
      </c>
      <c r="Z28"/>
      <c r="AB28" s="3" t="s">
        <v>141</v>
      </c>
      <c r="AC28" t="s">
        <v>132</v>
      </c>
    </row>
    <row r="29" spans="1:30" x14ac:dyDescent="0.15">
      <c r="A29" t="s">
        <v>54</v>
      </c>
      <c r="B29">
        <v>380</v>
      </c>
      <c r="C29">
        <v>5380208</v>
      </c>
      <c r="D29" t="s">
        <v>133</v>
      </c>
      <c r="E29">
        <v>84</v>
      </c>
      <c r="F29">
        <v>74</v>
      </c>
      <c r="G29">
        <v>68</v>
      </c>
      <c r="H29">
        <v>76</v>
      </c>
      <c r="I29">
        <v>92</v>
      </c>
      <c r="J29">
        <v>57.3</v>
      </c>
      <c r="K29">
        <v>53.5</v>
      </c>
      <c r="L29">
        <v>58</v>
      </c>
      <c r="M29">
        <v>57.6</v>
      </c>
      <c r="N29">
        <v>62.9</v>
      </c>
      <c r="O29">
        <v>208</v>
      </c>
      <c r="P29">
        <v>335</v>
      </c>
      <c r="Q29">
        <v>175</v>
      </c>
      <c r="R29">
        <v>202</v>
      </c>
      <c r="S29">
        <v>68</v>
      </c>
      <c r="T29">
        <v>394</v>
      </c>
      <c r="U29">
        <v>59.2</v>
      </c>
      <c r="V29">
        <v>160</v>
      </c>
      <c r="W29" t="s">
        <v>144</v>
      </c>
      <c r="X29">
        <v>2</v>
      </c>
      <c r="Y29">
        <v>8</v>
      </c>
      <c r="Z29" t="s">
        <v>66</v>
      </c>
      <c r="AB29" s="3" t="s">
        <v>141</v>
      </c>
      <c r="AC29" t="s">
        <v>133</v>
      </c>
      <c r="AD29" t="s">
        <v>144</v>
      </c>
    </row>
    <row r="30" spans="1:30" x14ac:dyDescent="0.15">
      <c r="A30" t="s">
        <v>55</v>
      </c>
      <c r="B30">
        <v>380</v>
      </c>
      <c r="C30">
        <v>5380209</v>
      </c>
      <c r="D30" t="s">
        <v>134</v>
      </c>
      <c r="E30">
        <v>79</v>
      </c>
      <c r="F30">
        <v>68</v>
      </c>
      <c r="G30">
        <v>53</v>
      </c>
      <c r="H30">
        <v>47</v>
      </c>
      <c r="I30">
        <v>70</v>
      </c>
      <c r="J30">
        <v>53.9</v>
      </c>
      <c r="K30">
        <v>50.2</v>
      </c>
      <c r="L30">
        <v>49.6</v>
      </c>
      <c r="M30">
        <v>42.3</v>
      </c>
      <c r="N30">
        <v>523</v>
      </c>
      <c r="O30">
        <v>320</v>
      </c>
      <c r="P30">
        <v>452</v>
      </c>
      <c r="Q30">
        <v>451</v>
      </c>
      <c r="R30">
        <v>623</v>
      </c>
      <c r="S30">
        <v>355</v>
      </c>
      <c r="T30">
        <v>317</v>
      </c>
      <c r="U30">
        <v>49.4</v>
      </c>
      <c r="V30">
        <v>459</v>
      </c>
      <c r="W30" t="s">
        <v>13</v>
      </c>
      <c r="X30">
        <v>86</v>
      </c>
      <c r="Y30">
        <v>96</v>
      </c>
      <c r="Z30" t="s">
        <v>63</v>
      </c>
      <c r="AB30" s="3" t="s">
        <v>141</v>
      </c>
      <c r="AC30" t="s">
        <v>134</v>
      </c>
      <c r="AD30" t="s">
        <v>13</v>
      </c>
    </row>
    <row r="31" spans="1:30" x14ac:dyDescent="0.15">
      <c r="A31" t="s">
        <v>56</v>
      </c>
      <c r="B31">
        <v>380</v>
      </c>
      <c r="C31">
        <v>5380210</v>
      </c>
      <c r="D31" t="s">
        <v>135</v>
      </c>
      <c r="E31">
        <v>100</v>
      </c>
      <c r="F31">
        <v>100</v>
      </c>
      <c r="G31">
        <v>86</v>
      </c>
      <c r="H31">
        <v>96</v>
      </c>
      <c r="I31">
        <v>100</v>
      </c>
      <c r="J31">
        <v>68.2</v>
      </c>
      <c r="K31">
        <v>68.099999999999994</v>
      </c>
      <c r="L31">
        <v>68.2</v>
      </c>
      <c r="M31">
        <v>68.2</v>
      </c>
      <c r="N31">
        <v>66.7</v>
      </c>
      <c r="O31">
        <v>1</v>
      </c>
      <c r="P31">
        <v>1</v>
      </c>
      <c r="Q31">
        <v>16</v>
      </c>
      <c r="R31">
        <v>6</v>
      </c>
      <c r="S31">
        <v>1</v>
      </c>
      <c r="T31">
        <v>482</v>
      </c>
      <c r="U31">
        <v>70.400000000000006</v>
      </c>
      <c r="V31">
        <v>2</v>
      </c>
      <c r="W31" t="s">
        <v>13</v>
      </c>
      <c r="X31">
        <v>2</v>
      </c>
      <c r="Y31">
        <v>96</v>
      </c>
      <c r="Z31" t="s">
        <v>66</v>
      </c>
      <c r="AB31" s="3" t="s">
        <v>141</v>
      </c>
      <c r="AC31" t="s">
        <v>135</v>
      </c>
      <c r="AD31" t="s">
        <v>13</v>
      </c>
    </row>
    <row r="32" spans="1:30" x14ac:dyDescent="0.15">
      <c r="A32" t="s">
        <v>57</v>
      </c>
      <c r="B32">
        <v>380</v>
      </c>
      <c r="C32">
        <v>5380211</v>
      </c>
      <c r="D32" t="s">
        <v>136</v>
      </c>
      <c r="E32">
        <v>92</v>
      </c>
      <c r="F32">
        <v>94</v>
      </c>
      <c r="G32">
        <v>86</v>
      </c>
      <c r="H32">
        <v>99</v>
      </c>
      <c r="I32">
        <v>99</v>
      </c>
      <c r="J32">
        <v>62.7</v>
      </c>
      <c r="K32">
        <v>64.7</v>
      </c>
      <c r="L32">
        <v>68.2</v>
      </c>
      <c r="M32">
        <v>69.8</v>
      </c>
      <c r="N32">
        <v>66.2</v>
      </c>
      <c r="O32">
        <v>53</v>
      </c>
      <c r="P32">
        <v>24</v>
      </c>
      <c r="Q32">
        <v>16</v>
      </c>
      <c r="R32">
        <v>1</v>
      </c>
      <c r="S32">
        <v>5</v>
      </c>
      <c r="T32">
        <v>470</v>
      </c>
      <c r="U32">
        <v>68.900000000000006</v>
      </c>
      <c r="V32">
        <v>6</v>
      </c>
      <c r="W32" t="s">
        <v>13</v>
      </c>
      <c r="X32">
        <v>3</v>
      </c>
      <c r="Y32">
        <v>96</v>
      </c>
      <c r="Z32" t="s">
        <v>66</v>
      </c>
      <c r="AB32" s="3" t="s">
        <v>141</v>
      </c>
      <c r="AC32" t="s">
        <v>136</v>
      </c>
      <c r="AD32" t="s">
        <v>13</v>
      </c>
    </row>
    <row r="33" spans="1:30" x14ac:dyDescent="0.15">
      <c r="A33" t="s">
        <v>58</v>
      </c>
      <c r="B33">
        <v>380</v>
      </c>
      <c r="C33">
        <v>5380212</v>
      </c>
      <c r="D33" t="s">
        <v>137</v>
      </c>
      <c r="E33">
        <v>68</v>
      </c>
      <c r="F33">
        <v>84</v>
      </c>
      <c r="G33">
        <v>86</v>
      </c>
      <c r="H33">
        <v>85</v>
      </c>
      <c r="I33">
        <v>85</v>
      </c>
      <c r="J33">
        <v>46.4</v>
      </c>
      <c r="K33">
        <v>59.1</v>
      </c>
      <c r="L33">
        <v>68.2</v>
      </c>
      <c r="M33">
        <v>62.4</v>
      </c>
      <c r="N33">
        <v>59.5</v>
      </c>
      <c r="O33">
        <v>530</v>
      </c>
      <c r="P33">
        <v>151</v>
      </c>
      <c r="Q33">
        <v>16</v>
      </c>
      <c r="R33">
        <v>84</v>
      </c>
      <c r="S33">
        <v>163</v>
      </c>
      <c r="T33">
        <v>408</v>
      </c>
      <c r="U33">
        <v>61</v>
      </c>
      <c r="V33">
        <v>113</v>
      </c>
      <c r="W33" t="s">
        <v>13</v>
      </c>
      <c r="X33">
        <v>34</v>
      </c>
      <c r="Y33">
        <v>96</v>
      </c>
      <c r="Z33" t="s">
        <v>65</v>
      </c>
      <c r="AB33" s="3" t="s">
        <v>141</v>
      </c>
      <c r="AC33" t="s">
        <v>137</v>
      </c>
      <c r="AD33" t="s">
        <v>13</v>
      </c>
    </row>
    <row r="34" spans="1:30" x14ac:dyDescent="0.15">
      <c r="A34" t="s">
        <v>59</v>
      </c>
      <c r="B34">
        <v>380</v>
      </c>
      <c r="C34">
        <v>5380213</v>
      </c>
      <c r="D34" t="s">
        <v>138</v>
      </c>
      <c r="E34">
        <v>78</v>
      </c>
      <c r="F34">
        <v>40</v>
      </c>
      <c r="G34">
        <v>39</v>
      </c>
      <c r="H34">
        <v>49</v>
      </c>
      <c r="I34">
        <v>50</v>
      </c>
      <c r="J34">
        <v>53.2</v>
      </c>
      <c r="K34">
        <v>34.5</v>
      </c>
      <c r="L34">
        <v>41.6</v>
      </c>
      <c r="M34">
        <v>43.3</v>
      </c>
      <c r="N34">
        <v>42.7</v>
      </c>
      <c r="O34">
        <v>345</v>
      </c>
      <c r="P34">
        <v>747</v>
      </c>
      <c r="Q34">
        <v>636</v>
      </c>
      <c r="R34">
        <v>602</v>
      </c>
      <c r="S34">
        <v>615</v>
      </c>
      <c r="T34">
        <v>256</v>
      </c>
      <c r="U34">
        <v>41.6</v>
      </c>
      <c r="V34">
        <v>655</v>
      </c>
      <c r="W34" t="s">
        <v>30</v>
      </c>
      <c r="X34">
        <v>45</v>
      </c>
      <c r="Y34">
        <v>51</v>
      </c>
      <c r="Z34" t="s">
        <v>63</v>
      </c>
      <c r="AB34" s="3" t="s">
        <v>141</v>
      </c>
      <c r="AC34" t="s">
        <v>138</v>
      </c>
      <c r="AD34" t="s">
        <v>30</v>
      </c>
    </row>
    <row r="35" spans="1:30" x14ac:dyDescent="0.15">
      <c r="A35" t="s">
        <v>60</v>
      </c>
      <c r="B35">
        <v>380</v>
      </c>
      <c r="C35">
        <v>5380214</v>
      </c>
      <c r="D35" t="s">
        <v>139</v>
      </c>
      <c r="Z35"/>
      <c r="AB35" s="3" t="s">
        <v>141</v>
      </c>
      <c r="AC35" t="s">
        <v>139</v>
      </c>
    </row>
    <row r="36" spans="1:30" x14ac:dyDescent="0.15">
      <c r="A36" t="s">
        <v>61</v>
      </c>
      <c r="B36">
        <v>380</v>
      </c>
      <c r="C36">
        <v>5380215</v>
      </c>
      <c r="D36" t="s">
        <v>140</v>
      </c>
      <c r="E36">
        <v>55</v>
      </c>
      <c r="F36">
        <v>84</v>
      </c>
      <c r="G36">
        <v>60</v>
      </c>
      <c r="H36">
        <v>76</v>
      </c>
      <c r="I36">
        <v>58</v>
      </c>
      <c r="J36">
        <v>37.5</v>
      </c>
      <c r="K36">
        <v>59.1</v>
      </c>
      <c r="L36">
        <v>53.5</v>
      </c>
      <c r="M36">
        <v>57.6</v>
      </c>
      <c r="N36">
        <v>46.5</v>
      </c>
      <c r="O36">
        <v>731</v>
      </c>
      <c r="P36">
        <v>151</v>
      </c>
      <c r="Q36">
        <v>310</v>
      </c>
      <c r="R36">
        <v>202</v>
      </c>
      <c r="S36">
        <v>534</v>
      </c>
      <c r="T36">
        <v>333</v>
      </c>
      <c r="U36">
        <v>51.4</v>
      </c>
      <c r="V36">
        <v>396</v>
      </c>
      <c r="W36" t="s">
        <v>13</v>
      </c>
      <c r="X36">
        <v>78</v>
      </c>
      <c r="Y36">
        <v>96</v>
      </c>
      <c r="Z36" t="s">
        <v>63</v>
      </c>
      <c r="AB36" s="3" t="s">
        <v>141</v>
      </c>
      <c r="AC36" t="s">
        <v>140</v>
      </c>
      <c r="AD36" t="s">
        <v>13</v>
      </c>
    </row>
    <row r="37" spans="1:30" x14ac:dyDescent="0.15">
      <c r="A37" t="s">
        <v>62</v>
      </c>
      <c r="Z37"/>
    </row>
    <row r="38" spans="1:30" x14ac:dyDescent="0.15">
      <c r="Z38"/>
    </row>
    <row r="39" spans="1:30" x14ac:dyDescent="0.15">
      <c r="Z39"/>
    </row>
    <row r="40" spans="1:30" x14ac:dyDescent="0.15">
      <c r="Z40"/>
      <c r="AB40" s="3" t="str">
        <f t="shared" ref="AB40:AB48" si="0">MID(C47,5,1)</f>
        <v/>
      </c>
    </row>
    <row r="41" spans="1:30" x14ac:dyDescent="0.15">
      <c r="AB41" s="3" t="str">
        <f t="shared" si="0"/>
        <v/>
      </c>
    </row>
    <row r="42" spans="1:30" x14ac:dyDescent="0.15">
      <c r="AB42" s="3" t="str">
        <f t="shared" si="0"/>
        <v/>
      </c>
    </row>
    <row r="43" spans="1:30" x14ac:dyDescent="0.15">
      <c r="AB43" s="3" t="str">
        <f t="shared" si="0"/>
        <v/>
      </c>
    </row>
    <row r="44" spans="1:30" x14ac:dyDescent="0.15">
      <c r="AB44" s="3" t="str">
        <f t="shared" si="0"/>
        <v/>
      </c>
    </row>
    <row r="45" spans="1:30" x14ac:dyDescent="0.15">
      <c r="AB45" s="3" t="str">
        <f t="shared" si="0"/>
        <v/>
      </c>
    </row>
    <row r="46" spans="1:30" x14ac:dyDescent="0.15">
      <c r="AB46" s="3" t="str">
        <f t="shared" si="0"/>
        <v/>
      </c>
    </row>
    <row r="47" spans="1:30" x14ac:dyDescent="0.15">
      <c r="AB47" s="3" t="str">
        <f t="shared" si="0"/>
        <v/>
      </c>
    </row>
    <row r="48" spans="1:30" x14ac:dyDescent="0.15">
      <c r="AB48" s="3" t="str">
        <f t="shared" si="0"/>
        <v/>
      </c>
    </row>
  </sheetData>
  <mergeCells count="4">
    <mergeCell ref="X4:Z4"/>
    <mergeCell ref="B4:B5"/>
    <mergeCell ref="C4:C5"/>
    <mergeCell ref="D4:D5"/>
  </mergeCells>
  <phoneticPr fontId="18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19050</xdr:colOff>
                    <xdr:row>0</xdr:row>
                    <xdr:rowOff>161925</xdr:rowOff>
                  </from>
                  <to>
                    <xdr:col>3</xdr:col>
                    <xdr:colOff>895350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抽出コピペ">
                <anchor moveWithCells="1" sizeWithCells="1">
                  <from>
                    <xdr:col>15</xdr:col>
                    <xdr:colOff>285750</xdr:colOff>
                    <xdr:row>0</xdr:row>
                    <xdr:rowOff>133350</xdr:rowOff>
                  </from>
                  <to>
                    <xdr:col>18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5"/>
  <sheetViews>
    <sheetView tabSelected="1" workbookViewId="0">
      <selection activeCell="O16" sqref="O16"/>
    </sheetView>
  </sheetViews>
  <sheetFormatPr defaultRowHeight="13.5" x14ac:dyDescent="0.15"/>
  <cols>
    <col min="1" max="1" width="9" style="38"/>
    <col min="2" max="2" width="11.625" style="38" bestFit="1" customWidth="1"/>
    <col min="3" max="3" width="5.875" style="38" bestFit="1" customWidth="1"/>
    <col min="4" max="4" width="7.125" style="38" bestFit="1" customWidth="1"/>
    <col min="5" max="5" width="5.25" style="38" bestFit="1" customWidth="1"/>
    <col min="6" max="6" width="7.125" style="38" bestFit="1" customWidth="1"/>
    <col min="7" max="7" width="5.25" style="38" bestFit="1" customWidth="1"/>
    <col min="8" max="8" width="7.125" style="38" bestFit="1" customWidth="1"/>
    <col min="9" max="9" width="5.25" style="38" bestFit="1" customWidth="1"/>
    <col min="10" max="10" width="7.125" style="38" bestFit="1" customWidth="1"/>
    <col min="11" max="11" width="5.25" style="38" bestFit="1" customWidth="1"/>
    <col min="12" max="12" width="7.125" style="38" bestFit="1" customWidth="1"/>
    <col min="13" max="13" width="5.25" style="38" bestFit="1" customWidth="1"/>
    <col min="14" max="14" width="7.125" style="38" bestFit="1" customWidth="1"/>
    <col min="15" max="16384" width="9" style="38"/>
  </cols>
  <sheetData>
    <row r="1" spans="1:14" x14ac:dyDescent="0.15">
      <c r="A1" s="47" t="s">
        <v>0</v>
      </c>
      <c r="B1" s="49" t="s">
        <v>17</v>
      </c>
      <c r="C1" s="25" t="s">
        <v>1</v>
      </c>
      <c r="D1" s="25" t="s">
        <v>1</v>
      </c>
      <c r="E1" s="26" t="s">
        <v>3</v>
      </c>
      <c r="F1" s="26" t="s">
        <v>3</v>
      </c>
      <c r="G1" s="26" t="s">
        <v>2</v>
      </c>
      <c r="H1" s="26" t="s">
        <v>2</v>
      </c>
      <c r="I1" s="26" t="s">
        <v>4</v>
      </c>
      <c r="J1" s="26" t="s">
        <v>4</v>
      </c>
      <c r="K1" s="27" t="s">
        <v>5</v>
      </c>
      <c r="L1" s="27" t="s">
        <v>5</v>
      </c>
      <c r="M1" s="28" t="s">
        <v>29</v>
      </c>
      <c r="N1" s="29" t="s">
        <v>29</v>
      </c>
    </row>
    <row r="2" spans="1:14" x14ac:dyDescent="0.15">
      <c r="A2" s="48"/>
      <c r="B2" s="50"/>
      <c r="C2" s="32" t="s">
        <v>26</v>
      </c>
      <c r="D2" s="35" t="s">
        <v>27</v>
      </c>
      <c r="E2" s="33" t="s">
        <v>26</v>
      </c>
      <c r="F2" s="36" t="s">
        <v>27</v>
      </c>
      <c r="G2" s="33" t="s">
        <v>26</v>
      </c>
      <c r="H2" s="36" t="s">
        <v>27</v>
      </c>
      <c r="I2" s="33" t="s">
        <v>26</v>
      </c>
      <c r="J2" s="36" t="s">
        <v>27</v>
      </c>
      <c r="K2" s="34" t="s">
        <v>26</v>
      </c>
      <c r="L2" s="37" t="s">
        <v>27</v>
      </c>
      <c r="M2" s="32" t="s">
        <v>6</v>
      </c>
      <c r="N2" s="33" t="s">
        <v>7</v>
      </c>
    </row>
    <row r="3" spans="1:14" x14ac:dyDescent="0.15">
      <c r="B3" s="38" t="s">
        <v>145</v>
      </c>
      <c r="C3" s="38">
        <v>79</v>
      </c>
      <c r="D3" s="38">
        <v>55.8</v>
      </c>
      <c r="E3" s="38">
        <v>53</v>
      </c>
      <c r="F3" s="38">
        <v>50</v>
      </c>
      <c r="G3" s="38">
        <v>57</v>
      </c>
      <c r="H3" s="38">
        <v>44.9</v>
      </c>
      <c r="I3" s="38">
        <v>71</v>
      </c>
      <c r="J3" s="38">
        <v>56</v>
      </c>
      <c r="K3" s="38">
        <v>72</v>
      </c>
      <c r="L3" s="38">
        <v>57.5</v>
      </c>
      <c r="M3" s="38">
        <v>332</v>
      </c>
      <c r="N3" s="38">
        <v>53.3</v>
      </c>
    </row>
    <row r="4" spans="1:14" x14ac:dyDescent="0.15">
      <c r="B4" s="38" t="s">
        <v>146</v>
      </c>
      <c r="C4" s="38">
        <v>79</v>
      </c>
      <c r="D4" s="38">
        <v>55.8</v>
      </c>
      <c r="E4" s="38">
        <v>77</v>
      </c>
      <c r="F4" s="38">
        <v>63.6</v>
      </c>
      <c r="G4" s="38">
        <v>71</v>
      </c>
      <c r="H4" s="38">
        <v>52.6</v>
      </c>
      <c r="I4" s="38">
        <v>72</v>
      </c>
      <c r="J4" s="38">
        <v>56.6</v>
      </c>
      <c r="K4" s="38">
        <v>91</v>
      </c>
      <c r="L4" s="38">
        <v>67</v>
      </c>
      <c r="M4" s="38">
        <v>390</v>
      </c>
      <c r="N4" s="38">
        <v>60.9</v>
      </c>
    </row>
    <row r="5" spans="1:14" x14ac:dyDescent="0.15">
      <c r="B5" s="38" t="s">
        <v>147</v>
      </c>
      <c r="C5" s="38">
        <v>67</v>
      </c>
      <c r="D5" s="38">
        <v>48</v>
      </c>
      <c r="E5" s="38">
        <v>55</v>
      </c>
      <c r="F5" s="38">
        <v>51.2</v>
      </c>
      <c r="G5" s="38">
        <v>91</v>
      </c>
      <c r="H5" s="38">
        <v>63.7</v>
      </c>
      <c r="I5" s="38">
        <v>72</v>
      </c>
      <c r="J5" s="38">
        <v>56.6</v>
      </c>
      <c r="K5" s="38">
        <v>73</v>
      </c>
      <c r="L5" s="38">
        <v>58</v>
      </c>
      <c r="M5" s="38">
        <v>358</v>
      </c>
      <c r="N5" s="38">
        <v>56.7</v>
      </c>
    </row>
    <row r="6" spans="1:14" x14ac:dyDescent="0.15">
      <c r="B6" s="38" t="s">
        <v>148</v>
      </c>
    </row>
    <row r="7" spans="1:14" x14ac:dyDescent="0.15">
      <c r="B7" s="38" t="s">
        <v>149</v>
      </c>
    </row>
    <row r="8" spans="1:14" x14ac:dyDescent="0.15">
      <c r="B8" s="38" t="s">
        <v>150</v>
      </c>
      <c r="C8" s="38">
        <v>81</v>
      </c>
      <c r="D8" s="38">
        <v>57.1</v>
      </c>
      <c r="E8" s="38">
        <v>70</v>
      </c>
      <c r="F8" s="38">
        <v>59.6</v>
      </c>
      <c r="G8" s="38">
        <v>85</v>
      </c>
      <c r="H8" s="38">
        <v>60.4</v>
      </c>
      <c r="I8" s="38">
        <v>84</v>
      </c>
      <c r="J8" s="38">
        <v>63.1</v>
      </c>
      <c r="K8" s="38">
        <v>80</v>
      </c>
      <c r="L8" s="38">
        <v>61.5</v>
      </c>
      <c r="M8" s="38">
        <v>400</v>
      </c>
      <c r="N8" s="38">
        <v>62.2</v>
      </c>
    </row>
    <row r="9" spans="1:14" x14ac:dyDescent="0.15">
      <c r="B9" s="38" t="s">
        <v>151</v>
      </c>
      <c r="C9" s="38">
        <v>66</v>
      </c>
      <c r="D9" s="38">
        <v>47.4</v>
      </c>
      <c r="E9" s="38">
        <v>55</v>
      </c>
      <c r="F9" s="38">
        <v>51.2</v>
      </c>
      <c r="G9" s="38">
        <v>63</v>
      </c>
      <c r="H9" s="38">
        <v>48.2</v>
      </c>
      <c r="I9" s="38">
        <v>72</v>
      </c>
      <c r="J9" s="38">
        <v>56.6</v>
      </c>
      <c r="K9" s="38">
        <v>80</v>
      </c>
      <c r="L9" s="38">
        <v>61.5</v>
      </c>
      <c r="M9" s="38">
        <v>336</v>
      </c>
      <c r="N9" s="38">
        <v>53.9</v>
      </c>
    </row>
    <row r="10" spans="1:14" x14ac:dyDescent="0.15">
      <c r="B10" s="38" t="s">
        <v>152</v>
      </c>
      <c r="C10" s="38">
        <v>85</v>
      </c>
      <c r="D10" s="38">
        <v>59.7</v>
      </c>
      <c r="E10" s="38">
        <v>83</v>
      </c>
      <c r="F10" s="38">
        <v>67</v>
      </c>
      <c r="G10" s="38">
        <v>90</v>
      </c>
      <c r="H10" s="38">
        <v>63.2</v>
      </c>
      <c r="I10" s="38">
        <v>89</v>
      </c>
      <c r="J10" s="38">
        <v>65.8</v>
      </c>
      <c r="K10" s="38">
        <v>88</v>
      </c>
      <c r="L10" s="38">
        <v>65.5</v>
      </c>
      <c r="M10" s="38">
        <v>435</v>
      </c>
      <c r="N10" s="38">
        <v>66.8</v>
      </c>
    </row>
    <row r="11" spans="1:14" x14ac:dyDescent="0.15">
      <c r="B11" s="38" t="s">
        <v>153</v>
      </c>
      <c r="C11" s="38">
        <v>82</v>
      </c>
      <c r="D11" s="38">
        <v>57.8</v>
      </c>
      <c r="E11" s="38">
        <v>67</v>
      </c>
      <c r="F11" s="38">
        <v>57.9</v>
      </c>
      <c r="G11" s="38">
        <v>67</v>
      </c>
      <c r="H11" s="38">
        <v>50.4</v>
      </c>
      <c r="I11" s="38">
        <v>47</v>
      </c>
      <c r="J11" s="38">
        <v>43</v>
      </c>
      <c r="K11" s="38">
        <v>58</v>
      </c>
      <c r="L11" s="38">
        <v>50.5</v>
      </c>
      <c r="M11" s="38">
        <v>321</v>
      </c>
      <c r="N11" s="38">
        <v>51.9</v>
      </c>
    </row>
    <row r="12" spans="1:14" x14ac:dyDescent="0.15">
      <c r="B12" s="38" t="s">
        <v>154</v>
      </c>
      <c r="C12" s="38">
        <v>72</v>
      </c>
      <c r="D12" s="38">
        <v>51.3</v>
      </c>
      <c r="E12" s="38">
        <v>62</v>
      </c>
      <c r="F12" s="38">
        <v>55.1</v>
      </c>
      <c r="G12" s="38">
        <v>70</v>
      </c>
      <c r="H12" s="38">
        <v>52.1</v>
      </c>
      <c r="I12" s="38">
        <v>73</v>
      </c>
      <c r="J12" s="38">
        <v>57.1</v>
      </c>
      <c r="K12" s="38">
        <v>74</v>
      </c>
      <c r="L12" s="38">
        <v>58.5</v>
      </c>
      <c r="M12" s="38">
        <v>351</v>
      </c>
      <c r="N12" s="38">
        <v>55.8</v>
      </c>
    </row>
    <row r="13" spans="1:14" x14ac:dyDescent="0.15">
      <c r="B13" s="38" t="s">
        <v>155</v>
      </c>
    </row>
    <row r="14" spans="1:14" x14ac:dyDescent="0.15">
      <c r="B14" s="38" t="s">
        <v>156</v>
      </c>
      <c r="C14" s="38">
        <v>83</v>
      </c>
      <c r="D14" s="38">
        <v>58.4</v>
      </c>
      <c r="E14" s="38">
        <v>87</v>
      </c>
      <c r="F14" s="38">
        <v>69.2</v>
      </c>
      <c r="G14" s="38">
        <v>70</v>
      </c>
      <c r="H14" s="38">
        <v>52.1</v>
      </c>
      <c r="I14" s="38">
        <v>76</v>
      </c>
      <c r="J14" s="38">
        <v>58.7</v>
      </c>
      <c r="K14" s="38">
        <v>80</v>
      </c>
      <c r="L14" s="38">
        <v>61.5</v>
      </c>
      <c r="M14" s="38">
        <v>396</v>
      </c>
      <c r="N14" s="38">
        <v>61.7</v>
      </c>
    </row>
    <row r="15" spans="1:14" x14ac:dyDescent="0.15">
      <c r="B15" s="38" t="s">
        <v>157</v>
      </c>
      <c r="C15" s="38">
        <v>88</v>
      </c>
      <c r="D15" s="38">
        <v>61.7</v>
      </c>
      <c r="E15" s="38">
        <v>54</v>
      </c>
      <c r="F15" s="38">
        <v>50.6</v>
      </c>
      <c r="G15" s="38">
        <v>98</v>
      </c>
      <c r="H15" s="38">
        <v>67.599999999999994</v>
      </c>
      <c r="I15" s="38">
        <v>89</v>
      </c>
      <c r="J15" s="38">
        <v>65.8</v>
      </c>
      <c r="K15" s="38">
        <v>84</v>
      </c>
      <c r="L15" s="38">
        <v>63.5</v>
      </c>
      <c r="M15" s="38">
        <v>413</v>
      </c>
      <c r="N15" s="38">
        <v>63.9</v>
      </c>
    </row>
    <row r="16" spans="1:14" x14ac:dyDescent="0.15">
      <c r="B16" s="38" t="s">
        <v>158</v>
      </c>
      <c r="C16" s="38">
        <v>59</v>
      </c>
      <c r="D16" s="38">
        <v>42.8</v>
      </c>
      <c r="E16" s="38">
        <v>61</v>
      </c>
      <c r="F16" s="38">
        <v>54.5</v>
      </c>
      <c r="G16" s="38">
        <v>51</v>
      </c>
      <c r="H16" s="38">
        <v>41.5</v>
      </c>
      <c r="I16" s="38">
        <v>80</v>
      </c>
      <c r="J16" s="38">
        <v>60.9</v>
      </c>
      <c r="K16" s="38">
        <v>24</v>
      </c>
      <c r="L16" s="38">
        <v>33.5</v>
      </c>
      <c r="M16" s="38">
        <v>275</v>
      </c>
      <c r="N16" s="38">
        <v>45.9</v>
      </c>
    </row>
    <row r="17" spans="2:14" x14ac:dyDescent="0.15">
      <c r="B17" s="38" t="s">
        <v>159</v>
      </c>
      <c r="C17" s="38">
        <v>48</v>
      </c>
      <c r="D17" s="38">
        <v>35.700000000000003</v>
      </c>
      <c r="E17" s="38">
        <v>18</v>
      </c>
      <c r="F17" s="38">
        <v>30.2</v>
      </c>
      <c r="G17" s="38">
        <v>24</v>
      </c>
      <c r="H17" s="38">
        <v>26.5</v>
      </c>
      <c r="I17" s="38">
        <v>19</v>
      </c>
      <c r="J17" s="38">
        <v>27.8</v>
      </c>
      <c r="K17" s="38">
        <v>0</v>
      </c>
      <c r="L17" s="38">
        <v>21.5</v>
      </c>
      <c r="M17" s="38">
        <v>109</v>
      </c>
      <c r="N17" s="38">
        <v>24.2</v>
      </c>
    </row>
    <row r="18" spans="2:14" x14ac:dyDescent="0.15">
      <c r="B18" s="38" t="s">
        <v>160</v>
      </c>
      <c r="C18" s="38">
        <v>97</v>
      </c>
      <c r="D18" s="38">
        <v>67.5</v>
      </c>
      <c r="E18" s="38">
        <v>74</v>
      </c>
      <c r="F18" s="38">
        <v>61.9</v>
      </c>
      <c r="G18" s="38">
        <v>93</v>
      </c>
      <c r="H18" s="38">
        <v>64.8</v>
      </c>
      <c r="I18" s="38">
        <v>89</v>
      </c>
      <c r="J18" s="38">
        <v>65.8</v>
      </c>
      <c r="K18" s="38">
        <v>89</v>
      </c>
      <c r="L18" s="38">
        <v>66</v>
      </c>
      <c r="M18" s="38">
        <v>442</v>
      </c>
      <c r="N18" s="38">
        <v>67.7</v>
      </c>
    </row>
    <row r="19" spans="2:14" x14ac:dyDescent="0.15">
      <c r="B19" s="38" t="s">
        <v>161</v>
      </c>
      <c r="C19" s="38">
        <v>91</v>
      </c>
      <c r="D19" s="38">
        <v>63.6</v>
      </c>
      <c r="E19" s="38">
        <v>80</v>
      </c>
      <c r="F19" s="38">
        <v>65.3</v>
      </c>
      <c r="G19" s="38">
        <v>92</v>
      </c>
      <c r="H19" s="38">
        <v>64.3</v>
      </c>
      <c r="I19" s="38">
        <v>82</v>
      </c>
      <c r="J19" s="38">
        <v>62</v>
      </c>
      <c r="K19" s="38">
        <v>93</v>
      </c>
      <c r="L19" s="38">
        <v>68</v>
      </c>
      <c r="M19" s="38">
        <v>438</v>
      </c>
      <c r="N19" s="38">
        <v>67.2</v>
      </c>
    </row>
    <row r="20" spans="2:14" x14ac:dyDescent="0.15">
      <c r="B20" s="38" t="s">
        <v>162</v>
      </c>
      <c r="C20" s="38">
        <v>46</v>
      </c>
      <c r="D20" s="38">
        <v>34.4</v>
      </c>
      <c r="E20" s="38">
        <v>37</v>
      </c>
      <c r="F20" s="38">
        <v>41</v>
      </c>
      <c r="G20" s="38">
        <v>63</v>
      </c>
      <c r="H20" s="38">
        <v>48.2</v>
      </c>
      <c r="I20" s="38">
        <v>60</v>
      </c>
      <c r="J20" s="38">
        <v>50</v>
      </c>
      <c r="K20" s="38">
        <v>50</v>
      </c>
      <c r="L20" s="38">
        <v>46.5</v>
      </c>
      <c r="M20" s="38">
        <v>256</v>
      </c>
      <c r="N20" s="38">
        <v>43.4</v>
      </c>
    </row>
    <row r="21" spans="2:14" x14ac:dyDescent="0.15">
      <c r="B21" s="38" t="s">
        <v>163</v>
      </c>
      <c r="C21" s="38">
        <v>64</v>
      </c>
      <c r="D21" s="38">
        <v>46.1</v>
      </c>
      <c r="E21" s="38">
        <v>12</v>
      </c>
      <c r="F21" s="38">
        <v>26.9</v>
      </c>
      <c r="G21" s="38">
        <v>40</v>
      </c>
      <c r="H21" s="38">
        <v>35.4</v>
      </c>
      <c r="I21" s="38">
        <v>33</v>
      </c>
      <c r="J21" s="38">
        <v>35.4</v>
      </c>
      <c r="K21" s="38">
        <v>38</v>
      </c>
      <c r="L21" s="38">
        <v>40.5</v>
      </c>
      <c r="M21" s="38">
        <v>187</v>
      </c>
      <c r="N21" s="38">
        <v>34.4</v>
      </c>
    </row>
    <row r="22" spans="2:14" x14ac:dyDescent="0.15">
      <c r="B22" s="38" t="s">
        <v>164</v>
      </c>
      <c r="C22" s="38">
        <v>53</v>
      </c>
      <c r="D22" s="38">
        <v>38.9</v>
      </c>
      <c r="E22" s="38">
        <v>21</v>
      </c>
      <c r="F22" s="38">
        <v>31.9</v>
      </c>
      <c r="G22" s="38">
        <v>40</v>
      </c>
      <c r="H22" s="38">
        <v>35.4</v>
      </c>
      <c r="I22" s="38">
        <v>42</v>
      </c>
      <c r="J22" s="38">
        <v>40.299999999999997</v>
      </c>
      <c r="K22" s="38">
        <v>22</v>
      </c>
      <c r="L22" s="38">
        <v>32.5</v>
      </c>
      <c r="M22" s="38">
        <v>178</v>
      </c>
      <c r="N22" s="38">
        <v>33.200000000000003</v>
      </c>
    </row>
    <row r="23" spans="2:14" x14ac:dyDescent="0.15">
      <c r="B23" s="38" t="s">
        <v>165</v>
      </c>
      <c r="C23" s="38">
        <v>74</v>
      </c>
      <c r="D23" s="38">
        <v>52.6</v>
      </c>
      <c r="E23" s="38">
        <v>75</v>
      </c>
      <c r="F23" s="38">
        <v>62.5</v>
      </c>
      <c r="G23" s="38">
        <v>75</v>
      </c>
      <c r="H23" s="38">
        <v>54.9</v>
      </c>
      <c r="I23" s="38">
        <v>71</v>
      </c>
      <c r="J23" s="38">
        <v>56</v>
      </c>
      <c r="K23" s="38">
        <v>72</v>
      </c>
      <c r="L23" s="38">
        <v>57.5</v>
      </c>
      <c r="M23" s="38">
        <v>367</v>
      </c>
      <c r="N23" s="38">
        <v>57.9</v>
      </c>
    </row>
    <row r="24" spans="2:14" x14ac:dyDescent="0.15">
      <c r="B24" s="38" t="s">
        <v>166</v>
      </c>
      <c r="C24" s="38">
        <v>65</v>
      </c>
      <c r="D24" s="38">
        <v>46.7</v>
      </c>
      <c r="E24" s="38">
        <v>37</v>
      </c>
      <c r="F24" s="38">
        <v>41</v>
      </c>
      <c r="G24" s="38">
        <v>36</v>
      </c>
      <c r="H24" s="38">
        <v>33.200000000000003</v>
      </c>
      <c r="I24" s="38">
        <v>52</v>
      </c>
      <c r="J24" s="38">
        <v>45.7</v>
      </c>
      <c r="K24" s="38">
        <v>20</v>
      </c>
      <c r="L24" s="38">
        <v>31.5</v>
      </c>
      <c r="M24" s="38">
        <v>210</v>
      </c>
      <c r="N24" s="38">
        <v>37.4</v>
      </c>
    </row>
    <row r="25" spans="2:14" x14ac:dyDescent="0.15">
      <c r="B25" s="38" t="s">
        <v>167</v>
      </c>
      <c r="C25" s="38">
        <v>84</v>
      </c>
      <c r="D25" s="38">
        <v>59.1</v>
      </c>
      <c r="E25" s="38">
        <v>63</v>
      </c>
      <c r="F25" s="38">
        <v>55.7</v>
      </c>
      <c r="G25" s="38">
        <v>71</v>
      </c>
      <c r="H25" s="38">
        <v>52.6</v>
      </c>
      <c r="I25" s="38">
        <v>58</v>
      </c>
      <c r="J25" s="38">
        <v>49</v>
      </c>
      <c r="K25" s="38">
        <v>74</v>
      </c>
      <c r="L25" s="38">
        <v>58.5</v>
      </c>
      <c r="M25" s="38">
        <v>350</v>
      </c>
      <c r="N25" s="38">
        <v>55.7</v>
      </c>
    </row>
    <row r="26" spans="2:14" x14ac:dyDescent="0.15">
      <c r="B26" s="38" t="s">
        <v>168</v>
      </c>
    </row>
    <row r="27" spans="2:14" x14ac:dyDescent="0.15">
      <c r="B27" s="38" t="s">
        <v>169</v>
      </c>
      <c r="C27" s="38">
        <v>97</v>
      </c>
      <c r="D27" s="38">
        <v>67.5</v>
      </c>
      <c r="E27" s="38">
        <v>85</v>
      </c>
      <c r="F27" s="38">
        <v>68.099999999999994</v>
      </c>
      <c r="G27" s="38">
        <v>92</v>
      </c>
      <c r="H27" s="38">
        <v>64.3</v>
      </c>
      <c r="I27" s="38">
        <v>88</v>
      </c>
      <c r="J27" s="38">
        <v>65.3</v>
      </c>
      <c r="K27" s="38">
        <v>94</v>
      </c>
      <c r="L27" s="38">
        <v>68.5</v>
      </c>
      <c r="M27" s="38">
        <v>456</v>
      </c>
      <c r="N27" s="38">
        <v>69.5</v>
      </c>
    </row>
    <row r="28" spans="2:14" x14ac:dyDescent="0.15">
      <c r="B28" s="38" t="s">
        <v>170</v>
      </c>
      <c r="C28" s="38">
        <v>92</v>
      </c>
      <c r="D28" s="38">
        <v>64.3</v>
      </c>
      <c r="E28" s="38">
        <v>84</v>
      </c>
      <c r="F28" s="38">
        <v>67.5</v>
      </c>
      <c r="G28" s="38">
        <v>90</v>
      </c>
      <c r="H28" s="38">
        <v>63.2</v>
      </c>
      <c r="I28" s="38">
        <v>96</v>
      </c>
      <c r="J28" s="38">
        <v>69.599999999999994</v>
      </c>
      <c r="K28" s="38">
        <v>90</v>
      </c>
      <c r="L28" s="38">
        <v>66.5</v>
      </c>
      <c r="M28" s="38">
        <v>452</v>
      </c>
      <c r="N28" s="38">
        <v>69</v>
      </c>
    </row>
    <row r="29" spans="2:14" x14ac:dyDescent="0.15">
      <c r="B29" s="38" t="s">
        <v>171</v>
      </c>
      <c r="C29" s="38">
        <v>97</v>
      </c>
      <c r="D29" s="38">
        <v>67.5</v>
      </c>
      <c r="E29" s="38">
        <v>81</v>
      </c>
      <c r="F29" s="38">
        <v>65.8</v>
      </c>
      <c r="G29" s="38">
        <v>100</v>
      </c>
      <c r="H29" s="38">
        <v>68.7</v>
      </c>
      <c r="I29" s="38">
        <v>89</v>
      </c>
      <c r="J29" s="38">
        <v>65.8</v>
      </c>
      <c r="K29" s="38">
        <v>94</v>
      </c>
      <c r="L29" s="38">
        <v>68.5</v>
      </c>
      <c r="M29" s="38">
        <v>461</v>
      </c>
      <c r="N29" s="38">
        <v>70.2</v>
      </c>
    </row>
    <row r="30" spans="2:14" x14ac:dyDescent="0.15">
      <c r="B30" s="38" t="s">
        <v>172</v>
      </c>
      <c r="C30" s="38">
        <v>88</v>
      </c>
      <c r="D30" s="38">
        <v>61.7</v>
      </c>
      <c r="E30" s="38">
        <v>84</v>
      </c>
      <c r="F30" s="38">
        <v>67.5</v>
      </c>
      <c r="G30" s="38">
        <v>86</v>
      </c>
      <c r="H30" s="38">
        <v>61</v>
      </c>
      <c r="I30" s="38">
        <v>92</v>
      </c>
      <c r="J30" s="38">
        <v>67.400000000000006</v>
      </c>
      <c r="K30" s="38">
        <v>92</v>
      </c>
      <c r="L30" s="38">
        <v>67.5</v>
      </c>
      <c r="M30" s="38">
        <v>442</v>
      </c>
      <c r="N30" s="38">
        <v>67.7</v>
      </c>
    </row>
    <row r="31" spans="2:14" x14ac:dyDescent="0.15">
      <c r="B31" s="38" t="s">
        <v>173</v>
      </c>
      <c r="C31" s="38">
        <v>75</v>
      </c>
      <c r="D31" s="38">
        <v>53.2</v>
      </c>
      <c r="E31" s="38">
        <v>83</v>
      </c>
      <c r="F31" s="38">
        <v>67</v>
      </c>
      <c r="G31" s="38">
        <v>100</v>
      </c>
      <c r="H31" s="38">
        <v>68.7</v>
      </c>
      <c r="I31" s="38">
        <v>92</v>
      </c>
      <c r="J31" s="38">
        <v>67.400000000000006</v>
      </c>
      <c r="K31" s="38">
        <v>94</v>
      </c>
      <c r="L31" s="38">
        <v>68.5</v>
      </c>
      <c r="M31" s="38">
        <v>444</v>
      </c>
      <c r="N31" s="38">
        <v>67.900000000000006</v>
      </c>
    </row>
    <row r="32" spans="2:14" x14ac:dyDescent="0.15">
      <c r="B32" s="38" t="s">
        <v>174</v>
      </c>
      <c r="C32" s="38">
        <v>55</v>
      </c>
      <c r="D32" s="38">
        <v>40.200000000000003</v>
      </c>
      <c r="E32" s="38">
        <v>43</v>
      </c>
      <c r="F32" s="38">
        <v>44.4</v>
      </c>
      <c r="G32" s="38">
        <v>83</v>
      </c>
      <c r="H32" s="38">
        <v>59.3</v>
      </c>
      <c r="I32" s="38">
        <v>54</v>
      </c>
      <c r="J32" s="38">
        <v>46.8</v>
      </c>
      <c r="K32" s="38">
        <v>44</v>
      </c>
      <c r="L32" s="38">
        <v>43.5</v>
      </c>
      <c r="M32" s="38">
        <v>279</v>
      </c>
      <c r="N32" s="38">
        <v>46.4</v>
      </c>
    </row>
    <row r="33" spans="2:14" x14ac:dyDescent="0.15">
      <c r="B33" s="38" t="s">
        <v>175</v>
      </c>
      <c r="C33" s="38">
        <v>72</v>
      </c>
      <c r="D33" s="38">
        <v>51.3</v>
      </c>
      <c r="E33" s="38">
        <v>41</v>
      </c>
      <c r="F33" s="38">
        <v>43.2</v>
      </c>
      <c r="G33" s="38">
        <v>85</v>
      </c>
      <c r="H33" s="38">
        <v>60.4</v>
      </c>
      <c r="I33" s="38">
        <v>74</v>
      </c>
      <c r="J33" s="38">
        <v>57.7</v>
      </c>
      <c r="K33" s="38">
        <v>76</v>
      </c>
      <c r="L33" s="38">
        <v>59.5</v>
      </c>
      <c r="M33" s="38">
        <v>348</v>
      </c>
      <c r="N33" s="38">
        <v>55.4</v>
      </c>
    </row>
    <row r="34" spans="2:14" x14ac:dyDescent="0.15">
      <c r="B34" s="38" t="s">
        <v>176</v>
      </c>
      <c r="C34" s="38">
        <v>89</v>
      </c>
      <c r="D34" s="38">
        <v>62.3</v>
      </c>
      <c r="E34" s="38">
        <v>85</v>
      </c>
      <c r="F34" s="38">
        <v>68.099999999999994</v>
      </c>
      <c r="G34" s="38">
        <v>89</v>
      </c>
      <c r="H34" s="38">
        <v>62.6</v>
      </c>
      <c r="I34" s="38">
        <v>84</v>
      </c>
      <c r="J34" s="38">
        <v>63.1</v>
      </c>
      <c r="K34" s="38">
        <v>66</v>
      </c>
      <c r="L34" s="38">
        <v>54.5</v>
      </c>
      <c r="M34" s="38">
        <v>413</v>
      </c>
      <c r="N34" s="38">
        <v>63.9</v>
      </c>
    </row>
    <row r="35" spans="2:14" x14ac:dyDescent="0.15">
      <c r="B35" s="38" t="s">
        <v>177</v>
      </c>
      <c r="C35" s="38">
        <v>91</v>
      </c>
      <c r="D35" s="38">
        <v>63.6</v>
      </c>
      <c r="E35" s="38">
        <v>99</v>
      </c>
      <c r="F35" s="38">
        <v>76</v>
      </c>
      <c r="G35" s="38">
        <v>91</v>
      </c>
      <c r="H35" s="38">
        <v>63.7</v>
      </c>
      <c r="I35" s="38">
        <v>96</v>
      </c>
      <c r="J35" s="38">
        <v>69.599999999999994</v>
      </c>
      <c r="K35" s="38">
        <v>94</v>
      </c>
      <c r="L35" s="38">
        <v>68.5</v>
      </c>
      <c r="M35" s="38">
        <v>471</v>
      </c>
      <c r="N35" s="38">
        <v>71.5</v>
      </c>
    </row>
    <row r="36" spans="2:14" x14ac:dyDescent="0.15">
      <c r="B36" s="38" t="s">
        <v>178</v>
      </c>
      <c r="C36" s="38">
        <v>62</v>
      </c>
      <c r="D36" s="38">
        <v>44.8</v>
      </c>
      <c r="E36" s="38">
        <v>50</v>
      </c>
      <c r="F36" s="38">
        <v>48.3</v>
      </c>
      <c r="G36" s="38">
        <v>56</v>
      </c>
      <c r="H36" s="38">
        <v>44.3</v>
      </c>
      <c r="I36" s="38">
        <v>30</v>
      </c>
      <c r="J36" s="38">
        <v>33.700000000000003</v>
      </c>
      <c r="K36" s="38">
        <v>29</v>
      </c>
      <c r="L36" s="38">
        <v>36</v>
      </c>
      <c r="M36" s="38">
        <v>227</v>
      </c>
      <c r="N36" s="38">
        <v>39.6</v>
      </c>
    </row>
    <row r="37" spans="2:14" x14ac:dyDescent="0.15">
      <c r="B37" s="38" t="s">
        <v>179</v>
      </c>
      <c r="C37" s="38">
        <v>55</v>
      </c>
      <c r="D37" s="38">
        <v>40.200000000000003</v>
      </c>
      <c r="E37" s="38">
        <v>48</v>
      </c>
      <c r="F37" s="38">
        <v>47.2</v>
      </c>
      <c r="G37" s="38">
        <v>46</v>
      </c>
      <c r="H37" s="38">
        <v>38.700000000000003</v>
      </c>
      <c r="I37" s="38">
        <v>22</v>
      </c>
      <c r="J37" s="38">
        <v>29.4</v>
      </c>
      <c r="K37" s="38">
        <v>20</v>
      </c>
      <c r="L37" s="38">
        <v>31.5</v>
      </c>
      <c r="M37" s="38">
        <v>191</v>
      </c>
      <c r="N37" s="38">
        <v>34.9</v>
      </c>
    </row>
    <row r="38" spans="2:14" x14ac:dyDescent="0.15">
      <c r="B38" s="38" t="s">
        <v>180</v>
      </c>
      <c r="C38" s="38">
        <v>76</v>
      </c>
      <c r="D38" s="38">
        <v>53.9</v>
      </c>
      <c r="E38" s="38">
        <v>73</v>
      </c>
      <c r="F38" s="38">
        <v>61.3</v>
      </c>
      <c r="G38" s="38">
        <v>75</v>
      </c>
      <c r="H38" s="38">
        <v>54.9</v>
      </c>
      <c r="I38" s="38">
        <v>67</v>
      </c>
      <c r="J38" s="38">
        <v>53.9</v>
      </c>
      <c r="K38" s="38">
        <v>68</v>
      </c>
      <c r="L38" s="38">
        <v>55.5</v>
      </c>
      <c r="M38" s="38">
        <v>359</v>
      </c>
      <c r="N38" s="38">
        <v>56.9</v>
      </c>
    </row>
    <row r="39" spans="2:14" x14ac:dyDescent="0.15">
      <c r="B39" s="38" t="s">
        <v>181</v>
      </c>
      <c r="C39" s="38">
        <v>91</v>
      </c>
      <c r="D39" s="38">
        <v>63.6</v>
      </c>
      <c r="E39" s="38">
        <v>63</v>
      </c>
      <c r="F39" s="38">
        <v>55.7</v>
      </c>
      <c r="G39" s="38">
        <v>87</v>
      </c>
      <c r="H39" s="38">
        <v>61.5</v>
      </c>
      <c r="I39" s="38">
        <v>69</v>
      </c>
      <c r="J39" s="38">
        <v>54.9</v>
      </c>
      <c r="K39" s="38">
        <v>83</v>
      </c>
      <c r="L39" s="38">
        <v>63</v>
      </c>
      <c r="M39" s="38">
        <v>393</v>
      </c>
      <c r="N39" s="38">
        <v>61.3</v>
      </c>
    </row>
    <row r="40" spans="2:14" x14ac:dyDescent="0.15">
      <c r="B40" s="38" t="s">
        <v>182</v>
      </c>
      <c r="C40" s="38">
        <v>62</v>
      </c>
      <c r="D40" s="38">
        <v>44.8</v>
      </c>
      <c r="E40" s="38">
        <v>52</v>
      </c>
      <c r="F40" s="38">
        <v>49.5</v>
      </c>
      <c r="G40" s="38">
        <v>65</v>
      </c>
      <c r="H40" s="38">
        <v>49.3</v>
      </c>
      <c r="I40" s="38">
        <v>69</v>
      </c>
      <c r="J40" s="38">
        <v>54.9</v>
      </c>
      <c r="K40" s="38">
        <v>78</v>
      </c>
      <c r="L40" s="38">
        <v>60.5</v>
      </c>
      <c r="M40" s="38">
        <v>326</v>
      </c>
      <c r="N40" s="38">
        <v>52.6</v>
      </c>
    </row>
    <row r="41" spans="2:14" x14ac:dyDescent="0.15">
      <c r="B41" s="38" t="s">
        <v>183</v>
      </c>
      <c r="C41" s="38">
        <v>76</v>
      </c>
      <c r="D41" s="38">
        <v>53.9</v>
      </c>
      <c r="E41" s="38">
        <v>43</v>
      </c>
      <c r="F41" s="38">
        <v>44.4</v>
      </c>
      <c r="G41" s="38">
        <v>64</v>
      </c>
      <c r="H41" s="38">
        <v>48.7</v>
      </c>
      <c r="I41" s="38">
        <v>56</v>
      </c>
      <c r="J41" s="38">
        <v>47.9</v>
      </c>
      <c r="K41" s="38">
        <v>75</v>
      </c>
      <c r="L41" s="38">
        <v>59</v>
      </c>
      <c r="M41" s="38">
        <v>314</v>
      </c>
      <c r="N41" s="38">
        <v>51</v>
      </c>
    </row>
    <row r="42" spans="2:14" x14ac:dyDescent="0.15">
      <c r="B42" s="38" t="s">
        <v>184</v>
      </c>
      <c r="C42" s="38">
        <v>89</v>
      </c>
      <c r="D42" s="38">
        <v>62.3</v>
      </c>
      <c r="E42" s="38">
        <v>58</v>
      </c>
      <c r="F42" s="38">
        <v>52.8</v>
      </c>
      <c r="G42" s="38">
        <v>58</v>
      </c>
      <c r="H42" s="38">
        <v>45.4</v>
      </c>
      <c r="I42" s="38">
        <v>70</v>
      </c>
      <c r="J42" s="38">
        <v>55.5</v>
      </c>
      <c r="K42" s="38">
        <v>68</v>
      </c>
      <c r="L42" s="38">
        <v>55.5</v>
      </c>
      <c r="M42" s="38">
        <v>343</v>
      </c>
      <c r="N42" s="38">
        <v>54.8</v>
      </c>
    </row>
    <row r="43" spans="2:14" x14ac:dyDescent="0.15">
      <c r="B43" s="38" t="s">
        <v>185</v>
      </c>
      <c r="C43" s="38">
        <v>88</v>
      </c>
      <c r="D43" s="38">
        <v>61.7</v>
      </c>
      <c r="E43" s="38">
        <v>42</v>
      </c>
      <c r="F43" s="38">
        <v>43.8</v>
      </c>
      <c r="G43" s="38">
        <v>86</v>
      </c>
      <c r="H43" s="38">
        <v>61</v>
      </c>
      <c r="I43" s="38">
        <v>55</v>
      </c>
      <c r="J43" s="38">
        <v>47.3</v>
      </c>
      <c r="K43" s="38">
        <v>80</v>
      </c>
      <c r="L43" s="38">
        <v>61.5</v>
      </c>
      <c r="M43" s="38">
        <v>351</v>
      </c>
      <c r="N43" s="38">
        <v>55.8</v>
      </c>
    </row>
    <row r="44" spans="2:14" x14ac:dyDescent="0.15">
      <c r="B44" s="38" t="s">
        <v>186</v>
      </c>
      <c r="C44" s="38">
        <v>83</v>
      </c>
      <c r="D44" s="38">
        <v>58.4</v>
      </c>
      <c r="E44" s="38">
        <v>77</v>
      </c>
      <c r="F44" s="38">
        <v>63.6</v>
      </c>
      <c r="G44" s="38">
        <v>96</v>
      </c>
      <c r="H44" s="38">
        <v>66.5</v>
      </c>
      <c r="I44" s="38">
        <v>91</v>
      </c>
      <c r="J44" s="38">
        <v>66.900000000000006</v>
      </c>
      <c r="K44" s="38">
        <v>98</v>
      </c>
      <c r="L44" s="38">
        <v>70.5</v>
      </c>
      <c r="M44" s="38">
        <v>445</v>
      </c>
      <c r="N44" s="38">
        <v>68.099999999999994</v>
      </c>
    </row>
    <row r="45" spans="2:14" x14ac:dyDescent="0.15">
      <c r="B45" s="38" t="s">
        <v>187</v>
      </c>
      <c r="C45" s="38">
        <v>84</v>
      </c>
      <c r="D45" s="38">
        <v>59.1</v>
      </c>
      <c r="E45" s="38">
        <v>52</v>
      </c>
      <c r="F45" s="38">
        <v>49.5</v>
      </c>
      <c r="G45" s="38">
        <v>94</v>
      </c>
      <c r="H45" s="38">
        <v>65.400000000000006</v>
      </c>
      <c r="I45" s="38">
        <v>62</v>
      </c>
      <c r="J45" s="38">
        <v>51.1</v>
      </c>
      <c r="K45" s="38">
        <v>69</v>
      </c>
      <c r="L45" s="38">
        <v>56</v>
      </c>
      <c r="M45" s="38">
        <v>361</v>
      </c>
      <c r="N45" s="38">
        <v>57.1</v>
      </c>
    </row>
  </sheetData>
  <mergeCells count="2">
    <mergeCell ref="A1:A2"/>
    <mergeCell ref="B1:B2"/>
  </mergeCells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48"/>
  <sheetViews>
    <sheetView topLeftCell="B1" workbookViewId="0">
      <pane xSplit="3" ySplit="2" topLeftCell="E7" activePane="bottomRight" state="frozen"/>
      <selection activeCell="B1" sqref="B1"/>
      <selection pane="topRight" activeCell="E1" sqref="E1"/>
      <selection pane="bottomLeft" activeCell="B3" sqref="B3"/>
      <selection pane="bottomRight" activeCell="T3" sqref="T3:U45"/>
    </sheetView>
  </sheetViews>
  <sheetFormatPr defaultRowHeight="13.5" x14ac:dyDescent="0.15"/>
  <cols>
    <col min="1" max="1" width="9" style="38" hidden="1" customWidth="1"/>
    <col min="2" max="2" width="5.25" style="38" bestFit="1" customWidth="1"/>
    <col min="3" max="3" width="9" style="38"/>
    <col min="4" max="4" width="12.875" style="38" bestFit="1" customWidth="1"/>
    <col min="5" max="9" width="5.25" style="38" bestFit="1" customWidth="1"/>
    <col min="10" max="19" width="5.5" style="38" bestFit="1" customWidth="1"/>
    <col min="20" max="20" width="5.25" style="38" bestFit="1" customWidth="1"/>
    <col min="21" max="21" width="7.125" style="38" bestFit="1" customWidth="1"/>
    <col min="22" max="22" width="5.5" style="38" bestFit="1" customWidth="1"/>
    <col min="23" max="23" width="18.625" style="38" bestFit="1" customWidth="1"/>
    <col min="24" max="24" width="5.25" style="38" customWidth="1"/>
    <col min="25" max="25" width="5.875" style="38" customWidth="1"/>
    <col min="26" max="26" width="5.25" style="24" customWidth="1"/>
    <col min="27" max="27" width="5.25" style="38" customWidth="1"/>
    <col min="28" max="28" width="2.75" style="31" customWidth="1"/>
    <col min="29" max="30" width="9" style="38" customWidth="1"/>
    <col min="31" max="16384" width="9" style="38"/>
  </cols>
  <sheetData>
    <row r="1" spans="1:31" s="24" customFormat="1" x14ac:dyDescent="0.15">
      <c r="B1" s="51" t="s">
        <v>14</v>
      </c>
      <c r="C1" s="47" t="s">
        <v>0</v>
      </c>
      <c r="D1" s="49" t="s">
        <v>17</v>
      </c>
      <c r="E1" s="25" t="s">
        <v>1</v>
      </c>
      <c r="F1" s="26" t="s">
        <v>2</v>
      </c>
      <c r="G1" s="26" t="s">
        <v>3</v>
      </c>
      <c r="H1" s="26" t="s">
        <v>4</v>
      </c>
      <c r="I1" s="39" t="s">
        <v>5</v>
      </c>
      <c r="J1" s="25" t="s">
        <v>1</v>
      </c>
      <c r="K1" s="26" t="s">
        <v>2</v>
      </c>
      <c r="L1" s="26" t="s">
        <v>3</v>
      </c>
      <c r="M1" s="26" t="s">
        <v>4</v>
      </c>
      <c r="N1" s="39" t="s">
        <v>5</v>
      </c>
      <c r="O1" s="25" t="s">
        <v>1</v>
      </c>
      <c r="P1" s="26" t="s">
        <v>2</v>
      </c>
      <c r="Q1" s="26" t="s">
        <v>3</v>
      </c>
      <c r="R1" s="26" t="s">
        <v>4</v>
      </c>
      <c r="S1" s="39" t="s">
        <v>5</v>
      </c>
      <c r="T1" s="28" t="s">
        <v>29</v>
      </c>
      <c r="U1" s="29" t="s">
        <v>29</v>
      </c>
      <c r="V1" s="39" t="s">
        <v>29</v>
      </c>
      <c r="W1" s="30" t="s">
        <v>18</v>
      </c>
      <c r="X1" s="51" t="s">
        <v>19</v>
      </c>
      <c r="Y1" s="51"/>
      <c r="Z1" s="51"/>
      <c r="AB1" s="31"/>
    </row>
    <row r="2" spans="1:31" s="24" customFormat="1" x14ac:dyDescent="0.15">
      <c r="B2" s="51"/>
      <c r="C2" s="48"/>
      <c r="D2" s="50"/>
      <c r="E2" s="32" t="s">
        <v>26</v>
      </c>
      <c r="F2" s="33" t="s">
        <v>26</v>
      </c>
      <c r="G2" s="33" t="s">
        <v>26</v>
      </c>
      <c r="H2" s="33" t="s">
        <v>26</v>
      </c>
      <c r="I2" s="40" t="s">
        <v>26</v>
      </c>
      <c r="J2" s="35" t="s">
        <v>27</v>
      </c>
      <c r="K2" s="36" t="s">
        <v>27</v>
      </c>
      <c r="L2" s="36" t="s">
        <v>27</v>
      </c>
      <c r="M2" s="36" t="s">
        <v>27</v>
      </c>
      <c r="N2" s="37" t="s">
        <v>27</v>
      </c>
      <c r="O2" s="32" t="s">
        <v>28</v>
      </c>
      <c r="P2" s="33" t="s">
        <v>28</v>
      </c>
      <c r="Q2" s="33" t="s">
        <v>28</v>
      </c>
      <c r="R2" s="33" t="s">
        <v>28</v>
      </c>
      <c r="S2" s="40" t="s">
        <v>28</v>
      </c>
      <c r="T2" s="32" t="s">
        <v>6</v>
      </c>
      <c r="U2" s="33" t="s">
        <v>7</v>
      </c>
      <c r="V2" s="40" t="s">
        <v>8</v>
      </c>
      <c r="W2" s="30" t="s">
        <v>20</v>
      </c>
      <c r="X2" s="41" t="s">
        <v>8</v>
      </c>
      <c r="Y2" s="41" t="s">
        <v>21</v>
      </c>
      <c r="Z2" s="41" t="s">
        <v>9</v>
      </c>
      <c r="AB2" s="31"/>
      <c r="AD2" s="38"/>
    </row>
    <row r="3" spans="1:31" x14ac:dyDescent="0.15">
      <c r="A3" s="38" t="s">
        <v>31</v>
      </c>
      <c r="B3">
        <v>380</v>
      </c>
      <c r="C3">
        <v>5380101</v>
      </c>
      <c r="D3" t="s">
        <v>145</v>
      </c>
      <c r="E3">
        <v>79</v>
      </c>
      <c r="F3">
        <v>57</v>
      </c>
      <c r="G3">
        <v>53</v>
      </c>
      <c r="H3">
        <v>71</v>
      </c>
      <c r="I3">
        <v>72</v>
      </c>
      <c r="J3">
        <v>55.8</v>
      </c>
      <c r="K3">
        <v>44.9</v>
      </c>
      <c r="L3">
        <v>50</v>
      </c>
      <c r="M3">
        <v>56</v>
      </c>
      <c r="N3">
        <v>57.5</v>
      </c>
      <c r="O3">
        <v>252</v>
      </c>
      <c r="P3">
        <v>572</v>
      </c>
      <c r="Q3">
        <v>426</v>
      </c>
      <c r="R3">
        <v>255</v>
      </c>
      <c r="S3">
        <v>215</v>
      </c>
      <c r="T3">
        <v>332</v>
      </c>
      <c r="U3">
        <v>53.3</v>
      </c>
      <c r="V3">
        <v>348</v>
      </c>
      <c r="W3" t="s">
        <v>244</v>
      </c>
      <c r="X3">
        <v>5</v>
      </c>
      <c r="Y3">
        <v>7</v>
      </c>
      <c r="Z3" t="s">
        <v>65</v>
      </c>
      <c r="AB3" s="31" t="s">
        <v>67</v>
      </c>
      <c r="AC3" s="38" t="s">
        <v>145</v>
      </c>
      <c r="AD3" s="38" t="s">
        <v>244</v>
      </c>
      <c r="AE3" s="38" t="s">
        <v>65</v>
      </c>
    </row>
    <row r="4" spans="1:31" x14ac:dyDescent="0.15">
      <c r="A4" s="38" t="s">
        <v>32</v>
      </c>
      <c r="B4">
        <v>380</v>
      </c>
      <c r="C4">
        <v>5380102</v>
      </c>
      <c r="D4" t="s">
        <v>146</v>
      </c>
      <c r="E4">
        <v>79</v>
      </c>
      <c r="F4">
        <v>71</v>
      </c>
      <c r="G4">
        <v>77</v>
      </c>
      <c r="H4">
        <v>72</v>
      </c>
      <c r="I4">
        <v>91</v>
      </c>
      <c r="J4">
        <v>55.8</v>
      </c>
      <c r="K4">
        <v>52.6</v>
      </c>
      <c r="L4">
        <v>63.6</v>
      </c>
      <c r="M4">
        <v>56.6</v>
      </c>
      <c r="N4">
        <v>67</v>
      </c>
      <c r="O4">
        <v>252</v>
      </c>
      <c r="P4">
        <v>350</v>
      </c>
      <c r="Q4">
        <v>61</v>
      </c>
      <c r="R4">
        <v>233</v>
      </c>
      <c r="S4">
        <v>18</v>
      </c>
      <c r="T4">
        <v>390</v>
      </c>
      <c r="U4">
        <v>60.9</v>
      </c>
      <c r="V4">
        <v>111</v>
      </c>
      <c r="W4" t="s">
        <v>245</v>
      </c>
      <c r="X4">
        <v>36</v>
      </c>
      <c r="Y4">
        <v>101</v>
      </c>
      <c r="Z4" t="s">
        <v>65</v>
      </c>
      <c r="AB4" s="31" t="s">
        <v>67</v>
      </c>
      <c r="AC4" s="38" t="s">
        <v>146</v>
      </c>
      <c r="AD4" s="38" t="s">
        <v>245</v>
      </c>
      <c r="AE4" s="38" t="s">
        <v>65</v>
      </c>
    </row>
    <row r="5" spans="1:31" x14ac:dyDescent="0.15">
      <c r="A5" s="38" t="s">
        <v>33</v>
      </c>
      <c r="B5">
        <v>380</v>
      </c>
      <c r="C5">
        <v>5380103</v>
      </c>
      <c r="D5" t="s">
        <v>147</v>
      </c>
      <c r="E5">
        <v>67</v>
      </c>
      <c r="F5">
        <v>91</v>
      </c>
      <c r="G5">
        <v>55</v>
      </c>
      <c r="H5">
        <v>72</v>
      </c>
      <c r="I5">
        <v>73</v>
      </c>
      <c r="J5">
        <v>48</v>
      </c>
      <c r="K5">
        <v>63.7</v>
      </c>
      <c r="L5">
        <v>51.2</v>
      </c>
      <c r="M5">
        <v>56.6</v>
      </c>
      <c r="N5">
        <v>58</v>
      </c>
      <c r="O5">
        <v>510</v>
      </c>
      <c r="P5">
        <v>50</v>
      </c>
      <c r="Q5">
        <v>388</v>
      </c>
      <c r="R5">
        <v>233</v>
      </c>
      <c r="S5">
        <v>208</v>
      </c>
      <c r="T5">
        <v>358</v>
      </c>
      <c r="U5">
        <v>56.7</v>
      </c>
      <c r="V5">
        <v>227</v>
      </c>
      <c r="W5" t="s">
        <v>248</v>
      </c>
      <c r="X5">
        <v>5</v>
      </c>
      <c r="Y5">
        <v>13</v>
      </c>
      <c r="Z5" t="s">
        <v>63</v>
      </c>
      <c r="AB5" s="31" t="s">
        <v>67</v>
      </c>
      <c r="AC5" s="38" t="s">
        <v>147</v>
      </c>
      <c r="AD5" s="38" t="s">
        <v>248</v>
      </c>
      <c r="AE5" s="38" t="s">
        <v>63</v>
      </c>
    </row>
    <row r="6" spans="1:31" x14ac:dyDescent="0.15">
      <c r="A6" s="38" t="s">
        <v>34</v>
      </c>
      <c r="B6"/>
      <c r="C6"/>
      <c r="D6" t="s">
        <v>148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B6" s="31" t="s">
        <v>67</v>
      </c>
      <c r="AC6" s="38" t="s">
        <v>148</v>
      </c>
    </row>
    <row r="7" spans="1:31" x14ac:dyDescent="0.15">
      <c r="A7" s="38" t="s">
        <v>35</v>
      </c>
      <c r="B7"/>
      <c r="C7"/>
      <c r="D7" t="s">
        <v>149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B7" s="31" t="s">
        <v>67</v>
      </c>
      <c r="AC7" s="38" t="s">
        <v>149</v>
      </c>
    </row>
    <row r="8" spans="1:31" x14ac:dyDescent="0.15">
      <c r="A8" s="38" t="s">
        <v>36</v>
      </c>
      <c r="B8">
        <v>380</v>
      </c>
      <c r="C8">
        <v>5380106</v>
      </c>
      <c r="D8" t="s">
        <v>150</v>
      </c>
      <c r="E8">
        <v>81</v>
      </c>
      <c r="F8">
        <v>85</v>
      </c>
      <c r="G8">
        <v>70</v>
      </c>
      <c r="H8">
        <v>84</v>
      </c>
      <c r="I8">
        <v>80</v>
      </c>
      <c r="J8">
        <v>57.1</v>
      </c>
      <c r="K8">
        <v>60.4</v>
      </c>
      <c r="L8">
        <v>59.6</v>
      </c>
      <c r="M8">
        <v>63.1</v>
      </c>
      <c r="N8">
        <v>61.5</v>
      </c>
      <c r="O8">
        <v>201</v>
      </c>
      <c r="P8">
        <v>128</v>
      </c>
      <c r="Q8">
        <v>147</v>
      </c>
      <c r="R8">
        <v>62</v>
      </c>
      <c r="S8">
        <v>111</v>
      </c>
      <c r="T8">
        <v>400</v>
      </c>
      <c r="U8">
        <v>62.2</v>
      </c>
      <c r="V8">
        <v>84</v>
      </c>
      <c r="W8" t="s">
        <v>245</v>
      </c>
      <c r="X8">
        <v>27</v>
      </c>
      <c r="Y8">
        <v>101</v>
      </c>
      <c r="Z8" t="s">
        <v>65</v>
      </c>
      <c r="AB8" s="31" t="s">
        <v>67</v>
      </c>
      <c r="AC8" s="38" t="s">
        <v>150</v>
      </c>
      <c r="AD8" s="38" t="s">
        <v>245</v>
      </c>
      <c r="AE8" s="38" t="s">
        <v>65</v>
      </c>
    </row>
    <row r="9" spans="1:31" x14ac:dyDescent="0.15">
      <c r="A9" s="38" t="s">
        <v>37</v>
      </c>
      <c r="B9">
        <v>380</v>
      </c>
      <c r="C9">
        <v>5380107</v>
      </c>
      <c r="D9" t="s">
        <v>151</v>
      </c>
      <c r="E9">
        <v>66</v>
      </c>
      <c r="F9">
        <v>63</v>
      </c>
      <c r="G9">
        <v>55</v>
      </c>
      <c r="H9">
        <v>72</v>
      </c>
      <c r="I9">
        <v>80</v>
      </c>
      <c r="J9">
        <v>47.4</v>
      </c>
      <c r="K9">
        <v>48.2</v>
      </c>
      <c r="L9">
        <v>51.2</v>
      </c>
      <c r="M9">
        <v>56.6</v>
      </c>
      <c r="N9">
        <v>61.5</v>
      </c>
      <c r="O9">
        <v>522</v>
      </c>
      <c r="P9">
        <v>496</v>
      </c>
      <c r="Q9">
        <v>388</v>
      </c>
      <c r="R9">
        <v>233</v>
      </c>
      <c r="S9">
        <v>111</v>
      </c>
      <c r="T9">
        <v>336</v>
      </c>
      <c r="U9">
        <v>53.9</v>
      </c>
      <c r="V9">
        <v>327</v>
      </c>
      <c r="W9" t="s">
        <v>247</v>
      </c>
      <c r="X9">
        <v>25</v>
      </c>
      <c r="Y9">
        <v>53</v>
      </c>
      <c r="Z9" t="s">
        <v>63</v>
      </c>
      <c r="AB9" s="31" t="s">
        <v>67</v>
      </c>
      <c r="AC9" s="38" t="s">
        <v>151</v>
      </c>
      <c r="AD9" s="38" t="s">
        <v>247</v>
      </c>
      <c r="AE9" s="38" t="s">
        <v>63</v>
      </c>
    </row>
    <row r="10" spans="1:31" x14ac:dyDescent="0.15">
      <c r="A10" s="38" t="s">
        <v>38</v>
      </c>
      <c r="B10">
        <v>380</v>
      </c>
      <c r="C10">
        <v>5380108</v>
      </c>
      <c r="D10" t="s">
        <v>152</v>
      </c>
      <c r="E10">
        <v>85</v>
      </c>
      <c r="F10">
        <v>90</v>
      </c>
      <c r="G10">
        <v>83</v>
      </c>
      <c r="H10">
        <v>89</v>
      </c>
      <c r="I10">
        <v>88</v>
      </c>
      <c r="J10">
        <v>59.7</v>
      </c>
      <c r="K10">
        <v>63.2</v>
      </c>
      <c r="L10">
        <v>67</v>
      </c>
      <c r="M10">
        <v>65.8</v>
      </c>
      <c r="N10">
        <v>65.5</v>
      </c>
      <c r="O10">
        <v>120</v>
      </c>
      <c r="P10">
        <v>60</v>
      </c>
      <c r="Q10">
        <v>21</v>
      </c>
      <c r="R10">
        <v>30</v>
      </c>
      <c r="S10">
        <v>27</v>
      </c>
      <c r="T10">
        <v>435</v>
      </c>
      <c r="U10">
        <v>66.8</v>
      </c>
      <c r="V10">
        <v>20</v>
      </c>
      <c r="W10" t="s">
        <v>245</v>
      </c>
      <c r="X10">
        <v>12</v>
      </c>
      <c r="Y10">
        <v>101</v>
      </c>
      <c r="Z10" t="s">
        <v>64</v>
      </c>
      <c r="AB10" s="31" t="s">
        <v>67</v>
      </c>
      <c r="AC10" s="38" t="s">
        <v>152</v>
      </c>
      <c r="AD10" s="38" t="s">
        <v>245</v>
      </c>
      <c r="AE10" s="38" t="s">
        <v>64</v>
      </c>
    </row>
    <row r="11" spans="1:31" x14ac:dyDescent="0.15">
      <c r="A11" s="38" t="s">
        <v>39</v>
      </c>
      <c r="B11">
        <v>380</v>
      </c>
      <c r="C11">
        <v>5380109</v>
      </c>
      <c r="D11" t="s">
        <v>153</v>
      </c>
      <c r="E11">
        <v>82</v>
      </c>
      <c r="F11">
        <v>67</v>
      </c>
      <c r="G11">
        <v>67</v>
      </c>
      <c r="H11">
        <v>47</v>
      </c>
      <c r="I11">
        <v>58</v>
      </c>
      <c r="J11">
        <v>57.8</v>
      </c>
      <c r="K11">
        <v>50.4</v>
      </c>
      <c r="L11">
        <v>57.9</v>
      </c>
      <c r="M11">
        <v>43</v>
      </c>
      <c r="N11">
        <v>50.5</v>
      </c>
      <c r="O11">
        <v>183</v>
      </c>
      <c r="P11">
        <v>427</v>
      </c>
      <c r="Q11">
        <v>179</v>
      </c>
      <c r="R11">
        <v>624</v>
      </c>
      <c r="S11">
        <v>411</v>
      </c>
      <c r="T11">
        <v>321</v>
      </c>
      <c r="U11">
        <v>51.9</v>
      </c>
      <c r="V11">
        <v>392</v>
      </c>
      <c r="W11" t="s">
        <v>244</v>
      </c>
      <c r="X11">
        <v>4</v>
      </c>
      <c r="Y11">
        <v>7</v>
      </c>
      <c r="Z11" t="s">
        <v>65</v>
      </c>
      <c r="AB11" s="31" t="s">
        <v>67</v>
      </c>
      <c r="AC11" s="38" t="s">
        <v>153</v>
      </c>
      <c r="AD11" s="38" t="s">
        <v>244</v>
      </c>
      <c r="AE11" s="38" t="s">
        <v>65</v>
      </c>
    </row>
    <row r="12" spans="1:31" x14ac:dyDescent="0.15">
      <c r="A12" s="38" t="s">
        <v>40</v>
      </c>
      <c r="B12">
        <v>380</v>
      </c>
      <c r="C12">
        <v>5380110</v>
      </c>
      <c r="D12" t="s">
        <v>154</v>
      </c>
      <c r="E12">
        <v>72</v>
      </c>
      <c r="F12">
        <v>70</v>
      </c>
      <c r="G12">
        <v>62</v>
      </c>
      <c r="H12">
        <v>73</v>
      </c>
      <c r="I12">
        <v>74</v>
      </c>
      <c r="J12">
        <v>51.3</v>
      </c>
      <c r="K12">
        <v>52.1</v>
      </c>
      <c r="L12">
        <v>55.1</v>
      </c>
      <c r="M12">
        <v>57.1</v>
      </c>
      <c r="N12">
        <v>58.5</v>
      </c>
      <c r="O12">
        <v>416</v>
      </c>
      <c r="P12">
        <v>377</v>
      </c>
      <c r="Q12">
        <v>264</v>
      </c>
      <c r="R12">
        <v>219</v>
      </c>
      <c r="S12">
        <v>187</v>
      </c>
      <c r="T12">
        <v>351</v>
      </c>
      <c r="U12">
        <v>55.8</v>
      </c>
      <c r="V12">
        <v>251</v>
      </c>
      <c r="W12" t="s">
        <v>245</v>
      </c>
      <c r="X12">
        <v>70</v>
      </c>
      <c r="Y12">
        <v>101</v>
      </c>
      <c r="Z12" t="s">
        <v>63</v>
      </c>
      <c r="AB12" s="31" t="s">
        <v>67</v>
      </c>
      <c r="AC12" s="38" t="s">
        <v>154</v>
      </c>
      <c r="AD12" s="38" t="s">
        <v>245</v>
      </c>
      <c r="AE12" s="38" t="s">
        <v>63</v>
      </c>
    </row>
    <row r="13" spans="1:31" x14ac:dyDescent="0.15">
      <c r="A13" s="38" t="s">
        <v>41</v>
      </c>
      <c r="B13"/>
      <c r="C13"/>
      <c r="D13" t="s">
        <v>155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B13" s="31" t="s">
        <v>67</v>
      </c>
      <c r="AC13" s="38" t="s">
        <v>155</v>
      </c>
    </row>
    <row r="14" spans="1:31" x14ac:dyDescent="0.15">
      <c r="A14" s="38" t="s">
        <v>42</v>
      </c>
      <c r="B14">
        <v>380</v>
      </c>
      <c r="C14">
        <v>5380112</v>
      </c>
      <c r="D14" t="s">
        <v>156</v>
      </c>
      <c r="E14">
        <v>83</v>
      </c>
      <c r="F14">
        <v>70</v>
      </c>
      <c r="G14">
        <v>87</v>
      </c>
      <c r="H14">
        <v>76</v>
      </c>
      <c r="I14">
        <v>80</v>
      </c>
      <c r="J14">
        <v>58.4</v>
      </c>
      <c r="K14">
        <v>52.1</v>
      </c>
      <c r="L14">
        <v>69.2</v>
      </c>
      <c r="M14">
        <v>58.7</v>
      </c>
      <c r="N14">
        <v>61.5</v>
      </c>
      <c r="O14">
        <v>155</v>
      </c>
      <c r="P14">
        <v>377</v>
      </c>
      <c r="Q14">
        <v>9</v>
      </c>
      <c r="R14">
        <v>169</v>
      </c>
      <c r="S14">
        <v>111</v>
      </c>
      <c r="T14">
        <v>396</v>
      </c>
      <c r="U14">
        <v>61.7</v>
      </c>
      <c r="V14">
        <v>92</v>
      </c>
      <c r="W14" t="s">
        <v>245</v>
      </c>
      <c r="X14">
        <v>29</v>
      </c>
      <c r="Y14">
        <v>101</v>
      </c>
      <c r="Z14" t="s">
        <v>65</v>
      </c>
      <c r="AB14" s="31" t="s">
        <v>67</v>
      </c>
      <c r="AC14" s="38" t="s">
        <v>156</v>
      </c>
      <c r="AD14" s="38" t="s">
        <v>245</v>
      </c>
      <c r="AE14" s="38" t="s">
        <v>65</v>
      </c>
    </row>
    <row r="15" spans="1:31" x14ac:dyDescent="0.15">
      <c r="A15" s="38" t="s">
        <v>43</v>
      </c>
      <c r="B15">
        <v>380</v>
      </c>
      <c r="C15">
        <v>5380113</v>
      </c>
      <c r="D15" t="s">
        <v>157</v>
      </c>
      <c r="E15">
        <v>88</v>
      </c>
      <c r="F15">
        <v>98</v>
      </c>
      <c r="G15">
        <v>54</v>
      </c>
      <c r="H15">
        <v>89</v>
      </c>
      <c r="I15">
        <v>84</v>
      </c>
      <c r="J15">
        <v>61.7</v>
      </c>
      <c r="K15">
        <v>67.599999999999994</v>
      </c>
      <c r="L15">
        <v>50.6</v>
      </c>
      <c r="M15">
        <v>65.8</v>
      </c>
      <c r="N15">
        <v>63.5</v>
      </c>
      <c r="O15">
        <v>70</v>
      </c>
      <c r="P15">
        <v>4</v>
      </c>
      <c r="Q15">
        <v>408</v>
      </c>
      <c r="R15">
        <v>30</v>
      </c>
      <c r="S15">
        <v>61</v>
      </c>
      <c r="T15">
        <v>413</v>
      </c>
      <c r="U15">
        <v>63.9</v>
      </c>
      <c r="V15">
        <v>60</v>
      </c>
      <c r="W15" t="s">
        <v>245</v>
      </c>
      <c r="X15">
        <v>23</v>
      </c>
      <c r="Y15">
        <v>101</v>
      </c>
      <c r="Z15" t="s">
        <v>64</v>
      </c>
      <c r="AB15" s="31" t="s">
        <v>67</v>
      </c>
      <c r="AC15" s="38" t="s">
        <v>157</v>
      </c>
      <c r="AD15" s="38" t="s">
        <v>245</v>
      </c>
      <c r="AE15" s="38" t="s">
        <v>64</v>
      </c>
    </row>
    <row r="16" spans="1:31" x14ac:dyDescent="0.15">
      <c r="A16" s="38" t="s">
        <v>44</v>
      </c>
      <c r="B16">
        <v>380</v>
      </c>
      <c r="C16">
        <v>5380114</v>
      </c>
      <c r="D16" t="s">
        <v>158</v>
      </c>
      <c r="E16">
        <v>59</v>
      </c>
      <c r="F16">
        <v>51</v>
      </c>
      <c r="G16">
        <v>61</v>
      </c>
      <c r="H16">
        <v>80</v>
      </c>
      <c r="I16">
        <v>24</v>
      </c>
      <c r="J16">
        <v>42.8</v>
      </c>
      <c r="K16">
        <v>41.5</v>
      </c>
      <c r="L16">
        <v>54.5</v>
      </c>
      <c r="M16">
        <v>60.9</v>
      </c>
      <c r="N16">
        <v>33.5</v>
      </c>
      <c r="O16">
        <v>656</v>
      </c>
      <c r="P16">
        <v>643</v>
      </c>
      <c r="Q16">
        <v>278</v>
      </c>
      <c r="R16">
        <v>113</v>
      </c>
      <c r="S16">
        <v>773</v>
      </c>
      <c r="T16">
        <v>275</v>
      </c>
      <c r="U16">
        <v>45.9</v>
      </c>
      <c r="V16">
        <v>558</v>
      </c>
      <c r="W16" t="s">
        <v>249</v>
      </c>
      <c r="X16">
        <v>3</v>
      </c>
      <c r="Y16">
        <v>6</v>
      </c>
      <c r="Z16" t="s">
        <v>65</v>
      </c>
      <c r="AB16" s="31" t="s">
        <v>67</v>
      </c>
      <c r="AC16" s="38" t="s">
        <v>158</v>
      </c>
      <c r="AD16" s="38" t="s">
        <v>249</v>
      </c>
      <c r="AE16" s="38" t="s">
        <v>65</v>
      </c>
    </row>
    <row r="17" spans="1:31" x14ac:dyDescent="0.15">
      <c r="A17" s="38" t="s">
        <v>45</v>
      </c>
      <c r="B17">
        <v>380</v>
      </c>
      <c r="C17">
        <v>5380115</v>
      </c>
      <c r="D17" t="s">
        <v>159</v>
      </c>
      <c r="E17">
        <v>48</v>
      </c>
      <c r="F17">
        <v>24</v>
      </c>
      <c r="G17">
        <v>18</v>
      </c>
      <c r="H17">
        <v>19</v>
      </c>
      <c r="I17">
        <v>0</v>
      </c>
      <c r="J17">
        <v>35.700000000000003</v>
      </c>
      <c r="K17">
        <v>26.5</v>
      </c>
      <c r="L17">
        <v>30.2</v>
      </c>
      <c r="M17">
        <v>27.8</v>
      </c>
      <c r="N17">
        <v>21.5</v>
      </c>
      <c r="O17">
        <v>757</v>
      </c>
      <c r="P17">
        <v>816</v>
      </c>
      <c r="Q17">
        <v>800</v>
      </c>
      <c r="R17">
        <v>821</v>
      </c>
      <c r="S17">
        <v>831</v>
      </c>
      <c r="T17">
        <v>109</v>
      </c>
      <c r="U17">
        <v>24.2</v>
      </c>
      <c r="V17">
        <v>819</v>
      </c>
      <c r="W17" t="s">
        <v>246</v>
      </c>
      <c r="X17">
        <v>43</v>
      </c>
      <c r="Y17">
        <v>43</v>
      </c>
      <c r="Z17" t="s">
        <v>63</v>
      </c>
      <c r="AB17" s="31" t="s">
        <v>67</v>
      </c>
      <c r="AC17" s="38" t="s">
        <v>159</v>
      </c>
      <c r="AD17" s="38" t="s">
        <v>246</v>
      </c>
      <c r="AE17" s="38" t="s">
        <v>63</v>
      </c>
    </row>
    <row r="18" spans="1:31" x14ac:dyDescent="0.15">
      <c r="A18" s="38" t="s">
        <v>46</v>
      </c>
      <c r="B18">
        <v>380</v>
      </c>
      <c r="C18">
        <v>5380116</v>
      </c>
      <c r="D18" t="s">
        <v>160</v>
      </c>
      <c r="E18">
        <v>97</v>
      </c>
      <c r="F18">
        <v>93</v>
      </c>
      <c r="G18">
        <v>74</v>
      </c>
      <c r="H18">
        <v>89</v>
      </c>
      <c r="I18">
        <v>89</v>
      </c>
      <c r="J18">
        <v>67.5</v>
      </c>
      <c r="K18">
        <v>64.8</v>
      </c>
      <c r="L18">
        <v>61.9</v>
      </c>
      <c r="M18">
        <v>65.8</v>
      </c>
      <c r="N18">
        <v>66</v>
      </c>
      <c r="O18">
        <v>4</v>
      </c>
      <c r="P18">
        <v>28</v>
      </c>
      <c r="Q18">
        <v>100</v>
      </c>
      <c r="R18">
        <v>30</v>
      </c>
      <c r="S18">
        <v>24</v>
      </c>
      <c r="T18">
        <v>442</v>
      </c>
      <c r="U18">
        <v>67.7</v>
      </c>
      <c r="V18">
        <v>12</v>
      </c>
      <c r="W18" t="s">
        <v>245</v>
      </c>
      <c r="X18">
        <v>7</v>
      </c>
      <c r="Y18">
        <v>101</v>
      </c>
      <c r="Z18" t="s">
        <v>66</v>
      </c>
      <c r="AB18" s="31" t="s">
        <v>67</v>
      </c>
      <c r="AC18" s="38" t="s">
        <v>160</v>
      </c>
      <c r="AD18" s="38" t="s">
        <v>245</v>
      </c>
      <c r="AE18" s="38" t="s">
        <v>66</v>
      </c>
    </row>
    <row r="19" spans="1:31" x14ac:dyDescent="0.15">
      <c r="A19" s="38" t="s">
        <v>47</v>
      </c>
      <c r="B19">
        <v>380</v>
      </c>
      <c r="C19">
        <v>5380117</v>
      </c>
      <c r="D19" t="s">
        <v>161</v>
      </c>
      <c r="E19">
        <v>91</v>
      </c>
      <c r="F19">
        <v>92</v>
      </c>
      <c r="G19">
        <v>80</v>
      </c>
      <c r="H19">
        <v>82</v>
      </c>
      <c r="I19">
        <v>93</v>
      </c>
      <c r="J19">
        <v>63.6</v>
      </c>
      <c r="K19">
        <v>64.3</v>
      </c>
      <c r="L19">
        <v>65.3</v>
      </c>
      <c r="M19">
        <v>62</v>
      </c>
      <c r="N19">
        <v>68</v>
      </c>
      <c r="O19">
        <v>38</v>
      </c>
      <c r="P19">
        <v>36</v>
      </c>
      <c r="Q19">
        <v>41</v>
      </c>
      <c r="R19">
        <v>88</v>
      </c>
      <c r="S19">
        <v>9</v>
      </c>
      <c r="T19">
        <v>438</v>
      </c>
      <c r="U19">
        <v>67.2</v>
      </c>
      <c r="V19">
        <v>17</v>
      </c>
      <c r="W19" t="s">
        <v>245</v>
      </c>
      <c r="X19">
        <v>10</v>
      </c>
      <c r="Y19">
        <v>101</v>
      </c>
      <c r="Z19" t="s">
        <v>66</v>
      </c>
      <c r="AB19" s="31" t="s">
        <v>67</v>
      </c>
      <c r="AC19" s="38" t="s">
        <v>161</v>
      </c>
      <c r="AD19" s="38" t="s">
        <v>245</v>
      </c>
      <c r="AE19" s="38" t="s">
        <v>66</v>
      </c>
    </row>
    <row r="20" spans="1:31" x14ac:dyDescent="0.15">
      <c r="A20" s="38" t="s">
        <v>48</v>
      </c>
      <c r="B20">
        <v>380</v>
      </c>
      <c r="C20">
        <v>5380118</v>
      </c>
      <c r="D20" t="s">
        <v>162</v>
      </c>
      <c r="E20">
        <v>46</v>
      </c>
      <c r="F20">
        <v>63</v>
      </c>
      <c r="G20">
        <v>37</v>
      </c>
      <c r="H20">
        <v>60</v>
      </c>
      <c r="I20">
        <v>50</v>
      </c>
      <c r="J20">
        <v>34.4</v>
      </c>
      <c r="K20">
        <v>48.2</v>
      </c>
      <c r="L20">
        <v>41</v>
      </c>
      <c r="M20">
        <v>50</v>
      </c>
      <c r="N20">
        <v>46.5</v>
      </c>
      <c r="O20">
        <v>767</v>
      </c>
      <c r="P20">
        <v>496</v>
      </c>
      <c r="Q20">
        <v>670</v>
      </c>
      <c r="R20">
        <v>435</v>
      </c>
      <c r="S20">
        <v>516</v>
      </c>
      <c r="T20">
        <v>256</v>
      </c>
      <c r="U20">
        <v>43.4</v>
      </c>
      <c r="V20">
        <v>618</v>
      </c>
      <c r="W20" t="s">
        <v>245</v>
      </c>
      <c r="X20">
        <v>97</v>
      </c>
      <c r="Y20">
        <v>101</v>
      </c>
      <c r="Z20" t="s">
        <v>63</v>
      </c>
      <c r="AB20" s="31" t="s">
        <v>67</v>
      </c>
      <c r="AC20" s="38" t="s">
        <v>162</v>
      </c>
      <c r="AD20" s="38" t="s">
        <v>245</v>
      </c>
      <c r="AE20" s="38" t="s">
        <v>63</v>
      </c>
    </row>
    <row r="21" spans="1:31" x14ac:dyDescent="0.15">
      <c r="A21" s="38" t="s">
        <v>49</v>
      </c>
      <c r="B21">
        <v>380</v>
      </c>
      <c r="C21">
        <v>5380119</v>
      </c>
      <c r="D21" t="s">
        <v>163</v>
      </c>
      <c r="E21">
        <v>64</v>
      </c>
      <c r="F21">
        <v>40</v>
      </c>
      <c r="G21">
        <v>12</v>
      </c>
      <c r="H21">
        <v>33</v>
      </c>
      <c r="I21">
        <v>38</v>
      </c>
      <c r="J21">
        <v>46.1</v>
      </c>
      <c r="K21">
        <v>35.4</v>
      </c>
      <c r="L21">
        <v>26.9</v>
      </c>
      <c r="M21">
        <v>35.4</v>
      </c>
      <c r="N21">
        <v>40.5</v>
      </c>
      <c r="O21">
        <v>553</v>
      </c>
      <c r="P21">
        <v>758</v>
      </c>
      <c r="Q21">
        <v>822</v>
      </c>
      <c r="R21">
        <v>750</v>
      </c>
      <c r="S21">
        <v>652</v>
      </c>
      <c r="T21">
        <v>187</v>
      </c>
      <c r="U21">
        <v>34.4</v>
      </c>
      <c r="V21">
        <v>767</v>
      </c>
      <c r="W21" t="s">
        <v>246</v>
      </c>
      <c r="X21">
        <v>41</v>
      </c>
      <c r="Y21">
        <v>43</v>
      </c>
      <c r="Z21" t="s">
        <v>63</v>
      </c>
      <c r="AB21" s="31" t="s">
        <v>67</v>
      </c>
      <c r="AC21" s="38" t="s">
        <v>163</v>
      </c>
      <c r="AD21" s="38" t="s">
        <v>246</v>
      </c>
      <c r="AE21" s="38" t="s">
        <v>63</v>
      </c>
    </row>
    <row r="22" spans="1:31" x14ac:dyDescent="0.15">
      <c r="A22" s="38" t="s">
        <v>50</v>
      </c>
      <c r="B22">
        <v>380</v>
      </c>
      <c r="C22">
        <v>5380120</v>
      </c>
      <c r="D22" t="s">
        <v>164</v>
      </c>
      <c r="E22">
        <v>53</v>
      </c>
      <c r="F22">
        <v>40</v>
      </c>
      <c r="G22">
        <v>21</v>
      </c>
      <c r="H22">
        <v>42</v>
      </c>
      <c r="I22">
        <v>22</v>
      </c>
      <c r="J22">
        <v>38.9</v>
      </c>
      <c r="K22">
        <v>35.4</v>
      </c>
      <c r="L22">
        <v>31.9</v>
      </c>
      <c r="M22">
        <v>40.299999999999997</v>
      </c>
      <c r="N22">
        <v>32.5</v>
      </c>
      <c r="O22">
        <v>721</v>
      </c>
      <c r="P22">
        <v>758</v>
      </c>
      <c r="Q22">
        <v>784</v>
      </c>
      <c r="R22">
        <v>681</v>
      </c>
      <c r="S22">
        <v>782</v>
      </c>
      <c r="T22">
        <v>178</v>
      </c>
      <c r="U22">
        <v>33.200000000000003</v>
      </c>
      <c r="V22">
        <v>778</v>
      </c>
      <c r="W22" t="s">
        <v>247</v>
      </c>
      <c r="X22">
        <v>53</v>
      </c>
      <c r="Y22">
        <v>53</v>
      </c>
      <c r="Z22" t="s">
        <v>63</v>
      </c>
      <c r="AB22" s="31" t="s">
        <v>67</v>
      </c>
      <c r="AC22" s="38" t="s">
        <v>164</v>
      </c>
      <c r="AD22" s="38" t="s">
        <v>247</v>
      </c>
      <c r="AE22" s="38" t="s">
        <v>63</v>
      </c>
    </row>
    <row r="23" spans="1:31" x14ac:dyDescent="0.15">
      <c r="A23" s="38" t="s">
        <v>51</v>
      </c>
      <c r="B23">
        <v>380</v>
      </c>
      <c r="C23">
        <v>5380121</v>
      </c>
      <c r="D23" t="s">
        <v>165</v>
      </c>
      <c r="E23">
        <v>74</v>
      </c>
      <c r="F23">
        <v>75</v>
      </c>
      <c r="G23">
        <v>75</v>
      </c>
      <c r="H23">
        <v>71</v>
      </c>
      <c r="I23">
        <v>72</v>
      </c>
      <c r="J23">
        <v>52.6</v>
      </c>
      <c r="K23">
        <v>54.9</v>
      </c>
      <c r="L23">
        <v>62.5</v>
      </c>
      <c r="M23">
        <v>56</v>
      </c>
      <c r="N23">
        <v>57.5</v>
      </c>
      <c r="O23">
        <v>371</v>
      </c>
      <c r="P23">
        <v>292</v>
      </c>
      <c r="Q23">
        <v>84</v>
      </c>
      <c r="R23">
        <v>255</v>
      </c>
      <c r="S23">
        <v>215</v>
      </c>
      <c r="T23">
        <v>367</v>
      </c>
      <c r="U23">
        <v>57.9</v>
      </c>
      <c r="V23">
        <v>186</v>
      </c>
      <c r="W23" t="s">
        <v>248</v>
      </c>
      <c r="X23">
        <v>3</v>
      </c>
      <c r="Y23">
        <v>13</v>
      </c>
      <c r="Z23" t="s">
        <v>63</v>
      </c>
      <c r="AB23" s="31" t="s">
        <v>67</v>
      </c>
      <c r="AC23" s="38" t="s">
        <v>165</v>
      </c>
      <c r="AD23" s="38" t="s">
        <v>248</v>
      </c>
      <c r="AE23" s="38" t="s">
        <v>63</v>
      </c>
    </row>
    <row r="24" spans="1:31" x14ac:dyDescent="0.15">
      <c r="A24" s="38" t="s">
        <v>52</v>
      </c>
      <c r="B24">
        <v>380</v>
      </c>
      <c r="C24">
        <v>5380122</v>
      </c>
      <c r="D24" t="s">
        <v>166</v>
      </c>
      <c r="E24">
        <v>65</v>
      </c>
      <c r="F24">
        <v>36</v>
      </c>
      <c r="G24">
        <v>37</v>
      </c>
      <c r="H24">
        <v>52</v>
      </c>
      <c r="I24">
        <v>20</v>
      </c>
      <c r="J24">
        <v>46.7</v>
      </c>
      <c r="K24">
        <v>33.200000000000003</v>
      </c>
      <c r="L24">
        <v>41</v>
      </c>
      <c r="M24">
        <v>45.7</v>
      </c>
      <c r="N24">
        <v>31.5</v>
      </c>
      <c r="O24">
        <v>537</v>
      </c>
      <c r="P24">
        <v>780</v>
      </c>
      <c r="Q24">
        <v>670</v>
      </c>
      <c r="R24">
        <v>548</v>
      </c>
      <c r="S24">
        <v>798</v>
      </c>
      <c r="T24">
        <v>210</v>
      </c>
      <c r="U24">
        <v>37.4</v>
      </c>
      <c r="V24">
        <v>730</v>
      </c>
      <c r="W24" t="s">
        <v>245</v>
      </c>
      <c r="X24">
        <v>99</v>
      </c>
      <c r="Y24">
        <v>101</v>
      </c>
      <c r="Z24" t="s">
        <v>63</v>
      </c>
      <c r="AB24" s="31" t="s">
        <v>67</v>
      </c>
      <c r="AC24" s="38" t="s">
        <v>166</v>
      </c>
      <c r="AD24" s="38" t="s">
        <v>245</v>
      </c>
      <c r="AE24" s="38" t="s">
        <v>63</v>
      </c>
    </row>
    <row r="25" spans="1:31" x14ac:dyDescent="0.15">
      <c r="A25" s="38" t="s">
        <v>53</v>
      </c>
      <c r="B25">
        <v>380</v>
      </c>
      <c r="C25">
        <v>5380201</v>
      </c>
      <c r="D25" t="s">
        <v>167</v>
      </c>
      <c r="E25">
        <v>84</v>
      </c>
      <c r="F25">
        <v>71</v>
      </c>
      <c r="G25">
        <v>63</v>
      </c>
      <c r="H25">
        <v>58</v>
      </c>
      <c r="I25">
        <v>74</v>
      </c>
      <c r="J25">
        <v>59.1</v>
      </c>
      <c r="K25">
        <v>52.6</v>
      </c>
      <c r="L25">
        <v>55.7</v>
      </c>
      <c r="M25">
        <v>49</v>
      </c>
      <c r="N25">
        <v>58.5</v>
      </c>
      <c r="O25">
        <v>140</v>
      </c>
      <c r="P25">
        <v>350</v>
      </c>
      <c r="Q25">
        <v>243</v>
      </c>
      <c r="R25">
        <v>457</v>
      </c>
      <c r="S25">
        <v>187</v>
      </c>
      <c r="T25">
        <v>350</v>
      </c>
      <c r="U25">
        <v>55.7</v>
      </c>
      <c r="V25">
        <v>257</v>
      </c>
      <c r="W25" t="s">
        <v>244</v>
      </c>
      <c r="X25">
        <v>2</v>
      </c>
      <c r="Y25">
        <v>7</v>
      </c>
      <c r="Z25" t="s">
        <v>64</v>
      </c>
      <c r="AB25" s="31" t="s">
        <v>141</v>
      </c>
      <c r="AC25" s="38" t="s">
        <v>167</v>
      </c>
      <c r="AD25" s="38" t="s">
        <v>244</v>
      </c>
      <c r="AE25" s="38" t="s">
        <v>64</v>
      </c>
    </row>
    <row r="26" spans="1:31" x14ac:dyDescent="0.15">
      <c r="B26"/>
      <c r="C26"/>
      <c r="D26" t="s">
        <v>168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B26" s="31" t="s">
        <v>252</v>
      </c>
      <c r="AC26" s="38" t="s">
        <v>168</v>
      </c>
    </row>
    <row r="27" spans="1:31" x14ac:dyDescent="0.15">
      <c r="A27" s="38" t="s">
        <v>54</v>
      </c>
      <c r="B27">
        <v>380</v>
      </c>
      <c r="C27">
        <v>5380203</v>
      </c>
      <c r="D27" t="s">
        <v>169</v>
      </c>
      <c r="E27">
        <v>97</v>
      </c>
      <c r="F27">
        <v>92</v>
      </c>
      <c r="G27">
        <v>85</v>
      </c>
      <c r="H27">
        <v>88</v>
      </c>
      <c r="I27">
        <v>94</v>
      </c>
      <c r="J27">
        <v>67.5</v>
      </c>
      <c r="K27">
        <v>64.3</v>
      </c>
      <c r="L27">
        <v>68.099999999999994</v>
      </c>
      <c r="M27">
        <v>65.3</v>
      </c>
      <c r="N27">
        <v>68.5</v>
      </c>
      <c r="O27">
        <v>4</v>
      </c>
      <c r="P27">
        <v>36</v>
      </c>
      <c r="Q27">
        <v>14</v>
      </c>
      <c r="R27">
        <v>37</v>
      </c>
      <c r="S27">
        <v>2</v>
      </c>
      <c r="T27">
        <v>456</v>
      </c>
      <c r="U27">
        <v>69.5</v>
      </c>
      <c r="V27">
        <v>3</v>
      </c>
      <c r="W27" t="s">
        <v>245</v>
      </c>
      <c r="X27">
        <v>3</v>
      </c>
      <c r="Y27">
        <v>101</v>
      </c>
      <c r="Z27" t="s">
        <v>66</v>
      </c>
      <c r="AB27" s="31" t="s">
        <v>253</v>
      </c>
      <c r="AC27" s="38" t="s">
        <v>169</v>
      </c>
      <c r="AD27" s="38" t="s">
        <v>245</v>
      </c>
      <c r="AE27" s="38" t="s">
        <v>66</v>
      </c>
    </row>
    <row r="28" spans="1:31" x14ac:dyDescent="0.15">
      <c r="A28" s="38" t="s">
        <v>55</v>
      </c>
      <c r="B28">
        <v>380</v>
      </c>
      <c r="C28">
        <v>5380204</v>
      </c>
      <c r="D28" t="s">
        <v>170</v>
      </c>
      <c r="E28">
        <v>92</v>
      </c>
      <c r="F28">
        <v>90</v>
      </c>
      <c r="G28">
        <v>84</v>
      </c>
      <c r="H28">
        <v>96</v>
      </c>
      <c r="I28">
        <v>90</v>
      </c>
      <c r="J28">
        <v>64.3</v>
      </c>
      <c r="K28">
        <v>63.2</v>
      </c>
      <c r="L28">
        <v>67.5</v>
      </c>
      <c r="M28">
        <v>69.599999999999994</v>
      </c>
      <c r="N28">
        <v>66.5</v>
      </c>
      <c r="O28">
        <v>33</v>
      </c>
      <c r="P28">
        <v>60</v>
      </c>
      <c r="Q28">
        <v>16</v>
      </c>
      <c r="R28">
        <v>2</v>
      </c>
      <c r="S28">
        <v>22</v>
      </c>
      <c r="T28">
        <v>452</v>
      </c>
      <c r="U28">
        <v>69</v>
      </c>
      <c r="V28">
        <v>6</v>
      </c>
      <c r="W28" t="s">
        <v>245</v>
      </c>
      <c r="X28">
        <v>4</v>
      </c>
      <c r="Y28">
        <v>101</v>
      </c>
      <c r="Z28" t="s">
        <v>66</v>
      </c>
      <c r="AB28" s="31" t="s">
        <v>254</v>
      </c>
      <c r="AC28" s="38" t="s">
        <v>170</v>
      </c>
      <c r="AD28" s="38" t="s">
        <v>245</v>
      </c>
      <c r="AE28" s="38" t="s">
        <v>66</v>
      </c>
    </row>
    <row r="29" spans="1:31" x14ac:dyDescent="0.15">
      <c r="A29" s="38" t="s">
        <v>56</v>
      </c>
      <c r="B29">
        <v>380</v>
      </c>
      <c r="C29">
        <v>5380205</v>
      </c>
      <c r="D29" t="s">
        <v>171</v>
      </c>
      <c r="E29">
        <v>97</v>
      </c>
      <c r="F29">
        <v>100</v>
      </c>
      <c r="G29">
        <v>81</v>
      </c>
      <c r="H29">
        <v>89</v>
      </c>
      <c r="I29">
        <v>94</v>
      </c>
      <c r="J29">
        <v>67.5</v>
      </c>
      <c r="K29">
        <v>68.7</v>
      </c>
      <c r="L29">
        <v>65.8</v>
      </c>
      <c r="M29">
        <v>65.8</v>
      </c>
      <c r="N29">
        <v>68.5</v>
      </c>
      <c r="O29">
        <v>4</v>
      </c>
      <c r="P29">
        <v>1</v>
      </c>
      <c r="Q29">
        <v>30</v>
      </c>
      <c r="R29">
        <v>30</v>
      </c>
      <c r="S29">
        <v>2</v>
      </c>
      <c r="T29">
        <v>461</v>
      </c>
      <c r="U29">
        <v>70.2</v>
      </c>
      <c r="V29">
        <v>2</v>
      </c>
      <c r="W29" t="s">
        <v>245</v>
      </c>
      <c r="X29">
        <v>2</v>
      </c>
      <c r="Y29">
        <v>101</v>
      </c>
      <c r="Z29" t="s">
        <v>66</v>
      </c>
      <c r="AB29" s="31" t="s">
        <v>255</v>
      </c>
      <c r="AC29" s="38" t="s">
        <v>171</v>
      </c>
      <c r="AD29" s="38" t="s">
        <v>245</v>
      </c>
      <c r="AE29" s="38" t="s">
        <v>66</v>
      </c>
    </row>
    <row r="30" spans="1:31" x14ac:dyDescent="0.15">
      <c r="A30" s="38" t="s">
        <v>57</v>
      </c>
      <c r="B30">
        <v>380</v>
      </c>
      <c r="C30">
        <v>5380206</v>
      </c>
      <c r="D30" t="s">
        <v>172</v>
      </c>
      <c r="E30">
        <v>88</v>
      </c>
      <c r="F30">
        <v>86</v>
      </c>
      <c r="G30">
        <v>84</v>
      </c>
      <c r="H30">
        <v>92</v>
      </c>
      <c r="I30">
        <v>92</v>
      </c>
      <c r="J30">
        <v>61.7</v>
      </c>
      <c r="K30">
        <v>61</v>
      </c>
      <c r="L30">
        <v>67.5</v>
      </c>
      <c r="M30">
        <v>67.400000000000006</v>
      </c>
      <c r="N30">
        <v>67.5</v>
      </c>
      <c r="O30">
        <v>70</v>
      </c>
      <c r="P30">
        <v>112</v>
      </c>
      <c r="Q30">
        <v>16</v>
      </c>
      <c r="R30">
        <v>11</v>
      </c>
      <c r="S30">
        <v>11</v>
      </c>
      <c r="T30">
        <v>442</v>
      </c>
      <c r="U30">
        <v>67.7</v>
      </c>
      <c r="V30">
        <v>12</v>
      </c>
      <c r="W30" t="s">
        <v>245</v>
      </c>
      <c r="X30">
        <v>7</v>
      </c>
      <c r="Y30">
        <v>101</v>
      </c>
      <c r="Z30" t="s">
        <v>66</v>
      </c>
      <c r="AB30" s="31" t="s">
        <v>256</v>
      </c>
      <c r="AC30" s="38" t="s">
        <v>172</v>
      </c>
      <c r="AD30" s="38" t="s">
        <v>245</v>
      </c>
      <c r="AE30" s="38" t="s">
        <v>66</v>
      </c>
    </row>
    <row r="31" spans="1:31" x14ac:dyDescent="0.15">
      <c r="A31" s="38" t="s">
        <v>58</v>
      </c>
      <c r="B31">
        <v>380</v>
      </c>
      <c r="C31">
        <v>5380207</v>
      </c>
      <c r="D31" t="s">
        <v>173</v>
      </c>
      <c r="E31">
        <v>75</v>
      </c>
      <c r="F31">
        <v>100</v>
      </c>
      <c r="G31">
        <v>83</v>
      </c>
      <c r="H31">
        <v>92</v>
      </c>
      <c r="I31">
        <v>94</v>
      </c>
      <c r="J31">
        <v>53.2</v>
      </c>
      <c r="K31">
        <v>68.7</v>
      </c>
      <c r="L31">
        <v>67</v>
      </c>
      <c r="M31">
        <v>67.400000000000006</v>
      </c>
      <c r="N31">
        <v>68.5</v>
      </c>
      <c r="O31">
        <v>344</v>
      </c>
      <c r="P31">
        <v>1</v>
      </c>
      <c r="Q31">
        <v>21</v>
      </c>
      <c r="R31">
        <v>11</v>
      </c>
      <c r="S31">
        <v>2</v>
      </c>
      <c r="T31">
        <v>444</v>
      </c>
      <c r="U31">
        <v>67.900000000000006</v>
      </c>
      <c r="V31">
        <v>11</v>
      </c>
      <c r="W31" t="s">
        <v>245</v>
      </c>
      <c r="X31">
        <v>6</v>
      </c>
      <c r="Y31">
        <v>101</v>
      </c>
      <c r="Z31" t="s">
        <v>66</v>
      </c>
      <c r="AB31" s="31" t="s">
        <v>257</v>
      </c>
      <c r="AC31" s="38" t="s">
        <v>173</v>
      </c>
      <c r="AD31" s="38" t="s">
        <v>245</v>
      </c>
      <c r="AE31" s="38" t="s">
        <v>66</v>
      </c>
    </row>
    <row r="32" spans="1:31" x14ac:dyDescent="0.15">
      <c r="A32" s="38" t="s">
        <v>59</v>
      </c>
      <c r="B32">
        <v>380</v>
      </c>
      <c r="C32">
        <v>5380208</v>
      </c>
      <c r="D32" t="s">
        <v>174</v>
      </c>
      <c r="E32">
        <v>55</v>
      </c>
      <c r="F32">
        <v>83</v>
      </c>
      <c r="G32">
        <v>43</v>
      </c>
      <c r="H32">
        <v>54</v>
      </c>
      <c r="I32">
        <v>44</v>
      </c>
      <c r="J32">
        <v>40.200000000000003</v>
      </c>
      <c r="K32">
        <v>59.3</v>
      </c>
      <c r="L32">
        <v>44.4</v>
      </c>
      <c r="M32">
        <v>46.8</v>
      </c>
      <c r="N32">
        <v>43.5</v>
      </c>
      <c r="O32">
        <v>703</v>
      </c>
      <c r="P32">
        <v>159</v>
      </c>
      <c r="Q32">
        <v>583</v>
      </c>
      <c r="R32">
        <v>514</v>
      </c>
      <c r="S32">
        <v>590</v>
      </c>
      <c r="T32">
        <v>279</v>
      </c>
      <c r="U32">
        <v>46.4</v>
      </c>
      <c r="V32">
        <v>545</v>
      </c>
      <c r="W32" t="s">
        <v>247</v>
      </c>
      <c r="X32">
        <v>43</v>
      </c>
      <c r="Y32">
        <v>53</v>
      </c>
      <c r="Z32" t="s">
        <v>63</v>
      </c>
      <c r="AB32" s="31" t="s">
        <v>258</v>
      </c>
      <c r="AC32" s="38" t="s">
        <v>174</v>
      </c>
      <c r="AD32" s="38" t="s">
        <v>247</v>
      </c>
      <c r="AE32" s="38" t="s">
        <v>63</v>
      </c>
    </row>
    <row r="33" spans="1:31" x14ac:dyDescent="0.15">
      <c r="A33" s="38" t="s">
        <v>60</v>
      </c>
      <c r="B33">
        <v>380</v>
      </c>
      <c r="C33">
        <v>5380209</v>
      </c>
      <c r="D33" t="s">
        <v>175</v>
      </c>
      <c r="E33">
        <v>72</v>
      </c>
      <c r="F33">
        <v>85</v>
      </c>
      <c r="G33">
        <v>41</v>
      </c>
      <c r="H33">
        <v>74</v>
      </c>
      <c r="I33">
        <v>76</v>
      </c>
      <c r="J33">
        <v>51.3</v>
      </c>
      <c r="K33">
        <v>60.4</v>
      </c>
      <c r="L33">
        <v>43.2</v>
      </c>
      <c r="M33">
        <v>57.7</v>
      </c>
      <c r="N33">
        <v>59.5</v>
      </c>
      <c r="O33">
        <v>416</v>
      </c>
      <c r="P33">
        <v>128</v>
      </c>
      <c r="Q33">
        <v>620</v>
      </c>
      <c r="R33">
        <v>203</v>
      </c>
      <c r="S33">
        <v>159</v>
      </c>
      <c r="T33">
        <v>348</v>
      </c>
      <c r="U33">
        <v>55.4</v>
      </c>
      <c r="V33">
        <v>267</v>
      </c>
      <c r="W33" t="s">
        <v>244</v>
      </c>
      <c r="X33">
        <v>7</v>
      </c>
      <c r="Y33">
        <v>7</v>
      </c>
      <c r="Z33" t="s">
        <v>63</v>
      </c>
      <c r="AB33" s="31" t="s">
        <v>259</v>
      </c>
      <c r="AC33" s="38" t="s">
        <v>175</v>
      </c>
      <c r="AD33" s="38" t="s">
        <v>244</v>
      </c>
      <c r="AE33" s="38" t="s">
        <v>63</v>
      </c>
    </row>
    <row r="34" spans="1:31" x14ac:dyDescent="0.15">
      <c r="A34" s="38" t="s">
        <v>61</v>
      </c>
      <c r="B34">
        <v>380</v>
      </c>
      <c r="C34">
        <v>5380210</v>
      </c>
      <c r="D34" t="s">
        <v>176</v>
      </c>
      <c r="E34">
        <v>89</v>
      </c>
      <c r="F34">
        <v>89</v>
      </c>
      <c r="G34">
        <v>85</v>
      </c>
      <c r="H34">
        <v>84</v>
      </c>
      <c r="I34">
        <v>66</v>
      </c>
      <c r="J34">
        <v>62.3</v>
      </c>
      <c r="K34">
        <v>62.6</v>
      </c>
      <c r="L34">
        <v>68.099999999999994</v>
      </c>
      <c r="M34">
        <v>63.1</v>
      </c>
      <c r="N34">
        <v>54.5</v>
      </c>
      <c r="O34">
        <v>60</v>
      </c>
      <c r="P34">
        <v>71</v>
      </c>
      <c r="Q34">
        <v>14</v>
      </c>
      <c r="R34">
        <v>62</v>
      </c>
      <c r="S34">
        <v>293</v>
      </c>
      <c r="T34">
        <v>413</v>
      </c>
      <c r="U34">
        <v>63.9</v>
      </c>
      <c r="V34">
        <v>60</v>
      </c>
      <c r="W34" t="s">
        <v>250</v>
      </c>
      <c r="X34">
        <v>1</v>
      </c>
      <c r="Y34">
        <v>2</v>
      </c>
      <c r="Z34" t="s">
        <v>66</v>
      </c>
      <c r="AB34" s="31" t="s">
        <v>260</v>
      </c>
      <c r="AC34" s="38" t="s">
        <v>176</v>
      </c>
      <c r="AD34" s="38" t="s">
        <v>250</v>
      </c>
      <c r="AE34" s="38" t="s">
        <v>66</v>
      </c>
    </row>
    <row r="35" spans="1:31" x14ac:dyDescent="0.15">
      <c r="B35">
        <v>380</v>
      </c>
      <c r="C35">
        <v>5380211</v>
      </c>
      <c r="D35" t="s">
        <v>177</v>
      </c>
      <c r="E35">
        <v>91</v>
      </c>
      <c r="F35">
        <v>91</v>
      </c>
      <c r="G35">
        <v>99</v>
      </c>
      <c r="H35">
        <v>96</v>
      </c>
      <c r="I35">
        <v>94</v>
      </c>
      <c r="J35">
        <v>63.6</v>
      </c>
      <c r="K35">
        <v>63.7</v>
      </c>
      <c r="L35">
        <v>76</v>
      </c>
      <c r="M35">
        <v>69.599999999999994</v>
      </c>
      <c r="N35">
        <v>68.5</v>
      </c>
      <c r="O35">
        <v>38</v>
      </c>
      <c r="P35">
        <v>50</v>
      </c>
      <c r="Q35">
        <v>2</v>
      </c>
      <c r="R35">
        <v>2</v>
      </c>
      <c r="S35">
        <v>2</v>
      </c>
      <c r="T35">
        <v>471</v>
      </c>
      <c r="U35">
        <v>71.5</v>
      </c>
      <c r="V35">
        <v>1</v>
      </c>
      <c r="W35" t="s">
        <v>245</v>
      </c>
      <c r="X35">
        <v>1</v>
      </c>
      <c r="Y35">
        <v>101</v>
      </c>
      <c r="Z35" t="s">
        <v>66</v>
      </c>
      <c r="AB35" s="31" t="s">
        <v>261</v>
      </c>
      <c r="AC35" s="38" t="s">
        <v>177</v>
      </c>
      <c r="AD35" s="38" t="s">
        <v>245</v>
      </c>
      <c r="AE35" s="38" t="s">
        <v>66</v>
      </c>
    </row>
    <row r="36" spans="1:31" x14ac:dyDescent="0.15">
      <c r="B36">
        <v>380</v>
      </c>
      <c r="C36">
        <v>5380212</v>
      </c>
      <c r="D36" t="s">
        <v>178</v>
      </c>
      <c r="E36">
        <v>62</v>
      </c>
      <c r="F36">
        <v>56</v>
      </c>
      <c r="G36">
        <v>50</v>
      </c>
      <c r="H36">
        <v>30</v>
      </c>
      <c r="I36">
        <v>29</v>
      </c>
      <c r="J36">
        <v>44.8</v>
      </c>
      <c r="K36">
        <v>44.3</v>
      </c>
      <c r="L36">
        <v>48.3</v>
      </c>
      <c r="M36">
        <v>33.700000000000003</v>
      </c>
      <c r="N36">
        <v>36</v>
      </c>
      <c r="O36">
        <v>601</v>
      </c>
      <c r="P36">
        <v>590</v>
      </c>
      <c r="Q36">
        <v>479</v>
      </c>
      <c r="R36">
        <v>774</v>
      </c>
      <c r="S36">
        <v>747</v>
      </c>
      <c r="T36">
        <v>227</v>
      </c>
      <c r="U36">
        <v>39.6</v>
      </c>
      <c r="V36">
        <v>692</v>
      </c>
      <c r="W36" t="s">
        <v>247</v>
      </c>
      <c r="X36">
        <v>51</v>
      </c>
      <c r="Y36">
        <v>53</v>
      </c>
      <c r="Z36" t="s">
        <v>63</v>
      </c>
      <c r="AB36" s="31" t="s">
        <v>262</v>
      </c>
      <c r="AC36" s="38" t="s">
        <v>178</v>
      </c>
      <c r="AD36" s="38" t="s">
        <v>247</v>
      </c>
      <c r="AE36" s="38" t="s">
        <v>63</v>
      </c>
    </row>
    <row r="37" spans="1:31" x14ac:dyDescent="0.15">
      <c r="B37">
        <v>380</v>
      </c>
      <c r="C37">
        <v>5380213</v>
      </c>
      <c r="D37" t="s">
        <v>179</v>
      </c>
      <c r="E37">
        <v>55</v>
      </c>
      <c r="F37">
        <v>46</v>
      </c>
      <c r="G37">
        <v>48</v>
      </c>
      <c r="H37">
        <v>22</v>
      </c>
      <c r="I37">
        <v>20</v>
      </c>
      <c r="J37">
        <v>40.200000000000003</v>
      </c>
      <c r="K37">
        <v>38.700000000000003</v>
      </c>
      <c r="L37">
        <v>47.2</v>
      </c>
      <c r="M37">
        <v>29.4</v>
      </c>
      <c r="N37">
        <v>31.5</v>
      </c>
      <c r="O37">
        <v>703</v>
      </c>
      <c r="P37">
        <v>712</v>
      </c>
      <c r="Q37">
        <v>513</v>
      </c>
      <c r="R37">
        <v>811</v>
      </c>
      <c r="S37">
        <v>798</v>
      </c>
      <c r="T37">
        <v>191</v>
      </c>
      <c r="U37">
        <v>34.9</v>
      </c>
      <c r="V37">
        <v>764</v>
      </c>
      <c r="W37" t="s">
        <v>251</v>
      </c>
      <c r="X37">
        <v>1</v>
      </c>
      <c r="Y37">
        <v>1</v>
      </c>
      <c r="Z37" t="s">
        <v>63</v>
      </c>
      <c r="AB37" s="31" t="s">
        <v>263</v>
      </c>
      <c r="AC37" s="38" t="s">
        <v>179</v>
      </c>
      <c r="AD37" s="38" t="s">
        <v>251</v>
      </c>
      <c r="AE37" s="38" t="s">
        <v>63</v>
      </c>
    </row>
    <row r="38" spans="1:31" x14ac:dyDescent="0.15">
      <c r="B38">
        <v>380</v>
      </c>
      <c r="C38">
        <v>5380214</v>
      </c>
      <c r="D38" t="s">
        <v>180</v>
      </c>
      <c r="E38">
        <v>76</v>
      </c>
      <c r="F38">
        <v>75</v>
      </c>
      <c r="G38">
        <v>73</v>
      </c>
      <c r="H38">
        <v>67</v>
      </c>
      <c r="I38">
        <v>68</v>
      </c>
      <c r="J38">
        <v>53.9</v>
      </c>
      <c r="K38">
        <v>54.9</v>
      </c>
      <c r="L38">
        <v>61.3</v>
      </c>
      <c r="M38">
        <v>53.9</v>
      </c>
      <c r="N38">
        <v>55.5</v>
      </c>
      <c r="O38">
        <v>323</v>
      </c>
      <c r="P38">
        <v>292</v>
      </c>
      <c r="Q38">
        <v>112</v>
      </c>
      <c r="R38">
        <v>322</v>
      </c>
      <c r="S38">
        <v>268</v>
      </c>
      <c r="T38">
        <v>359</v>
      </c>
      <c r="U38">
        <v>56.9</v>
      </c>
      <c r="V38">
        <v>223</v>
      </c>
      <c r="W38" t="s">
        <v>245</v>
      </c>
      <c r="X38">
        <v>66</v>
      </c>
      <c r="Y38">
        <v>101</v>
      </c>
      <c r="Z38" t="s">
        <v>63</v>
      </c>
      <c r="AB38" s="31" t="s">
        <v>264</v>
      </c>
      <c r="AC38" s="38" t="s">
        <v>180</v>
      </c>
      <c r="AD38" s="38" t="s">
        <v>245</v>
      </c>
      <c r="AE38" s="38" t="s">
        <v>63</v>
      </c>
    </row>
    <row r="39" spans="1:31" x14ac:dyDescent="0.15">
      <c r="B39">
        <v>380</v>
      </c>
      <c r="C39">
        <v>5380215</v>
      </c>
      <c r="D39" t="s">
        <v>181</v>
      </c>
      <c r="E39">
        <v>91</v>
      </c>
      <c r="F39">
        <v>87</v>
      </c>
      <c r="G39">
        <v>63</v>
      </c>
      <c r="H39">
        <v>69</v>
      </c>
      <c r="I39">
        <v>83</v>
      </c>
      <c r="J39">
        <v>63.6</v>
      </c>
      <c r="K39">
        <v>61.5</v>
      </c>
      <c r="L39">
        <v>55.7</v>
      </c>
      <c r="M39">
        <v>54.9</v>
      </c>
      <c r="N39">
        <v>63</v>
      </c>
      <c r="O39">
        <v>38</v>
      </c>
      <c r="P39">
        <v>99</v>
      </c>
      <c r="Q39">
        <v>243</v>
      </c>
      <c r="R39">
        <v>287</v>
      </c>
      <c r="S39">
        <v>76</v>
      </c>
      <c r="T39">
        <v>393</v>
      </c>
      <c r="U39">
        <v>61.3</v>
      </c>
      <c r="V39">
        <v>102</v>
      </c>
      <c r="W39" t="s">
        <v>245</v>
      </c>
      <c r="X39">
        <v>34</v>
      </c>
      <c r="Y39">
        <v>101</v>
      </c>
      <c r="Z39" t="s">
        <v>65</v>
      </c>
      <c r="AB39" s="31" t="s">
        <v>265</v>
      </c>
      <c r="AC39" s="38" t="s">
        <v>181</v>
      </c>
      <c r="AD39" s="38" t="s">
        <v>245</v>
      </c>
      <c r="AE39" s="38" t="s">
        <v>65</v>
      </c>
    </row>
    <row r="40" spans="1:31" x14ac:dyDescent="0.15">
      <c r="B40">
        <v>380</v>
      </c>
      <c r="C40">
        <v>5380216</v>
      </c>
      <c r="D40" t="s">
        <v>182</v>
      </c>
      <c r="E40">
        <v>62</v>
      </c>
      <c r="F40">
        <v>65</v>
      </c>
      <c r="G40">
        <v>52</v>
      </c>
      <c r="H40">
        <v>69</v>
      </c>
      <c r="I40">
        <v>78</v>
      </c>
      <c r="J40">
        <v>44.8</v>
      </c>
      <c r="K40">
        <v>49.3</v>
      </c>
      <c r="L40">
        <v>49.5</v>
      </c>
      <c r="M40">
        <v>54.9</v>
      </c>
      <c r="N40">
        <v>60.5</v>
      </c>
      <c r="O40">
        <v>601</v>
      </c>
      <c r="P40">
        <v>462</v>
      </c>
      <c r="Q40">
        <v>454</v>
      </c>
      <c r="R40">
        <v>287</v>
      </c>
      <c r="S40">
        <v>132</v>
      </c>
      <c r="T40">
        <v>326</v>
      </c>
      <c r="U40">
        <v>52.6</v>
      </c>
      <c r="V40">
        <v>374</v>
      </c>
      <c r="W40" t="s">
        <v>247</v>
      </c>
      <c r="X40">
        <v>28</v>
      </c>
      <c r="Y40">
        <v>53</v>
      </c>
      <c r="Z40" t="s">
        <v>63</v>
      </c>
      <c r="AB40" s="31" t="s">
        <v>266</v>
      </c>
      <c r="AC40" s="38" t="s">
        <v>182</v>
      </c>
      <c r="AD40" s="38" t="s">
        <v>247</v>
      </c>
      <c r="AE40" s="38" t="s">
        <v>63</v>
      </c>
    </row>
    <row r="41" spans="1:31" x14ac:dyDescent="0.15">
      <c r="B41">
        <v>380</v>
      </c>
      <c r="C41">
        <v>5380217</v>
      </c>
      <c r="D41" t="s">
        <v>183</v>
      </c>
      <c r="E41">
        <v>76</v>
      </c>
      <c r="F41">
        <v>64</v>
      </c>
      <c r="G41">
        <v>43</v>
      </c>
      <c r="H41">
        <v>56</v>
      </c>
      <c r="I41">
        <v>75</v>
      </c>
      <c r="J41">
        <v>53.9</v>
      </c>
      <c r="K41">
        <v>48.7</v>
      </c>
      <c r="L41">
        <v>44.4</v>
      </c>
      <c r="M41">
        <v>47.9</v>
      </c>
      <c r="N41">
        <v>59</v>
      </c>
      <c r="O41">
        <v>323</v>
      </c>
      <c r="P41">
        <v>486</v>
      </c>
      <c r="Q41">
        <v>583</v>
      </c>
      <c r="R41">
        <v>491</v>
      </c>
      <c r="S41">
        <v>176</v>
      </c>
      <c r="T41">
        <v>314</v>
      </c>
      <c r="U41">
        <v>51</v>
      </c>
      <c r="V41">
        <v>414</v>
      </c>
      <c r="W41" t="s">
        <v>244</v>
      </c>
      <c r="X41">
        <v>6</v>
      </c>
      <c r="Y41">
        <v>7</v>
      </c>
      <c r="Z41" t="s">
        <v>65</v>
      </c>
      <c r="AB41" s="31" t="s">
        <v>267</v>
      </c>
      <c r="AC41" s="38" t="s">
        <v>183</v>
      </c>
      <c r="AD41" s="38" t="s">
        <v>244</v>
      </c>
      <c r="AE41" s="38" t="s">
        <v>65</v>
      </c>
    </row>
    <row r="42" spans="1:31" x14ac:dyDescent="0.15">
      <c r="B42">
        <v>380</v>
      </c>
      <c r="C42">
        <v>5380218</v>
      </c>
      <c r="D42" t="s">
        <v>184</v>
      </c>
      <c r="E42">
        <v>89</v>
      </c>
      <c r="F42">
        <v>58</v>
      </c>
      <c r="G42">
        <v>58</v>
      </c>
      <c r="H42">
        <v>70</v>
      </c>
      <c r="I42">
        <v>68</v>
      </c>
      <c r="J42">
        <v>62.3</v>
      </c>
      <c r="K42">
        <v>45.4</v>
      </c>
      <c r="L42">
        <v>52.8</v>
      </c>
      <c r="M42">
        <v>55.5</v>
      </c>
      <c r="N42">
        <v>55.5</v>
      </c>
      <c r="O42">
        <v>60</v>
      </c>
      <c r="P42">
        <v>560</v>
      </c>
      <c r="Q42">
        <v>334</v>
      </c>
      <c r="R42">
        <v>273</v>
      </c>
      <c r="S42">
        <v>268</v>
      </c>
      <c r="T42">
        <v>343</v>
      </c>
      <c r="U42">
        <v>54.8</v>
      </c>
      <c r="V42">
        <v>290</v>
      </c>
      <c r="W42" t="s">
        <v>247</v>
      </c>
      <c r="X42">
        <v>22</v>
      </c>
      <c r="Y42">
        <v>53</v>
      </c>
      <c r="Z42" t="s">
        <v>63</v>
      </c>
      <c r="AB42" s="31" t="s">
        <v>268</v>
      </c>
      <c r="AC42" s="38" t="s">
        <v>184</v>
      </c>
      <c r="AD42" s="38" t="s">
        <v>247</v>
      </c>
      <c r="AE42" s="38" t="s">
        <v>63</v>
      </c>
    </row>
    <row r="43" spans="1:31" x14ac:dyDescent="0.15">
      <c r="B43">
        <v>380</v>
      </c>
      <c r="C43">
        <v>5380219</v>
      </c>
      <c r="D43" t="s">
        <v>185</v>
      </c>
      <c r="E43">
        <v>88</v>
      </c>
      <c r="F43">
        <v>86</v>
      </c>
      <c r="G43">
        <v>42</v>
      </c>
      <c r="H43">
        <v>55</v>
      </c>
      <c r="I43">
        <v>80</v>
      </c>
      <c r="J43">
        <v>61.7</v>
      </c>
      <c r="K43">
        <v>61</v>
      </c>
      <c r="L43">
        <v>43.8</v>
      </c>
      <c r="M43">
        <v>47.3</v>
      </c>
      <c r="N43">
        <v>61.5</v>
      </c>
      <c r="O43">
        <v>70</v>
      </c>
      <c r="P43">
        <v>112</v>
      </c>
      <c r="Q43">
        <v>601</v>
      </c>
      <c r="R43">
        <v>501</v>
      </c>
      <c r="S43">
        <v>111</v>
      </c>
      <c r="T43">
        <v>351</v>
      </c>
      <c r="U43">
        <v>55.8</v>
      </c>
      <c r="V43">
        <v>251</v>
      </c>
      <c r="W43" t="s">
        <v>244</v>
      </c>
      <c r="X43">
        <v>3</v>
      </c>
      <c r="Y43">
        <v>7</v>
      </c>
      <c r="Z43" t="s">
        <v>64</v>
      </c>
      <c r="AB43" s="31" t="s">
        <v>269</v>
      </c>
      <c r="AC43" s="38" t="s">
        <v>185</v>
      </c>
      <c r="AD43" s="38" t="s">
        <v>244</v>
      </c>
      <c r="AE43" s="38" t="s">
        <v>64</v>
      </c>
    </row>
    <row r="44" spans="1:31" x14ac:dyDescent="0.15">
      <c r="B44">
        <v>380</v>
      </c>
      <c r="C44">
        <v>5380220</v>
      </c>
      <c r="D44" t="s">
        <v>186</v>
      </c>
      <c r="E44">
        <v>83</v>
      </c>
      <c r="F44">
        <v>96</v>
      </c>
      <c r="G44">
        <v>77</v>
      </c>
      <c r="H44">
        <v>91</v>
      </c>
      <c r="I44">
        <v>98</v>
      </c>
      <c r="J44">
        <v>58.4</v>
      </c>
      <c r="K44">
        <v>66.5</v>
      </c>
      <c r="L44">
        <v>63.6</v>
      </c>
      <c r="M44">
        <v>66.900000000000006</v>
      </c>
      <c r="N44">
        <v>70.5</v>
      </c>
      <c r="O44">
        <v>155</v>
      </c>
      <c r="P44">
        <v>8</v>
      </c>
      <c r="Q44">
        <v>61</v>
      </c>
      <c r="R44">
        <v>19</v>
      </c>
      <c r="S44">
        <v>1</v>
      </c>
      <c r="T44">
        <v>445</v>
      </c>
      <c r="U44">
        <v>68.099999999999994</v>
      </c>
      <c r="V44">
        <v>10</v>
      </c>
      <c r="W44" t="s">
        <v>245</v>
      </c>
      <c r="X44">
        <v>5</v>
      </c>
      <c r="Y44">
        <v>101</v>
      </c>
      <c r="Z44" t="s">
        <v>66</v>
      </c>
      <c r="AB44" s="31" t="s">
        <v>270</v>
      </c>
      <c r="AC44" s="38" t="s">
        <v>186</v>
      </c>
      <c r="AD44" s="38" t="s">
        <v>245</v>
      </c>
      <c r="AE44" s="38" t="s">
        <v>66</v>
      </c>
    </row>
    <row r="45" spans="1:31" x14ac:dyDescent="0.15">
      <c r="B45">
        <v>380</v>
      </c>
      <c r="C45">
        <v>5380221</v>
      </c>
      <c r="D45" t="s">
        <v>187</v>
      </c>
      <c r="E45">
        <v>84</v>
      </c>
      <c r="F45">
        <v>94</v>
      </c>
      <c r="G45">
        <v>52</v>
      </c>
      <c r="H45">
        <v>62</v>
      </c>
      <c r="I45">
        <v>69</v>
      </c>
      <c r="J45">
        <v>59.1</v>
      </c>
      <c r="K45">
        <v>65.400000000000006</v>
      </c>
      <c r="L45">
        <v>49.5</v>
      </c>
      <c r="M45">
        <v>51.1</v>
      </c>
      <c r="N45">
        <v>56</v>
      </c>
      <c r="O45">
        <v>140</v>
      </c>
      <c r="P45">
        <v>20</v>
      </c>
      <c r="Q45">
        <v>454</v>
      </c>
      <c r="R45">
        <v>400</v>
      </c>
      <c r="S45">
        <v>260</v>
      </c>
      <c r="T45">
        <v>361</v>
      </c>
      <c r="U45">
        <v>57.1</v>
      </c>
      <c r="V45">
        <v>212</v>
      </c>
      <c r="W45" t="s">
        <v>245</v>
      </c>
      <c r="X45">
        <v>63</v>
      </c>
      <c r="Y45">
        <v>101</v>
      </c>
      <c r="Z45" t="s">
        <v>63</v>
      </c>
      <c r="AB45" s="31" t="s">
        <v>271</v>
      </c>
      <c r="AC45" s="38" t="s">
        <v>187</v>
      </c>
      <c r="AD45" s="38" t="s">
        <v>245</v>
      </c>
      <c r="AE45" s="38" t="s">
        <v>63</v>
      </c>
    </row>
    <row r="46" spans="1:31" x14ac:dyDescent="0.15">
      <c r="AB46" s="31" t="s">
        <v>69</v>
      </c>
    </row>
    <row r="47" spans="1:31" x14ac:dyDescent="0.15">
      <c r="AB47" s="31" t="s">
        <v>69</v>
      </c>
    </row>
    <row r="48" spans="1:31" x14ac:dyDescent="0.15">
      <c r="AB48" s="31" t="s">
        <v>69</v>
      </c>
    </row>
  </sheetData>
  <mergeCells count="4">
    <mergeCell ref="B1:B2"/>
    <mergeCell ref="C1:C2"/>
    <mergeCell ref="D1:D2"/>
    <mergeCell ref="X1:Z1"/>
  </mergeCells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Y28"/>
  <sheetViews>
    <sheetView zoomScaleNormal="100" workbookViewId="0">
      <selection sqref="A1:Y28"/>
    </sheetView>
  </sheetViews>
  <sheetFormatPr defaultRowHeight="13.5" x14ac:dyDescent="0.15"/>
  <sheetData>
    <row r="1" spans="1:25" x14ac:dyDescent="0.15">
      <c r="A1">
        <v>380</v>
      </c>
      <c r="B1">
        <v>5380101</v>
      </c>
      <c r="C1" t="s">
        <v>188</v>
      </c>
      <c r="D1">
        <v>79</v>
      </c>
      <c r="E1">
        <v>57</v>
      </c>
      <c r="F1">
        <v>53</v>
      </c>
      <c r="G1">
        <v>71</v>
      </c>
      <c r="H1">
        <v>72</v>
      </c>
      <c r="I1">
        <v>55.8</v>
      </c>
      <c r="J1">
        <v>44.9</v>
      </c>
      <c r="K1">
        <v>50</v>
      </c>
      <c r="L1">
        <v>56</v>
      </c>
      <c r="M1">
        <v>57.5</v>
      </c>
      <c r="N1">
        <v>252</v>
      </c>
      <c r="O1">
        <v>572</v>
      </c>
      <c r="P1">
        <v>426</v>
      </c>
      <c r="Q1">
        <v>255</v>
      </c>
      <c r="R1">
        <v>215</v>
      </c>
      <c r="S1">
        <v>332</v>
      </c>
      <c r="T1">
        <v>53.3</v>
      </c>
      <c r="U1">
        <v>348</v>
      </c>
      <c r="V1" t="s">
        <v>213</v>
      </c>
      <c r="W1">
        <v>5</v>
      </c>
      <c r="X1">
        <v>7</v>
      </c>
      <c r="Y1" t="s">
        <v>65</v>
      </c>
    </row>
    <row r="2" spans="1:25" x14ac:dyDescent="0.15">
      <c r="A2">
        <v>380</v>
      </c>
      <c r="B2">
        <v>5380102</v>
      </c>
      <c r="C2" t="s">
        <v>189</v>
      </c>
      <c r="D2">
        <v>79</v>
      </c>
      <c r="E2">
        <v>71</v>
      </c>
      <c r="F2">
        <v>77</v>
      </c>
      <c r="G2">
        <v>72</v>
      </c>
      <c r="H2">
        <v>91</v>
      </c>
      <c r="I2">
        <v>55.8</v>
      </c>
      <c r="J2">
        <v>52.6</v>
      </c>
      <c r="K2">
        <v>63.6</v>
      </c>
      <c r="L2">
        <v>56.6</v>
      </c>
      <c r="M2">
        <v>67</v>
      </c>
      <c r="N2">
        <v>252</v>
      </c>
      <c r="O2">
        <v>350</v>
      </c>
      <c r="P2">
        <v>61</v>
      </c>
      <c r="Q2">
        <v>233</v>
      </c>
      <c r="R2">
        <v>18</v>
      </c>
      <c r="S2">
        <v>390</v>
      </c>
      <c r="T2">
        <v>60.9</v>
      </c>
      <c r="U2">
        <v>111</v>
      </c>
      <c r="V2" t="s">
        <v>214</v>
      </c>
      <c r="W2">
        <v>36</v>
      </c>
      <c r="X2">
        <v>101</v>
      </c>
      <c r="Y2" t="s">
        <v>65</v>
      </c>
    </row>
    <row r="3" spans="1:25" x14ac:dyDescent="0.15">
      <c r="A3">
        <v>380</v>
      </c>
      <c r="B3">
        <v>5380103</v>
      </c>
      <c r="C3" t="s">
        <v>190</v>
      </c>
      <c r="D3">
        <v>67</v>
      </c>
      <c r="E3">
        <v>91</v>
      </c>
      <c r="F3">
        <v>55</v>
      </c>
      <c r="G3">
        <v>72</v>
      </c>
      <c r="H3">
        <v>73</v>
      </c>
      <c r="I3">
        <v>48</v>
      </c>
      <c r="J3">
        <v>63.7</v>
      </c>
      <c r="K3">
        <v>51.2</v>
      </c>
      <c r="L3">
        <v>56.6</v>
      </c>
      <c r="M3">
        <v>58</v>
      </c>
      <c r="N3">
        <v>510</v>
      </c>
      <c r="O3">
        <v>50</v>
      </c>
      <c r="P3">
        <v>388</v>
      </c>
      <c r="Q3">
        <v>233</v>
      </c>
      <c r="R3">
        <v>208</v>
      </c>
      <c r="S3">
        <v>358</v>
      </c>
      <c r="T3">
        <v>56.7</v>
      </c>
      <c r="U3">
        <v>227</v>
      </c>
      <c r="V3" t="s">
        <v>215</v>
      </c>
      <c r="W3">
        <v>5</v>
      </c>
      <c r="X3">
        <v>13</v>
      </c>
      <c r="Y3" t="s">
        <v>63</v>
      </c>
    </row>
    <row r="6" spans="1:25" x14ac:dyDescent="0.15">
      <c r="A6">
        <v>380</v>
      </c>
      <c r="B6">
        <v>5380106</v>
      </c>
      <c r="C6" t="s">
        <v>191</v>
      </c>
      <c r="D6">
        <v>81</v>
      </c>
      <c r="E6">
        <v>85</v>
      </c>
      <c r="F6">
        <v>70</v>
      </c>
      <c r="G6">
        <v>84</v>
      </c>
      <c r="H6">
        <v>80</v>
      </c>
      <c r="I6">
        <v>57.1</v>
      </c>
      <c r="J6">
        <v>60.4</v>
      </c>
      <c r="K6">
        <v>59.6</v>
      </c>
      <c r="L6">
        <v>63.1</v>
      </c>
      <c r="M6">
        <v>61.5</v>
      </c>
      <c r="N6">
        <v>201</v>
      </c>
      <c r="O6">
        <v>128</v>
      </c>
      <c r="P6">
        <v>147</v>
      </c>
      <c r="Q6">
        <v>62</v>
      </c>
      <c r="R6">
        <v>111</v>
      </c>
      <c r="S6">
        <v>400</v>
      </c>
      <c r="T6">
        <v>62.2</v>
      </c>
      <c r="U6">
        <v>84</v>
      </c>
      <c r="V6" t="s">
        <v>214</v>
      </c>
      <c r="W6">
        <v>27</v>
      </c>
      <c r="X6">
        <v>101</v>
      </c>
      <c r="Y6" t="s">
        <v>65</v>
      </c>
    </row>
    <row r="7" spans="1:25" x14ac:dyDescent="0.15">
      <c r="A7">
        <v>380</v>
      </c>
      <c r="B7">
        <v>5380107</v>
      </c>
      <c r="C7" t="s">
        <v>192</v>
      </c>
      <c r="D7">
        <v>66</v>
      </c>
      <c r="E7">
        <v>63</v>
      </c>
      <c r="F7">
        <v>55</v>
      </c>
      <c r="G7">
        <v>72</v>
      </c>
      <c r="H7">
        <v>80</v>
      </c>
      <c r="I7">
        <v>47.4</v>
      </c>
      <c r="J7">
        <v>48.2</v>
      </c>
      <c r="K7">
        <v>51.2</v>
      </c>
      <c r="L7">
        <v>56.6</v>
      </c>
      <c r="M7">
        <v>61.5</v>
      </c>
      <c r="N7">
        <v>522</v>
      </c>
      <c r="O7">
        <v>496</v>
      </c>
      <c r="P7">
        <v>388</v>
      </c>
      <c r="Q7">
        <v>233</v>
      </c>
      <c r="R7">
        <v>111</v>
      </c>
      <c r="S7">
        <v>336</v>
      </c>
      <c r="T7">
        <v>53.9</v>
      </c>
      <c r="U7">
        <v>327</v>
      </c>
      <c r="V7" t="s">
        <v>216</v>
      </c>
      <c r="W7">
        <v>25</v>
      </c>
      <c r="X7">
        <v>53</v>
      </c>
      <c r="Y7" t="s">
        <v>63</v>
      </c>
    </row>
    <row r="8" spans="1:25" x14ac:dyDescent="0.15">
      <c r="A8">
        <v>380</v>
      </c>
      <c r="B8">
        <v>5380108</v>
      </c>
      <c r="C8" t="s">
        <v>193</v>
      </c>
      <c r="D8">
        <v>85</v>
      </c>
      <c r="E8">
        <v>90</v>
      </c>
      <c r="F8">
        <v>83</v>
      </c>
      <c r="G8">
        <v>89</v>
      </c>
      <c r="H8">
        <v>88</v>
      </c>
      <c r="I8">
        <v>59.7</v>
      </c>
      <c r="J8">
        <v>63.2</v>
      </c>
      <c r="K8">
        <v>67</v>
      </c>
      <c r="L8">
        <v>65.8</v>
      </c>
      <c r="M8">
        <v>65.5</v>
      </c>
      <c r="N8">
        <v>120</v>
      </c>
      <c r="O8">
        <v>60</v>
      </c>
      <c r="P8">
        <v>21</v>
      </c>
      <c r="Q8">
        <v>30</v>
      </c>
      <c r="R8">
        <v>27</v>
      </c>
      <c r="S8">
        <v>435</v>
      </c>
      <c r="T8">
        <v>66.8</v>
      </c>
      <c r="U8">
        <v>20</v>
      </c>
      <c r="V8" t="s">
        <v>217</v>
      </c>
      <c r="W8">
        <v>12</v>
      </c>
      <c r="X8">
        <v>101</v>
      </c>
      <c r="Y8" t="s">
        <v>64</v>
      </c>
    </row>
    <row r="9" spans="1:25" x14ac:dyDescent="0.15">
      <c r="A9">
        <v>380</v>
      </c>
      <c r="B9">
        <v>5380109</v>
      </c>
      <c r="C9" t="s">
        <v>194</v>
      </c>
      <c r="D9">
        <v>82</v>
      </c>
      <c r="E9">
        <v>67</v>
      </c>
      <c r="F9">
        <v>67</v>
      </c>
      <c r="G9">
        <v>47</v>
      </c>
      <c r="H9">
        <v>58</v>
      </c>
      <c r="I9">
        <v>57.8</v>
      </c>
      <c r="J9">
        <v>50.4</v>
      </c>
      <c r="K9">
        <v>57.9</v>
      </c>
      <c r="L9">
        <v>43</v>
      </c>
      <c r="M9">
        <v>50.5</v>
      </c>
      <c r="N9">
        <v>183</v>
      </c>
      <c r="O9">
        <v>427</v>
      </c>
      <c r="P9">
        <v>179</v>
      </c>
      <c r="Q9">
        <v>624</v>
      </c>
      <c r="R9">
        <v>411</v>
      </c>
      <c r="S9">
        <v>321</v>
      </c>
      <c r="T9">
        <v>51.9</v>
      </c>
      <c r="U9">
        <v>392</v>
      </c>
      <c r="V9" t="s">
        <v>213</v>
      </c>
      <c r="W9">
        <v>4</v>
      </c>
      <c r="X9">
        <v>7</v>
      </c>
      <c r="Y9" t="s">
        <v>65</v>
      </c>
    </row>
    <row r="10" spans="1:25" x14ac:dyDescent="0.15">
      <c r="A10">
        <v>380</v>
      </c>
      <c r="B10">
        <v>5380110</v>
      </c>
      <c r="C10" t="s">
        <v>195</v>
      </c>
      <c r="D10">
        <v>72</v>
      </c>
      <c r="E10">
        <v>70</v>
      </c>
      <c r="F10">
        <v>62</v>
      </c>
      <c r="G10">
        <v>73</v>
      </c>
      <c r="H10">
        <v>74</v>
      </c>
      <c r="I10">
        <v>51.3</v>
      </c>
      <c r="J10">
        <v>52.1</v>
      </c>
      <c r="K10">
        <v>55.1</v>
      </c>
      <c r="L10">
        <v>57.1</v>
      </c>
      <c r="M10">
        <v>58.5</v>
      </c>
      <c r="N10">
        <v>416</v>
      </c>
      <c r="O10">
        <v>377</v>
      </c>
      <c r="P10">
        <v>264</v>
      </c>
      <c r="Q10">
        <v>219</v>
      </c>
      <c r="R10">
        <v>187</v>
      </c>
      <c r="S10">
        <v>351</v>
      </c>
      <c r="T10">
        <v>55.8</v>
      </c>
      <c r="U10">
        <v>251</v>
      </c>
      <c r="V10" t="s">
        <v>218</v>
      </c>
      <c r="W10">
        <v>70</v>
      </c>
      <c r="X10">
        <v>101</v>
      </c>
      <c r="Y10" t="s">
        <v>63</v>
      </c>
    </row>
    <row r="12" spans="1:25" x14ac:dyDescent="0.15">
      <c r="A12">
        <v>380</v>
      </c>
      <c r="B12">
        <v>5380112</v>
      </c>
      <c r="C12" t="s">
        <v>196</v>
      </c>
      <c r="D12">
        <v>83</v>
      </c>
      <c r="E12">
        <v>70</v>
      </c>
      <c r="F12">
        <v>87</v>
      </c>
      <c r="G12">
        <v>76</v>
      </c>
      <c r="H12">
        <v>80</v>
      </c>
      <c r="I12">
        <v>58.4</v>
      </c>
      <c r="J12">
        <v>52.1</v>
      </c>
      <c r="K12">
        <v>69.2</v>
      </c>
      <c r="L12">
        <v>58.7</v>
      </c>
      <c r="M12">
        <v>61.5</v>
      </c>
      <c r="N12">
        <v>155</v>
      </c>
      <c r="O12">
        <v>377</v>
      </c>
      <c r="P12">
        <v>9</v>
      </c>
      <c r="Q12">
        <v>169</v>
      </c>
      <c r="R12">
        <v>111</v>
      </c>
      <c r="S12">
        <v>396</v>
      </c>
      <c r="T12">
        <v>61.7</v>
      </c>
      <c r="U12">
        <v>92</v>
      </c>
      <c r="V12" t="s">
        <v>214</v>
      </c>
      <c r="W12">
        <v>29</v>
      </c>
      <c r="X12">
        <v>101</v>
      </c>
      <c r="Y12" t="s">
        <v>65</v>
      </c>
    </row>
    <row r="13" spans="1:25" x14ac:dyDescent="0.15">
      <c r="A13">
        <v>380</v>
      </c>
      <c r="B13">
        <v>5380113</v>
      </c>
      <c r="C13" t="s">
        <v>197</v>
      </c>
      <c r="D13">
        <v>88</v>
      </c>
      <c r="E13">
        <v>98</v>
      </c>
      <c r="F13">
        <v>54</v>
      </c>
      <c r="G13">
        <v>89</v>
      </c>
      <c r="H13">
        <v>84</v>
      </c>
      <c r="I13">
        <v>61.7</v>
      </c>
      <c r="J13">
        <v>67.599999999999994</v>
      </c>
      <c r="K13">
        <v>50.6</v>
      </c>
      <c r="L13">
        <v>65.8</v>
      </c>
      <c r="M13">
        <v>63.5</v>
      </c>
      <c r="N13">
        <v>70</v>
      </c>
      <c r="O13">
        <v>4</v>
      </c>
      <c r="P13">
        <v>408</v>
      </c>
      <c r="Q13">
        <v>30</v>
      </c>
      <c r="R13">
        <v>61</v>
      </c>
      <c r="S13">
        <v>413</v>
      </c>
      <c r="T13">
        <v>63.9</v>
      </c>
      <c r="U13">
        <v>60</v>
      </c>
      <c r="V13" t="s">
        <v>214</v>
      </c>
      <c r="W13">
        <v>23</v>
      </c>
      <c r="X13">
        <v>101</v>
      </c>
      <c r="Y13" t="s">
        <v>64</v>
      </c>
    </row>
    <row r="14" spans="1:25" x14ac:dyDescent="0.15">
      <c r="A14">
        <v>380</v>
      </c>
      <c r="B14">
        <v>5380114</v>
      </c>
      <c r="C14" t="s">
        <v>198</v>
      </c>
      <c r="D14">
        <v>59</v>
      </c>
      <c r="E14">
        <v>51</v>
      </c>
      <c r="F14">
        <v>61</v>
      </c>
      <c r="G14">
        <v>80</v>
      </c>
      <c r="H14">
        <v>24</v>
      </c>
      <c r="I14">
        <v>42.8</v>
      </c>
      <c r="J14">
        <v>41.5</v>
      </c>
      <c r="K14">
        <v>54.5</v>
      </c>
      <c r="L14">
        <v>60.9</v>
      </c>
      <c r="M14">
        <v>33.5</v>
      </c>
      <c r="N14">
        <v>656</v>
      </c>
      <c r="O14">
        <v>643</v>
      </c>
      <c r="P14">
        <v>278</v>
      </c>
      <c r="Q14">
        <v>113</v>
      </c>
      <c r="R14">
        <v>773</v>
      </c>
      <c r="S14">
        <v>275</v>
      </c>
      <c r="T14">
        <v>45.9</v>
      </c>
      <c r="U14">
        <v>558</v>
      </c>
      <c r="V14" t="s">
        <v>219</v>
      </c>
      <c r="W14">
        <v>3</v>
      </c>
      <c r="X14">
        <v>6</v>
      </c>
      <c r="Y14" t="s">
        <v>65</v>
      </c>
    </row>
    <row r="15" spans="1:25" x14ac:dyDescent="0.15">
      <c r="A15">
        <v>380</v>
      </c>
      <c r="B15">
        <v>5380115</v>
      </c>
      <c r="C15" t="s">
        <v>199</v>
      </c>
      <c r="D15">
        <v>48</v>
      </c>
      <c r="E15">
        <v>24</v>
      </c>
      <c r="F15">
        <v>18</v>
      </c>
      <c r="G15">
        <v>19</v>
      </c>
      <c r="H15">
        <v>0</v>
      </c>
      <c r="I15">
        <v>35.700000000000003</v>
      </c>
      <c r="J15">
        <v>26.5</v>
      </c>
      <c r="K15">
        <v>30.2</v>
      </c>
      <c r="L15">
        <v>27.8</v>
      </c>
      <c r="M15">
        <v>21.5</v>
      </c>
      <c r="N15">
        <v>757</v>
      </c>
      <c r="O15">
        <v>816</v>
      </c>
      <c r="P15">
        <v>800</v>
      </c>
      <c r="Q15">
        <v>821</v>
      </c>
      <c r="R15">
        <v>831</v>
      </c>
      <c r="S15">
        <v>109</v>
      </c>
      <c r="T15">
        <v>24.2</v>
      </c>
      <c r="U15">
        <v>819</v>
      </c>
      <c r="V15" t="s">
        <v>220</v>
      </c>
      <c r="W15">
        <v>43</v>
      </c>
      <c r="X15">
        <v>43</v>
      </c>
      <c r="Y15" t="s">
        <v>63</v>
      </c>
    </row>
    <row r="16" spans="1:25" x14ac:dyDescent="0.15">
      <c r="A16">
        <v>380</v>
      </c>
      <c r="B16">
        <v>5380116</v>
      </c>
      <c r="C16" t="s">
        <v>200</v>
      </c>
      <c r="D16">
        <v>97</v>
      </c>
      <c r="E16">
        <v>93</v>
      </c>
      <c r="F16">
        <v>74</v>
      </c>
      <c r="G16">
        <v>89</v>
      </c>
      <c r="H16">
        <v>89</v>
      </c>
      <c r="I16">
        <v>67.5</v>
      </c>
      <c r="J16">
        <v>64.8</v>
      </c>
      <c r="K16">
        <v>61.9</v>
      </c>
      <c r="L16">
        <v>65.8</v>
      </c>
      <c r="M16">
        <v>66</v>
      </c>
      <c r="N16">
        <v>4</v>
      </c>
      <c r="O16">
        <v>28</v>
      </c>
      <c r="P16">
        <v>100</v>
      </c>
      <c r="Q16">
        <v>30</v>
      </c>
      <c r="R16">
        <v>24</v>
      </c>
      <c r="S16">
        <v>442</v>
      </c>
      <c r="T16">
        <v>67.7</v>
      </c>
      <c r="U16">
        <v>12</v>
      </c>
      <c r="V16" t="s">
        <v>214</v>
      </c>
      <c r="W16">
        <v>7</v>
      </c>
      <c r="X16">
        <v>101</v>
      </c>
      <c r="Y16" t="s">
        <v>66</v>
      </c>
    </row>
    <row r="17" spans="1:25" x14ac:dyDescent="0.15">
      <c r="A17">
        <v>380</v>
      </c>
      <c r="B17">
        <v>5380117</v>
      </c>
      <c r="C17" t="s">
        <v>201</v>
      </c>
      <c r="D17">
        <v>91</v>
      </c>
      <c r="E17">
        <v>92</v>
      </c>
      <c r="F17">
        <v>80</v>
      </c>
      <c r="G17">
        <v>82</v>
      </c>
      <c r="H17">
        <v>93</v>
      </c>
      <c r="I17">
        <v>63.6</v>
      </c>
      <c r="J17">
        <v>64.3</v>
      </c>
      <c r="K17">
        <v>65.3</v>
      </c>
      <c r="L17">
        <v>62</v>
      </c>
      <c r="M17">
        <v>68</v>
      </c>
      <c r="N17">
        <v>38</v>
      </c>
      <c r="O17">
        <v>36</v>
      </c>
      <c r="P17">
        <v>41</v>
      </c>
      <c r="Q17">
        <v>88</v>
      </c>
      <c r="R17">
        <v>9</v>
      </c>
      <c r="S17">
        <v>438</v>
      </c>
      <c r="T17">
        <v>67.2</v>
      </c>
      <c r="U17">
        <v>17</v>
      </c>
      <c r="V17" t="s">
        <v>214</v>
      </c>
      <c r="W17">
        <v>10</v>
      </c>
      <c r="X17">
        <v>101</v>
      </c>
      <c r="Y17" t="s">
        <v>66</v>
      </c>
    </row>
    <row r="18" spans="1:25" x14ac:dyDescent="0.15">
      <c r="A18">
        <v>380</v>
      </c>
      <c r="B18">
        <v>5380118</v>
      </c>
      <c r="C18" t="s">
        <v>202</v>
      </c>
      <c r="D18">
        <v>46</v>
      </c>
      <c r="E18">
        <v>63</v>
      </c>
      <c r="F18">
        <v>37</v>
      </c>
      <c r="G18">
        <v>60</v>
      </c>
      <c r="H18">
        <v>50</v>
      </c>
      <c r="I18">
        <v>34.4</v>
      </c>
      <c r="J18">
        <v>48.2</v>
      </c>
      <c r="K18">
        <v>41</v>
      </c>
      <c r="L18">
        <v>50</v>
      </c>
      <c r="M18">
        <v>46.5</v>
      </c>
      <c r="N18">
        <v>767</v>
      </c>
      <c r="O18">
        <v>496</v>
      </c>
      <c r="P18">
        <v>670</v>
      </c>
      <c r="Q18">
        <v>435</v>
      </c>
      <c r="R18">
        <v>516</v>
      </c>
      <c r="S18">
        <v>256</v>
      </c>
      <c r="T18">
        <v>43.4</v>
      </c>
      <c r="U18">
        <v>618</v>
      </c>
      <c r="V18" t="s">
        <v>214</v>
      </c>
      <c r="W18">
        <v>97</v>
      </c>
      <c r="X18">
        <v>101</v>
      </c>
      <c r="Y18" t="s">
        <v>63</v>
      </c>
    </row>
    <row r="19" spans="1:25" x14ac:dyDescent="0.15">
      <c r="A19">
        <v>380</v>
      </c>
      <c r="B19">
        <v>5380119</v>
      </c>
      <c r="C19" t="s">
        <v>203</v>
      </c>
      <c r="D19">
        <v>64</v>
      </c>
      <c r="E19">
        <v>40</v>
      </c>
      <c r="F19">
        <v>12</v>
      </c>
      <c r="G19">
        <v>33</v>
      </c>
      <c r="H19">
        <v>38</v>
      </c>
      <c r="I19">
        <v>46.1</v>
      </c>
      <c r="J19">
        <v>35.4</v>
      </c>
      <c r="K19">
        <v>26.9</v>
      </c>
      <c r="L19">
        <v>35.4</v>
      </c>
      <c r="M19">
        <v>40.5</v>
      </c>
      <c r="N19">
        <v>553</v>
      </c>
      <c r="O19">
        <v>758</v>
      </c>
      <c r="P19">
        <v>822</v>
      </c>
      <c r="Q19">
        <v>750</v>
      </c>
      <c r="R19">
        <v>652</v>
      </c>
      <c r="S19">
        <v>187</v>
      </c>
      <c r="T19">
        <v>34.4</v>
      </c>
      <c r="U19">
        <v>767</v>
      </c>
      <c r="V19" t="s">
        <v>220</v>
      </c>
      <c r="W19">
        <v>41</v>
      </c>
      <c r="X19">
        <v>43</v>
      </c>
      <c r="Y19" t="s">
        <v>63</v>
      </c>
    </row>
    <row r="20" spans="1:25" x14ac:dyDescent="0.15">
      <c r="A20">
        <v>380</v>
      </c>
      <c r="B20">
        <v>5380120</v>
      </c>
      <c r="C20" t="s">
        <v>204</v>
      </c>
      <c r="D20">
        <v>53</v>
      </c>
      <c r="E20">
        <v>40</v>
      </c>
      <c r="F20">
        <v>21</v>
      </c>
      <c r="G20">
        <v>42</v>
      </c>
      <c r="H20">
        <v>22</v>
      </c>
      <c r="I20">
        <v>38.9</v>
      </c>
      <c r="J20">
        <v>35.4</v>
      </c>
      <c r="K20">
        <v>31.9</v>
      </c>
      <c r="L20">
        <v>40.299999999999997</v>
      </c>
      <c r="M20">
        <v>32.5</v>
      </c>
      <c r="N20">
        <v>721</v>
      </c>
      <c r="O20">
        <v>758</v>
      </c>
      <c r="P20">
        <v>784</v>
      </c>
      <c r="Q20">
        <v>681</v>
      </c>
      <c r="R20">
        <v>782</v>
      </c>
      <c r="S20">
        <v>178</v>
      </c>
      <c r="T20">
        <v>33.200000000000003</v>
      </c>
      <c r="U20">
        <v>778</v>
      </c>
      <c r="V20" t="s">
        <v>221</v>
      </c>
      <c r="W20">
        <v>53</v>
      </c>
      <c r="X20">
        <v>53</v>
      </c>
      <c r="Y20" t="s">
        <v>63</v>
      </c>
    </row>
    <row r="21" spans="1:25" x14ac:dyDescent="0.15">
      <c r="A21">
        <v>380</v>
      </c>
      <c r="B21">
        <v>5380121</v>
      </c>
      <c r="C21" t="s">
        <v>205</v>
      </c>
      <c r="D21">
        <v>74</v>
      </c>
      <c r="E21">
        <v>75</v>
      </c>
      <c r="F21">
        <v>75</v>
      </c>
      <c r="G21">
        <v>71</v>
      </c>
      <c r="H21">
        <v>72</v>
      </c>
      <c r="I21">
        <v>52.6</v>
      </c>
      <c r="J21">
        <v>54.9</v>
      </c>
      <c r="K21">
        <v>62.5</v>
      </c>
      <c r="L21">
        <v>56</v>
      </c>
      <c r="M21">
        <v>57.5</v>
      </c>
      <c r="N21">
        <v>371</v>
      </c>
      <c r="O21">
        <v>292</v>
      </c>
      <c r="P21">
        <v>84</v>
      </c>
      <c r="Q21">
        <v>255</v>
      </c>
      <c r="R21">
        <v>215</v>
      </c>
      <c r="S21">
        <v>367</v>
      </c>
      <c r="T21">
        <v>57.9</v>
      </c>
      <c r="U21">
        <v>186</v>
      </c>
      <c r="V21" t="s">
        <v>222</v>
      </c>
      <c r="W21">
        <v>3</v>
      </c>
      <c r="X21">
        <v>13</v>
      </c>
      <c r="Y21" t="s">
        <v>63</v>
      </c>
    </row>
    <row r="22" spans="1:25" x14ac:dyDescent="0.15">
      <c r="A22">
        <v>380</v>
      </c>
      <c r="B22">
        <v>5380122</v>
      </c>
      <c r="C22" t="s">
        <v>206</v>
      </c>
      <c r="D22">
        <v>65</v>
      </c>
      <c r="E22">
        <v>36</v>
      </c>
      <c r="F22">
        <v>37</v>
      </c>
      <c r="G22">
        <v>52</v>
      </c>
      <c r="H22">
        <v>20</v>
      </c>
      <c r="I22">
        <v>46.7</v>
      </c>
      <c r="J22">
        <v>33.200000000000003</v>
      </c>
      <c r="K22">
        <v>41</v>
      </c>
      <c r="L22">
        <v>45.7</v>
      </c>
      <c r="M22">
        <v>31.5</v>
      </c>
      <c r="N22">
        <v>537</v>
      </c>
      <c r="O22">
        <v>780</v>
      </c>
      <c r="P22">
        <v>670</v>
      </c>
      <c r="Q22">
        <v>548</v>
      </c>
      <c r="R22">
        <v>798</v>
      </c>
      <c r="S22">
        <v>210</v>
      </c>
      <c r="T22">
        <v>37.4</v>
      </c>
      <c r="U22">
        <v>730</v>
      </c>
      <c r="V22" t="s">
        <v>223</v>
      </c>
      <c r="W22">
        <v>99</v>
      </c>
      <c r="X22">
        <v>101</v>
      </c>
      <c r="Y22" t="s">
        <v>63</v>
      </c>
    </row>
    <row r="23" spans="1:25" x14ac:dyDescent="0.15">
      <c r="A23">
        <v>380</v>
      </c>
      <c r="B23">
        <v>5380201</v>
      </c>
      <c r="C23" t="s">
        <v>207</v>
      </c>
      <c r="D23">
        <v>84</v>
      </c>
      <c r="E23">
        <v>71</v>
      </c>
      <c r="F23">
        <v>63</v>
      </c>
      <c r="G23">
        <v>58</v>
      </c>
      <c r="H23">
        <v>74</v>
      </c>
      <c r="I23">
        <v>59.1</v>
      </c>
      <c r="J23">
        <v>52.6</v>
      </c>
      <c r="K23">
        <v>55.7</v>
      </c>
      <c r="L23">
        <v>49</v>
      </c>
      <c r="M23">
        <v>58.5</v>
      </c>
      <c r="N23">
        <v>140</v>
      </c>
      <c r="O23">
        <v>350</v>
      </c>
      <c r="P23">
        <v>243</v>
      </c>
      <c r="Q23">
        <v>457</v>
      </c>
      <c r="R23">
        <v>187</v>
      </c>
      <c r="S23">
        <v>350</v>
      </c>
      <c r="T23">
        <v>55.7</v>
      </c>
      <c r="U23">
        <v>257</v>
      </c>
      <c r="V23" t="s">
        <v>213</v>
      </c>
      <c r="W23">
        <v>2</v>
      </c>
      <c r="X23">
        <v>7</v>
      </c>
      <c r="Y23" t="s">
        <v>64</v>
      </c>
    </row>
    <row r="24" spans="1:25" x14ac:dyDescent="0.15">
      <c r="A24">
        <v>380</v>
      </c>
      <c r="B24">
        <v>5380203</v>
      </c>
      <c r="C24" t="s">
        <v>208</v>
      </c>
      <c r="D24">
        <v>97</v>
      </c>
      <c r="E24">
        <v>92</v>
      </c>
      <c r="F24">
        <v>85</v>
      </c>
      <c r="G24">
        <v>88</v>
      </c>
      <c r="H24">
        <v>94</v>
      </c>
      <c r="I24">
        <v>67.5</v>
      </c>
      <c r="J24">
        <v>64.3</v>
      </c>
      <c r="K24">
        <v>68.099999999999994</v>
      </c>
      <c r="L24">
        <v>65.3</v>
      </c>
      <c r="M24">
        <v>68.5</v>
      </c>
      <c r="N24">
        <v>4</v>
      </c>
      <c r="O24">
        <v>36</v>
      </c>
      <c r="P24">
        <v>14</v>
      </c>
      <c r="Q24">
        <v>37</v>
      </c>
      <c r="R24">
        <v>2</v>
      </c>
      <c r="S24">
        <v>456</v>
      </c>
      <c r="T24">
        <v>69.5</v>
      </c>
      <c r="U24">
        <v>3</v>
      </c>
      <c r="V24" t="s">
        <v>224</v>
      </c>
      <c r="W24">
        <v>3</v>
      </c>
      <c r="X24">
        <v>101</v>
      </c>
      <c r="Y24" t="s">
        <v>66</v>
      </c>
    </row>
    <row r="25" spans="1:25" x14ac:dyDescent="0.15">
      <c r="A25">
        <v>380</v>
      </c>
      <c r="B25">
        <v>5380204</v>
      </c>
      <c r="C25" t="s">
        <v>209</v>
      </c>
      <c r="D25">
        <v>92</v>
      </c>
      <c r="E25">
        <v>90</v>
      </c>
      <c r="F25">
        <v>84</v>
      </c>
      <c r="G25">
        <v>96</v>
      </c>
      <c r="H25">
        <v>90</v>
      </c>
      <c r="I25">
        <v>64.3</v>
      </c>
      <c r="J25">
        <v>63.2</v>
      </c>
      <c r="K25">
        <v>67.5</v>
      </c>
      <c r="L25">
        <v>69.599999999999994</v>
      </c>
      <c r="M25">
        <v>66.5</v>
      </c>
      <c r="N25">
        <v>33</v>
      </c>
      <c r="O25">
        <v>60</v>
      </c>
      <c r="P25">
        <v>16</v>
      </c>
      <c r="Q25">
        <v>2</v>
      </c>
      <c r="R25">
        <v>22</v>
      </c>
      <c r="S25">
        <v>452</v>
      </c>
      <c r="T25">
        <v>69</v>
      </c>
      <c r="U25">
        <v>6</v>
      </c>
      <c r="V25" t="s">
        <v>224</v>
      </c>
      <c r="W25">
        <v>4</v>
      </c>
      <c r="X25">
        <v>101</v>
      </c>
      <c r="Y25" t="s">
        <v>66</v>
      </c>
    </row>
    <row r="26" spans="1:25" x14ac:dyDescent="0.15">
      <c r="A26">
        <v>380</v>
      </c>
      <c r="B26">
        <v>5380205</v>
      </c>
      <c r="C26" t="s">
        <v>210</v>
      </c>
      <c r="D26">
        <v>97</v>
      </c>
      <c r="E26">
        <v>100</v>
      </c>
      <c r="F26">
        <v>81</v>
      </c>
      <c r="G26">
        <v>89</v>
      </c>
      <c r="H26">
        <v>94</v>
      </c>
      <c r="I26">
        <v>67.5</v>
      </c>
      <c r="J26">
        <v>68.7</v>
      </c>
      <c r="K26">
        <v>65.8</v>
      </c>
      <c r="L26">
        <v>65.8</v>
      </c>
      <c r="M26">
        <v>68.5</v>
      </c>
      <c r="N26">
        <v>4</v>
      </c>
      <c r="O26">
        <v>1</v>
      </c>
      <c r="P26">
        <v>30</v>
      </c>
      <c r="Q26">
        <v>30</v>
      </c>
      <c r="R26">
        <v>2</v>
      </c>
      <c r="S26">
        <v>461</v>
      </c>
      <c r="T26">
        <v>70.2</v>
      </c>
      <c r="U26">
        <v>2</v>
      </c>
      <c r="V26" t="s">
        <v>217</v>
      </c>
      <c r="W26">
        <v>2</v>
      </c>
      <c r="X26">
        <v>101</v>
      </c>
      <c r="Y26" t="s">
        <v>66</v>
      </c>
    </row>
    <row r="27" spans="1:25" x14ac:dyDescent="0.15">
      <c r="A27">
        <v>380</v>
      </c>
      <c r="B27">
        <v>5380206</v>
      </c>
      <c r="C27" t="s">
        <v>211</v>
      </c>
      <c r="D27">
        <v>88</v>
      </c>
      <c r="E27">
        <v>86</v>
      </c>
      <c r="F27">
        <v>84</v>
      </c>
      <c r="G27">
        <v>92</v>
      </c>
      <c r="H27">
        <v>92</v>
      </c>
      <c r="I27">
        <v>61.7</v>
      </c>
      <c r="J27">
        <v>61</v>
      </c>
      <c r="K27">
        <v>67.5</v>
      </c>
      <c r="L27">
        <v>67.400000000000006</v>
      </c>
      <c r="M27">
        <v>67.5</v>
      </c>
      <c r="N27">
        <v>70</v>
      </c>
      <c r="O27">
        <v>112</v>
      </c>
      <c r="P27">
        <v>16</v>
      </c>
      <c r="Q27">
        <v>11</v>
      </c>
      <c r="R27">
        <v>11</v>
      </c>
      <c r="S27">
        <v>442</v>
      </c>
      <c r="T27">
        <v>67.7</v>
      </c>
      <c r="U27">
        <v>12</v>
      </c>
      <c r="V27" t="s">
        <v>214</v>
      </c>
      <c r="W27">
        <v>7</v>
      </c>
      <c r="X27">
        <v>101</v>
      </c>
      <c r="Y27" t="s">
        <v>66</v>
      </c>
    </row>
    <row r="28" spans="1:25" x14ac:dyDescent="0.15">
      <c r="A28">
        <v>380</v>
      </c>
      <c r="B28">
        <v>5380207</v>
      </c>
      <c r="C28" t="s">
        <v>212</v>
      </c>
      <c r="D28">
        <v>75</v>
      </c>
      <c r="E28">
        <v>100</v>
      </c>
      <c r="F28">
        <v>83</v>
      </c>
      <c r="G28">
        <v>92</v>
      </c>
      <c r="H28">
        <v>94</v>
      </c>
      <c r="I28">
        <v>53.2</v>
      </c>
      <c r="J28">
        <v>68.7</v>
      </c>
      <c r="K28">
        <v>67</v>
      </c>
      <c r="L28">
        <v>67.400000000000006</v>
      </c>
      <c r="M28">
        <v>68.5</v>
      </c>
      <c r="N28">
        <v>344</v>
      </c>
      <c r="O28">
        <v>1</v>
      </c>
      <c r="P28">
        <v>21</v>
      </c>
      <c r="Q28">
        <v>11</v>
      </c>
      <c r="R28">
        <v>2</v>
      </c>
      <c r="S28">
        <v>444</v>
      </c>
      <c r="T28">
        <v>67.900000000000006</v>
      </c>
      <c r="U28">
        <v>11</v>
      </c>
      <c r="V28" t="s">
        <v>224</v>
      </c>
      <c r="W28">
        <v>6</v>
      </c>
      <c r="X28">
        <v>101</v>
      </c>
      <c r="Y28" t="s">
        <v>66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Y14"/>
  <sheetViews>
    <sheetView workbookViewId="0">
      <selection activeCell="Y1" sqref="A1:Y14"/>
    </sheetView>
  </sheetViews>
  <sheetFormatPr defaultRowHeight="13.5" x14ac:dyDescent="0.15"/>
  <sheetData>
    <row r="1" spans="1:25" x14ac:dyDescent="0.15">
      <c r="A1">
        <v>380</v>
      </c>
      <c r="B1">
        <v>5380208</v>
      </c>
      <c r="C1" t="s">
        <v>225</v>
      </c>
      <c r="D1">
        <v>55</v>
      </c>
      <c r="E1">
        <v>83</v>
      </c>
      <c r="F1">
        <v>43</v>
      </c>
      <c r="G1">
        <v>54</v>
      </c>
      <c r="H1">
        <v>44</v>
      </c>
      <c r="I1">
        <v>40.200000000000003</v>
      </c>
      <c r="J1">
        <v>59.3</v>
      </c>
      <c r="K1">
        <v>44.4</v>
      </c>
      <c r="L1">
        <v>46.8</v>
      </c>
      <c r="M1">
        <v>43.5</v>
      </c>
      <c r="N1">
        <v>703</v>
      </c>
      <c r="O1">
        <v>159</v>
      </c>
      <c r="P1">
        <v>583</v>
      </c>
      <c r="Q1">
        <v>514</v>
      </c>
      <c r="R1">
        <v>590</v>
      </c>
      <c r="S1">
        <v>279</v>
      </c>
      <c r="T1">
        <v>46.4</v>
      </c>
      <c r="U1">
        <v>545</v>
      </c>
      <c r="V1" t="s">
        <v>239</v>
      </c>
      <c r="W1">
        <v>43</v>
      </c>
      <c r="X1">
        <v>53</v>
      </c>
      <c r="Y1" t="s">
        <v>63</v>
      </c>
    </row>
    <row r="2" spans="1:25" x14ac:dyDescent="0.15">
      <c r="A2">
        <v>380</v>
      </c>
      <c r="B2">
        <v>5380209</v>
      </c>
      <c r="C2" t="s">
        <v>226</v>
      </c>
      <c r="D2">
        <v>72</v>
      </c>
      <c r="E2">
        <v>85</v>
      </c>
      <c r="F2">
        <v>41</v>
      </c>
      <c r="G2">
        <v>74</v>
      </c>
      <c r="H2">
        <v>76</v>
      </c>
      <c r="I2">
        <v>51.3</v>
      </c>
      <c r="J2">
        <v>60.4</v>
      </c>
      <c r="K2">
        <v>43.2</v>
      </c>
      <c r="L2">
        <v>57.7</v>
      </c>
      <c r="M2">
        <v>59.5</v>
      </c>
      <c r="N2">
        <v>416</v>
      </c>
      <c r="O2">
        <v>128</v>
      </c>
      <c r="P2">
        <v>620</v>
      </c>
      <c r="Q2">
        <v>203</v>
      </c>
      <c r="R2">
        <v>159</v>
      </c>
      <c r="S2">
        <v>348</v>
      </c>
      <c r="T2">
        <v>55.4</v>
      </c>
      <c r="U2">
        <v>267</v>
      </c>
      <c r="V2" t="s">
        <v>240</v>
      </c>
      <c r="W2">
        <v>7</v>
      </c>
      <c r="X2">
        <v>7</v>
      </c>
      <c r="Y2" t="s">
        <v>63</v>
      </c>
    </row>
    <row r="3" spans="1:25" x14ac:dyDescent="0.15">
      <c r="A3">
        <v>380</v>
      </c>
      <c r="B3">
        <v>5380210</v>
      </c>
      <c r="C3" t="s">
        <v>227</v>
      </c>
      <c r="D3">
        <v>89</v>
      </c>
      <c r="E3">
        <v>89</v>
      </c>
      <c r="F3">
        <v>85</v>
      </c>
      <c r="G3">
        <v>84</v>
      </c>
      <c r="H3">
        <v>66</v>
      </c>
      <c r="I3">
        <v>62.3</v>
      </c>
      <c r="J3">
        <v>62.6</v>
      </c>
      <c r="K3">
        <v>68.099999999999994</v>
      </c>
      <c r="L3">
        <v>63.1</v>
      </c>
      <c r="M3">
        <v>54.5</v>
      </c>
      <c r="N3">
        <v>60</v>
      </c>
      <c r="O3">
        <v>71</v>
      </c>
      <c r="P3">
        <v>14</v>
      </c>
      <c r="Q3">
        <v>62</v>
      </c>
      <c r="R3">
        <v>293</v>
      </c>
      <c r="S3">
        <v>413</v>
      </c>
      <c r="T3">
        <v>63.9</v>
      </c>
      <c r="U3">
        <v>60</v>
      </c>
      <c r="V3" t="s">
        <v>241</v>
      </c>
      <c r="W3">
        <v>1</v>
      </c>
      <c r="X3">
        <v>2</v>
      </c>
      <c r="Y3" t="s">
        <v>66</v>
      </c>
    </row>
    <row r="4" spans="1:25" x14ac:dyDescent="0.15">
      <c r="A4">
        <v>380</v>
      </c>
      <c r="B4">
        <v>5380211</v>
      </c>
      <c r="C4" t="s">
        <v>228</v>
      </c>
      <c r="D4">
        <v>91</v>
      </c>
      <c r="E4">
        <v>91</v>
      </c>
      <c r="F4">
        <v>99</v>
      </c>
      <c r="G4">
        <v>96</v>
      </c>
      <c r="H4">
        <v>94</v>
      </c>
      <c r="I4">
        <v>63.6</v>
      </c>
      <c r="J4">
        <v>63.7</v>
      </c>
      <c r="K4">
        <v>76</v>
      </c>
      <c r="L4">
        <v>69.599999999999994</v>
      </c>
      <c r="M4">
        <v>68.5</v>
      </c>
      <c r="N4">
        <v>38</v>
      </c>
      <c r="O4">
        <v>50</v>
      </c>
      <c r="P4">
        <v>2</v>
      </c>
      <c r="Q4">
        <v>2</v>
      </c>
      <c r="R4">
        <v>2</v>
      </c>
      <c r="S4">
        <v>471</v>
      </c>
      <c r="T4">
        <v>71.5</v>
      </c>
      <c r="U4">
        <v>1</v>
      </c>
      <c r="V4" t="s">
        <v>224</v>
      </c>
      <c r="W4">
        <v>1</v>
      </c>
      <c r="X4">
        <v>101</v>
      </c>
      <c r="Y4" t="s">
        <v>66</v>
      </c>
    </row>
    <row r="5" spans="1:25" x14ac:dyDescent="0.15">
      <c r="A5">
        <v>380</v>
      </c>
      <c r="B5">
        <v>5380212</v>
      </c>
      <c r="C5" t="s">
        <v>229</v>
      </c>
      <c r="D5">
        <v>62</v>
      </c>
      <c r="E5">
        <v>56</v>
      </c>
      <c r="F5">
        <v>50</v>
      </c>
      <c r="G5">
        <v>30</v>
      </c>
      <c r="H5">
        <v>29</v>
      </c>
      <c r="I5">
        <v>44.8</v>
      </c>
      <c r="J5">
        <v>44.3</v>
      </c>
      <c r="K5">
        <v>48.3</v>
      </c>
      <c r="L5">
        <v>33.700000000000003</v>
      </c>
      <c r="M5">
        <v>36</v>
      </c>
      <c r="N5">
        <v>601</v>
      </c>
      <c r="O5">
        <v>590</v>
      </c>
      <c r="P5">
        <v>479</v>
      </c>
      <c r="Q5">
        <v>774</v>
      </c>
      <c r="R5">
        <v>747</v>
      </c>
      <c r="S5">
        <v>227</v>
      </c>
      <c r="T5">
        <v>39.6</v>
      </c>
      <c r="U5">
        <v>692</v>
      </c>
      <c r="V5" t="s">
        <v>216</v>
      </c>
      <c r="W5">
        <v>51</v>
      </c>
      <c r="X5">
        <v>53</v>
      </c>
      <c r="Y5" t="s">
        <v>63</v>
      </c>
    </row>
    <row r="6" spans="1:25" x14ac:dyDescent="0.15">
      <c r="A6">
        <v>380</v>
      </c>
      <c r="B6">
        <v>5380213</v>
      </c>
      <c r="C6" t="s">
        <v>230</v>
      </c>
      <c r="D6">
        <v>55</v>
      </c>
      <c r="E6">
        <v>46</v>
      </c>
      <c r="F6">
        <v>48</v>
      </c>
      <c r="G6">
        <v>22</v>
      </c>
      <c r="H6">
        <v>20</v>
      </c>
      <c r="I6">
        <v>40.200000000000003</v>
      </c>
      <c r="J6">
        <v>38.700000000000003</v>
      </c>
      <c r="K6">
        <v>47.2</v>
      </c>
      <c r="L6">
        <v>29.4</v>
      </c>
      <c r="M6">
        <v>31.5</v>
      </c>
      <c r="N6">
        <v>703</v>
      </c>
      <c r="O6">
        <v>712</v>
      </c>
      <c r="P6">
        <v>513</v>
      </c>
      <c r="Q6">
        <v>811</v>
      </c>
      <c r="R6">
        <v>798</v>
      </c>
      <c r="S6">
        <v>191</v>
      </c>
      <c r="T6">
        <v>34.9</v>
      </c>
      <c r="U6">
        <v>764</v>
      </c>
      <c r="V6" t="s">
        <v>242</v>
      </c>
      <c r="W6">
        <v>1</v>
      </c>
      <c r="X6">
        <v>1</v>
      </c>
      <c r="Y6" t="s">
        <v>63</v>
      </c>
    </row>
    <row r="7" spans="1:25" x14ac:dyDescent="0.15">
      <c r="A7">
        <v>380</v>
      </c>
      <c r="B7">
        <v>5380214</v>
      </c>
      <c r="C7" t="s">
        <v>231</v>
      </c>
      <c r="D7">
        <v>76</v>
      </c>
      <c r="E7">
        <v>75</v>
      </c>
      <c r="F7">
        <v>73</v>
      </c>
      <c r="G7">
        <v>67</v>
      </c>
      <c r="H7">
        <v>68</v>
      </c>
      <c r="I7">
        <v>53.9</v>
      </c>
      <c r="J7">
        <v>54.9</v>
      </c>
      <c r="K7">
        <v>61.3</v>
      </c>
      <c r="L7">
        <v>53.9</v>
      </c>
      <c r="M7">
        <v>55.5</v>
      </c>
      <c r="N7">
        <v>323</v>
      </c>
      <c r="O7">
        <v>292</v>
      </c>
      <c r="P7">
        <v>112</v>
      </c>
      <c r="Q7">
        <v>322</v>
      </c>
      <c r="R7">
        <v>268</v>
      </c>
      <c r="S7">
        <v>359</v>
      </c>
      <c r="T7">
        <v>56.9</v>
      </c>
      <c r="U7">
        <v>223</v>
      </c>
      <c r="V7" t="s">
        <v>224</v>
      </c>
      <c r="W7">
        <v>66</v>
      </c>
      <c r="X7">
        <v>101</v>
      </c>
      <c r="Y7" t="s">
        <v>63</v>
      </c>
    </row>
    <row r="8" spans="1:25" x14ac:dyDescent="0.15">
      <c r="A8">
        <v>380</v>
      </c>
      <c r="B8">
        <v>5380215</v>
      </c>
      <c r="C8" t="s">
        <v>232</v>
      </c>
      <c r="D8">
        <v>91</v>
      </c>
      <c r="E8">
        <v>87</v>
      </c>
      <c r="F8">
        <v>63</v>
      </c>
      <c r="G8">
        <v>69</v>
      </c>
      <c r="H8">
        <v>83</v>
      </c>
      <c r="I8">
        <v>63.6</v>
      </c>
      <c r="J8">
        <v>61.5</v>
      </c>
      <c r="K8">
        <v>55.7</v>
      </c>
      <c r="L8">
        <v>54.9</v>
      </c>
      <c r="M8">
        <v>63</v>
      </c>
      <c r="N8">
        <v>38</v>
      </c>
      <c r="O8">
        <v>99</v>
      </c>
      <c r="P8">
        <v>243</v>
      </c>
      <c r="Q8">
        <v>287</v>
      </c>
      <c r="R8">
        <v>76</v>
      </c>
      <c r="S8">
        <v>393</v>
      </c>
      <c r="T8">
        <v>61.3</v>
      </c>
      <c r="U8">
        <v>102</v>
      </c>
      <c r="V8" t="s">
        <v>223</v>
      </c>
      <c r="W8">
        <v>34</v>
      </c>
      <c r="X8">
        <v>101</v>
      </c>
      <c r="Y8" t="s">
        <v>65</v>
      </c>
    </row>
    <row r="9" spans="1:25" x14ac:dyDescent="0.15">
      <c r="A9">
        <v>380</v>
      </c>
      <c r="B9">
        <v>5380216</v>
      </c>
      <c r="C9" t="s">
        <v>233</v>
      </c>
      <c r="D9">
        <v>62</v>
      </c>
      <c r="E9">
        <v>65</v>
      </c>
      <c r="F9">
        <v>52</v>
      </c>
      <c r="G9">
        <v>69</v>
      </c>
      <c r="H9">
        <v>78</v>
      </c>
      <c r="I9">
        <v>44.8</v>
      </c>
      <c r="J9">
        <v>49.3</v>
      </c>
      <c r="K9">
        <v>49.5</v>
      </c>
      <c r="L9">
        <v>54.9</v>
      </c>
      <c r="M9">
        <v>60.5</v>
      </c>
      <c r="N9">
        <v>601</v>
      </c>
      <c r="O9">
        <v>462</v>
      </c>
      <c r="P9">
        <v>454</v>
      </c>
      <c r="Q9">
        <v>287</v>
      </c>
      <c r="R9">
        <v>132</v>
      </c>
      <c r="S9">
        <v>326</v>
      </c>
      <c r="T9">
        <v>52.6</v>
      </c>
      <c r="U9">
        <v>374</v>
      </c>
      <c r="V9" t="s">
        <v>243</v>
      </c>
      <c r="W9">
        <v>28</v>
      </c>
      <c r="X9">
        <v>53</v>
      </c>
      <c r="Y9" t="s">
        <v>63</v>
      </c>
    </row>
    <row r="10" spans="1:25" x14ac:dyDescent="0.15">
      <c r="A10">
        <v>380</v>
      </c>
      <c r="B10">
        <v>5380217</v>
      </c>
      <c r="C10" t="s">
        <v>234</v>
      </c>
      <c r="D10">
        <v>76</v>
      </c>
      <c r="E10">
        <v>64</v>
      </c>
      <c r="F10">
        <v>43</v>
      </c>
      <c r="G10">
        <v>56</v>
      </c>
      <c r="H10">
        <v>75</v>
      </c>
      <c r="I10">
        <v>53.9</v>
      </c>
      <c r="J10">
        <v>48.7</v>
      </c>
      <c r="K10">
        <v>44.4</v>
      </c>
      <c r="L10">
        <v>47.9</v>
      </c>
      <c r="M10">
        <v>59</v>
      </c>
      <c r="N10">
        <v>323</v>
      </c>
      <c r="O10">
        <v>486</v>
      </c>
      <c r="P10">
        <v>583</v>
      </c>
      <c r="Q10">
        <v>491</v>
      </c>
      <c r="R10">
        <v>176</v>
      </c>
      <c r="S10">
        <v>314</v>
      </c>
      <c r="T10">
        <v>51</v>
      </c>
      <c r="U10">
        <v>414</v>
      </c>
      <c r="V10" t="s">
        <v>240</v>
      </c>
      <c r="W10">
        <v>6</v>
      </c>
      <c r="X10">
        <v>7</v>
      </c>
      <c r="Y10" t="s">
        <v>65</v>
      </c>
    </row>
    <row r="11" spans="1:25" x14ac:dyDescent="0.15">
      <c r="A11">
        <v>380</v>
      </c>
      <c r="B11">
        <v>5380218</v>
      </c>
      <c r="C11" t="s">
        <v>235</v>
      </c>
      <c r="D11">
        <v>89</v>
      </c>
      <c r="E11">
        <v>58</v>
      </c>
      <c r="F11">
        <v>58</v>
      </c>
      <c r="G11">
        <v>70</v>
      </c>
      <c r="H11">
        <v>68</v>
      </c>
      <c r="I11">
        <v>62.3</v>
      </c>
      <c r="J11">
        <v>45.4</v>
      </c>
      <c r="K11">
        <v>52.8</v>
      </c>
      <c r="L11">
        <v>55.5</v>
      </c>
      <c r="M11">
        <v>55.5</v>
      </c>
      <c r="N11">
        <v>60</v>
      </c>
      <c r="O11">
        <v>560</v>
      </c>
      <c r="P11">
        <v>334</v>
      </c>
      <c r="Q11">
        <v>273</v>
      </c>
      <c r="R11">
        <v>268</v>
      </c>
      <c r="S11">
        <v>343</v>
      </c>
      <c r="T11">
        <v>54.8</v>
      </c>
      <c r="U11">
        <v>290</v>
      </c>
      <c r="V11" t="s">
        <v>243</v>
      </c>
      <c r="W11">
        <v>22</v>
      </c>
      <c r="X11">
        <v>53</v>
      </c>
      <c r="Y11" t="s">
        <v>63</v>
      </c>
    </row>
    <row r="12" spans="1:25" x14ac:dyDescent="0.15">
      <c r="A12">
        <v>380</v>
      </c>
      <c r="B12">
        <v>5380219</v>
      </c>
      <c r="C12" t="s">
        <v>236</v>
      </c>
      <c r="D12">
        <v>88</v>
      </c>
      <c r="E12">
        <v>86</v>
      </c>
      <c r="F12">
        <v>42</v>
      </c>
      <c r="G12">
        <v>55</v>
      </c>
      <c r="H12">
        <v>80</v>
      </c>
      <c r="I12">
        <v>61.7</v>
      </c>
      <c r="J12">
        <v>61</v>
      </c>
      <c r="K12">
        <v>43.8</v>
      </c>
      <c r="L12">
        <v>47.3</v>
      </c>
      <c r="M12">
        <v>61.5</v>
      </c>
      <c r="N12">
        <v>70</v>
      </c>
      <c r="O12">
        <v>112</v>
      </c>
      <c r="P12">
        <v>601</v>
      </c>
      <c r="Q12">
        <v>501</v>
      </c>
      <c r="R12">
        <v>111</v>
      </c>
      <c r="S12">
        <v>351</v>
      </c>
      <c r="T12">
        <v>55.8</v>
      </c>
      <c r="U12">
        <v>251</v>
      </c>
      <c r="V12" t="s">
        <v>240</v>
      </c>
      <c r="W12">
        <v>3</v>
      </c>
      <c r="X12">
        <v>7</v>
      </c>
      <c r="Y12" t="s">
        <v>64</v>
      </c>
    </row>
    <row r="13" spans="1:25" x14ac:dyDescent="0.15">
      <c r="A13">
        <v>380</v>
      </c>
      <c r="B13">
        <v>5380220</v>
      </c>
      <c r="C13" t="s">
        <v>237</v>
      </c>
      <c r="D13">
        <v>83</v>
      </c>
      <c r="E13">
        <v>96</v>
      </c>
      <c r="F13">
        <v>77</v>
      </c>
      <c r="G13">
        <v>91</v>
      </c>
      <c r="H13">
        <v>98</v>
      </c>
      <c r="I13">
        <v>58.4</v>
      </c>
      <c r="J13">
        <v>66.5</v>
      </c>
      <c r="K13">
        <v>63.6</v>
      </c>
      <c r="L13">
        <v>66.900000000000006</v>
      </c>
      <c r="M13">
        <v>70.5</v>
      </c>
      <c r="N13">
        <v>155</v>
      </c>
      <c r="O13">
        <v>8</v>
      </c>
      <c r="P13">
        <v>61</v>
      </c>
      <c r="Q13">
        <v>19</v>
      </c>
      <c r="R13">
        <v>1</v>
      </c>
      <c r="S13">
        <v>445</v>
      </c>
      <c r="T13">
        <v>68.099999999999994</v>
      </c>
      <c r="U13">
        <v>10</v>
      </c>
      <c r="V13" t="s">
        <v>224</v>
      </c>
      <c r="W13">
        <v>5</v>
      </c>
      <c r="X13">
        <v>101</v>
      </c>
      <c r="Y13" t="s">
        <v>66</v>
      </c>
    </row>
    <row r="14" spans="1:25" x14ac:dyDescent="0.15">
      <c r="A14">
        <v>380</v>
      </c>
      <c r="B14">
        <v>5380221</v>
      </c>
      <c r="C14" t="s">
        <v>238</v>
      </c>
      <c r="D14">
        <v>84</v>
      </c>
      <c r="E14">
        <v>94</v>
      </c>
      <c r="F14">
        <v>52</v>
      </c>
      <c r="G14">
        <v>62</v>
      </c>
      <c r="H14">
        <v>69</v>
      </c>
      <c r="I14">
        <v>59.1</v>
      </c>
      <c r="J14">
        <v>65.400000000000006</v>
      </c>
      <c r="K14">
        <v>49.5</v>
      </c>
      <c r="L14">
        <v>51.1</v>
      </c>
      <c r="M14">
        <v>56</v>
      </c>
      <c r="N14">
        <v>140</v>
      </c>
      <c r="O14">
        <v>20</v>
      </c>
      <c r="P14">
        <v>454</v>
      </c>
      <c r="Q14">
        <v>400</v>
      </c>
      <c r="R14">
        <v>260</v>
      </c>
      <c r="S14">
        <v>361</v>
      </c>
      <c r="T14">
        <v>57.1</v>
      </c>
      <c r="U14">
        <v>212</v>
      </c>
      <c r="V14" t="s">
        <v>223</v>
      </c>
      <c r="W14">
        <v>63</v>
      </c>
      <c r="X14">
        <v>101</v>
      </c>
      <c r="Y14" t="s">
        <v>63</v>
      </c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5"/>
  <sheetViews>
    <sheetView workbookViewId="0">
      <selection activeCell="A4" sqref="A4"/>
    </sheetView>
  </sheetViews>
  <sheetFormatPr defaultRowHeight="13.5" x14ac:dyDescent="0.15"/>
  <sheetData>
    <row r="1" spans="1:3" x14ac:dyDescent="0.15">
      <c r="A1" t="s">
        <v>22</v>
      </c>
    </row>
    <row r="2" spans="1:3" x14ac:dyDescent="0.15">
      <c r="A2" s="1" t="s">
        <v>10</v>
      </c>
      <c r="B2" s="1" t="s">
        <v>11</v>
      </c>
      <c r="C2" s="1" t="s">
        <v>12</v>
      </c>
    </row>
    <row r="3" spans="1:3" x14ac:dyDescent="0.15">
      <c r="A3">
        <v>19</v>
      </c>
      <c r="B3">
        <v>19</v>
      </c>
    </row>
    <row r="5" spans="1:3" x14ac:dyDescent="0.15">
      <c r="A5" t="s">
        <v>23</v>
      </c>
    </row>
    <row r="6" spans="1:3" x14ac:dyDescent="0.15">
      <c r="A6" s="1" t="s">
        <v>24</v>
      </c>
      <c r="B6" s="1" t="s">
        <v>25</v>
      </c>
    </row>
    <row r="7" spans="1:3" x14ac:dyDescent="0.15">
      <c r="A7">
        <v>5380101</v>
      </c>
      <c r="B7" t="s">
        <v>70</v>
      </c>
    </row>
    <row r="8" spans="1:3" x14ac:dyDescent="0.15">
      <c r="A8">
        <v>5380102</v>
      </c>
      <c r="B8" t="s">
        <v>71</v>
      </c>
    </row>
    <row r="9" spans="1:3" x14ac:dyDescent="0.15">
      <c r="A9">
        <v>5380103</v>
      </c>
      <c r="B9" t="s">
        <v>72</v>
      </c>
    </row>
    <row r="10" spans="1:3" x14ac:dyDescent="0.15">
      <c r="A10">
        <v>5380104</v>
      </c>
      <c r="B10" t="s">
        <v>73</v>
      </c>
    </row>
    <row r="11" spans="1:3" x14ac:dyDescent="0.15">
      <c r="A11">
        <v>5380105</v>
      </c>
      <c r="B11" t="s">
        <v>74</v>
      </c>
    </row>
    <row r="12" spans="1:3" x14ac:dyDescent="0.15">
      <c r="A12">
        <v>5380106</v>
      </c>
      <c r="B12" t="s">
        <v>75</v>
      </c>
    </row>
    <row r="13" spans="1:3" x14ac:dyDescent="0.15">
      <c r="A13">
        <v>5380107</v>
      </c>
      <c r="B13" t="s">
        <v>76</v>
      </c>
    </row>
    <row r="14" spans="1:3" x14ac:dyDescent="0.15">
      <c r="A14">
        <v>5380108</v>
      </c>
      <c r="B14" t="s">
        <v>77</v>
      </c>
    </row>
    <row r="15" spans="1:3" x14ac:dyDescent="0.15">
      <c r="A15">
        <v>5380109</v>
      </c>
      <c r="B15" t="s">
        <v>78</v>
      </c>
    </row>
    <row r="16" spans="1:3" x14ac:dyDescent="0.15">
      <c r="A16">
        <v>5380110</v>
      </c>
      <c r="B16" t="s">
        <v>79</v>
      </c>
    </row>
    <row r="17" spans="1:2" x14ac:dyDescent="0.15">
      <c r="A17">
        <v>5380111</v>
      </c>
      <c r="B17" t="s">
        <v>80</v>
      </c>
    </row>
    <row r="18" spans="1:2" x14ac:dyDescent="0.15">
      <c r="A18">
        <v>5380112</v>
      </c>
      <c r="B18" t="s">
        <v>81</v>
      </c>
    </row>
    <row r="19" spans="1:2" x14ac:dyDescent="0.15">
      <c r="A19">
        <v>5380113</v>
      </c>
      <c r="B19" t="s">
        <v>82</v>
      </c>
    </row>
    <row r="20" spans="1:2" x14ac:dyDescent="0.15">
      <c r="A20">
        <v>5380114</v>
      </c>
      <c r="B20" t="s">
        <v>83</v>
      </c>
    </row>
    <row r="21" spans="1:2" x14ac:dyDescent="0.15">
      <c r="A21">
        <v>5380115</v>
      </c>
      <c r="B21" t="s">
        <v>84</v>
      </c>
    </row>
    <row r="22" spans="1:2" x14ac:dyDescent="0.15">
      <c r="A22">
        <v>5380116</v>
      </c>
      <c r="B22" t="s">
        <v>85</v>
      </c>
    </row>
    <row r="23" spans="1:2" x14ac:dyDescent="0.15">
      <c r="A23">
        <v>5380117</v>
      </c>
      <c r="B23" t="s">
        <v>86</v>
      </c>
    </row>
    <row r="24" spans="1:2" x14ac:dyDescent="0.15">
      <c r="A24">
        <v>5380118</v>
      </c>
      <c r="B24" t="s">
        <v>87</v>
      </c>
    </row>
    <row r="25" spans="1:2" x14ac:dyDescent="0.15">
      <c r="A25">
        <v>5380119</v>
      </c>
      <c r="B25" t="s">
        <v>88</v>
      </c>
    </row>
    <row r="26" spans="1:2" x14ac:dyDescent="0.15">
      <c r="A26">
        <v>5380201</v>
      </c>
      <c r="B26" t="s">
        <v>89</v>
      </c>
    </row>
    <row r="27" spans="1:2" x14ac:dyDescent="0.15">
      <c r="A27">
        <v>5380202</v>
      </c>
      <c r="B27" t="s">
        <v>90</v>
      </c>
    </row>
    <row r="28" spans="1:2" x14ac:dyDescent="0.15">
      <c r="A28">
        <v>5380203</v>
      </c>
      <c r="B28" t="s">
        <v>91</v>
      </c>
    </row>
    <row r="29" spans="1:2" x14ac:dyDescent="0.15">
      <c r="A29">
        <v>5380204</v>
      </c>
      <c r="B29" t="s">
        <v>92</v>
      </c>
    </row>
    <row r="30" spans="1:2" x14ac:dyDescent="0.15">
      <c r="A30">
        <v>5380205</v>
      </c>
      <c r="B30" t="s">
        <v>93</v>
      </c>
    </row>
    <row r="31" spans="1:2" x14ac:dyDescent="0.15">
      <c r="A31">
        <v>5380206</v>
      </c>
      <c r="B31" t="s">
        <v>94</v>
      </c>
    </row>
    <row r="32" spans="1:2" x14ac:dyDescent="0.15">
      <c r="A32">
        <v>5380207</v>
      </c>
      <c r="B32" t="s">
        <v>95</v>
      </c>
    </row>
    <row r="33" spans="1:2" x14ac:dyDescent="0.15">
      <c r="A33">
        <v>5380208</v>
      </c>
      <c r="B33" t="s">
        <v>96</v>
      </c>
    </row>
    <row r="34" spans="1:2" x14ac:dyDescent="0.15">
      <c r="A34">
        <v>5380209</v>
      </c>
      <c r="B34" t="s">
        <v>97</v>
      </c>
    </row>
    <row r="35" spans="1:2" x14ac:dyDescent="0.15">
      <c r="A35">
        <v>5380210</v>
      </c>
      <c r="B35" t="s">
        <v>98</v>
      </c>
    </row>
    <row r="36" spans="1:2" x14ac:dyDescent="0.15">
      <c r="A36">
        <v>5380211</v>
      </c>
      <c r="B36" t="s">
        <v>109</v>
      </c>
    </row>
    <row r="37" spans="1:2" x14ac:dyDescent="0.15">
      <c r="A37">
        <v>5380212</v>
      </c>
      <c r="B37" t="s">
        <v>99</v>
      </c>
    </row>
    <row r="38" spans="1:2" x14ac:dyDescent="0.15">
      <c r="A38">
        <v>5380213</v>
      </c>
      <c r="B38" t="s">
        <v>100</v>
      </c>
    </row>
    <row r="39" spans="1:2" x14ac:dyDescent="0.15">
      <c r="A39">
        <v>5380213</v>
      </c>
      <c r="B39" t="s">
        <v>101</v>
      </c>
    </row>
    <row r="40" spans="1:2" x14ac:dyDescent="0.15">
      <c r="A40">
        <v>5380215</v>
      </c>
      <c r="B40" t="s">
        <v>102</v>
      </c>
    </row>
    <row r="41" spans="1:2" x14ac:dyDescent="0.15">
      <c r="A41">
        <v>5380216</v>
      </c>
      <c r="B41" t="s">
        <v>103</v>
      </c>
    </row>
    <row r="42" spans="1:2" x14ac:dyDescent="0.15">
      <c r="A42">
        <v>5380217</v>
      </c>
      <c r="B42" t="s">
        <v>104</v>
      </c>
    </row>
    <row r="43" spans="1:2" x14ac:dyDescent="0.15">
      <c r="A43">
        <v>5380218</v>
      </c>
      <c r="B43" t="s">
        <v>105</v>
      </c>
    </row>
    <row r="44" spans="1:2" x14ac:dyDescent="0.15">
      <c r="A44">
        <v>5380219</v>
      </c>
      <c r="B44" t="s">
        <v>106</v>
      </c>
    </row>
    <row r="45" spans="1:2" x14ac:dyDescent="0.15">
      <c r="A45">
        <v>5380220</v>
      </c>
      <c r="B45" t="s">
        <v>107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元</vt:lpstr>
      <vt:lpstr>全データ用</vt:lpstr>
      <vt:lpstr>貼り付け用</vt:lpstr>
      <vt:lpstr>W1</vt:lpstr>
      <vt:lpstr>W2</vt:lpstr>
      <vt:lpstr>名簿,人数</vt:lpstr>
      <vt:lpstr>受験人数</vt:lpstr>
      <vt:lpstr>名簿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巣山 孝弘</cp:lastModifiedBy>
  <dcterms:created xsi:type="dcterms:W3CDTF">2019-06-07T01:31:02Z</dcterms:created>
  <dcterms:modified xsi:type="dcterms:W3CDTF">2024-06-01T02:42:00Z</dcterms:modified>
</cp:coreProperties>
</file>