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-maruyama\Desktop\才教学園_my_dir\教務管理Excel\2模試処理\育伸社データ\"/>
    </mc:Choice>
  </mc:AlternateContent>
  <xr:revisionPtr revIDLastSave="0" documentId="13_ncr:1_{8469F7BD-5D01-4B7F-90A1-BD131256E42B}" xr6:coauthVersionLast="47" xr6:coauthVersionMax="47" xr10:uidLastSave="{00000000-0000-0000-0000-000000000000}"/>
  <bookViews>
    <workbookView xWindow="-120" yWindow="-120" windowWidth="29040" windowHeight="15720" tabRatio="735" activeTab="2" xr2:uid="{00000000-000D-0000-FFFF-FFFF00000000}"/>
  </bookViews>
  <sheets>
    <sheet name="元" sheetId="1" r:id="rId1"/>
    <sheet name="全データ用" sheetId="3" r:id="rId2"/>
    <sheet name="質問" sheetId="5" r:id="rId3"/>
    <sheet name="登録者数（初期設定）" sheetId="4" r:id="rId4"/>
    <sheet name="貼り付け用" sheetId="2" r:id="rId5"/>
  </sheets>
  <definedNames>
    <definedName name="クラス人数">'登録者数（初期設定）'!$A$2:$E$10</definedName>
    <definedName name="会場コード">元!#REF!</definedName>
    <definedName name="対応表">元!$J$1:$R$2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F3" i="1" s="1"/>
  <c r="D2" i="1"/>
  <c r="H2" i="1" s="1"/>
  <c r="G3" i="1" l="1"/>
  <c r="F4" i="1"/>
  <c r="E4" i="1"/>
  <c r="E2" i="1"/>
  <c r="F2" i="1"/>
  <c r="G2" i="1"/>
  <c r="H3" i="1" l="1"/>
  <c r="H4" i="1" s="1"/>
  <c r="G4" i="1"/>
</calcChain>
</file>

<file path=xl/sharedStrings.xml><?xml version="1.0" encoding="utf-8"?>
<sst xmlns="http://schemas.openxmlformats.org/spreadsheetml/2006/main" count="247" uniqueCount="119">
  <si>
    <t>会場コード</t>
  </si>
  <si>
    <t>受験番号</t>
  </si>
  <si>
    <t>氏名</t>
  </si>
  <si>
    <t>テストタイプコード</t>
  </si>
  <si>
    <t>国語得点</t>
  </si>
  <si>
    <t>算数・数学得点</t>
  </si>
  <si>
    <t>英語得点</t>
  </si>
  <si>
    <t>理科得点</t>
  </si>
  <si>
    <t>社会得点</t>
  </si>
  <si>
    <t>２・３科得点</t>
  </si>
  <si>
    <t>３・４科得点</t>
  </si>
  <si>
    <t>４・５科得点</t>
  </si>
  <si>
    <t>国語偏差値</t>
  </si>
  <si>
    <t>算数・数学偏差値</t>
  </si>
  <si>
    <t>英語偏差値</t>
  </si>
  <si>
    <t>理科偏差値</t>
  </si>
  <si>
    <t>社会偏差値</t>
  </si>
  <si>
    <t>２・３科偏差値</t>
  </si>
  <si>
    <t>３・４科偏差値</t>
  </si>
  <si>
    <t>４・５科偏差値</t>
  </si>
  <si>
    <t>学年</t>
    <rPh sb="0" eb="2">
      <t>ガクネン</t>
    </rPh>
    <phoneticPr fontId="18"/>
  </si>
  <si>
    <t>1組</t>
    <rPh sb="1" eb="2">
      <t>クミ</t>
    </rPh>
    <phoneticPr fontId="18"/>
  </si>
  <si>
    <t>2組</t>
    <rPh sb="1" eb="2">
      <t>クミ</t>
    </rPh>
    <phoneticPr fontId="18"/>
  </si>
  <si>
    <t>3組</t>
    <rPh sb="1" eb="2">
      <t>クミ</t>
    </rPh>
    <phoneticPr fontId="18"/>
  </si>
  <si>
    <t>4組</t>
    <rPh sb="1" eb="2">
      <t>クミ</t>
    </rPh>
    <phoneticPr fontId="18"/>
  </si>
  <si>
    <r>
      <t>　　</t>
    </r>
    <r>
      <rPr>
        <b/>
        <sz val="11"/>
        <color theme="1"/>
        <rFont val="ＭＳ Ｐゴシック"/>
        <family val="3"/>
        <charset val="128"/>
        <scheme val="minor"/>
      </rPr>
      <t>↓</t>
    </r>
    <phoneticPr fontId="18"/>
  </si>
  <si>
    <r>
      <t>　</t>
    </r>
    <r>
      <rPr>
        <sz val="11"/>
        <color theme="1"/>
        <rFont val="ＭＳ Ｐゴシック"/>
        <family val="2"/>
        <charset val="128"/>
        <scheme val="minor"/>
      </rPr>
      <t>ここから下に貼り付け</t>
    </r>
    <rPh sb="5" eb="6">
      <t>シタ</t>
    </rPh>
    <rPh sb="7" eb="8">
      <t>ハ</t>
    </rPh>
    <rPh sb="9" eb="10">
      <t>ツ</t>
    </rPh>
    <phoneticPr fontId="18"/>
  </si>
  <si>
    <t>j</t>
    <phoneticPr fontId="18"/>
  </si>
  <si>
    <t>k</t>
    <phoneticPr fontId="18"/>
  </si>
  <si>
    <t>NumofSt</t>
  </si>
  <si>
    <t>i</t>
    <phoneticPr fontId="18"/>
  </si>
  <si>
    <t>RowCnt</t>
    <phoneticPr fontId="18"/>
  </si>
  <si>
    <t>国点</t>
    <rPh sb="0" eb="1">
      <t>コク</t>
    </rPh>
    <rPh sb="1" eb="2">
      <t>テン</t>
    </rPh>
    <phoneticPr fontId="18"/>
  </si>
  <si>
    <t>国偏</t>
    <rPh sb="0" eb="1">
      <t>コク</t>
    </rPh>
    <rPh sb="1" eb="2">
      <t>ヘン</t>
    </rPh>
    <phoneticPr fontId="18"/>
  </si>
  <si>
    <t>算点</t>
    <rPh sb="0" eb="1">
      <t>サン</t>
    </rPh>
    <rPh sb="1" eb="2">
      <t>テン</t>
    </rPh>
    <phoneticPr fontId="18"/>
  </si>
  <si>
    <t>算偏</t>
    <rPh sb="0" eb="1">
      <t>サン</t>
    </rPh>
    <rPh sb="1" eb="2">
      <t>ヘン</t>
    </rPh>
    <phoneticPr fontId="18"/>
  </si>
  <si>
    <t>社点</t>
    <rPh sb="0" eb="1">
      <t>シャ</t>
    </rPh>
    <rPh sb="1" eb="2">
      <t>テン</t>
    </rPh>
    <phoneticPr fontId="18"/>
  </si>
  <si>
    <t>社偏</t>
    <rPh sb="0" eb="1">
      <t>シャ</t>
    </rPh>
    <rPh sb="1" eb="2">
      <t>ヘン</t>
    </rPh>
    <phoneticPr fontId="18"/>
  </si>
  <si>
    <t>理点</t>
    <rPh sb="0" eb="1">
      <t>リ</t>
    </rPh>
    <rPh sb="1" eb="2">
      <t>テン</t>
    </rPh>
    <phoneticPr fontId="18"/>
  </si>
  <si>
    <t>理偏</t>
    <rPh sb="0" eb="1">
      <t>リ</t>
    </rPh>
    <rPh sb="1" eb="2">
      <t>ヘン</t>
    </rPh>
    <phoneticPr fontId="18"/>
  </si>
  <si>
    <t>英点</t>
    <rPh sb="0" eb="1">
      <t>エイ</t>
    </rPh>
    <rPh sb="1" eb="2">
      <t>テン</t>
    </rPh>
    <phoneticPr fontId="18"/>
  </si>
  <si>
    <t>英偏</t>
    <rPh sb="0" eb="1">
      <t>エイ</t>
    </rPh>
    <rPh sb="1" eb="2">
      <t>ヘン</t>
    </rPh>
    <phoneticPr fontId="18"/>
  </si>
  <si>
    <t>計点</t>
    <rPh sb="0" eb="1">
      <t>ケイ</t>
    </rPh>
    <rPh sb="1" eb="2">
      <t>テン</t>
    </rPh>
    <phoneticPr fontId="18"/>
  </si>
  <si>
    <t>計偏</t>
    <rPh sb="0" eb="1">
      <t>ケイ</t>
    </rPh>
    <rPh sb="1" eb="2">
      <t>ヘン</t>
    </rPh>
    <phoneticPr fontId="18"/>
  </si>
  <si>
    <t>B</t>
  </si>
  <si>
    <t>相場　芽生　　　</t>
  </si>
  <si>
    <t>安藤　葉澄　　　</t>
  </si>
  <si>
    <t>植田　泰成　　　</t>
  </si>
  <si>
    <t>内山　純伶　　　</t>
  </si>
  <si>
    <t>加藤　維　　　　</t>
  </si>
  <si>
    <t>北原　夏花　　　</t>
  </si>
  <si>
    <t>清澤　龍翔　　　</t>
  </si>
  <si>
    <t>五味　孝太　　　</t>
  </si>
  <si>
    <t>齊木　伶　　　　</t>
  </si>
  <si>
    <t>宋　語紗　　　　</t>
  </si>
  <si>
    <t>大工原　一輝　　</t>
  </si>
  <si>
    <t>等々力　瑛二　　</t>
  </si>
  <si>
    <t>等々力　円果　　</t>
  </si>
  <si>
    <t>比田井　絢翔　　</t>
  </si>
  <si>
    <t>松井　那奈　　　</t>
  </si>
  <si>
    <t>三浦　千宙　　　</t>
  </si>
  <si>
    <t>水澤　聡真　　　</t>
  </si>
  <si>
    <t>南澤　虎珀　　　</t>
  </si>
  <si>
    <t>安永　理沙　　　</t>
  </si>
  <si>
    <t>吉村　煌大　　　</t>
  </si>
  <si>
    <t>池田　光之介　　</t>
  </si>
  <si>
    <t>大山　実日子　　</t>
  </si>
  <si>
    <t>窪田　朋子　　　</t>
  </si>
  <si>
    <t>小林　晴嶺　　　</t>
  </si>
  <si>
    <t>大工原　光輝　　</t>
  </si>
  <si>
    <t>橘　くるみ　　　</t>
  </si>
  <si>
    <t>等々力　悠人　　</t>
  </si>
  <si>
    <t>中島　麟香　　　</t>
  </si>
  <si>
    <t>新村　亮太　　　</t>
  </si>
  <si>
    <t>伏見　真人　　　</t>
  </si>
  <si>
    <t>松本　誠也　　　</t>
  </si>
  <si>
    <t>蓑　錬太朗　　　</t>
  </si>
  <si>
    <t>宮坂　蓮　　　　</t>
  </si>
  <si>
    <t>百瀬　友惺　　　</t>
  </si>
  <si>
    <t>山口　陽生　　　</t>
  </si>
  <si>
    <t>山越　圭　　　　</t>
  </si>
  <si>
    <t>山崎　花峰　　　</t>
  </si>
  <si>
    <t>山田　梨乃　　　</t>
  </si>
  <si>
    <t>横井　杏奈　　　</t>
  </si>
  <si>
    <t>吉田　莉彩　　　</t>
  </si>
  <si>
    <t>A</t>
  </si>
  <si>
    <t>伊東　資竜　　　</t>
  </si>
  <si>
    <t>大堀キム　未奈　</t>
  </si>
  <si>
    <t>門田　湧真　　　</t>
  </si>
  <si>
    <t>行田　さとみ　　</t>
  </si>
  <si>
    <t>久保田　明誠　　</t>
  </si>
  <si>
    <t>小松　流翔　　　</t>
  </si>
  <si>
    <t>佐藤　美月　　　</t>
  </si>
  <si>
    <t>辛　祐輝　　　　</t>
  </si>
  <si>
    <t>新保　芙佑香　　</t>
  </si>
  <si>
    <t>宋　語唯　　　　</t>
  </si>
  <si>
    <t>髙山　愛永　　　</t>
  </si>
  <si>
    <t>滝澤　愛佳　　　</t>
  </si>
  <si>
    <t>中山　千愛　　　</t>
  </si>
  <si>
    <t>花岡　麻貴　　　</t>
  </si>
  <si>
    <t>宮下　花　　　　</t>
  </si>
  <si>
    <t>六井　啓翔　　　</t>
  </si>
  <si>
    <t>岡田　明日香　　</t>
  </si>
  <si>
    <t>荻原　知香　　　</t>
  </si>
  <si>
    <t>片桐　葵　　　　</t>
  </si>
  <si>
    <t>上島　碧依　　　</t>
  </si>
  <si>
    <t>藏井　陽菜乃　　</t>
  </si>
  <si>
    <t>小松　雅治　　　</t>
  </si>
  <si>
    <t>須藤　爽斗　　　</t>
  </si>
  <si>
    <t>滝　陽香　　　　</t>
  </si>
  <si>
    <t>永江　仁　　　　</t>
  </si>
  <si>
    <t>原　維香　　　　</t>
  </si>
  <si>
    <t>丸山　心音　　　</t>
  </si>
  <si>
    <t>森本　浩士　　　</t>
  </si>
  <si>
    <t>栁沢　美緒　　　</t>
  </si>
  <si>
    <t>横山　麟太　　　</t>
  </si>
  <si>
    <t>渡邊　了介　　　</t>
  </si>
  <si>
    <t xml:space="preserve">手順確認
1. 登録者数ファイルへ初期設定
2. ダウンロードファイルから元データへ全選択コピペ
3. 全データ用ファイルへ並び替えコピペ
</t>
    <rPh sb="0" eb="2">
      <t>テジュン</t>
    </rPh>
    <rPh sb="2" eb="4">
      <t>カクニン</t>
    </rPh>
    <rPh sb="8" eb="11">
      <t>トウロクシャ</t>
    </rPh>
    <rPh sb="11" eb="12">
      <t>スウ</t>
    </rPh>
    <rPh sb="17" eb="21">
      <t>ショキセッテイ</t>
    </rPh>
    <rPh sb="37" eb="38">
      <t>モト</t>
    </rPh>
    <rPh sb="42" eb="45">
      <t>ゼンセンタク</t>
    </rPh>
    <rPh sb="52" eb="53">
      <t>ゼン</t>
    </rPh>
    <rPh sb="56" eb="57">
      <t>ヨウ</t>
    </rPh>
    <rPh sb="62" eb="63">
      <t>ナラ</t>
    </rPh>
    <rPh sb="64" eb="65">
      <t>カ</t>
    </rPh>
    <phoneticPr fontId="18"/>
  </si>
  <si>
    <t>質問
1. 貼り付け用シートは使用されていない？
2. マクロは壊れている？
3. 登録者数シートは何に使用する？
4. このBookの目的は模試全データ用にデータ変換すること。という認識で良いか？</t>
    <rPh sb="0" eb="2">
      <t>シツモン</t>
    </rPh>
    <rPh sb="6" eb="7">
      <t>ハ</t>
    </rPh>
    <rPh sb="8" eb="9">
      <t>ツ</t>
    </rPh>
    <rPh sb="10" eb="11">
      <t>ヨウ</t>
    </rPh>
    <rPh sb="15" eb="17">
      <t>シヨウ</t>
    </rPh>
    <rPh sb="32" eb="33">
      <t>コワ</t>
    </rPh>
    <rPh sb="42" eb="45">
      <t>トウロクシャ</t>
    </rPh>
    <rPh sb="45" eb="46">
      <t>スウ</t>
    </rPh>
    <rPh sb="50" eb="51">
      <t>ナニ</t>
    </rPh>
    <rPh sb="52" eb="54">
      <t>シヨウ</t>
    </rPh>
    <rPh sb="68" eb="70">
      <t>モクテキ</t>
    </rPh>
    <rPh sb="71" eb="74">
      <t>モシゼン</t>
    </rPh>
    <rPh sb="77" eb="78">
      <t>ヨウ</t>
    </rPh>
    <rPh sb="82" eb="84">
      <t>ヘンカン</t>
    </rPh>
    <rPh sb="92" eb="94">
      <t>ニンシキ</t>
    </rPh>
    <rPh sb="95" eb="96">
      <t>ヨ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</si>
</sst>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19" fillId="0" borderId="0" xfId="0" applyFont="1">
      <alignment vertical="center"/>
    </xf>
    <xf numFmtId="0" fontId="19" fillId="33" borderId="0" xfId="0" applyFont="1" applyFill="1">
      <alignment vertical="center"/>
    </xf>
    <xf numFmtId="0" fontId="19" fillId="33" borderId="10" xfId="0" applyFont="1" applyFill="1" applyBorder="1" applyAlignment="1">
      <alignment horizontal="center" vertical="center"/>
    </xf>
    <xf numFmtId="0" fontId="20" fillId="33" borderId="10" xfId="0" applyFont="1" applyFill="1" applyBorder="1">
      <alignment vertical="center"/>
    </xf>
    <xf numFmtId="0" fontId="0" fillId="33" borderId="11" xfId="0" applyFill="1" applyBorder="1">
      <alignment vertical="center"/>
    </xf>
    <xf numFmtId="0" fontId="0" fillId="33" borderId="0" xfId="0" applyFill="1">
      <alignment vertical="center"/>
    </xf>
    <xf numFmtId="0" fontId="0" fillId="0" borderId="0" xfId="0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20" fillId="33" borderId="12" xfId="0" applyFont="1" applyFill="1" applyBorder="1">
      <alignment vertical="center"/>
    </xf>
    <xf numFmtId="0" fontId="19" fillId="33" borderId="10" xfId="0" applyFont="1" applyFill="1" applyBorder="1">
      <alignment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142875</xdr:rowOff>
        </xdr:from>
        <xdr:to>
          <xdr:col>2</xdr:col>
          <xdr:colOff>838200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T36"/>
  <sheetViews>
    <sheetView workbookViewId="0">
      <selection activeCell="T6" sqref="T6:T36"/>
    </sheetView>
  </sheetViews>
  <sheetFormatPr defaultRowHeight="13.5" x14ac:dyDescent="0.15"/>
  <cols>
    <col min="3" max="3" width="13.625" customWidth="1"/>
  </cols>
  <sheetData>
    <row r="1" spans="1:20" s="1" customFormat="1" ht="13.5" customHeight="1" x14ac:dyDescent="0.15">
      <c r="A1" s="2"/>
      <c r="B1" s="2"/>
      <c r="C1" s="2"/>
      <c r="D1" s="3" t="s">
        <v>20</v>
      </c>
      <c r="E1" s="3" t="s">
        <v>21</v>
      </c>
      <c r="F1" s="3" t="s">
        <v>22</v>
      </c>
      <c r="G1" s="3" t="s">
        <v>23</v>
      </c>
      <c r="H1" s="3" t="s">
        <v>24</v>
      </c>
      <c r="I1" s="2"/>
      <c r="J1" s="2">
        <v>96191</v>
      </c>
      <c r="K1" s="2">
        <v>96201</v>
      </c>
      <c r="L1" s="2">
        <v>96211</v>
      </c>
      <c r="M1" s="2">
        <v>96221</v>
      </c>
      <c r="N1" s="2">
        <v>96231</v>
      </c>
      <c r="O1" s="2">
        <v>96241</v>
      </c>
      <c r="P1" s="2">
        <v>97271</v>
      </c>
      <c r="Q1" s="2">
        <v>97281</v>
      </c>
      <c r="R1" s="2">
        <v>97291</v>
      </c>
      <c r="S1" s="2"/>
      <c r="T1" s="2"/>
    </row>
    <row r="2" spans="1:20" s="1" customFormat="1" ht="13.5" customHeight="1" x14ac:dyDescent="0.15">
      <c r="A2" s="6" t="s">
        <v>26</v>
      </c>
      <c r="B2" s="2"/>
      <c r="C2" s="2"/>
      <c r="D2" s="3" t="e">
        <f>HLOOKUP(#REF!,対応表,2,FALSE)</f>
        <v>#REF!</v>
      </c>
      <c r="E2" s="4" t="e">
        <f>VLOOKUP($D$2,クラス人数,2,FALSE)</f>
        <v>#REF!</v>
      </c>
      <c r="F2" s="4" t="e">
        <f>VLOOKUP($D$2,クラス人数,3,FALSE)</f>
        <v>#REF!</v>
      </c>
      <c r="G2" s="4" t="e">
        <f>VLOOKUP($D$2,クラス人数,4,FALSE)</f>
        <v>#REF!</v>
      </c>
      <c r="H2" s="4" t="e">
        <f>VLOOKUP($D$2,クラス人数,5,FALSE)</f>
        <v>#REF!</v>
      </c>
      <c r="I2" s="2"/>
      <c r="J2" s="2">
        <v>1</v>
      </c>
      <c r="K2" s="2">
        <v>2</v>
      </c>
      <c r="L2" s="2">
        <v>3</v>
      </c>
      <c r="M2" s="2">
        <v>4</v>
      </c>
      <c r="N2" s="2">
        <v>5</v>
      </c>
      <c r="O2" s="2">
        <v>6</v>
      </c>
      <c r="P2" s="2">
        <v>7</v>
      </c>
      <c r="Q2" s="2">
        <v>8</v>
      </c>
      <c r="R2" s="2">
        <v>9</v>
      </c>
      <c r="S2" s="2"/>
      <c r="T2" s="2"/>
    </row>
    <row r="3" spans="1:20" s="1" customFormat="1" ht="13.5" hidden="1" customHeight="1" x14ac:dyDescent="0.15">
      <c r="B3" s="2"/>
      <c r="C3" s="2"/>
      <c r="D3" s="8"/>
      <c r="E3" s="9" t="e">
        <f>#REF!</f>
        <v>#REF!</v>
      </c>
      <c r="F3" s="9" t="e">
        <f>E3+1</f>
        <v>#REF!</v>
      </c>
      <c r="G3" s="9" t="e">
        <f>F3+1</f>
        <v>#REF!</v>
      </c>
      <c r="H3" s="9" t="e">
        <f>G3+1</f>
        <v>#REF!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15">
      <c r="A4" s="5" t="s">
        <v>25</v>
      </c>
      <c r="B4" s="5"/>
      <c r="C4" s="5"/>
      <c r="D4" s="5"/>
      <c r="E4" s="10" t="e">
        <f>COUNTIF(会場コード,E3)</f>
        <v>#REF!</v>
      </c>
      <c r="F4" s="10" t="e">
        <f>COUNTIF(会場コード,F3)</f>
        <v>#REF!</v>
      </c>
      <c r="G4" s="10" t="e">
        <f>COUNTIF(会場コード,G3)</f>
        <v>#REF!</v>
      </c>
      <c r="H4" s="10" t="e">
        <f>COUNTIF(会場コード,H3)</f>
        <v>#REF!</v>
      </c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x14ac:dyDescent="0.1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  <c r="T5" t="s">
        <v>19</v>
      </c>
    </row>
    <row r="6" spans="1:20" x14ac:dyDescent="0.15">
      <c r="A6">
        <v>97281</v>
      </c>
      <c r="B6">
        <v>221001</v>
      </c>
      <c r="C6" t="s">
        <v>86</v>
      </c>
      <c r="D6" t="s">
        <v>85</v>
      </c>
      <c r="E6">
        <v>30</v>
      </c>
      <c r="F6">
        <v>28</v>
      </c>
      <c r="G6">
        <v>80</v>
      </c>
      <c r="H6">
        <v>22</v>
      </c>
      <c r="I6">
        <v>25</v>
      </c>
      <c r="J6">
        <v>138</v>
      </c>
      <c r="K6">
        <v>160</v>
      </c>
      <c r="L6">
        <v>185</v>
      </c>
      <c r="M6">
        <v>38</v>
      </c>
      <c r="N6">
        <v>37</v>
      </c>
      <c r="O6">
        <v>60</v>
      </c>
      <c r="P6">
        <v>36</v>
      </c>
      <c r="Q6">
        <v>28</v>
      </c>
      <c r="R6">
        <v>45</v>
      </c>
      <c r="S6">
        <v>43</v>
      </c>
      <c r="T6">
        <v>40</v>
      </c>
    </row>
    <row r="7" spans="1:20" x14ac:dyDescent="0.15">
      <c r="A7">
        <v>97281</v>
      </c>
      <c r="B7">
        <v>229002</v>
      </c>
      <c r="C7" t="s">
        <v>87</v>
      </c>
      <c r="D7" t="s">
        <v>85</v>
      </c>
      <c r="E7">
        <v>80</v>
      </c>
      <c r="F7">
        <v>75</v>
      </c>
      <c r="G7">
        <v>94</v>
      </c>
      <c r="H7">
        <v>80</v>
      </c>
      <c r="I7">
        <v>100</v>
      </c>
      <c r="J7">
        <v>249</v>
      </c>
      <c r="K7">
        <v>329</v>
      </c>
      <c r="L7">
        <v>429</v>
      </c>
      <c r="M7">
        <v>66</v>
      </c>
      <c r="N7">
        <v>57</v>
      </c>
      <c r="O7">
        <v>65</v>
      </c>
      <c r="P7">
        <v>67</v>
      </c>
      <c r="Q7">
        <v>72</v>
      </c>
      <c r="R7">
        <v>64</v>
      </c>
      <c r="S7">
        <v>65</v>
      </c>
      <c r="T7">
        <v>67</v>
      </c>
    </row>
    <row r="8" spans="1:20" x14ac:dyDescent="0.15">
      <c r="A8">
        <v>97281</v>
      </c>
      <c r="B8">
        <v>221003</v>
      </c>
      <c r="C8" t="s">
        <v>88</v>
      </c>
      <c r="D8" t="s">
        <v>85</v>
      </c>
      <c r="E8">
        <v>80</v>
      </c>
      <c r="F8">
        <v>79</v>
      </c>
      <c r="G8">
        <v>92</v>
      </c>
      <c r="H8">
        <v>62</v>
      </c>
      <c r="I8">
        <v>85</v>
      </c>
      <c r="J8">
        <v>251</v>
      </c>
      <c r="K8">
        <v>313</v>
      </c>
      <c r="L8">
        <v>398</v>
      </c>
      <c r="M8">
        <v>66</v>
      </c>
      <c r="N8">
        <v>59</v>
      </c>
      <c r="O8">
        <v>64</v>
      </c>
      <c r="P8">
        <v>57</v>
      </c>
      <c r="Q8">
        <v>63</v>
      </c>
      <c r="R8">
        <v>64</v>
      </c>
      <c r="S8">
        <v>63</v>
      </c>
      <c r="T8">
        <v>64</v>
      </c>
    </row>
    <row r="9" spans="1:20" x14ac:dyDescent="0.15">
      <c r="A9">
        <v>97281</v>
      </c>
      <c r="B9">
        <v>229004</v>
      </c>
      <c r="C9" t="s">
        <v>89</v>
      </c>
      <c r="D9" t="s">
        <v>85</v>
      </c>
      <c r="E9">
        <v>68</v>
      </c>
      <c r="F9">
        <v>74</v>
      </c>
      <c r="G9">
        <v>78</v>
      </c>
      <c r="H9">
        <v>51</v>
      </c>
      <c r="I9">
        <v>80</v>
      </c>
      <c r="J9">
        <v>220</v>
      </c>
      <c r="K9">
        <v>271</v>
      </c>
      <c r="L9">
        <v>351</v>
      </c>
      <c r="M9">
        <v>59</v>
      </c>
      <c r="N9">
        <v>57</v>
      </c>
      <c r="O9">
        <v>59</v>
      </c>
      <c r="P9">
        <v>51</v>
      </c>
      <c r="Q9">
        <v>60</v>
      </c>
      <c r="R9">
        <v>59</v>
      </c>
      <c r="S9">
        <v>57</v>
      </c>
      <c r="T9">
        <v>58</v>
      </c>
    </row>
    <row r="10" spans="1:20" x14ac:dyDescent="0.15">
      <c r="A10">
        <v>97281</v>
      </c>
      <c r="B10">
        <v>221005</v>
      </c>
      <c r="C10" t="s">
        <v>90</v>
      </c>
      <c r="D10" t="s">
        <v>85</v>
      </c>
      <c r="E10">
        <v>68</v>
      </c>
      <c r="F10">
        <v>93</v>
      </c>
      <c r="G10">
        <v>87</v>
      </c>
      <c r="H10">
        <v>63</v>
      </c>
      <c r="I10">
        <v>97</v>
      </c>
      <c r="J10">
        <v>248</v>
      </c>
      <c r="K10">
        <v>311</v>
      </c>
      <c r="L10">
        <v>408</v>
      </c>
      <c r="M10">
        <v>59</v>
      </c>
      <c r="N10">
        <v>65</v>
      </c>
      <c r="O10">
        <v>62</v>
      </c>
      <c r="P10">
        <v>58</v>
      </c>
      <c r="Q10">
        <v>70</v>
      </c>
      <c r="R10">
        <v>64</v>
      </c>
      <c r="S10">
        <v>63</v>
      </c>
      <c r="T10">
        <v>65</v>
      </c>
    </row>
    <row r="11" spans="1:20" x14ac:dyDescent="0.15">
      <c r="A11">
        <v>97281</v>
      </c>
      <c r="B11">
        <v>221006</v>
      </c>
      <c r="C11" t="s">
        <v>91</v>
      </c>
      <c r="D11" t="s">
        <v>85</v>
      </c>
      <c r="E11">
        <v>50</v>
      </c>
      <c r="F11">
        <v>41</v>
      </c>
      <c r="G11">
        <v>24</v>
      </c>
      <c r="H11">
        <v>24</v>
      </c>
      <c r="I11">
        <v>66</v>
      </c>
      <c r="J11">
        <v>115</v>
      </c>
      <c r="K11">
        <v>139</v>
      </c>
      <c r="L11">
        <v>205</v>
      </c>
      <c r="M11">
        <v>49</v>
      </c>
      <c r="N11">
        <v>42</v>
      </c>
      <c r="O11">
        <v>37</v>
      </c>
      <c r="P11">
        <v>37</v>
      </c>
      <c r="Q11">
        <v>52</v>
      </c>
      <c r="R11">
        <v>42</v>
      </c>
      <c r="S11">
        <v>40</v>
      </c>
      <c r="T11">
        <v>42</v>
      </c>
    </row>
    <row r="12" spans="1:20" x14ac:dyDescent="0.15">
      <c r="A12">
        <v>97281</v>
      </c>
      <c r="B12">
        <v>229007</v>
      </c>
      <c r="C12" t="s">
        <v>92</v>
      </c>
      <c r="D12" t="s">
        <v>85</v>
      </c>
      <c r="E12">
        <v>68</v>
      </c>
      <c r="F12">
        <v>39</v>
      </c>
      <c r="G12">
        <v>60</v>
      </c>
      <c r="H12">
        <v>56</v>
      </c>
      <c r="I12">
        <v>76</v>
      </c>
      <c r="J12">
        <v>167</v>
      </c>
      <c r="K12">
        <v>223</v>
      </c>
      <c r="L12">
        <v>299</v>
      </c>
      <c r="M12">
        <v>59</v>
      </c>
      <c r="N12">
        <v>41</v>
      </c>
      <c r="O12">
        <v>52</v>
      </c>
      <c r="P12">
        <v>54</v>
      </c>
      <c r="Q12">
        <v>58</v>
      </c>
      <c r="R12">
        <v>50</v>
      </c>
      <c r="S12">
        <v>51</v>
      </c>
      <c r="T12">
        <v>53</v>
      </c>
    </row>
    <row r="13" spans="1:20" x14ac:dyDescent="0.15">
      <c r="A13">
        <v>97281</v>
      </c>
      <c r="B13">
        <v>221008</v>
      </c>
      <c r="C13" t="s">
        <v>93</v>
      </c>
      <c r="D13" t="s">
        <v>85</v>
      </c>
      <c r="E13">
        <v>54</v>
      </c>
      <c r="F13">
        <v>87</v>
      </c>
      <c r="G13">
        <v>69</v>
      </c>
      <c r="H13">
        <v>53</v>
      </c>
      <c r="I13">
        <v>77</v>
      </c>
      <c r="J13">
        <v>210</v>
      </c>
      <c r="K13">
        <v>263</v>
      </c>
      <c r="L13">
        <v>340</v>
      </c>
      <c r="M13">
        <v>52</v>
      </c>
      <c r="N13">
        <v>62</v>
      </c>
      <c r="O13">
        <v>55</v>
      </c>
      <c r="P13">
        <v>52</v>
      </c>
      <c r="Q13">
        <v>59</v>
      </c>
      <c r="R13">
        <v>57</v>
      </c>
      <c r="S13">
        <v>56</v>
      </c>
      <c r="T13">
        <v>57</v>
      </c>
    </row>
    <row r="14" spans="1:20" x14ac:dyDescent="0.15">
      <c r="A14">
        <v>97281</v>
      </c>
      <c r="B14">
        <v>229009</v>
      </c>
      <c r="C14" t="s">
        <v>94</v>
      </c>
      <c r="D14" t="s">
        <v>85</v>
      </c>
      <c r="E14">
        <v>80</v>
      </c>
      <c r="F14">
        <v>86</v>
      </c>
      <c r="G14">
        <v>92</v>
      </c>
      <c r="H14">
        <v>75</v>
      </c>
      <c r="I14">
        <v>89</v>
      </c>
      <c r="J14">
        <v>258</v>
      </c>
      <c r="K14">
        <v>333</v>
      </c>
      <c r="L14">
        <v>422</v>
      </c>
      <c r="M14">
        <v>66</v>
      </c>
      <c r="N14">
        <v>62</v>
      </c>
      <c r="O14">
        <v>64</v>
      </c>
      <c r="P14">
        <v>64</v>
      </c>
      <c r="Q14">
        <v>66</v>
      </c>
      <c r="R14">
        <v>65</v>
      </c>
      <c r="S14">
        <v>66</v>
      </c>
      <c r="T14">
        <v>66</v>
      </c>
    </row>
    <row r="15" spans="1:20" x14ac:dyDescent="0.15">
      <c r="A15">
        <v>97281</v>
      </c>
      <c r="B15">
        <v>229010</v>
      </c>
      <c r="C15" t="s">
        <v>95</v>
      </c>
      <c r="D15" t="s">
        <v>85</v>
      </c>
      <c r="E15">
        <v>76</v>
      </c>
      <c r="F15">
        <v>97</v>
      </c>
      <c r="G15">
        <v>77</v>
      </c>
      <c r="H15">
        <v>73</v>
      </c>
      <c r="I15">
        <v>81</v>
      </c>
      <c r="J15">
        <v>250</v>
      </c>
      <c r="K15">
        <v>323</v>
      </c>
      <c r="L15">
        <v>404</v>
      </c>
      <c r="M15">
        <v>64</v>
      </c>
      <c r="N15">
        <v>67</v>
      </c>
      <c r="O15">
        <v>58</v>
      </c>
      <c r="P15">
        <v>63</v>
      </c>
      <c r="Q15">
        <v>61</v>
      </c>
      <c r="R15">
        <v>64</v>
      </c>
      <c r="S15">
        <v>64</v>
      </c>
      <c r="T15">
        <v>64</v>
      </c>
    </row>
    <row r="16" spans="1:20" x14ac:dyDescent="0.15">
      <c r="A16">
        <v>97281</v>
      </c>
      <c r="B16">
        <v>229011</v>
      </c>
      <c r="C16" t="s">
        <v>96</v>
      </c>
      <c r="D16" t="s">
        <v>85</v>
      </c>
      <c r="E16">
        <v>82</v>
      </c>
      <c r="F16">
        <v>56</v>
      </c>
      <c r="G16">
        <v>72</v>
      </c>
      <c r="H16">
        <v>51</v>
      </c>
      <c r="I16">
        <v>84</v>
      </c>
      <c r="J16">
        <v>210</v>
      </c>
      <c r="K16">
        <v>261</v>
      </c>
      <c r="L16">
        <v>345</v>
      </c>
      <c r="M16">
        <v>67</v>
      </c>
      <c r="N16">
        <v>49</v>
      </c>
      <c r="O16">
        <v>56</v>
      </c>
      <c r="P16">
        <v>51</v>
      </c>
      <c r="Q16">
        <v>63</v>
      </c>
      <c r="R16">
        <v>57</v>
      </c>
      <c r="S16">
        <v>56</v>
      </c>
      <c r="T16">
        <v>58</v>
      </c>
    </row>
    <row r="17" spans="1:20" x14ac:dyDescent="0.15">
      <c r="A17">
        <v>97281</v>
      </c>
      <c r="B17">
        <v>229012</v>
      </c>
      <c r="C17" t="s">
        <v>97</v>
      </c>
      <c r="D17" t="s">
        <v>85</v>
      </c>
      <c r="E17">
        <v>60</v>
      </c>
      <c r="F17">
        <v>71</v>
      </c>
      <c r="G17">
        <v>66</v>
      </c>
      <c r="H17">
        <v>62</v>
      </c>
      <c r="I17">
        <v>87</v>
      </c>
      <c r="J17">
        <v>197</v>
      </c>
      <c r="K17">
        <v>259</v>
      </c>
      <c r="L17">
        <v>346</v>
      </c>
      <c r="M17">
        <v>55</v>
      </c>
      <c r="N17">
        <v>55</v>
      </c>
      <c r="O17">
        <v>54</v>
      </c>
      <c r="P17">
        <v>57</v>
      </c>
      <c r="Q17">
        <v>65</v>
      </c>
      <c r="R17">
        <v>55</v>
      </c>
      <c r="S17">
        <v>56</v>
      </c>
      <c r="T17">
        <v>58</v>
      </c>
    </row>
    <row r="18" spans="1:20" x14ac:dyDescent="0.15">
      <c r="A18">
        <v>97281</v>
      </c>
      <c r="B18">
        <v>229013</v>
      </c>
      <c r="C18" t="s">
        <v>98</v>
      </c>
      <c r="D18" t="s">
        <v>85</v>
      </c>
      <c r="E18">
        <v>46</v>
      </c>
      <c r="F18">
        <v>47</v>
      </c>
      <c r="G18">
        <v>58</v>
      </c>
      <c r="H18">
        <v>49</v>
      </c>
      <c r="I18">
        <v>85</v>
      </c>
      <c r="J18">
        <v>151</v>
      </c>
      <c r="K18">
        <v>200</v>
      </c>
      <c r="L18">
        <v>285</v>
      </c>
      <c r="M18">
        <v>47</v>
      </c>
      <c r="N18">
        <v>45</v>
      </c>
      <c r="O18">
        <v>51</v>
      </c>
      <c r="P18">
        <v>50</v>
      </c>
      <c r="Q18">
        <v>63</v>
      </c>
      <c r="R18">
        <v>48</v>
      </c>
      <c r="S18">
        <v>48</v>
      </c>
      <c r="T18">
        <v>51</v>
      </c>
    </row>
    <row r="19" spans="1:20" x14ac:dyDescent="0.15">
      <c r="A19">
        <v>97281</v>
      </c>
      <c r="B19">
        <v>229014</v>
      </c>
      <c r="C19" t="s">
        <v>99</v>
      </c>
      <c r="D19" t="s">
        <v>85</v>
      </c>
      <c r="E19">
        <v>74</v>
      </c>
      <c r="F19">
        <v>90</v>
      </c>
      <c r="G19">
        <v>80</v>
      </c>
      <c r="H19">
        <v>72</v>
      </c>
      <c r="I19">
        <v>90</v>
      </c>
      <c r="J19">
        <v>244</v>
      </c>
      <c r="K19">
        <v>316</v>
      </c>
      <c r="L19">
        <v>406</v>
      </c>
      <c r="M19">
        <v>62</v>
      </c>
      <c r="N19">
        <v>64</v>
      </c>
      <c r="O19">
        <v>60</v>
      </c>
      <c r="P19">
        <v>62</v>
      </c>
      <c r="Q19">
        <v>66</v>
      </c>
      <c r="R19">
        <v>63</v>
      </c>
      <c r="S19">
        <v>63</v>
      </c>
      <c r="T19">
        <v>64</v>
      </c>
    </row>
    <row r="20" spans="1:20" x14ac:dyDescent="0.15">
      <c r="A20">
        <v>97281</v>
      </c>
      <c r="B20">
        <v>229015</v>
      </c>
      <c r="C20" t="s">
        <v>100</v>
      </c>
      <c r="D20" t="s">
        <v>85</v>
      </c>
      <c r="E20">
        <v>62</v>
      </c>
      <c r="F20">
        <v>83</v>
      </c>
      <c r="G20">
        <v>91</v>
      </c>
      <c r="H20">
        <v>75</v>
      </c>
      <c r="I20">
        <v>83</v>
      </c>
      <c r="J20">
        <v>236</v>
      </c>
      <c r="K20">
        <v>311</v>
      </c>
      <c r="L20">
        <v>394</v>
      </c>
      <c r="M20">
        <v>56</v>
      </c>
      <c r="N20">
        <v>61</v>
      </c>
      <c r="O20">
        <v>64</v>
      </c>
      <c r="P20">
        <v>64</v>
      </c>
      <c r="Q20">
        <v>62</v>
      </c>
      <c r="R20">
        <v>62</v>
      </c>
      <c r="S20">
        <v>63</v>
      </c>
      <c r="T20">
        <v>63</v>
      </c>
    </row>
    <row r="21" spans="1:20" x14ac:dyDescent="0.15">
      <c r="A21">
        <v>97281</v>
      </c>
      <c r="B21">
        <v>221016</v>
      </c>
      <c r="C21" t="s">
        <v>101</v>
      </c>
      <c r="D21" t="s">
        <v>85</v>
      </c>
      <c r="E21">
        <v>78</v>
      </c>
      <c r="F21">
        <v>69</v>
      </c>
      <c r="G21">
        <v>73</v>
      </c>
      <c r="H21">
        <v>50</v>
      </c>
      <c r="I21">
        <v>72</v>
      </c>
      <c r="J21">
        <v>220</v>
      </c>
      <c r="K21">
        <v>270</v>
      </c>
      <c r="L21">
        <v>342</v>
      </c>
      <c r="M21">
        <v>65</v>
      </c>
      <c r="N21">
        <v>55</v>
      </c>
      <c r="O21">
        <v>57</v>
      </c>
      <c r="P21">
        <v>51</v>
      </c>
      <c r="Q21">
        <v>56</v>
      </c>
      <c r="R21">
        <v>59</v>
      </c>
      <c r="S21">
        <v>57</v>
      </c>
      <c r="T21">
        <v>57</v>
      </c>
    </row>
    <row r="22" spans="1:20" x14ac:dyDescent="0.15">
      <c r="A22">
        <v>97282</v>
      </c>
      <c r="B22">
        <v>229001</v>
      </c>
      <c r="C22" t="s">
        <v>102</v>
      </c>
      <c r="D22" t="s">
        <v>85</v>
      </c>
      <c r="E22">
        <v>78</v>
      </c>
      <c r="F22">
        <v>64</v>
      </c>
      <c r="G22">
        <v>80</v>
      </c>
      <c r="H22">
        <v>49</v>
      </c>
      <c r="I22">
        <v>88</v>
      </c>
      <c r="J22">
        <v>222</v>
      </c>
      <c r="K22">
        <v>271</v>
      </c>
      <c r="L22">
        <v>359</v>
      </c>
      <c r="M22">
        <v>65</v>
      </c>
      <c r="N22">
        <v>52</v>
      </c>
      <c r="O22">
        <v>60</v>
      </c>
      <c r="P22">
        <v>50</v>
      </c>
      <c r="Q22">
        <v>65</v>
      </c>
      <c r="R22">
        <v>59</v>
      </c>
      <c r="S22">
        <v>57</v>
      </c>
      <c r="T22">
        <v>59</v>
      </c>
    </row>
    <row r="23" spans="1:20" x14ac:dyDescent="0.15">
      <c r="A23">
        <v>97282</v>
      </c>
      <c r="B23">
        <v>229002</v>
      </c>
      <c r="C23" t="s">
        <v>103</v>
      </c>
      <c r="D23" t="s">
        <v>85</v>
      </c>
      <c r="E23">
        <v>80</v>
      </c>
      <c r="F23">
        <v>75</v>
      </c>
      <c r="G23">
        <v>80</v>
      </c>
      <c r="H23">
        <v>57</v>
      </c>
      <c r="I23">
        <v>74</v>
      </c>
      <c r="J23">
        <v>235</v>
      </c>
      <c r="K23">
        <v>292</v>
      </c>
      <c r="L23">
        <v>366</v>
      </c>
      <c r="M23">
        <v>66</v>
      </c>
      <c r="N23">
        <v>57</v>
      </c>
      <c r="O23">
        <v>60</v>
      </c>
      <c r="P23">
        <v>54</v>
      </c>
      <c r="Q23">
        <v>57</v>
      </c>
      <c r="R23">
        <v>62</v>
      </c>
      <c r="S23">
        <v>60</v>
      </c>
      <c r="T23">
        <v>60</v>
      </c>
    </row>
    <row r="24" spans="1:20" x14ac:dyDescent="0.15">
      <c r="A24">
        <v>97282</v>
      </c>
      <c r="B24">
        <v>229003</v>
      </c>
      <c r="C24" t="s">
        <v>104</v>
      </c>
      <c r="D24" t="s">
        <v>85</v>
      </c>
      <c r="E24">
        <v>66</v>
      </c>
      <c r="F24">
        <v>63</v>
      </c>
      <c r="G24">
        <v>51</v>
      </c>
      <c r="H24">
        <v>35</v>
      </c>
      <c r="I24">
        <v>81</v>
      </c>
      <c r="J24">
        <v>180</v>
      </c>
      <c r="K24">
        <v>215</v>
      </c>
      <c r="L24">
        <v>296</v>
      </c>
      <c r="M24">
        <v>58</v>
      </c>
      <c r="N24">
        <v>52</v>
      </c>
      <c r="O24">
        <v>48</v>
      </c>
      <c r="P24">
        <v>43</v>
      </c>
      <c r="Q24">
        <v>61</v>
      </c>
      <c r="R24">
        <v>52</v>
      </c>
      <c r="S24">
        <v>50</v>
      </c>
      <c r="T24">
        <v>52</v>
      </c>
    </row>
    <row r="25" spans="1:20" x14ac:dyDescent="0.15">
      <c r="A25">
        <v>97282</v>
      </c>
      <c r="B25">
        <v>229004</v>
      </c>
      <c r="C25" t="s">
        <v>105</v>
      </c>
      <c r="D25" t="s">
        <v>85</v>
      </c>
      <c r="E25">
        <v>72</v>
      </c>
      <c r="F25">
        <v>80</v>
      </c>
      <c r="G25">
        <v>83</v>
      </c>
      <c r="H25">
        <v>62</v>
      </c>
      <c r="I25">
        <v>84</v>
      </c>
      <c r="J25">
        <v>235</v>
      </c>
      <c r="K25">
        <v>297</v>
      </c>
      <c r="L25">
        <v>381</v>
      </c>
      <c r="M25">
        <v>61</v>
      </c>
      <c r="N25">
        <v>59</v>
      </c>
      <c r="O25">
        <v>61</v>
      </c>
      <c r="P25">
        <v>57</v>
      </c>
      <c r="Q25">
        <v>63</v>
      </c>
      <c r="R25">
        <v>62</v>
      </c>
      <c r="S25">
        <v>61</v>
      </c>
      <c r="T25">
        <v>62</v>
      </c>
    </row>
    <row r="26" spans="1:20" x14ac:dyDescent="0.15">
      <c r="A26">
        <v>97282</v>
      </c>
      <c r="B26">
        <v>229005</v>
      </c>
      <c r="C26" t="s">
        <v>106</v>
      </c>
      <c r="D26" t="s">
        <v>85</v>
      </c>
      <c r="E26">
        <v>90</v>
      </c>
      <c r="F26">
        <v>100</v>
      </c>
      <c r="G26">
        <v>90</v>
      </c>
      <c r="H26">
        <v>92</v>
      </c>
      <c r="I26">
        <v>95</v>
      </c>
      <c r="J26">
        <v>280</v>
      </c>
      <c r="K26">
        <v>372</v>
      </c>
      <c r="L26">
        <v>467</v>
      </c>
      <c r="M26">
        <v>71</v>
      </c>
      <c r="N26">
        <v>68</v>
      </c>
      <c r="O26">
        <v>64</v>
      </c>
      <c r="P26">
        <v>73</v>
      </c>
      <c r="Q26">
        <v>69</v>
      </c>
      <c r="R26">
        <v>69</v>
      </c>
      <c r="S26">
        <v>71</v>
      </c>
      <c r="T26">
        <v>71</v>
      </c>
    </row>
    <row r="27" spans="1:20" x14ac:dyDescent="0.15">
      <c r="A27">
        <v>97282</v>
      </c>
      <c r="B27">
        <v>221006</v>
      </c>
      <c r="C27" t="s">
        <v>107</v>
      </c>
      <c r="D27" t="s">
        <v>85</v>
      </c>
      <c r="E27">
        <v>74</v>
      </c>
      <c r="F27">
        <v>69</v>
      </c>
      <c r="G27">
        <v>65</v>
      </c>
      <c r="H27">
        <v>45</v>
      </c>
      <c r="I27">
        <v>79</v>
      </c>
      <c r="J27">
        <v>208</v>
      </c>
      <c r="K27">
        <v>253</v>
      </c>
      <c r="L27">
        <v>332</v>
      </c>
      <c r="M27">
        <v>62</v>
      </c>
      <c r="N27">
        <v>55</v>
      </c>
      <c r="O27">
        <v>54</v>
      </c>
      <c r="P27">
        <v>48</v>
      </c>
      <c r="Q27">
        <v>60</v>
      </c>
      <c r="R27">
        <v>57</v>
      </c>
      <c r="S27">
        <v>55</v>
      </c>
      <c r="T27">
        <v>56</v>
      </c>
    </row>
    <row r="28" spans="1:20" x14ac:dyDescent="0.15">
      <c r="A28">
        <v>97282</v>
      </c>
      <c r="B28">
        <v>221007</v>
      </c>
      <c r="C28" t="s">
        <v>108</v>
      </c>
      <c r="D28" t="s">
        <v>85</v>
      </c>
      <c r="E28">
        <v>94</v>
      </c>
      <c r="F28">
        <v>96</v>
      </c>
      <c r="G28">
        <v>88</v>
      </c>
      <c r="H28">
        <v>90</v>
      </c>
      <c r="I28">
        <v>95</v>
      </c>
      <c r="J28">
        <v>278</v>
      </c>
      <c r="K28">
        <v>368</v>
      </c>
      <c r="L28">
        <v>463</v>
      </c>
      <c r="M28">
        <v>73</v>
      </c>
      <c r="N28">
        <v>66</v>
      </c>
      <c r="O28">
        <v>63</v>
      </c>
      <c r="P28">
        <v>72</v>
      </c>
      <c r="Q28">
        <v>69</v>
      </c>
      <c r="R28">
        <v>69</v>
      </c>
      <c r="S28">
        <v>70</v>
      </c>
      <c r="T28">
        <v>71</v>
      </c>
    </row>
    <row r="29" spans="1:20" x14ac:dyDescent="0.15">
      <c r="A29">
        <v>97282</v>
      </c>
      <c r="B29">
        <v>229008</v>
      </c>
      <c r="C29" t="s">
        <v>109</v>
      </c>
      <c r="D29" t="s">
        <v>85</v>
      </c>
      <c r="E29">
        <v>68</v>
      </c>
      <c r="F29">
        <v>65</v>
      </c>
      <c r="G29">
        <v>62</v>
      </c>
      <c r="H29">
        <v>48</v>
      </c>
      <c r="I29">
        <v>76</v>
      </c>
      <c r="J29">
        <v>195</v>
      </c>
      <c r="K29">
        <v>243</v>
      </c>
      <c r="L29">
        <v>319</v>
      </c>
      <c r="M29">
        <v>59</v>
      </c>
      <c r="N29">
        <v>53</v>
      </c>
      <c r="O29">
        <v>52</v>
      </c>
      <c r="P29">
        <v>50</v>
      </c>
      <c r="Q29">
        <v>58</v>
      </c>
      <c r="R29">
        <v>55</v>
      </c>
      <c r="S29">
        <v>54</v>
      </c>
      <c r="T29">
        <v>55</v>
      </c>
    </row>
    <row r="30" spans="1:20" x14ac:dyDescent="0.15">
      <c r="A30">
        <v>97282</v>
      </c>
      <c r="B30">
        <v>221009</v>
      </c>
      <c r="C30" t="s">
        <v>110</v>
      </c>
      <c r="D30" t="s">
        <v>85</v>
      </c>
      <c r="E30">
        <v>66</v>
      </c>
      <c r="F30">
        <v>72</v>
      </c>
      <c r="G30">
        <v>69</v>
      </c>
      <c r="H30">
        <v>45</v>
      </c>
      <c r="I30">
        <v>78</v>
      </c>
      <c r="J30">
        <v>207</v>
      </c>
      <c r="K30">
        <v>252</v>
      </c>
      <c r="L30">
        <v>330</v>
      </c>
      <c r="M30">
        <v>58</v>
      </c>
      <c r="N30">
        <v>56</v>
      </c>
      <c r="O30">
        <v>55</v>
      </c>
      <c r="P30">
        <v>48</v>
      </c>
      <c r="Q30">
        <v>59</v>
      </c>
      <c r="R30">
        <v>57</v>
      </c>
      <c r="S30">
        <v>55</v>
      </c>
      <c r="T30">
        <v>56</v>
      </c>
    </row>
    <row r="31" spans="1:20" x14ac:dyDescent="0.15">
      <c r="A31">
        <v>97282</v>
      </c>
      <c r="B31">
        <v>229011</v>
      </c>
      <c r="C31" t="s">
        <v>111</v>
      </c>
      <c r="D31" t="s">
        <v>85</v>
      </c>
      <c r="E31">
        <v>70</v>
      </c>
      <c r="F31">
        <v>45</v>
      </c>
      <c r="G31">
        <v>35</v>
      </c>
      <c r="H31">
        <v>49</v>
      </c>
      <c r="I31">
        <v>82</v>
      </c>
      <c r="J31">
        <v>150</v>
      </c>
      <c r="K31">
        <v>199</v>
      </c>
      <c r="L31">
        <v>281</v>
      </c>
      <c r="M31">
        <v>60</v>
      </c>
      <c r="N31">
        <v>44</v>
      </c>
      <c r="O31">
        <v>42</v>
      </c>
      <c r="P31">
        <v>50</v>
      </c>
      <c r="Q31">
        <v>62</v>
      </c>
      <c r="R31">
        <v>47</v>
      </c>
      <c r="S31">
        <v>48</v>
      </c>
      <c r="T31">
        <v>51</v>
      </c>
    </row>
    <row r="32" spans="1:20" x14ac:dyDescent="0.15">
      <c r="A32">
        <v>97282</v>
      </c>
      <c r="B32">
        <v>229012</v>
      </c>
      <c r="C32" t="s">
        <v>112</v>
      </c>
      <c r="D32" t="s">
        <v>85</v>
      </c>
      <c r="E32">
        <v>62</v>
      </c>
      <c r="F32">
        <v>76</v>
      </c>
      <c r="G32">
        <v>78</v>
      </c>
      <c r="H32">
        <v>45</v>
      </c>
      <c r="I32">
        <v>79</v>
      </c>
      <c r="J32">
        <v>216</v>
      </c>
      <c r="K32">
        <v>261</v>
      </c>
      <c r="L32">
        <v>340</v>
      </c>
      <c r="M32">
        <v>56</v>
      </c>
      <c r="N32">
        <v>58</v>
      </c>
      <c r="O32">
        <v>59</v>
      </c>
      <c r="P32">
        <v>48</v>
      </c>
      <c r="Q32">
        <v>60</v>
      </c>
      <c r="R32">
        <v>58</v>
      </c>
      <c r="S32">
        <v>56</v>
      </c>
      <c r="T32">
        <v>57</v>
      </c>
    </row>
    <row r="33" spans="1:20" x14ac:dyDescent="0.15">
      <c r="A33">
        <v>97282</v>
      </c>
      <c r="B33">
        <v>221013</v>
      </c>
      <c r="C33" t="s">
        <v>113</v>
      </c>
      <c r="D33" t="s">
        <v>85</v>
      </c>
      <c r="E33">
        <v>74</v>
      </c>
      <c r="F33">
        <v>89</v>
      </c>
      <c r="G33">
        <v>80</v>
      </c>
      <c r="H33">
        <v>85</v>
      </c>
      <c r="I33">
        <v>94</v>
      </c>
      <c r="J33">
        <v>243</v>
      </c>
      <c r="K33">
        <v>328</v>
      </c>
      <c r="L33">
        <v>422</v>
      </c>
      <c r="M33">
        <v>62</v>
      </c>
      <c r="N33">
        <v>63</v>
      </c>
      <c r="O33">
        <v>60</v>
      </c>
      <c r="P33">
        <v>69</v>
      </c>
      <c r="Q33">
        <v>69</v>
      </c>
      <c r="R33">
        <v>63</v>
      </c>
      <c r="S33">
        <v>65</v>
      </c>
      <c r="T33">
        <v>66</v>
      </c>
    </row>
    <row r="34" spans="1:20" x14ac:dyDescent="0.15">
      <c r="A34">
        <v>97282</v>
      </c>
      <c r="B34">
        <v>229014</v>
      </c>
      <c r="C34" t="s">
        <v>114</v>
      </c>
      <c r="D34" t="s">
        <v>85</v>
      </c>
      <c r="E34">
        <v>82</v>
      </c>
      <c r="F34">
        <v>77</v>
      </c>
      <c r="G34">
        <v>84</v>
      </c>
      <c r="H34">
        <v>75</v>
      </c>
      <c r="I34">
        <v>83</v>
      </c>
      <c r="J34">
        <v>243</v>
      </c>
      <c r="K34">
        <v>318</v>
      </c>
      <c r="L34">
        <v>401</v>
      </c>
      <c r="M34">
        <v>67</v>
      </c>
      <c r="N34">
        <v>58</v>
      </c>
      <c r="O34">
        <v>61</v>
      </c>
      <c r="P34">
        <v>64</v>
      </c>
      <c r="Q34">
        <v>62</v>
      </c>
      <c r="R34">
        <v>63</v>
      </c>
      <c r="S34">
        <v>64</v>
      </c>
      <c r="T34">
        <v>64</v>
      </c>
    </row>
    <row r="35" spans="1:20" x14ac:dyDescent="0.15">
      <c r="A35">
        <v>97282</v>
      </c>
      <c r="B35">
        <v>221015</v>
      </c>
      <c r="C35" t="s">
        <v>115</v>
      </c>
      <c r="D35" t="s">
        <v>85</v>
      </c>
      <c r="E35">
        <v>54</v>
      </c>
      <c r="F35">
        <v>63</v>
      </c>
      <c r="G35">
        <v>63</v>
      </c>
      <c r="H35">
        <v>49</v>
      </c>
      <c r="I35">
        <v>79</v>
      </c>
      <c r="J35">
        <v>180</v>
      </c>
      <c r="K35">
        <v>229</v>
      </c>
      <c r="L35">
        <v>308</v>
      </c>
      <c r="M35">
        <v>52</v>
      </c>
      <c r="N35">
        <v>52</v>
      </c>
      <c r="O35">
        <v>53</v>
      </c>
      <c r="P35">
        <v>50</v>
      </c>
      <c r="Q35">
        <v>60</v>
      </c>
      <c r="R35">
        <v>52</v>
      </c>
      <c r="S35">
        <v>52</v>
      </c>
      <c r="T35">
        <v>54</v>
      </c>
    </row>
    <row r="36" spans="1:20" x14ac:dyDescent="0.15">
      <c r="A36">
        <v>97282</v>
      </c>
      <c r="B36">
        <v>221016</v>
      </c>
      <c r="C36" t="s">
        <v>116</v>
      </c>
      <c r="D36" t="s">
        <v>85</v>
      </c>
      <c r="E36">
        <v>64</v>
      </c>
      <c r="F36">
        <v>85</v>
      </c>
      <c r="G36">
        <v>83</v>
      </c>
      <c r="H36">
        <v>74</v>
      </c>
      <c r="I36">
        <v>94</v>
      </c>
      <c r="J36">
        <v>232</v>
      </c>
      <c r="K36">
        <v>306</v>
      </c>
      <c r="L36">
        <v>400</v>
      </c>
      <c r="M36">
        <v>57</v>
      </c>
      <c r="N36">
        <v>62</v>
      </c>
      <c r="O36">
        <v>61</v>
      </c>
      <c r="P36">
        <v>63</v>
      </c>
      <c r="Q36">
        <v>69</v>
      </c>
      <c r="R36">
        <v>61</v>
      </c>
      <c r="S36">
        <v>62</v>
      </c>
      <c r="T36">
        <v>64</v>
      </c>
    </row>
  </sheetData>
  <phoneticPr fontId="18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抽出コピペ">
                <anchor moveWithCells="1" sizeWithCells="1">
                  <from>
                    <xdr:col>2</xdr:col>
                    <xdr:colOff>323850</xdr:colOff>
                    <xdr:row>0</xdr:row>
                    <xdr:rowOff>142875</xdr:rowOff>
                  </from>
                  <to>
                    <xdr:col>2</xdr:col>
                    <xdr:colOff>838200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O33"/>
  <sheetViews>
    <sheetView workbookViewId="0">
      <selection activeCell="V9" sqref="V9"/>
    </sheetView>
  </sheetViews>
  <sheetFormatPr defaultRowHeight="13.5" x14ac:dyDescent="0.15"/>
  <sheetData>
    <row r="1" spans="1:15" x14ac:dyDescent="0.15">
      <c r="A1" t="s">
        <v>0</v>
      </c>
      <c r="B1" t="s">
        <v>1</v>
      </c>
      <c r="C1" t="s">
        <v>2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15">
      <c r="A2">
        <v>97281</v>
      </c>
      <c r="B2">
        <v>221001</v>
      </c>
      <c r="C2" t="s">
        <v>86</v>
      </c>
      <c r="D2">
        <v>30</v>
      </c>
      <c r="E2">
        <v>38</v>
      </c>
      <c r="F2">
        <v>28</v>
      </c>
      <c r="G2">
        <v>37</v>
      </c>
      <c r="H2">
        <v>25</v>
      </c>
      <c r="I2">
        <v>28</v>
      </c>
      <c r="J2">
        <v>22</v>
      </c>
      <c r="K2">
        <v>36</v>
      </c>
      <c r="L2">
        <v>80</v>
      </c>
      <c r="M2">
        <v>60</v>
      </c>
      <c r="N2">
        <v>185</v>
      </c>
      <c r="O2">
        <v>40</v>
      </c>
    </row>
    <row r="3" spans="1:15" x14ac:dyDescent="0.15">
      <c r="A3">
        <v>97281</v>
      </c>
      <c r="B3">
        <v>229002</v>
      </c>
      <c r="C3" t="s">
        <v>87</v>
      </c>
      <c r="D3">
        <v>80</v>
      </c>
      <c r="E3">
        <v>66</v>
      </c>
      <c r="F3">
        <v>75</v>
      </c>
      <c r="G3">
        <v>57</v>
      </c>
      <c r="H3">
        <v>100</v>
      </c>
      <c r="I3">
        <v>72</v>
      </c>
      <c r="J3">
        <v>80</v>
      </c>
      <c r="K3">
        <v>67</v>
      </c>
      <c r="L3">
        <v>94</v>
      </c>
      <c r="M3">
        <v>65</v>
      </c>
      <c r="N3">
        <v>429</v>
      </c>
      <c r="O3">
        <v>67</v>
      </c>
    </row>
    <row r="4" spans="1:15" x14ac:dyDescent="0.15">
      <c r="A4">
        <v>97281</v>
      </c>
      <c r="B4">
        <v>221003</v>
      </c>
      <c r="C4" t="s">
        <v>88</v>
      </c>
      <c r="D4">
        <v>80</v>
      </c>
      <c r="E4">
        <v>66</v>
      </c>
      <c r="F4">
        <v>79</v>
      </c>
      <c r="G4">
        <v>59</v>
      </c>
      <c r="H4">
        <v>85</v>
      </c>
      <c r="I4">
        <v>63</v>
      </c>
      <c r="J4">
        <v>62</v>
      </c>
      <c r="K4">
        <v>57</v>
      </c>
      <c r="L4">
        <v>92</v>
      </c>
      <c r="M4">
        <v>64</v>
      </c>
      <c r="N4">
        <v>398</v>
      </c>
      <c r="O4">
        <v>64</v>
      </c>
    </row>
    <row r="5" spans="1:15" x14ac:dyDescent="0.15">
      <c r="A5">
        <v>97281</v>
      </c>
      <c r="B5">
        <v>229004</v>
      </c>
      <c r="C5" t="s">
        <v>89</v>
      </c>
      <c r="D5">
        <v>68</v>
      </c>
      <c r="E5">
        <v>59</v>
      </c>
      <c r="F5">
        <v>74</v>
      </c>
      <c r="G5">
        <v>57</v>
      </c>
      <c r="H5">
        <v>80</v>
      </c>
      <c r="I5">
        <v>60</v>
      </c>
      <c r="J5">
        <v>51</v>
      </c>
      <c r="K5">
        <v>51</v>
      </c>
      <c r="L5">
        <v>78</v>
      </c>
      <c r="M5">
        <v>59</v>
      </c>
      <c r="N5">
        <v>351</v>
      </c>
      <c r="O5">
        <v>58</v>
      </c>
    </row>
    <row r="6" spans="1:15" x14ac:dyDescent="0.15">
      <c r="A6">
        <v>97281</v>
      </c>
      <c r="B6">
        <v>221005</v>
      </c>
      <c r="C6" t="s">
        <v>90</v>
      </c>
      <c r="D6">
        <v>68</v>
      </c>
      <c r="E6">
        <v>59</v>
      </c>
      <c r="F6">
        <v>93</v>
      </c>
      <c r="G6">
        <v>65</v>
      </c>
      <c r="H6">
        <v>97</v>
      </c>
      <c r="I6">
        <v>70</v>
      </c>
      <c r="J6">
        <v>63</v>
      </c>
      <c r="K6">
        <v>58</v>
      </c>
      <c r="L6">
        <v>87</v>
      </c>
      <c r="M6">
        <v>62</v>
      </c>
      <c r="N6">
        <v>408</v>
      </c>
      <c r="O6">
        <v>65</v>
      </c>
    </row>
    <row r="7" spans="1:15" x14ac:dyDescent="0.15">
      <c r="A7">
        <v>97281</v>
      </c>
      <c r="B7">
        <v>221006</v>
      </c>
      <c r="C7" t="s">
        <v>91</v>
      </c>
      <c r="D7">
        <v>50</v>
      </c>
      <c r="E7">
        <v>49</v>
      </c>
      <c r="F7">
        <v>41</v>
      </c>
      <c r="G7">
        <v>42</v>
      </c>
      <c r="H7">
        <v>66</v>
      </c>
      <c r="I7">
        <v>52</v>
      </c>
      <c r="J7">
        <v>24</v>
      </c>
      <c r="K7">
        <v>37</v>
      </c>
      <c r="L7">
        <v>24</v>
      </c>
      <c r="M7">
        <v>37</v>
      </c>
      <c r="N7">
        <v>205</v>
      </c>
      <c r="O7">
        <v>42</v>
      </c>
    </row>
    <row r="8" spans="1:15" x14ac:dyDescent="0.15">
      <c r="A8">
        <v>97281</v>
      </c>
      <c r="B8">
        <v>229007</v>
      </c>
      <c r="C8" t="s">
        <v>92</v>
      </c>
      <c r="D8">
        <v>68</v>
      </c>
      <c r="E8">
        <v>59</v>
      </c>
      <c r="F8">
        <v>39</v>
      </c>
      <c r="G8">
        <v>41</v>
      </c>
      <c r="H8">
        <v>76</v>
      </c>
      <c r="I8">
        <v>58</v>
      </c>
      <c r="J8">
        <v>56</v>
      </c>
      <c r="K8">
        <v>54</v>
      </c>
      <c r="L8">
        <v>60</v>
      </c>
      <c r="M8">
        <v>52</v>
      </c>
      <c r="N8">
        <v>299</v>
      </c>
      <c r="O8">
        <v>53</v>
      </c>
    </row>
    <row r="9" spans="1:15" x14ac:dyDescent="0.15">
      <c r="A9">
        <v>97281</v>
      </c>
      <c r="B9">
        <v>221008</v>
      </c>
      <c r="C9" t="s">
        <v>93</v>
      </c>
      <c r="D9">
        <v>54</v>
      </c>
      <c r="E9">
        <v>52</v>
      </c>
      <c r="F9">
        <v>87</v>
      </c>
      <c r="G9">
        <v>62</v>
      </c>
      <c r="H9">
        <v>77</v>
      </c>
      <c r="I9">
        <v>59</v>
      </c>
      <c r="J9">
        <v>53</v>
      </c>
      <c r="K9">
        <v>52</v>
      </c>
      <c r="L9">
        <v>69</v>
      </c>
      <c r="M9">
        <v>55</v>
      </c>
      <c r="N9">
        <v>340</v>
      </c>
      <c r="O9">
        <v>57</v>
      </c>
    </row>
    <row r="10" spans="1:15" x14ac:dyDescent="0.15">
      <c r="A10">
        <v>97281</v>
      </c>
      <c r="B10">
        <v>229009</v>
      </c>
      <c r="C10" t="s">
        <v>94</v>
      </c>
      <c r="D10">
        <v>80</v>
      </c>
      <c r="E10">
        <v>66</v>
      </c>
      <c r="F10">
        <v>86</v>
      </c>
      <c r="G10">
        <v>62</v>
      </c>
      <c r="H10">
        <v>89</v>
      </c>
      <c r="I10">
        <v>66</v>
      </c>
      <c r="J10">
        <v>75</v>
      </c>
      <c r="K10">
        <v>64</v>
      </c>
      <c r="L10">
        <v>92</v>
      </c>
      <c r="M10">
        <v>64</v>
      </c>
      <c r="N10">
        <v>422</v>
      </c>
      <c r="O10">
        <v>66</v>
      </c>
    </row>
    <row r="11" spans="1:15" x14ac:dyDescent="0.15">
      <c r="A11">
        <v>97281</v>
      </c>
      <c r="B11">
        <v>229010</v>
      </c>
      <c r="C11" t="s">
        <v>95</v>
      </c>
      <c r="D11">
        <v>76</v>
      </c>
      <c r="E11">
        <v>64</v>
      </c>
      <c r="F11">
        <v>97</v>
      </c>
      <c r="G11">
        <v>67</v>
      </c>
      <c r="H11">
        <v>81</v>
      </c>
      <c r="I11">
        <v>61</v>
      </c>
      <c r="J11">
        <v>73</v>
      </c>
      <c r="K11">
        <v>63</v>
      </c>
      <c r="L11">
        <v>77</v>
      </c>
      <c r="M11">
        <v>58</v>
      </c>
      <c r="N11">
        <v>404</v>
      </c>
      <c r="O11">
        <v>64</v>
      </c>
    </row>
    <row r="12" spans="1:15" x14ac:dyDescent="0.15">
      <c r="A12">
        <v>97281</v>
      </c>
      <c r="B12">
        <v>229011</v>
      </c>
      <c r="C12" t="s">
        <v>96</v>
      </c>
      <c r="D12">
        <v>82</v>
      </c>
      <c r="E12">
        <v>67</v>
      </c>
      <c r="F12">
        <v>56</v>
      </c>
      <c r="G12">
        <v>49</v>
      </c>
      <c r="H12">
        <v>84</v>
      </c>
      <c r="I12">
        <v>63</v>
      </c>
      <c r="J12">
        <v>51</v>
      </c>
      <c r="K12">
        <v>51</v>
      </c>
      <c r="L12">
        <v>72</v>
      </c>
      <c r="M12">
        <v>56</v>
      </c>
      <c r="N12">
        <v>345</v>
      </c>
      <c r="O12">
        <v>58</v>
      </c>
    </row>
    <row r="13" spans="1:15" x14ac:dyDescent="0.15">
      <c r="A13">
        <v>97281</v>
      </c>
      <c r="B13">
        <v>229012</v>
      </c>
      <c r="C13" t="s">
        <v>97</v>
      </c>
      <c r="D13">
        <v>60</v>
      </c>
      <c r="E13">
        <v>55</v>
      </c>
      <c r="F13">
        <v>71</v>
      </c>
      <c r="G13">
        <v>55</v>
      </c>
      <c r="H13">
        <v>87</v>
      </c>
      <c r="I13">
        <v>65</v>
      </c>
      <c r="J13">
        <v>62</v>
      </c>
      <c r="K13">
        <v>57</v>
      </c>
      <c r="L13">
        <v>66</v>
      </c>
      <c r="M13">
        <v>54</v>
      </c>
      <c r="N13">
        <v>346</v>
      </c>
      <c r="O13">
        <v>58</v>
      </c>
    </row>
    <row r="14" spans="1:15" x14ac:dyDescent="0.15">
      <c r="A14">
        <v>97281</v>
      </c>
      <c r="B14">
        <v>229013</v>
      </c>
      <c r="C14" t="s">
        <v>98</v>
      </c>
      <c r="D14">
        <v>46</v>
      </c>
      <c r="E14">
        <v>47</v>
      </c>
      <c r="F14">
        <v>47</v>
      </c>
      <c r="G14">
        <v>45</v>
      </c>
      <c r="H14">
        <v>85</v>
      </c>
      <c r="I14">
        <v>63</v>
      </c>
      <c r="J14">
        <v>49</v>
      </c>
      <c r="K14">
        <v>50</v>
      </c>
      <c r="L14">
        <v>58</v>
      </c>
      <c r="M14">
        <v>51</v>
      </c>
      <c r="N14">
        <v>285</v>
      </c>
      <c r="O14">
        <v>51</v>
      </c>
    </row>
    <row r="15" spans="1:15" x14ac:dyDescent="0.15">
      <c r="A15">
        <v>97281</v>
      </c>
      <c r="B15">
        <v>229014</v>
      </c>
      <c r="C15" t="s">
        <v>99</v>
      </c>
      <c r="D15">
        <v>74</v>
      </c>
      <c r="E15">
        <v>62</v>
      </c>
      <c r="F15">
        <v>90</v>
      </c>
      <c r="G15">
        <v>64</v>
      </c>
      <c r="H15">
        <v>90</v>
      </c>
      <c r="I15">
        <v>66</v>
      </c>
      <c r="J15">
        <v>72</v>
      </c>
      <c r="K15">
        <v>62</v>
      </c>
      <c r="L15">
        <v>80</v>
      </c>
      <c r="M15">
        <v>60</v>
      </c>
      <c r="N15">
        <v>406</v>
      </c>
      <c r="O15">
        <v>64</v>
      </c>
    </row>
    <row r="16" spans="1:15" x14ac:dyDescent="0.15">
      <c r="A16">
        <v>97281</v>
      </c>
      <c r="B16">
        <v>229015</v>
      </c>
      <c r="C16" t="s">
        <v>100</v>
      </c>
      <c r="D16">
        <v>62</v>
      </c>
      <c r="E16">
        <v>56</v>
      </c>
      <c r="F16">
        <v>83</v>
      </c>
      <c r="G16">
        <v>61</v>
      </c>
      <c r="H16">
        <v>83</v>
      </c>
      <c r="I16">
        <v>62</v>
      </c>
      <c r="J16">
        <v>75</v>
      </c>
      <c r="K16">
        <v>64</v>
      </c>
      <c r="L16">
        <v>91</v>
      </c>
      <c r="M16">
        <v>64</v>
      </c>
      <c r="N16">
        <v>394</v>
      </c>
      <c r="O16">
        <v>63</v>
      </c>
    </row>
    <row r="17" spans="1:15" x14ac:dyDescent="0.15">
      <c r="A17">
        <v>97281</v>
      </c>
      <c r="B17">
        <v>221016</v>
      </c>
      <c r="C17" t="s">
        <v>101</v>
      </c>
      <c r="D17">
        <v>78</v>
      </c>
      <c r="E17">
        <v>65</v>
      </c>
      <c r="F17">
        <v>69</v>
      </c>
      <c r="G17">
        <v>55</v>
      </c>
      <c r="H17">
        <v>72</v>
      </c>
      <c r="I17">
        <v>56</v>
      </c>
      <c r="J17">
        <v>50</v>
      </c>
      <c r="K17">
        <v>51</v>
      </c>
      <c r="L17">
        <v>73</v>
      </c>
      <c r="M17">
        <v>57</v>
      </c>
      <c r="N17">
        <v>342</v>
      </c>
      <c r="O17">
        <v>57</v>
      </c>
    </row>
    <row r="18" spans="1:15" x14ac:dyDescent="0.15">
      <c r="A18">
        <v>97282</v>
      </c>
      <c r="B18">
        <v>229001</v>
      </c>
      <c r="C18" t="s">
        <v>102</v>
      </c>
      <c r="D18">
        <v>78</v>
      </c>
      <c r="E18">
        <v>65</v>
      </c>
      <c r="F18">
        <v>64</v>
      </c>
      <c r="G18">
        <v>52</v>
      </c>
      <c r="H18">
        <v>88</v>
      </c>
      <c r="I18">
        <v>65</v>
      </c>
      <c r="J18">
        <v>49</v>
      </c>
      <c r="K18">
        <v>50</v>
      </c>
      <c r="L18">
        <v>80</v>
      </c>
      <c r="M18">
        <v>60</v>
      </c>
      <c r="N18">
        <v>359</v>
      </c>
      <c r="O18">
        <v>59</v>
      </c>
    </row>
    <row r="19" spans="1:15" x14ac:dyDescent="0.15">
      <c r="A19">
        <v>97282</v>
      </c>
      <c r="B19">
        <v>229002</v>
      </c>
      <c r="C19" t="s">
        <v>103</v>
      </c>
      <c r="D19">
        <v>80</v>
      </c>
      <c r="E19">
        <v>66</v>
      </c>
      <c r="F19">
        <v>75</v>
      </c>
      <c r="G19">
        <v>57</v>
      </c>
      <c r="H19">
        <v>74</v>
      </c>
      <c r="I19">
        <v>57</v>
      </c>
      <c r="J19">
        <v>57</v>
      </c>
      <c r="K19">
        <v>54</v>
      </c>
      <c r="L19">
        <v>80</v>
      </c>
      <c r="M19">
        <v>60</v>
      </c>
      <c r="N19">
        <v>366</v>
      </c>
      <c r="O19">
        <v>60</v>
      </c>
    </row>
    <row r="20" spans="1:15" x14ac:dyDescent="0.15">
      <c r="A20">
        <v>97282</v>
      </c>
      <c r="B20">
        <v>229003</v>
      </c>
      <c r="C20" t="s">
        <v>104</v>
      </c>
      <c r="D20">
        <v>66</v>
      </c>
      <c r="E20">
        <v>58</v>
      </c>
      <c r="F20">
        <v>63</v>
      </c>
      <c r="G20">
        <v>52</v>
      </c>
      <c r="H20">
        <v>81</v>
      </c>
      <c r="I20">
        <v>61</v>
      </c>
      <c r="J20">
        <v>35</v>
      </c>
      <c r="K20">
        <v>43</v>
      </c>
      <c r="L20">
        <v>51</v>
      </c>
      <c r="M20">
        <v>48</v>
      </c>
      <c r="N20">
        <v>296</v>
      </c>
      <c r="O20">
        <v>52</v>
      </c>
    </row>
    <row r="21" spans="1:15" x14ac:dyDescent="0.15">
      <c r="A21">
        <v>97282</v>
      </c>
      <c r="B21">
        <v>229004</v>
      </c>
      <c r="C21" t="s">
        <v>105</v>
      </c>
      <c r="D21">
        <v>72</v>
      </c>
      <c r="E21">
        <v>61</v>
      </c>
      <c r="F21">
        <v>80</v>
      </c>
      <c r="G21">
        <v>59</v>
      </c>
      <c r="H21">
        <v>84</v>
      </c>
      <c r="I21">
        <v>63</v>
      </c>
      <c r="J21">
        <v>62</v>
      </c>
      <c r="K21">
        <v>57</v>
      </c>
      <c r="L21">
        <v>83</v>
      </c>
      <c r="M21">
        <v>61</v>
      </c>
      <c r="N21">
        <v>381</v>
      </c>
      <c r="O21">
        <v>62</v>
      </c>
    </row>
    <row r="22" spans="1:15" x14ac:dyDescent="0.15">
      <c r="A22">
        <v>97282</v>
      </c>
      <c r="B22">
        <v>229005</v>
      </c>
      <c r="C22" t="s">
        <v>106</v>
      </c>
      <c r="D22">
        <v>90</v>
      </c>
      <c r="E22">
        <v>71</v>
      </c>
      <c r="F22">
        <v>100</v>
      </c>
      <c r="G22">
        <v>68</v>
      </c>
      <c r="H22">
        <v>95</v>
      </c>
      <c r="I22">
        <v>69</v>
      </c>
      <c r="J22">
        <v>92</v>
      </c>
      <c r="K22">
        <v>73</v>
      </c>
      <c r="L22">
        <v>90</v>
      </c>
      <c r="M22">
        <v>64</v>
      </c>
      <c r="N22">
        <v>467</v>
      </c>
      <c r="O22">
        <v>71</v>
      </c>
    </row>
    <row r="23" spans="1:15" x14ac:dyDescent="0.15">
      <c r="A23">
        <v>97282</v>
      </c>
      <c r="B23">
        <v>221006</v>
      </c>
      <c r="C23" t="s">
        <v>107</v>
      </c>
      <c r="D23">
        <v>74</v>
      </c>
      <c r="E23">
        <v>62</v>
      </c>
      <c r="F23">
        <v>69</v>
      </c>
      <c r="G23">
        <v>55</v>
      </c>
      <c r="H23">
        <v>79</v>
      </c>
      <c r="I23">
        <v>60</v>
      </c>
      <c r="J23">
        <v>45</v>
      </c>
      <c r="K23">
        <v>48</v>
      </c>
      <c r="L23">
        <v>65</v>
      </c>
      <c r="M23">
        <v>54</v>
      </c>
      <c r="N23">
        <v>332</v>
      </c>
      <c r="O23">
        <v>56</v>
      </c>
    </row>
    <row r="24" spans="1:15" x14ac:dyDescent="0.15">
      <c r="A24">
        <v>97282</v>
      </c>
      <c r="B24">
        <v>221007</v>
      </c>
      <c r="C24" t="s">
        <v>108</v>
      </c>
      <c r="D24">
        <v>94</v>
      </c>
      <c r="E24">
        <v>73</v>
      </c>
      <c r="F24">
        <v>96</v>
      </c>
      <c r="G24">
        <v>66</v>
      </c>
      <c r="H24">
        <v>95</v>
      </c>
      <c r="I24">
        <v>69</v>
      </c>
      <c r="J24">
        <v>90</v>
      </c>
      <c r="K24">
        <v>72</v>
      </c>
      <c r="L24">
        <v>88</v>
      </c>
      <c r="M24">
        <v>63</v>
      </c>
      <c r="N24">
        <v>463</v>
      </c>
      <c r="O24">
        <v>71</v>
      </c>
    </row>
    <row r="25" spans="1:15" x14ac:dyDescent="0.15">
      <c r="A25">
        <v>97282</v>
      </c>
      <c r="B25">
        <v>229008</v>
      </c>
      <c r="C25" t="s">
        <v>109</v>
      </c>
      <c r="D25">
        <v>68</v>
      </c>
      <c r="E25">
        <v>59</v>
      </c>
      <c r="F25">
        <v>65</v>
      </c>
      <c r="G25">
        <v>53</v>
      </c>
      <c r="H25">
        <v>76</v>
      </c>
      <c r="I25">
        <v>58</v>
      </c>
      <c r="J25">
        <v>48</v>
      </c>
      <c r="K25">
        <v>50</v>
      </c>
      <c r="L25">
        <v>62</v>
      </c>
      <c r="M25">
        <v>52</v>
      </c>
      <c r="N25">
        <v>319</v>
      </c>
      <c r="O25">
        <v>55</v>
      </c>
    </row>
    <row r="26" spans="1:15" x14ac:dyDescent="0.15">
      <c r="A26">
        <v>97282</v>
      </c>
      <c r="B26">
        <v>221009</v>
      </c>
      <c r="C26" t="s">
        <v>110</v>
      </c>
      <c r="D26">
        <v>66</v>
      </c>
      <c r="E26">
        <v>58</v>
      </c>
      <c r="F26">
        <v>72</v>
      </c>
      <c r="G26">
        <v>56</v>
      </c>
      <c r="H26">
        <v>78</v>
      </c>
      <c r="I26">
        <v>59</v>
      </c>
      <c r="J26">
        <v>45</v>
      </c>
      <c r="K26">
        <v>48</v>
      </c>
      <c r="L26">
        <v>69</v>
      </c>
      <c r="M26">
        <v>55</v>
      </c>
      <c r="N26">
        <v>330</v>
      </c>
      <c r="O26">
        <v>56</v>
      </c>
    </row>
    <row r="28" spans="1:15" x14ac:dyDescent="0.15">
      <c r="A28">
        <v>97282</v>
      </c>
      <c r="B28">
        <v>229011</v>
      </c>
      <c r="C28" t="s">
        <v>111</v>
      </c>
      <c r="D28">
        <v>70</v>
      </c>
      <c r="E28">
        <v>60</v>
      </c>
      <c r="F28">
        <v>45</v>
      </c>
      <c r="G28">
        <v>44</v>
      </c>
      <c r="H28">
        <v>82</v>
      </c>
      <c r="I28">
        <v>62</v>
      </c>
      <c r="J28">
        <v>49</v>
      </c>
      <c r="K28">
        <v>50</v>
      </c>
      <c r="L28">
        <v>35</v>
      </c>
      <c r="M28">
        <v>42</v>
      </c>
      <c r="N28">
        <v>281</v>
      </c>
      <c r="O28">
        <v>51</v>
      </c>
    </row>
    <row r="29" spans="1:15" x14ac:dyDescent="0.15">
      <c r="A29">
        <v>97282</v>
      </c>
      <c r="B29">
        <v>229012</v>
      </c>
      <c r="C29" t="s">
        <v>112</v>
      </c>
      <c r="D29">
        <v>62</v>
      </c>
      <c r="E29">
        <v>56</v>
      </c>
      <c r="F29">
        <v>76</v>
      </c>
      <c r="G29">
        <v>58</v>
      </c>
      <c r="H29">
        <v>79</v>
      </c>
      <c r="I29">
        <v>60</v>
      </c>
      <c r="J29">
        <v>45</v>
      </c>
      <c r="K29">
        <v>48</v>
      </c>
      <c r="L29">
        <v>78</v>
      </c>
      <c r="M29">
        <v>59</v>
      </c>
      <c r="N29">
        <v>340</v>
      </c>
      <c r="O29">
        <v>57</v>
      </c>
    </row>
    <row r="30" spans="1:15" x14ac:dyDescent="0.15">
      <c r="A30">
        <v>97282</v>
      </c>
      <c r="B30">
        <v>221013</v>
      </c>
      <c r="C30" t="s">
        <v>113</v>
      </c>
      <c r="D30">
        <v>74</v>
      </c>
      <c r="E30">
        <v>62</v>
      </c>
      <c r="F30">
        <v>89</v>
      </c>
      <c r="G30">
        <v>63</v>
      </c>
      <c r="H30">
        <v>94</v>
      </c>
      <c r="I30">
        <v>69</v>
      </c>
      <c r="J30">
        <v>85</v>
      </c>
      <c r="K30">
        <v>69</v>
      </c>
      <c r="L30">
        <v>80</v>
      </c>
      <c r="M30">
        <v>60</v>
      </c>
      <c r="N30">
        <v>422</v>
      </c>
      <c r="O30">
        <v>66</v>
      </c>
    </row>
    <row r="31" spans="1:15" x14ac:dyDescent="0.15">
      <c r="A31">
        <v>97282</v>
      </c>
      <c r="B31">
        <v>229014</v>
      </c>
      <c r="C31" t="s">
        <v>114</v>
      </c>
      <c r="D31">
        <v>82</v>
      </c>
      <c r="E31">
        <v>67</v>
      </c>
      <c r="F31">
        <v>77</v>
      </c>
      <c r="G31">
        <v>58</v>
      </c>
      <c r="H31">
        <v>83</v>
      </c>
      <c r="I31">
        <v>62</v>
      </c>
      <c r="J31">
        <v>75</v>
      </c>
      <c r="K31">
        <v>64</v>
      </c>
      <c r="L31">
        <v>84</v>
      </c>
      <c r="M31">
        <v>61</v>
      </c>
      <c r="N31">
        <v>401</v>
      </c>
      <c r="O31">
        <v>64</v>
      </c>
    </row>
    <row r="32" spans="1:15" x14ac:dyDescent="0.15">
      <c r="A32">
        <v>97282</v>
      </c>
      <c r="B32">
        <v>221015</v>
      </c>
      <c r="C32" t="s">
        <v>115</v>
      </c>
      <c r="D32">
        <v>54</v>
      </c>
      <c r="E32">
        <v>52</v>
      </c>
      <c r="F32">
        <v>63</v>
      </c>
      <c r="G32">
        <v>52</v>
      </c>
      <c r="H32">
        <v>79</v>
      </c>
      <c r="I32">
        <v>60</v>
      </c>
      <c r="J32">
        <v>49</v>
      </c>
      <c r="K32">
        <v>50</v>
      </c>
      <c r="L32">
        <v>63</v>
      </c>
      <c r="M32">
        <v>53</v>
      </c>
      <c r="N32">
        <v>308</v>
      </c>
      <c r="O32">
        <v>54</v>
      </c>
    </row>
    <row r="33" spans="1:15" x14ac:dyDescent="0.15">
      <c r="A33">
        <v>97282</v>
      </c>
      <c r="B33">
        <v>221016</v>
      </c>
      <c r="C33" t="s">
        <v>116</v>
      </c>
      <c r="D33">
        <v>64</v>
      </c>
      <c r="E33">
        <v>57</v>
      </c>
      <c r="F33">
        <v>85</v>
      </c>
      <c r="G33">
        <v>62</v>
      </c>
      <c r="H33">
        <v>94</v>
      </c>
      <c r="I33">
        <v>69</v>
      </c>
      <c r="J33">
        <v>74</v>
      </c>
      <c r="K33">
        <v>63</v>
      </c>
      <c r="L33">
        <v>83</v>
      </c>
      <c r="M33">
        <v>61</v>
      </c>
      <c r="N33">
        <v>400</v>
      </c>
      <c r="O33">
        <v>64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A545C-801B-402D-B424-8EE8BBDB19D8}">
  <sheetPr>
    <tabColor rgb="FFFFFF00"/>
  </sheetPr>
  <dimension ref="A1:A2"/>
  <sheetViews>
    <sheetView tabSelected="1" workbookViewId="0">
      <selection activeCell="A2" sqref="A2"/>
    </sheetView>
  </sheetViews>
  <sheetFormatPr defaultRowHeight="13.5" x14ac:dyDescent="0.15"/>
  <cols>
    <col min="1" max="1" width="76.125" customWidth="1"/>
  </cols>
  <sheetData>
    <row r="1" spans="1:1" ht="81" x14ac:dyDescent="0.15">
      <c r="A1" s="12" t="s">
        <v>117</v>
      </c>
    </row>
    <row r="2" spans="1:1" ht="67.5" x14ac:dyDescent="0.15">
      <c r="A2" s="12" t="s">
        <v>118</v>
      </c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14"/>
  <sheetViews>
    <sheetView workbookViewId="0">
      <selection activeCell="B14" sqref="B14"/>
    </sheetView>
  </sheetViews>
  <sheetFormatPr defaultRowHeight="13.5" x14ac:dyDescent="0.15"/>
  <sheetData>
    <row r="1" spans="1:5" ht="18" customHeight="1" x14ac:dyDescent="0.15">
      <c r="A1" s="11" t="s">
        <v>20</v>
      </c>
      <c r="B1" s="11" t="s">
        <v>21</v>
      </c>
      <c r="C1" s="11" t="s">
        <v>22</v>
      </c>
      <c r="D1" s="11" t="s">
        <v>23</v>
      </c>
      <c r="E1" s="11" t="s">
        <v>24</v>
      </c>
    </row>
    <row r="2" spans="1:5" ht="18" customHeight="1" x14ac:dyDescent="0.15">
      <c r="A2" s="11">
        <v>1</v>
      </c>
      <c r="B2">
        <v>14</v>
      </c>
      <c r="C2">
        <v>13</v>
      </c>
      <c r="D2">
        <v>13</v>
      </c>
    </row>
    <row r="3" spans="1:5" ht="18" customHeight="1" x14ac:dyDescent="0.15">
      <c r="A3" s="11">
        <v>2</v>
      </c>
      <c r="B3">
        <v>14</v>
      </c>
      <c r="C3">
        <v>14</v>
      </c>
      <c r="D3">
        <v>13</v>
      </c>
    </row>
    <row r="4" spans="1:5" ht="18" customHeight="1" x14ac:dyDescent="0.15">
      <c r="A4" s="11">
        <v>3</v>
      </c>
      <c r="B4">
        <v>18</v>
      </c>
      <c r="C4">
        <v>17</v>
      </c>
    </row>
    <row r="5" spans="1:5" ht="18" customHeight="1" x14ac:dyDescent="0.15">
      <c r="A5" s="11">
        <v>4</v>
      </c>
      <c r="B5">
        <v>22</v>
      </c>
      <c r="C5">
        <v>22</v>
      </c>
    </row>
    <row r="6" spans="1:5" ht="18" customHeight="1" x14ac:dyDescent="0.15">
      <c r="A6" s="11">
        <v>5</v>
      </c>
      <c r="B6">
        <v>20</v>
      </c>
      <c r="C6">
        <v>20</v>
      </c>
    </row>
    <row r="7" spans="1:5" ht="18" customHeight="1" x14ac:dyDescent="0.15">
      <c r="A7" s="11">
        <v>6</v>
      </c>
      <c r="B7">
        <v>17</v>
      </c>
      <c r="C7">
        <v>17</v>
      </c>
      <c r="D7">
        <v>17</v>
      </c>
    </row>
    <row r="8" spans="1:5" ht="18" customHeight="1" x14ac:dyDescent="0.15">
      <c r="A8" s="11">
        <v>7</v>
      </c>
      <c r="B8">
        <v>16</v>
      </c>
      <c r="C8">
        <v>15</v>
      </c>
    </row>
    <row r="9" spans="1:5" ht="18" customHeight="1" x14ac:dyDescent="0.15">
      <c r="A9" s="11">
        <v>8</v>
      </c>
      <c r="B9">
        <v>20</v>
      </c>
      <c r="C9">
        <v>20</v>
      </c>
    </row>
    <row r="10" spans="1:5" ht="18" customHeight="1" x14ac:dyDescent="0.15">
      <c r="A10" s="11">
        <v>9</v>
      </c>
      <c r="B10">
        <v>17</v>
      </c>
      <c r="C10">
        <v>15</v>
      </c>
    </row>
    <row r="14" spans="1:5" x14ac:dyDescent="0.15">
      <c r="A14" s="7" t="s">
        <v>31</v>
      </c>
      <c r="B14" s="7" t="s">
        <v>27</v>
      </c>
      <c r="C14" s="7" t="s">
        <v>28</v>
      </c>
      <c r="D14" s="7" t="s">
        <v>29</v>
      </c>
      <c r="E14" s="7" t="s">
        <v>30</v>
      </c>
    </row>
  </sheetData>
  <phoneticPr fontId="18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1"/>
  </sheetPr>
  <dimension ref="A1:T41"/>
  <sheetViews>
    <sheetView topLeftCell="B1" workbookViewId="0">
      <selection activeCell="T2" sqref="T2:T41"/>
    </sheetView>
  </sheetViews>
  <sheetFormatPr defaultRowHeight="13.5" x14ac:dyDescent="0.15"/>
  <sheetData>
    <row r="1" spans="1:20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15">
      <c r="A2">
        <v>97281</v>
      </c>
      <c r="B2">
        <v>229001</v>
      </c>
      <c r="C2" t="s">
        <v>45</v>
      </c>
      <c r="D2" t="s">
        <v>44</v>
      </c>
      <c r="E2">
        <v>67</v>
      </c>
      <c r="F2">
        <v>70</v>
      </c>
      <c r="G2">
        <v>69</v>
      </c>
      <c r="H2">
        <v>50</v>
      </c>
      <c r="I2">
        <v>81</v>
      </c>
      <c r="J2">
        <v>206</v>
      </c>
      <c r="K2">
        <v>256</v>
      </c>
      <c r="L2">
        <v>337</v>
      </c>
      <c r="M2">
        <v>55</v>
      </c>
      <c r="N2">
        <v>54</v>
      </c>
      <c r="O2">
        <v>57</v>
      </c>
      <c r="P2">
        <v>49</v>
      </c>
      <c r="Q2">
        <v>60</v>
      </c>
      <c r="R2">
        <v>56</v>
      </c>
      <c r="S2">
        <v>54</v>
      </c>
      <c r="T2">
        <v>56</v>
      </c>
    </row>
    <row r="3" spans="1:20" x14ac:dyDescent="0.15">
      <c r="A3">
        <v>97281</v>
      </c>
      <c r="B3">
        <v>229002</v>
      </c>
      <c r="C3" t="s">
        <v>46</v>
      </c>
      <c r="D3" t="s">
        <v>44</v>
      </c>
      <c r="E3">
        <v>78</v>
      </c>
      <c r="F3">
        <v>83</v>
      </c>
      <c r="G3">
        <v>95</v>
      </c>
      <c r="H3">
        <v>71</v>
      </c>
      <c r="I3">
        <v>85</v>
      </c>
      <c r="J3">
        <v>256</v>
      </c>
      <c r="K3">
        <v>327</v>
      </c>
      <c r="L3">
        <v>412</v>
      </c>
      <c r="M3">
        <v>62</v>
      </c>
      <c r="N3">
        <v>60</v>
      </c>
      <c r="O3">
        <v>68</v>
      </c>
      <c r="P3">
        <v>58</v>
      </c>
      <c r="Q3">
        <v>62</v>
      </c>
      <c r="R3">
        <v>65</v>
      </c>
      <c r="S3">
        <v>63</v>
      </c>
      <c r="T3">
        <v>64</v>
      </c>
    </row>
    <row r="4" spans="1:20" x14ac:dyDescent="0.15">
      <c r="A4">
        <v>97281</v>
      </c>
      <c r="B4">
        <v>221003</v>
      </c>
      <c r="C4" t="s">
        <v>47</v>
      </c>
      <c r="D4" t="s">
        <v>44</v>
      </c>
      <c r="E4">
        <v>74</v>
      </c>
      <c r="F4">
        <v>76</v>
      </c>
      <c r="G4">
        <v>59</v>
      </c>
      <c r="H4">
        <v>59</v>
      </c>
      <c r="I4">
        <v>95</v>
      </c>
      <c r="J4">
        <v>209</v>
      </c>
      <c r="K4">
        <v>268</v>
      </c>
      <c r="L4">
        <v>363</v>
      </c>
      <c r="M4">
        <v>59</v>
      </c>
      <c r="N4">
        <v>56</v>
      </c>
      <c r="O4">
        <v>53</v>
      </c>
      <c r="P4">
        <v>53</v>
      </c>
      <c r="Q4">
        <v>67</v>
      </c>
      <c r="R4">
        <v>56</v>
      </c>
      <c r="S4">
        <v>56</v>
      </c>
      <c r="T4">
        <v>59</v>
      </c>
    </row>
    <row r="5" spans="1:20" x14ac:dyDescent="0.15">
      <c r="A5">
        <v>97281</v>
      </c>
      <c r="B5">
        <v>229004</v>
      </c>
      <c r="C5" t="s">
        <v>48</v>
      </c>
      <c r="D5" t="s">
        <v>44</v>
      </c>
      <c r="E5">
        <v>57</v>
      </c>
      <c r="F5">
        <v>43</v>
      </c>
      <c r="G5">
        <v>40</v>
      </c>
      <c r="H5">
        <v>45</v>
      </c>
      <c r="I5">
        <v>67</v>
      </c>
      <c r="J5">
        <v>140</v>
      </c>
      <c r="K5">
        <v>185</v>
      </c>
      <c r="L5">
        <v>252</v>
      </c>
      <c r="M5">
        <v>49</v>
      </c>
      <c r="N5">
        <v>42</v>
      </c>
      <c r="O5">
        <v>45</v>
      </c>
      <c r="P5">
        <v>46</v>
      </c>
      <c r="Q5">
        <v>52</v>
      </c>
      <c r="R5">
        <v>44</v>
      </c>
      <c r="S5">
        <v>45</v>
      </c>
      <c r="T5">
        <v>47</v>
      </c>
    </row>
    <row r="6" spans="1:20" x14ac:dyDescent="0.15">
      <c r="A6">
        <v>97281</v>
      </c>
      <c r="B6">
        <v>221005</v>
      </c>
      <c r="C6" t="s">
        <v>49</v>
      </c>
      <c r="D6" t="s">
        <v>44</v>
      </c>
      <c r="E6">
        <v>78</v>
      </c>
      <c r="F6">
        <v>63</v>
      </c>
      <c r="G6">
        <v>94</v>
      </c>
      <c r="H6">
        <v>61</v>
      </c>
      <c r="I6">
        <v>68</v>
      </c>
      <c r="J6">
        <v>235</v>
      </c>
      <c r="K6">
        <v>296</v>
      </c>
      <c r="L6">
        <v>364</v>
      </c>
      <c r="M6">
        <v>62</v>
      </c>
      <c r="N6">
        <v>51</v>
      </c>
      <c r="O6">
        <v>67</v>
      </c>
      <c r="P6">
        <v>54</v>
      </c>
      <c r="Q6">
        <v>53</v>
      </c>
      <c r="R6">
        <v>61</v>
      </c>
      <c r="S6">
        <v>59</v>
      </c>
      <c r="T6">
        <v>59</v>
      </c>
    </row>
    <row r="7" spans="1:20" x14ac:dyDescent="0.15">
      <c r="A7">
        <v>97281</v>
      </c>
      <c r="B7">
        <v>229006</v>
      </c>
      <c r="C7" t="s">
        <v>50</v>
      </c>
      <c r="D7" t="s">
        <v>44</v>
      </c>
      <c r="E7">
        <v>74</v>
      </c>
      <c r="F7">
        <v>88</v>
      </c>
      <c r="G7">
        <v>88</v>
      </c>
      <c r="H7">
        <v>79</v>
      </c>
      <c r="I7">
        <v>90</v>
      </c>
      <c r="J7">
        <v>250</v>
      </c>
      <c r="K7">
        <v>329</v>
      </c>
      <c r="L7">
        <v>419</v>
      </c>
      <c r="M7">
        <v>59</v>
      </c>
      <c r="N7">
        <v>62</v>
      </c>
      <c r="O7">
        <v>65</v>
      </c>
      <c r="P7">
        <v>62</v>
      </c>
      <c r="Q7">
        <v>64</v>
      </c>
      <c r="R7">
        <v>64</v>
      </c>
      <c r="S7">
        <v>64</v>
      </c>
      <c r="T7">
        <v>65</v>
      </c>
    </row>
    <row r="8" spans="1:20" x14ac:dyDescent="0.15">
      <c r="A8">
        <v>97281</v>
      </c>
      <c r="B8">
        <v>221007</v>
      </c>
      <c r="C8" t="s">
        <v>51</v>
      </c>
      <c r="D8" t="s">
        <v>44</v>
      </c>
      <c r="E8">
        <v>80</v>
      </c>
      <c r="F8">
        <v>65</v>
      </c>
      <c r="G8">
        <v>62</v>
      </c>
      <c r="H8">
        <v>62</v>
      </c>
      <c r="I8">
        <v>90</v>
      </c>
      <c r="J8">
        <v>207</v>
      </c>
      <c r="K8">
        <v>269</v>
      </c>
      <c r="L8">
        <v>359</v>
      </c>
      <c r="M8">
        <v>63</v>
      </c>
      <c r="N8">
        <v>52</v>
      </c>
      <c r="O8">
        <v>54</v>
      </c>
      <c r="P8">
        <v>54</v>
      </c>
      <c r="Q8">
        <v>64</v>
      </c>
      <c r="R8">
        <v>56</v>
      </c>
      <c r="S8">
        <v>56</v>
      </c>
      <c r="T8">
        <v>58</v>
      </c>
    </row>
    <row r="9" spans="1:20" x14ac:dyDescent="0.15">
      <c r="A9">
        <v>97281</v>
      </c>
      <c r="B9">
        <v>221008</v>
      </c>
      <c r="C9" t="s">
        <v>52</v>
      </c>
      <c r="D9" t="s">
        <v>44</v>
      </c>
      <c r="E9">
        <v>66</v>
      </c>
      <c r="F9">
        <v>94</v>
      </c>
      <c r="G9">
        <v>97</v>
      </c>
      <c r="H9">
        <v>97</v>
      </c>
      <c r="I9">
        <v>97</v>
      </c>
      <c r="J9">
        <v>257</v>
      </c>
      <c r="K9">
        <v>354</v>
      </c>
      <c r="L9">
        <v>451</v>
      </c>
      <c r="M9">
        <v>55</v>
      </c>
      <c r="N9">
        <v>64</v>
      </c>
      <c r="O9">
        <v>68</v>
      </c>
      <c r="P9">
        <v>71</v>
      </c>
      <c r="Q9">
        <v>68</v>
      </c>
      <c r="R9">
        <v>65</v>
      </c>
      <c r="S9">
        <v>67</v>
      </c>
      <c r="T9">
        <v>68</v>
      </c>
    </row>
    <row r="10" spans="1:20" x14ac:dyDescent="0.15">
      <c r="A10">
        <v>97281</v>
      </c>
      <c r="B10">
        <v>221009</v>
      </c>
      <c r="C10" t="s">
        <v>53</v>
      </c>
      <c r="D10" t="s">
        <v>44</v>
      </c>
      <c r="E10">
        <v>80</v>
      </c>
      <c r="F10">
        <v>71</v>
      </c>
      <c r="G10">
        <v>64</v>
      </c>
      <c r="H10">
        <v>59</v>
      </c>
      <c r="I10">
        <v>88</v>
      </c>
      <c r="J10">
        <v>215</v>
      </c>
      <c r="K10">
        <v>274</v>
      </c>
      <c r="L10">
        <v>362</v>
      </c>
      <c r="M10">
        <v>63</v>
      </c>
      <c r="N10">
        <v>54</v>
      </c>
      <c r="O10">
        <v>55</v>
      </c>
      <c r="P10">
        <v>53</v>
      </c>
      <c r="Q10">
        <v>63</v>
      </c>
      <c r="R10">
        <v>57</v>
      </c>
      <c r="S10">
        <v>56</v>
      </c>
      <c r="T10">
        <v>58</v>
      </c>
    </row>
    <row r="11" spans="1:20" x14ac:dyDescent="0.15">
      <c r="A11">
        <v>97281</v>
      </c>
      <c r="B11">
        <v>229010</v>
      </c>
      <c r="C11" t="s">
        <v>54</v>
      </c>
      <c r="D11" t="s">
        <v>44</v>
      </c>
      <c r="E11">
        <v>72</v>
      </c>
      <c r="F11">
        <v>64</v>
      </c>
      <c r="G11">
        <v>73</v>
      </c>
      <c r="H11">
        <v>73</v>
      </c>
      <c r="I11">
        <v>95</v>
      </c>
      <c r="J11">
        <v>209</v>
      </c>
      <c r="K11">
        <v>282</v>
      </c>
      <c r="L11">
        <v>377</v>
      </c>
      <c r="M11">
        <v>58</v>
      </c>
      <c r="N11">
        <v>51</v>
      </c>
      <c r="O11">
        <v>58</v>
      </c>
      <c r="P11">
        <v>59</v>
      </c>
      <c r="Q11">
        <v>67</v>
      </c>
      <c r="R11">
        <v>56</v>
      </c>
      <c r="S11">
        <v>57</v>
      </c>
      <c r="T11">
        <v>60</v>
      </c>
    </row>
    <row r="12" spans="1:20" x14ac:dyDescent="0.15">
      <c r="A12">
        <v>97281</v>
      </c>
      <c r="B12">
        <v>221011</v>
      </c>
      <c r="C12" t="s">
        <v>55</v>
      </c>
      <c r="D12" t="s">
        <v>44</v>
      </c>
      <c r="E12">
        <v>90</v>
      </c>
      <c r="F12">
        <v>76</v>
      </c>
      <c r="G12">
        <v>89</v>
      </c>
      <c r="H12">
        <v>90</v>
      </c>
      <c r="I12">
        <v>89</v>
      </c>
      <c r="J12">
        <v>255</v>
      </c>
      <c r="K12">
        <v>345</v>
      </c>
      <c r="L12">
        <v>434</v>
      </c>
      <c r="M12">
        <v>69</v>
      </c>
      <c r="N12">
        <v>56</v>
      </c>
      <c r="O12">
        <v>65</v>
      </c>
      <c r="P12">
        <v>68</v>
      </c>
      <c r="Q12">
        <v>64</v>
      </c>
      <c r="R12">
        <v>64</v>
      </c>
      <c r="S12">
        <v>66</v>
      </c>
      <c r="T12">
        <v>66</v>
      </c>
    </row>
    <row r="13" spans="1:20" x14ac:dyDescent="0.15">
      <c r="A13">
        <v>97281</v>
      </c>
      <c r="B13">
        <v>221012</v>
      </c>
      <c r="C13" t="s">
        <v>56</v>
      </c>
      <c r="D13" t="s">
        <v>44</v>
      </c>
      <c r="E13">
        <v>76</v>
      </c>
      <c r="F13">
        <v>84</v>
      </c>
      <c r="G13">
        <v>77</v>
      </c>
      <c r="H13">
        <v>82</v>
      </c>
      <c r="I13">
        <v>76</v>
      </c>
      <c r="J13">
        <v>237</v>
      </c>
      <c r="K13">
        <v>319</v>
      </c>
      <c r="L13">
        <v>395</v>
      </c>
      <c r="M13">
        <v>61</v>
      </c>
      <c r="N13">
        <v>60</v>
      </c>
      <c r="O13">
        <v>60</v>
      </c>
      <c r="P13">
        <v>64</v>
      </c>
      <c r="Q13">
        <v>57</v>
      </c>
      <c r="R13">
        <v>61</v>
      </c>
      <c r="S13">
        <v>62</v>
      </c>
      <c r="T13">
        <v>62</v>
      </c>
    </row>
    <row r="14" spans="1:20" x14ac:dyDescent="0.15">
      <c r="A14">
        <v>97281</v>
      </c>
      <c r="B14">
        <v>229013</v>
      </c>
      <c r="C14" t="s">
        <v>57</v>
      </c>
      <c r="D14" t="s">
        <v>44</v>
      </c>
      <c r="E14">
        <v>89</v>
      </c>
      <c r="F14">
        <v>67</v>
      </c>
      <c r="G14">
        <v>85</v>
      </c>
      <c r="H14">
        <v>89</v>
      </c>
      <c r="I14">
        <v>100</v>
      </c>
      <c r="J14">
        <v>241</v>
      </c>
      <c r="K14">
        <v>330</v>
      </c>
      <c r="L14">
        <v>430</v>
      </c>
      <c r="M14">
        <v>68</v>
      </c>
      <c r="N14">
        <v>52</v>
      </c>
      <c r="O14">
        <v>63</v>
      </c>
      <c r="P14">
        <v>67</v>
      </c>
      <c r="Q14">
        <v>69</v>
      </c>
      <c r="R14">
        <v>62</v>
      </c>
      <c r="S14">
        <v>64</v>
      </c>
      <c r="T14">
        <v>66</v>
      </c>
    </row>
    <row r="15" spans="1:20" x14ac:dyDescent="0.15">
      <c r="A15">
        <v>97281</v>
      </c>
      <c r="B15">
        <v>229015</v>
      </c>
      <c r="C15" t="s">
        <v>58</v>
      </c>
      <c r="D15" t="s">
        <v>44</v>
      </c>
      <c r="E15">
        <v>92</v>
      </c>
      <c r="F15">
        <v>91</v>
      </c>
      <c r="G15">
        <v>94</v>
      </c>
      <c r="H15">
        <v>93</v>
      </c>
      <c r="I15">
        <v>97</v>
      </c>
      <c r="J15">
        <v>277</v>
      </c>
      <c r="K15">
        <v>370</v>
      </c>
      <c r="L15">
        <v>467</v>
      </c>
      <c r="M15">
        <v>70</v>
      </c>
      <c r="N15">
        <v>63</v>
      </c>
      <c r="O15">
        <v>67</v>
      </c>
      <c r="P15">
        <v>69</v>
      </c>
      <c r="Q15">
        <v>68</v>
      </c>
      <c r="R15">
        <v>68</v>
      </c>
      <c r="S15">
        <v>69</v>
      </c>
      <c r="T15">
        <v>70</v>
      </c>
    </row>
    <row r="16" spans="1:20" x14ac:dyDescent="0.15">
      <c r="A16">
        <v>97281</v>
      </c>
      <c r="B16">
        <v>229016</v>
      </c>
      <c r="C16" t="s">
        <v>59</v>
      </c>
      <c r="D16" t="s">
        <v>44</v>
      </c>
      <c r="E16">
        <v>88</v>
      </c>
      <c r="F16">
        <v>89</v>
      </c>
      <c r="G16">
        <v>84</v>
      </c>
      <c r="H16">
        <v>82</v>
      </c>
      <c r="I16">
        <v>98</v>
      </c>
      <c r="J16">
        <v>261</v>
      </c>
      <c r="K16">
        <v>343</v>
      </c>
      <c r="L16">
        <v>441</v>
      </c>
      <c r="M16">
        <v>68</v>
      </c>
      <c r="N16">
        <v>62</v>
      </c>
      <c r="O16">
        <v>63</v>
      </c>
      <c r="P16">
        <v>64</v>
      </c>
      <c r="Q16">
        <v>68</v>
      </c>
      <c r="R16">
        <v>65</v>
      </c>
      <c r="S16">
        <v>66</v>
      </c>
      <c r="T16">
        <v>67</v>
      </c>
    </row>
    <row r="17" spans="1:20" x14ac:dyDescent="0.15">
      <c r="A17">
        <v>97281</v>
      </c>
      <c r="B17">
        <v>229017</v>
      </c>
      <c r="C17" t="s">
        <v>60</v>
      </c>
      <c r="D17" t="s">
        <v>44</v>
      </c>
      <c r="E17">
        <v>62</v>
      </c>
      <c r="F17">
        <v>37</v>
      </c>
      <c r="G17">
        <v>52</v>
      </c>
      <c r="H17">
        <v>41</v>
      </c>
      <c r="I17">
        <v>67</v>
      </c>
      <c r="J17">
        <v>151</v>
      </c>
      <c r="K17">
        <v>192</v>
      </c>
      <c r="L17">
        <v>259</v>
      </c>
      <c r="M17">
        <v>52</v>
      </c>
      <c r="N17">
        <v>39</v>
      </c>
      <c r="O17">
        <v>50</v>
      </c>
      <c r="P17">
        <v>44</v>
      </c>
      <c r="Q17">
        <v>52</v>
      </c>
      <c r="R17">
        <v>46</v>
      </c>
      <c r="S17">
        <v>46</v>
      </c>
      <c r="T17">
        <v>47</v>
      </c>
    </row>
    <row r="18" spans="1:20" x14ac:dyDescent="0.15">
      <c r="A18">
        <v>97281</v>
      </c>
      <c r="B18">
        <v>221018</v>
      </c>
      <c r="C18" t="s">
        <v>61</v>
      </c>
      <c r="D18" t="s">
        <v>44</v>
      </c>
      <c r="E18">
        <v>55</v>
      </c>
      <c r="F18">
        <v>10</v>
      </c>
      <c r="G18">
        <v>13</v>
      </c>
      <c r="H18">
        <v>35</v>
      </c>
      <c r="I18">
        <v>59</v>
      </c>
      <c r="J18">
        <v>78</v>
      </c>
      <c r="K18">
        <v>113</v>
      </c>
      <c r="L18">
        <v>172</v>
      </c>
      <c r="M18">
        <v>48</v>
      </c>
      <c r="N18">
        <v>27</v>
      </c>
      <c r="O18">
        <v>33</v>
      </c>
      <c r="P18">
        <v>41</v>
      </c>
      <c r="Q18">
        <v>48</v>
      </c>
      <c r="R18">
        <v>33</v>
      </c>
      <c r="S18">
        <v>35</v>
      </c>
      <c r="T18">
        <v>38</v>
      </c>
    </row>
    <row r="19" spans="1:20" x14ac:dyDescent="0.15">
      <c r="A19">
        <v>97281</v>
      </c>
      <c r="B19">
        <v>221019</v>
      </c>
      <c r="C19" t="s">
        <v>62</v>
      </c>
      <c r="D19" t="s">
        <v>44</v>
      </c>
      <c r="E19">
        <v>75</v>
      </c>
      <c r="F19">
        <v>27</v>
      </c>
      <c r="G19">
        <v>35</v>
      </c>
      <c r="H19">
        <v>45</v>
      </c>
      <c r="I19">
        <v>58</v>
      </c>
      <c r="J19">
        <v>137</v>
      </c>
      <c r="K19">
        <v>182</v>
      </c>
      <c r="L19">
        <v>240</v>
      </c>
      <c r="M19">
        <v>60</v>
      </c>
      <c r="N19">
        <v>35</v>
      </c>
      <c r="O19">
        <v>42</v>
      </c>
      <c r="P19">
        <v>46</v>
      </c>
      <c r="Q19">
        <v>48</v>
      </c>
      <c r="R19">
        <v>44</v>
      </c>
      <c r="S19">
        <v>44</v>
      </c>
      <c r="T19">
        <v>45</v>
      </c>
    </row>
    <row r="20" spans="1:20" x14ac:dyDescent="0.15">
      <c r="A20">
        <v>97281</v>
      </c>
      <c r="B20">
        <v>229020</v>
      </c>
      <c r="C20" t="s">
        <v>63</v>
      </c>
      <c r="D20" t="s">
        <v>44</v>
      </c>
      <c r="E20">
        <v>66</v>
      </c>
      <c r="F20">
        <v>72</v>
      </c>
      <c r="G20">
        <v>73</v>
      </c>
      <c r="H20">
        <v>61</v>
      </c>
      <c r="I20">
        <v>87</v>
      </c>
      <c r="J20">
        <v>211</v>
      </c>
      <c r="K20">
        <v>272</v>
      </c>
      <c r="L20">
        <v>359</v>
      </c>
      <c r="M20">
        <v>55</v>
      </c>
      <c r="N20">
        <v>55</v>
      </c>
      <c r="O20">
        <v>58</v>
      </c>
      <c r="P20">
        <v>54</v>
      </c>
      <c r="Q20">
        <v>63</v>
      </c>
      <c r="R20">
        <v>57</v>
      </c>
      <c r="S20">
        <v>56</v>
      </c>
      <c r="T20">
        <v>58</v>
      </c>
    </row>
    <row r="21" spans="1:20" x14ac:dyDescent="0.15">
      <c r="A21">
        <v>97281</v>
      </c>
      <c r="B21">
        <v>221021</v>
      </c>
      <c r="C21" t="s">
        <v>64</v>
      </c>
      <c r="D21" t="s">
        <v>44</v>
      </c>
      <c r="E21">
        <v>66</v>
      </c>
      <c r="F21">
        <v>56</v>
      </c>
      <c r="G21">
        <v>32</v>
      </c>
      <c r="H21">
        <v>31</v>
      </c>
      <c r="I21">
        <v>56</v>
      </c>
      <c r="J21">
        <v>154</v>
      </c>
      <c r="K21">
        <v>185</v>
      </c>
      <c r="L21">
        <v>241</v>
      </c>
      <c r="M21">
        <v>55</v>
      </c>
      <c r="N21">
        <v>48</v>
      </c>
      <c r="O21">
        <v>41</v>
      </c>
      <c r="P21">
        <v>39</v>
      </c>
      <c r="Q21">
        <v>47</v>
      </c>
      <c r="R21">
        <v>47</v>
      </c>
      <c r="S21">
        <v>45</v>
      </c>
      <c r="T21">
        <v>45</v>
      </c>
    </row>
    <row r="22" spans="1:20" x14ac:dyDescent="0.15">
      <c r="A22">
        <v>97282</v>
      </c>
      <c r="B22">
        <v>221001</v>
      </c>
      <c r="C22" t="s">
        <v>65</v>
      </c>
      <c r="D22" t="s">
        <v>44</v>
      </c>
      <c r="E22">
        <v>60</v>
      </c>
      <c r="F22">
        <v>69</v>
      </c>
      <c r="G22">
        <v>64</v>
      </c>
      <c r="H22">
        <v>59</v>
      </c>
      <c r="I22">
        <v>71</v>
      </c>
      <c r="J22">
        <v>193</v>
      </c>
      <c r="K22">
        <v>252</v>
      </c>
      <c r="L22">
        <v>323</v>
      </c>
      <c r="M22">
        <v>51</v>
      </c>
      <c r="N22">
        <v>53</v>
      </c>
      <c r="O22">
        <v>55</v>
      </c>
      <c r="P22">
        <v>53</v>
      </c>
      <c r="Q22">
        <v>54</v>
      </c>
      <c r="R22">
        <v>54</v>
      </c>
      <c r="S22">
        <v>53</v>
      </c>
      <c r="T22">
        <v>54</v>
      </c>
    </row>
    <row r="23" spans="1:20" x14ac:dyDescent="0.15">
      <c r="A23">
        <v>97282</v>
      </c>
      <c r="B23">
        <v>229003</v>
      </c>
      <c r="C23" t="s">
        <v>66</v>
      </c>
      <c r="D23" t="s">
        <v>44</v>
      </c>
      <c r="E23">
        <v>82</v>
      </c>
      <c r="F23">
        <v>76</v>
      </c>
      <c r="G23">
        <v>89</v>
      </c>
      <c r="H23">
        <v>82</v>
      </c>
      <c r="I23">
        <v>97</v>
      </c>
      <c r="J23">
        <v>247</v>
      </c>
      <c r="K23">
        <v>329</v>
      </c>
      <c r="L23">
        <v>426</v>
      </c>
      <c r="M23">
        <v>64</v>
      </c>
      <c r="N23">
        <v>56</v>
      </c>
      <c r="O23">
        <v>65</v>
      </c>
      <c r="P23">
        <v>64</v>
      </c>
      <c r="Q23">
        <v>68</v>
      </c>
      <c r="R23">
        <v>63</v>
      </c>
      <c r="S23">
        <v>64</v>
      </c>
      <c r="T23">
        <v>65</v>
      </c>
    </row>
    <row r="24" spans="1:20" x14ac:dyDescent="0.15">
      <c r="A24">
        <v>97282</v>
      </c>
      <c r="B24">
        <v>229004</v>
      </c>
      <c r="C24" t="s">
        <v>67</v>
      </c>
      <c r="D24" t="s">
        <v>44</v>
      </c>
      <c r="E24">
        <v>92</v>
      </c>
      <c r="F24">
        <v>90</v>
      </c>
      <c r="G24">
        <v>84</v>
      </c>
      <c r="H24">
        <v>88</v>
      </c>
      <c r="I24">
        <v>92</v>
      </c>
      <c r="J24">
        <v>266</v>
      </c>
      <c r="K24">
        <v>354</v>
      </c>
      <c r="L24">
        <v>446</v>
      </c>
      <c r="M24">
        <v>70</v>
      </c>
      <c r="N24">
        <v>63</v>
      </c>
      <c r="O24">
        <v>63</v>
      </c>
      <c r="P24">
        <v>67</v>
      </c>
      <c r="Q24">
        <v>65</v>
      </c>
      <c r="R24">
        <v>66</v>
      </c>
      <c r="S24">
        <v>67</v>
      </c>
      <c r="T24">
        <v>68</v>
      </c>
    </row>
    <row r="25" spans="1:20" x14ac:dyDescent="0.15">
      <c r="A25">
        <v>97282</v>
      </c>
      <c r="B25">
        <v>221005</v>
      </c>
      <c r="C25" t="s">
        <v>68</v>
      </c>
      <c r="D25" t="s">
        <v>44</v>
      </c>
      <c r="E25">
        <v>90</v>
      </c>
      <c r="F25">
        <v>97</v>
      </c>
      <c r="G25">
        <v>91</v>
      </c>
      <c r="H25">
        <v>86</v>
      </c>
      <c r="I25">
        <v>97</v>
      </c>
      <c r="J25">
        <v>278</v>
      </c>
      <c r="K25">
        <v>364</v>
      </c>
      <c r="L25">
        <v>461</v>
      </c>
      <c r="M25">
        <v>69</v>
      </c>
      <c r="N25">
        <v>66</v>
      </c>
      <c r="O25">
        <v>66</v>
      </c>
      <c r="P25">
        <v>66</v>
      </c>
      <c r="Q25">
        <v>68</v>
      </c>
      <c r="R25">
        <v>68</v>
      </c>
      <c r="S25">
        <v>68</v>
      </c>
      <c r="T25">
        <v>69</v>
      </c>
    </row>
    <row r="26" spans="1:20" x14ac:dyDescent="0.15">
      <c r="A26">
        <v>97282</v>
      </c>
      <c r="B26">
        <v>221006</v>
      </c>
      <c r="C26" t="s">
        <v>69</v>
      </c>
      <c r="D26" t="s">
        <v>44</v>
      </c>
      <c r="E26">
        <v>89</v>
      </c>
      <c r="F26">
        <v>83</v>
      </c>
      <c r="G26">
        <v>95</v>
      </c>
      <c r="H26">
        <v>90</v>
      </c>
      <c r="I26">
        <v>95</v>
      </c>
      <c r="J26">
        <v>267</v>
      </c>
      <c r="K26">
        <v>357</v>
      </c>
      <c r="L26">
        <v>452</v>
      </c>
      <c r="M26">
        <v>68</v>
      </c>
      <c r="N26">
        <v>60</v>
      </c>
      <c r="O26">
        <v>68</v>
      </c>
      <c r="P26">
        <v>68</v>
      </c>
      <c r="Q26">
        <v>67</v>
      </c>
      <c r="R26">
        <v>67</v>
      </c>
      <c r="S26">
        <v>67</v>
      </c>
      <c r="T26">
        <v>68</v>
      </c>
    </row>
    <row r="27" spans="1:20" x14ac:dyDescent="0.15">
      <c r="A27">
        <v>97282</v>
      </c>
      <c r="B27">
        <v>229007</v>
      </c>
      <c r="C27" t="s">
        <v>70</v>
      </c>
      <c r="D27" t="s">
        <v>44</v>
      </c>
      <c r="E27">
        <v>82</v>
      </c>
      <c r="F27">
        <v>97</v>
      </c>
      <c r="G27">
        <v>95</v>
      </c>
      <c r="H27">
        <v>82</v>
      </c>
      <c r="I27">
        <v>100</v>
      </c>
      <c r="J27">
        <v>274</v>
      </c>
      <c r="K27">
        <v>356</v>
      </c>
      <c r="L27">
        <v>456</v>
      </c>
      <c r="M27">
        <v>64</v>
      </c>
      <c r="N27">
        <v>66</v>
      </c>
      <c r="O27">
        <v>68</v>
      </c>
      <c r="P27">
        <v>64</v>
      </c>
      <c r="Q27">
        <v>69</v>
      </c>
      <c r="R27">
        <v>68</v>
      </c>
      <c r="S27">
        <v>67</v>
      </c>
      <c r="T27">
        <v>69</v>
      </c>
    </row>
    <row r="28" spans="1:20" x14ac:dyDescent="0.15">
      <c r="A28">
        <v>97282</v>
      </c>
      <c r="B28">
        <v>221008</v>
      </c>
      <c r="C28" t="s">
        <v>71</v>
      </c>
      <c r="D28" t="s">
        <v>44</v>
      </c>
      <c r="E28">
        <v>58</v>
      </c>
      <c r="F28">
        <v>55</v>
      </c>
      <c r="G28">
        <v>50</v>
      </c>
      <c r="H28">
        <v>60</v>
      </c>
      <c r="I28">
        <v>89</v>
      </c>
      <c r="J28">
        <v>163</v>
      </c>
      <c r="K28">
        <v>223</v>
      </c>
      <c r="L28">
        <v>312</v>
      </c>
      <c r="M28">
        <v>50</v>
      </c>
      <c r="N28">
        <v>47</v>
      </c>
      <c r="O28">
        <v>49</v>
      </c>
      <c r="P28">
        <v>53</v>
      </c>
      <c r="Q28">
        <v>64</v>
      </c>
      <c r="R28">
        <v>48</v>
      </c>
      <c r="S28">
        <v>50</v>
      </c>
      <c r="T28">
        <v>53</v>
      </c>
    </row>
    <row r="29" spans="1:20" x14ac:dyDescent="0.15">
      <c r="A29">
        <v>97282</v>
      </c>
      <c r="B29">
        <v>229009</v>
      </c>
      <c r="C29" t="s">
        <v>72</v>
      </c>
      <c r="D29" t="s">
        <v>44</v>
      </c>
      <c r="E29">
        <v>68</v>
      </c>
      <c r="F29">
        <v>53</v>
      </c>
      <c r="G29">
        <v>75</v>
      </c>
      <c r="H29">
        <v>76</v>
      </c>
      <c r="I29">
        <v>100</v>
      </c>
      <c r="J29">
        <v>196</v>
      </c>
      <c r="K29">
        <v>272</v>
      </c>
      <c r="L29">
        <v>372</v>
      </c>
      <c r="M29">
        <v>56</v>
      </c>
      <c r="N29">
        <v>46</v>
      </c>
      <c r="O29">
        <v>59</v>
      </c>
      <c r="P29">
        <v>61</v>
      </c>
      <c r="Q29">
        <v>69</v>
      </c>
      <c r="R29">
        <v>54</v>
      </c>
      <c r="S29">
        <v>56</v>
      </c>
      <c r="T29">
        <v>60</v>
      </c>
    </row>
    <row r="30" spans="1:20" x14ac:dyDescent="0.15">
      <c r="A30">
        <v>97282</v>
      </c>
      <c r="B30">
        <v>221010</v>
      </c>
      <c r="C30" t="s">
        <v>73</v>
      </c>
      <c r="D30" t="s">
        <v>44</v>
      </c>
      <c r="E30">
        <v>70</v>
      </c>
      <c r="F30">
        <v>88</v>
      </c>
      <c r="G30">
        <v>88</v>
      </c>
      <c r="H30">
        <v>83</v>
      </c>
      <c r="I30">
        <v>92</v>
      </c>
      <c r="J30">
        <v>246</v>
      </c>
      <c r="K30">
        <v>329</v>
      </c>
      <c r="L30">
        <v>421</v>
      </c>
      <c r="M30">
        <v>57</v>
      </c>
      <c r="N30">
        <v>62</v>
      </c>
      <c r="O30">
        <v>65</v>
      </c>
      <c r="P30">
        <v>64</v>
      </c>
      <c r="Q30">
        <v>65</v>
      </c>
      <c r="R30">
        <v>63</v>
      </c>
      <c r="S30">
        <v>64</v>
      </c>
      <c r="T30">
        <v>65</v>
      </c>
    </row>
    <row r="31" spans="1:20" x14ac:dyDescent="0.15">
      <c r="A31">
        <v>97282</v>
      </c>
      <c r="B31">
        <v>221011</v>
      </c>
      <c r="C31" t="s">
        <v>74</v>
      </c>
      <c r="D31" t="s">
        <v>44</v>
      </c>
      <c r="E31">
        <v>96</v>
      </c>
      <c r="F31">
        <v>97</v>
      </c>
      <c r="G31">
        <v>94</v>
      </c>
      <c r="H31">
        <v>98</v>
      </c>
      <c r="I31">
        <v>97</v>
      </c>
      <c r="J31">
        <v>287</v>
      </c>
      <c r="K31">
        <v>385</v>
      </c>
      <c r="L31">
        <v>482</v>
      </c>
      <c r="M31">
        <v>72</v>
      </c>
      <c r="N31">
        <v>66</v>
      </c>
      <c r="O31">
        <v>67</v>
      </c>
      <c r="P31">
        <v>71</v>
      </c>
      <c r="Q31">
        <v>68</v>
      </c>
      <c r="R31">
        <v>70</v>
      </c>
      <c r="S31">
        <v>71</v>
      </c>
      <c r="T31">
        <v>71</v>
      </c>
    </row>
    <row r="32" spans="1:20" x14ac:dyDescent="0.15">
      <c r="A32">
        <v>97282</v>
      </c>
      <c r="B32">
        <v>221012</v>
      </c>
      <c r="C32" t="s">
        <v>75</v>
      </c>
      <c r="D32" t="s">
        <v>44</v>
      </c>
      <c r="E32">
        <v>29</v>
      </c>
      <c r="F32">
        <v>58</v>
      </c>
      <c r="G32">
        <v>27</v>
      </c>
      <c r="H32">
        <v>42</v>
      </c>
      <c r="I32">
        <v>59</v>
      </c>
      <c r="J32">
        <v>114</v>
      </c>
      <c r="K32">
        <v>156</v>
      </c>
      <c r="L32">
        <v>215</v>
      </c>
      <c r="M32">
        <v>33</v>
      </c>
      <c r="N32">
        <v>48</v>
      </c>
      <c r="O32">
        <v>39</v>
      </c>
      <c r="P32">
        <v>45</v>
      </c>
      <c r="Q32">
        <v>48</v>
      </c>
      <c r="R32">
        <v>40</v>
      </c>
      <c r="S32">
        <v>41</v>
      </c>
      <c r="T32">
        <v>43</v>
      </c>
    </row>
    <row r="33" spans="1:20" x14ac:dyDescent="0.15">
      <c r="A33">
        <v>97282</v>
      </c>
      <c r="B33">
        <v>221013</v>
      </c>
      <c r="C33" t="s">
        <v>76</v>
      </c>
      <c r="D33" t="s">
        <v>44</v>
      </c>
      <c r="E33">
        <v>61</v>
      </c>
      <c r="F33">
        <v>58</v>
      </c>
      <c r="G33">
        <v>22</v>
      </c>
      <c r="H33">
        <v>21</v>
      </c>
      <c r="I33">
        <v>83</v>
      </c>
      <c r="J33">
        <v>141</v>
      </c>
      <c r="K33">
        <v>162</v>
      </c>
      <c r="L33">
        <v>245</v>
      </c>
      <c r="M33">
        <v>52</v>
      </c>
      <c r="N33">
        <v>48</v>
      </c>
      <c r="O33">
        <v>37</v>
      </c>
      <c r="P33">
        <v>35</v>
      </c>
      <c r="Q33">
        <v>61</v>
      </c>
      <c r="R33">
        <v>44</v>
      </c>
      <c r="S33">
        <v>42</v>
      </c>
      <c r="T33">
        <v>46</v>
      </c>
    </row>
    <row r="34" spans="1:20" x14ac:dyDescent="0.15">
      <c r="A34">
        <v>97282</v>
      </c>
      <c r="B34">
        <v>221014</v>
      </c>
      <c r="C34" t="s">
        <v>77</v>
      </c>
      <c r="D34" t="s">
        <v>44</v>
      </c>
      <c r="E34">
        <v>66</v>
      </c>
      <c r="F34">
        <v>84</v>
      </c>
      <c r="G34">
        <v>58</v>
      </c>
      <c r="H34">
        <v>54</v>
      </c>
      <c r="I34">
        <v>98</v>
      </c>
      <c r="J34">
        <v>208</v>
      </c>
      <c r="K34">
        <v>262</v>
      </c>
      <c r="L34">
        <v>360</v>
      </c>
      <c r="M34">
        <v>55</v>
      </c>
      <c r="N34">
        <v>60</v>
      </c>
      <c r="O34">
        <v>52</v>
      </c>
      <c r="P34">
        <v>50</v>
      </c>
      <c r="Q34">
        <v>68</v>
      </c>
      <c r="R34">
        <v>56</v>
      </c>
      <c r="S34">
        <v>55</v>
      </c>
      <c r="T34">
        <v>58</v>
      </c>
    </row>
    <row r="35" spans="1:20" x14ac:dyDescent="0.15">
      <c r="A35">
        <v>97282</v>
      </c>
      <c r="B35">
        <v>221015</v>
      </c>
      <c r="C35" t="s">
        <v>78</v>
      </c>
      <c r="D35" t="s">
        <v>44</v>
      </c>
      <c r="E35">
        <v>80</v>
      </c>
      <c r="F35">
        <v>78</v>
      </c>
      <c r="G35">
        <v>59</v>
      </c>
      <c r="H35">
        <v>66</v>
      </c>
      <c r="I35">
        <v>94</v>
      </c>
      <c r="J35">
        <v>217</v>
      </c>
      <c r="K35">
        <v>283</v>
      </c>
      <c r="L35">
        <v>377</v>
      </c>
      <c r="M35">
        <v>63</v>
      </c>
      <c r="N35">
        <v>57</v>
      </c>
      <c r="O35">
        <v>53</v>
      </c>
      <c r="P35">
        <v>56</v>
      </c>
      <c r="Q35">
        <v>66</v>
      </c>
      <c r="R35">
        <v>58</v>
      </c>
      <c r="S35">
        <v>58</v>
      </c>
      <c r="T35">
        <v>60</v>
      </c>
    </row>
    <row r="36" spans="1:20" x14ac:dyDescent="0.15">
      <c r="A36">
        <v>97282</v>
      </c>
      <c r="B36">
        <v>221016</v>
      </c>
      <c r="C36" t="s">
        <v>79</v>
      </c>
      <c r="D36" t="s">
        <v>44</v>
      </c>
      <c r="E36">
        <v>70</v>
      </c>
      <c r="F36">
        <v>47</v>
      </c>
      <c r="G36">
        <v>72</v>
      </c>
      <c r="H36">
        <v>56</v>
      </c>
      <c r="I36">
        <v>53</v>
      </c>
      <c r="J36">
        <v>189</v>
      </c>
      <c r="K36">
        <v>245</v>
      </c>
      <c r="L36">
        <v>298</v>
      </c>
      <c r="M36">
        <v>57</v>
      </c>
      <c r="N36">
        <v>44</v>
      </c>
      <c r="O36">
        <v>58</v>
      </c>
      <c r="P36">
        <v>51</v>
      </c>
      <c r="Q36">
        <v>45</v>
      </c>
      <c r="R36">
        <v>53</v>
      </c>
      <c r="S36">
        <v>53</v>
      </c>
      <c r="T36">
        <v>52</v>
      </c>
    </row>
    <row r="37" spans="1:20" x14ac:dyDescent="0.15">
      <c r="A37">
        <v>97282</v>
      </c>
      <c r="B37">
        <v>229017</v>
      </c>
      <c r="C37" t="s">
        <v>80</v>
      </c>
      <c r="D37" t="s">
        <v>44</v>
      </c>
      <c r="E37">
        <v>57</v>
      </c>
      <c r="F37">
        <v>65</v>
      </c>
      <c r="G37">
        <v>64</v>
      </c>
      <c r="H37">
        <v>60</v>
      </c>
      <c r="I37">
        <v>84</v>
      </c>
      <c r="J37">
        <v>186</v>
      </c>
      <c r="K37">
        <v>246</v>
      </c>
      <c r="L37">
        <v>330</v>
      </c>
      <c r="M37">
        <v>49</v>
      </c>
      <c r="N37">
        <v>52</v>
      </c>
      <c r="O37">
        <v>55</v>
      </c>
      <c r="P37">
        <v>53</v>
      </c>
      <c r="Q37">
        <v>61</v>
      </c>
      <c r="R37">
        <v>52</v>
      </c>
      <c r="S37">
        <v>53</v>
      </c>
      <c r="T37">
        <v>55</v>
      </c>
    </row>
    <row r="38" spans="1:20" x14ac:dyDescent="0.15">
      <c r="A38">
        <v>97282</v>
      </c>
      <c r="B38">
        <v>229018</v>
      </c>
      <c r="C38" t="s">
        <v>81</v>
      </c>
      <c r="D38" t="s">
        <v>44</v>
      </c>
      <c r="E38">
        <v>74</v>
      </c>
      <c r="F38">
        <v>52</v>
      </c>
      <c r="G38">
        <v>60</v>
      </c>
      <c r="H38">
        <v>75</v>
      </c>
      <c r="I38">
        <v>75</v>
      </c>
      <c r="J38">
        <v>186</v>
      </c>
      <c r="K38">
        <v>261</v>
      </c>
      <c r="L38">
        <v>336</v>
      </c>
      <c r="M38">
        <v>59</v>
      </c>
      <c r="N38">
        <v>46</v>
      </c>
      <c r="O38">
        <v>53</v>
      </c>
      <c r="P38">
        <v>60</v>
      </c>
      <c r="Q38">
        <v>57</v>
      </c>
      <c r="R38">
        <v>52</v>
      </c>
      <c r="S38">
        <v>55</v>
      </c>
      <c r="T38">
        <v>56</v>
      </c>
    </row>
    <row r="39" spans="1:20" x14ac:dyDescent="0.15">
      <c r="A39">
        <v>97282</v>
      </c>
      <c r="B39">
        <v>229019</v>
      </c>
      <c r="C39" t="s">
        <v>82</v>
      </c>
      <c r="D39" t="s">
        <v>44</v>
      </c>
      <c r="E39">
        <v>76</v>
      </c>
      <c r="F39">
        <v>60</v>
      </c>
      <c r="G39">
        <v>82</v>
      </c>
      <c r="H39">
        <v>75</v>
      </c>
      <c r="I39">
        <v>95</v>
      </c>
      <c r="J39">
        <v>218</v>
      </c>
      <c r="K39">
        <v>293</v>
      </c>
      <c r="L39">
        <v>388</v>
      </c>
      <c r="M39">
        <v>61</v>
      </c>
      <c r="N39">
        <v>49</v>
      </c>
      <c r="O39">
        <v>62</v>
      </c>
      <c r="P39">
        <v>60</v>
      </c>
      <c r="Q39">
        <v>67</v>
      </c>
      <c r="R39">
        <v>58</v>
      </c>
      <c r="S39">
        <v>59</v>
      </c>
      <c r="T39">
        <v>61</v>
      </c>
    </row>
    <row r="40" spans="1:20" x14ac:dyDescent="0.15">
      <c r="A40">
        <v>97282</v>
      </c>
      <c r="B40">
        <v>229020</v>
      </c>
      <c r="C40" t="s">
        <v>83</v>
      </c>
      <c r="D40" t="s">
        <v>44</v>
      </c>
      <c r="E40">
        <v>92</v>
      </c>
      <c r="F40">
        <v>96</v>
      </c>
      <c r="G40">
        <v>97</v>
      </c>
      <c r="H40">
        <v>93</v>
      </c>
      <c r="I40">
        <v>92</v>
      </c>
      <c r="J40">
        <v>285</v>
      </c>
      <c r="K40">
        <v>378</v>
      </c>
      <c r="L40">
        <v>470</v>
      </c>
      <c r="M40">
        <v>70</v>
      </c>
      <c r="N40">
        <v>65</v>
      </c>
      <c r="O40">
        <v>68</v>
      </c>
      <c r="P40">
        <v>69</v>
      </c>
      <c r="Q40">
        <v>65</v>
      </c>
      <c r="R40">
        <v>70</v>
      </c>
      <c r="S40">
        <v>70</v>
      </c>
      <c r="T40">
        <v>70</v>
      </c>
    </row>
    <row r="41" spans="1:20" x14ac:dyDescent="0.15">
      <c r="A41">
        <v>97282</v>
      </c>
      <c r="B41">
        <v>229021</v>
      </c>
      <c r="C41" t="s">
        <v>84</v>
      </c>
      <c r="D41" t="s">
        <v>44</v>
      </c>
      <c r="E41">
        <v>74</v>
      </c>
      <c r="F41">
        <v>46</v>
      </c>
      <c r="G41">
        <v>66</v>
      </c>
      <c r="H41">
        <v>55</v>
      </c>
      <c r="I41">
        <v>94</v>
      </c>
      <c r="J41">
        <v>186</v>
      </c>
      <c r="K41">
        <v>241</v>
      </c>
      <c r="L41">
        <v>335</v>
      </c>
      <c r="M41">
        <v>59</v>
      </c>
      <c r="N41">
        <v>43</v>
      </c>
      <c r="O41">
        <v>55</v>
      </c>
      <c r="P41">
        <v>51</v>
      </c>
      <c r="Q41">
        <v>66</v>
      </c>
      <c r="R41">
        <v>52</v>
      </c>
      <c r="S41">
        <v>52</v>
      </c>
      <c r="T41">
        <v>56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元</vt:lpstr>
      <vt:lpstr>全データ用</vt:lpstr>
      <vt:lpstr>質問</vt:lpstr>
      <vt:lpstr>登録者数（初期設定）</vt:lpstr>
      <vt:lpstr>貼り付け用</vt:lpstr>
      <vt:lpstr>クラス人数</vt:lpstr>
      <vt:lpstr>対応表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丸山 浩史</cp:lastModifiedBy>
  <cp:lastPrinted>2020-05-17T23:35:55Z</cp:lastPrinted>
  <dcterms:created xsi:type="dcterms:W3CDTF">2019-01-30T23:00:05Z</dcterms:created>
  <dcterms:modified xsi:type="dcterms:W3CDTF">2024-09-05T06:26:09Z</dcterms:modified>
</cp:coreProperties>
</file>