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指導要録\小学校印刷用\R05年度\"/>
    </mc:Choice>
  </mc:AlternateContent>
  <bookViews>
    <workbookView xWindow="360" yWindow="105" windowWidth="22635" windowHeight="11670"/>
  </bookViews>
  <sheets>
    <sheet name="おもて" sheetId="3" r:id="rId1"/>
    <sheet name="裏" sheetId="1" r:id="rId2"/>
    <sheet name="データ" sheetId="2" r:id="rId3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52511"/>
</workbook>
</file>

<file path=xl/calcChain.xml><?xml version="1.0" encoding="utf-8"?>
<calcChain xmlns="http://schemas.openxmlformats.org/spreadsheetml/2006/main">
  <c r="A2" i="1" l="1"/>
  <c r="A8" i="3"/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I43" i="2"/>
  <c r="F44" i="2"/>
  <c r="I46" i="2"/>
  <c r="F59" i="2"/>
  <c r="F6" i="2"/>
  <c r="F42" i="2"/>
  <c r="I10" i="2"/>
  <c r="H17" i="2"/>
  <c r="F9" i="2"/>
  <c r="G7" i="2"/>
  <c r="I30" i="2"/>
  <c r="I14" i="2"/>
  <c r="H5" i="2"/>
  <c r="F43" i="2"/>
  <c r="F52" i="2"/>
  <c r="H41" i="2"/>
  <c r="G28" i="2"/>
  <c r="I57" i="2"/>
  <c r="I12" i="2"/>
  <c r="F7" i="2"/>
  <c r="F32" i="2"/>
  <c r="F35" i="2"/>
  <c r="I9" i="2"/>
  <c r="F49" i="2"/>
  <c r="I72" i="2"/>
  <c r="F8" i="2"/>
  <c r="I8" i="2"/>
  <c r="I21" i="2"/>
  <c r="I17" i="2"/>
  <c r="I58" i="2"/>
  <c r="I25" i="2"/>
  <c r="G60" i="2"/>
  <c r="F68" i="2"/>
  <c r="F46" i="2"/>
  <c r="G16" i="2"/>
  <c r="F40" i="2"/>
  <c r="H13" i="2"/>
  <c r="I34" i="2"/>
  <c r="G6" i="2"/>
  <c r="I68" i="2"/>
  <c r="H69" i="2"/>
  <c r="I51" i="2"/>
  <c r="F15" i="2"/>
  <c r="H10" i="2"/>
  <c r="H31" i="2"/>
  <c r="G34" i="2"/>
  <c r="G5" i="2"/>
  <c r="F26" i="2"/>
  <c r="F10" i="2"/>
  <c r="F21" i="2"/>
  <c r="F53" i="2"/>
  <c r="F19" i="2"/>
  <c r="I53" i="2"/>
  <c r="I63" i="2"/>
  <c r="G27" i="2"/>
  <c r="I16" i="2"/>
  <c r="F18" i="2"/>
  <c r="F23" i="2"/>
  <c r="F5" i="2"/>
  <c r="F38" i="2"/>
  <c r="F58" i="2"/>
  <c r="F41" i="2"/>
  <c r="F36" i="2"/>
  <c r="G40" i="2"/>
  <c r="I22" i="2"/>
  <c r="G31" i="2"/>
  <c r="F56" i="2"/>
  <c r="F12" i="2"/>
  <c r="G33" i="2"/>
  <c r="F61" i="2"/>
  <c r="G13" i="2"/>
  <c r="I24" i="2"/>
  <c r="G38" i="2"/>
  <c r="H38" i="2"/>
  <c r="F39" i="2"/>
  <c r="F73" i="2"/>
  <c r="F54" i="2"/>
  <c r="G17" i="2"/>
  <c r="H29" i="2"/>
  <c r="F31" i="2"/>
  <c r="F48" i="2"/>
  <c r="G37" i="2"/>
  <c r="G29" i="2"/>
  <c r="I60" i="2"/>
  <c r="F25" i="2"/>
  <c r="G63" i="2"/>
  <c r="F37" i="2"/>
  <c r="F29" i="2"/>
  <c r="F60" i="2"/>
  <c r="F16" i="2"/>
  <c r="G25" i="2"/>
  <c r="F28" i="2"/>
  <c r="F62" i="2"/>
  <c r="H50" i="2"/>
  <c r="I69" i="2"/>
  <c r="H20" i="2"/>
  <c r="H40" i="2"/>
  <c r="G15" i="2"/>
  <c r="H43" i="2"/>
  <c r="I32" i="2"/>
  <c r="F17" i="2"/>
  <c r="G22" i="2"/>
  <c r="F13" i="2"/>
  <c r="F27" i="2"/>
  <c r="I36" i="2"/>
  <c r="I28" i="2"/>
  <c r="I11" i="2"/>
  <c r="F14" i="2"/>
  <c r="H60" i="2"/>
  <c r="I5" i="2"/>
  <c r="F57" i="2"/>
  <c r="F30" i="2"/>
  <c r="F24" i="2"/>
  <c r="F55" i="2"/>
  <c r="F34" i="2"/>
  <c r="H18" i="2"/>
  <c r="F33" i="2"/>
  <c r="F69" i="2"/>
  <c r="H21" i="2"/>
  <c r="R4" i="1" l="1"/>
  <c r="P4" i="1"/>
  <c r="Q4" i="1"/>
  <c r="O4" i="1"/>
  <c r="V52" i="3"/>
  <c r="V48" i="3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H47" i="3"/>
  <c r="G23" i="3"/>
  <c r="G31" i="3"/>
  <c r="G39" i="3"/>
  <c r="J46" i="3"/>
  <c r="H14" i="3"/>
  <c r="H30" i="3"/>
  <c r="J16" i="3"/>
  <c r="J24" i="3"/>
  <c r="J32" i="3"/>
  <c r="J40" i="3"/>
  <c r="J48" i="3"/>
  <c r="I16" i="3"/>
  <c r="I24" i="3"/>
  <c r="I40" i="3"/>
  <c r="H40" i="3"/>
  <c r="J30" i="3"/>
  <c r="I38" i="3"/>
  <c r="G30" i="3"/>
  <c r="J17" i="3"/>
  <c r="J25" i="3"/>
  <c r="J33" i="3"/>
  <c r="J41" i="3"/>
  <c r="J49" i="3"/>
  <c r="I25" i="3"/>
  <c r="I49" i="3"/>
  <c r="H49" i="3"/>
  <c r="G17" i="3"/>
  <c r="G25" i="3"/>
  <c r="G33" i="3"/>
  <c r="G41" i="3"/>
  <c r="I14" i="3"/>
  <c r="H22" i="3"/>
  <c r="H38" i="3"/>
  <c r="J18" i="3"/>
  <c r="J26" i="3"/>
  <c r="J34" i="3"/>
  <c r="J42" i="3"/>
  <c r="J51" i="3"/>
  <c r="I26" i="3"/>
  <c r="I34" i="3"/>
  <c r="I42" i="3"/>
  <c r="H26" i="3"/>
  <c r="H51" i="3"/>
  <c r="G18" i="3"/>
  <c r="G26" i="3"/>
  <c r="G34" i="3"/>
  <c r="J19" i="3"/>
  <c r="J27" i="3"/>
  <c r="J35" i="3"/>
  <c r="J43" i="3"/>
  <c r="J52" i="3"/>
  <c r="I43" i="3"/>
  <c r="H19" i="3"/>
  <c r="H27" i="3"/>
  <c r="G19" i="3"/>
  <c r="G43" i="3"/>
  <c r="J22" i="3"/>
  <c r="J28" i="3"/>
  <c r="J36" i="3"/>
  <c r="J44" i="3"/>
  <c r="J53" i="3"/>
  <c r="I36" i="3"/>
  <c r="H53" i="3"/>
  <c r="G20" i="3"/>
  <c r="G53" i="3"/>
  <c r="J38" i="3"/>
  <c r="I46" i="3"/>
  <c r="G14" i="3"/>
  <c r="J21" i="3"/>
  <c r="J37" i="3"/>
  <c r="J45" i="3"/>
  <c r="J55" i="3"/>
  <c r="I37" i="3"/>
  <c r="H29" i="3"/>
  <c r="G21" i="3"/>
  <c r="G37" i="3"/>
  <c r="G45" i="3"/>
  <c r="J56" i="3"/>
  <c r="G56" i="3"/>
  <c r="V9" i="3"/>
  <c r="O8" i="3"/>
  <c r="E22" i="1"/>
  <c r="E20" i="1"/>
  <c r="E19" i="1"/>
  <c r="D22" i="1"/>
  <c r="D19" i="1"/>
  <c r="R6" i="1"/>
  <c r="R5" i="1"/>
  <c r="I8" i="1"/>
  <c r="Q7" i="1"/>
  <c r="O7" i="1"/>
  <c r="I7" i="1"/>
  <c r="I6" i="1"/>
  <c r="I5" i="1"/>
  <c r="I4" i="1"/>
  <c r="F7" i="1"/>
  <c r="F6" i="1"/>
  <c r="E3" i="2"/>
  <c r="D3" i="2"/>
  <c r="H66" i="2"/>
  <c r="I31" i="2"/>
  <c r="G48" i="2"/>
  <c r="G8" i="2"/>
  <c r="H27" i="2"/>
  <c r="F63" i="2"/>
  <c r="H36" i="2"/>
  <c r="G68" i="2"/>
  <c r="H39" i="2"/>
  <c r="G35" i="2"/>
  <c r="H34" i="2"/>
  <c r="H26" i="2"/>
  <c r="H63" i="2"/>
  <c r="G58" i="2"/>
  <c r="I19" i="2"/>
  <c r="H52" i="2"/>
  <c r="I29" i="2"/>
  <c r="H65" i="2"/>
  <c r="I40" i="2"/>
  <c r="G32" i="2"/>
  <c r="G59" i="2"/>
  <c r="H35" i="2"/>
  <c r="F45" i="2"/>
  <c r="G45" i="2"/>
  <c r="F50" i="2"/>
  <c r="F11" i="2"/>
  <c r="H9" i="2"/>
  <c r="H37" i="2"/>
  <c r="G46" i="2"/>
  <c r="I64" i="2"/>
  <c r="I66" i="2"/>
  <c r="G12" i="2"/>
  <c r="F67" i="2"/>
  <c r="G10" i="2"/>
  <c r="G42" i="2"/>
  <c r="I67" i="2"/>
  <c r="H12" i="2"/>
  <c r="F65" i="2"/>
  <c r="I44" i="2"/>
  <c r="F51" i="2"/>
  <c r="I48" i="2"/>
  <c r="H72" i="2"/>
  <c r="G49" i="2"/>
  <c r="I47" i="2"/>
  <c r="G56" i="2"/>
  <c r="I70" i="2"/>
  <c r="G47" i="2"/>
  <c r="I37" i="2"/>
  <c r="H48" i="2"/>
  <c r="H49" i="2"/>
  <c r="G67" i="2"/>
  <c r="H61" i="2"/>
  <c r="G41" i="2"/>
  <c r="I7" i="2"/>
  <c r="H19" i="2"/>
  <c r="G55" i="2"/>
  <c r="G70" i="2"/>
  <c r="G57" i="2"/>
  <c r="H25" i="2"/>
  <c r="H30" i="2"/>
  <c r="G66" i="2"/>
  <c r="H33" i="2"/>
  <c r="H22" i="2"/>
  <c r="G11" i="2"/>
  <c r="G20" i="2"/>
  <c r="I65" i="2"/>
  <c r="H57" i="2"/>
  <c r="G21" i="2"/>
  <c r="F22" i="2"/>
  <c r="H24" i="2"/>
  <c r="F71" i="2"/>
  <c r="H67" i="2"/>
  <c r="H6" i="2"/>
  <c r="H47" i="2"/>
  <c r="G65" i="2"/>
  <c r="G30" i="2"/>
  <c r="F70" i="2"/>
  <c r="H42" i="2"/>
  <c r="G4" i="2"/>
  <c r="H23" i="2"/>
  <c r="F20" i="2"/>
  <c r="F64" i="2"/>
  <c r="H71" i="2"/>
  <c r="H70" i="2"/>
  <c r="H51" i="2"/>
  <c r="F47" i="2"/>
  <c r="I49" i="2"/>
  <c r="G54" i="2"/>
  <c r="I33" i="2"/>
  <c r="G24" i="2"/>
  <c r="D25" i="2"/>
  <c r="F4" i="2"/>
  <c r="H15" i="2"/>
  <c r="G53" i="2"/>
  <c r="G69" i="2"/>
  <c r="H44" i="2"/>
  <c r="G18" i="2"/>
  <c r="G52" i="2"/>
  <c r="G73" i="2"/>
  <c r="G64" i="2"/>
  <c r="G71" i="2"/>
  <c r="H73" i="2"/>
  <c r="D31" i="2"/>
  <c r="I23" i="2"/>
  <c r="I52" i="2"/>
  <c r="F72" i="2"/>
  <c r="I39" i="2"/>
  <c r="D12" i="2"/>
  <c r="I38" i="2"/>
  <c r="I4" i="2"/>
  <c r="I45" i="2"/>
  <c r="I71" i="2"/>
  <c r="I61" i="2"/>
  <c r="G39" i="2"/>
  <c r="G51" i="2"/>
  <c r="H14" i="2"/>
  <c r="I35" i="2"/>
  <c r="G23" i="2"/>
  <c r="G44" i="2"/>
  <c r="G50" i="2"/>
  <c r="G9" i="2"/>
  <c r="H8" i="2"/>
  <c r="G26" i="2"/>
  <c r="D36" i="2"/>
  <c r="H59" i="2"/>
  <c r="H54" i="2"/>
  <c r="G14" i="2"/>
  <c r="H28" i="2"/>
  <c r="I73" i="2"/>
  <c r="H45" i="2"/>
  <c r="G19" i="2"/>
  <c r="H7" i="2"/>
  <c r="I54" i="2"/>
  <c r="G43" i="2"/>
  <c r="I6" i="2"/>
  <c r="I59" i="2"/>
  <c r="I41" i="2"/>
  <c r="I18" i="2"/>
  <c r="G61" i="2"/>
  <c r="I27" i="2"/>
  <c r="I50" i="2"/>
  <c r="G62" i="2"/>
  <c r="E11" i="2"/>
  <c r="H64" i="2"/>
  <c r="I13" i="2"/>
  <c r="G36" i="2"/>
  <c r="F66" i="2"/>
  <c r="H68" i="2"/>
  <c r="H56" i="2"/>
  <c r="D13" i="2"/>
  <c r="H11" i="2"/>
  <c r="D33" i="2"/>
  <c r="H62" i="2"/>
  <c r="I26" i="2"/>
  <c r="I42" i="2"/>
  <c r="I55" i="2"/>
  <c r="I20" i="2"/>
  <c r="H46" i="2"/>
  <c r="H4" i="2"/>
  <c r="I15" i="2"/>
  <c r="H55" i="2"/>
  <c r="G72" i="2"/>
  <c r="I62" i="2"/>
  <c r="H16" i="2"/>
  <c r="H53" i="2"/>
  <c r="H32" i="2"/>
  <c r="H58" i="2"/>
  <c r="I56" i="2"/>
  <c r="D35" i="2"/>
  <c r="G51" i="3" l="1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L34" i="3"/>
  <c r="L42" i="3"/>
  <c r="L21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E32" i="2"/>
  <c r="D27" i="2"/>
  <c r="D40" i="2"/>
  <c r="E18" i="2"/>
  <c r="D17" i="2"/>
  <c r="D67" i="2"/>
  <c r="D20" i="2"/>
  <c r="E5" i="2"/>
  <c r="E28" i="2"/>
  <c r="D8" i="2"/>
  <c r="E68" i="2"/>
  <c r="E29" i="2"/>
  <c r="E60" i="2"/>
  <c r="D18" i="2"/>
  <c r="D45" i="2"/>
  <c r="D7" i="2"/>
  <c r="E66" i="2"/>
  <c r="D10" i="2"/>
  <c r="E51" i="2"/>
  <c r="E37" i="2"/>
  <c r="D32" i="2"/>
  <c r="E17" i="2"/>
  <c r="E71" i="2"/>
  <c r="D23" i="2"/>
  <c r="E33" i="2"/>
  <c r="E56" i="2"/>
  <c r="E8" i="2"/>
  <c r="D21" i="2"/>
  <c r="D9" i="2"/>
  <c r="E34" i="2"/>
  <c r="E25" i="2"/>
  <c r="E50" i="2"/>
  <c r="D69" i="2"/>
  <c r="D51" i="2"/>
  <c r="E27" i="2"/>
  <c r="D34" i="2"/>
  <c r="D59" i="2"/>
  <c r="D56" i="2"/>
  <c r="D52" i="2"/>
  <c r="E41" i="2"/>
  <c r="D58" i="2"/>
  <c r="D42" i="2"/>
  <c r="E72" i="2"/>
  <c r="E30" i="2"/>
  <c r="E43" i="2"/>
  <c r="E7" i="2"/>
  <c r="D24" i="2"/>
  <c r="D47" i="2"/>
  <c r="D46" i="2"/>
  <c r="D62" i="2"/>
  <c r="E55" i="2"/>
  <c r="D44" i="2"/>
  <c r="E49" i="2"/>
  <c r="D54" i="2"/>
  <c r="D16" i="2"/>
  <c r="E21" i="2"/>
  <c r="D30" i="2"/>
  <c r="E15" i="2"/>
  <c r="D4" i="2"/>
  <c r="E13" i="2"/>
  <c r="D48" i="2"/>
  <c r="E46" i="2"/>
  <c r="E59" i="2"/>
  <c r="E70" i="2"/>
  <c r="D41" i="2"/>
  <c r="D43" i="2"/>
  <c r="E65" i="2"/>
  <c r="E12" i="2"/>
  <c r="D55" i="2"/>
  <c r="E61" i="2"/>
  <c r="D64" i="2"/>
  <c r="E63" i="2"/>
  <c r="D60" i="2"/>
  <c r="E44" i="2"/>
  <c r="D49" i="2"/>
  <c r="D65" i="2"/>
  <c r="E26" i="2"/>
  <c r="E45" i="2"/>
  <c r="E54" i="2"/>
  <c r="E53" i="2"/>
  <c r="E39" i="2"/>
  <c r="D63" i="2"/>
  <c r="E23" i="2"/>
  <c r="E4" i="2"/>
  <c r="D50" i="2"/>
  <c r="D19" i="2"/>
  <c r="E10" i="2"/>
  <c r="D37" i="2"/>
  <c r="D26" i="2"/>
  <c r="E57" i="2"/>
  <c r="E67" i="2"/>
  <c r="D29" i="2"/>
  <c r="D6" i="2"/>
  <c r="D71" i="2"/>
  <c r="E9" i="2"/>
  <c r="E69" i="2"/>
  <c r="D66" i="2"/>
  <c r="E58" i="2"/>
  <c r="E31" i="2"/>
  <c r="E14" i="2"/>
  <c r="E16" i="2"/>
  <c r="E52" i="2"/>
  <c r="E42" i="2"/>
  <c r="E38" i="2"/>
  <c r="E22" i="2"/>
  <c r="D73" i="2"/>
  <c r="E62" i="2"/>
  <c r="D72" i="2"/>
  <c r="E20" i="2"/>
  <c r="D28" i="2"/>
  <c r="D70" i="2"/>
  <c r="E6" i="2"/>
  <c r="D15" i="2"/>
  <c r="E40" i="2"/>
  <c r="E24" i="2"/>
  <c r="D22" i="2"/>
  <c r="E48" i="2"/>
  <c r="D68" i="2"/>
  <c r="E35" i="2"/>
  <c r="D11" i="2"/>
  <c r="D39" i="2"/>
  <c r="D38" i="2"/>
  <c r="E47" i="2"/>
  <c r="D57" i="2"/>
  <c r="E64" i="2"/>
  <c r="D61" i="2"/>
  <c r="E36" i="2"/>
  <c r="D14" i="2"/>
  <c r="E73" i="2"/>
  <c r="E19" i="2"/>
  <c r="D53" i="2"/>
  <c r="D5" i="2"/>
  <c r="J23" i="1" l="1"/>
  <c r="E23" i="1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<sst xmlns="http://schemas.openxmlformats.org/spreadsheetml/2006/main" count="107" uniqueCount="72">
  <si>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</si>
  <si>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</si>
  <si>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</si>
  <si>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</si>
  <si>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</si>
  <si>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</si>
  <si>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</si>
  <si>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</si>
  <si>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</si>
  <si>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</si>
  <si>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</si>
  <si>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</si>
  <si>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</si>
  <si>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</si>
  <si>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</si>
  <si>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</si>
  <si>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</si>
  <si>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</si>
  <si>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</si>
  <si>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</si>
  <si>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</si>
  <si>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</si>
  <si>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</si>
  <si>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</si>
  <si>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</si>
  <si>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</si>
  <si>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</si>
  <si>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</si>
  <si>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</si>
  <si>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</si>
  <si>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</si>
  <si>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</si>
  <si>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</si>
  <si>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</si>
  <si>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</si>
  <si>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</si>
  <si>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</si>
  <si>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</si>
  <si>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</si>
  <si>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</si>
  <si>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</si>
  <si>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</si>
  <si>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</si>
  <si>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</si>
  <si>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</si>
  <si>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</si>
  <si>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</si>
  <si>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</si>
  <si>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</si>
  <si>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</si>
  <si>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</si>
  <si>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</si>
  <si>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</si>
  <si>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</si>
  <si>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</si>
  <si>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</si>
  <si>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</si>
  <si>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</si>
  <si>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</si>
  <si>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</si>
  <si>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</si>
  <si>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</si>
  <si>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</si>
  <si>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</si>
  <si>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</si>
  <si>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</si>
  <si>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</si>
  <si>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</si>
  <si>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</si>
  <si>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R05</t>
    <phoneticPr fontId="16" type="Hiragana"/>
  </si>
  <si>
    <t>井口 智稀</t>
  </si>
  <si>
    <t>1522002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</si>
</sst>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top" wrapText="1"/>
    </xf>
    <xf numFmtId="0" fontId="3" fillId="0" borderId="0" xfId="0" applyFont="1" applyFill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center" shrinkToFit="1"/>
    </xf>
    <xf numFmtId="0" fontId="11" fillId="0" borderId="0" xfId="0" applyFont="1" applyBorder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0" fillId="0" borderId="0" xfId="0" applyFont="1" applyFill="1"/>
    <xf numFmtId="0" fontId="1" fillId="4" borderId="0" xfId="0" applyFont="1" applyFill="1"/>
    <xf numFmtId="0" fontId="3" fillId="4" borderId="0" xfId="0" applyFont="1" applyFill="1"/>
    <xf numFmtId="0" fontId="0" fillId="4" borderId="0" xfId="0" applyFont="1" applyFill="1"/>
    <xf numFmtId="0" fontId="3" fillId="4" borderId="0" xfId="0" applyFont="1" applyFill="1" applyAlignment="1"/>
    <xf numFmtId="0" fontId="1" fillId="4" borderId="0" xfId="0" applyFont="1" applyFill="1" applyAlignment="1"/>
    <xf numFmtId="0" fontId="19" fillId="4" borderId="0" xfId="0" applyFont="1" applyFill="1"/>
    <xf numFmtId="0" fontId="19" fillId="0" borderId="0" xfId="0" applyFont="1" applyFill="1"/>
    <xf numFmtId="0" fontId="20" fillId="4" borderId="0" xfId="0" applyFont="1" applyFill="1" applyAlignment="1">
      <alignment horizontal="center"/>
    </xf>
    <xf numFmtId="0" fontId="19" fillId="0" borderId="14" xfId="0" applyFont="1" applyFill="1" applyBorder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1" fillId="0" borderId="0" xfId="0" applyFont="1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ont="1" applyFill="1" applyBorder="1" applyAlignment="1"/>
    <xf numFmtId="0" fontId="0" fillId="6" borderId="1" xfId="0" applyFont="1" applyFill="1" applyBorder="1" applyAlignment="1">
      <alignment horizontal="center" vertical="center"/>
    </xf>
    <xf numFmtId="0" fontId="19" fillId="0" borderId="16" xfId="0" applyFont="1" applyFill="1" applyBorder="1" applyAlignment="1" applyProtection="1">
      <alignment horizontal="right"/>
      <protection locked="0"/>
    </xf>
    <xf numFmtId="0" fontId="19" fillId="0" borderId="15" xfId="0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0" fillId="0" borderId="14" xfId="0" applyFont="1" applyFill="1" applyBorder="1" applyAlignment="1" applyProtection="1">
      <alignment horizontal="left"/>
      <protection locked="0"/>
    </xf>
    <xf numFmtId="0" fontId="17" fillId="0" borderId="14" xfId="0" applyFont="1" applyFill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 vertical="center"/>
    </xf>
    <xf numFmtId="0" fontId="21" fillId="4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shrinkToFit="1"/>
    </xf>
    <xf numFmtId="0" fontId="1" fillId="0" borderId="12" xfId="0" applyFont="1" applyFill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8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center" wrapText="1" shrinkToFit="1"/>
    </xf>
    <xf numFmtId="0" fontId="1" fillId="0" borderId="11" xfId="0" applyFont="1" applyFill="1" applyBorder="1" applyAlignment="1">
      <alignment horizontal="left" vertical="center" wrapText="1" shrinkToFit="1"/>
    </xf>
    <xf numFmtId="0" fontId="1" fillId="0" borderId="12" xfId="0" applyFont="1" applyFill="1" applyBorder="1" applyAlignment="1">
      <alignment horizontal="left" vertical="center" wrapText="1" shrinkToFit="1"/>
    </xf>
    <xf numFmtId="0" fontId="1" fillId="0" borderId="13" xfId="0" applyFont="1" applyFill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Fill="1" applyBorder="1" applyAlignment="1">
      <alignment horizontal="left" vertical="top" wrapText="1"/>
    </xf>
    <xf numFmtId="0" fontId="1" fillId="0" borderId="8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9" xfId="0" applyNumberFormat="1" applyFont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 wrapText="1" shrinkToFit="1"/>
    </xf>
    <xf numFmtId="0" fontId="1" fillId="0" borderId="8" xfId="0" applyFont="1" applyFill="1" applyBorder="1" applyAlignment="1">
      <alignment vertical="center" shrinkToFit="1"/>
    </xf>
    <xf numFmtId="0" fontId="1" fillId="0" borderId="9" xfId="0" applyFont="1" applyFill="1" applyBorder="1" applyAlignment="1">
      <alignment vertical="center" shrinkToFi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0" fontId="5" fillId="0" borderId="0" xfId="0" applyFont="1" applyFill="1" applyBorder="1" applyAlignment="1" applyProtection="1">
      <alignment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1" fillId="4" borderId="0" xfId="0" applyFont="1" applyFill="1" applyProtection="1"/>
    <xf numFmtId="0" fontId="3" fillId="4" borderId="0" xfId="0" quotePrefix="1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5" fillId="4" borderId="0" xfId="0" applyFont="1" applyFill="1" applyAlignment="1" applyProtection="1">
      <alignment vertical="top" wrapText="1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quotePrefix="1" applyFont="1" applyFill="1" applyBorder="1" applyAlignment="1" applyProtection="1">
      <alignment horizontal="right"/>
    </xf>
    <xf numFmtId="0" fontId="1" fillId="0" borderId="0" xfId="0" quotePrefix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Fill="1" applyBorder="1"/>
    <xf numFmtId="0" fontId="1" fillId="0" borderId="0" xfId="0" applyFont="1" applyFill="1" applyBorder="1"/>
    <xf numFmtId="0" fontId="20" fillId="4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/>
    <xf numFmtId="0" fontId="1" fillId="0" borderId="0" xfId="0" applyFont="1" applyFill="1" applyBorder="1" applyAlignment="1"/>
    <xf numFmtId="0" fontId="3" fillId="0" borderId="0" xfId="0" quotePrefix="1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49" fontId="28" fillId="0" borderId="1" xfId="0" applyNumberFormat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top" wrapText="1"/>
    </xf>
    <xf numFmtId="0" fontId="6" fillId="0" borderId="0" xfId="0" quotePrefix="1" applyFont="1" applyFill="1" applyBorder="1" applyAlignment="1" applyProtection="1">
      <alignment horizontal="left" vertical="top" wrapText="1"/>
    </xf>
    <xf numFmtId="0" fontId="27" fillId="0" borderId="0" xfId="0" quotePrefix="1" applyFont="1" applyFill="1" applyBorder="1" applyAlignment="1" applyProtection="1">
      <alignment horizontal="center"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7" fillId="0" borderId="0" xfId="0" quotePrefix="1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horizontal="center" vertical="top" wrapText="1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left"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6" fillId="0" borderId="0" xfId="0" quotePrefix="1" applyFont="1" applyFill="1" applyBorder="1" applyAlignment="1">
      <alignment horizontal="left" vertical="top" wrapText="1" shrinkToFit="1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/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/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71"/>
  <sheetViews>
    <sheetView tabSelected="1" zoomScaleNormal="100" zoomScaleSheetLayoutView="100" workbookViewId="0">
      <selection activeCell="AI10" sqref="AI10"/>
    </sheetView>
  </sheetViews>
  <sheetFormatPr defaultRowHeight="13.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0.8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style="26" customWidth="1"/>
    <col min="34" max="35" width="3" style="33" bestFit="1" customWidth="1"/>
    <col min="36" max="36" width="12.5" style="26" customWidth="1"/>
    <col min="37" max="37" width="9.875" style="26" customWidth="1"/>
    <col min="38" max="38" width="4.25" style="1" customWidth="1"/>
    <col min="39" max="16384" width="9" style="1"/>
  </cols>
  <sheetData>
    <row r="1" spans="1:38" ht="25.5" customHeight="1">
      <c r="A1" s="149" t="s">
        <v>69</v>
      </c>
      <c r="B1" s="147" t="s">
        <v>67</v>
      </c>
      <c r="C1" s="151" t="s">
        <v>68</v>
      </c>
      <c r="D1" s="27"/>
      <c r="E1" s="27"/>
      <c r="F1" s="27"/>
      <c r="G1" s="28"/>
      <c r="H1" s="28"/>
      <c r="I1" s="28"/>
      <c r="J1" s="28"/>
      <c r="K1" s="28"/>
      <c r="L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9"/>
      <c r="AH1" s="32"/>
      <c r="AI1" s="32"/>
      <c r="AJ1" s="29"/>
      <c r="AK1" s="29"/>
      <c r="AL1" s="27"/>
    </row>
    <row r="2" spans="1:38" ht="7.5" customHeight="1">
      <c r="A2" s="27"/>
      <c r="B2" s="27"/>
      <c r="C2" s="27"/>
      <c r="D2" s="27"/>
      <c r="E2" s="27"/>
      <c r="F2" s="27"/>
      <c r="G2" s="28"/>
      <c r="H2" s="28"/>
      <c r="I2" s="28"/>
      <c r="J2" s="28"/>
      <c r="K2" s="28"/>
      <c r="L2" s="28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9"/>
      <c r="AH2" s="32"/>
      <c r="AI2" s="32"/>
      <c r="AJ2" s="29"/>
      <c r="AK2" s="29"/>
      <c r="AL2" s="27"/>
    </row>
    <row r="3" spans="1:38" ht="22.5" customHeight="1">
      <c r="A3" s="148">
        <v>2</v>
      </c>
      <c r="B3" s="156" t="s">
        <v>20</v>
      </c>
      <c r="C3" s="156"/>
      <c r="D3" s="156"/>
      <c r="E3" s="27"/>
      <c r="F3" s="27"/>
      <c r="G3" s="28"/>
      <c r="H3" s="28"/>
      <c r="I3" s="28"/>
      <c r="J3" s="28"/>
      <c r="K3" s="28"/>
      <c r="L3" s="28"/>
      <c r="M3" s="27"/>
      <c r="N3" s="27"/>
      <c r="O3" s="27"/>
      <c r="P3" s="65">
        <v>1</v>
      </c>
      <c r="Q3" s="34"/>
      <c r="R3" s="65"/>
      <c r="S3" s="129"/>
      <c r="T3" s="130"/>
      <c r="U3" s="34"/>
      <c r="V3" s="166"/>
      <c r="W3" s="167"/>
      <c r="X3" s="168"/>
      <c r="Y3" s="34"/>
      <c r="Z3" s="152"/>
      <c r="AA3" s="153"/>
      <c r="AB3" s="34"/>
      <c r="AC3" s="155"/>
      <c r="AD3" s="155"/>
      <c r="AE3" s="27"/>
      <c r="AF3" s="27"/>
      <c r="AG3" s="29"/>
      <c r="AH3" s="32"/>
      <c r="AI3" s="32"/>
      <c r="AJ3" s="29"/>
      <c r="AK3" s="29"/>
      <c r="AL3" s="27"/>
    </row>
    <row r="4" spans="1:38" ht="5.25" customHeight="1">
      <c r="A4" s="27"/>
      <c r="B4" s="27"/>
      <c r="C4" s="27"/>
      <c r="D4" s="27"/>
      <c r="E4" s="27"/>
      <c r="F4" s="27"/>
      <c r="G4" s="28"/>
      <c r="H4" s="28"/>
      <c r="I4" s="28"/>
      <c r="J4" s="28"/>
      <c r="K4" s="28"/>
      <c r="L4" s="28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9"/>
      <c r="AH4" s="32"/>
      <c r="AI4" s="32"/>
      <c r="AJ4" s="29"/>
      <c r="AK4" s="29"/>
      <c r="AL4" s="27"/>
    </row>
    <row r="5" spans="1:38" ht="22.5" customHeight="1">
      <c r="A5" s="27"/>
      <c r="B5" s="40">
        <v>1</v>
      </c>
      <c r="C5" s="27"/>
      <c r="D5" s="27"/>
      <c r="E5" s="27"/>
      <c r="F5" s="27"/>
      <c r="G5" s="28"/>
      <c r="H5" s="28"/>
      <c r="I5" s="28"/>
      <c r="J5" s="28"/>
      <c r="K5" s="28"/>
      <c r="L5" s="28"/>
      <c r="M5" s="27"/>
      <c r="N5" s="27"/>
      <c r="O5" s="27"/>
      <c r="P5" s="65"/>
      <c r="Q5" s="27"/>
      <c r="R5" s="150" t="s">
        <v>13</v>
      </c>
      <c r="S5" s="51"/>
      <c r="T5" s="65"/>
      <c r="U5" s="132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9"/>
      <c r="AH5" s="32"/>
      <c r="AI5" s="32"/>
      <c r="AJ5" s="27"/>
      <c r="AK5" s="29"/>
      <c r="AL5" s="27"/>
    </row>
    <row r="6" spans="1:38" ht="25.5" customHeight="1">
      <c r="A6" s="27"/>
      <c r="B6" s="27"/>
      <c r="C6" s="27"/>
      <c r="D6" s="27"/>
      <c r="E6" s="27"/>
      <c r="F6" s="27"/>
      <c r="G6" s="28"/>
      <c r="H6" s="28"/>
      <c r="I6" s="28"/>
      <c r="J6" s="28"/>
      <c r="K6" s="28"/>
      <c r="L6" s="28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9"/>
      <c r="AH6" s="32"/>
      <c r="AI6" s="32"/>
      <c r="AJ6" s="29"/>
      <c r="AK6" s="29"/>
      <c r="AL6" s="27"/>
    </row>
    <row r="7" spans="1:38" ht="25.5" customHeight="1">
      <c r="A7" s="37"/>
      <c r="B7" s="37"/>
      <c r="C7" s="37"/>
      <c r="D7" s="37"/>
      <c r="E7" s="37"/>
      <c r="F7" s="37"/>
      <c r="G7" s="63"/>
      <c r="H7" s="38"/>
      <c r="I7" s="63"/>
      <c r="J7" s="38"/>
      <c r="K7" s="63"/>
      <c r="L7" s="38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27"/>
      <c r="AG7" s="64" t="s">
        <v>10</v>
      </c>
      <c r="AH7" s="64" t="s">
        <v>8</v>
      </c>
      <c r="AI7" s="64" t="s">
        <v>9</v>
      </c>
      <c r="AJ7" s="64" t="s">
        <v>11</v>
      </c>
      <c r="AK7" s="64" t="s">
        <v>12</v>
      </c>
      <c r="AL7" s="27"/>
    </row>
    <row r="8" spans="1:38" ht="15" customHeight="1">
      <c r="A8" s="157" t="str">
        <f>AJ8</f>
        <v>井口 智稀</v>
      </c>
      <c r="B8" s="158"/>
      <c r="C8" s="158"/>
      <c r="D8" s="158"/>
      <c r="E8" s="159" t="s">
        <v>2</v>
      </c>
      <c r="F8" s="159"/>
      <c r="G8" s="159"/>
      <c r="H8" s="159"/>
      <c r="I8" s="159"/>
      <c r="J8" s="159"/>
      <c r="K8" s="159"/>
      <c r="L8" s="159"/>
      <c r="M8" s="114"/>
      <c r="N8" s="115"/>
      <c r="O8" s="154">
        <f ca="1">IFERROR(データ!$I$72,"")</f>
        <v>2</v>
      </c>
      <c r="P8" s="154"/>
      <c r="Q8" s="154">
        <f ca="1">IFERROR(データ!$H$72,"")</f>
        <v>1</v>
      </c>
      <c r="R8" s="154"/>
      <c r="S8" s="154"/>
      <c r="T8" s="154" t="str">
        <f ca="1">IFERROR(データ!$G$72,"")</f>
        <v/>
      </c>
      <c r="U8" s="154"/>
      <c r="V8" s="154" t="str">
        <f ca="1">IFERROR(データ!$F$72,"")</f>
        <v/>
      </c>
      <c r="W8" s="154"/>
      <c r="X8" s="154"/>
      <c r="Y8" s="154"/>
      <c r="Z8" s="154" t="str">
        <f ca="1">IFERROR(データ!$E$72,"")</f>
        <v/>
      </c>
      <c r="AA8" s="154"/>
      <c r="AB8" s="154"/>
      <c r="AC8" s="154" t="str">
        <f ca="1">IFERROR(データ!$D$72,"")</f>
        <v/>
      </c>
      <c r="AD8" s="154"/>
      <c r="AE8" s="154"/>
      <c r="AF8" s="27"/>
      <c r="AG8" s="41">
        <v>1</v>
      </c>
      <c r="AH8" s="44">
        <v>1</v>
      </c>
      <c r="AI8" s="35">
        <v>1</v>
      </c>
      <c r="AJ8" s="49" t="s">
        <v>70</v>
      </c>
      <c r="AK8" s="48" t="s">
        <v>71</v>
      </c>
      <c r="AL8" s="27"/>
    </row>
    <row r="9" spans="1:38" ht="15" customHeight="1">
      <c r="A9" s="158"/>
      <c r="B9" s="158"/>
      <c r="C9" s="158"/>
      <c r="D9" s="158"/>
      <c r="E9" s="159"/>
      <c r="F9" s="159"/>
      <c r="G9" s="159"/>
      <c r="H9" s="159"/>
      <c r="I9" s="159"/>
      <c r="J9" s="159"/>
      <c r="K9" s="159"/>
      <c r="L9" s="159"/>
      <c r="M9" s="114"/>
      <c r="N9" s="115"/>
      <c r="O9" s="154">
        <f ca="1">IFERROR(データ!$I$73,"")</f>
        <v>2</v>
      </c>
      <c r="P9" s="154"/>
      <c r="Q9" s="154">
        <f ca="1">IFERROR(データ!$H$73,"")</f>
        <v>1</v>
      </c>
      <c r="R9" s="154"/>
      <c r="S9" s="154"/>
      <c r="T9" s="154" t="str">
        <f ca="1">IFERROR(データ!$G$73,"")</f>
        <v/>
      </c>
      <c r="U9" s="154"/>
      <c r="V9" s="154" t="str">
        <f ca="1">IFERROR(データ!$F$73,"")</f>
        <v/>
      </c>
      <c r="W9" s="154"/>
      <c r="X9" s="154"/>
      <c r="Y9" s="154"/>
      <c r="Z9" s="154" t="str">
        <f ca="1">IFERROR(データ!$E$73,"")</f>
        <v/>
      </c>
      <c r="AA9" s="154"/>
      <c r="AB9" s="154"/>
      <c r="AC9" s="154" t="str">
        <f ca="1">IFERROR(データ!$D$73,"")</f>
        <v/>
      </c>
      <c r="AD9" s="154"/>
      <c r="AE9" s="154"/>
      <c r="AF9" s="27"/>
      <c r="AG9" s="41">
        <v>2</v>
      </c>
      <c r="AH9" s="43"/>
      <c r="AI9" s="36"/>
      <c r="AJ9" s="46"/>
      <c r="AK9" s="47"/>
      <c r="AL9" s="27"/>
    </row>
    <row r="10" spans="1:38" ht="13.5" customHeight="1">
      <c r="A10" s="45"/>
      <c r="B10" s="45"/>
      <c r="C10" s="45"/>
      <c r="D10" s="45"/>
      <c r="E10" s="116"/>
      <c r="F10" s="116"/>
      <c r="G10" s="106"/>
      <c r="H10" s="116"/>
      <c r="I10" s="106"/>
      <c r="J10" s="116"/>
      <c r="K10" s="106"/>
      <c r="L10" s="116"/>
      <c r="M10" s="116"/>
      <c r="N10" s="115"/>
      <c r="O10" s="115"/>
      <c r="P10" s="117"/>
      <c r="Q10" s="117"/>
      <c r="R10" s="118"/>
      <c r="S10" s="118"/>
      <c r="T10" s="118"/>
      <c r="U10" s="118"/>
      <c r="V10" s="118"/>
      <c r="W10" s="118"/>
      <c r="X10" s="119"/>
      <c r="Y10" s="119"/>
      <c r="Z10" s="119"/>
      <c r="AA10" s="119"/>
      <c r="AB10" s="119"/>
      <c r="AC10" s="118"/>
      <c r="AD10" s="146"/>
      <c r="AE10" s="119"/>
      <c r="AF10" s="27"/>
      <c r="AG10" s="41">
        <v>3</v>
      </c>
      <c r="AH10" s="43"/>
      <c r="AI10" s="36"/>
      <c r="AJ10" s="46"/>
      <c r="AK10" s="47"/>
      <c r="AL10" s="27"/>
    </row>
    <row r="11" spans="1:38" ht="13.5" customHeight="1">
      <c r="A11" s="45"/>
      <c r="B11" s="45"/>
      <c r="C11" s="45"/>
      <c r="D11" s="45"/>
      <c r="E11" s="116"/>
      <c r="F11" s="116"/>
      <c r="G11" s="106"/>
      <c r="H11" s="116"/>
      <c r="I11" s="106"/>
      <c r="J11" s="116"/>
      <c r="K11" s="106"/>
      <c r="L11" s="116"/>
      <c r="M11" s="116"/>
      <c r="N11" s="115"/>
      <c r="O11" s="115"/>
      <c r="P11" s="117"/>
      <c r="Q11" s="117"/>
      <c r="R11" s="118"/>
      <c r="S11" s="118"/>
      <c r="T11" s="118"/>
      <c r="U11" s="118"/>
      <c r="V11" s="118"/>
      <c r="W11" s="118"/>
      <c r="X11" s="119"/>
      <c r="Y11" s="119"/>
      <c r="Z11" s="119"/>
      <c r="AA11" s="119"/>
      <c r="AB11" s="119"/>
      <c r="AC11" s="118"/>
      <c r="AD11" s="146"/>
      <c r="AE11" s="119"/>
      <c r="AF11" s="27"/>
      <c r="AG11" s="41">
        <v>4</v>
      </c>
      <c r="AH11" s="43"/>
      <c r="AI11" s="36"/>
      <c r="AJ11" s="46"/>
      <c r="AK11" s="47"/>
      <c r="AL11" s="27"/>
    </row>
    <row r="12" spans="1:38" ht="13.5" customHeight="1">
      <c r="A12" s="39"/>
      <c r="B12" s="39"/>
      <c r="C12" s="39"/>
      <c r="D12" s="39"/>
      <c r="E12" s="116"/>
      <c r="F12" s="116"/>
      <c r="G12" s="106"/>
      <c r="H12" s="116"/>
      <c r="I12" s="106"/>
      <c r="J12" s="116"/>
      <c r="K12" s="106"/>
      <c r="L12" s="116"/>
      <c r="M12" s="116"/>
      <c r="N12" s="115"/>
      <c r="O12" s="115"/>
      <c r="P12" s="120"/>
      <c r="Q12" s="120"/>
      <c r="R12" s="121"/>
      <c r="S12" s="121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27"/>
      <c r="AG12" s="41">
        <v>5</v>
      </c>
      <c r="AH12" s="43"/>
      <c r="AI12" s="36"/>
      <c r="AJ12" s="46"/>
      <c r="AK12" s="47"/>
      <c r="AL12" s="27"/>
    </row>
    <row r="13" spans="1:38" ht="12" customHeight="1">
      <c r="A13" s="37"/>
      <c r="B13" s="37"/>
      <c r="C13" s="37"/>
      <c r="D13" s="37"/>
      <c r="E13" s="115"/>
      <c r="F13" s="115"/>
      <c r="G13" s="106"/>
      <c r="H13" s="122"/>
      <c r="I13" s="106"/>
      <c r="J13" s="122"/>
      <c r="K13" s="106"/>
      <c r="L13" s="122"/>
      <c r="M13" s="115"/>
      <c r="N13" s="115"/>
      <c r="O13" s="115"/>
      <c r="P13" s="115"/>
      <c r="Q13" s="115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4"/>
      <c r="AD13" s="124"/>
      <c r="AE13" s="125"/>
      <c r="AF13" s="27"/>
      <c r="AG13" s="41">
        <v>6</v>
      </c>
      <c r="AH13" s="43"/>
      <c r="AI13" s="36"/>
      <c r="AJ13" s="46"/>
      <c r="AK13" s="47"/>
      <c r="AL13" s="27"/>
    </row>
    <row r="14" spans="1:38" ht="18.75" customHeight="1">
      <c r="A14" s="37"/>
      <c r="B14" s="37"/>
      <c r="C14" s="37"/>
      <c r="D14" s="37"/>
      <c r="E14" s="115"/>
      <c r="F14" s="115"/>
      <c r="G14" s="106" t="str">
        <f ca="1">IFERROR(データ!I5,"")</f>
        <v>A</v>
      </c>
      <c r="H14" s="106">
        <f ca="1">IFERROR(データ!H5,"")</f>
        <v>0</v>
      </c>
      <c r="I14" s="106" t="str">
        <f ca="1">IFERROR(データ!G5,"")</f>
        <v/>
      </c>
      <c r="J14" s="106" t="str">
        <f ca="1">IFERROR(データ!F5,"")</f>
        <v/>
      </c>
      <c r="K14" s="106" t="str">
        <f ca="1">IFERROR(データ!E5,"")</f>
        <v/>
      </c>
      <c r="L14" s="106" t="str">
        <f ca="1">IFERROR(データ!D5,"")</f>
        <v/>
      </c>
      <c r="M14" s="126"/>
      <c r="N14" s="169" t="str">
        <f ca="1">IFERROR(データ!$I$45,"")</f>
        <v>「やめなさいよ」の単元では、友だちに意地悪をされた登場人物の気持ちを考え、「人に意地悪をしてはいけない。ぼくは、友だちをたすけたい。」と考えることができた。</v>
      </c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27"/>
      <c r="AG14" s="41">
        <v>7</v>
      </c>
      <c r="AH14" s="43"/>
      <c r="AI14" s="36"/>
      <c r="AJ14" s="46"/>
      <c r="AK14" s="47"/>
      <c r="AL14" s="27"/>
    </row>
    <row r="15" spans="1:38" ht="18" customHeight="1">
      <c r="A15" s="37"/>
      <c r="B15" s="37"/>
      <c r="C15" s="37"/>
      <c r="D15" s="37"/>
      <c r="E15" s="115"/>
      <c r="F15" s="115"/>
      <c r="G15" s="106" t="str">
        <f ca="1">IFERROR(データ!I6,"")</f>
        <v>B</v>
      </c>
      <c r="H15" s="106">
        <f ca="1">IFERROR(データ!H6,"")</f>
        <v>0</v>
      </c>
      <c r="I15" s="106" t="str">
        <f ca="1">IFERROR(データ!G6,"")</f>
        <v/>
      </c>
      <c r="J15" s="106" t="str">
        <f ca="1">IFERROR(データ!F6,"")</f>
        <v/>
      </c>
      <c r="K15" s="106" t="str">
        <f ca="1">IFERROR(データ!E6,"")</f>
        <v/>
      </c>
      <c r="L15" s="106" t="str">
        <f ca="1">IFERROR(データ!D6,"")</f>
        <v/>
      </c>
      <c r="M15" s="126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27"/>
      <c r="AG15" s="41">
        <v>8</v>
      </c>
      <c r="AH15" s="43"/>
      <c r="AI15" s="36"/>
      <c r="AJ15" s="46"/>
      <c r="AK15" s="47"/>
      <c r="AL15" s="27"/>
    </row>
    <row r="16" spans="1:38" ht="18.75" customHeight="1">
      <c r="A16" s="37"/>
      <c r="B16" s="37"/>
      <c r="C16" s="37"/>
      <c r="D16" s="37"/>
      <c r="E16" s="115"/>
      <c r="F16" s="115"/>
      <c r="G16" s="106" t="str">
        <f ca="1">IFERROR(データ!I7,"")</f>
        <v>A</v>
      </c>
      <c r="H16" s="106">
        <f ca="1">IFERROR(データ!H7,"")</f>
        <v>0</v>
      </c>
      <c r="I16" s="106" t="str">
        <f ca="1">IFERROR(データ!G7,"")</f>
        <v/>
      </c>
      <c r="J16" s="106" t="str">
        <f ca="1">IFERROR(データ!F7,"")</f>
        <v/>
      </c>
      <c r="K16" s="106" t="str">
        <f ca="1">IFERROR(データ!E7,"")</f>
        <v/>
      </c>
      <c r="L16" s="106" t="str">
        <f ca="1">IFERROR(データ!D7,"")</f>
        <v/>
      </c>
      <c r="M16" s="126"/>
      <c r="N16" s="169">
        <f ca="1">IFERROR(データ!$H$45,"")</f>
        <v>0</v>
      </c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27"/>
      <c r="AG16" s="41">
        <v>9</v>
      </c>
      <c r="AH16" s="43"/>
      <c r="AI16" s="36"/>
      <c r="AJ16" s="46"/>
      <c r="AK16" s="47"/>
      <c r="AL16" s="27"/>
    </row>
    <row r="17" spans="1:38" ht="18.75" customHeight="1">
      <c r="A17" s="37"/>
      <c r="B17" s="37"/>
      <c r="C17" s="37"/>
      <c r="D17" s="37"/>
      <c r="E17" s="115"/>
      <c r="F17" s="115"/>
      <c r="G17" s="106">
        <f ca="1">IFERROR(データ!I8,"")</f>
        <v>0</v>
      </c>
      <c r="H17" s="106">
        <f ca="1">IFERROR(データ!H8,"")</f>
        <v>0</v>
      </c>
      <c r="I17" s="106" t="str">
        <f ca="1">IFERROR(データ!G8,"")</f>
        <v/>
      </c>
      <c r="J17" s="106" t="str">
        <f ca="1">IFERROR(データ!F8,"")</f>
        <v/>
      </c>
      <c r="K17" s="106" t="str">
        <f ca="1">IFERROR(データ!E8,"")</f>
        <v/>
      </c>
      <c r="L17" s="106" t="str">
        <f ca="1">IFERROR(データ!D8,"")</f>
        <v/>
      </c>
      <c r="M17" s="126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27"/>
      <c r="AG17" s="41">
        <v>10</v>
      </c>
      <c r="AH17" s="43"/>
      <c r="AI17" s="36"/>
      <c r="AJ17" s="46"/>
      <c r="AK17" s="47"/>
      <c r="AL17" s="27"/>
    </row>
    <row r="18" spans="1:38" ht="18.75" customHeight="1">
      <c r="A18" s="37"/>
      <c r="B18" s="37"/>
      <c r="C18" s="37"/>
      <c r="D18" s="37"/>
      <c r="E18" s="115"/>
      <c r="F18" s="115"/>
      <c r="G18" s="106">
        <f ca="1">IFERROR(データ!I9,"")</f>
        <v>0</v>
      </c>
      <c r="H18" s="106">
        <f ca="1">IFERROR(データ!H9,"")</f>
        <v>0</v>
      </c>
      <c r="I18" s="106" t="str">
        <f ca="1">IFERROR(データ!G9,"")</f>
        <v/>
      </c>
      <c r="J18" s="106" t="str">
        <f ca="1">IFERROR(データ!F9,"")</f>
        <v/>
      </c>
      <c r="K18" s="106" t="str">
        <f ca="1">IFERROR(データ!E9,"")</f>
        <v/>
      </c>
      <c r="L18" s="106" t="str">
        <f ca="1">IFERROR(データ!D9,"")</f>
        <v/>
      </c>
      <c r="M18" s="126"/>
      <c r="N18" s="169" t="str">
        <f ca="1">IFERROR(データ!$G$45,"")</f>
        <v/>
      </c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27"/>
      <c r="AG18" s="41">
        <v>11</v>
      </c>
      <c r="AH18" s="43"/>
      <c r="AI18" s="36"/>
      <c r="AJ18" s="46"/>
      <c r="AK18" s="47"/>
      <c r="AL18" s="27"/>
    </row>
    <row r="19" spans="1:38" ht="18" customHeight="1">
      <c r="A19" s="37"/>
      <c r="B19" s="37"/>
      <c r="C19" s="37"/>
      <c r="D19" s="37"/>
      <c r="E19" s="115"/>
      <c r="F19" s="115"/>
      <c r="G19" s="106">
        <f ca="1">IFERROR(データ!I10,"")</f>
        <v>0</v>
      </c>
      <c r="H19" s="106">
        <f ca="1">IFERROR(データ!H10,"")</f>
        <v>0</v>
      </c>
      <c r="I19" s="106" t="str">
        <f ca="1">IFERROR(データ!G10,"")</f>
        <v/>
      </c>
      <c r="J19" s="106" t="str">
        <f ca="1">IFERROR(データ!F10,"")</f>
        <v/>
      </c>
      <c r="K19" s="106" t="str">
        <f ca="1">IFERROR(データ!E10,"")</f>
        <v/>
      </c>
      <c r="L19" s="106" t="str">
        <f ca="1">IFERROR(データ!D10,"")</f>
        <v/>
      </c>
      <c r="M19" s="126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27"/>
      <c r="AG19" s="41">
        <v>12</v>
      </c>
      <c r="AH19" s="43"/>
      <c r="AI19" s="36"/>
      <c r="AJ19" s="46"/>
      <c r="AK19" s="47"/>
      <c r="AL19" s="27"/>
    </row>
    <row r="20" spans="1:38" ht="18" customHeight="1">
      <c r="A20" s="37"/>
      <c r="B20" s="37"/>
      <c r="C20" s="37"/>
      <c r="D20" s="37"/>
      <c r="E20" s="115"/>
      <c r="F20" s="115"/>
      <c r="G20" s="106">
        <f ca="1">IFERROR(データ!I11,"")</f>
        <v>0</v>
      </c>
      <c r="H20" s="106">
        <f ca="1">IFERROR(データ!H11,"")</f>
        <v>0</v>
      </c>
      <c r="I20" s="106" t="str">
        <f ca="1">IFERROR(データ!G11,"")</f>
        <v/>
      </c>
      <c r="J20" s="106" t="str">
        <f ca="1">IFERROR(データ!F11,"")</f>
        <v/>
      </c>
      <c r="K20" s="106" t="str">
        <f ca="1">IFERROR(データ!E11,"")</f>
        <v/>
      </c>
      <c r="L20" s="106" t="str">
        <f ca="1">IFERROR(データ!D11,"")</f>
        <v/>
      </c>
      <c r="M20" s="126"/>
      <c r="N20" s="160" t="str">
        <f ca="1">IFERROR(データ!$F$45,"")</f>
        <v/>
      </c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27"/>
      <c r="AG20" s="41">
        <v>13</v>
      </c>
      <c r="AH20" s="43"/>
      <c r="AI20" s="36"/>
      <c r="AJ20" s="46"/>
      <c r="AK20" s="47"/>
      <c r="AL20" s="27"/>
    </row>
    <row r="21" spans="1:38" ht="18.75" customHeight="1">
      <c r="A21" s="37"/>
      <c r="B21" s="37"/>
      <c r="C21" s="37"/>
      <c r="D21" s="37"/>
      <c r="E21" s="115"/>
      <c r="F21" s="115"/>
      <c r="G21" s="106">
        <f ca="1">IFERROR(データ!I12,"")</f>
        <v>0</v>
      </c>
      <c r="H21" s="106">
        <f ca="1">IFERROR(データ!H12,"")</f>
        <v>0</v>
      </c>
      <c r="I21" s="106" t="str">
        <f ca="1">IFERROR(データ!G12,"")</f>
        <v/>
      </c>
      <c r="J21" s="106" t="str">
        <f ca="1">IFERROR(データ!F12,"")</f>
        <v/>
      </c>
      <c r="K21" s="106" t="str">
        <f ca="1">IFERROR(データ!E12,"")</f>
        <v/>
      </c>
      <c r="L21" s="106" t="str">
        <f ca="1">IFERROR(データ!D12,"")</f>
        <v/>
      </c>
      <c r="M21" s="126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27"/>
      <c r="AG21" s="41">
        <v>14</v>
      </c>
      <c r="AH21" s="43"/>
      <c r="AI21" s="36"/>
      <c r="AJ21" s="46"/>
      <c r="AK21" s="47"/>
      <c r="AL21" s="27"/>
    </row>
    <row r="22" spans="1:38" ht="18.75" customHeight="1">
      <c r="A22" s="37"/>
      <c r="B22" s="37"/>
      <c r="C22" s="37"/>
      <c r="D22" s="37"/>
      <c r="E22" s="115"/>
      <c r="F22" s="115"/>
      <c r="G22" s="106" t="str">
        <f ca="1">IFERROR(データ!I13,"")</f>
        <v>A</v>
      </c>
      <c r="H22" s="106">
        <f ca="1">IFERROR(データ!H13,"")</f>
        <v>0</v>
      </c>
      <c r="I22" s="106" t="str">
        <f ca="1">IFERROR(データ!G13,"")</f>
        <v/>
      </c>
      <c r="J22" s="106" t="str">
        <f ca="1">IFERROR(データ!F13,"")</f>
        <v/>
      </c>
      <c r="K22" s="106" t="str">
        <f ca="1">IFERROR(データ!E13,"")</f>
        <v/>
      </c>
      <c r="L22" s="106" t="str">
        <f ca="1">IFERROR(データ!D13,"")</f>
        <v/>
      </c>
      <c r="M22" s="126"/>
      <c r="N22" s="169" t="str">
        <f ca="1">IFERROR(データ!$E$45,"")</f>
        <v/>
      </c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27"/>
      <c r="AG22" s="41">
        <v>15</v>
      </c>
      <c r="AH22" s="43"/>
      <c r="AI22" s="36"/>
      <c r="AJ22" s="46"/>
      <c r="AK22" s="47"/>
      <c r="AL22" s="27"/>
    </row>
    <row r="23" spans="1:38" ht="18.75" customHeight="1">
      <c r="A23" s="37"/>
      <c r="B23" s="37"/>
      <c r="C23" s="37"/>
      <c r="D23" s="37"/>
      <c r="E23" s="115"/>
      <c r="F23" s="115"/>
      <c r="G23" s="106" t="str">
        <f ca="1">IFERROR(データ!I14,"")</f>
        <v>B</v>
      </c>
      <c r="H23" s="106">
        <f ca="1">IFERROR(データ!H14,"")</f>
        <v>0</v>
      </c>
      <c r="I23" s="106" t="str">
        <f ca="1">IFERROR(データ!G14,"")</f>
        <v/>
      </c>
      <c r="J23" s="106" t="str">
        <f ca="1">IFERROR(データ!F14,"")</f>
        <v/>
      </c>
      <c r="K23" s="106" t="str">
        <f ca="1">IFERROR(データ!E14,"")</f>
        <v/>
      </c>
      <c r="L23" s="106" t="str">
        <f ca="1">IFERROR(データ!D14,"")</f>
        <v/>
      </c>
      <c r="M23" s="126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27"/>
      <c r="AG23" s="41">
        <v>16</v>
      </c>
      <c r="AH23" s="43"/>
      <c r="AI23" s="36"/>
      <c r="AJ23" s="46"/>
      <c r="AK23" s="47"/>
      <c r="AL23" s="27"/>
    </row>
    <row r="24" spans="1:38" ht="18" customHeight="1">
      <c r="A24" s="37"/>
      <c r="B24" s="37"/>
      <c r="C24" s="37"/>
      <c r="D24" s="37"/>
      <c r="E24" s="115"/>
      <c r="F24" s="115"/>
      <c r="G24" s="106" t="str">
        <f ca="1">IFERROR(データ!I15,"")</f>
        <v>A</v>
      </c>
      <c r="H24" s="106">
        <f ca="1">IFERROR(データ!H15,"")</f>
        <v>0</v>
      </c>
      <c r="I24" s="106" t="str">
        <f ca="1">IFERROR(データ!G15,"")</f>
        <v/>
      </c>
      <c r="J24" s="106" t="str">
        <f ca="1">IFERROR(データ!F15,"")</f>
        <v/>
      </c>
      <c r="K24" s="106" t="str">
        <f ca="1">IFERROR(データ!E15,"")</f>
        <v/>
      </c>
      <c r="L24" s="106" t="str">
        <f ca="1">IFERROR(データ!D15,"")</f>
        <v/>
      </c>
      <c r="M24" s="126"/>
      <c r="N24" s="169" t="str">
        <f ca="1">IFERROR(データ!$D$45,"")</f>
        <v/>
      </c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27"/>
      <c r="AG24" s="41">
        <v>17</v>
      </c>
      <c r="AH24" s="43"/>
      <c r="AI24" s="36"/>
      <c r="AJ24" s="46"/>
      <c r="AK24" s="47"/>
      <c r="AL24" s="27"/>
    </row>
    <row r="25" spans="1:38" ht="18.75" customHeight="1">
      <c r="A25" s="37"/>
      <c r="B25" s="37"/>
      <c r="C25" s="37"/>
      <c r="D25" s="37"/>
      <c r="E25" s="115"/>
      <c r="F25" s="115"/>
      <c r="G25" s="106">
        <f ca="1">IFERROR(データ!I16,"")</f>
        <v>0</v>
      </c>
      <c r="H25" s="106">
        <f ca="1">IFERROR(データ!H16,"")</f>
        <v>0</v>
      </c>
      <c r="I25" s="106" t="str">
        <f ca="1">IFERROR(データ!G16,"")</f>
        <v/>
      </c>
      <c r="J25" s="106" t="str">
        <f ca="1">IFERROR(データ!F16,"")</f>
        <v/>
      </c>
      <c r="K25" s="106" t="str">
        <f ca="1">IFERROR(データ!E16,"")</f>
        <v/>
      </c>
      <c r="L25" s="106" t="str">
        <f ca="1">IFERROR(データ!D16,"")</f>
        <v/>
      </c>
      <c r="M25" s="126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27"/>
      <c r="AG25" s="41">
        <v>18</v>
      </c>
      <c r="AH25" s="43"/>
      <c r="AI25" s="36"/>
      <c r="AJ25" s="46"/>
      <c r="AK25" s="47"/>
      <c r="AL25" s="27"/>
    </row>
    <row r="26" spans="1:38" ht="18.75" customHeight="1">
      <c r="A26" s="37"/>
      <c r="B26" s="37"/>
      <c r="C26" s="37"/>
      <c r="D26" s="37"/>
      <c r="E26" s="115"/>
      <c r="F26" s="115"/>
      <c r="G26" s="106">
        <f ca="1">IFERROR(データ!I17,"")</f>
        <v>0</v>
      </c>
      <c r="H26" s="106">
        <f ca="1">IFERROR(データ!H17,"")</f>
        <v>0</v>
      </c>
      <c r="I26" s="106" t="str">
        <f ca="1">IFERROR(データ!G17,"")</f>
        <v/>
      </c>
      <c r="J26" s="106" t="str">
        <f ca="1">IFERROR(データ!F17,"")</f>
        <v/>
      </c>
      <c r="K26" s="106" t="str">
        <f ca="1">IFERROR(データ!E17,"")</f>
        <v/>
      </c>
      <c r="L26" s="106" t="str">
        <f ca="1">IFERROR(データ!D17,"")</f>
        <v/>
      </c>
      <c r="M26" s="126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27"/>
      <c r="AB26" s="127"/>
      <c r="AC26" s="127"/>
      <c r="AD26" s="127"/>
      <c r="AE26" s="127"/>
      <c r="AF26" s="27"/>
      <c r="AG26" s="41">
        <v>19</v>
      </c>
      <c r="AH26" s="43"/>
      <c r="AI26" s="36"/>
      <c r="AJ26" s="46"/>
      <c r="AK26" s="47"/>
      <c r="AL26" s="27"/>
    </row>
    <row r="27" spans="1:38" ht="18" customHeight="1">
      <c r="A27" s="37"/>
      <c r="B27" s="37"/>
      <c r="C27" s="37"/>
      <c r="D27" s="37"/>
      <c r="E27" s="115"/>
      <c r="F27" s="115"/>
      <c r="G27" s="106">
        <f ca="1">IFERROR(データ!I18,"")</f>
        <v>0</v>
      </c>
      <c r="H27" s="106">
        <f ca="1">IFERROR(データ!H18,"")</f>
        <v>0</v>
      </c>
      <c r="I27" s="106" t="str">
        <f ca="1">IFERROR(データ!G18,"")</f>
        <v/>
      </c>
      <c r="J27" s="106" t="str">
        <f ca="1">IFERROR(データ!F18,"")</f>
        <v/>
      </c>
      <c r="K27" s="106" t="str">
        <f ca="1">IFERROR(データ!E18,"")</f>
        <v/>
      </c>
      <c r="L27" s="106" t="str">
        <f ca="1">IFERROR(データ!D18,"")</f>
        <v/>
      </c>
      <c r="M27" s="126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28"/>
      <c r="AA27" s="125" t="str">
        <f>IFERROR(データ!#REF!,"")</f>
        <v/>
      </c>
      <c r="AB27" s="125"/>
      <c r="AC27" s="127"/>
      <c r="AD27" s="127"/>
      <c r="AE27" s="127"/>
      <c r="AF27" s="27"/>
      <c r="AG27" s="41">
        <v>20</v>
      </c>
      <c r="AH27" s="43"/>
      <c r="AI27" s="36"/>
      <c r="AJ27" s="46"/>
      <c r="AK27" s="47"/>
      <c r="AL27" s="27"/>
    </row>
    <row r="28" spans="1:38" ht="18.75" customHeight="1">
      <c r="A28" s="37"/>
      <c r="B28" s="37"/>
      <c r="C28" s="37"/>
      <c r="D28" s="37"/>
      <c r="E28" s="115"/>
      <c r="F28" s="115"/>
      <c r="G28" s="106">
        <f ca="1">IFERROR(データ!I19,"")</f>
        <v>0</v>
      </c>
      <c r="H28" s="106">
        <f ca="1">IFERROR(データ!H19,"")</f>
        <v>0</v>
      </c>
      <c r="I28" s="106" t="str">
        <f ca="1">IFERROR(データ!G19,"")</f>
        <v/>
      </c>
      <c r="J28" s="106" t="str">
        <f ca="1">IFERROR(データ!F19,"")</f>
        <v/>
      </c>
      <c r="K28" s="106" t="str">
        <f ca="1">IFERROR(データ!E19,"")</f>
        <v/>
      </c>
      <c r="L28" s="106" t="str">
        <f ca="1">IFERROR(データ!D19,"")</f>
        <v/>
      </c>
      <c r="M28" s="126"/>
      <c r="N28" s="169" t="str">
        <f ca="1">IFERROR(データ!$G$46,"")</f>
        <v/>
      </c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"/>
      <c r="AG28" s="41">
        <v>21</v>
      </c>
      <c r="AH28" s="43"/>
      <c r="AI28" s="36"/>
      <c r="AJ28" s="46"/>
      <c r="AK28" s="47"/>
      <c r="AL28" s="27"/>
    </row>
    <row r="29" spans="1:38" ht="18.75" customHeight="1">
      <c r="A29" s="37"/>
      <c r="B29" s="37"/>
      <c r="C29" s="37"/>
      <c r="D29" s="37"/>
      <c r="E29" s="115"/>
      <c r="F29" s="115"/>
      <c r="G29" s="106">
        <f ca="1">IFERROR(データ!I20,"")</f>
        <v>0</v>
      </c>
      <c r="H29" s="106">
        <f ca="1">IFERROR(データ!H20,"")</f>
        <v>0</v>
      </c>
      <c r="I29" s="106" t="str">
        <f ca="1">IFERROR(データ!G20,"")</f>
        <v/>
      </c>
      <c r="J29" s="106" t="str">
        <f ca="1">IFERROR(データ!F20,"")</f>
        <v/>
      </c>
      <c r="K29" s="106" t="str">
        <f ca="1">IFERROR(データ!E20,"")</f>
        <v/>
      </c>
      <c r="L29" s="106" t="str">
        <f ca="1">IFERROR(データ!D20,"")</f>
        <v/>
      </c>
      <c r="M29" s="126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27"/>
      <c r="AG29" s="41">
        <v>22</v>
      </c>
      <c r="AH29" s="43"/>
      <c r="AI29" s="36"/>
      <c r="AJ29" s="46"/>
      <c r="AK29" s="47"/>
      <c r="AL29" s="27"/>
    </row>
    <row r="30" spans="1:38" ht="18.75" customHeight="1">
      <c r="A30" s="37"/>
      <c r="B30" s="37"/>
      <c r="C30" s="37"/>
      <c r="D30" s="37"/>
      <c r="E30" s="115"/>
      <c r="F30" s="115"/>
      <c r="G30" s="106" t="str">
        <f ca="1">IFERROR(データ!I21,"")</f>
        <v>B</v>
      </c>
      <c r="H30" s="106">
        <f ca="1">IFERROR(データ!H21,"")</f>
        <v>0</v>
      </c>
      <c r="I30" s="106" t="str">
        <f ca="1">IFERROR(データ!G21,"")</f>
        <v/>
      </c>
      <c r="J30" s="106" t="str">
        <f ca="1">IFERROR(データ!F21,"")</f>
        <v/>
      </c>
      <c r="K30" s="106" t="str">
        <f ca="1">IFERROR(データ!E21,"")</f>
        <v/>
      </c>
      <c r="L30" s="106" t="str">
        <f ca="1">IFERROR(データ!D21,"")</f>
        <v/>
      </c>
      <c r="M30" s="126"/>
      <c r="N30" s="160" t="str">
        <f ca="1">IFERROR(データ!$F$46,"")</f>
        <v/>
      </c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27"/>
      <c r="AG30" s="41">
        <v>23</v>
      </c>
      <c r="AH30" s="43"/>
      <c r="AI30" s="36"/>
      <c r="AJ30" s="46"/>
      <c r="AK30" s="47"/>
      <c r="AL30" s="27"/>
    </row>
    <row r="31" spans="1:38" ht="18.75" customHeight="1">
      <c r="A31" s="37"/>
      <c r="B31" s="37"/>
      <c r="C31" s="37"/>
      <c r="D31" s="37"/>
      <c r="E31" s="115"/>
      <c r="F31" s="115"/>
      <c r="G31" s="106" t="str">
        <f ca="1">IFERROR(データ!I22,"")</f>
        <v>A</v>
      </c>
      <c r="H31" s="106">
        <f ca="1">IFERROR(データ!H22,"")</f>
        <v>0</v>
      </c>
      <c r="I31" s="106" t="str">
        <f ca="1">IFERROR(データ!G22,"")</f>
        <v/>
      </c>
      <c r="J31" s="106" t="str">
        <f ca="1">IFERROR(データ!F22,"")</f>
        <v/>
      </c>
      <c r="K31" s="106" t="str">
        <f ca="1">IFERROR(データ!E22,"")</f>
        <v/>
      </c>
      <c r="L31" s="106" t="str">
        <f ca="1">IFERROR(データ!D22,"")</f>
        <v/>
      </c>
      <c r="M31" s="126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27"/>
      <c r="AG31" s="41">
        <v>24</v>
      </c>
      <c r="AH31" s="43"/>
      <c r="AI31" s="36"/>
      <c r="AJ31" s="46"/>
      <c r="AK31" s="47"/>
      <c r="AL31" s="27"/>
    </row>
    <row r="32" spans="1:38" ht="18.75" customHeight="1">
      <c r="A32" s="37"/>
      <c r="B32" s="37"/>
      <c r="C32" s="37"/>
      <c r="D32" s="37"/>
      <c r="E32" s="115"/>
      <c r="F32" s="115"/>
      <c r="G32" s="106" t="str">
        <f ca="1">IFERROR(データ!I23,"")</f>
        <v>A</v>
      </c>
      <c r="H32" s="106">
        <f ca="1">IFERROR(データ!H23,"")</f>
        <v>0</v>
      </c>
      <c r="I32" s="106" t="str">
        <f ca="1">IFERROR(データ!G23,"")</f>
        <v/>
      </c>
      <c r="J32" s="106" t="str">
        <f ca="1">IFERROR(データ!F23,"")</f>
        <v/>
      </c>
      <c r="K32" s="106" t="str">
        <f ca="1">IFERROR(データ!E23,"")</f>
        <v/>
      </c>
      <c r="L32" s="106" t="str">
        <f ca="1">IFERROR(データ!D23,"")</f>
        <v/>
      </c>
      <c r="M32" s="126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28"/>
      <c r="AA32" s="127"/>
      <c r="AB32" s="127"/>
      <c r="AC32" s="127"/>
      <c r="AD32" s="127"/>
      <c r="AE32" s="127"/>
      <c r="AF32" s="27"/>
      <c r="AG32" s="41">
        <v>25</v>
      </c>
      <c r="AH32" s="43"/>
      <c r="AI32" s="36"/>
      <c r="AJ32" s="46"/>
      <c r="AK32" s="47"/>
      <c r="AL32" s="27"/>
    </row>
    <row r="33" spans="1:38" ht="18" customHeight="1">
      <c r="A33" s="37"/>
      <c r="B33" s="37"/>
      <c r="C33" s="37"/>
      <c r="D33" s="37"/>
      <c r="E33" s="115"/>
      <c r="F33" s="115"/>
      <c r="G33" s="106">
        <f ca="1">IFERROR(データ!I24,"")</f>
        <v>0</v>
      </c>
      <c r="H33" s="106">
        <f ca="1">IFERROR(データ!H24,"")</f>
        <v>0</v>
      </c>
      <c r="I33" s="106" t="str">
        <f ca="1">IFERROR(データ!G24,"")</f>
        <v/>
      </c>
      <c r="J33" s="106" t="str">
        <f ca="1">IFERROR(データ!F24,"")</f>
        <v/>
      </c>
      <c r="K33" s="106" t="str">
        <f ca="1">IFERROR(データ!E24,"")</f>
        <v/>
      </c>
      <c r="L33" s="106" t="str">
        <f ca="1">IFERROR(データ!D24,"")</f>
        <v/>
      </c>
      <c r="M33" s="126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28"/>
      <c r="AA33" s="127"/>
      <c r="AB33" s="127"/>
      <c r="AC33" s="127"/>
      <c r="AD33" s="127"/>
      <c r="AE33" s="127"/>
      <c r="AF33" s="27"/>
      <c r="AG33" s="41">
        <v>26</v>
      </c>
      <c r="AH33" s="43"/>
      <c r="AI33" s="36"/>
      <c r="AJ33" s="46"/>
      <c r="AK33" s="47"/>
      <c r="AL33" s="27"/>
    </row>
    <row r="34" spans="1:38" ht="18.75" customHeight="1">
      <c r="A34" s="37"/>
      <c r="B34" s="37"/>
      <c r="C34" s="37"/>
      <c r="D34" s="37"/>
      <c r="E34" s="115"/>
      <c r="F34" s="115"/>
      <c r="G34" s="106" t="str">
        <f ca="1">IFERROR(データ!I25,"")</f>
        <v>A</v>
      </c>
      <c r="H34" s="106">
        <f ca="1">IFERROR(データ!H25,"")</f>
        <v>0</v>
      </c>
      <c r="I34" s="106" t="str">
        <f ca="1">IFERROR(データ!G25,"")</f>
        <v/>
      </c>
      <c r="J34" s="106" t="str">
        <f ca="1">IFERROR(データ!F25,"")</f>
        <v/>
      </c>
      <c r="K34" s="106" t="str">
        <f ca="1">IFERROR(データ!E25,"")</f>
        <v/>
      </c>
      <c r="L34" s="106" t="str">
        <f ca="1">IFERROR(データ!D25,"")</f>
        <v/>
      </c>
      <c r="M34" s="126"/>
      <c r="N34" s="160" t="str">
        <f ca="1">IFERROR(データ!$G$47,"")</f>
        <v/>
      </c>
      <c r="O34" s="160"/>
      <c r="P34" s="160"/>
      <c r="Q34" s="160"/>
      <c r="R34" s="161" t="str">
        <f ca="1">IFERROR(データ!$G$48,"")</f>
        <v/>
      </c>
      <c r="S34" s="161"/>
      <c r="T34" s="161"/>
      <c r="U34" s="161"/>
      <c r="V34" s="161"/>
      <c r="W34" s="161" t="str">
        <f ca="1">IFERROR(データ!$G$49,"")</f>
        <v/>
      </c>
      <c r="X34" s="161"/>
      <c r="Y34" s="161"/>
      <c r="Z34" s="161"/>
      <c r="AA34" s="161"/>
      <c r="AB34" s="161"/>
      <c r="AC34" s="161"/>
      <c r="AD34" s="161"/>
      <c r="AE34" s="161"/>
      <c r="AF34" s="27"/>
      <c r="AG34" s="41">
        <v>27</v>
      </c>
      <c r="AH34" s="43"/>
      <c r="AI34" s="36"/>
      <c r="AJ34" s="46"/>
      <c r="AK34" s="47"/>
      <c r="AL34" s="27"/>
    </row>
    <row r="35" spans="1:38" ht="18" customHeight="1">
      <c r="A35" s="37"/>
      <c r="B35" s="37"/>
      <c r="C35" s="37"/>
      <c r="D35" s="37"/>
      <c r="E35" s="115"/>
      <c r="F35" s="115"/>
      <c r="G35" s="106" t="str">
        <f ca="1">IFERROR(データ!I26,"")</f>
        <v>A</v>
      </c>
      <c r="H35" s="106">
        <f ca="1">IFERROR(データ!H26,"")</f>
        <v>0</v>
      </c>
      <c r="I35" s="106" t="str">
        <f ca="1">IFERROR(データ!G26,"")</f>
        <v/>
      </c>
      <c r="J35" s="106" t="str">
        <f ca="1">IFERROR(データ!F26,"")</f>
        <v/>
      </c>
      <c r="K35" s="106" t="str">
        <f ca="1">IFERROR(データ!E26,"")</f>
        <v/>
      </c>
      <c r="L35" s="106" t="str">
        <f ca="1">IFERROR(データ!D26,"")</f>
        <v/>
      </c>
      <c r="M35" s="126"/>
      <c r="N35" s="160"/>
      <c r="O35" s="160"/>
      <c r="P35" s="160"/>
      <c r="Q35" s="160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27"/>
      <c r="AG35" s="41">
        <v>28</v>
      </c>
      <c r="AH35" s="43"/>
      <c r="AI35" s="36"/>
      <c r="AJ35" s="46"/>
      <c r="AK35" s="47"/>
      <c r="AL35" s="27"/>
    </row>
    <row r="36" spans="1:38" ht="18" customHeight="1">
      <c r="A36" s="37"/>
      <c r="B36" s="37"/>
      <c r="C36" s="37"/>
      <c r="D36" s="37"/>
      <c r="E36" s="115"/>
      <c r="F36" s="115"/>
      <c r="G36" s="106" t="str">
        <f ca="1">IFERROR(データ!I27,"")</f>
        <v>A</v>
      </c>
      <c r="H36" s="106">
        <f ca="1">IFERROR(データ!H27,"")</f>
        <v>0</v>
      </c>
      <c r="I36" s="106" t="str">
        <f ca="1">IFERROR(データ!G27,"")</f>
        <v/>
      </c>
      <c r="J36" s="106" t="str">
        <f ca="1">IFERROR(データ!F27,"")</f>
        <v/>
      </c>
      <c r="K36" s="106" t="str">
        <f ca="1">IFERROR(データ!E27,"")</f>
        <v/>
      </c>
      <c r="L36" s="106" t="str">
        <f ca="1">IFERROR(データ!D27,"")</f>
        <v/>
      </c>
      <c r="M36" s="126"/>
      <c r="N36" s="160"/>
      <c r="O36" s="160"/>
      <c r="P36" s="160"/>
      <c r="Q36" s="16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27"/>
      <c r="AG36" s="41">
        <v>29</v>
      </c>
      <c r="AH36" s="43"/>
      <c r="AI36" s="36"/>
      <c r="AJ36" s="46"/>
      <c r="AK36" s="47"/>
      <c r="AL36" s="27"/>
    </row>
    <row r="37" spans="1:38" ht="18.75" customHeight="1">
      <c r="A37" s="37"/>
      <c r="B37" s="37"/>
      <c r="C37" s="37"/>
      <c r="D37" s="37"/>
      <c r="E37" s="115"/>
      <c r="F37" s="115"/>
      <c r="G37" s="106">
        <f ca="1">IFERROR(データ!I28,"")</f>
        <v>0</v>
      </c>
      <c r="H37" s="106">
        <f ca="1">IFERROR(データ!H28,"")</f>
        <v>0</v>
      </c>
      <c r="I37" s="106" t="str">
        <f ca="1">IFERROR(データ!G28,"")</f>
        <v/>
      </c>
      <c r="J37" s="106" t="str">
        <f ca="1">IFERROR(データ!F28,"")</f>
        <v/>
      </c>
      <c r="K37" s="106" t="str">
        <f ca="1">IFERROR(データ!E28,"")</f>
        <v/>
      </c>
      <c r="L37" s="106" t="str">
        <f ca="1">IFERROR(データ!D28,"")</f>
        <v/>
      </c>
      <c r="M37" s="126"/>
      <c r="N37" s="160" t="str">
        <f ca="1">IFERROR(データ!$F$47,"")</f>
        <v/>
      </c>
      <c r="O37" s="160"/>
      <c r="P37" s="160"/>
      <c r="Q37" s="160"/>
      <c r="R37" s="161" t="str">
        <f ca="1">IFERROR(データ!$F$48,"")</f>
        <v/>
      </c>
      <c r="S37" s="161"/>
      <c r="T37" s="161"/>
      <c r="U37" s="161"/>
      <c r="V37" s="161"/>
      <c r="W37" s="161" t="str">
        <f ca="1">IFERROR(データ!$F$49,"")</f>
        <v/>
      </c>
      <c r="X37" s="161"/>
      <c r="Y37" s="161"/>
      <c r="Z37" s="161"/>
      <c r="AA37" s="161"/>
      <c r="AB37" s="161"/>
      <c r="AC37" s="161"/>
      <c r="AD37" s="161"/>
      <c r="AE37" s="161"/>
      <c r="AF37" s="27"/>
      <c r="AG37" s="41">
        <v>30</v>
      </c>
      <c r="AH37" s="43"/>
      <c r="AI37" s="36"/>
      <c r="AJ37" s="46"/>
      <c r="AK37" s="47"/>
      <c r="AL37" s="27"/>
    </row>
    <row r="38" spans="1:38" ht="18" customHeight="1">
      <c r="A38" s="37"/>
      <c r="B38" s="37"/>
      <c r="C38" s="37"/>
      <c r="D38" s="37"/>
      <c r="E38" s="115"/>
      <c r="F38" s="115"/>
      <c r="G38" s="106" t="str">
        <f ca="1">IFERROR(データ!I29,"")</f>
        <v>B</v>
      </c>
      <c r="H38" s="106">
        <f ca="1">IFERROR(データ!H29,"")</f>
        <v>0</v>
      </c>
      <c r="I38" s="106" t="str">
        <f ca="1">IFERROR(データ!G29,"")</f>
        <v/>
      </c>
      <c r="J38" s="106" t="str">
        <f ca="1">IFERROR(データ!F29,"")</f>
        <v/>
      </c>
      <c r="K38" s="106" t="str">
        <f ca="1">IFERROR(データ!E29,"")</f>
        <v/>
      </c>
      <c r="L38" s="106" t="str">
        <f ca="1">IFERROR(データ!D29,"")</f>
        <v/>
      </c>
      <c r="M38" s="126"/>
      <c r="N38" s="160"/>
      <c r="O38" s="160"/>
      <c r="P38" s="160"/>
      <c r="Q38" s="160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27"/>
      <c r="AG38" s="41">
        <v>31</v>
      </c>
      <c r="AH38" s="43"/>
      <c r="AI38" s="36"/>
      <c r="AJ38" s="46"/>
      <c r="AK38" s="47"/>
      <c r="AL38" s="27"/>
    </row>
    <row r="39" spans="1:38" ht="18.75" customHeight="1">
      <c r="A39" s="37"/>
      <c r="B39" s="37"/>
      <c r="C39" s="37"/>
      <c r="D39" s="37"/>
      <c r="E39" s="115"/>
      <c r="F39" s="115"/>
      <c r="G39" s="106" t="str">
        <f ca="1">IFERROR(データ!I30,"")</f>
        <v>A</v>
      </c>
      <c r="H39" s="106">
        <f ca="1">IFERROR(データ!H30,"")</f>
        <v>0</v>
      </c>
      <c r="I39" s="106" t="str">
        <f ca="1">IFERROR(データ!G30,"")</f>
        <v/>
      </c>
      <c r="J39" s="106" t="str">
        <f ca="1">IFERROR(データ!F30,"")</f>
        <v/>
      </c>
      <c r="K39" s="106" t="str">
        <f ca="1">IFERROR(データ!E30,"")</f>
        <v/>
      </c>
      <c r="L39" s="106" t="str">
        <f ca="1">IFERROR(データ!D30,"")</f>
        <v/>
      </c>
      <c r="M39" s="126"/>
      <c r="N39" s="160"/>
      <c r="O39" s="160"/>
      <c r="P39" s="160"/>
      <c r="Q39" s="160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27"/>
      <c r="AG39" s="41">
        <v>32</v>
      </c>
      <c r="AH39" s="43"/>
      <c r="AI39" s="36"/>
      <c r="AJ39" s="46"/>
      <c r="AK39" s="47"/>
      <c r="AL39" s="27"/>
    </row>
    <row r="40" spans="1:38" ht="18.75" customHeight="1">
      <c r="A40" s="37"/>
      <c r="B40" s="37"/>
      <c r="C40" s="37"/>
      <c r="D40" s="37"/>
      <c r="E40" s="115"/>
      <c r="F40" s="115"/>
      <c r="G40" s="106" t="str">
        <f ca="1">IFERROR(データ!I31,"")</f>
        <v>A</v>
      </c>
      <c r="H40" s="106">
        <f ca="1">IFERROR(データ!H31,"")</f>
        <v>0</v>
      </c>
      <c r="I40" s="106" t="str">
        <f ca="1">IFERROR(データ!G31,"")</f>
        <v/>
      </c>
      <c r="J40" s="106" t="str">
        <f ca="1">IFERROR(データ!F31,"")</f>
        <v/>
      </c>
      <c r="K40" s="106" t="str">
        <f ca="1">IFERROR(データ!E31,"")</f>
        <v/>
      </c>
      <c r="L40" s="106" t="str">
        <f ca="1">IFERROR(データ!D31,"")</f>
        <v/>
      </c>
      <c r="M40" s="126"/>
      <c r="N40" s="160" t="str">
        <f ca="1">IFERROR(データ!$E$47,"")</f>
        <v/>
      </c>
      <c r="O40" s="160"/>
      <c r="P40" s="160"/>
      <c r="Q40" s="160"/>
      <c r="R40" s="161" t="str">
        <f ca="1">IFERROR(データ!$E$48,"")</f>
        <v/>
      </c>
      <c r="S40" s="161"/>
      <c r="T40" s="161"/>
      <c r="U40" s="161"/>
      <c r="V40" s="161"/>
      <c r="W40" s="161" t="str">
        <f ca="1">IFERROR(データ!$E$49,"")</f>
        <v/>
      </c>
      <c r="X40" s="161"/>
      <c r="Y40" s="161"/>
      <c r="Z40" s="161"/>
      <c r="AA40" s="161"/>
      <c r="AB40" s="161"/>
      <c r="AC40" s="161"/>
      <c r="AD40" s="161"/>
      <c r="AE40" s="161"/>
      <c r="AF40" s="27"/>
      <c r="AG40" s="41">
        <v>33</v>
      </c>
      <c r="AH40" s="43"/>
      <c r="AI40" s="36"/>
      <c r="AJ40" s="46"/>
      <c r="AK40" s="47"/>
      <c r="AL40" s="27"/>
    </row>
    <row r="41" spans="1:38" ht="18.75" customHeight="1">
      <c r="A41" s="37"/>
      <c r="B41" s="37"/>
      <c r="C41" s="37"/>
      <c r="D41" s="37"/>
      <c r="E41" s="115"/>
      <c r="F41" s="115"/>
      <c r="G41" s="106">
        <f ca="1">IFERROR(データ!I32,"")</f>
        <v>0</v>
      </c>
      <c r="H41" s="106">
        <f ca="1">IFERROR(データ!H32,"")</f>
        <v>0</v>
      </c>
      <c r="I41" s="106" t="str">
        <f ca="1">IFERROR(データ!G32,"")</f>
        <v/>
      </c>
      <c r="J41" s="106" t="str">
        <f ca="1">IFERROR(データ!F32,"")</f>
        <v/>
      </c>
      <c r="K41" s="106" t="str">
        <f ca="1">IFERROR(データ!E32,"")</f>
        <v/>
      </c>
      <c r="L41" s="106" t="str">
        <f ca="1">IFERROR(データ!D32,"")</f>
        <v/>
      </c>
      <c r="M41" s="126"/>
      <c r="N41" s="160"/>
      <c r="O41" s="160"/>
      <c r="P41" s="160"/>
      <c r="Q41" s="160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27"/>
      <c r="AG41" s="41">
        <v>34</v>
      </c>
      <c r="AH41" s="43"/>
      <c r="AI41" s="36"/>
      <c r="AJ41" s="46"/>
      <c r="AK41" s="47"/>
      <c r="AL41" s="27"/>
    </row>
    <row r="42" spans="1:38" ht="18" customHeight="1">
      <c r="A42" s="37"/>
      <c r="B42" s="37"/>
      <c r="C42" s="37"/>
      <c r="D42" s="37"/>
      <c r="E42" s="115"/>
      <c r="F42" s="115"/>
      <c r="G42" s="106">
        <f ca="1">IFERROR(データ!I33,"")</f>
        <v>0</v>
      </c>
      <c r="H42" s="106">
        <f ca="1">IFERROR(データ!H33,"")</f>
        <v>0</v>
      </c>
      <c r="I42" s="106" t="str">
        <f ca="1">IFERROR(データ!G33,"")</f>
        <v/>
      </c>
      <c r="J42" s="106" t="str">
        <f ca="1">IFERROR(データ!F33,"")</f>
        <v/>
      </c>
      <c r="K42" s="106" t="str">
        <f ca="1">IFERROR(データ!E33,"")</f>
        <v/>
      </c>
      <c r="L42" s="106" t="str">
        <f ca="1">IFERROR(データ!D33,"")</f>
        <v/>
      </c>
      <c r="M42" s="126"/>
      <c r="N42" s="160"/>
      <c r="O42" s="160"/>
      <c r="P42" s="160"/>
      <c r="Q42" s="16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27"/>
      <c r="AG42" s="41">
        <v>35</v>
      </c>
      <c r="AH42" s="43"/>
      <c r="AI42" s="36"/>
      <c r="AJ42" s="46"/>
      <c r="AK42" s="47"/>
      <c r="AL42" s="27"/>
    </row>
    <row r="43" spans="1:38" ht="18.75" customHeight="1">
      <c r="A43" s="37"/>
      <c r="B43" s="37"/>
      <c r="C43" s="37"/>
      <c r="D43" s="37"/>
      <c r="E43" s="115"/>
      <c r="F43" s="115"/>
      <c r="G43" s="106">
        <f ca="1">IFERROR(データ!I34,"")</f>
        <v>0</v>
      </c>
      <c r="H43" s="106">
        <f ca="1">IFERROR(データ!H34,"")</f>
        <v>0</v>
      </c>
      <c r="I43" s="106" t="str">
        <f ca="1">IFERROR(データ!G34,"")</f>
        <v/>
      </c>
      <c r="J43" s="106" t="str">
        <f ca="1">IFERROR(データ!F34,"")</f>
        <v/>
      </c>
      <c r="K43" s="106" t="str">
        <f ca="1">IFERROR(データ!E34,"")</f>
        <v/>
      </c>
      <c r="L43" s="106" t="str">
        <f ca="1">IFERROR(データ!D34,"")</f>
        <v/>
      </c>
      <c r="M43" s="126"/>
      <c r="N43" s="160" t="str">
        <f ca="1">IFERROR(データ!$D$47,"")</f>
        <v/>
      </c>
      <c r="O43" s="160"/>
      <c r="P43" s="160"/>
      <c r="Q43" s="160"/>
      <c r="R43" s="161" t="str">
        <f ca="1">IFERROR(データ!$D$48,"")</f>
        <v/>
      </c>
      <c r="S43" s="161"/>
      <c r="T43" s="161"/>
      <c r="U43" s="161"/>
      <c r="V43" s="161"/>
      <c r="W43" s="161" t="str">
        <f ca="1">IFERROR(データ!$D$49,"")</f>
        <v/>
      </c>
      <c r="X43" s="161"/>
      <c r="Y43" s="161"/>
      <c r="Z43" s="161"/>
      <c r="AA43" s="161"/>
      <c r="AB43" s="161"/>
      <c r="AC43" s="161"/>
      <c r="AD43" s="161"/>
      <c r="AE43" s="161"/>
      <c r="AF43" s="27"/>
      <c r="AG43" s="41">
        <v>36</v>
      </c>
      <c r="AH43" s="43"/>
      <c r="AI43" s="36"/>
      <c r="AJ43" s="46"/>
      <c r="AK43" s="47"/>
      <c r="AL43" s="27"/>
    </row>
    <row r="44" spans="1:38" ht="18.75" customHeight="1">
      <c r="A44" s="37"/>
      <c r="B44" s="37"/>
      <c r="C44" s="37"/>
      <c r="D44" s="37"/>
      <c r="E44" s="115"/>
      <c r="F44" s="115"/>
      <c r="G44" s="106">
        <f ca="1">IFERROR(データ!I35,"")</f>
        <v>0</v>
      </c>
      <c r="H44" s="106">
        <f ca="1">IFERROR(データ!H35,"")</f>
        <v>0</v>
      </c>
      <c r="I44" s="106" t="str">
        <f ca="1">IFERROR(データ!G35,"")</f>
        <v/>
      </c>
      <c r="J44" s="106" t="str">
        <f ca="1">IFERROR(データ!F35,"")</f>
        <v/>
      </c>
      <c r="K44" s="106" t="str">
        <f ca="1">IFERROR(データ!E35,"")</f>
        <v/>
      </c>
      <c r="L44" s="106" t="str">
        <f ca="1">IFERROR(データ!D35,"")</f>
        <v/>
      </c>
      <c r="M44" s="126"/>
      <c r="N44" s="160"/>
      <c r="O44" s="160"/>
      <c r="P44" s="160"/>
      <c r="Q44" s="160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27"/>
      <c r="AG44" s="41">
        <v>37</v>
      </c>
      <c r="AH44" s="43"/>
      <c r="AI44" s="36"/>
      <c r="AJ44" s="46"/>
      <c r="AK44" s="47"/>
      <c r="AL44" s="27"/>
    </row>
    <row r="45" spans="1:38" ht="18.75" customHeight="1">
      <c r="A45" s="37"/>
      <c r="B45" s="37"/>
      <c r="C45" s="37"/>
      <c r="D45" s="37"/>
      <c r="E45" s="115"/>
      <c r="F45" s="115"/>
      <c r="G45" s="106">
        <f ca="1">IFERROR(データ!I36,"")</f>
        <v>0</v>
      </c>
      <c r="H45" s="106">
        <f ca="1">IFERROR(データ!H36,"")</f>
        <v>0</v>
      </c>
      <c r="I45" s="106" t="str">
        <f ca="1">IFERROR(データ!G36,"")</f>
        <v/>
      </c>
      <c r="J45" s="106" t="str">
        <f ca="1">IFERROR(データ!F36,"")</f>
        <v/>
      </c>
      <c r="K45" s="106" t="str">
        <f ca="1">IFERROR(データ!E36,"")</f>
        <v/>
      </c>
      <c r="L45" s="106" t="str">
        <f ca="1">IFERROR(データ!D36,"")</f>
        <v/>
      </c>
      <c r="M45" s="126"/>
      <c r="N45" s="160"/>
      <c r="O45" s="160"/>
      <c r="P45" s="160"/>
      <c r="Q45" s="160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27"/>
      <c r="AG45" s="41">
        <v>38</v>
      </c>
      <c r="AH45" s="43"/>
      <c r="AI45" s="36"/>
      <c r="AJ45" s="46"/>
      <c r="AK45" s="47"/>
      <c r="AL45" s="27"/>
    </row>
    <row r="46" spans="1:38" ht="18.75" customHeight="1">
      <c r="A46" s="37"/>
      <c r="B46" s="37"/>
      <c r="C46" s="37"/>
      <c r="D46" s="37"/>
      <c r="E46" s="115"/>
      <c r="F46" s="115"/>
      <c r="G46" s="106" t="str">
        <f ca="1">IFERROR(データ!I37,"")</f>
        <v>A</v>
      </c>
      <c r="H46" s="106">
        <f ca="1">IFERROR(データ!H37,"")</f>
        <v>0</v>
      </c>
      <c r="I46" s="106" t="str">
        <f ca="1">IFERROR(データ!G37,"")</f>
        <v/>
      </c>
      <c r="J46" s="106" t="str">
        <f ca="1">IFERROR(データ!F37,"")</f>
        <v/>
      </c>
      <c r="K46" s="106" t="str">
        <f ca="1">IFERROR(データ!E37,"")</f>
        <v/>
      </c>
      <c r="L46" s="106" t="str">
        <f ca="1">IFERROR(データ!D37,"")</f>
        <v/>
      </c>
      <c r="M46" s="126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28"/>
      <c r="AA46" s="127"/>
      <c r="AB46" s="127"/>
      <c r="AC46" s="127"/>
      <c r="AD46" s="127"/>
      <c r="AE46" s="127"/>
      <c r="AF46" s="27"/>
      <c r="AG46" s="41">
        <v>39</v>
      </c>
      <c r="AH46" s="43"/>
      <c r="AI46" s="36"/>
      <c r="AJ46" s="46"/>
      <c r="AK46" s="47"/>
      <c r="AL46" s="27"/>
    </row>
    <row r="47" spans="1:38" ht="18.75" customHeight="1">
      <c r="A47" s="37"/>
      <c r="B47" s="37"/>
      <c r="C47" s="37"/>
      <c r="D47" s="37"/>
      <c r="E47" s="115"/>
      <c r="F47" s="115"/>
      <c r="G47" s="106" t="str">
        <f ca="1">IFERROR(データ!I38,"")</f>
        <v>A</v>
      </c>
      <c r="H47" s="106">
        <f ca="1">IFERROR(データ!H38,"")</f>
        <v>0</v>
      </c>
      <c r="I47" s="106" t="str">
        <f ca="1">IFERROR(データ!G38,"")</f>
        <v/>
      </c>
      <c r="J47" s="106" t="str">
        <f ca="1">IFERROR(データ!F38,"")</f>
        <v/>
      </c>
      <c r="K47" s="106" t="str">
        <f ca="1">IFERROR(データ!E38,"")</f>
        <v/>
      </c>
      <c r="L47" s="106" t="str">
        <f ca="1">IFERROR(データ!D38,"")</f>
        <v/>
      </c>
      <c r="M47" s="126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28"/>
      <c r="AA47" s="127"/>
      <c r="AB47" s="127"/>
      <c r="AC47" s="127"/>
      <c r="AD47" s="127"/>
      <c r="AE47" s="127"/>
      <c r="AF47" s="27"/>
      <c r="AG47" s="41">
        <v>40</v>
      </c>
      <c r="AH47" s="43"/>
      <c r="AI47" s="36"/>
      <c r="AJ47" s="46"/>
      <c r="AK47" s="47"/>
      <c r="AL47" s="27"/>
    </row>
    <row r="48" spans="1:38" ht="18.75" customHeight="1">
      <c r="A48" s="37"/>
      <c r="B48" s="37"/>
      <c r="C48" s="37"/>
      <c r="D48" s="37"/>
      <c r="E48" s="115"/>
      <c r="F48" s="115"/>
      <c r="G48" s="106" t="str">
        <f ca="1">IFERROR(データ!I39,"")</f>
        <v>B</v>
      </c>
      <c r="H48" s="106">
        <f ca="1">IFERROR(データ!H39,"")</f>
        <v>0</v>
      </c>
      <c r="I48" s="106" t="str">
        <f ca="1">IFERROR(データ!G39,"")</f>
        <v/>
      </c>
      <c r="J48" s="106" t="str">
        <f ca="1">IFERROR(データ!F39,"")</f>
        <v/>
      </c>
      <c r="K48" s="106" t="str">
        <f ca="1">IFERROR(データ!E39,"")</f>
        <v/>
      </c>
      <c r="L48" s="106" t="str">
        <f ca="1">IFERROR(データ!D39,"")</f>
        <v/>
      </c>
      <c r="M48" s="126"/>
      <c r="N48" s="165" t="str">
        <f>IFERROR(データ!#REF!,"")</f>
        <v/>
      </c>
      <c r="O48" s="165"/>
      <c r="P48" s="164" t="str">
        <f ca="1">IFERROR(データ!$D$50,"")</f>
        <v/>
      </c>
      <c r="Q48" s="164"/>
      <c r="R48" s="164"/>
      <c r="S48" s="164"/>
      <c r="T48" s="164"/>
      <c r="U48" s="164"/>
      <c r="V48" s="162">
        <f ca="1">IFERROR(データ!$I$51,"")</f>
        <v>0</v>
      </c>
      <c r="W48" s="162" t="str">
        <f ca="1">IFERROR(データ!$D$51,"")</f>
        <v/>
      </c>
      <c r="X48" s="162">
        <f ca="1">IFERROR(データ!$H$51,"")</f>
        <v>0</v>
      </c>
      <c r="Y48" s="162"/>
      <c r="Z48" s="162" t="str">
        <f ca="1">IFERROR(データ!$G$51,"")</f>
        <v/>
      </c>
      <c r="AA48" s="162" t="str">
        <f ca="1">IFERROR(データ!$F$51,"")</f>
        <v/>
      </c>
      <c r="AB48" s="162"/>
      <c r="AC48" s="162" t="str">
        <f ca="1">IFERROR(データ!$E$51,"")</f>
        <v/>
      </c>
      <c r="AD48" s="162" t="str">
        <f ca="1">IFERROR(データ!$D$51,"")</f>
        <v/>
      </c>
      <c r="AE48" s="162"/>
      <c r="AF48" s="30"/>
      <c r="AG48" s="41">
        <v>41</v>
      </c>
      <c r="AH48" s="43"/>
      <c r="AI48" s="36"/>
      <c r="AJ48" s="46"/>
      <c r="AK48" s="47"/>
      <c r="AL48" s="27"/>
    </row>
    <row r="49" spans="1:38" ht="9.75" customHeight="1">
      <c r="A49" s="37"/>
      <c r="B49" s="37"/>
      <c r="C49" s="37"/>
      <c r="D49" s="37"/>
      <c r="E49" s="115"/>
      <c r="F49" s="115"/>
      <c r="G49" s="163">
        <f ca="1">IFERROR(データ!I40,"")</f>
        <v>0</v>
      </c>
      <c r="H49" s="163">
        <f ca="1">IFERROR(データ!H40,"")</f>
        <v>0</v>
      </c>
      <c r="I49" s="163" t="str">
        <f ca="1">IFERROR(データ!G40,"")</f>
        <v/>
      </c>
      <c r="J49" s="163" t="str">
        <f ca="1">IFERROR(データ!F40,"")</f>
        <v/>
      </c>
      <c r="K49" s="163" t="str">
        <f ca="1">IFERROR(データ!E40,"")</f>
        <v/>
      </c>
      <c r="L49" s="163" t="str">
        <f ca="1">IFERROR(データ!D40,"")</f>
        <v/>
      </c>
      <c r="M49" s="126"/>
      <c r="N49" s="165"/>
      <c r="O49" s="165"/>
      <c r="P49" s="164"/>
      <c r="Q49" s="164"/>
      <c r="R49" s="164"/>
      <c r="S49" s="164"/>
      <c r="T49" s="164"/>
      <c r="U49" s="164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30"/>
      <c r="AG49" s="41">
        <v>42</v>
      </c>
      <c r="AH49" s="43"/>
      <c r="AI49" s="36"/>
      <c r="AJ49" s="46"/>
      <c r="AK49" s="47"/>
      <c r="AL49" s="27"/>
    </row>
    <row r="50" spans="1:38" ht="9" customHeight="1">
      <c r="A50" s="37"/>
      <c r="B50" s="37"/>
      <c r="C50" s="37"/>
      <c r="D50" s="37"/>
      <c r="E50" s="115"/>
      <c r="F50" s="115"/>
      <c r="G50" s="163"/>
      <c r="H50" s="163"/>
      <c r="I50" s="163"/>
      <c r="J50" s="163"/>
      <c r="K50" s="163"/>
      <c r="L50" s="163"/>
      <c r="M50" s="126"/>
      <c r="N50" s="161" t="str">
        <f>IFERROR(データ!#REF!,"")</f>
        <v/>
      </c>
      <c r="O50" s="161"/>
      <c r="P50" s="164"/>
      <c r="Q50" s="164"/>
      <c r="R50" s="164"/>
      <c r="S50" s="164"/>
      <c r="T50" s="164"/>
      <c r="U50" s="164"/>
      <c r="V50" s="162">
        <f ca="1">IFERROR(データ!$I$52,"")</f>
        <v>0</v>
      </c>
      <c r="W50" s="162" t="str">
        <f ca="1">IFERROR(データ!$D$52,"")</f>
        <v/>
      </c>
      <c r="X50" s="162">
        <f ca="1">IFERROR(データ!$H$52,"")</f>
        <v>0</v>
      </c>
      <c r="Y50" s="162"/>
      <c r="Z50" s="162" t="str">
        <f ca="1">IFERROR(データ!$G$52,"")</f>
        <v/>
      </c>
      <c r="AA50" s="162" t="str">
        <f ca="1">IFERROR(データ!$F$52,"")</f>
        <v/>
      </c>
      <c r="AB50" s="162"/>
      <c r="AC50" s="162" t="str">
        <f ca="1">IFERROR(データ!$E$52,"")</f>
        <v/>
      </c>
      <c r="AD50" s="162" t="str">
        <f ca="1">IFERROR(データ!$D$52,"")</f>
        <v/>
      </c>
      <c r="AE50" s="162"/>
      <c r="AF50" s="30"/>
      <c r="AG50" s="41">
        <v>43</v>
      </c>
      <c r="AH50" s="43"/>
      <c r="AI50" s="36"/>
      <c r="AJ50" s="46"/>
      <c r="AK50" s="47"/>
      <c r="AL50" s="27"/>
    </row>
    <row r="51" spans="1:38" ht="18.75" customHeight="1">
      <c r="A51" s="37"/>
      <c r="B51" s="37"/>
      <c r="C51" s="37"/>
      <c r="D51" s="37"/>
      <c r="E51" s="115"/>
      <c r="F51" s="115"/>
      <c r="G51" s="106">
        <f ca="1">IFERROR(データ!I41,"")</f>
        <v>0</v>
      </c>
      <c r="H51" s="106">
        <f ca="1">IFERROR(データ!H41,"")</f>
        <v>0</v>
      </c>
      <c r="I51" s="106" t="str">
        <f ca="1">IFERROR(データ!G41,"")</f>
        <v/>
      </c>
      <c r="J51" s="106" t="str">
        <f ca="1">IFERROR(データ!F41,"")</f>
        <v/>
      </c>
      <c r="K51" s="106" t="str">
        <f ca="1">IFERROR(データ!E41,"")</f>
        <v/>
      </c>
      <c r="L51" s="106" t="str">
        <f ca="1">IFERROR(データ!D41,"")</f>
        <v/>
      </c>
      <c r="M51" s="126"/>
      <c r="N51" s="161"/>
      <c r="O51" s="161"/>
      <c r="P51" s="164"/>
      <c r="Q51" s="164"/>
      <c r="R51" s="164"/>
      <c r="S51" s="164"/>
      <c r="T51" s="164"/>
      <c r="U51" s="164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31"/>
      <c r="AG51" s="41">
        <v>44</v>
      </c>
      <c r="AH51" s="43"/>
      <c r="AI51" s="36"/>
      <c r="AJ51" s="46"/>
      <c r="AK51" s="47"/>
      <c r="AL51" s="27"/>
    </row>
    <row r="52" spans="1:38" ht="18.75" customHeight="1">
      <c r="A52" s="37"/>
      <c r="B52" s="37"/>
      <c r="C52" s="37"/>
      <c r="D52" s="37"/>
      <c r="E52" s="115"/>
      <c r="F52" s="115"/>
      <c r="G52" s="106">
        <f ca="1">IFERROR(データ!I42,"")</f>
        <v>0</v>
      </c>
      <c r="H52" s="106">
        <f ca="1">IFERROR(データ!H42,"")</f>
        <v>0</v>
      </c>
      <c r="I52" s="106" t="str">
        <f ca="1">IFERROR(データ!G42,"")</f>
        <v/>
      </c>
      <c r="J52" s="106" t="str">
        <f ca="1">IFERROR(データ!F42,"")</f>
        <v/>
      </c>
      <c r="K52" s="106" t="str">
        <f ca="1">IFERROR(データ!E42,"")</f>
        <v/>
      </c>
      <c r="L52" s="106" t="str">
        <f ca="1">IFERROR(データ!D42,"")</f>
        <v/>
      </c>
      <c r="M52" s="126"/>
      <c r="N52" s="161" t="str">
        <f>IFERROR(データ!#REF!,"")</f>
        <v/>
      </c>
      <c r="O52" s="161"/>
      <c r="P52" s="164"/>
      <c r="Q52" s="164"/>
      <c r="R52" s="164"/>
      <c r="S52" s="164"/>
      <c r="T52" s="164"/>
      <c r="U52" s="164"/>
      <c r="V52" s="162">
        <f ca="1">IFERROR(データ!$I$53,"")</f>
        <v>0</v>
      </c>
      <c r="W52" s="162" t="str">
        <f ca="1">IFERROR(データ!$D$53,"")</f>
        <v/>
      </c>
      <c r="X52" s="162">
        <f ca="1">IFERROR(データ!$H$53,"")</f>
        <v>0</v>
      </c>
      <c r="Y52" s="162"/>
      <c r="Z52" s="162" t="str">
        <f ca="1">IFERROR(データ!$G$53,"")</f>
        <v/>
      </c>
      <c r="AA52" s="162" t="str">
        <f ca="1">IFERROR(データ!$F$53,"")</f>
        <v/>
      </c>
      <c r="AB52" s="162"/>
      <c r="AC52" s="162" t="str">
        <f ca="1">IFERROR(データ!$E$53,"")</f>
        <v/>
      </c>
      <c r="AD52" s="162" t="str">
        <f ca="1">IFERROR(データ!$D$53,"")</f>
        <v/>
      </c>
      <c r="AE52" s="162"/>
      <c r="AF52" s="31"/>
      <c r="AG52" s="41">
        <v>45</v>
      </c>
      <c r="AH52" s="43"/>
      <c r="AI52" s="36"/>
      <c r="AJ52" s="46"/>
      <c r="AK52" s="47"/>
      <c r="AL52" s="27"/>
    </row>
    <row r="53" spans="1:38" ht="9" customHeight="1">
      <c r="A53" s="37"/>
      <c r="B53" s="37"/>
      <c r="C53" s="37"/>
      <c r="D53" s="37"/>
      <c r="E53" s="115"/>
      <c r="F53" s="115"/>
      <c r="G53" s="163">
        <f ca="1">IFERROR(データ!I43,"")</f>
        <v>0</v>
      </c>
      <c r="H53" s="163">
        <f ca="1">IFERROR(データ!H43,"")</f>
        <v>0</v>
      </c>
      <c r="I53" s="163" t="str">
        <f ca="1">IFERROR(データ!G43,"")</f>
        <v/>
      </c>
      <c r="J53" s="163" t="str">
        <f ca="1">IFERROR(データ!F43,"")</f>
        <v/>
      </c>
      <c r="K53" s="163" t="str">
        <f ca="1">IFERROR(データ!E43,"")</f>
        <v/>
      </c>
      <c r="L53" s="163" t="str">
        <f ca="1">IFERROR(データ!D43,"")</f>
        <v/>
      </c>
      <c r="M53" s="126"/>
      <c r="N53" s="161"/>
      <c r="O53" s="161"/>
      <c r="P53" s="164"/>
      <c r="Q53" s="164"/>
      <c r="R53" s="164"/>
      <c r="S53" s="164"/>
      <c r="T53" s="164"/>
      <c r="U53" s="164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31"/>
      <c r="AG53" s="41">
        <v>46</v>
      </c>
      <c r="AH53" s="43"/>
      <c r="AI53" s="36"/>
      <c r="AJ53" s="46"/>
      <c r="AK53" s="47"/>
      <c r="AL53" s="27"/>
    </row>
    <row r="54" spans="1:38" ht="9" customHeight="1">
      <c r="A54" s="37"/>
      <c r="B54" s="37"/>
      <c r="C54" s="37"/>
      <c r="D54" s="37"/>
      <c r="E54" s="115"/>
      <c r="F54" s="115"/>
      <c r="G54" s="163"/>
      <c r="H54" s="163"/>
      <c r="I54" s="163"/>
      <c r="J54" s="163"/>
      <c r="K54" s="163"/>
      <c r="L54" s="163"/>
      <c r="M54" s="126"/>
      <c r="N54" s="161" t="str">
        <f>IFERROR(データ!#REF!,"")</f>
        <v/>
      </c>
      <c r="O54" s="161"/>
      <c r="P54" s="164"/>
      <c r="Q54" s="164"/>
      <c r="R54" s="164"/>
      <c r="S54" s="164"/>
      <c r="T54" s="164"/>
      <c r="U54" s="164"/>
      <c r="V54" s="162">
        <f ca="1">IFERROR(データ!$I$54,"")</f>
        <v>0</v>
      </c>
      <c r="W54" s="162" t="str">
        <f ca="1">IFERROR(データ!$D$54,"")</f>
        <v/>
      </c>
      <c r="X54" s="162">
        <f ca="1">IFERROR(データ!$H$54,"")</f>
        <v>0</v>
      </c>
      <c r="Y54" s="162"/>
      <c r="Z54" s="162" t="str">
        <f ca="1">IFERROR(データ!$G$54,"")</f>
        <v/>
      </c>
      <c r="AA54" s="162" t="str">
        <f ca="1">IFERROR(データ!$F$54,"")</f>
        <v/>
      </c>
      <c r="AB54" s="162"/>
      <c r="AC54" s="162" t="str">
        <f ca="1">IFERROR(データ!$E$54,"")</f>
        <v/>
      </c>
      <c r="AD54" s="162" t="str">
        <f ca="1">IFERROR(データ!$D$54,"")</f>
        <v/>
      </c>
      <c r="AE54" s="162"/>
      <c r="AF54" s="30"/>
      <c r="AG54" s="41">
        <v>47</v>
      </c>
      <c r="AH54" s="43"/>
      <c r="AI54" s="36"/>
      <c r="AJ54" s="46"/>
      <c r="AK54" s="47"/>
      <c r="AL54" s="27"/>
    </row>
    <row r="55" spans="1:38" ht="18.75" customHeight="1">
      <c r="A55" s="37"/>
      <c r="B55" s="37"/>
      <c r="C55" s="37"/>
      <c r="D55" s="37"/>
      <c r="E55" s="115"/>
      <c r="F55" s="115"/>
      <c r="G55" s="106">
        <f ca="1">IFERROR(データ!I44,"")</f>
        <v>0</v>
      </c>
      <c r="H55" s="106">
        <f ca="1">IFERROR(データ!H44,"")</f>
        <v>0</v>
      </c>
      <c r="I55" s="106" t="str">
        <f ca="1">IFERROR(データ!G44,"")</f>
        <v/>
      </c>
      <c r="J55" s="106" t="str">
        <f ca="1">IFERROR(データ!F44,"")</f>
        <v/>
      </c>
      <c r="K55" s="106" t="str">
        <f ca="1">IFERROR(データ!E44,"")</f>
        <v/>
      </c>
      <c r="L55" s="106" t="str">
        <f ca="1">IFERROR(データ!D44,"")</f>
        <v/>
      </c>
      <c r="M55" s="126"/>
      <c r="N55" s="161"/>
      <c r="O55" s="161"/>
      <c r="P55" s="164"/>
      <c r="Q55" s="164"/>
      <c r="R55" s="164"/>
      <c r="S55" s="164"/>
      <c r="T55" s="164"/>
      <c r="U55" s="164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30"/>
      <c r="AG55" s="41">
        <v>48</v>
      </c>
      <c r="AH55" s="43"/>
      <c r="AI55" s="36"/>
      <c r="AJ55" s="46"/>
      <c r="AK55" s="47"/>
      <c r="AL55" s="27"/>
    </row>
    <row r="56" spans="1:38" ht="14.25" customHeight="1">
      <c r="A56" s="107"/>
      <c r="B56" s="107"/>
      <c r="C56" s="107"/>
      <c r="D56" s="107"/>
      <c r="E56" s="107"/>
      <c r="F56" s="107"/>
      <c r="G56" s="108">
        <f ca="1">IFERROR(データ!$I$46,"")</f>
        <v>0</v>
      </c>
      <c r="H56" s="108">
        <f ca="1">IFERROR(データ!$H$46,"")</f>
        <v>0</v>
      </c>
      <c r="I56" s="108" t="str">
        <f ca="1">IFERROR(データ!$G$46,"")</f>
        <v/>
      </c>
      <c r="J56" s="108" t="str">
        <f ca="1">IFERROR(データ!$F$46,"")</f>
        <v/>
      </c>
      <c r="K56" s="108" t="str">
        <f ca="1">IFERROR(データ!$E$46,"")</f>
        <v/>
      </c>
      <c r="L56" s="109"/>
      <c r="M56" s="110"/>
      <c r="N56" s="111"/>
      <c r="O56" s="111"/>
      <c r="P56" s="111"/>
      <c r="Q56" s="111"/>
      <c r="R56" s="112"/>
      <c r="S56" s="112"/>
      <c r="T56" s="112"/>
      <c r="U56" s="112"/>
      <c r="V56" s="112"/>
      <c r="W56" s="112"/>
      <c r="X56" s="112"/>
      <c r="Y56" s="112"/>
      <c r="Z56" s="113"/>
      <c r="AA56" s="112"/>
      <c r="AB56" s="112"/>
      <c r="AC56" s="112"/>
      <c r="AD56" s="112"/>
      <c r="AE56" s="112"/>
      <c r="AF56" s="30"/>
      <c r="AG56" s="41">
        <v>49</v>
      </c>
      <c r="AH56" s="43"/>
      <c r="AI56" s="36"/>
      <c r="AJ56" s="46"/>
      <c r="AK56" s="47"/>
      <c r="AL56" s="27"/>
    </row>
    <row r="57" spans="1:38" ht="14.25" customHeight="1">
      <c r="A57" s="27"/>
      <c r="B57" s="27"/>
      <c r="C57" s="27"/>
      <c r="D57" s="27"/>
      <c r="E57" s="27"/>
      <c r="F57" s="27"/>
      <c r="G57" s="28"/>
      <c r="H57" s="28"/>
      <c r="I57" s="28"/>
      <c r="J57" s="28"/>
      <c r="K57" s="28"/>
      <c r="L57" s="28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31"/>
      <c r="AG57" s="41">
        <v>50</v>
      </c>
      <c r="AH57" s="43"/>
      <c r="AI57" s="36"/>
      <c r="AJ57" s="46"/>
      <c r="AK57" s="47"/>
      <c r="AL57" s="27"/>
    </row>
    <row r="58" spans="1:38" ht="14.25" customHeight="1">
      <c r="A58" s="27"/>
      <c r="B58" s="27"/>
      <c r="C58" s="27"/>
      <c r="D58" s="27"/>
      <c r="E58" s="27"/>
      <c r="F58" s="27"/>
      <c r="G58" s="28"/>
      <c r="H58" s="28"/>
      <c r="I58" s="28"/>
      <c r="J58" s="28"/>
      <c r="K58" s="28"/>
      <c r="L58" s="28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31"/>
      <c r="AG58" s="41">
        <v>51</v>
      </c>
      <c r="AH58" s="43"/>
      <c r="AI58" s="36"/>
      <c r="AJ58" s="46"/>
      <c r="AK58" s="47"/>
      <c r="AL58" s="27"/>
    </row>
    <row r="59" spans="1:38" ht="14.25" customHeight="1">
      <c r="A59" s="27"/>
      <c r="B59" s="27"/>
      <c r="C59" s="27"/>
      <c r="D59" s="27"/>
      <c r="E59" s="27"/>
      <c r="F59" s="27"/>
      <c r="G59" s="28"/>
      <c r="H59" s="28"/>
      <c r="I59" s="28"/>
      <c r="J59" s="28"/>
      <c r="K59" s="28"/>
      <c r="L59" s="28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31"/>
      <c r="AG59" s="41">
        <v>52</v>
      </c>
      <c r="AH59" s="43"/>
      <c r="AI59" s="36"/>
      <c r="AJ59" s="46"/>
      <c r="AK59" s="47"/>
      <c r="AL59" s="27"/>
    </row>
    <row r="60" spans="1:38" ht="14.25" customHeight="1">
      <c r="A60" s="27"/>
      <c r="B60" s="27"/>
      <c r="C60" s="27"/>
      <c r="D60" s="27"/>
      <c r="E60" s="27"/>
      <c r="F60" s="27"/>
      <c r="G60" s="28"/>
      <c r="H60" s="28"/>
      <c r="I60" s="28"/>
      <c r="J60" s="28"/>
      <c r="K60" s="28"/>
      <c r="L60" s="28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31"/>
      <c r="AG60" s="41">
        <v>53</v>
      </c>
      <c r="AH60" s="43"/>
      <c r="AI60" s="36"/>
      <c r="AJ60" s="46"/>
      <c r="AK60" s="47"/>
      <c r="AL60" s="27"/>
    </row>
    <row r="61" spans="1:38" ht="15.75" customHeight="1">
      <c r="A61" s="27"/>
      <c r="B61" s="27"/>
      <c r="C61" s="27"/>
      <c r="D61" s="27"/>
      <c r="E61" s="27"/>
      <c r="F61" s="27"/>
      <c r="G61" s="28"/>
      <c r="H61" s="28"/>
      <c r="I61" s="28"/>
      <c r="J61" s="28"/>
      <c r="K61" s="28"/>
      <c r="L61" s="28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31"/>
      <c r="AG61" s="41">
        <v>54</v>
      </c>
      <c r="AH61" s="43"/>
      <c r="AI61" s="36"/>
      <c r="AJ61" s="46"/>
      <c r="AK61" s="47"/>
      <c r="AL61" s="27"/>
    </row>
    <row r="62" spans="1:38" ht="14.25" customHeight="1">
      <c r="A62" s="27"/>
      <c r="B62" s="27"/>
      <c r="C62" s="27"/>
      <c r="D62" s="27"/>
      <c r="E62" s="27"/>
      <c r="F62" s="27"/>
      <c r="G62" s="28"/>
      <c r="H62" s="28"/>
      <c r="I62" s="28"/>
      <c r="J62" s="28"/>
      <c r="K62" s="28"/>
      <c r="L62" s="28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31"/>
      <c r="AG62" s="41">
        <v>55</v>
      </c>
      <c r="AH62" s="43"/>
      <c r="AI62" s="36"/>
      <c r="AJ62" s="46"/>
      <c r="AK62" s="47"/>
      <c r="AL62" s="27"/>
    </row>
    <row r="63" spans="1:38" ht="14.25" customHeight="1">
      <c r="A63" s="27"/>
      <c r="B63" s="27"/>
      <c r="C63" s="27"/>
      <c r="D63" s="27"/>
      <c r="E63" s="27"/>
      <c r="F63" s="27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31"/>
      <c r="AG63" s="41">
        <v>56</v>
      </c>
      <c r="AH63" s="43"/>
      <c r="AI63" s="36"/>
      <c r="AJ63" s="46"/>
      <c r="AK63" s="47"/>
      <c r="AL63" s="27"/>
    </row>
    <row r="64" spans="1:38" ht="14.25" customHeight="1">
      <c r="A64" s="27"/>
      <c r="B64" s="27"/>
      <c r="C64" s="27"/>
      <c r="D64" s="27"/>
      <c r="E64" s="27"/>
      <c r="F64" s="27"/>
      <c r="G64" s="28"/>
      <c r="H64" s="28"/>
      <c r="I64" s="28"/>
      <c r="J64" s="28"/>
      <c r="K64" s="28"/>
      <c r="L64" s="28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31"/>
      <c r="AG64" s="41">
        <v>57</v>
      </c>
      <c r="AH64" s="43"/>
      <c r="AI64" s="36"/>
      <c r="AJ64" s="46"/>
      <c r="AK64" s="47"/>
      <c r="AL64" s="27"/>
    </row>
    <row r="65" spans="1:38">
      <c r="A65" s="27"/>
      <c r="B65" s="27"/>
      <c r="C65" s="27"/>
      <c r="D65" s="27"/>
      <c r="E65" s="27"/>
      <c r="F65" s="27"/>
      <c r="G65" s="28"/>
      <c r="H65" s="28"/>
      <c r="I65" s="28"/>
      <c r="J65" s="28"/>
      <c r="K65" s="28"/>
      <c r="L65" s="28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41">
        <v>58</v>
      </c>
      <c r="AH65" s="43"/>
      <c r="AI65" s="36"/>
      <c r="AJ65" s="46"/>
      <c r="AK65" s="47"/>
      <c r="AL65" s="27"/>
    </row>
    <row r="66" spans="1:38">
      <c r="A66" s="27"/>
      <c r="B66" s="27"/>
      <c r="C66" s="27"/>
      <c r="D66" s="27"/>
      <c r="E66" s="27"/>
      <c r="F66" s="27"/>
      <c r="G66" s="28"/>
      <c r="H66" s="28"/>
      <c r="I66" s="28"/>
      <c r="J66" s="28"/>
      <c r="K66" s="28"/>
      <c r="L66" s="28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41">
        <v>59</v>
      </c>
      <c r="AH66" s="43"/>
      <c r="AI66" s="36"/>
      <c r="AJ66" s="46"/>
      <c r="AK66" s="47"/>
      <c r="AL66" s="27"/>
    </row>
    <row r="67" spans="1:38">
      <c r="A67" s="27"/>
      <c r="B67" s="27"/>
      <c r="C67" s="27"/>
      <c r="D67" s="27"/>
      <c r="E67" s="27"/>
      <c r="F67" s="27"/>
      <c r="G67" s="28"/>
      <c r="H67" s="28"/>
      <c r="I67" s="28"/>
      <c r="J67" s="28"/>
      <c r="K67" s="28"/>
      <c r="L67" s="28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41">
        <v>60</v>
      </c>
      <c r="AH67" s="43"/>
      <c r="AI67" s="36"/>
      <c r="AJ67" s="46"/>
      <c r="AK67" s="47"/>
      <c r="AL67" s="27"/>
    </row>
    <row r="68" spans="1:38">
      <c r="A68" s="27"/>
      <c r="B68" s="27"/>
      <c r="C68" s="27"/>
      <c r="D68" s="27"/>
      <c r="E68" s="27"/>
      <c r="F68" s="27"/>
      <c r="G68" s="28"/>
      <c r="H68" s="28"/>
      <c r="I68" s="28"/>
      <c r="J68" s="28"/>
      <c r="K68" s="28"/>
      <c r="L68" s="28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9"/>
      <c r="AH68" s="32"/>
      <c r="AI68" s="32"/>
      <c r="AJ68" s="29"/>
      <c r="AK68" s="29"/>
      <c r="AL68" s="27"/>
    </row>
    <row r="69" spans="1:38">
      <c r="A69" s="27"/>
      <c r="B69" s="27"/>
      <c r="C69" s="27"/>
      <c r="D69" s="27"/>
      <c r="E69" s="27"/>
      <c r="F69" s="27"/>
      <c r="G69" s="28"/>
      <c r="H69" s="28"/>
      <c r="I69" s="28"/>
      <c r="J69" s="28"/>
      <c r="K69" s="28"/>
      <c r="L69" s="28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9"/>
      <c r="AH69" s="32"/>
      <c r="AI69" s="32"/>
      <c r="AJ69" s="29"/>
      <c r="AK69" s="29"/>
      <c r="AL69" s="27"/>
    </row>
    <row r="70" spans="1:38">
      <c r="A70" s="27"/>
      <c r="B70" s="27"/>
      <c r="C70" s="27"/>
      <c r="D70" s="27"/>
      <c r="E70" s="27"/>
      <c r="F70" s="27"/>
      <c r="G70" s="28"/>
      <c r="H70" s="28"/>
      <c r="I70" s="28"/>
      <c r="J70" s="28"/>
      <c r="K70" s="28"/>
      <c r="L70" s="28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</row>
    <row r="71" spans="1:38">
      <c r="A71" s="27"/>
      <c r="B71" s="27"/>
      <c r="C71" s="27"/>
      <c r="D71" s="27"/>
      <c r="E71" s="27"/>
      <c r="F71" s="27"/>
      <c r="G71" s="28"/>
      <c r="H71" s="28"/>
      <c r="I71" s="28"/>
      <c r="J71" s="28"/>
      <c r="K71" s="28"/>
      <c r="L71" s="28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</row>
  </sheetData>
  <sheetProtection formatCells="0"/>
  <mergeCells count="79"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  <mergeCell ref="K49:K50"/>
    <mergeCell ref="J49:J50"/>
    <mergeCell ref="I49:I50"/>
    <mergeCell ref="H49:H50"/>
    <mergeCell ref="G49:G50"/>
    <mergeCell ref="K53:K54"/>
    <mergeCell ref="J53:J54"/>
    <mergeCell ref="I53:I54"/>
    <mergeCell ref="H53:H54"/>
    <mergeCell ref="G53:G54"/>
    <mergeCell ref="AC52:AC53"/>
    <mergeCell ref="Z54:Z55"/>
    <mergeCell ref="AC54:AC55"/>
    <mergeCell ref="Z52:Z53"/>
    <mergeCell ref="AA52:AB53"/>
    <mergeCell ref="AA54:AB55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Z50:Z51"/>
    <mergeCell ref="AC50:AC51"/>
    <mergeCell ref="AA50:AB51"/>
    <mergeCell ref="AD48:AE49"/>
    <mergeCell ref="AD50:AE51"/>
    <mergeCell ref="W34:AE36"/>
    <mergeCell ref="R34:V36"/>
    <mergeCell ref="T8:U8"/>
    <mergeCell ref="T9:U9"/>
    <mergeCell ref="Q9:S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B3:D3"/>
    <mergeCell ref="A8:D9"/>
    <mergeCell ref="E8:L9"/>
    <mergeCell ref="O8:P8"/>
    <mergeCell ref="O9:P9"/>
    <mergeCell ref="Z3:AA3"/>
    <mergeCell ref="AC8:AE8"/>
    <mergeCell ref="AC9:AE9"/>
    <mergeCell ref="Q8:S8"/>
    <mergeCell ref="AC3:AD3"/>
    <mergeCell ref="Z8:AB8"/>
    <mergeCell ref="Z9:AB9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4"/>
  <sheetViews>
    <sheetView view="pageBreakPreview" zoomScaleNormal="100" zoomScaleSheetLayoutView="100" workbookViewId="0">
      <selection activeCell="AE11" sqref="AE11"/>
    </sheetView>
  </sheetViews>
  <sheetFormatPr defaultRowHeight="13.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>
      <c r="A1" s="131"/>
      <c r="B1" s="131"/>
      <c r="C1" s="137"/>
      <c r="D1" s="137"/>
      <c r="E1" s="137"/>
      <c r="F1" s="137"/>
      <c r="G1" s="131"/>
      <c r="H1" s="138"/>
      <c r="I1" s="138"/>
      <c r="J1" s="138"/>
      <c r="K1" s="138"/>
      <c r="L1" s="138"/>
      <c r="M1" s="138"/>
      <c r="N1" s="131"/>
      <c r="O1" s="131"/>
      <c r="P1" s="131"/>
      <c r="Q1" s="131"/>
      <c r="R1" s="131"/>
      <c r="S1" s="131"/>
      <c r="T1" s="131"/>
      <c r="U1" s="131"/>
    </row>
    <row r="2" spans="1:22" ht="16.5" customHeight="1">
      <c r="A2" s="170" t="str">
        <f>おもて!AJ8</f>
        <v>井口 智稀</v>
      </c>
      <c r="B2" s="170"/>
      <c r="C2" s="177"/>
      <c r="D2" s="139"/>
      <c r="E2" s="139"/>
      <c r="F2" s="139"/>
      <c r="G2" s="131"/>
      <c r="H2" s="138"/>
      <c r="I2" s="138"/>
      <c r="J2" s="138"/>
      <c r="K2" s="138"/>
      <c r="L2" s="138"/>
      <c r="M2" s="138"/>
      <c r="N2" s="131"/>
      <c r="O2" s="131"/>
      <c r="P2" s="131"/>
      <c r="Q2" s="131"/>
      <c r="R2" s="131"/>
      <c r="S2" s="131"/>
      <c r="T2" s="131"/>
      <c r="U2" s="131"/>
    </row>
    <row r="3" spans="1:22" ht="57" customHeight="1">
      <c r="A3" s="131"/>
      <c r="B3" s="131"/>
      <c r="C3" s="131"/>
      <c r="D3" s="131"/>
      <c r="E3" s="131"/>
      <c r="F3" s="131"/>
      <c r="G3" s="131"/>
      <c r="H3" s="138"/>
      <c r="I3" s="138"/>
      <c r="J3" s="138"/>
      <c r="K3" s="138"/>
      <c r="L3" s="138"/>
      <c r="M3" s="138"/>
      <c r="N3" s="131"/>
      <c r="O3" s="131"/>
      <c r="P3" s="131"/>
      <c r="Q3" s="131"/>
      <c r="R3" s="131"/>
      <c r="S3" s="131"/>
      <c r="T3" s="178"/>
      <c r="U3" s="178"/>
    </row>
    <row r="4" spans="1:22" ht="19.5" customHeight="1">
      <c r="A4" s="131"/>
      <c r="B4" s="131"/>
      <c r="C4" s="131"/>
      <c r="D4" s="131"/>
      <c r="E4" s="131"/>
      <c r="F4" s="136">
        <f ca="1">IFERROR(データ!$I$55,"")</f>
        <v>0</v>
      </c>
      <c r="G4" s="136">
        <f ca="1">IFERROR(データ!$H$55,"")</f>
        <v>0</v>
      </c>
      <c r="H4" s="136" t="str">
        <f ca="1">IFERROR(データ!$G$55,"")</f>
        <v/>
      </c>
      <c r="I4" s="136" t="str">
        <f ca="1">IFERROR(データ!$F$55,"")</f>
        <v/>
      </c>
      <c r="J4" s="136" t="str">
        <f ca="1">IFERROR(データ!$E$55,"")</f>
        <v/>
      </c>
      <c r="K4" s="172" t="str">
        <f ca="1">IFERROR(データ!$D$55,"")</f>
        <v/>
      </c>
      <c r="L4" s="172"/>
      <c r="M4" s="138"/>
      <c r="N4" s="131"/>
      <c r="O4" s="136">
        <f ca="1">IFERROR(データ!$I$60,"")</f>
        <v>0</v>
      </c>
      <c r="P4" s="136">
        <f ca="1">IFERROR(データ!$H$60,"")</f>
        <v>0</v>
      </c>
      <c r="Q4" s="136" t="str">
        <f ca="1">IFERROR(データ!$G$60,"")</f>
        <v/>
      </c>
      <c r="R4" s="136" t="str">
        <f ca="1">IFERROR(データ!$F$60,"")</f>
        <v/>
      </c>
      <c r="S4" s="136" t="str">
        <f ca="1">IFERROR(データ!$E$60,"")</f>
        <v/>
      </c>
      <c r="T4" s="172" t="str">
        <f ca="1">IFERROR(データ!$D$60,"")</f>
        <v/>
      </c>
      <c r="U4" s="173"/>
    </row>
    <row r="5" spans="1:22" ht="19.5" customHeight="1">
      <c r="A5" s="131"/>
      <c r="B5" s="131"/>
      <c r="C5" s="131"/>
      <c r="D5" s="131"/>
      <c r="E5" s="131"/>
      <c r="F5" s="136" t="str">
        <f ca="1">IFERROR(データ!$I$56,"")</f>
        <v>〇</v>
      </c>
      <c r="G5" s="136">
        <f ca="1">IFERROR(データ!$H$56,"")</f>
        <v>0</v>
      </c>
      <c r="H5" s="136" t="str">
        <f ca="1">IFERROR(データ!$G$56,"")</f>
        <v/>
      </c>
      <c r="I5" s="136" t="str">
        <f ca="1">IFERROR(データ!$F$56,"")</f>
        <v/>
      </c>
      <c r="J5" s="136" t="str">
        <f ca="1">IFERROR(データ!$E$56,"")</f>
        <v/>
      </c>
      <c r="K5" s="172" t="str">
        <f ca="1">IFERROR(データ!$D$56,"")</f>
        <v/>
      </c>
      <c r="L5" s="172"/>
      <c r="M5" s="138"/>
      <c r="N5" s="131"/>
      <c r="O5" s="136">
        <f ca="1">IFERROR(データ!$I$61,"")</f>
        <v>0</v>
      </c>
      <c r="P5" s="136">
        <f ca="1">IFERROR(データ!$H$61,"")</f>
        <v>0</v>
      </c>
      <c r="Q5" s="136" t="str">
        <f ca="1">IFERROR(データ!$G$61,"")</f>
        <v/>
      </c>
      <c r="R5" s="136" t="str">
        <f ca="1">IFERROR(データ!$F$61,"")</f>
        <v/>
      </c>
      <c r="S5" s="136" t="str">
        <f ca="1">IFERROR(データ!$E$61,"")</f>
        <v/>
      </c>
      <c r="T5" s="172" t="str">
        <f ca="1">IFERROR(データ!$D$61,"")</f>
        <v/>
      </c>
      <c r="U5" s="173"/>
    </row>
    <row r="6" spans="1:22" ht="19.5" customHeight="1">
      <c r="A6" s="133"/>
      <c r="B6" s="133"/>
      <c r="C6" s="133"/>
      <c r="D6" s="133"/>
      <c r="E6" s="133"/>
      <c r="F6" s="136">
        <f ca="1">IFERROR(データ!$I$57,"")</f>
        <v>0</v>
      </c>
      <c r="G6" s="136">
        <f ca="1">IFERROR(データ!$H$57,"")</f>
        <v>0</v>
      </c>
      <c r="H6" s="136" t="str">
        <f ca="1">IFERROR(データ!$G$57,"")</f>
        <v/>
      </c>
      <c r="I6" s="136" t="str">
        <f ca="1">IFERROR(データ!$F$57,"")</f>
        <v/>
      </c>
      <c r="J6" s="136" t="str">
        <f ca="1">IFERROR(データ!$E$57,"")</f>
        <v/>
      </c>
      <c r="K6" s="172" t="str">
        <f ca="1">IFERROR(データ!$D$57,"")</f>
        <v/>
      </c>
      <c r="L6" s="172"/>
      <c r="M6" s="138"/>
      <c r="N6" s="131"/>
      <c r="O6" s="136">
        <f ca="1">IFERROR(データ!$I$62,"")</f>
        <v>0</v>
      </c>
      <c r="P6" s="136">
        <f ca="1">IFERROR(データ!$H$62,"")</f>
        <v>0</v>
      </c>
      <c r="Q6" s="136" t="str">
        <f ca="1">IFERROR(データ!$G$62,"")</f>
        <v/>
      </c>
      <c r="R6" s="136" t="str">
        <f ca="1">IFERROR(データ!$F$62,"")</f>
        <v/>
      </c>
      <c r="S6" s="136" t="str">
        <f ca="1">IFERROR(データ!$E$62,"")</f>
        <v/>
      </c>
      <c r="T6" s="172" t="str">
        <f ca="1">IFERROR(データ!$D$62,"")</f>
        <v/>
      </c>
      <c r="U6" s="173"/>
    </row>
    <row r="7" spans="1:22" ht="19.5" customHeight="1">
      <c r="A7" s="133"/>
      <c r="B7" s="133"/>
      <c r="C7" s="133"/>
      <c r="D7" s="133"/>
      <c r="E7" s="133"/>
      <c r="F7" s="136">
        <f ca="1">IFERROR(データ!$I$58,"")</f>
        <v>0</v>
      </c>
      <c r="G7" s="136">
        <f ca="1">IFERROR(データ!$H$58,"")</f>
        <v>0</v>
      </c>
      <c r="H7" s="136" t="str">
        <f ca="1">IFERROR(データ!$G$58,"")</f>
        <v/>
      </c>
      <c r="I7" s="136" t="str">
        <f ca="1">IFERROR(データ!$F$58,"")</f>
        <v/>
      </c>
      <c r="J7" s="136" t="str">
        <f ca="1">IFERROR(データ!$E$58,"")</f>
        <v/>
      </c>
      <c r="K7" s="172" t="str">
        <f ca="1">IFERROR(データ!$D$58,"")</f>
        <v/>
      </c>
      <c r="L7" s="172"/>
      <c r="M7" s="138"/>
      <c r="N7" s="131"/>
      <c r="O7" s="136">
        <f ca="1">IFERROR(データ!$I$63,"")</f>
        <v>0</v>
      </c>
      <c r="P7" s="136">
        <f ca="1">IFERROR(データ!$H$63,"")</f>
        <v>0</v>
      </c>
      <c r="Q7" s="136" t="str">
        <f ca="1">IFERROR(データ!$G$63,"")</f>
        <v/>
      </c>
      <c r="R7" s="136" t="str">
        <f ca="1">IFERROR(データ!$F$63,"")</f>
        <v/>
      </c>
      <c r="S7" s="136" t="str">
        <f ca="1">IFERROR(データ!$E$63,"")</f>
        <v/>
      </c>
      <c r="T7" s="172" t="str">
        <f ca="1">IFERROR(データ!$D$63,"")</f>
        <v/>
      </c>
      <c r="U7" s="173"/>
    </row>
    <row r="8" spans="1:22" ht="19.5" customHeight="1">
      <c r="A8" s="133"/>
      <c r="B8" s="133"/>
      <c r="C8" s="133"/>
      <c r="D8" s="133"/>
      <c r="E8" s="133"/>
      <c r="F8" s="135">
        <f ca="1">IFERROR(データ!$I$59,"")</f>
        <v>0</v>
      </c>
      <c r="G8" s="135">
        <f ca="1">IFERROR(データ!$H$59,"")</f>
        <v>0</v>
      </c>
      <c r="H8" s="135" t="str">
        <f ca="1">IFERROR(データ!$G$59,"")</f>
        <v/>
      </c>
      <c r="I8" s="136" t="str">
        <f ca="1">IFERROR(データ!$F$59,"")</f>
        <v/>
      </c>
      <c r="J8" s="136" t="str">
        <f ca="1">IFERROR(データ!$E$59,"")</f>
        <v/>
      </c>
      <c r="K8" s="172" t="str">
        <f ca="1">IFERROR(データ!$D$59,"")</f>
        <v/>
      </c>
      <c r="L8" s="173"/>
      <c r="M8" s="138"/>
      <c r="N8" s="131"/>
      <c r="O8" s="136">
        <f ca="1">IFERROR(データ!$I$64,"")</f>
        <v>0</v>
      </c>
      <c r="P8" s="136">
        <f ca="1">IFERROR(データ!$H$64,"")</f>
        <v>0</v>
      </c>
      <c r="Q8" s="136" t="str">
        <f ca="1">IFERROR(データ!$G$64,"")</f>
        <v/>
      </c>
      <c r="R8" s="136" t="str">
        <f ca="1">IFERROR(データ!$F$64,"")</f>
        <v/>
      </c>
      <c r="S8" s="136" t="str">
        <f ca="1">IFERROR(データ!$E$64,"")</f>
        <v/>
      </c>
      <c r="T8" s="172" t="str">
        <f ca="1">IFERROR(データ!$D$64,"")</f>
        <v/>
      </c>
      <c r="U8" s="173"/>
    </row>
    <row r="9" spans="1:22" ht="16.5" customHeight="1">
      <c r="A9" s="133"/>
      <c r="B9" s="133"/>
      <c r="C9" s="133"/>
      <c r="D9" s="133"/>
      <c r="E9" s="133"/>
      <c r="F9" s="135"/>
      <c r="G9" s="135"/>
      <c r="H9" s="135"/>
      <c r="I9" s="136"/>
      <c r="J9" s="136"/>
      <c r="K9" s="136"/>
      <c r="L9" s="135"/>
      <c r="M9" s="138"/>
      <c r="N9" s="131"/>
      <c r="O9" s="136"/>
      <c r="P9" s="136"/>
      <c r="Q9" s="136"/>
      <c r="R9" s="136"/>
      <c r="S9" s="136"/>
      <c r="T9" s="136"/>
      <c r="U9" s="135"/>
    </row>
    <row r="10" spans="1:22" ht="16.5" customHeight="1">
      <c r="A10" s="133"/>
      <c r="B10" s="133"/>
      <c r="C10" s="133"/>
      <c r="D10" s="133"/>
      <c r="E10" s="133"/>
      <c r="F10" s="140">
        <f ca="1">IFERROR(データ!$I$59,"")</f>
        <v>0</v>
      </c>
      <c r="G10" s="140">
        <f ca="1">IFERROR(データ!$H$59,"")</f>
        <v>0</v>
      </c>
      <c r="H10" s="138"/>
      <c r="I10" s="138"/>
      <c r="J10" s="138"/>
      <c r="K10" s="138"/>
      <c r="L10" s="138"/>
      <c r="M10" s="138"/>
      <c r="N10" s="131"/>
      <c r="O10" s="141"/>
      <c r="P10" s="142"/>
      <c r="Q10" s="139"/>
      <c r="R10" s="143"/>
      <c r="S10" s="143"/>
      <c r="T10" s="176"/>
      <c r="U10" s="176"/>
    </row>
    <row r="11" spans="1:22" ht="80.099999999999994" customHeight="1">
      <c r="A11" s="174" t="str">
        <f ca="1">IFERROR(データ!$I$65,"")</f>
        <v>始めは、問題文を思い違えてしまうことが多かったが、次第に読解力がついてきた。漢字や計算といった基礎的な力も、徐々に身についた。最後の全国模試では、国語で百点を取ることができた。走ることが好きで、体育祭では、かけっこで学年一位になり、表彰された。絵を描いたり文を書いたりすることが得意で、じっくりと取り組んだ。読書感想文コンクールで入選、書道コンクールで銅賞を受賞した。
日本漢字能力検定１０級/実用数学技能検定11級合格</v>
      </c>
      <c r="B11" s="174"/>
      <c r="C11" s="175"/>
      <c r="D11" s="175"/>
      <c r="E11" s="175"/>
      <c r="F11" s="175"/>
      <c r="G11" s="175"/>
      <c r="H11" s="175"/>
      <c r="I11" s="175"/>
      <c r="J11" s="175"/>
      <c r="K11" s="175"/>
      <c r="L11" s="134"/>
      <c r="M11" s="134"/>
      <c r="N11" s="174" t="str">
        <f ca="1">IFERROR(データ!$F$65,"")</f>
        <v/>
      </c>
      <c r="O11" s="175"/>
      <c r="P11" s="175"/>
      <c r="Q11" s="175"/>
      <c r="R11" s="175"/>
      <c r="S11" s="175"/>
      <c r="T11" s="175"/>
      <c r="U11" s="134"/>
      <c r="V11" s="3"/>
    </row>
    <row r="12" spans="1:22" ht="6" customHeight="1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44"/>
    </row>
    <row r="13" spans="1:22" ht="80.099999999999994" customHeight="1">
      <c r="A13" s="174">
        <f ca="1">IFERROR(データ!$H$65,"")</f>
        <v>0</v>
      </c>
      <c r="B13" s="174"/>
      <c r="C13" s="175"/>
      <c r="D13" s="175"/>
      <c r="E13" s="175"/>
      <c r="F13" s="175"/>
      <c r="G13" s="175"/>
      <c r="H13" s="175"/>
      <c r="I13" s="175"/>
      <c r="J13" s="175"/>
      <c r="K13" s="175"/>
      <c r="L13" s="134"/>
      <c r="M13" s="134"/>
      <c r="N13" s="174" t="str">
        <f ca="1">IFERROR(データ!$E$65,"")</f>
        <v/>
      </c>
      <c r="O13" s="175"/>
      <c r="P13" s="175"/>
      <c r="Q13" s="175"/>
      <c r="R13" s="175"/>
      <c r="S13" s="175"/>
      <c r="T13" s="175"/>
      <c r="U13" s="134"/>
      <c r="V13" s="3"/>
    </row>
    <row r="14" spans="1:22" ht="6" customHeight="1">
      <c r="A14" s="133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44"/>
    </row>
    <row r="15" spans="1:22" ht="80.099999999999994" customHeight="1">
      <c r="A15" s="174" t="str">
        <f ca="1">IFERROR(データ!$G$65,"")</f>
        <v/>
      </c>
      <c r="B15" s="174"/>
      <c r="C15" s="175"/>
      <c r="D15" s="175"/>
      <c r="E15" s="175"/>
      <c r="F15" s="175"/>
      <c r="G15" s="175"/>
      <c r="H15" s="175"/>
      <c r="I15" s="175"/>
      <c r="J15" s="175"/>
      <c r="K15" s="175"/>
      <c r="L15" s="134"/>
      <c r="M15" s="134"/>
      <c r="N15" s="174" t="str">
        <f ca="1">IFERROR(データ!$D$65,"")</f>
        <v/>
      </c>
      <c r="O15" s="175"/>
      <c r="P15" s="175"/>
      <c r="Q15" s="175"/>
      <c r="R15" s="175"/>
      <c r="S15" s="175"/>
      <c r="T15" s="175"/>
      <c r="U15" s="134"/>
      <c r="V15" s="3"/>
    </row>
    <row r="16" spans="1:22" ht="12" customHeight="1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8"/>
      <c r="N16" s="133"/>
      <c r="O16" s="133"/>
      <c r="P16" s="133"/>
      <c r="Q16" s="133"/>
      <c r="R16" s="133"/>
      <c r="S16" s="133"/>
      <c r="T16" s="133"/>
      <c r="U16" s="131"/>
    </row>
    <row r="17" spans="1:22" ht="12" customHeight="1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8"/>
      <c r="N17" s="133"/>
      <c r="O17" s="133"/>
      <c r="P17" s="133"/>
      <c r="Q17" s="133"/>
      <c r="R17" s="133"/>
      <c r="S17" s="133"/>
      <c r="T17" s="133"/>
      <c r="U17" s="131"/>
    </row>
    <row r="18" spans="1:22" ht="23.1" customHeight="1">
      <c r="A18" s="131"/>
      <c r="B18" s="131"/>
      <c r="C18" s="131"/>
      <c r="D18" s="131"/>
      <c r="E18" s="131"/>
      <c r="F18" s="131"/>
      <c r="G18" s="131"/>
      <c r="H18" s="138"/>
      <c r="I18" s="138"/>
      <c r="J18" s="138"/>
      <c r="K18" s="138"/>
      <c r="L18" s="138"/>
      <c r="M18" s="138"/>
      <c r="N18" s="131"/>
      <c r="O18" s="131"/>
      <c r="P18" s="131"/>
      <c r="Q18" s="131"/>
      <c r="R18" s="131"/>
      <c r="S18" s="131"/>
      <c r="T18" s="131"/>
      <c r="U18" s="131"/>
    </row>
    <row r="19" spans="1:22" ht="38.1" customHeight="1">
      <c r="A19" s="131"/>
      <c r="B19" s="145">
        <f ca="1">IFERROR(データ!$I$66,"")</f>
        <v>196</v>
      </c>
      <c r="C19" s="145">
        <f ca="1">IFERROR(データ!$I$67,"")</f>
        <v>2</v>
      </c>
      <c r="D19" s="145">
        <f ca="1">IFERROR(データ!$I$68,"")</f>
        <v>194</v>
      </c>
      <c r="E19" s="170">
        <f ca="1">IFERROR(データ!$I$69,"")</f>
        <v>3</v>
      </c>
      <c r="F19" s="170"/>
      <c r="G19" s="170"/>
      <c r="H19" s="170">
        <f ca="1">IFERROR(データ!$I$70,"")</f>
        <v>191</v>
      </c>
      <c r="I19" s="170"/>
      <c r="J19" s="171" t="str">
        <f ca="1">IFERROR(データ!$I$71,"")</f>
        <v>新型コロナウイルス感染防止のための出席停止（２日）　ほくろ除去手術後の痛みと検診（２日）　家事都合（１日）</v>
      </c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4"/>
    </row>
    <row r="20" spans="1:22" ht="38.1" customHeight="1">
      <c r="A20" s="131"/>
      <c r="B20" s="145">
        <f ca="1">IFERROR(データ!$H$66,"")</f>
        <v>80</v>
      </c>
      <c r="C20" s="145">
        <f ca="1">IFERROR(データ!$H$67,"")</f>
        <v>1</v>
      </c>
      <c r="D20" s="145">
        <f ca="1">IFERROR(データ!$H$68,"")</f>
        <v>79</v>
      </c>
      <c r="E20" s="170">
        <f ca="1">IFERROR(データ!$H$69,"")</f>
        <v>8</v>
      </c>
      <c r="F20" s="170"/>
      <c r="G20" s="170"/>
      <c r="H20" s="170">
        <f ca="1">IFERROR(データ!$H$70,"")</f>
        <v>71</v>
      </c>
      <c r="I20" s="170"/>
      <c r="J20" s="171" t="str">
        <f ca="1">IFERROR(データ!$H$71,"")</f>
        <v>新型コロナウイルス感染防止のための出席停止（１日）　体調不良（２日）　家事都合（６日）</v>
      </c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4"/>
    </row>
    <row r="21" spans="1:22" ht="38.1" customHeight="1">
      <c r="A21" s="131"/>
      <c r="B21" s="145" t="str">
        <f ca="1">IFERROR(データ!$G$66,"")</f>
        <v/>
      </c>
      <c r="C21" s="145" t="str">
        <f ca="1">IFERROR(データ!$G$67,"")</f>
        <v/>
      </c>
      <c r="D21" s="145" t="str">
        <f ca="1">IFERROR(データ!$G$68,"")</f>
        <v/>
      </c>
      <c r="E21" s="170" t="str">
        <f ca="1">IFERROR(データ!$G$69,"")</f>
        <v/>
      </c>
      <c r="F21" s="170"/>
      <c r="G21" s="170"/>
      <c r="H21" s="170" t="str">
        <f ca="1">IFERROR(データ!$G$70,"")</f>
        <v/>
      </c>
      <c r="I21" s="170"/>
      <c r="J21" s="171" t="str">
        <f ca="1">IFERROR(データ!$G$71,"")</f>
        <v/>
      </c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4"/>
    </row>
    <row r="22" spans="1:22" ht="38.1" customHeight="1">
      <c r="A22" s="131"/>
      <c r="B22" s="145" t="str">
        <f ca="1">IFERROR(データ!$F$66,"")</f>
        <v/>
      </c>
      <c r="C22" s="145" t="str">
        <f ca="1">IFERROR(データ!$F$67,"")</f>
        <v/>
      </c>
      <c r="D22" s="145" t="str">
        <f ca="1">IFERROR(データ!$F$68,"")</f>
        <v/>
      </c>
      <c r="E22" s="170" t="str">
        <f ca="1">IFERROR(データ!$F$69,"")</f>
        <v/>
      </c>
      <c r="F22" s="170"/>
      <c r="G22" s="170"/>
      <c r="H22" s="170" t="str">
        <f ca="1">IFERROR(データ!$F$70,"")</f>
        <v/>
      </c>
      <c r="I22" s="170"/>
      <c r="J22" s="171" t="str">
        <f ca="1">IFERROR(データ!$F$71,"")</f>
        <v/>
      </c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4"/>
    </row>
    <row r="23" spans="1:22" ht="38.1" customHeight="1">
      <c r="A23" s="131"/>
      <c r="B23" s="145" t="str">
        <f ca="1">IFERROR(データ!$E$66,"")</f>
        <v/>
      </c>
      <c r="C23" s="145" t="str">
        <f ca="1">IFERROR(データ!$E$67,"")</f>
        <v/>
      </c>
      <c r="D23" s="145" t="str">
        <f ca="1">IFERROR(データ!$E$68,"")</f>
        <v/>
      </c>
      <c r="E23" s="170" t="str">
        <f ca="1">IFERROR(データ!$E$69,"")</f>
        <v/>
      </c>
      <c r="F23" s="170"/>
      <c r="G23" s="170"/>
      <c r="H23" s="170" t="str">
        <f ca="1">IFERROR(データ!$E$70,"")</f>
        <v/>
      </c>
      <c r="I23" s="170"/>
      <c r="J23" s="171" t="str">
        <f ca="1">IFERROR(データ!$E$71,"")</f>
        <v/>
      </c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4"/>
    </row>
    <row r="24" spans="1:22" ht="38.1" customHeight="1">
      <c r="A24" s="131"/>
      <c r="B24" s="145" t="str">
        <f ca="1">IFERROR(データ!$D$66,"")</f>
        <v/>
      </c>
      <c r="C24" s="145" t="str">
        <f ca="1">IFERROR(データ!$D$67,"")</f>
        <v/>
      </c>
      <c r="D24" s="145" t="str">
        <f ca="1">IFERROR(データ!$D$68,"")</f>
        <v/>
      </c>
      <c r="E24" s="170" t="str">
        <f ca="1">IFERROR(データ!$D$69,"")</f>
        <v/>
      </c>
      <c r="F24" s="170"/>
      <c r="G24" s="170"/>
      <c r="H24" s="170" t="str">
        <f ca="1">IFERROR(データ!$D$70,"")</f>
        <v/>
      </c>
      <c r="I24" s="170"/>
      <c r="J24" s="171" t="str">
        <f ca="1">IFERROR(データ!$D$71,"")</f>
        <v/>
      </c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4"/>
    </row>
  </sheetData>
  <mergeCells count="37">
    <mergeCell ref="A2:C2"/>
    <mergeCell ref="T3:U3"/>
    <mergeCell ref="K4:L4"/>
    <mergeCell ref="T4:U4"/>
    <mergeCell ref="K6:L6"/>
    <mergeCell ref="T6:U6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H19:I19"/>
    <mergeCell ref="H20:I20"/>
    <mergeCell ref="J19:U19"/>
    <mergeCell ref="J20:U20"/>
    <mergeCell ref="E19:G19"/>
    <mergeCell ref="E20:G20"/>
    <mergeCell ref="H21:I21"/>
    <mergeCell ref="H22:I22"/>
    <mergeCell ref="J21:U21"/>
    <mergeCell ref="J22:U22"/>
    <mergeCell ref="E21:G21"/>
    <mergeCell ref="E22:G22"/>
    <mergeCell ref="H23:I23"/>
    <mergeCell ref="H24:I24"/>
    <mergeCell ref="J23:U23"/>
    <mergeCell ref="J24:U24"/>
    <mergeCell ref="E23:G23"/>
    <mergeCell ref="E24:G24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74"/>
  <sheetViews>
    <sheetView zoomScale="85" workbookViewId="0">
      <pane xSplit="3" ySplit="4" topLeftCell="D23" activePane="bottomRight" state="frozen"/>
      <selection pane="topRight" activeCell="E1" sqref="E1"/>
      <selection pane="bottomLeft" activeCell="A5" sqref="A5"/>
      <selection pane="bottomRight" activeCell="D4" sqref="D4"/>
    </sheetView>
  </sheetViews>
  <sheetFormatPr defaultRowHeight="13.5"/>
  <cols>
    <col min="1" max="1" width="2.625" style="24" bestFit="1" customWidth="1"/>
    <col min="2" max="2" width="10.5" style="12" customWidth="1"/>
    <col min="3" max="3" width="25.125" style="14" customWidth="1"/>
    <col min="4" max="4" width="26.75" style="13" customWidth="1"/>
    <col min="5" max="9" width="26.625" style="13" customWidth="1"/>
    <col min="10" max="16384" width="9" style="7"/>
  </cols>
  <sheetData>
    <row r="1" spans="1:9">
      <c r="B1" s="58">
        <f>おもて!$A$3-6</f>
        <v>-4</v>
      </c>
      <c r="C1" s="59">
        <f>IF(LEFT($C$3,1)="R",VALUE(MID($C$3,2,2))+2018,VALUE(MID($C$3,2,2))+1988)</f>
        <v>2023</v>
      </c>
      <c r="D1" s="42" t="s">
        <v>15</v>
      </c>
      <c r="E1" s="42" t="s">
        <v>16</v>
      </c>
      <c r="F1" s="42" t="s">
        <v>17</v>
      </c>
      <c r="G1" s="42" t="s">
        <v>18</v>
      </c>
      <c r="H1" s="42" t="s">
        <v>19</v>
      </c>
      <c r="I1" s="42" t="s">
        <v>14</v>
      </c>
    </row>
    <row r="2" spans="1:9" s="5" customFormat="1">
      <c r="A2" s="20"/>
      <c r="B2" s="183" t="s">
        <v>0</v>
      </c>
      <c r="C2" s="66" t="str">
        <f>VLOOKUP(番号,一覧,5,FALSE)</f>
        <v>1522002</v>
      </c>
      <c r="D2" s="50" t="str">
        <f>TEXT($C$1-$B$1,"####")&amp;"小"</f>
        <v>2027小</v>
      </c>
      <c r="E2" s="50" t="str">
        <f>TEXT($C$1-1-$B$1,"####")&amp;"小"</f>
        <v>2026小</v>
      </c>
      <c r="F2" s="57" t="str">
        <f>TEXT($C$1-2-$B$1,"####")&amp;"小"</f>
        <v>2025小</v>
      </c>
      <c r="G2" s="57" t="str">
        <f>TEXT($C$1-3-$B$1,"####")&amp;"小"</f>
        <v>2024小</v>
      </c>
      <c r="H2" s="57" t="str">
        <f>TEXT($C$1-4-$B$1,"####")&amp;"小"</f>
        <v>2023小</v>
      </c>
      <c r="I2" s="57" t="str">
        <f>TEXT($C$1-5-$B$1,"####")&amp;"小"</f>
        <v>2022小</v>
      </c>
    </row>
    <row r="3" spans="1:9" s="5" customFormat="1">
      <c r="A3" s="21"/>
      <c r="B3" s="183"/>
      <c r="C3" s="67" t="str">
        <f>おもて!$A$1&amp;"年度"</f>
        <v>R05年度</v>
      </c>
      <c r="D3" s="52" t="str">
        <f>"'T:\指導要録\小学校印刷用\" &amp; $C$3 &amp; "\"&amp; D$2 &amp;".xlsm'!小"</f>
        <v>'T:\指導要録\小学校印刷用\R05年度\2027小.xlsm'!小</v>
      </c>
      <c r="E3" s="19" t="str">
        <f>"'T:\指導要録\小学校印刷用\" &amp; $C$3 &amp; "\"&amp; E$2 &amp;".xlsm'!小"</f>
        <v>'T:\指導要録\小学校印刷用\R05年度\2026小.xlsm'!小</v>
      </c>
      <c r="F3" s="19" t="str">
        <f t="shared" ref="F3:I3" si="0">"'T:\指導要録\小学校印刷用\" &amp; $C$3 &amp; "\"&amp; F$2 &amp;".xlsm'!小"</f>
        <v>'T:\指導要録\小学校印刷用\R05年度\2025小.xlsm'!小</v>
      </c>
      <c r="G3" s="19" t="str">
        <f t="shared" si="0"/>
        <v>'T:\指導要録\小学校印刷用\R05年度\2024小.xlsm'!小</v>
      </c>
      <c r="H3" s="19" t="str">
        <f t="shared" si="0"/>
        <v>'T:\指導要録\小学校印刷用\R05年度\2023小.xlsm'!小</v>
      </c>
      <c r="I3" s="19" t="str">
        <f t="shared" si="0"/>
        <v>'T:\指導要録\小学校印刷用\R05年度\2022小.xlsm'!小</v>
      </c>
    </row>
    <row r="4" spans="1:9" ht="22.5" customHeight="1">
      <c r="A4" s="22">
        <v>2</v>
      </c>
      <c r="B4" s="189" t="s">
        <v>1</v>
      </c>
      <c r="C4" s="190"/>
      <c r="D4" s="8" t="e">
        <f t="shared" ref="D4:E23" ca="1" si="1">HLOOKUP($C$2,INDIRECT(D$3),$A4,FALSE)</f>
        <v>#REF!</v>
      </c>
      <c r="E4" s="6" t="e">
        <f t="shared" ca="1" si="1"/>
        <v>#REF!</v>
      </c>
      <c r="F4" s="6" t="e">
        <f t="shared" ref="F4:I19" ca="1" si="2">HLOOKUP($C$2,INDIRECT(F$3),$A4,FALSE)</f>
        <v>#REF!</v>
      </c>
      <c r="G4" s="6" t="e">
        <f t="shared" ca="1" si="2"/>
        <v>#REF!</v>
      </c>
      <c r="H4" s="6" t="str">
        <f t="shared" ca="1" si="2"/>
        <v>井口 智稀</v>
      </c>
      <c r="I4" s="6" t="str">
        <f t="shared" ca="1" si="2"/>
        <v>井口 智稀</v>
      </c>
    </row>
    <row r="5" spans="1:9">
      <c r="A5" s="22">
        <v>3</v>
      </c>
      <c r="B5" s="191" t="s">
        <v>21</v>
      </c>
      <c r="C5" s="68" t="s">
        <v>22</v>
      </c>
      <c r="D5" s="53" t="e">
        <f t="shared" ca="1" si="1"/>
        <v>#REF!</v>
      </c>
      <c r="E5" s="53" t="e">
        <f t="shared" ca="1" si="1"/>
        <v>#REF!</v>
      </c>
      <c r="F5" s="53" t="e">
        <f t="shared" ca="1" si="2"/>
        <v>#REF!</v>
      </c>
      <c r="G5" s="53" t="e">
        <f t="shared" ca="1" si="2"/>
        <v>#REF!</v>
      </c>
      <c r="H5" s="53">
        <f t="shared" ca="1" si="2"/>
        <v>0</v>
      </c>
      <c r="I5" s="53" t="str">
        <f t="shared" ca="1" si="2"/>
        <v>A</v>
      </c>
    </row>
    <row r="6" spans="1:9">
      <c r="A6" s="22">
        <v>4</v>
      </c>
      <c r="B6" s="192"/>
      <c r="C6" s="69" t="s">
        <v>23</v>
      </c>
      <c r="D6" s="54" t="e">
        <f t="shared" ca="1" si="1"/>
        <v>#REF!</v>
      </c>
      <c r="E6" s="54" t="e">
        <f t="shared" ca="1" si="1"/>
        <v>#REF!</v>
      </c>
      <c r="F6" s="54" t="e">
        <f t="shared" ca="1" si="2"/>
        <v>#REF!</v>
      </c>
      <c r="G6" s="54" t="e">
        <f t="shared" ca="1" si="2"/>
        <v>#REF!</v>
      </c>
      <c r="H6" s="54">
        <f t="shared" ca="1" si="2"/>
        <v>0</v>
      </c>
      <c r="I6" s="54" t="str">
        <f t="shared" ca="1" si="2"/>
        <v>B</v>
      </c>
    </row>
    <row r="7" spans="1:9">
      <c r="A7" s="22">
        <v>5</v>
      </c>
      <c r="B7" s="192"/>
      <c r="C7" s="69" t="s">
        <v>24</v>
      </c>
      <c r="D7" s="54" t="e">
        <f t="shared" ca="1" si="1"/>
        <v>#REF!</v>
      </c>
      <c r="E7" s="54" t="e">
        <f t="shared" ca="1" si="1"/>
        <v>#REF!</v>
      </c>
      <c r="F7" s="54" t="e">
        <f t="shared" ca="1" si="2"/>
        <v>#REF!</v>
      </c>
      <c r="G7" s="54" t="e">
        <f t="shared" ca="1" si="2"/>
        <v>#REF!</v>
      </c>
      <c r="H7" s="54">
        <f t="shared" ca="1" si="2"/>
        <v>0</v>
      </c>
      <c r="I7" s="54" t="str">
        <f t="shared" ca="1" si="2"/>
        <v>A</v>
      </c>
    </row>
    <row r="8" spans="1:9">
      <c r="A8" s="22">
        <v>6</v>
      </c>
      <c r="B8" s="193"/>
      <c r="C8" s="70" t="s">
        <v>25</v>
      </c>
      <c r="D8" s="55" t="e">
        <f t="shared" ca="1" si="1"/>
        <v>#REF!</v>
      </c>
      <c r="E8" s="55" t="e">
        <f t="shared" ca="1" si="1"/>
        <v>#REF!</v>
      </c>
      <c r="F8" s="55" t="e">
        <f t="shared" ca="1" si="2"/>
        <v>#REF!</v>
      </c>
      <c r="G8" s="55" t="e">
        <f t="shared" ca="1" si="2"/>
        <v>#REF!</v>
      </c>
      <c r="H8" s="55">
        <f t="shared" ca="1" si="2"/>
        <v>0</v>
      </c>
      <c r="I8" s="55">
        <f t="shared" ca="1" si="2"/>
        <v>0</v>
      </c>
    </row>
    <row r="9" spans="1:9">
      <c r="A9" s="22">
        <v>7</v>
      </c>
      <c r="B9" s="185" t="s">
        <v>26</v>
      </c>
      <c r="C9" s="68" t="s">
        <v>22</v>
      </c>
      <c r="D9" s="53" t="e">
        <f t="shared" ca="1" si="1"/>
        <v>#REF!</v>
      </c>
      <c r="E9" s="53" t="e">
        <f t="shared" ca="1" si="1"/>
        <v>#REF!</v>
      </c>
      <c r="F9" s="53" t="e">
        <f t="shared" ca="1" si="2"/>
        <v>#REF!</v>
      </c>
      <c r="G9" s="53" t="e">
        <f t="shared" ca="1" si="2"/>
        <v>#REF!</v>
      </c>
      <c r="H9" s="71">
        <f t="shared" ca="1" si="2"/>
        <v>0</v>
      </c>
      <c r="I9" s="71">
        <f t="shared" ca="1" si="2"/>
        <v>0</v>
      </c>
    </row>
    <row r="10" spans="1:9">
      <c r="A10" s="22">
        <v>8</v>
      </c>
      <c r="B10" s="184"/>
      <c r="C10" s="69" t="s">
        <v>23</v>
      </c>
      <c r="D10" s="54" t="e">
        <f t="shared" ca="1" si="1"/>
        <v>#REF!</v>
      </c>
      <c r="E10" s="54" t="e">
        <f t="shared" ca="1" si="1"/>
        <v>#REF!</v>
      </c>
      <c r="F10" s="54" t="e">
        <f t="shared" ca="1" si="2"/>
        <v>#REF!</v>
      </c>
      <c r="G10" s="54" t="e">
        <f t="shared" ca="1" si="2"/>
        <v>#REF!</v>
      </c>
      <c r="H10" s="72">
        <f t="shared" ca="1" si="2"/>
        <v>0</v>
      </c>
      <c r="I10" s="72">
        <f t="shared" ca="1" si="2"/>
        <v>0</v>
      </c>
    </row>
    <row r="11" spans="1:9">
      <c r="A11" s="22">
        <v>9</v>
      </c>
      <c r="B11" s="184"/>
      <c r="C11" s="69" t="s">
        <v>24</v>
      </c>
      <c r="D11" s="54" t="e">
        <f t="shared" ca="1" si="1"/>
        <v>#REF!</v>
      </c>
      <c r="E11" s="54" t="e">
        <f t="shared" ca="1" si="1"/>
        <v>#REF!</v>
      </c>
      <c r="F11" s="54" t="e">
        <f t="shared" ca="1" si="2"/>
        <v>#REF!</v>
      </c>
      <c r="G11" s="54" t="e">
        <f t="shared" ca="1" si="2"/>
        <v>#REF!</v>
      </c>
      <c r="H11" s="72">
        <f t="shared" ca="1" si="2"/>
        <v>0</v>
      </c>
      <c r="I11" s="72">
        <f t="shared" ca="1" si="2"/>
        <v>0</v>
      </c>
    </row>
    <row r="12" spans="1:9">
      <c r="A12" s="22">
        <v>10</v>
      </c>
      <c r="B12" s="184"/>
      <c r="C12" s="70" t="s">
        <v>25</v>
      </c>
      <c r="D12" s="55" t="e">
        <f t="shared" ca="1" si="1"/>
        <v>#REF!</v>
      </c>
      <c r="E12" s="55" t="e">
        <f t="shared" ca="1" si="1"/>
        <v>#REF!</v>
      </c>
      <c r="F12" s="55" t="e">
        <f t="shared" ca="1" si="2"/>
        <v>#REF!</v>
      </c>
      <c r="G12" s="55" t="e">
        <f t="shared" ca="1" si="2"/>
        <v>#REF!</v>
      </c>
      <c r="H12" s="25">
        <f t="shared" ca="1" si="2"/>
        <v>0</v>
      </c>
      <c r="I12" s="25">
        <f t="shared" ca="1" si="2"/>
        <v>0</v>
      </c>
    </row>
    <row r="13" spans="1:9">
      <c r="A13" s="22">
        <v>11</v>
      </c>
      <c r="B13" s="184" t="s">
        <v>27</v>
      </c>
      <c r="C13" s="68" t="s">
        <v>22</v>
      </c>
      <c r="D13" s="53" t="e">
        <f t="shared" ca="1" si="1"/>
        <v>#REF!</v>
      </c>
      <c r="E13" s="53" t="e">
        <f t="shared" ca="1" si="1"/>
        <v>#REF!</v>
      </c>
      <c r="F13" s="53" t="e">
        <f t="shared" ca="1" si="2"/>
        <v>#REF!</v>
      </c>
      <c r="G13" s="53" t="e">
        <f t="shared" ca="1" si="2"/>
        <v>#REF!</v>
      </c>
      <c r="H13" s="53">
        <f t="shared" ca="1" si="2"/>
        <v>0</v>
      </c>
      <c r="I13" s="53" t="str">
        <f t="shared" ca="1" si="2"/>
        <v>A</v>
      </c>
    </row>
    <row r="14" spans="1:9">
      <c r="A14" s="22">
        <v>12</v>
      </c>
      <c r="B14" s="184"/>
      <c r="C14" s="69" t="s">
        <v>23</v>
      </c>
      <c r="D14" s="54" t="e">
        <f t="shared" ca="1" si="1"/>
        <v>#REF!</v>
      </c>
      <c r="E14" s="54" t="e">
        <f t="shared" ca="1" si="1"/>
        <v>#REF!</v>
      </c>
      <c r="F14" s="54" t="e">
        <f t="shared" ca="1" si="2"/>
        <v>#REF!</v>
      </c>
      <c r="G14" s="54" t="e">
        <f t="shared" ca="1" si="2"/>
        <v>#REF!</v>
      </c>
      <c r="H14" s="54">
        <f t="shared" ca="1" si="2"/>
        <v>0</v>
      </c>
      <c r="I14" s="54" t="str">
        <f t="shared" ca="1" si="2"/>
        <v>B</v>
      </c>
    </row>
    <row r="15" spans="1:9">
      <c r="A15" s="22">
        <v>13</v>
      </c>
      <c r="B15" s="184"/>
      <c r="C15" s="69" t="s">
        <v>24</v>
      </c>
      <c r="D15" s="54" t="e">
        <f t="shared" ca="1" si="1"/>
        <v>#REF!</v>
      </c>
      <c r="E15" s="54" t="e">
        <f t="shared" ca="1" si="1"/>
        <v>#REF!</v>
      </c>
      <c r="F15" s="54" t="e">
        <f t="shared" ca="1" si="2"/>
        <v>#REF!</v>
      </c>
      <c r="G15" s="54" t="e">
        <f t="shared" ca="1" si="2"/>
        <v>#REF!</v>
      </c>
      <c r="H15" s="54">
        <f t="shared" ca="1" si="2"/>
        <v>0</v>
      </c>
      <c r="I15" s="54" t="str">
        <f t="shared" ca="1" si="2"/>
        <v>A</v>
      </c>
    </row>
    <row r="16" spans="1:9">
      <c r="A16" s="22">
        <v>14</v>
      </c>
      <c r="B16" s="184"/>
      <c r="C16" s="70" t="s">
        <v>25</v>
      </c>
      <c r="D16" s="55" t="e">
        <f t="shared" ca="1" si="1"/>
        <v>#REF!</v>
      </c>
      <c r="E16" s="55" t="e">
        <f t="shared" ca="1" si="1"/>
        <v>#REF!</v>
      </c>
      <c r="F16" s="55" t="e">
        <f t="shared" ca="1" si="2"/>
        <v>#REF!</v>
      </c>
      <c r="G16" s="55" t="e">
        <f t="shared" ca="1" si="2"/>
        <v>#REF!</v>
      </c>
      <c r="H16" s="55">
        <f t="shared" ca="1" si="2"/>
        <v>0</v>
      </c>
      <c r="I16" s="55">
        <f t="shared" ca="1" si="2"/>
        <v>0</v>
      </c>
    </row>
    <row r="17" spans="1:9">
      <c r="A17" s="22">
        <v>15</v>
      </c>
      <c r="B17" s="185" t="s">
        <v>28</v>
      </c>
      <c r="C17" s="68" t="s">
        <v>22</v>
      </c>
      <c r="D17" s="53" t="e">
        <f t="shared" ca="1" si="1"/>
        <v>#REF!</v>
      </c>
      <c r="E17" s="53" t="e">
        <f t="shared" ca="1" si="1"/>
        <v>#REF!</v>
      </c>
      <c r="F17" s="53" t="e">
        <f t="shared" ca="1" si="2"/>
        <v>#REF!</v>
      </c>
      <c r="G17" s="53" t="e">
        <f t="shared" ca="1" si="2"/>
        <v>#REF!</v>
      </c>
      <c r="H17" s="71">
        <f t="shared" ca="1" si="2"/>
        <v>0</v>
      </c>
      <c r="I17" s="71">
        <f t="shared" ca="1" si="2"/>
        <v>0</v>
      </c>
    </row>
    <row r="18" spans="1:9">
      <c r="A18" s="22">
        <v>16</v>
      </c>
      <c r="B18" s="184"/>
      <c r="C18" s="69" t="s">
        <v>23</v>
      </c>
      <c r="D18" s="54" t="e">
        <f t="shared" ca="1" si="1"/>
        <v>#REF!</v>
      </c>
      <c r="E18" s="54" t="e">
        <f t="shared" ca="1" si="1"/>
        <v>#REF!</v>
      </c>
      <c r="F18" s="54" t="e">
        <f t="shared" ca="1" si="2"/>
        <v>#REF!</v>
      </c>
      <c r="G18" s="54" t="e">
        <f t="shared" ca="1" si="2"/>
        <v>#REF!</v>
      </c>
      <c r="H18" s="72">
        <f t="shared" ca="1" si="2"/>
        <v>0</v>
      </c>
      <c r="I18" s="72">
        <f t="shared" ca="1" si="2"/>
        <v>0</v>
      </c>
    </row>
    <row r="19" spans="1:9">
      <c r="A19" s="22">
        <v>17</v>
      </c>
      <c r="B19" s="184"/>
      <c r="C19" s="69" t="s">
        <v>24</v>
      </c>
      <c r="D19" s="54" t="e">
        <f t="shared" ca="1" si="1"/>
        <v>#REF!</v>
      </c>
      <c r="E19" s="54" t="e">
        <f t="shared" ca="1" si="1"/>
        <v>#REF!</v>
      </c>
      <c r="F19" s="54" t="e">
        <f t="shared" ca="1" si="2"/>
        <v>#REF!</v>
      </c>
      <c r="G19" s="54" t="e">
        <f t="shared" ca="1" si="2"/>
        <v>#REF!</v>
      </c>
      <c r="H19" s="72">
        <f t="shared" ca="1" si="2"/>
        <v>0</v>
      </c>
      <c r="I19" s="72">
        <f t="shared" ca="1" si="2"/>
        <v>0</v>
      </c>
    </row>
    <row r="20" spans="1:9">
      <c r="A20" s="22">
        <v>18</v>
      </c>
      <c r="B20" s="184"/>
      <c r="C20" s="70" t="s">
        <v>25</v>
      </c>
      <c r="D20" s="55" t="e">
        <f t="shared" ca="1" si="1"/>
        <v>#REF!</v>
      </c>
      <c r="E20" s="55" t="e">
        <f t="shared" ca="1" si="1"/>
        <v>#REF!</v>
      </c>
      <c r="F20" s="55" t="e">
        <f t="shared" ref="F20:I35" ca="1" si="3">HLOOKUP($C$2,INDIRECT(F$3),$A20,FALSE)</f>
        <v>#REF!</v>
      </c>
      <c r="G20" s="55" t="e">
        <f t="shared" ca="1" si="3"/>
        <v>#REF!</v>
      </c>
      <c r="H20" s="25">
        <f t="shared" ca="1" si="3"/>
        <v>0</v>
      </c>
      <c r="I20" s="25">
        <f t="shared" ca="1" si="3"/>
        <v>0</v>
      </c>
    </row>
    <row r="21" spans="1:9">
      <c r="A21" s="22">
        <v>19</v>
      </c>
      <c r="B21" s="185" t="s">
        <v>29</v>
      </c>
      <c r="C21" s="68" t="s">
        <v>22</v>
      </c>
      <c r="D21" s="71" t="e">
        <f t="shared" ca="1" si="1"/>
        <v>#REF!</v>
      </c>
      <c r="E21" s="71" t="e">
        <f t="shared" ca="1" si="1"/>
        <v>#REF!</v>
      </c>
      <c r="F21" s="71" t="e">
        <f t="shared" ca="1" si="3"/>
        <v>#REF!</v>
      </c>
      <c r="G21" s="71" t="e">
        <f t="shared" ca="1" si="3"/>
        <v>#REF!</v>
      </c>
      <c r="H21" s="53">
        <f t="shared" ca="1" si="3"/>
        <v>0</v>
      </c>
      <c r="I21" s="53" t="str">
        <f t="shared" ca="1" si="3"/>
        <v>B</v>
      </c>
    </row>
    <row r="22" spans="1:9">
      <c r="A22" s="22">
        <v>20</v>
      </c>
      <c r="B22" s="184"/>
      <c r="C22" s="69" t="s">
        <v>23</v>
      </c>
      <c r="D22" s="72" t="e">
        <f t="shared" ca="1" si="1"/>
        <v>#REF!</v>
      </c>
      <c r="E22" s="72" t="e">
        <f t="shared" ca="1" si="1"/>
        <v>#REF!</v>
      </c>
      <c r="F22" s="72" t="e">
        <f t="shared" ca="1" si="3"/>
        <v>#REF!</v>
      </c>
      <c r="G22" s="72" t="e">
        <f t="shared" ca="1" si="3"/>
        <v>#REF!</v>
      </c>
      <c r="H22" s="54">
        <f t="shared" ca="1" si="3"/>
        <v>0</v>
      </c>
      <c r="I22" s="54" t="str">
        <f t="shared" ca="1" si="3"/>
        <v>A</v>
      </c>
    </row>
    <row r="23" spans="1:9">
      <c r="A23" s="22">
        <v>21</v>
      </c>
      <c r="B23" s="184"/>
      <c r="C23" s="101" t="s">
        <v>24</v>
      </c>
      <c r="D23" s="102" t="e">
        <f t="shared" ca="1" si="1"/>
        <v>#REF!</v>
      </c>
      <c r="E23" s="102" t="e">
        <f t="shared" ca="1" si="1"/>
        <v>#REF!</v>
      </c>
      <c r="F23" s="102" t="e">
        <f t="shared" ca="1" si="3"/>
        <v>#REF!</v>
      </c>
      <c r="G23" s="102" t="e">
        <f t="shared" ca="1" si="3"/>
        <v>#REF!</v>
      </c>
      <c r="H23" s="103">
        <f t="shared" ca="1" si="3"/>
        <v>0</v>
      </c>
      <c r="I23" s="103" t="str">
        <f t="shared" ca="1" si="3"/>
        <v>A</v>
      </c>
    </row>
    <row r="24" spans="1:9">
      <c r="A24" s="22">
        <v>22</v>
      </c>
      <c r="B24" s="184"/>
      <c r="C24" s="104" t="s">
        <v>30</v>
      </c>
      <c r="D24" s="25" t="e">
        <f t="shared" ref="D24:E43" ca="1" si="4">HLOOKUP($C$2,INDIRECT(D$3),$A24,FALSE)</f>
        <v>#REF!</v>
      </c>
      <c r="E24" s="25" t="e">
        <f t="shared" ca="1" si="4"/>
        <v>#REF!</v>
      </c>
      <c r="F24" s="25" t="e">
        <f t="shared" ca="1" si="3"/>
        <v>#REF!</v>
      </c>
      <c r="G24" s="25" t="e">
        <f t="shared" ca="1" si="3"/>
        <v>#REF!</v>
      </c>
      <c r="H24" s="25">
        <f t="shared" ca="1" si="3"/>
        <v>0</v>
      </c>
      <c r="I24" s="25">
        <f t="shared" ca="1" si="3"/>
        <v>0</v>
      </c>
    </row>
    <row r="25" spans="1:9">
      <c r="A25" s="22">
        <v>23</v>
      </c>
      <c r="B25" s="184" t="s">
        <v>31</v>
      </c>
      <c r="C25" s="68" t="s">
        <v>22</v>
      </c>
      <c r="D25" s="53" t="e">
        <f t="shared" ca="1" si="4"/>
        <v>#REF!</v>
      </c>
      <c r="E25" s="53" t="e">
        <f t="shared" ca="1" si="4"/>
        <v>#REF!</v>
      </c>
      <c r="F25" s="53" t="e">
        <f t="shared" ca="1" si="3"/>
        <v>#REF!</v>
      </c>
      <c r="G25" s="53" t="e">
        <f t="shared" ca="1" si="3"/>
        <v>#REF!</v>
      </c>
      <c r="H25" s="53">
        <f t="shared" ca="1" si="3"/>
        <v>0</v>
      </c>
      <c r="I25" s="53" t="str">
        <f t="shared" ca="1" si="3"/>
        <v>A</v>
      </c>
    </row>
    <row r="26" spans="1:9">
      <c r="A26" s="22">
        <v>24</v>
      </c>
      <c r="B26" s="184"/>
      <c r="C26" s="69" t="s">
        <v>23</v>
      </c>
      <c r="D26" s="54" t="e">
        <f t="shared" ca="1" si="4"/>
        <v>#REF!</v>
      </c>
      <c r="E26" s="54" t="e">
        <f t="shared" ca="1" si="4"/>
        <v>#REF!</v>
      </c>
      <c r="F26" s="54" t="e">
        <f t="shared" ca="1" si="3"/>
        <v>#REF!</v>
      </c>
      <c r="G26" s="54" t="e">
        <f t="shared" ca="1" si="3"/>
        <v>#REF!</v>
      </c>
      <c r="H26" s="54">
        <f t="shared" ca="1" si="3"/>
        <v>0</v>
      </c>
      <c r="I26" s="54" t="str">
        <f t="shared" ca="1" si="3"/>
        <v>A</v>
      </c>
    </row>
    <row r="27" spans="1:9">
      <c r="A27" s="22">
        <v>25</v>
      </c>
      <c r="B27" s="184"/>
      <c r="C27" s="69" t="s">
        <v>24</v>
      </c>
      <c r="D27" s="54" t="e">
        <f t="shared" ca="1" si="4"/>
        <v>#REF!</v>
      </c>
      <c r="E27" s="54" t="e">
        <f t="shared" ca="1" si="4"/>
        <v>#REF!</v>
      </c>
      <c r="F27" s="54" t="e">
        <f t="shared" ca="1" si="3"/>
        <v>#REF!</v>
      </c>
      <c r="G27" s="54" t="e">
        <f t="shared" ca="1" si="3"/>
        <v>#REF!</v>
      </c>
      <c r="H27" s="54">
        <f t="shared" ca="1" si="3"/>
        <v>0</v>
      </c>
      <c r="I27" s="54" t="str">
        <f t="shared" ca="1" si="3"/>
        <v>A</v>
      </c>
    </row>
    <row r="28" spans="1:9">
      <c r="A28" s="22">
        <v>26</v>
      </c>
      <c r="B28" s="184"/>
      <c r="C28" s="70" t="s">
        <v>25</v>
      </c>
      <c r="D28" s="55" t="e">
        <f t="shared" ca="1" si="4"/>
        <v>#REF!</v>
      </c>
      <c r="E28" s="55" t="e">
        <f t="shared" ca="1" si="4"/>
        <v>#REF!</v>
      </c>
      <c r="F28" s="55" t="e">
        <f t="shared" ca="1" si="3"/>
        <v>#REF!</v>
      </c>
      <c r="G28" s="55" t="e">
        <f t="shared" ca="1" si="3"/>
        <v>#REF!</v>
      </c>
      <c r="H28" s="25">
        <f t="shared" ca="1" si="3"/>
        <v>0</v>
      </c>
      <c r="I28" s="25">
        <f t="shared" ca="1" si="3"/>
        <v>0</v>
      </c>
    </row>
    <row r="29" spans="1:9">
      <c r="A29" s="22">
        <v>27</v>
      </c>
      <c r="B29" s="184" t="s">
        <v>32</v>
      </c>
      <c r="C29" s="68" t="s">
        <v>22</v>
      </c>
      <c r="D29" s="53" t="e">
        <f t="shared" ca="1" si="4"/>
        <v>#REF!</v>
      </c>
      <c r="E29" s="53" t="e">
        <f t="shared" ca="1" si="4"/>
        <v>#REF!</v>
      </c>
      <c r="F29" s="53" t="e">
        <f t="shared" ca="1" si="3"/>
        <v>#REF!</v>
      </c>
      <c r="G29" s="53" t="e">
        <f t="shared" ca="1" si="3"/>
        <v>#REF!</v>
      </c>
      <c r="H29" s="53">
        <f t="shared" ca="1" si="3"/>
        <v>0</v>
      </c>
      <c r="I29" s="53" t="str">
        <f t="shared" ca="1" si="3"/>
        <v>B</v>
      </c>
    </row>
    <row r="30" spans="1:9">
      <c r="A30" s="22">
        <v>28</v>
      </c>
      <c r="B30" s="184"/>
      <c r="C30" s="69" t="s">
        <v>23</v>
      </c>
      <c r="D30" s="54" t="e">
        <f t="shared" ca="1" si="4"/>
        <v>#REF!</v>
      </c>
      <c r="E30" s="54" t="e">
        <f t="shared" ca="1" si="4"/>
        <v>#REF!</v>
      </c>
      <c r="F30" s="54" t="e">
        <f t="shared" ca="1" si="3"/>
        <v>#REF!</v>
      </c>
      <c r="G30" s="54" t="e">
        <f t="shared" ca="1" si="3"/>
        <v>#REF!</v>
      </c>
      <c r="H30" s="54">
        <f t="shared" ca="1" si="3"/>
        <v>0</v>
      </c>
      <c r="I30" s="54" t="str">
        <f t="shared" ca="1" si="3"/>
        <v>A</v>
      </c>
    </row>
    <row r="31" spans="1:9">
      <c r="A31" s="22">
        <v>29</v>
      </c>
      <c r="B31" s="184"/>
      <c r="C31" s="69" t="s">
        <v>24</v>
      </c>
      <c r="D31" s="54" t="e">
        <f t="shared" ca="1" si="4"/>
        <v>#REF!</v>
      </c>
      <c r="E31" s="54" t="e">
        <f t="shared" ca="1" si="4"/>
        <v>#REF!</v>
      </c>
      <c r="F31" s="54" t="e">
        <f t="shared" ca="1" si="3"/>
        <v>#REF!</v>
      </c>
      <c r="G31" s="54" t="e">
        <f t="shared" ca="1" si="3"/>
        <v>#REF!</v>
      </c>
      <c r="H31" s="54">
        <f t="shared" ca="1" si="3"/>
        <v>0</v>
      </c>
      <c r="I31" s="54" t="str">
        <f t="shared" ca="1" si="3"/>
        <v>A</v>
      </c>
    </row>
    <row r="32" spans="1:9">
      <c r="A32" s="22">
        <v>30</v>
      </c>
      <c r="B32" s="184"/>
      <c r="C32" s="70" t="s">
        <v>25</v>
      </c>
      <c r="D32" s="55" t="e">
        <f t="shared" ca="1" si="4"/>
        <v>#REF!</v>
      </c>
      <c r="E32" s="55" t="e">
        <f t="shared" ca="1" si="4"/>
        <v>#REF!</v>
      </c>
      <c r="F32" s="55" t="e">
        <f t="shared" ca="1" si="3"/>
        <v>#REF!</v>
      </c>
      <c r="G32" s="55" t="e">
        <f t="shared" ca="1" si="3"/>
        <v>#REF!</v>
      </c>
      <c r="H32" s="25">
        <f t="shared" ca="1" si="3"/>
        <v>0</v>
      </c>
      <c r="I32" s="25">
        <f t="shared" ca="1" si="3"/>
        <v>0</v>
      </c>
    </row>
    <row r="33" spans="1:9">
      <c r="A33" s="22">
        <v>31</v>
      </c>
      <c r="B33" s="185" t="s">
        <v>33</v>
      </c>
      <c r="C33" s="68" t="s">
        <v>22</v>
      </c>
      <c r="D33" s="53" t="e">
        <f t="shared" ca="1" si="4"/>
        <v>#REF!</v>
      </c>
      <c r="E33" s="53" t="e">
        <f t="shared" ca="1" si="4"/>
        <v>#REF!</v>
      </c>
      <c r="F33" s="71" t="e">
        <f t="shared" ca="1" si="3"/>
        <v>#REF!</v>
      </c>
      <c r="G33" s="71" t="e">
        <f t="shared" ca="1" si="3"/>
        <v>#REF!</v>
      </c>
      <c r="H33" s="71">
        <f t="shared" ca="1" si="3"/>
        <v>0</v>
      </c>
      <c r="I33" s="71">
        <f t="shared" ca="1" si="3"/>
        <v>0</v>
      </c>
    </row>
    <row r="34" spans="1:9">
      <c r="A34" s="22">
        <v>32</v>
      </c>
      <c r="B34" s="184"/>
      <c r="C34" s="69" t="s">
        <v>23</v>
      </c>
      <c r="D34" s="54" t="e">
        <f t="shared" ca="1" si="4"/>
        <v>#REF!</v>
      </c>
      <c r="E34" s="54" t="e">
        <f t="shared" ca="1" si="4"/>
        <v>#REF!</v>
      </c>
      <c r="F34" s="72" t="e">
        <f t="shared" ca="1" si="3"/>
        <v>#REF!</v>
      </c>
      <c r="G34" s="72" t="e">
        <f t="shared" ca="1" si="3"/>
        <v>#REF!</v>
      </c>
      <c r="H34" s="72">
        <f t="shared" ca="1" si="3"/>
        <v>0</v>
      </c>
      <c r="I34" s="72">
        <f t="shared" ca="1" si="3"/>
        <v>0</v>
      </c>
    </row>
    <row r="35" spans="1:9">
      <c r="A35" s="22">
        <v>33</v>
      </c>
      <c r="B35" s="184"/>
      <c r="C35" s="69" t="s">
        <v>24</v>
      </c>
      <c r="D35" s="54" t="e">
        <f t="shared" ca="1" si="4"/>
        <v>#REF!</v>
      </c>
      <c r="E35" s="54" t="e">
        <f t="shared" ca="1" si="4"/>
        <v>#REF!</v>
      </c>
      <c r="F35" s="72" t="e">
        <f t="shared" ca="1" si="3"/>
        <v>#REF!</v>
      </c>
      <c r="G35" s="72" t="e">
        <f t="shared" ca="1" si="3"/>
        <v>#REF!</v>
      </c>
      <c r="H35" s="72">
        <f t="shared" ca="1" si="3"/>
        <v>0</v>
      </c>
      <c r="I35" s="72">
        <f t="shared" ca="1" si="3"/>
        <v>0</v>
      </c>
    </row>
    <row r="36" spans="1:9">
      <c r="A36" s="22">
        <v>34</v>
      </c>
      <c r="B36" s="184"/>
      <c r="C36" s="70" t="s">
        <v>25</v>
      </c>
      <c r="D36" s="55" t="e">
        <f t="shared" ca="1" si="4"/>
        <v>#REF!</v>
      </c>
      <c r="E36" s="55" t="e">
        <f t="shared" ca="1" si="4"/>
        <v>#REF!</v>
      </c>
      <c r="F36" s="25" t="e">
        <f t="shared" ref="F36:I51" ca="1" si="5">HLOOKUP($C$2,INDIRECT(F$3),$A36,FALSE)</f>
        <v>#REF!</v>
      </c>
      <c r="G36" s="25" t="e">
        <f t="shared" ca="1" si="5"/>
        <v>#REF!</v>
      </c>
      <c r="H36" s="25">
        <f t="shared" ca="1" si="5"/>
        <v>0</v>
      </c>
      <c r="I36" s="25">
        <f t="shared" ca="1" si="5"/>
        <v>0</v>
      </c>
    </row>
    <row r="37" spans="1:9">
      <c r="A37" s="22">
        <v>35</v>
      </c>
      <c r="B37" s="184" t="s">
        <v>34</v>
      </c>
      <c r="C37" s="68" t="s">
        <v>22</v>
      </c>
      <c r="D37" s="53" t="e">
        <f t="shared" ca="1" si="4"/>
        <v>#REF!</v>
      </c>
      <c r="E37" s="53" t="e">
        <f t="shared" ca="1" si="4"/>
        <v>#REF!</v>
      </c>
      <c r="F37" s="53" t="e">
        <f t="shared" ca="1" si="5"/>
        <v>#REF!</v>
      </c>
      <c r="G37" s="53" t="e">
        <f t="shared" ca="1" si="5"/>
        <v>#REF!</v>
      </c>
      <c r="H37" s="53">
        <f t="shared" ca="1" si="5"/>
        <v>0</v>
      </c>
      <c r="I37" s="53" t="str">
        <f t="shared" ca="1" si="5"/>
        <v>A</v>
      </c>
    </row>
    <row r="38" spans="1:9">
      <c r="A38" s="22">
        <v>36</v>
      </c>
      <c r="B38" s="184"/>
      <c r="C38" s="69" t="s">
        <v>23</v>
      </c>
      <c r="D38" s="54" t="e">
        <f t="shared" ca="1" si="4"/>
        <v>#REF!</v>
      </c>
      <c r="E38" s="54" t="e">
        <f t="shared" ca="1" si="4"/>
        <v>#REF!</v>
      </c>
      <c r="F38" s="54" t="e">
        <f t="shared" ca="1" si="5"/>
        <v>#REF!</v>
      </c>
      <c r="G38" s="54" t="e">
        <f t="shared" ca="1" si="5"/>
        <v>#REF!</v>
      </c>
      <c r="H38" s="54">
        <f t="shared" ca="1" si="5"/>
        <v>0</v>
      </c>
      <c r="I38" s="54" t="str">
        <f t="shared" ca="1" si="5"/>
        <v>A</v>
      </c>
    </row>
    <row r="39" spans="1:9">
      <c r="A39" s="22">
        <v>37</v>
      </c>
      <c r="B39" s="184"/>
      <c r="C39" s="69" t="s">
        <v>24</v>
      </c>
      <c r="D39" s="54" t="e">
        <f t="shared" ca="1" si="4"/>
        <v>#REF!</v>
      </c>
      <c r="E39" s="54" t="e">
        <f t="shared" ca="1" si="4"/>
        <v>#REF!</v>
      </c>
      <c r="F39" s="54" t="e">
        <f t="shared" ca="1" si="5"/>
        <v>#REF!</v>
      </c>
      <c r="G39" s="54" t="e">
        <f t="shared" ca="1" si="5"/>
        <v>#REF!</v>
      </c>
      <c r="H39" s="54">
        <f t="shared" ca="1" si="5"/>
        <v>0</v>
      </c>
      <c r="I39" s="54" t="str">
        <f t="shared" ca="1" si="5"/>
        <v>B</v>
      </c>
    </row>
    <row r="40" spans="1:9">
      <c r="A40" s="22">
        <v>38</v>
      </c>
      <c r="B40" s="184"/>
      <c r="C40" s="70" t="s">
        <v>25</v>
      </c>
      <c r="D40" s="55" t="e">
        <f t="shared" ca="1" si="4"/>
        <v>#REF!</v>
      </c>
      <c r="E40" s="55" t="e">
        <f t="shared" ca="1" si="4"/>
        <v>#REF!</v>
      </c>
      <c r="F40" s="55" t="e">
        <f t="shared" ca="1" si="5"/>
        <v>#REF!</v>
      </c>
      <c r="G40" s="55" t="e">
        <f t="shared" ca="1" si="5"/>
        <v>#REF!</v>
      </c>
      <c r="H40" s="25">
        <f t="shared" ca="1" si="5"/>
        <v>0</v>
      </c>
      <c r="I40" s="25">
        <f t="shared" ca="1" si="5"/>
        <v>0</v>
      </c>
    </row>
    <row r="41" spans="1:9">
      <c r="A41" s="22">
        <v>39</v>
      </c>
      <c r="B41" s="185" t="s">
        <v>35</v>
      </c>
      <c r="C41" s="68" t="s">
        <v>22</v>
      </c>
      <c r="D41" s="53" t="e">
        <f t="shared" ca="1" si="4"/>
        <v>#REF!</v>
      </c>
      <c r="E41" s="73" t="e">
        <f t="shared" ca="1" si="4"/>
        <v>#REF!</v>
      </c>
      <c r="F41" s="75" t="e">
        <f t="shared" ca="1" si="5"/>
        <v>#REF!</v>
      </c>
      <c r="G41" s="75" t="e">
        <f t="shared" ca="1" si="5"/>
        <v>#REF!</v>
      </c>
      <c r="H41" s="75">
        <f t="shared" ca="1" si="5"/>
        <v>0</v>
      </c>
      <c r="I41" s="75">
        <f t="shared" ca="1" si="5"/>
        <v>0</v>
      </c>
    </row>
    <row r="42" spans="1:9">
      <c r="A42" s="22">
        <v>40</v>
      </c>
      <c r="B42" s="184"/>
      <c r="C42" s="69" t="s">
        <v>23</v>
      </c>
      <c r="D42" s="54" t="e">
        <f t="shared" ca="1" si="4"/>
        <v>#REF!</v>
      </c>
      <c r="E42" s="74" t="e">
        <f t="shared" ca="1" si="4"/>
        <v>#REF!</v>
      </c>
      <c r="F42" s="76" t="e">
        <f t="shared" ca="1" si="5"/>
        <v>#REF!</v>
      </c>
      <c r="G42" s="76" t="e">
        <f t="shared" ca="1" si="5"/>
        <v>#REF!</v>
      </c>
      <c r="H42" s="76">
        <f t="shared" ca="1" si="5"/>
        <v>0</v>
      </c>
      <c r="I42" s="76">
        <f t="shared" ca="1" si="5"/>
        <v>0</v>
      </c>
    </row>
    <row r="43" spans="1:9">
      <c r="A43" s="22">
        <v>41</v>
      </c>
      <c r="B43" s="184"/>
      <c r="C43" s="69" t="s">
        <v>24</v>
      </c>
      <c r="D43" s="54" t="e">
        <f t="shared" ca="1" si="4"/>
        <v>#REF!</v>
      </c>
      <c r="E43" s="74" t="e">
        <f t="shared" ca="1" si="4"/>
        <v>#REF!</v>
      </c>
      <c r="F43" s="76" t="e">
        <f t="shared" ca="1" si="5"/>
        <v>#REF!</v>
      </c>
      <c r="G43" s="76" t="e">
        <f t="shared" ca="1" si="5"/>
        <v>#REF!</v>
      </c>
      <c r="H43" s="76">
        <f t="shared" ca="1" si="5"/>
        <v>0</v>
      </c>
      <c r="I43" s="76">
        <f t="shared" ca="1" si="5"/>
        <v>0</v>
      </c>
    </row>
    <row r="44" spans="1:9">
      <c r="A44" s="22">
        <v>42</v>
      </c>
      <c r="B44" s="184"/>
      <c r="C44" s="70" t="s">
        <v>25</v>
      </c>
      <c r="D44" s="55" t="e">
        <f t="shared" ref="D44:E55" ca="1" si="6">HLOOKUP($C$2,INDIRECT(D$3),$A44,FALSE)</f>
        <v>#REF!</v>
      </c>
      <c r="E44" s="55" t="e">
        <f t="shared" ca="1" si="6"/>
        <v>#REF!</v>
      </c>
      <c r="F44" s="25" t="e">
        <f t="shared" ca="1" si="5"/>
        <v>#REF!</v>
      </c>
      <c r="G44" s="25" t="e">
        <f t="shared" ca="1" si="5"/>
        <v>#REF!</v>
      </c>
      <c r="H44" s="25">
        <f t="shared" ca="1" si="5"/>
        <v>0</v>
      </c>
      <c r="I44" s="25">
        <f t="shared" ca="1" si="5"/>
        <v>0</v>
      </c>
    </row>
    <row r="45" spans="1:9" ht="55.5" customHeight="1">
      <c r="A45" s="22">
        <v>43</v>
      </c>
      <c r="B45" s="77" t="s">
        <v>36</v>
      </c>
      <c r="C45" s="78" t="s">
        <v>37</v>
      </c>
      <c r="D45" s="56" t="e">
        <f t="shared" ca="1" si="6"/>
        <v>#REF!</v>
      </c>
      <c r="E45" s="56" t="e">
        <f t="shared" ca="1" si="6"/>
        <v>#REF!</v>
      </c>
      <c r="F45" s="56" t="e">
        <f t="shared" ca="1" si="5"/>
        <v>#REF!</v>
      </c>
      <c r="G45" s="56" t="e">
        <f t="shared" ca="1" si="5"/>
        <v>#REF!</v>
      </c>
      <c r="H45" s="56">
        <f t="shared" ca="1" si="5"/>
        <v>0</v>
      </c>
      <c r="I45" s="56" t="str">
        <f t="shared" ca="1" si="5"/>
        <v>「やめなさいよ」の単元では、友だちに意地悪をされた登場人物の気持ちを考え、「人に意地悪をしてはいけない。ぼくは、友だちをたすけたい。」と考えることができた。</v>
      </c>
    </row>
    <row r="46" spans="1:9" ht="72" customHeight="1">
      <c r="A46" s="22">
        <v>44</v>
      </c>
      <c r="B46" s="77" t="s">
        <v>38</v>
      </c>
      <c r="C46" s="78" t="s">
        <v>39</v>
      </c>
      <c r="D46" s="94" t="e">
        <f t="shared" ca="1" si="6"/>
        <v>#REF!</v>
      </c>
      <c r="E46" s="94" t="e">
        <f t="shared" ca="1" si="6"/>
        <v>#REF!</v>
      </c>
      <c r="F46" s="56" t="e">
        <f t="shared" ca="1" si="5"/>
        <v>#REF!</v>
      </c>
      <c r="G46" s="56" t="e">
        <f t="shared" ca="1" si="5"/>
        <v>#REF!</v>
      </c>
      <c r="H46" s="94">
        <f t="shared" ca="1" si="5"/>
        <v>0</v>
      </c>
      <c r="I46" s="94">
        <f t="shared" ca="1" si="5"/>
        <v>0</v>
      </c>
    </row>
    <row r="47" spans="1:9" ht="60.75" customHeight="1">
      <c r="A47" s="22">
        <v>45</v>
      </c>
      <c r="B47" s="185" t="s">
        <v>40</v>
      </c>
      <c r="C47" s="79" t="s">
        <v>41</v>
      </c>
      <c r="D47" s="89" t="e">
        <f t="shared" ca="1" si="6"/>
        <v>#REF!</v>
      </c>
      <c r="E47" s="89" t="e">
        <f t="shared" ca="1" si="6"/>
        <v>#REF!</v>
      </c>
      <c r="F47" s="89" t="e">
        <f t="shared" ca="1" si="5"/>
        <v>#REF!</v>
      </c>
      <c r="G47" s="89" t="e">
        <f t="shared" ca="1" si="5"/>
        <v>#REF!</v>
      </c>
      <c r="H47" s="89">
        <f t="shared" ca="1" si="5"/>
        <v>0</v>
      </c>
      <c r="I47" s="89">
        <f t="shared" ca="1" si="5"/>
        <v>0</v>
      </c>
    </row>
    <row r="48" spans="1:9" ht="60.75" customHeight="1">
      <c r="A48" s="22">
        <v>46</v>
      </c>
      <c r="B48" s="184"/>
      <c r="C48" s="80" t="s">
        <v>42</v>
      </c>
      <c r="D48" s="90" t="e">
        <f t="shared" ca="1" si="6"/>
        <v>#REF!</v>
      </c>
      <c r="E48" s="90" t="e">
        <f t="shared" ca="1" si="6"/>
        <v>#REF!</v>
      </c>
      <c r="F48" s="90" t="e">
        <f t="shared" ca="1" si="5"/>
        <v>#REF!</v>
      </c>
      <c r="G48" s="90" t="e">
        <f t="shared" ca="1" si="5"/>
        <v>#REF!</v>
      </c>
      <c r="H48" s="90">
        <f t="shared" ca="1" si="5"/>
        <v>0</v>
      </c>
      <c r="I48" s="90">
        <f t="shared" ca="1" si="5"/>
        <v>0</v>
      </c>
    </row>
    <row r="49" spans="1:9" ht="79.5" customHeight="1">
      <c r="A49" s="22">
        <v>47</v>
      </c>
      <c r="B49" s="184"/>
      <c r="C49" s="81" t="s">
        <v>43</v>
      </c>
      <c r="D49" s="91" t="e">
        <f t="shared" ca="1" si="6"/>
        <v>#REF!</v>
      </c>
      <c r="E49" s="91" t="e">
        <f t="shared" ca="1" si="6"/>
        <v>#REF!</v>
      </c>
      <c r="F49" s="91" t="e">
        <f t="shared" ca="1" si="5"/>
        <v>#REF!</v>
      </c>
      <c r="G49" s="91" t="e">
        <f t="shared" ca="1" si="5"/>
        <v>#REF!</v>
      </c>
      <c r="H49" s="91">
        <f t="shared" ca="1" si="5"/>
        <v>0</v>
      </c>
      <c r="I49" s="91">
        <f t="shared" ca="1" si="5"/>
        <v>0</v>
      </c>
    </row>
    <row r="50" spans="1:9" s="10" customFormat="1" ht="62.25" customHeight="1">
      <c r="A50" s="22">
        <v>48</v>
      </c>
      <c r="B50" s="186" t="s">
        <v>44</v>
      </c>
      <c r="C50" s="97" t="s">
        <v>65</v>
      </c>
      <c r="D50" s="89" t="e">
        <f t="shared" ca="1" si="6"/>
        <v>#REF!</v>
      </c>
      <c r="E50" s="89" t="e">
        <f t="shared" ca="1" si="6"/>
        <v>#REF!</v>
      </c>
      <c r="F50" s="89" t="e">
        <f t="shared" ca="1" si="5"/>
        <v>#REF!</v>
      </c>
      <c r="G50" s="89" t="e">
        <f t="shared" ca="1" si="5"/>
        <v>#REF!</v>
      </c>
      <c r="H50" s="89">
        <f t="shared" ca="1" si="5"/>
        <v>0</v>
      </c>
      <c r="I50" s="89" t="str">
        <f t="shared" ca="1" si="5"/>
        <v>より良い生活を築くための知識・技能
集団・社会を作るための思考・判断・表現
主体的に生活や人間関係をより良くしようとする態度</v>
      </c>
    </row>
    <row r="51" spans="1:9" s="10" customFormat="1">
      <c r="A51" s="22">
        <v>49</v>
      </c>
      <c r="B51" s="187"/>
      <c r="C51" s="98" t="s">
        <v>66</v>
      </c>
      <c r="D51" s="100" t="e">
        <f t="shared" ca="1" si="6"/>
        <v>#REF!</v>
      </c>
      <c r="E51" s="100" t="e">
        <f t="shared" ca="1" si="6"/>
        <v>#REF!</v>
      </c>
      <c r="F51" s="100" t="e">
        <f t="shared" ca="1" si="5"/>
        <v>#REF!</v>
      </c>
      <c r="G51" s="100" t="e">
        <f t="shared" ca="1" si="5"/>
        <v>#REF!</v>
      </c>
      <c r="H51" s="100">
        <f t="shared" ca="1" si="5"/>
        <v>0</v>
      </c>
      <c r="I51" s="100">
        <f t="shared" ca="1" si="5"/>
        <v>0</v>
      </c>
    </row>
    <row r="52" spans="1:9">
      <c r="A52" s="22">
        <v>50</v>
      </c>
      <c r="B52" s="187"/>
      <c r="C52" s="98" t="s">
        <v>45</v>
      </c>
      <c r="D52" s="100" t="e">
        <f t="shared" ca="1" si="6"/>
        <v>#REF!</v>
      </c>
      <c r="E52" s="100" t="e">
        <f t="shared" ca="1" si="6"/>
        <v>#REF!</v>
      </c>
      <c r="F52" s="100" t="e">
        <f t="shared" ref="F52:I59" ca="1" si="7">HLOOKUP($C$2,INDIRECT(F$3),$A52,FALSE)</f>
        <v>#REF!</v>
      </c>
      <c r="G52" s="100" t="e">
        <f t="shared" ca="1" si="7"/>
        <v>#REF!</v>
      </c>
      <c r="H52" s="100">
        <f t="shared" ca="1" si="7"/>
        <v>0</v>
      </c>
      <c r="I52" s="100">
        <f t="shared" ca="1" si="7"/>
        <v>0</v>
      </c>
    </row>
    <row r="53" spans="1:9">
      <c r="A53" s="22">
        <v>51</v>
      </c>
      <c r="B53" s="187"/>
      <c r="C53" s="98" t="s">
        <v>46</v>
      </c>
      <c r="D53" s="100" t="e">
        <f t="shared" ca="1" si="6"/>
        <v>#REF!</v>
      </c>
      <c r="E53" s="100" t="e">
        <f t="shared" ca="1" si="6"/>
        <v>#REF!</v>
      </c>
      <c r="F53" s="100" t="e">
        <f t="shared" ca="1" si="7"/>
        <v>#REF!</v>
      </c>
      <c r="G53" s="100" t="e">
        <f t="shared" ca="1" si="7"/>
        <v>#REF!</v>
      </c>
      <c r="H53" s="100">
        <f t="shared" ca="1" si="7"/>
        <v>0</v>
      </c>
      <c r="I53" s="100">
        <f t="shared" ca="1" si="7"/>
        <v>0</v>
      </c>
    </row>
    <row r="54" spans="1:9">
      <c r="A54" s="22">
        <v>52</v>
      </c>
      <c r="B54" s="188"/>
      <c r="C54" s="99" t="s">
        <v>47</v>
      </c>
      <c r="D54" s="92" t="e">
        <f t="shared" ca="1" si="6"/>
        <v>#REF!</v>
      </c>
      <c r="E54" s="92" t="e">
        <f t="shared" ca="1" si="6"/>
        <v>#REF!</v>
      </c>
      <c r="F54" s="92" t="e">
        <f t="shared" ca="1" si="7"/>
        <v>#REF!</v>
      </c>
      <c r="G54" s="92" t="e">
        <f t="shared" ca="1" si="7"/>
        <v>#REF!</v>
      </c>
      <c r="H54" s="92">
        <f t="shared" ca="1" si="7"/>
        <v>0</v>
      </c>
      <c r="I54" s="92">
        <f t="shared" ca="1" si="7"/>
        <v>0</v>
      </c>
    </row>
    <row r="55" spans="1:9">
      <c r="A55" s="22">
        <v>53</v>
      </c>
      <c r="B55" s="183" t="s">
        <v>48</v>
      </c>
      <c r="C55" s="68" t="s">
        <v>49</v>
      </c>
      <c r="D55" s="53" t="e">
        <f t="shared" ca="1" si="6"/>
        <v>#REF!</v>
      </c>
      <c r="E55" s="73" t="e">
        <f t="shared" ca="1" si="6"/>
        <v>#REF!</v>
      </c>
      <c r="F55" s="73" t="e">
        <f t="shared" ca="1" si="7"/>
        <v>#REF!</v>
      </c>
      <c r="G55" s="73" t="e">
        <f t="shared" ca="1" si="7"/>
        <v>#REF!</v>
      </c>
      <c r="H55" s="73">
        <f t="shared" ca="1" si="7"/>
        <v>0</v>
      </c>
      <c r="I55" s="73">
        <f t="shared" ca="1" si="7"/>
        <v>0</v>
      </c>
    </row>
    <row r="56" spans="1:9">
      <c r="A56" s="22">
        <v>54</v>
      </c>
      <c r="B56" s="183"/>
      <c r="C56" s="69" t="s">
        <v>50</v>
      </c>
      <c r="D56" s="54" t="e">
        <f t="shared" ref="D56:E73" ca="1" si="8">HLOOKUP($C$2,INDIRECT(D$3),$A56,FALSE)</f>
        <v>#REF!</v>
      </c>
      <c r="E56" s="54" t="e">
        <f t="shared" ca="1" si="8"/>
        <v>#REF!</v>
      </c>
      <c r="F56" s="54" t="e">
        <f t="shared" ca="1" si="7"/>
        <v>#REF!</v>
      </c>
      <c r="G56" s="54" t="e">
        <f t="shared" ca="1" si="7"/>
        <v>#REF!</v>
      </c>
      <c r="H56" s="54">
        <f t="shared" ca="1" si="7"/>
        <v>0</v>
      </c>
      <c r="I56" s="54" t="str">
        <f t="shared" ca="1" si="7"/>
        <v>〇</v>
      </c>
    </row>
    <row r="57" spans="1:9">
      <c r="A57" s="22">
        <v>55</v>
      </c>
      <c r="B57" s="183"/>
      <c r="C57" s="69" t="s">
        <v>51</v>
      </c>
      <c r="D57" s="61" t="e">
        <f t="shared" ca="1" si="8"/>
        <v>#REF!</v>
      </c>
      <c r="E57" s="61" t="e">
        <f t="shared" ca="1" si="8"/>
        <v>#REF!</v>
      </c>
      <c r="F57" s="61" t="e">
        <f t="shared" ca="1" si="7"/>
        <v>#REF!</v>
      </c>
      <c r="G57" s="61" t="e">
        <f t="shared" ca="1" si="7"/>
        <v>#REF!</v>
      </c>
      <c r="H57" s="61">
        <f t="shared" ca="1" si="7"/>
        <v>0</v>
      </c>
      <c r="I57" s="61">
        <f t="shared" ca="1" si="7"/>
        <v>0</v>
      </c>
    </row>
    <row r="58" spans="1:9">
      <c r="A58" s="22">
        <v>56</v>
      </c>
      <c r="B58" s="183"/>
      <c r="C58" s="69" t="s">
        <v>52</v>
      </c>
      <c r="D58" s="54" t="e">
        <f t="shared" ca="1" si="8"/>
        <v>#REF!</v>
      </c>
      <c r="E58" s="54" t="e">
        <f t="shared" ca="1" si="8"/>
        <v>#REF!</v>
      </c>
      <c r="F58" s="54" t="e">
        <f t="shared" ca="1" si="7"/>
        <v>#REF!</v>
      </c>
      <c r="G58" s="54" t="e">
        <f t="shared" ca="1" si="7"/>
        <v>#REF!</v>
      </c>
      <c r="H58" s="54">
        <f t="shared" ca="1" si="7"/>
        <v>0</v>
      </c>
      <c r="I58" s="54">
        <f t="shared" ca="1" si="7"/>
        <v>0</v>
      </c>
    </row>
    <row r="59" spans="1:9">
      <c r="A59" s="22">
        <v>57</v>
      </c>
      <c r="B59" s="183"/>
      <c r="C59" s="69" t="s">
        <v>53</v>
      </c>
      <c r="D59" s="61" t="e">
        <f t="shared" ca="1" si="8"/>
        <v>#REF!</v>
      </c>
      <c r="E59" s="61" t="e">
        <f t="shared" ca="1" si="8"/>
        <v>#REF!</v>
      </c>
      <c r="F59" s="61" t="e">
        <f t="shared" ca="1" si="7"/>
        <v>#REF!</v>
      </c>
      <c r="G59" s="61" t="e">
        <f t="shared" ca="1" si="7"/>
        <v>#REF!</v>
      </c>
      <c r="H59" s="61">
        <f t="shared" ca="1" si="7"/>
        <v>0</v>
      </c>
      <c r="I59" s="61">
        <f t="shared" ca="1" si="7"/>
        <v>0</v>
      </c>
    </row>
    <row r="60" spans="1:9">
      <c r="A60" s="22">
        <v>58</v>
      </c>
      <c r="B60" s="183"/>
      <c r="C60" s="69" t="s">
        <v>54</v>
      </c>
      <c r="D60" s="54" t="e">
        <f t="shared" ca="1" si="8"/>
        <v>#REF!</v>
      </c>
      <c r="E60" s="54" t="e">
        <f t="shared" ca="1" si="8"/>
        <v>#REF!</v>
      </c>
      <c r="F60" s="54" t="e">
        <f t="shared" ref="F60:I73" ca="1" si="9">HLOOKUP($C$2,INDIRECT(F$3),$A60,FALSE)</f>
        <v>#REF!</v>
      </c>
      <c r="G60" s="54" t="e">
        <f t="shared" ca="1" si="9"/>
        <v>#REF!</v>
      </c>
      <c r="H60" s="54">
        <f t="shared" ca="1" si="9"/>
        <v>0</v>
      </c>
      <c r="I60" s="54">
        <f t="shared" ca="1" si="9"/>
        <v>0</v>
      </c>
    </row>
    <row r="61" spans="1:9">
      <c r="A61" s="22">
        <v>59</v>
      </c>
      <c r="B61" s="183"/>
      <c r="C61" s="69" t="s">
        <v>55</v>
      </c>
      <c r="D61" s="61" t="e">
        <f t="shared" ca="1" si="8"/>
        <v>#REF!</v>
      </c>
      <c r="E61" s="61" t="e">
        <f t="shared" ca="1" si="8"/>
        <v>#REF!</v>
      </c>
      <c r="F61" s="61" t="e">
        <f t="shared" ca="1" si="9"/>
        <v>#REF!</v>
      </c>
      <c r="G61" s="61" t="e">
        <f t="shared" ca="1" si="9"/>
        <v>#REF!</v>
      </c>
      <c r="H61" s="61">
        <f t="shared" ca="1" si="9"/>
        <v>0</v>
      </c>
      <c r="I61" s="61">
        <f t="shared" ca="1" si="9"/>
        <v>0</v>
      </c>
    </row>
    <row r="62" spans="1:9">
      <c r="A62" s="22">
        <v>60</v>
      </c>
      <c r="B62" s="183"/>
      <c r="C62" s="82" t="s">
        <v>56</v>
      </c>
      <c r="D62" s="17" t="e">
        <f t="shared" ca="1" si="8"/>
        <v>#REF!</v>
      </c>
      <c r="E62" s="17" t="e">
        <f t="shared" ca="1" si="8"/>
        <v>#REF!</v>
      </c>
      <c r="F62" s="17" t="e">
        <f t="shared" ca="1" si="9"/>
        <v>#REF!</v>
      </c>
      <c r="G62" s="17" t="e">
        <f t="shared" ca="1" si="9"/>
        <v>#REF!</v>
      </c>
      <c r="H62" s="17">
        <f t="shared" ca="1" si="9"/>
        <v>0</v>
      </c>
      <c r="I62" s="17">
        <f t="shared" ca="1" si="9"/>
        <v>0</v>
      </c>
    </row>
    <row r="63" spans="1:9">
      <c r="A63" s="22">
        <v>61</v>
      </c>
      <c r="B63" s="183"/>
      <c r="C63" s="82" t="s">
        <v>57</v>
      </c>
      <c r="D63" s="61" t="e">
        <f t="shared" ca="1" si="8"/>
        <v>#REF!</v>
      </c>
      <c r="E63" s="61" t="e">
        <f t="shared" ca="1" si="8"/>
        <v>#REF!</v>
      </c>
      <c r="F63" s="61" t="e">
        <f t="shared" ca="1" si="9"/>
        <v>#REF!</v>
      </c>
      <c r="G63" s="61" t="e">
        <f t="shared" ca="1" si="9"/>
        <v>#REF!</v>
      </c>
      <c r="H63" s="61">
        <f t="shared" ca="1" si="9"/>
        <v>0</v>
      </c>
      <c r="I63" s="61">
        <f t="shared" ca="1" si="9"/>
        <v>0</v>
      </c>
    </row>
    <row r="64" spans="1:9">
      <c r="A64" s="22">
        <v>62</v>
      </c>
      <c r="B64" s="183"/>
      <c r="C64" s="83" t="s">
        <v>58</v>
      </c>
      <c r="D64" s="62" t="e">
        <f t="shared" ca="1" si="8"/>
        <v>#REF!</v>
      </c>
      <c r="E64" s="62" t="e">
        <f t="shared" ca="1" si="8"/>
        <v>#REF!</v>
      </c>
      <c r="F64" s="62" t="e">
        <f t="shared" ca="1" si="9"/>
        <v>#REF!</v>
      </c>
      <c r="G64" s="62" t="e">
        <f t="shared" ca="1" si="9"/>
        <v>#REF!</v>
      </c>
      <c r="H64" s="62">
        <f t="shared" ca="1" si="9"/>
        <v>0</v>
      </c>
      <c r="I64" s="62">
        <f t="shared" ca="1" si="9"/>
        <v>0</v>
      </c>
    </row>
    <row r="65" spans="1:9" ht="191.25" customHeight="1">
      <c r="A65" s="22">
        <v>63</v>
      </c>
      <c r="B65" s="181" t="s">
        <v>59</v>
      </c>
      <c r="C65" s="182"/>
      <c r="D65" s="11" t="e">
        <f t="shared" ca="1" si="8"/>
        <v>#REF!</v>
      </c>
      <c r="E65" s="11" t="e">
        <f t="shared" ca="1" si="8"/>
        <v>#REF!</v>
      </c>
      <c r="F65" s="11" t="e">
        <f t="shared" ca="1" si="9"/>
        <v>#REF!</v>
      </c>
      <c r="G65" s="11" t="e">
        <f t="shared" ca="1" si="9"/>
        <v>#REF!</v>
      </c>
      <c r="H65" s="11">
        <f t="shared" ca="1" si="9"/>
        <v>0</v>
      </c>
      <c r="I65" s="11" t="str">
        <f t="shared" ca="1" si="9"/>
        <v>始めは、問題文を思い違えてしまうことが多かったが、次第に読解力がついてきた。漢字や計算といった基礎的な力も、徐々に身についた。最後の全国模試では、国語で百点を取ることができた。走ることが好きで、体育祭では、かけっこで学年一位になり、表彰された。絵を描いたり文を書いたりすることが得意で、じっくりと取り組んだ。読書感想文コンクールで入選、書道コンクールで銅賞を受賞した。
日本漢字能力検定１０級/実用数学技能検定11級合格</v>
      </c>
    </row>
    <row r="66" spans="1:9" ht="13.5" customHeight="1">
      <c r="A66" s="22">
        <v>64</v>
      </c>
      <c r="B66" s="183" t="s">
        <v>60</v>
      </c>
      <c r="C66" s="84" t="s">
        <v>61</v>
      </c>
      <c r="D66" s="95" t="e">
        <f t="shared" ca="1" si="8"/>
        <v>#REF!</v>
      </c>
      <c r="E66" s="95" t="e">
        <f t="shared" ca="1" si="8"/>
        <v>#REF!</v>
      </c>
      <c r="F66" s="95" t="e">
        <f t="shared" ca="1" si="9"/>
        <v>#REF!</v>
      </c>
      <c r="G66" s="95" t="e">
        <f t="shared" ca="1" si="9"/>
        <v>#REF!</v>
      </c>
      <c r="H66" s="95">
        <f t="shared" ca="1" si="9"/>
        <v>80</v>
      </c>
      <c r="I66" s="95">
        <f t="shared" ca="1" si="9"/>
        <v>196</v>
      </c>
    </row>
    <row r="67" spans="1:9">
      <c r="A67" s="22">
        <v>65</v>
      </c>
      <c r="B67" s="183"/>
      <c r="C67" s="85" t="s">
        <v>62</v>
      </c>
      <c r="D67" s="16" t="e">
        <f t="shared" ca="1" si="8"/>
        <v>#REF!</v>
      </c>
      <c r="E67" s="16" t="e">
        <f t="shared" ca="1" si="8"/>
        <v>#REF!</v>
      </c>
      <c r="F67" s="16" t="e">
        <f t="shared" ca="1" si="9"/>
        <v>#REF!</v>
      </c>
      <c r="G67" s="16" t="e">
        <f t="shared" ca="1" si="9"/>
        <v>#REF!</v>
      </c>
      <c r="H67" s="16">
        <f t="shared" ca="1" si="9"/>
        <v>1</v>
      </c>
      <c r="I67" s="16">
        <f t="shared" ca="1" si="9"/>
        <v>2</v>
      </c>
    </row>
    <row r="68" spans="1:9">
      <c r="A68" s="22">
        <v>66</v>
      </c>
      <c r="B68" s="183"/>
      <c r="C68" s="86" t="s">
        <v>63</v>
      </c>
      <c r="D68" s="96" t="e">
        <f t="shared" ca="1" si="8"/>
        <v>#REF!</v>
      </c>
      <c r="E68" s="96" t="e">
        <f t="shared" ca="1" si="8"/>
        <v>#REF!</v>
      </c>
      <c r="F68" s="96" t="e">
        <f t="shared" ca="1" si="9"/>
        <v>#REF!</v>
      </c>
      <c r="G68" s="96" t="e">
        <f t="shared" ca="1" si="9"/>
        <v>#REF!</v>
      </c>
      <c r="H68" s="96">
        <f t="shared" ca="1" si="9"/>
        <v>79</v>
      </c>
      <c r="I68" s="96">
        <f t="shared" ca="1" si="9"/>
        <v>194</v>
      </c>
    </row>
    <row r="69" spans="1:9">
      <c r="A69" s="22">
        <v>67</v>
      </c>
      <c r="B69" s="183"/>
      <c r="C69" s="87" t="s">
        <v>3</v>
      </c>
      <c r="D69" s="61" t="e">
        <f t="shared" ca="1" si="8"/>
        <v>#REF!</v>
      </c>
      <c r="E69" s="61" t="e">
        <f t="shared" ca="1" si="8"/>
        <v>#REF!</v>
      </c>
      <c r="F69" s="61" t="e">
        <f t="shared" ca="1" si="9"/>
        <v>#REF!</v>
      </c>
      <c r="G69" s="61" t="e">
        <f t="shared" ca="1" si="9"/>
        <v>#REF!</v>
      </c>
      <c r="H69" s="61">
        <f t="shared" ca="1" si="9"/>
        <v>8</v>
      </c>
      <c r="I69" s="61">
        <f t="shared" ca="1" si="9"/>
        <v>3</v>
      </c>
    </row>
    <row r="70" spans="1:9">
      <c r="A70" s="22">
        <v>68</v>
      </c>
      <c r="B70" s="183"/>
      <c r="C70" s="86" t="s">
        <v>4</v>
      </c>
      <c r="D70" s="96" t="e">
        <f t="shared" ca="1" si="8"/>
        <v>#REF!</v>
      </c>
      <c r="E70" s="96" t="e">
        <f t="shared" ca="1" si="8"/>
        <v>#REF!</v>
      </c>
      <c r="F70" s="96" t="e">
        <f t="shared" ca="1" si="9"/>
        <v>#REF!</v>
      </c>
      <c r="G70" s="96" t="e">
        <f t="shared" ca="1" si="9"/>
        <v>#REF!</v>
      </c>
      <c r="H70" s="96">
        <f t="shared" ca="1" si="9"/>
        <v>71</v>
      </c>
      <c r="I70" s="96">
        <f t="shared" ca="1" si="9"/>
        <v>191</v>
      </c>
    </row>
    <row r="71" spans="1:9" ht="67.5" customHeight="1">
      <c r="A71" s="22">
        <v>69</v>
      </c>
      <c r="B71" s="183"/>
      <c r="C71" s="88" t="s">
        <v>5</v>
      </c>
      <c r="D71" s="93" t="e">
        <f t="shared" ca="1" si="8"/>
        <v>#REF!</v>
      </c>
      <c r="E71" s="93" t="e">
        <f t="shared" ca="1" si="8"/>
        <v>#REF!</v>
      </c>
      <c r="F71" s="93" t="e">
        <f t="shared" ca="1" si="9"/>
        <v>#REF!</v>
      </c>
      <c r="G71" s="93" t="e">
        <f t="shared" ca="1" si="9"/>
        <v>#REF!</v>
      </c>
      <c r="H71" s="93" t="str">
        <f t="shared" ca="1" si="9"/>
        <v>新型コロナウイルス感染防止のための出席停止（１日）　体調不良（２日）　家事都合（６日）</v>
      </c>
      <c r="I71" s="93" t="str">
        <f t="shared" ca="1" si="9"/>
        <v>新型コロナウイルス感染防止のための出席停止（２日）　ほくろ除去手術後の痛みと検診（２日）　家事都合（１日）</v>
      </c>
    </row>
    <row r="72" spans="1:9">
      <c r="A72" s="22">
        <v>70</v>
      </c>
      <c r="B72" s="179" t="s">
        <v>6</v>
      </c>
      <c r="C72" s="180"/>
      <c r="D72" s="60" t="e">
        <f t="shared" ca="1" si="8"/>
        <v>#REF!</v>
      </c>
      <c r="E72" s="60" t="e">
        <f t="shared" ca="1" si="8"/>
        <v>#REF!</v>
      </c>
      <c r="F72" s="60" t="e">
        <f t="shared" ca="1" si="9"/>
        <v>#REF!</v>
      </c>
      <c r="G72" s="60" t="e">
        <f t="shared" ca="1" si="9"/>
        <v>#REF!</v>
      </c>
      <c r="H72" s="60">
        <f t="shared" ca="1" si="9"/>
        <v>1</v>
      </c>
      <c r="I72" s="60">
        <f t="shared" ca="1" si="9"/>
        <v>2</v>
      </c>
    </row>
    <row r="73" spans="1:9">
      <c r="A73" s="22">
        <v>71</v>
      </c>
      <c r="B73" s="179" t="s">
        <v>64</v>
      </c>
      <c r="C73" s="180"/>
      <c r="D73" s="9" t="e">
        <f t="shared" ca="1" si="8"/>
        <v>#REF!</v>
      </c>
      <c r="E73" s="9" t="e">
        <f t="shared" ca="1" si="8"/>
        <v>#REF!</v>
      </c>
      <c r="F73" s="9" t="e">
        <f t="shared" ca="1" si="9"/>
        <v>#REF!</v>
      </c>
      <c r="G73" s="9" t="e">
        <f t="shared" ca="1" si="9"/>
        <v>#REF!</v>
      </c>
      <c r="H73" s="9">
        <f t="shared" ca="1" si="9"/>
        <v>1</v>
      </c>
      <c r="I73" s="9">
        <f t="shared" ca="1" si="9"/>
        <v>2</v>
      </c>
    </row>
    <row r="74" spans="1:9">
      <c r="A74" s="23"/>
      <c r="C74" s="15" t="s">
        <v>7</v>
      </c>
      <c r="D74" s="18"/>
      <c r="E74" s="18"/>
      <c r="F74" s="18"/>
      <c r="G74" s="18"/>
      <c r="H74" s="18"/>
      <c r="I74" s="18"/>
    </row>
  </sheetData>
  <mergeCells count="19">
    <mergeCell ref="B9:B12"/>
    <mergeCell ref="B2:B3"/>
    <mergeCell ref="B4:C4"/>
    <mergeCell ref="B5:B8"/>
    <mergeCell ref="B13:B16"/>
    <mergeCell ref="B17:B20"/>
    <mergeCell ref="B21:B24"/>
    <mergeCell ref="B25:B28"/>
    <mergeCell ref="B29:B32"/>
    <mergeCell ref="B33:B36"/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おもて</vt:lpstr>
      <vt:lpstr>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PC Setup</cp:lastModifiedBy>
  <cp:lastPrinted>2023-10-07T07:51:41Z</cp:lastPrinted>
  <dcterms:created xsi:type="dcterms:W3CDTF">2019-12-26T05:04:58Z</dcterms:created>
  <dcterms:modified xsi:type="dcterms:W3CDTF">2023-10-07T07:52:10Z</dcterms:modified>
</cp:coreProperties>
</file>